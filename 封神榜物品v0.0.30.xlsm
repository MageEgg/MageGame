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P000!$A$1:$AP$742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<sst xmlns="http://schemas.openxmlformats.org/spreadsheetml/2006/main" count="8466" uniqueCount="1300">
  <si>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</si>
  <si>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</si>
  <si>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</si>
  <si>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</si>
  <si>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</si>
  <si>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</si>
  <si>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</si>
  <si>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</si>
  <si>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</si>
  <si>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</si>
  <si>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</si>
  <si>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</si>
  <si>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</si>
  <si>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</si>
  <si>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</si>
  <si>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</si>
  <si>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</si>
  <si>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</si>
  <si>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</si>
  <si>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</si>
  <si>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</si>
  <si>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</si>
  <si>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</si>
  <si>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</si>
  <si>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</si>
  <si>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</si>
  <si>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</si>
  <si>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</si>
  <si>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</si>
  <si>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</si>
  <si>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</si>
  <si>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</si>
  <si>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</si>
  <si>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</si>
  <si>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</si>
  <si>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</si>
  <si>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</si>
  <si>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</si>
  <si>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</si>
  <si>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</si>
  <si>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</si>
  <si>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</si>
  <si>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</si>
  <si>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</si>
  <si>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</si>
  <si>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</si>
  <si>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</si>
  <si>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</si>
  <si>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</si>
  <si>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</si>
  <si>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</si>
  <si>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</si>
  <si>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</si>
  <si>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</si>
  <si>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</si>
  <si>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</si>
  <si>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</si>
  <si>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</si>
  <si>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</si>
  <si>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</si>
  <si>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</si>
  <si>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</si>
  <si>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</si>
  <si>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</si>
  <si>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</si>
  <si>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</si>
  <si>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</si>
  <si>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</si>
  <si>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</si>
  <si>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</si>
  <si>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</si>
  <si>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</si>
  <si>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</si>
  <si>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</si>
  <si>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</si>
  <si>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</si>
  <si>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</si>
  <si>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</si>
  <si>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</si>
  <si>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</si>
  <si>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</si>
  <si>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</si>
  <si>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</si>
  <si>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</si>
  <si>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</si>
  <si>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</si>
  <si>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</si>
  <si>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</si>
  <si>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</si>
  <si>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</si>
  <si>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</si>
  <si>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</si>
  <si>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</si>
  <si>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</si>
  <si>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</si>
  <si>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</si>
  <si>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</si>
  <si>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</si>
  <si>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</si>
  <si>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</si>
  <si>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</si>
  <si>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</si>
  <si>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</si>
  <si>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</si>
  <si>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</si>
  <si>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</si>
  <si>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</si>
  <si>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</si>
  <si>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</si>
  <si>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</si>
  <si>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K91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</si>
  <si>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K92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</si>
  <si>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K93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</si>
  <si>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K94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</si>
  <si>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K95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</si>
  <si>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K96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</si>
  <si>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K97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</si>
  <si>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</si>
  <si>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</si>
  <si>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</si>
  <si>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</si>
  <si>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</si>
  <si>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</si>
  <si>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</si>
  <si>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</si>
  <si>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</si>
  <si>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</si>
  <si>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</si>
  <si>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</si>
  <si>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</si>
  <si>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</si>
  <si>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</si>
  <si>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</si>
  <si>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</si>
  <si>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</si>
  <si>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</si>
  <si>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</si>
  <si>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</si>
  <si>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</si>
  <si>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</si>
  <si>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</si>
  <si>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</si>
  <si>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</si>
  <si>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</si>
  <si>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</si>
  <si>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</si>
  <si>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</si>
  <si>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</si>
  <si>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</si>
  <si>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</si>
  <si>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</si>
  <si>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</si>
  <si>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</si>
  <si>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</si>
  <si>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</si>
  <si>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</si>
  <si>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</si>
  <si>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</si>
  <si>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</si>
  <si>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</si>
  <si>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</si>
  <si>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</si>
  <si>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</si>
  <si>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</si>
  <si>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</si>
  <si>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</si>
  <si>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</si>
  <si>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</si>
  <si>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</si>
  <si>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</si>
  <si>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</si>
  <si>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</si>
  <si>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</si>
  <si>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</si>
  <si>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</si>
  <si>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</si>
  <si>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</si>
  <si>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</si>
  <si>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</si>
  <si>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</si>
  <si>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</si>
  <si>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</si>
  <si>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</si>
  <si>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</si>
  <si>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</si>
  <si>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</si>
  <si>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</si>
  <si>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</si>
  <si>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</si>
  <si>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</si>
  <si>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</si>
  <si>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</si>
  <si>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</si>
  <si>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</si>
  <si>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</si>
  <si>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</si>
  <si>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</si>
  <si>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</si>
  <si>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</si>
  <si>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</si>
  <si>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</si>
  <si>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</si>
  <si>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</si>
  <si>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</si>
  <si>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</si>
  <si>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</si>
  <si>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</si>
  <si>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</si>
  <si>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</si>
  <si>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</si>
  <si>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</si>
  <si>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</si>
  <si>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</si>
  <si>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</si>
  <si>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</si>
  <si>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</si>
  <si>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</si>
  <si>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</si>
  <si>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</si>
  <si>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</si>
  <si>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</si>
  <si>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</si>
  <si>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</si>
  <si>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</si>
  <si>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</si>
  <si>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</si>
  <si>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</si>
  <si>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</si>
  <si>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</si>
  <si>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</si>
  <si>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</si>
  <si>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</si>
  <si>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</si>
  <si>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</si>
  <si>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</si>
  <si>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</si>
  <si>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</si>
  <si>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</si>
  <si>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</si>
  <si>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</si>
  <si>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</si>
  <si>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</si>
  <si>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</si>
  <si>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</si>
  <si>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</si>
  <si>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</si>
  <si>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</si>
  <si>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</si>
  <si>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</si>
  <si>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</si>
  <si>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</si>
  <si>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</si>
  <si>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</si>
  <si>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</si>
  <si>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</si>
  <si>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</si>
  <si>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</si>
  <si>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</si>
  <si>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</si>
  <si>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</si>
  <si>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</si>
  <si>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</si>
  <si>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</si>
  <si>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</si>
  <si>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</si>
  <si>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</si>
  <si>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</si>
  <si>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</si>
  <si>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</si>
  <si>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</si>
  <si>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</si>
  <si>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</si>
  <si>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</si>
  <si>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</si>
  <si>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</si>
  <si>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</si>
  <si>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</si>
  <si>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</si>
  <si>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</si>
  <si>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</si>
  <si>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</si>
  <si>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</si>
  <si>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</si>
  <si>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</si>
  <si>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</si>
  <si>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</si>
  <si>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</si>
  <si>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</si>
  <si>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</si>
  <si>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</si>
  <si>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</si>
  <si>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</si>
  <si>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</si>
  <si>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</si>
  <si>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</si>
  <si>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</si>
  <si>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</si>
  <si>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</si>
  <si>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</si>
  <si>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</si>
  <si>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</si>
  <si>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</si>
  <si>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</si>
  <si>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</si>
  <si>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</si>
  <si>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</si>
  <si>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</si>
  <si>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</si>
  <si>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</si>
  <si>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</si>
  <si>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</si>
  <si>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</si>
  <si>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</si>
  <si>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</si>
  <si>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</si>
  <si>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</si>
  <si>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</si>
  <si>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</si>
  <si>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</si>
  <si>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</si>
  <si>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</si>
  <si>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</si>
  <si>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</si>
  <si>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</si>
  <si>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</si>
  <si>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</si>
  <si>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</si>
  <si>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</si>
  <si>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</si>
  <si>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</si>
  <si>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</si>
  <si>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</si>
  <si>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</si>
  <si>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</si>
  <si>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</si>
  <si>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</si>
  <si>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</si>
  <si>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</si>
  <si>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</si>
  <si>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</si>
  <si>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</si>
  <si>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</si>
  <si>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</si>
  <si>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</si>
  <si>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</si>
  <si>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</si>
  <si>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</si>
  <si>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</si>
  <si>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</si>
  <si>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</si>
  <si>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</si>
  <si>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</si>
  <si>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</si>
  <si>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</si>
  <si>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</si>
  <si>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</si>
  <si>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</si>
  <si>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</si>
  <si>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</si>
  <si>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</si>
  <si>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</si>
  <si>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</si>
  <si>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</si>
  <si>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</si>
  <si>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</si>
  <si>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</si>
  <si>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</si>
  <si>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</si>
  <si>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</si>
  <si>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</si>
  <si>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</si>
  <si>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</si>
  <si>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</si>
  <si>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</si>
  <si>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</si>
  <si>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</si>
  <si>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</si>
  <si>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</si>
  <si>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</si>
  <si>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</si>
  <si>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</si>
  <si>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</si>
  <si>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</si>
  <si>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</si>
  <si>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</si>
  <si>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</si>
  <si>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</si>
  <si>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</si>
  <si>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</si>
  <si>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</si>
  <si>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</si>
  <si>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</si>
  <si>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</si>
  <si>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</si>
  <si>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</si>
  <si>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</si>
  <si>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</si>
  <si>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</si>
  <si>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</si>
  <si>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</si>
  <si>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</si>
  <si>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</si>
  <si>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</si>
  <si>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</si>
  <si>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</si>
  <si>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</si>
  <si>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</si>
  <si>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</si>
  <si>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</si>
  <si>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</si>
  <si>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</si>
  <si>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</si>
  <si>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</si>
  <si>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</si>
  <si>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</si>
  <si>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</si>
  <si>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</si>
  <si>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</si>
  <si>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</si>
  <si>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</si>
  <si>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</si>
  <si>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</si>
  <si>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</si>
  <si>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</si>
  <si>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</si>
  <si>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</si>
  <si>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</si>
  <si>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</si>
  <si>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</si>
  <si>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</si>
  <si>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</si>
  <si>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</si>
  <si>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</si>
  <si>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</si>
  <si>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</si>
  <si>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</si>
  <si>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</si>
  <si>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</si>
  <si>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</si>
  <si>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</si>
  <si>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</si>
  <si>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</si>
  <si>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</si>
  <si>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</si>
  <si>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</si>
  <si>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</si>
  <si>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</si>
  <si>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</si>
  <si>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</si>
  <si>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</si>
  <si>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</si>
  <si>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</si>
  <si>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</si>
  <si>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</si>
  <si>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</si>
  <si>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</si>
  <si>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</si>
  <si>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</si>
  <si>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</si>
  <si>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</si>
  <si>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</si>
  <si>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</si>
  <si>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</si>
  <si>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</si>
  <si>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</si>
  <si>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</si>
  <si>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</si>
  <si>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</si>
  <si>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</si>
  <si>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</si>
  <si>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</si>
  <si>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</si>
  <si>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</si>
  <si>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</si>
  <si>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</si>
  <si>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</si>
  <si>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</si>
  <si>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</si>
  <si>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</si>
  <si>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</si>
  <si>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</si>
  <si>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</si>
  <si>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</si>
  <si>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</si>
  <si>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</si>
  <si>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</si>
  <si>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</si>
  <si>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</si>
  <si>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</si>
  <si>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</si>
  <si>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</si>
  <si>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</si>
  <si>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</si>
  <si>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</si>
  <si>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</si>
  <si>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</si>
  <si>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</si>
  <si>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</si>
  <si>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</si>
  <si>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</si>
  <si>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</si>
  <si>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</si>
  <si>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</si>
  <si>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</si>
  <si>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</si>
  <si>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</si>
  <si>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</si>
  <si>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</si>
  <si>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</si>
  <si>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</si>
  <si>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</si>
  <si>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</si>
  <si>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</si>
  <si>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</si>
  <si>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</si>
  <si>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</si>
  <si>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</si>
  <si>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</si>
  <si>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</si>
  <si>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</si>
  <si>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</si>
  <si>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</si>
  <si>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</si>
  <si>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</si>
  <si>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</si>
  <si>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</si>
  <si>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</si>
  <si>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</si>
  <si>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</si>
  <si>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</si>
  <si>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</si>
  <si>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</si>
  <si>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</si>
  <si>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</si>
  <si>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</si>
  <si>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</si>
  <si>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</si>
  <si>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</si>
  <si>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</si>
  <si>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</si>
  <si>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</si>
  <si>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</si>
  <si>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</si>
  <si>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</si>
  <si>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</si>
  <si>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</si>
  <si>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</si>
  <si>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</si>
  <si>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</si>
  <si>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</si>
  <si>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</si>
  <si>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</si>
  <si>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</si>
  <si>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</si>
  <si>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</si>
  <si>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</si>
  <si>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</si>
  <si>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</si>
  <si>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</si>
  <si>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</si>
  <si>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</si>
  <si>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</si>
  <si>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</si>
  <si>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</si>
  <si>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</si>
  <si>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</si>
  <si>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</si>
  <si>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</si>
  <si>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</si>
  <si>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</si>
  <si>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</si>
  <si>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</si>
  <si>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</si>
  <si>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</si>
  <si>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</si>
  <si>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</si>
  <si>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</si>
  <si>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</si>
  <si>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</si>
  <si>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</si>
  <si>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</si>
  <si>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</si>
  <si>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</si>
  <si>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</si>
  <si>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</si>
  <si>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</si>
  <si>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</si>
  <si>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</si>
  <si>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</si>
  <si>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</si>
  <si>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</si>
  <si>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</si>
  <si>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</si>
  <si>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</si>
  <si>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</si>
  <si>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</si>
  <si>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</si>
  <si>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</si>
  <si>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</si>
  <si>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</si>
  <si>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</si>
  <si>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</si>
  <si>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</si>
  <si>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</si>
  <si>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</si>
  <si>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</si>
  <si>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</si>
  <si>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</si>
  <si>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</si>
  <si>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</si>
  <si>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</si>
  <si>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</si>
  <si>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</si>
  <si>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</si>
  <si>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</si>
  <si>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</si>
  <si>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</si>
  <si>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</si>
  <si>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</si>
  <si>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</si>
  <si>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</si>
  <si>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</si>
  <si>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</si>
  <si>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</si>
  <si>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</si>
  <si>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</si>
  <si>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</si>
  <si>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</si>
  <si>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</si>
  <si>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</si>
  <si>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</si>
  <si>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</si>
  <si>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</si>
  <si>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</si>
  <si>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</si>
  <si>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</si>
  <si>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</si>
  <si>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</si>
  <si>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</si>
  <si>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</si>
  <si>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</si>
  <si>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</si>
  <si>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</si>
  <si>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</si>
  <si>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</si>
  <si>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</si>
  <si>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</si>
  <si>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</si>
  <si>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</si>
  <si>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</si>
  <si>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</si>
  <si>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</si>
  <si>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</si>
  <si>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</si>
  <si>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</si>
  <si>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</si>
  <si>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</si>
  <si>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</si>
  <si>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</si>
  <si>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</si>
  <si>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</si>
  <si>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</si>
  <si>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</si>
  <si>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</si>
  <si>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</si>
  <si>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</si>
  <si>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</si>
  <si>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</si>
  <si>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</si>
  <si>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</si>
  <si>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</si>
  <si>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</si>
  <si>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</si>
  <si>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</si>
  <si>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</si>
  <si>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</si>
  <si>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</si>
  <si>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</si>
  <si>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</si>
  <si>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</si>
  <si>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</si>
  <si>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</si>
  <si>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</si>
  <si>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</si>
  <si>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</si>
  <si>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</si>
  <si>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</si>
  <si>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</si>
  <si>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</si>
  <si>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</si>
  <si>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</si>
  <si>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</si>
  <si>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</si>
  <si>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</si>
  <si>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</si>
  <si>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</si>
  <si>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</si>
  <si>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</si>
  <si>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</si>
  <si>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</si>
  <si>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</si>
  <si>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</si>
  <si>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</si>
  <si>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</si>
  <si>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</si>
  <si>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</si>
  <si>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</si>
  <si>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</si>
  <si>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</si>
  <si>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</si>
  <si>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</si>
  <si>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</si>
  <si>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</si>
  <si>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</si>
  <si>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</si>
  <si>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</si>
  <si>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</si>
  <si>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</si>
  <si>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</si>
  <si>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</si>
  <si>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</si>
  <si>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</si>
  <si>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</si>
  <si>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</si>
  <si>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</si>
  <si>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</si>
  <si>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</si>
  <si>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</si>
  <si>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</si>
  <si>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</si>
  <si>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</si>
  <si>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</si>
  <si>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</si>
  <si>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</si>
  <si>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</si>
  <si>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</si>
  <si>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</si>
  <si>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</si>
  <si>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</si>
  <si>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</si>
  <si>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</si>
  <si>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</si>
  <si>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</si>
  <si>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</si>
  <si>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</si>
  <si>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</si>
  <si>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</si>
  <si>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</si>
  <si>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charset val="134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charset val="134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charset val="134"/>
      </rPr>
      <t>|r</t>
    </r>
  </si>
  <si>
    <r>
      <rPr>
        <sz val="11"/>
        <rFont val="等线"/>
        <charset val="134"/>
      </rPr>
      <t>ReplaceableTextures\</t>
    </r>
    <r>
      <rPr>
        <sz val="11"/>
        <rFont val="等线"/>
        <charset val="134"/>
      </rPr>
      <t>\</t>
    </r>
    <r>
      <rPr>
        <sz val="11"/>
        <rFont val="等线"/>
        <charset val="134"/>
      </rPr>
      <t>CommandButtons\</t>
    </r>
    <r>
      <rPr>
        <sz val="11"/>
        <rFont val="等线"/>
        <charset val="134"/>
      </rPr>
      <t>\</t>
    </r>
    <r>
      <rPr>
        <sz val="11"/>
        <rFont val="等线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</si>
  <si>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</si>
  <si>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</si>
  <si>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</si>
  <si>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</si>
  <si>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</si>
  <si>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</si>
  <si>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</si>
  <si>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</si>
  <si>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</si>
  <si>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</si>
  <si>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</si>
  <si>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charset val="134"/>
      </rPr>
      <t>ReplaceableTextures</t>
    </r>
    <r>
      <rPr>
        <sz val="11"/>
        <rFont val="等线"/>
        <charset val="134"/>
      </rPr>
      <t>\</t>
    </r>
    <r>
      <rPr>
        <sz val="11"/>
        <rFont val="等线"/>
        <charset val="134"/>
      </rPr>
      <t>\CommandButtons</t>
    </r>
    <r>
      <rPr>
        <sz val="11"/>
        <rFont val="等线"/>
        <charset val="134"/>
      </rPr>
      <t>\</t>
    </r>
    <r>
      <rPr>
        <sz val="11"/>
        <rFont val="等线"/>
        <charset val="134"/>
      </rPr>
      <t>\BTNReplay-SpeedUp.blp</t>
    </r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</si>
  <si>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</si>
  <si>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</si>
  <si>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</si>
  <si>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</si>
  <si>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</si>
  <si>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</si>
  <si>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</si>
  <si>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</si>
  <si>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</si>
  <si>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</si>
  <si>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</si>
  <si>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</si>
  <si>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</si>
  <si>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</si>
  <si>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</si>
  <si>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</si>
  <si>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</si>
  <si>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</si>
  <si>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</si>
  <si>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</si>
  <si>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</si>
  <si>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</si>
  <si>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</si>
  <si>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</si>
  <si>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</si>
  <si>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</si>
  <si>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</si>
  <si>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</si>
  <si>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</si>
  <si>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</si>
  <si>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</si>
  <si>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</si>
  <si>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</si>
  <si>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</si>
  <si>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</si>
  <si>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</si>
  <si>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</si>
  <si>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</si>
  <si>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</si>
  <si>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</si>
  <si>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</si>
  <si>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</si>
  <si>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</si>
  <si>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</si>
  <si>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</si>
  <si>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</si>
  <si>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</si>
  <si>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</si>
  <si>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</si>
  <si>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</si>
  <si>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</si>
  <si>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</si>
  <si>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</si>
  <si>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</si>
  <si>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</si>
  <si>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</si>
  <si>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</si>
  <si>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</si>
  <si>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</si>
  <si>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</si>
  <si>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</si>
  <si>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</si>
  <si>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</si>
  <si>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</si>
  <si>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</si>
  <si>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</si>
  <si>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</si>
  <si>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</si>
  <si>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</si>
  <si>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</si>
  <si>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</si>
  <si>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</si>
  <si>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</si>
  <si>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</si>
  <si>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</si>
  <si>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</si>
  <si>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</si>
  <si>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</si>
  <si>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</si>
  <si>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</si>
  <si>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</si>
  <si>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</si>
  <si>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</si>
  <si>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</si>
  <si>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</si>
  <si>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</si>
  <si>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</si>
  <si>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</si>
  <si>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</si>
  <si>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</si>
  <si>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</si>
  <si>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</si>
  <si>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</si>
  <si>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</si>
  <si>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</si>
  <si>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</si>
  <si>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</si>
  <si>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</si>
  <si>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</si>
  <si>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</si>
  <si>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</si>
  <si>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</si>
  <si>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</si>
  <si>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</si>
  <si>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</si>
  <si>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</si>
  <si>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</si>
  <si>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</si>
  <si>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</si>
  <si>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</si>
  <si>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</si>
  <si>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</si>
  <si>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</si>
  <si>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</si>
  <si>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</si>
  <si>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</si>
  <si>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</si>
  <si>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</si>
  <si>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</si>
  <si>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</si>
  <si>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</si>
  <si>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</si>
  <si>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</si>
  <si>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</si>
  <si>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</si>
  <si>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</si>
  <si>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</si>
  <si>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</si>
  <si>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</si>
  <si>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</si>
  <si>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</si>
  <si>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</si>
  <si>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</si>
  <si>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</si>
  <si>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</si>
  <si>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</si>
  <si>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</si>
  <si>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</si>
  <si>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</si>
  <si>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</si>
  <si>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</si>
  <si>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</si>
  <si>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</si>
  <si>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</si>
  <si>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</si>
  <si>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</si>
  <si>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</si>
  <si>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</si>
  <si>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</si>
  <si>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</si>
  <si>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</si>
  <si>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</si>
  <si>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</si>
  <si>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</si>
  <si>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</si>
  <si>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</si>
  <si>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</si>
  <si>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</si>
  <si>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</si>
  <si>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</si>
  <si>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</si>
  <si>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</si>
  <si>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</si>
  <si>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</si>
  <si>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</si>
  <si>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</si>
  <si>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</si>
  <si>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</si>
  <si>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</si>
  <si>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</si>
  <si>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</si>
  <si>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</si>
  <si>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</si>
  <si>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</si>
  <si>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致命倍率|Cffffc926+10%|n|n|r|Cffff00bf【白虎】|r+|Cffff00bf【白虎】|r=|Cffffc926【神威虎爪】|n|n|r|Cff00ff7f点击穿戴或脱卸。|r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</si>
  <si>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</si>
  <si>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</si>
  <si>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</si>
  <si>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</si>
  <si>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</si>
  <si>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</si>
  <si>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</si>
  <si>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</si>
  <si>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</si>
  <si>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</si>
  <si>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</si>
  <si>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</si>
  <si>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</si>
  <si>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</si>
  <si>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</si>
  <si>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</si>
  <si>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</si>
  <si>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</si>
  <si>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</si>
  <si>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</si>
  <si>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</si>
  <si>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</si>
  <si>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</si>
  <si>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</si>
  <si>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</si>
  <si>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</si>
  <si>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</si>
  <si>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</si>
  <si>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</si>
  <si>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</si>
  <si>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charset val="134"/>
      </rPr>
      <t>|CffFFD24D</t>
    </r>
    <r>
      <rPr>
        <sz val="10"/>
        <color rgb="FF333333"/>
        <rFont val="宋体"/>
        <charset val="134"/>
      </rPr>
      <t>【史诗】神威虎爪</t>
    </r>
    <r>
      <rPr>
        <sz val="10"/>
        <color rgb="FF333333"/>
        <rFont val="Arial"/>
        <charset val="134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</si>
  <si>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</si>
  <si>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</si>
  <si>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</si>
  <si>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致命倍率|Cffffc926+300%|n|n|r|Cffaaaaaa○|CffFFD24D金之刻印+1|r|r|n|n|Cff00ff7f点击穿戴或脱卸。|r</t>
  </si>
  <si>
    <t>IK1C</t>
  </si>
  <si>
    <t>致命倍率|Cffffc926+300%|n|n|r|Cffaaaaaa○|CffFFD24D木之刻印+1|r|r|n|n|Cff00ff7f点击穿戴或脱卸。|r</t>
  </si>
  <si>
    <t>IK1D</t>
  </si>
  <si>
    <t>致命倍率|Cffffc926+300%|n|n|r|Cffaaaaaa○|CffFFD24D水之刻印+1|r|r|n|n|Cff00ff7f点击穿戴或脱卸。|r</t>
  </si>
  <si>
    <t>IK1E</t>
  </si>
  <si>
    <t>致命倍率|Cffffc926+300%|n|n|r|Cffaaaaaa○|CffFFD24D火之刻印+1|r|r|n|n|Cff00ff7f点击穿戴或脱卸。|r</t>
  </si>
  <si>
    <t>IK1F</t>
  </si>
  <si>
    <t>致命倍率|Cffffc926+300%|n|n|r|Cffaaaaaa○|CffFFD24D土之刻印+1|r|r|n|n|Cff00ff7f点击穿戴或脱卸。|r</t>
  </si>
  <si>
    <t>IK1G</t>
  </si>
  <si>
    <t>致命倍率|Cffffc926+300%|n|n|r|Cffaaaaaa○|CffFFD24D雷之刻印+1|r|r|n|n|Cff00ff7f点击穿戴或脱卸。|r</t>
  </si>
  <si>
    <t>IK1H</t>
  </si>
  <si>
    <t>致命倍率|Cffffc926+300%|n|n|r|Cffaaaaaa○|CffFFD24D光之刻印+1|r|r|n|n|Cff00ff7f点击穿戴或脱卸。|r</t>
  </si>
  <si>
    <t>IK1I</t>
  </si>
  <si>
    <t>致命倍率|Cffffc926+300%|n|n|r|Cffaaaaaa○|CffFFD24D暗之刻印+1|r|r|n|n|Cff00ff7f点击穿戴或脱卸。|r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</si>
  <si>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</si>
  <si>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</si>
  <si>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</si>
  <si>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</si>
  <si>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</si>
  <si>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最大生命|Cffffc926+20%|n|n|r|Cffaaaaaa○|CffFFD24D金之刻印+1|r|r|n|n|Cff00ff7f点击穿戴或脱卸。|r</t>
  </si>
  <si>
    <t>IK2C</t>
  </si>
  <si>
    <t>最大生命|Cffffc926+20%|n|n|r|Cffaaaaaa○|CffFFD24D木之刻印+1|r|r|n|n|Cff00ff7f点击穿戴或脱卸。|r</t>
  </si>
  <si>
    <t>IK2D</t>
  </si>
  <si>
    <t>最大生命|Cffffc926+20%|n|n|r|Cffaaaaaa○|CffFFD24D水之刻印+1|r|r|n|n|Cff00ff7f点击穿戴或脱卸。|r</t>
  </si>
  <si>
    <t>IK2E</t>
  </si>
  <si>
    <t>最大生命|Cffffc926+20%|n|n|r|Cffaaaaaa○|CffFFD24D火之刻印+1|r|r|n|n|Cff00ff7f点击穿戴或脱卸。|r</t>
  </si>
  <si>
    <t>IK2F</t>
  </si>
  <si>
    <t>最大生命|Cffffc926+20%|n|n|r|Cffaaaaaa○|CffFFD24D土之刻印+1|r|r|n|n|Cff00ff7f点击穿戴或脱卸。|r</t>
  </si>
  <si>
    <t>IK2G</t>
  </si>
  <si>
    <t>最大生命|Cffffc926+20%|n|n|r|Cffaaaaaa○|CffFFD24D雷之刻印+1|r|r|n|n|Cff00ff7f点击穿戴或脱卸。|r</t>
  </si>
  <si>
    <t>IK2H</t>
  </si>
  <si>
    <t>最大生命|Cffffc926+20%|n|n|r|Cffaaaaaa○|CffFFD24D光之刻印+1|r|r|n|n|Cff00ff7f点击穿戴或脱卸。|r</t>
  </si>
  <si>
    <t>IK2I</t>
  </si>
  <si>
    <t>最大生命|Cffffc926+20%|n|n|r|Cffaaaaaa○|CffFFD24D暗之刻印+1|r|r|n|n|Cff00ff7f点击穿戴或脱卸。|r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</si>
  <si>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</si>
  <si>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</si>
  <si>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</si>
  <si>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</si>
  <si>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</si>
  <si>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道兵伤害|Cffffc926+60%|n|n|r|Cffaaaaaa○|CffFFD24D金之刻印+1|r|r|n|n|Cff00ff7f点击穿戴或脱卸。|r</t>
  </si>
  <si>
    <t>IK3C</t>
  </si>
  <si>
    <t>道兵伤害|Cffffc926+60%|n|n|r|Cffaaaaaa○|CffFFD24D木之刻印+1|r|r|n|n|Cff00ff7f点击穿戴或脱卸。|r</t>
  </si>
  <si>
    <t>IK3D</t>
  </si>
  <si>
    <t>道兵伤害|Cffffc926+60%|n|n|r|Cffaaaaaa○|CffFFD24D水之刻印+1|r|r|n|n|Cff00ff7f点击穿戴或脱卸。|r</t>
  </si>
  <si>
    <t>IK3E</t>
  </si>
  <si>
    <t>道兵伤害|Cffffc926+60%|n|n|r|Cffaaaaaa○|CffFFD24D火之刻印+1|r|r|n|n|Cff00ff7f点击穿戴或脱卸。|r</t>
  </si>
  <si>
    <t>IK3F</t>
  </si>
  <si>
    <t>道兵伤害|Cffffc926+60%|n|n|r|Cffaaaaaa○|CffFFD24D土之刻印+1|r|r|n|n|Cff00ff7f点击穿戴或脱卸。|r</t>
  </si>
  <si>
    <t>IK3G</t>
  </si>
  <si>
    <t>道兵伤害|Cffffc926+60%|n|n|r|Cffaaaaaa○|CffFFD24D雷之刻印+1|r|r|n|n|Cff00ff7f点击穿戴或脱卸。|r</t>
  </si>
  <si>
    <t>IK3H</t>
  </si>
  <si>
    <t>道兵伤害|Cffffc926+60%|n|n|r|Cffaaaaaa○|CffFFD24D光之刻印+1|r|r|n|n|Cff00ff7f点击穿戴或脱卸。|r</t>
  </si>
  <si>
    <t>IK3I</t>
  </si>
  <si>
    <t>道兵伤害|Cffffc926+60%|n|n|r|Cffaaaaaa○|CffFFD24D暗之刻印+1|r|r|n|n|Cff00ff7f点击穿戴或脱卸。|r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</si>
  <si>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</si>
  <si>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</si>
  <si>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</si>
  <si>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</si>
  <si>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</si>
  <si>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攻击|Cffffc926+50000|r，攻击|Cffffc926+12%|n|n|r|Cffaaaaaa○|CffFFD24D金之刻印+1|r|r|n|n|Cff00ff7f点击穿戴或脱卸。|r</t>
  </si>
  <si>
    <t>IK4C</t>
  </si>
  <si>
    <t>攻击|Cffffc926+50000|r，攻击|Cffffc926+12%|n|n|r|Cffaaaaaa○|CffFFD24D木之刻印+1|r|r|n|n|Cff00ff7f点击穿戴或脱卸。|r</t>
  </si>
  <si>
    <t>IK4D</t>
  </si>
  <si>
    <t>攻击|Cffffc926+50000|r，攻击|Cffffc926+12%|n|n|r|Cffaaaaaa○|CffFFD24D水之刻印+1|r|r|n|n|Cff00ff7f点击穿戴或脱卸。|r</t>
  </si>
  <si>
    <t>IK4E</t>
  </si>
  <si>
    <t>攻击|Cffffc926+50000|r，攻击|Cffffc926+12%|n|n|r|Cffaaaaaa○|CffFFD24D火之刻印+1|r|r|n|n|Cff00ff7f点击穿戴或脱卸。|r</t>
  </si>
  <si>
    <t>IK4F</t>
  </si>
  <si>
    <t>攻击|Cffffc926+50000|r，攻击|Cffffc926+12%|n|n|r|Cffaaaaaa○|CffFFD24D土之刻印+1|r|r|n|n|Cff00ff7f点击穿戴或脱卸。|r</t>
  </si>
  <si>
    <t>IK4G</t>
  </si>
  <si>
    <t>攻击|Cffffc926+50000|r，攻击|Cffffc926+12%|n|n|r|Cffaaaaaa○|CffFFD24D雷之刻印+1|r|r|n|n|Cff00ff7f点击穿戴或脱卸。|r</t>
  </si>
  <si>
    <t>IK4H</t>
  </si>
  <si>
    <t>攻击|Cffffc926+50000|r，攻击|Cffffc926+12%|n|n|r|Cffaaaaaa○|CffFFD24D光之刻印+1|r|r|n|n|Cff00ff7f点击穿戴或脱卸。|r</t>
  </si>
  <si>
    <t>IK4I</t>
  </si>
  <si>
    <t>攻击|Cffffc926+50000|r，攻击|Cffffc926+12%|n|n|r|Cffaaaaaa○|CffFFD24D暗之刻印+1|r|r|n|n|Cff00ff7f点击穿戴或脱卸。|r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</si>
  <si>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</si>
  <si>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</si>
  <si>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</si>
  <si>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</si>
  <si>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</si>
  <si>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护甲穿透|Cffffc926+150|n|n|r|Cffaaaaaa○|CffFFD24D金之刻印+1|r|r|n|n|Cff00ff7f点击穿戴或脱卸。|r</t>
  </si>
  <si>
    <t>IK5C</t>
  </si>
  <si>
    <t>护甲穿透|Cffffc926+150|n|n|r|Cffaaaaaa○|CffFFD24D木之刻印+1|r|r|n|n|Cff00ff7f点击穿戴或脱卸。|r</t>
  </si>
  <si>
    <t>IK5D</t>
  </si>
  <si>
    <t>护甲穿透|Cffffc926+150|n|n|r|Cffaaaaaa○|CffFFD24D水之刻印+1|r|r|n|n|Cff00ff7f点击穿戴或脱卸。|r</t>
  </si>
  <si>
    <t>IK5E</t>
  </si>
  <si>
    <t>护甲穿透|Cffffc926+150|n|n|r|Cffaaaaaa○|CffFFD24D火之刻印+1|r|r|n|n|Cff00ff7f点击穿戴或脱卸。|r</t>
  </si>
  <si>
    <t>IK5F</t>
  </si>
  <si>
    <t>护甲穿透|Cffffc926+150|n|n|r|Cffaaaaaa○|CffFFD24D土之刻印+1|r|r|n|n|Cff00ff7f点击穿戴或脱卸。|r</t>
  </si>
  <si>
    <t>IK5G</t>
  </si>
  <si>
    <t>护甲穿透|Cffffc926+150|n|n|r|Cffaaaaaa○|CffFFD24D雷之刻印+1|r|r|n|n|Cff00ff7f点击穿戴或脱卸。|r</t>
  </si>
  <si>
    <t>IK5H</t>
  </si>
  <si>
    <t>护甲穿透|Cffffc926+150|n|n|r|Cffaaaaaa○|CffFFD24D光之刻印+1|r|r|n|n|Cff00ff7f点击穿戴或脱卸。|r</t>
  </si>
  <si>
    <t>IK5I</t>
  </si>
  <si>
    <t>护甲穿透|Cffffc926+150|n|n|r|Cffaaaaaa○|CffFFD24D暗之刻印+1|r|r|n|n|Cff00ff7f点击穿戴或脱卸。|r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</si>
  <si>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</si>
  <si>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</si>
  <si>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</si>
  <si>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</si>
  <si>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</si>
  <si>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暴击伤害|Cffffc926+60%|n|n|r|Cffaaaaaa○|CffFFD24D金之刻印+1|r|r|n|n|Cff00ff7f点击穿戴或脱卸。|r</t>
  </si>
  <si>
    <t>IK6C</t>
  </si>
  <si>
    <t>暴击伤害|Cffffc926+60%|n|n|r|Cffaaaaaa○|CffFFD24D木之刻印+1|r|r|n|n|Cff00ff7f点击穿戴或脱卸。|r</t>
  </si>
  <si>
    <t>IK6D</t>
  </si>
  <si>
    <t>暴击伤害|Cffffc926+60%|n|n|r|Cffaaaaaa○|CffFFD24D水之刻印+1|r|r|n|n|Cff00ff7f点击穿戴或脱卸。|r</t>
  </si>
  <si>
    <t>IK6E</t>
  </si>
  <si>
    <t>暴击伤害|Cffffc926+60%|n|n|r|Cffaaaaaa○|CffFFD24D火之刻印+1|r|r|n|n|Cff00ff7f点击穿戴或脱卸。|r</t>
  </si>
  <si>
    <t>IK6F</t>
  </si>
  <si>
    <t>暴击伤害|Cffffc926+60%|n|n|r|Cffaaaaaa○|CffFFD24D土之刻印+1|r|r|n|n|Cff00ff7f点击穿戴或脱卸。|r</t>
  </si>
  <si>
    <t>IK6G</t>
  </si>
  <si>
    <t>暴击伤害|Cffffc926+60%|n|n|r|Cffaaaaaa○|CffFFD24D雷之刻印+1|r|r|n|n|Cff00ff7f点击穿戴或脱卸。|r</t>
  </si>
  <si>
    <t>IK6H</t>
  </si>
  <si>
    <t>暴击伤害|Cffffc926+60%|n|n|r|Cffaaaaaa○|CffFFD24D光之刻印+1|r|r|n|n|Cff00ff7f点击穿戴或脱卸。|r</t>
  </si>
  <si>
    <t>IK6I</t>
  </si>
  <si>
    <t>暴击伤害|Cffffc926+60%|n|n|r|Cffaaaaaa○|CffFFD24D暗之刻印+1|r|r|n|n|Cff00ff7f点击穿戴或脱卸。|r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</si>
  <si>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</si>
  <si>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</si>
  <si>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</si>
  <si>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</si>
  <si>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</si>
  <si>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护甲|Cffffc926+100|n|n|r|Cffaaaaaa○|CffFFD24D金之刻印+1|r|r|n|n|Cff00ff7f点击穿戴或脱卸。|r</t>
  </si>
  <si>
    <t>IK7C</t>
  </si>
  <si>
    <t>护甲|Cffffc926+100|n|n|r|Cffaaaaaa○|CffFFD24D木之刻印+1|r|r|n|n|Cff00ff7f点击穿戴或脱卸。|r</t>
  </si>
  <si>
    <t>IK7D</t>
  </si>
  <si>
    <t>护甲|Cffffc926+100|n|n|r|Cffaaaaaa○|CffFFD24D水之刻印+1|r|r|n|n|Cff00ff7f点击穿戴或脱卸。|r</t>
  </si>
  <si>
    <t>IK7E</t>
  </si>
  <si>
    <t>护甲|Cffffc926+100|n|n|r|Cffaaaaaa○|CffFFD24D火之刻印+1|r|r|n|n|Cff00ff7f点击穿戴或脱卸。|r</t>
  </si>
  <si>
    <t>IK7F</t>
  </si>
  <si>
    <t>护甲|Cffffc926+100|n|n|r|Cffaaaaaa○|CffFFD24D土之刻印+1|r|r|n|n|Cff00ff7f点击穿戴或脱卸。|r</t>
  </si>
  <si>
    <t>IK7G</t>
  </si>
  <si>
    <t>护甲|Cffffc926+100|n|n|r|Cffaaaaaa○|CffFFD24D雷之刻印+1|r|r|n|n|Cff00ff7f点击穿戴或脱卸。|r</t>
  </si>
  <si>
    <t>IK7H</t>
  </si>
  <si>
    <t>护甲|Cffffc926+100|n|n|r|Cffaaaaaa○|CffFFD24D光之刻印+1|r|r|n|n|Cff00ff7f点击穿戴或脱卸。|r</t>
  </si>
  <si>
    <t>IK7I</t>
  </si>
  <si>
    <t>护甲|Cffffc926+100|n|n|r|Cffaaaaaa○|CffFFD24D暗之刻印+1|r|r|n|n|Cff00ff7f点击穿戴或脱卸。|r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</si>
  <si>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</si>
  <si>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</si>
  <si>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</si>
  <si>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</si>
  <si>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</si>
  <si>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业力|Cffffc926+50000|r，业力|Cffffc926+12%|n|n|r|Cffaaaaaa○|CffFFD24D金之刻印+1|r|r|n|n|Cff00ff7f点击穿戴或脱卸。|r</t>
  </si>
  <si>
    <t>IK8C</t>
  </si>
  <si>
    <t>业力|Cffffc926+50000|r，业力|Cffffc926+12%|n|n|r|Cffaaaaaa○|CffFFD24D木之刻印+1|r|r|n|n|Cff00ff7f点击穿戴或脱卸。|r</t>
  </si>
  <si>
    <t>IK8D</t>
  </si>
  <si>
    <t>业力|Cffffc926+50000|r，业力|Cffffc926+12%|n|n|r|Cffaaaaaa○|CffFFD24D水之刻印+1|r|r|n|n|Cff00ff7f点击穿戴或脱卸。|r</t>
  </si>
  <si>
    <t>IK8E</t>
  </si>
  <si>
    <t>业力|Cffffc926+50000|r，业力|Cffffc926+12%|n|n|r|Cffaaaaaa○|CffFFD24D火之刻印+1|r|r|n|n|Cff00ff7f点击穿戴或脱卸。|r</t>
  </si>
  <si>
    <t>IK8F</t>
  </si>
  <si>
    <t>业力|Cffffc926+50000|r，业力|Cffffc926+12%|n|n|r|Cffaaaaaa○|CffFFD24D土之刻印+1|r|r|n|n|Cff00ff7f点击穿戴或脱卸。|r</t>
  </si>
  <si>
    <t>IK8G</t>
  </si>
  <si>
    <t>业力|Cffffc926+50000|r，业力|Cffffc926+12%|n|n|r|Cffaaaaaa○|CffFFD24D雷之刻印+1|r|r|n|n|Cff00ff7f点击穿戴或脱卸。|r</t>
  </si>
  <si>
    <t>IK8H</t>
  </si>
  <si>
    <t>业力|Cffffc926+50000|r，业力|Cffffc926+12%|n|n|r|Cffaaaaaa○|CffFFD24D光之刻印+1|r|r|n|n|Cff00ff7f点击穿戴或脱卸。|r</t>
  </si>
  <si>
    <t>IK8I</t>
  </si>
  <si>
    <t>业力|Cffffc926+50000|r，业力|Cffffc926+12%|n|n|r|Cffaaaaaa○|CffFFD24D暗之刻印+1|r|r|n|n|Cff00ff7f点击穿戴或脱卸。|r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</si>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</sst>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176" formatCode="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4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charset val="134"/>
    </font>
    <font>
      <sz val="11"/>
      <name val="Consolas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0"/>
      <color rgb="FF333333"/>
      <name val="Arial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0"/>
      <color rgb="FF333333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36" fillId="29" borderId="2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0" fillId="10" borderId="23" applyNumberFormat="0" applyFont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42" fillId="0" borderId="19" applyNumberFormat="0" applyFill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32" fillId="0" borderId="22" applyNumberFormat="0" applyFill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1" fillId="21" borderId="21" applyNumberFormat="0" applyAlignment="0" applyProtection="0">
      <alignment vertical="center"/>
    </xf>
    <xf numFmtId="0" fontId="41" fillId="21" borderId="24" applyNumberFormat="0" applyAlignment="0" applyProtection="0">
      <alignment vertical="center"/>
    </xf>
    <xf numFmtId="0" fontId="39" fillId="38" borderId="26" applyNumberFormat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37" fillId="0" borderId="25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0" borderId="0" xfId="0" applyFont="1" applyAlignment="1">
      <alignment vertical="center"/>
    </xf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50" applyFont="1" applyFill="1" applyBorder="1"/>
    <xf numFmtId="0" fontId="6" fillId="0" borderId="1" xfId="50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3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44"/>
  <sheetViews>
    <sheetView tabSelected="1" workbookViewId="0">
      <pane xSplit="8" ySplit="2" topLeftCell="X211" activePane="bottomRight" state="frozen"/>
      <selection/>
      <selection pane="topRight"/>
      <selection pane="bottomLeft"/>
      <selection pane="bottomRight" activeCell="AA218" sqref="AA218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63" customWidth="1"/>
    <col min="10" max="10" width="18.6296296296296" customWidth="1"/>
    <col min="11" max="11" width="41" customWidth="1"/>
    <col min="12" max="12" width="9" style="10" customWidth="1"/>
    <col min="13" max="13" width="47.3796296296296" style="16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6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63"/>
    <col min="41" max="16384" width="9" style="10"/>
  </cols>
  <sheetData>
    <row r="1" s="163" customFormat="1" spans="1:42">
      <c r="A1" s="167"/>
      <c r="B1" s="163" t="s">
        <v>0</v>
      </c>
      <c r="C1" s="163" t="s">
        <v>1</v>
      </c>
      <c r="D1" s="163" t="s">
        <v>2</v>
      </c>
      <c r="E1" s="188" t="s">
        <v>3</v>
      </c>
      <c r="F1" s="163" t="s">
        <v>4</v>
      </c>
      <c r="G1" s="163" t="s">
        <v>5</v>
      </c>
      <c r="H1" s="163" t="s">
        <v>6</v>
      </c>
      <c r="I1" s="163" t="s">
        <v>7</v>
      </c>
      <c r="J1" s="164" t="s">
        <v>8</v>
      </c>
      <c r="K1" s="164" t="s">
        <v>9</v>
      </c>
      <c r="L1" s="163" t="s">
        <v>10</v>
      </c>
      <c r="M1" s="163" t="s">
        <v>11</v>
      </c>
      <c r="N1" s="163" t="s">
        <v>12</v>
      </c>
      <c r="O1" s="163" t="s">
        <v>13</v>
      </c>
      <c r="P1" s="163" t="s">
        <v>14</v>
      </c>
      <c r="Q1" s="163" t="s">
        <v>15</v>
      </c>
      <c r="R1" s="163" t="s">
        <v>16</v>
      </c>
      <c r="S1" s="163" t="s">
        <v>17</v>
      </c>
      <c r="T1" s="163" t="s">
        <v>18</v>
      </c>
      <c r="U1" s="163" t="s">
        <v>19</v>
      </c>
      <c r="V1" s="163" t="s">
        <v>20</v>
      </c>
      <c r="W1" s="163" t="s">
        <v>21</v>
      </c>
      <c r="X1" s="163" t="s">
        <v>22</v>
      </c>
      <c r="Y1" s="163" t="s">
        <v>23</v>
      </c>
      <c r="Z1" s="163" t="s">
        <v>24</v>
      </c>
      <c r="AA1" s="163" t="s">
        <v>25</v>
      </c>
      <c r="AB1" s="163" t="s">
        <v>26</v>
      </c>
      <c r="AC1" s="163" t="s">
        <v>27</v>
      </c>
      <c r="AD1" s="163" t="s">
        <v>28</v>
      </c>
      <c r="AE1" s="163" t="s">
        <v>29</v>
      </c>
      <c r="AF1" s="163" t="s">
        <v>30</v>
      </c>
      <c r="AG1" s="163" t="s">
        <v>31</v>
      </c>
      <c r="AH1" s="163" t="s">
        <v>32</v>
      </c>
      <c r="AI1" s="163" t="s">
        <v>33</v>
      </c>
      <c r="AJ1" s="164" t="s">
        <v>34</v>
      </c>
      <c r="AK1" s="163" t="s">
        <v>35</v>
      </c>
      <c r="AL1" s="163" t="s">
        <v>36</v>
      </c>
      <c r="AM1" s="163" t="s">
        <v>37</v>
      </c>
      <c r="AN1" s="163" t="s">
        <v>38</v>
      </c>
      <c r="AO1" s="163" t="s">
        <v>39</v>
      </c>
      <c r="AP1" s="164" t="s">
        <v>40</v>
      </c>
    </row>
    <row r="2" s="164" customFormat="1" ht="12.75" customHeight="1" spans="1:42">
      <c r="A2" s="168">
        <f>COUNTA(B:B)+1</f>
        <v>397</v>
      </c>
      <c r="C2" s="164" t="s">
        <v>41</v>
      </c>
      <c r="D2" s="164" t="s">
        <v>42</v>
      </c>
      <c r="E2" s="164" t="s">
        <v>43</v>
      </c>
      <c r="F2" s="164" t="s">
        <v>44</v>
      </c>
      <c r="G2" s="164" t="s">
        <v>45</v>
      </c>
      <c r="H2" s="164" t="s">
        <v>46</v>
      </c>
      <c r="I2" s="164" t="s">
        <v>47</v>
      </c>
      <c r="J2" s="164" t="s">
        <v>48</v>
      </c>
      <c r="K2" s="164" t="s">
        <v>49</v>
      </c>
      <c r="L2" s="164" t="s">
        <v>50</v>
      </c>
      <c r="M2" s="164" t="s">
        <v>51</v>
      </c>
      <c r="N2" s="164" t="s">
        <v>52</v>
      </c>
      <c r="O2" s="164" t="s">
        <v>53</v>
      </c>
      <c r="P2" s="164" t="s">
        <v>54</v>
      </c>
      <c r="Q2" s="164" t="s">
        <v>55</v>
      </c>
      <c r="R2" s="164" t="s">
        <v>56</v>
      </c>
      <c r="S2" s="164" t="s">
        <v>57</v>
      </c>
      <c r="T2" s="164" t="s">
        <v>58</v>
      </c>
      <c r="U2" s="164" t="s">
        <v>59</v>
      </c>
      <c r="V2" s="164" t="s">
        <v>60</v>
      </c>
      <c r="W2" s="164" t="s">
        <v>61</v>
      </c>
      <c r="X2" s="164" t="s">
        <v>62</v>
      </c>
      <c r="Y2" s="164" t="s">
        <v>63</v>
      </c>
      <c r="Z2" s="164" t="s">
        <v>64</v>
      </c>
      <c r="AA2" s="164" t="s">
        <v>65</v>
      </c>
      <c r="AB2" s="164" t="s">
        <v>66</v>
      </c>
      <c r="AC2" s="164" t="s">
        <v>67</v>
      </c>
      <c r="AD2" s="164" t="s">
        <v>68</v>
      </c>
      <c r="AE2" s="164" t="s">
        <v>69</v>
      </c>
      <c r="AF2" s="164" t="s">
        <v>70</v>
      </c>
      <c r="AG2" s="164" t="s">
        <v>71</v>
      </c>
      <c r="AH2" s="164" t="s">
        <v>72</v>
      </c>
      <c r="AI2" s="164" t="s">
        <v>73</v>
      </c>
      <c r="AJ2" s="164" t="s">
        <v>74</v>
      </c>
      <c r="AK2" s="164" t="s">
        <v>75</v>
      </c>
      <c r="AL2" s="164" t="s">
        <v>76</v>
      </c>
      <c r="AM2" s="164" t="s">
        <v>77</v>
      </c>
      <c r="AN2" s="164" t="s">
        <v>78</v>
      </c>
      <c r="AO2" s="164" t="s">
        <v>79</v>
      </c>
      <c r="AP2" s="164" t="s">
        <v>80</v>
      </c>
    </row>
    <row r="3" spans="1:42">
      <c r="A3" s="16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9" t="str">
        <f t="shared" ref="J3" si="0">H3</f>
        <v>[武器]古纹剑lv1</v>
      </c>
      <c r="K3" s="169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70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9" t="str">
        <f t="shared" ref="J4:J7" si="2">H4</f>
        <v>[武器]古纹剑lv2</v>
      </c>
      <c r="K4" s="169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70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9" t="str">
        <f t="shared" si="2"/>
        <v>[武器]古纹剑lv3</v>
      </c>
      <c r="K5" s="169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70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9" t="str">
        <f t="shared" si="2"/>
        <v>[武器]古纹剑lv4</v>
      </c>
      <c r="K6" s="169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70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9" t="str">
        <f t="shared" si="2"/>
        <v>[武器]古纹剑lv5</v>
      </c>
      <c r="K7" s="169" t="str">
        <f t="shared" si="3"/>
        <v>|Cffbbbbbb属性：|r|n攻击+5000|n|n攻击|Cffffc92610%|r概率附加|Cffffc926业力*400%|r攻击伤害|n|n|Cff00ff7f点击消耗2500金币进行晋阶挑战</v>
      </c>
      <c r="L7" s="27"/>
      <c r="M7" s="170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9" t="str">
        <f t="shared" ref="J8:J23" si="4">H8</f>
        <v>|Cff00FF7F[武器]鱼肠剑lv1|r</v>
      </c>
      <c r="K8" s="16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70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9" t="str">
        <f t="shared" si="4"/>
        <v>|Cff00FF7F[武器]鱼肠剑lv2|r</v>
      </c>
      <c r="K9" s="16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70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9" t="str">
        <f t="shared" si="4"/>
        <v>|Cff00FF7F[武器]鱼肠剑lv3|r</v>
      </c>
      <c r="K10" s="16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70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9" t="str">
        <f t="shared" si="4"/>
        <v>|Cff00FF7F[武器]鱼肠剑lv4|r</v>
      </c>
      <c r="K11" s="16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70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9" t="str">
        <f t="shared" si="4"/>
        <v>|Cff00FF7F[武器]鱼肠剑lv5|r</v>
      </c>
      <c r="K12" s="169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70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9" t="str">
        <f t="shared" si="4"/>
        <v>|Cff00BFFF[武器]太阿剑lv1|r</v>
      </c>
      <c r="K13" s="16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70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9" t="str">
        <f t="shared" si="4"/>
        <v>|Cff00BFFF[武器]太阿剑lv2|r</v>
      </c>
      <c r="K14" s="16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70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9" t="str">
        <f t="shared" si="4"/>
        <v>|Cff00BFFF[武器]太阿剑lv3|r</v>
      </c>
      <c r="K15" s="16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70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9" t="str">
        <f t="shared" si="4"/>
        <v>|Cff00BFFF[武器]太阿剑lv4|r</v>
      </c>
      <c r="K16" s="16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70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9" t="str">
        <f t="shared" si="4"/>
        <v>|Cff00BFFF[武器]太阿剑lv5|r</v>
      </c>
      <c r="K17" s="169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70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9" t="str">
        <f t="shared" ref="J18:J22" si="6">H18</f>
        <v>|CffBF00FF[武器]湛卢剑lv1|r</v>
      </c>
      <c r="K18" s="16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70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9" t="str">
        <f t="shared" si="6"/>
        <v>|CffBF00FF[武器]湛卢剑lv2|r</v>
      </c>
      <c r="K19" s="16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70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9" t="str">
        <f t="shared" si="6"/>
        <v>|CffBF00FF[武器]湛卢剑lv3|r</v>
      </c>
      <c r="K20" s="16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70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9" t="str">
        <f t="shared" si="6"/>
        <v>|CffBF00FF[武器]湛卢剑lv4|r</v>
      </c>
      <c r="K21" s="16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70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9" t="str">
        <f t="shared" si="6"/>
        <v>|CffBF00FF[武器]湛卢剑lv5|r</v>
      </c>
      <c r="K22" s="169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70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9" t="str">
        <f t="shared" si="4"/>
        <v>|CffFFC926[武器]轩辕剑lv1|r</v>
      </c>
      <c r="K23" s="16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70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9" t="str">
        <f t="shared" ref="J24:J40" si="8">H24</f>
        <v>|CffFFC926[武器]轩辕剑lv2|r</v>
      </c>
      <c r="K24" s="16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70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9" t="str">
        <f t="shared" si="8"/>
        <v>|CffFFC926[武器]轩辕剑lv3|r</v>
      </c>
      <c r="K25" s="16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70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9" t="str">
        <f t="shared" si="8"/>
        <v>|CffFFC926[武器]轩辕剑lv4|r</v>
      </c>
      <c r="K26" s="16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70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7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9" t="str">
        <f t="shared" si="8"/>
        <v>|CffFFC926[武器]轩辕剑lv5|r</v>
      </c>
      <c r="K27" s="169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70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7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9" t="str">
        <f t="shared" si="8"/>
        <v>|CffFF0000[武器]太极八卦剑lv1|r</v>
      </c>
      <c r="K28" s="16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70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7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9" t="str">
        <f t="shared" si="8"/>
        <v>|CffFF0000[武器]太极八卦剑lv2|r</v>
      </c>
      <c r="K29" s="16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70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7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9" t="str">
        <f t="shared" si="8"/>
        <v>|CffFF0000[武器]太极八卦剑lv3|r</v>
      </c>
      <c r="K30" s="16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70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7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9" t="str">
        <f t="shared" si="8"/>
        <v>|CffFF0000[武器]太极八卦剑lv4|r</v>
      </c>
      <c r="K31" s="16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70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7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9" t="str">
        <f t="shared" si="8"/>
        <v>|CffFF0000[武器]太极八卦剑lv5|r</v>
      </c>
      <c r="K32" s="169" t="str">
        <f t="shared" si="9"/>
        <v>|Cffbbbbbb属性：|r|n攻击+600000|n攻速+60%|n吸血+12%|n|n攻击|Cffffc92610%|r概率附加|Cffffc926业力*400%|r攻击伤害|n</v>
      </c>
      <c r="L32" s="27"/>
      <c r="M32" s="170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/>
    </row>
    <row r="33" spans="1:42">
      <c r="A33" s="167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9" t="str">
        <f t="shared" si="8"/>
        <v>[饰品]青珑挂珠lv1</v>
      </c>
      <c r="K33" s="169" t="str">
        <f t="shared" si="9"/>
        <v>|Cffbbbbbb属性：|r|n攻击+250|n业力+1000|n生命值+5000|n|n|Cff00ff7f击杀200只怪有50%概率升级|r</v>
      </c>
      <c r="L33" s="27"/>
      <c r="M33" s="170" t="str">
        <f>VLOOKUP(LEFT(RIGHT(B33,5),4),物品!B:CU,20,FALSE)</f>
        <v>ReplaceableTextures\\CommandButtons\\BTNZ06.blp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2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>
        <f>VLOOKUP(B33,物品!B33:D61,3,FALSE)</f>
        <v>200</v>
      </c>
      <c r="AO33" s="27"/>
      <c r="AP33" s="27"/>
    </row>
    <row r="34" spans="1:42">
      <c r="A34" s="167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9" t="str">
        <f t="shared" si="8"/>
        <v>[饰品]青珑挂珠lv2</v>
      </c>
      <c r="K34" s="169" t="str">
        <f t="shared" si="9"/>
        <v>|Cffbbbbbb属性：|r|n攻击+500|n业力+2000|n生命值+10000|n|n|Cff00ff7f击杀200只怪有50%概率升级|r</v>
      </c>
      <c r="L34" s="27"/>
      <c r="M34" s="170" t="str">
        <f>VLOOKUP(LEFT(RIGHT(B34,5),4),物品!B:CU,20,FALSE)</f>
        <v>ReplaceableTextures\\CommandButtons\\BTNZ06.blp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2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>
        <f>VLOOKUP(B34,物品!B34:D62,3,FALSE)</f>
        <v>200</v>
      </c>
      <c r="AO34" s="27"/>
      <c r="AP34" s="27"/>
    </row>
    <row r="35" spans="1:42">
      <c r="A35" s="167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9" t="str">
        <f t="shared" si="8"/>
        <v>[饰品]青珑挂珠lv3</v>
      </c>
      <c r="K35" s="169" t="str">
        <f t="shared" si="9"/>
        <v>|Cffbbbbbb属性：|r|n攻击+750|n业力+3000|n生命值+15000|n|n|Cff00ff7f击杀200只怪有50%概率升级|r</v>
      </c>
      <c r="L35" s="27"/>
      <c r="M35" s="170" t="str">
        <f>VLOOKUP(LEFT(RIGHT(B35,5),4),物品!B:CU,20,FALSE)</f>
        <v>ReplaceableTextures\\CommandButtons\\BTNZ06.blp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2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>
        <f>VLOOKUP(B35,物品!B35:D63,3,FALSE)</f>
        <v>200</v>
      </c>
      <c r="AO35" s="27"/>
      <c r="AP35" s="27"/>
    </row>
    <row r="36" spans="1:42">
      <c r="A36" s="167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9" t="str">
        <f t="shared" si="8"/>
        <v>[饰品]青珑挂珠lv4</v>
      </c>
      <c r="K36" s="169" t="str">
        <f t="shared" si="9"/>
        <v>|Cffbbbbbb属性：|r|n攻击+1000|n业力+4000|n生命值+20000|n|n|Cff00ff7f击杀200只怪有50%概率升级|r</v>
      </c>
      <c r="L36" s="27"/>
      <c r="M36" s="170" t="str">
        <f>VLOOKUP(LEFT(RIGHT(B36,5),4),物品!B:CU,20,FALSE)</f>
        <v>ReplaceableTextures\\CommandButtons\\BTNZ06.blp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2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>
        <f>VLOOKUP(B36,物品!B36:D64,3,FALSE)</f>
        <v>200</v>
      </c>
      <c r="AO36" s="27"/>
      <c r="AP36" s="27"/>
    </row>
    <row r="37" spans="1:42">
      <c r="A37" s="167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9" t="str">
        <f t="shared" si="8"/>
        <v>[饰品]青珑挂珠lv5</v>
      </c>
      <c r="K37" s="169" t="str">
        <f t="shared" si="9"/>
        <v>|Cffbbbbbb属性：|r|n攻击+1250|n业力+5000|n生命值+25000|n|n|Cff00ff7f击杀300只怪有50%概率升级|r</v>
      </c>
      <c r="L37" s="27"/>
      <c r="M37" s="170" t="str">
        <f>VLOOKUP(LEFT(RIGHT(B37,5),4),物品!B:CU,20,FALSE)</f>
        <v>ReplaceableTextures\\CommandButtons\\BTNZ06.blp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2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>
        <f>VLOOKUP(B37,物品!B37:D65,3,FALSE)</f>
        <v>300</v>
      </c>
      <c r="AO37" s="27"/>
      <c r="AP37" s="27"/>
    </row>
    <row r="38" spans="1:42">
      <c r="A38" s="167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9" t="str">
        <f t="shared" si="8"/>
        <v>|Cff00FF7F[饰品]紫晶坠子lv1|r</v>
      </c>
      <c r="K38" s="169" t="str">
        <f t="shared" si="9"/>
        <v>|Cffbbbbbb属性：|r|n攻击+2000|n业力+8000|n生命值+40000|n暴击+4%|n|n|Cff00ff7f击杀250只怪有50%概率升级|r</v>
      </c>
      <c r="L38" s="27"/>
      <c r="M38" s="170" t="str">
        <f>VLOOKUP(LEFT(RIGHT(B38,5),4),物品!B:CU,20,FALSE)</f>
        <v>ReplaceableTextures\\CommandButtons\\BTNZ07.blp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250</v>
      </c>
      <c r="AO38" s="27"/>
      <c r="AP38" s="27"/>
    </row>
    <row r="39" spans="1:42">
      <c r="A39" s="167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9" t="str">
        <f t="shared" si="8"/>
        <v>|Cff00FF7F[饰品]紫晶坠子lv2|r</v>
      </c>
      <c r="K39" s="169" t="str">
        <f t="shared" si="9"/>
        <v>|Cffbbbbbb属性：|r|n攻击+2500|n业力+10000|n生命值+50000|n暴击+4%|n|n|Cff00ff7f击杀250只怪有50%概率升级|r</v>
      </c>
      <c r="L39" s="27"/>
      <c r="M39" s="170" t="str">
        <f>VLOOKUP(LEFT(RIGHT(B39,5),4),物品!B:CU,20,FALSE)</f>
        <v>ReplaceableTextures\\CommandButtons\\BTNZ07.blp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250</v>
      </c>
      <c r="AO39" s="27"/>
      <c r="AP39" s="27"/>
    </row>
    <row r="40" spans="1:42">
      <c r="A40" s="167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9" t="str">
        <f t="shared" si="8"/>
        <v>|Cff00FF7F[饰品]紫晶坠子lv3|r</v>
      </c>
      <c r="K40" s="169" t="str">
        <f t="shared" si="9"/>
        <v>|Cffbbbbbb属性：|r|n攻击+3000|n业力+12000|n生命值+60000|n暴击+4%|n|n|Cff00ff7f击杀250只怪有50%概率升级|r</v>
      </c>
      <c r="L40" s="27"/>
      <c r="M40" s="170" t="str">
        <f>VLOOKUP(LEFT(RIGHT(B40,5),4),物品!B:CU,20,FALSE)</f>
        <v>ReplaceableTextures\\CommandButtons\\BTNZ07.blp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VLOOKUP(B40,物品!B40:D68,3,FALSE)</f>
        <v>250</v>
      </c>
      <c r="AO40" s="27"/>
      <c r="AP40" s="27"/>
    </row>
    <row r="41" spans="1:42">
      <c r="A41" s="167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9" t="str">
        <f t="shared" ref="J41:J63" si="10">H41</f>
        <v>|Cff00FF7F[饰品]紫晶坠子lv4|r</v>
      </c>
      <c r="K41" s="169" t="str">
        <f t="shared" ref="K41:K63" si="11">I41</f>
        <v>|Cffbbbbbb属性：|r|n攻击+3500|n业力+14000|n生命值+70000|n暴击+4%|n|n|Cff00ff7f击杀250只怪有50%概率升级|r</v>
      </c>
      <c r="L41" s="27"/>
      <c r="M41" s="170" t="str">
        <f>VLOOKUP(LEFT(RIGHT(B41,5),4),物品!B:CU,20,FALSE)</f>
        <v>ReplaceableTextures\\CommandButtons\\BTNZ07.blp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VLOOKUP(B41,物品!B41:D69,3,FALSE)</f>
        <v>250</v>
      </c>
      <c r="AO41" s="27"/>
      <c r="AP41" s="27"/>
    </row>
    <row r="42" spans="1:42">
      <c r="A42" s="167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9" t="str">
        <f t="shared" si="10"/>
        <v>|Cff00FF7F[饰品]紫晶坠子lv5|r</v>
      </c>
      <c r="K42" s="169" t="str">
        <f t="shared" si="11"/>
        <v>|Cffbbbbbb属性：|r|n攻击+4000|n业力+16000|n生命值+80000|n暴击+4%|n|n|Cff00ff7f击杀400只怪有50%概率升级|r</v>
      </c>
      <c r="L42" s="27"/>
      <c r="M42" s="170" t="str">
        <f>VLOOKUP(LEFT(RIGHT(B42,5),4),物品!B:CU,20,FALSE)</f>
        <v>ReplaceableTextures\\CommandButtons\\BTNZ07.blp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VLOOKUP(B42,物品!B42:D70,3,FALSE)</f>
        <v>400</v>
      </c>
      <c r="AO42" s="27"/>
      <c r="AP42" s="27"/>
    </row>
    <row r="43" spans="1:42">
      <c r="A43" s="167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9" t="str">
        <f t="shared" si="10"/>
        <v>|Cff00BFFF[饰品]三才项圈lv1|r</v>
      </c>
      <c r="K43" s="169" t="str">
        <f t="shared" si="11"/>
        <v>|Cffbbbbbb属性：|r|n攻击+6000|n业力+24000|n生命值+120000|n暴击+6%|n|n|Cff00ff7f击杀350只怪有50%概率升级|r</v>
      </c>
      <c r="L43" s="27"/>
      <c r="M43" s="170" t="str">
        <f>VLOOKUP(LEFT(RIGHT(B43,5),4),物品!B:CU,20,FALSE)</f>
        <v>ReplaceableTextures\\CommandButtons\\BTNZ08.blp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VLOOKUP(B43,物品!B43:D71,3,FALSE)</f>
        <v>350</v>
      </c>
      <c r="AO43" s="27"/>
      <c r="AP43" s="27"/>
    </row>
    <row r="44" spans="1:42">
      <c r="A44" s="167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9" t="str">
        <f t="shared" si="10"/>
        <v>|Cff00BFFF[饰品]三才项圈lv2|r</v>
      </c>
      <c r="K44" s="169" t="str">
        <f t="shared" si="11"/>
        <v>|Cffbbbbbb属性：|r|n攻击+7000|n业力+28000|n生命值+140000|n暴击+6%|n|n|Cff00ff7f击杀350只怪有50%概率升级|r</v>
      </c>
      <c r="L44" s="27"/>
      <c r="M44" s="170" t="str">
        <f>VLOOKUP(LEFT(RIGHT(B44,5),4),物品!B:CU,20,FALSE)</f>
        <v>ReplaceableTextures\\CommandButtons\\BTNZ08.blp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VLOOKUP(B44,物品!B44:D72,3,FALSE)</f>
        <v>350</v>
      </c>
      <c r="AO44" s="27"/>
      <c r="AP44" s="27"/>
    </row>
    <row r="45" spans="1:42">
      <c r="A45" s="167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9" t="str">
        <f t="shared" si="10"/>
        <v>|Cff00BFFF[饰品]三才项圈lv3|r</v>
      </c>
      <c r="K45" s="169" t="str">
        <f t="shared" si="11"/>
        <v>|Cffbbbbbb属性：|r|n攻击+8000|n业力+32000|n生命值+160000|n暴击+6%|n|n|Cff00ff7f击杀350只怪有50%概率升级|r</v>
      </c>
      <c r="L45" s="27"/>
      <c r="M45" s="170" t="str">
        <f>VLOOKUP(LEFT(RIGHT(B45,5),4),物品!B:CU,20,FALSE)</f>
        <v>ReplaceableTextures\\CommandButtons\\BTNZ08.blp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VLOOKUP(B45,物品!B45:D73,3,FALSE)</f>
        <v>350</v>
      </c>
      <c r="AO45" s="27"/>
      <c r="AP45" s="27"/>
    </row>
    <row r="46" spans="1:42">
      <c r="A46" s="167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9" t="str">
        <f t="shared" si="10"/>
        <v>|Cff00BFFF[饰品]三才项圈lv4|r</v>
      </c>
      <c r="K46" s="169" t="str">
        <f t="shared" si="11"/>
        <v>|Cffbbbbbb属性：|r|n攻击+10000|n业力+40000|n生命值+200000|n暴击+6%|n|n|Cff00ff7f击杀350只怪有50%概率升级|r</v>
      </c>
      <c r="L46" s="27"/>
      <c r="M46" s="170" t="str">
        <f>VLOOKUP(LEFT(RIGHT(B46,5),4),物品!B:CU,20,FALSE)</f>
        <v>ReplaceableTextures\\CommandButtons\\BTNZ08.blp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VLOOKUP(B46,物品!B46:D74,3,FALSE)</f>
        <v>350</v>
      </c>
      <c r="AO46" s="27"/>
      <c r="AP46" s="27"/>
    </row>
    <row r="47" spans="1:42">
      <c r="A47" s="167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9" t="str">
        <f t="shared" si="10"/>
        <v>|Cff00BFFF[饰品]三才项圈lv5|r</v>
      </c>
      <c r="K47" s="169" t="str">
        <f t="shared" si="11"/>
        <v>|Cffbbbbbb属性：|r|n攻击+12000|n业力+48000|n生命值+240000|n暴击+6%|n|n|Cff00ff7f击杀600只怪有50%概率升级|r</v>
      </c>
      <c r="L47" s="27"/>
      <c r="M47" s="170" t="str">
        <f>VLOOKUP(LEFT(RIGHT(B47,5),4),物品!B:CU,20,FALSE)</f>
        <v>ReplaceableTextures\\CommandButtons\\BTNZ08.blp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VLOOKUP(B47,物品!B47:D75,3,FALSE)</f>
        <v>600</v>
      </c>
      <c r="AO47" s="27"/>
      <c r="AP47" s="27"/>
    </row>
    <row r="48" spans="1:42">
      <c r="A48" s="167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9" t="str">
        <f t="shared" ref="J48:J52" si="12">H48</f>
        <v>|CffBF00FF[饰品]化龙护符lv1|r</v>
      </c>
      <c r="K48" s="169" t="str">
        <f t="shared" ref="K48:K52" si="13">I48</f>
        <v>|Cffbbbbbb属性：|r|n攻击+18000|n业力+72000|n生命值+360000|n暴击+8%|n|n|Cff00ff7f击杀500只怪有50%概率升级|r</v>
      </c>
      <c r="L48" s="27"/>
      <c r="M48" s="170" t="str">
        <f>VLOOKUP(LEFT(RIGHT(B48,5),4),物品!B:CU,20,FALSE)</f>
        <v>ReplaceableTextures\\CommandButtons\\BTNZ24.blp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VLOOKUP(B48,物品!B48:D76,3,FALSE)</f>
        <v>500</v>
      </c>
      <c r="AO48" s="27"/>
      <c r="AP48" s="27"/>
    </row>
    <row r="49" spans="1:42">
      <c r="A49" s="167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9" t="str">
        <f t="shared" si="12"/>
        <v>|CffBF00FF[饰品]化龙护符lv2|r</v>
      </c>
      <c r="K49" s="169" t="str">
        <f t="shared" si="13"/>
        <v>|Cffbbbbbb属性：|r|n攻击+21000|n业力+84000|n生命值+420000|n暴击+8%|n|n|Cff00ff7f击杀500只怪有50%概率升级|r</v>
      </c>
      <c r="L49" s="27"/>
      <c r="M49" s="170" t="str">
        <f>VLOOKUP(LEFT(RIGHT(B49,5),4),物品!B:CU,20,FALSE)</f>
        <v>ReplaceableTextures\\CommandButtons\\BTNZ24.blp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VLOOKUP(B49,物品!B49:D77,3,FALSE)</f>
        <v>500</v>
      </c>
      <c r="AO49" s="27"/>
      <c r="AP49" s="27"/>
    </row>
    <row r="50" spans="1:42">
      <c r="A50" s="167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9" t="str">
        <f t="shared" si="12"/>
        <v>|CffBF00FF[饰品]化龙护符lv3|r</v>
      </c>
      <c r="K50" s="169" t="str">
        <f t="shared" si="13"/>
        <v>|Cffbbbbbb属性：|r|n攻击+24000|n业力+96000|n生命值+480000|n暴击+8%|n|n|Cff00ff7f击杀500只怪有50%概率升级|r</v>
      </c>
      <c r="L50" s="27"/>
      <c r="M50" s="170" t="str">
        <f>VLOOKUP(LEFT(RIGHT(B50,5),4),物品!B:CU,20,FALSE)</f>
        <v>ReplaceableTextures\\CommandButtons\\BTNZ24.blp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VLOOKUP(B50,物品!B50:D78,3,FALSE)</f>
        <v>500</v>
      </c>
      <c r="AO50" s="27"/>
      <c r="AP50" s="27"/>
    </row>
    <row r="51" spans="1:42">
      <c r="A51" s="167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9" t="str">
        <f t="shared" si="12"/>
        <v>|CffBF00FF[饰品]化龙护符lv4|r</v>
      </c>
      <c r="K51" s="169" t="str">
        <f t="shared" si="13"/>
        <v>|Cffbbbbbb属性：|r|n攻击+27000|n业力+108000|n生命值+540000|n暴击+8%|n|n|Cff00ff7f击杀500只怪有50%概率升级|r</v>
      </c>
      <c r="L51" s="27"/>
      <c r="M51" s="170" t="str">
        <f>VLOOKUP(LEFT(RIGHT(B51,5),4),物品!B:CU,20,FALSE)</f>
        <v>ReplaceableTextures\\CommandButtons\\BTNZ24.blp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VLOOKUP(B51,物品!B51:D79,3,FALSE)</f>
        <v>500</v>
      </c>
      <c r="AO51" s="27"/>
      <c r="AP51" s="27"/>
    </row>
    <row r="52" spans="1:42">
      <c r="A52" s="167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9" t="str">
        <f t="shared" si="12"/>
        <v>|CffBF00FF[饰品]化龙护符lv5|r</v>
      </c>
      <c r="K52" s="169" t="str">
        <f t="shared" si="13"/>
        <v>|Cffbbbbbb属性：|r|n攻击+30000|n业力+120000|n生命值+600000|n暴击+8%|n|n|Cff00ff7f击杀800只怪有50%概率升级|r</v>
      </c>
      <c r="L52" s="27"/>
      <c r="M52" s="170" t="str">
        <f>VLOOKUP(LEFT(RIGHT(B52,5),4),物品!B:CU,20,FALSE)</f>
        <v>ReplaceableTextures\\CommandButtons\\BTNZ24.blp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VLOOKUP(B52,物品!B52:D80,3,FALSE)</f>
        <v>800</v>
      </c>
      <c r="AO52" s="27"/>
      <c r="AP52" s="27"/>
    </row>
    <row r="53" spans="1:42">
      <c r="A53" s="167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9" t="str">
        <f t="shared" si="10"/>
        <v>|CffFFC926[饰品]秘魔灵珠lv1|r</v>
      </c>
      <c r="K53" s="169" t="str">
        <f t="shared" si="11"/>
        <v>|Cffbbbbbb属性：|r|n攻击+40000|n业力+160000|n生命值+800000|n暴击+10%|n|n|Cff00ff7f击杀800只怪有50%概率升级|r</v>
      </c>
      <c r="L53" s="27"/>
      <c r="M53" s="170" t="str">
        <f>VLOOKUP(LEFT(RIGHT(B53,5),4),物品!B:CU,20,FALSE)</f>
        <v>ReplaceableTextures\\CommandButtons\\BTNZ09.blp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VLOOKUP(B53,物品!B53:D76,3,FALSE)</f>
        <v>800</v>
      </c>
      <c r="AO53" s="27"/>
      <c r="AP53" s="27"/>
    </row>
    <row r="54" spans="1:42">
      <c r="A54" s="167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9" t="str">
        <f t="shared" si="10"/>
        <v>|CffFFC926[饰品]秘魔灵珠lv2|r</v>
      </c>
      <c r="K54" s="169" t="str">
        <f t="shared" si="11"/>
        <v>|Cffbbbbbb属性：|r|n攻击+45000|n业力+180000|n生命值+900000|n暴击+10%|n|n|Cff00ff7f击杀800只怪有50%概率升级|r</v>
      </c>
      <c r="L54" s="27"/>
      <c r="M54" s="170" t="str">
        <f>VLOOKUP(LEFT(RIGHT(B54,5),4),物品!B:CU,20,FALSE)</f>
        <v>ReplaceableTextures\\CommandButtons\\BTNZ09.blp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VLOOKUP(B54,物品!B54:D77,3,FALSE)</f>
        <v>800</v>
      </c>
      <c r="AO54" s="27"/>
      <c r="AP54" s="27"/>
    </row>
    <row r="55" spans="1:42">
      <c r="A55" s="167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9" t="str">
        <f t="shared" si="10"/>
        <v>|CffFFC926[饰品]秘魔灵珠lv3|r</v>
      </c>
      <c r="K55" s="169" t="str">
        <f t="shared" si="11"/>
        <v>|Cffbbbbbb属性：|r|n攻击+50000|n业力+200000|n生命值+1000000|n暴击+10%|n|n|Cff00ff7f击杀800只怪有50%概率升级|r</v>
      </c>
      <c r="L55" s="27"/>
      <c r="M55" s="170" t="str">
        <f>VLOOKUP(LEFT(RIGHT(B55,5),4),物品!B:CU,20,FALSE)</f>
        <v>ReplaceableTextures\\CommandButtons\\BTNZ09.blp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VLOOKUP(B55,物品!B55:D83,3,FALSE)</f>
        <v>800</v>
      </c>
      <c r="AO55" s="27"/>
      <c r="AP55" s="27"/>
    </row>
    <row r="56" spans="1:42">
      <c r="A56" s="167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9" t="str">
        <f t="shared" si="10"/>
        <v>|CffFFC926[饰品]秘魔灵珠lv4|r</v>
      </c>
      <c r="K56" s="169" t="str">
        <f t="shared" si="11"/>
        <v>|Cffbbbbbb属性：|r|n攻击+55000|n业力+220000|n生命值+1100000|n暴击+10%|n|n|Cff00ff7f击杀800只怪有50%概率升级|r</v>
      </c>
      <c r="L56" s="27"/>
      <c r="M56" s="170" t="str">
        <f>VLOOKUP(LEFT(RIGHT(B56,5),4),物品!B:CU,20,FALSE)</f>
        <v>ReplaceableTextures\\CommandButtons\\BTNZ09.blp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VLOOKUP(B56,物品!B56:D84,3,FALSE)</f>
        <v>800</v>
      </c>
      <c r="AO56" s="27"/>
      <c r="AP56" s="27"/>
    </row>
    <row r="57" spans="1:42">
      <c r="A57" s="167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9" t="str">
        <f t="shared" si="10"/>
        <v>|CffFFC926[饰品]秘魔灵珠lv5|r</v>
      </c>
      <c r="K57" s="169" t="str">
        <f t="shared" si="11"/>
        <v>|Cffbbbbbb属性：|r|n攻击+60000|n业力+240000|n生命值+1200000|n暴击+10%|n|n|Cff00ff7f击杀1200只怪有50%概率升级|r</v>
      </c>
      <c r="L57" s="27"/>
      <c r="M57" s="170" t="str">
        <f>VLOOKUP(LEFT(RIGHT(B57,5),4),物品!B:CU,20,FALSE)</f>
        <v>ReplaceableTextures\\CommandButtons\\BTNZ09.blp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VLOOKUP(B57,物品!B57:D85,3,FALSE)</f>
        <v>1200</v>
      </c>
      <c r="AO57" s="27"/>
      <c r="AP57" s="27"/>
    </row>
    <row r="58" spans="1:42">
      <c r="A58" s="167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9" t="str">
        <f t="shared" si="10"/>
        <v>|CffFF0000[饰品]流光绝影lv1|r</v>
      </c>
      <c r="K58" s="169" t="str">
        <f t="shared" si="11"/>
        <v>|Cffbbbbbb属性：|r|n攻击+90000|n业力+360000|n生命值+1800000|n暴击+12%|n|n|Cff00ff7f击杀1200只怪有50%概率升级|r</v>
      </c>
      <c r="L58" s="27"/>
      <c r="M58" s="170" t="str">
        <f>VLOOKUP(LEFT(RIGHT(B58,5),4),物品!B:CU,20,FALSE)</f>
        <v>ReplaceableTextures\\CommandButtons\\BTNZ10.blp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1200</v>
      </c>
      <c r="AO58" s="27"/>
      <c r="AP58" s="27"/>
    </row>
    <row r="59" spans="1:42">
      <c r="A59" s="167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9" t="str">
        <f t="shared" si="10"/>
        <v>|CffFF0000[饰品]流光绝影lv2|r</v>
      </c>
      <c r="K59" s="169" t="str">
        <f t="shared" si="11"/>
        <v>|Cffbbbbbb属性：|r|n攻击+105000|n业力+420000|n生命值+2100000|n暴击+12%|n|n|Cff00ff7f击杀1200只怪有50%概率升级|r</v>
      </c>
      <c r="L59" s="27"/>
      <c r="M59" s="170" t="str">
        <f>VLOOKUP(LEFT(RIGHT(B59,5),4),物品!B:CU,20,FALSE)</f>
        <v>ReplaceableTextures\\CommandButtons\\BTNZ10.blp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1200</v>
      </c>
      <c r="AO59" s="27"/>
      <c r="AP59" s="27"/>
    </row>
    <row r="60" spans="1:42">
      <c r="A60" s="167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9" t="str">
        <f t="shared" si="10"/>
        <v>|CffFF0000[饰品]流光绝影lv3|r</v>
      </c>
      <c r="K60" s="169" t="str">
        <f t="shared" si="11"/>
        <v>|Cffbbbbbb属性：|r|n攻击+120000|n业力+480000|n生命值+2400000|n暴击+12%|n|n|Cff00ff7f击杀1200只怪有50%概率升级|r</v>
      </c>
      <c r="L60" s="27"/>
      <c r="M60" s="170" t="str">
        <f>VLOOKUP(LEFT(RIGHT(B60,5),4),物品!B:CU,20,FALSE)</f>
        <v>ReplaceableTextures\\CommandButtons\\BTNZ10.blp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VLOOKUP(B60,物品!B60:D88,3,FALSE)</f>
        <v>1200</v>
      </c>
      <c r="AO60" s="27"/>
      <c r="AP60" s="27"/>
    </row>
    <row r="61" spans="1:42">
      <c r="A61" s="167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9" t="str">
        <f t="shared" si="10"/>
        <v>|CffFF0000[饰品]流光绝影lv4|r</v>
      </c>
      <c r="K61" s="169" t="str">
        <f t="shared" si="11"/>
        <v>|Cffbbbbbb属性：|r|n攻击+135000|n业力+540000|n生命值+2700000|n暴击+12%|n|n|Cff00ff7f击杀1200只怪有50%概率升级|r</v>
      </c>
      <c r="L61" s="27"/>
      <c r="M61" s="170" t="str">
        <f>VLOOKUP(LEFT(RIGHT(B61,5),4),物品!B:CU,20,FALSE)</f>
        <v>ReplaceableTextures\\CommandButtons\\BTNZ10.blp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VLOOKUP(B61,物品!B61:D89,3,FALSE)</f>
        <v>1200</v>
      </c>
      <c r="AO61" s="27"/>
      <c r="AP61" s="27"/>
    </row>
    <row r="62" spans="1:42">
      <c r="A62" s="167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9" t="str">
        <f t="shared" si="10"/>
        <v>|CffFF0000[饰品]流光绝影lv5|r</v>
      </c>
      <c r="K62" s="169" t="str">
        <f t="shared" si="11"/>
        <v>|Cffbbbbbb属性：|r|n攻击+150000|n业力+600000|n生命值+3000000|n暴击+12%|n</v>
      </c>
      <c r="L62" s="27"/>
      <c r="M62" s="170" t="str">
        <f>VLOOKUP(LEFT(RIGHT(B62,5),4),物品!B:CU,20,FALSE)</f>
        <v>ReplaceableTextures\\CommandButtons\\BTNZ10.blp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/>
      <c r="AO62" s="27"/>
      <c r="AP62" s="27"/>
    </row>
    <row r="63" spans="1:42">
      <c r="A63" s="167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9" t="str">
        <f t="shared" si="10"/>
        <v>[防具]贤者道袍lv1</v>
      </c>
      <c r="K63" s="169" t="str">
        <f t="shared" si="11"/>
        <v>|Cffbbbbbb属性：|r|n生命值+20000|n生命回复+500|n|n|Cff00ff7f点击消耗800金币进行强化|n成功率100%</v>
      </c>
      <c r="L63" s="27"/>
      <c r="M63" s="170" t="str">
        <f>VLOOKUP(LEFT(RIGHT(B63,5),4),物品!B:CU,20,FALSE)</f>
        <v>ReplaceableTextures\\CommandButtons\\BTNZ11.blp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3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/>
      <c r="AO63" s="27"/>
      <c r="AP63" s="27">
        <v>1</v>
      </c>
    </row>
    <row r="64" spans="1:42">
      <c r="A64" s="167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9" t="str">
        <f t="shared" ref="J64:J68" si="14">H64</f>
        <v>[防具]贤者道袍lv2</v>
      </c>
      <c r="K64" s="169" t="str">
        <f t="shared" ref="K64:K68" si="15">I64</f>
        <v>|Cffbbbbbb属性：|r|n生命值+40000|n生命回复+1000|n|n|Cff00ff7f点击消耗800金币进行强化|n成功率100%</v>
      </c>
      <c r="L64" s="27"/>
      <c r="M64" s="170" t="str">
        <f>VLOOKUP(LEFT(RIGHT(B64,5),4),物品!B:CU,20,FALSE)</f>
        <v>ReplaceableTextures\\CommandButtons\\BTNZ11.blp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3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/>
      <c r="AO64" s="27"/>
      <c r="AP64" s="27">
        <v>1</v>
      </c>
    </row>
    <row r="65" spans="1:42">
      <c r="A65" s="167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9" t="str">
        <f t="shared" si="14"/>
        <v>[防具]贤者道袍lv3</v>
      </c>
      <c r="K65" s="169" t="str">
        <f t="shared" si="15"/>
        <v>|Cffbbbbbb属性：|r|n生命值+60000|n生命回复+1500|n|n|Cff00ff7f点击消耗800金币进行强化|n成功率100%</v>
      </c>
      <c r="L65" s="27"/>
      <c r="M65" s="170" t="str">
        <f>VLOOKUP(LEFT(RIGHT(B65,5),4),物品!B:CU,20,FALSE)</f>
        <v>ReplaceableTextures\\CommandButtons\\BTNZ11.blp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3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/>
      <c r="AO65" s="27"/>
      <c r="AP65" s="27">
        <v>1</v>
      </c>
    </row>
    <row r="66" spans="1:42">
      <c r="A66" s="167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9" t="str">
        <f t="shared" si="14"/>
        <v>[防具]贤者道袍lv4</v>
      </c>
      <c r="K66" s="169" t="str">
        <f t="shared" si="15"/>
        <v>|Cffbbbbbb属性：|r|n生命值+80000|n生命回复+2000|n|n|Cff00ff7f点击消耗800金币进行强化|n成功率100%</v>
      </c>
      <c r="L66" s="27"/>
      <c r="M66" s="170" t="str">
        <f>VLOOKUP(LEFT(RIGHT(B66,5),4),物品!B:CU,20,FALSE)</f>
        <v>ReplaceableTextures\\CommandButtons\\BTNZ11.blp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3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/>
      <c r="AO66" s="27"/>
      <c r="AP66" s="27">
        <v>1</v>
      </c>
    </row>
    <row r="67" spans="1:42">
      <c r="A67" s="167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9" t="str">
        <f t="shared" si="14"/>
        <v>[防具]贤者道袍lv5</v>
      </c>
      <c r="K67" s="169" t="str">
        <f t="shared" si="15"/>
        <v>|Cffbbbbbb属性：|r|n生命值+100000|n生命回复+2500|n|n|Cff00ff7f点击消耗2500金币进行晋阶挑战</v>
      </c>
      <c r="L67" s="27"/>
      <c r="M67" s="170" t="str">
        <f>VLOOKUP(LEFT(RIGHT(B67,5),4),物品!B:CU,20,FALSE)</f>
        <v>ReplaceableTextures\\CommandButtons\\BTNZ11.blp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3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>
        <v>1</v>
      </c>
    </row>
    <row r="68" spans="1:42">
      <c r="A68" s="167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9" t="str">
        <f t="shared" si="14"/>
        <v>|Cff00FF7F[防具]珊瑚玉衣lv1|r</v>
      </c>
      <c r="K68" s="169" t="str">
        <f t="shared" si="15"/>
        <v>|Cffbbbbbb属性：|r|n护甲+50|n生命值+160000|n生命回复+4000|n|n|Cff00ff7f点击消耗2500金币进行强化|n成功率85%</v>
      </c>
      <c r="L68" s="27"/>
      <c r="M68" s="170" t="str">
        <f>VLOOKUP(LEFT(RIGHT(B68,5),4),物品!B:CU,20,FALSE)</f>
        <v>ReplaceableTextures\\CommandButtons\\BTNZ12.blp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3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>
        <v>1</v>
      </c>
    </row>
    <row r="69" spans="1:42">
      <c r="A69" s="167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9" t="str">
        <f t="shared" ref="J69:J72" si="16">H69</f>
        <v>|Cff00FF7F[防具]珊瑚玉衣lv2|r</v>
      </c>
      <c r="K69" s="169" t="str">
        <f t="shared" ref="K69:K72" si="17">I69</f>
        <v>|Cffbbbbbb属性：|r|n护甲+50|n生命值+200000|n生命回复+5000|n|n|Cff00ff7f点击消耗2500金币进行强化|n成功率85%</v>
      </c>
      <c r="L69" s="27"/>
      <c r="M69" s="170" t="str">
        <f>VLOOKUP(LEFT(RIGHT(B69,5),4),物品!B:CU,20,FALSE)</f>
        <v>ReplaceableTextures\\CommandButtons\\BTNZ12.blp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3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>
        <v>1</v>
      </c>
    </row>
    <row r="70" spans="1:42">
      <c r="A70" s="167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9" t="str">
        <f t="shared" si="16"/>
        <v>|Cff00FF7F[防具]珊瑚玉衣lv3|r</v>
      </c>
      <c r="K70" s="169" t="str">
        <f t="shared" si="17"/>
        <v>|Cffbbbbbb属性：|r|n护甲+50|n生命值+240000|n生命回复+6000|n|n|Cff00ff7f点击消耗2500金币进行强化|n成功率85%</v>
      </c>
      <c r="L70" s="27"/>
      <c r="M70" s="170" t="str">
        <f>VLOOKUP(LEFT(RIGHT(B70,5),4),物品!B:CU,20,FALSE)</f>
        <v>ReplaceableTextures\\CommandButtons\\BTNZ12.blp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3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>
        <v>1</v>
      </c>
    </row>
    <row r="71" spans="1:42">
      <c r="A71" s="167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9" t="str">
        <f t="shared" si="16"/>
        <v>|Cff00FF7F[防具]珊瑚玉衣lv4|r</v>
      </c>
      <c r="K71" s="169" t="str">
        <f t="shared" si="17"/>
        <v>|Cffbbbbbb属性：|r|n护甲+50|n生命值+280000|n生命回复+7000|n|n|Cff00ff7f点击消耗2500金币进行强化|n成功率85%</v>
      </c>
      <c r="L71" s="27"/>
      <c r="M71" s="170" t="str">
        <f>VLOOKUP(LEFT(RIGHT(B71,5),4),物品!B:CU,20,FALSE)</f>
        <v>ReplaceableTextures\\CommandButtons\\BTNZ12.blp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3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>
        <v>1</v>
      </c>
    </row>
    <row r="72" spans="1:42">
      <c r="A72" s="167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9" t="str">
        <f t="shared" si="16"/>
        <v>|Cff00FF7F[防具]珊瑚玉衣lv5|r</v>
      </c>
      <c r="K72" s="169" t="str">
        <f t="shared" si="17"/>
        <v>|Cffbbbbbb属性：|r|n护甲+50|n生命值+320000|n生命回复+8000|n|n|Cff00ff7f点击消耗8000金币进行晋阶挑战</v>
      </c>
      <c r="L72" s="27"/>
      <c r="M72" s="170" t="str">
        <f>VLOOKUP(LEFT(RIGHT(B72,5),4),物品!B:CU,20,FALSE)</f>
        <v>ReplaceableTextures\\CommandButtons\\BTNZ12.blp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3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>
        <v>1</v>
      </c>
    </row>
    <row r="73" spans="1:42">
      <c r="A73" s="167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9" t="str">
        <f t="shared" ref="J73:J92" si="18">H73</f>
        <v>|Cff00BFFF[防具]圣谕披风lv1|r</v>
      </c>
      <c r="K73" s="169" t="str">
        <f t="shared" ref="K73:K92" si="19">I73</f>
        <v>|Cffbbbbbb属性：|r|n护甲+100|n生命值+480000|n生命回复+12000|n|n|Cff00ff7f点击消耗6000金币进行强化|n成功率80%</v>
      </c>
      <c r="L73" s="27"/>
      <c r="M73" s="170" t="str">
        <f>VLOOKUP(LEFT(RIGHT(B73,5),4),物品!B:CU,20,FALSE)</f>
        <v>ReplaceableTextures\\CommandButtons\\BTNZ13.blp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7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9" t="str">
        <f t="shared" si="18"/>
        <v>|Cff00BFFF[防具]圣谕披风lv2|r</v>
      </c>
      <c r="K74" s="169" t="str">
        <f t="shared" si="19"/>
        <v>|Cffbbbbbb属性：|r|n护甲+100|n生命值+560000|n生命回复+14000|n|n|Cff00ff7f点击消耗6000金币进行强化|n成功率80%</v>
      </c>
      <c r="L74" s="27"/>
      <c r="M74" s="170" t="str">
        <f>VLOOKUP(LEFT(RIGHT(B74,5),4),物品!B:CU,20,FALSE)</f>
        <v>ReplaceableTextures\\CommandButtons\\BTNZ13.blp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7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9" t="str">
        <f t="shared" si="18"/>
        <v>|Cff00BFFF[防具]圣谕披风lv3|r</v>
      </c>
      <c r="K75" s="169" t="str">
        <f t="shared" si="19"/>
        <v>|Cffbbbbbb属性：|r|n护甲+100|n生命值+640000|n生命回复+16000|n|n|Cff00ff7f点击消耗6000金币进行强化|n成功率80%</v>
      </c>
      <c r="L75" s="27"/>
      <c r="M75" s="170" t="str">
        <f>VLOOKUP(LEFT(RIGHT(B75,5),4),物品!B:CU,20,FALSE)</f>
        <v>ReplaceableTextures\\CommandButtons\\BTNZ13.blp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7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9" t="str">
        <f t="shared" si="18"/>
        <v>|Cff00BFFF[防具]圣谕披风lv4|r</v>
      </c>
      <c r="K76" s="169" t="str">
        <f t="shared" si="19"/>
        <v>|Cffbbbbbb属性：|r|n护甲+100|n生命值+800000|n生命回复+20000|n|n|Cff00ff7f点击消耗6000金币进行强化|n成功率80%</v>
      </c>
      <c r="L76" s="27"/>
      <c r="M76" s="170" t="str">
        <f>VLOOKUP(LEFT(RIGHT(B76,5),4),物品!B:CU,20,FALSE)</f>
        <v>ReplaceableTextures\\CommandButtons\\BTNZ13.blp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7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9" t="str">
        <f t="shared" si="18"/>
        <v>|Cff00BFFF[防具]圣谕披风lv5|r</v>
      </c>
      <c r="K77" s="169" t="str">
        <f t="shared" si="19"/>
        <v>|Cffbbbbbb属性：|r|n护甲+100|n生命值+960000|n生命回复+24000|n|n|Cff00ff7f点击消耗20000金币进行晋阶挑战</v>
      </c>
      <c r="L77" s="27"/>
      <c r="M77" s="170" t="str">
        <f>VLOOKUP(LEFT(RIGHT(B77,5),4),物品!B:CU,20,FALSE)</f>
        <v>ReplaceableTextures\\CommandButtons\\BTNZ13.blp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7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9" t="str">
        <f t="shared" ref="J78:J82" si="20">H78</f>
        <v>|CffBF00FF[防具]幻灵护甲lv1|r</v>
      </c>
      <c r="K78" s="169" t="str">
        <f t="shared" ref="K78:K82" si="21">I78</f>
        <v>|Cffbbbbbb属性：|r|n护甲+150|n生命值+1440000|n生命回复+36000|n|n|Cff00ff7f点击消耗10000金币进行强化|n成功率70%</v>
      </c>
      <c r="L78" s="27"/>
      <c r="M78" s="170" t="str">
        <f>VLOOKUP(LEFT(RIGHT(B78,5),4),物品!B:CU,20,FALSE)</f>
        <v>ReplaceableTextures\\CommandButtons\\BTNZ23.blp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7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9" t="str">
        <f t="shared" si="20"/>
        <v>|CffBF00FF[防具]幻灵护甲lv2|r</v>
      </c>
      <c r="K79" s="169" t="str">
        <f t="shared" si="21"/>
        <v>|Cffbbbbbb属性：|r|n护甲+150|n生命值+1680000|n生命回复+42000|n|n|Cff00ff7f点击消耗10000金币进行强化|n成功率70%</v>
      </c>
      <c r="L79" s="27"/>
      <c r="M79" s="170" t="str">
        <f>VLOOKUP(LEFT(RIGHT(B79,5),4),物品!B:CU,20,FALSE)</f>
        <v>ReplaceableTextures\\CommandButtons\\BTNZ23.blp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7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9" t="str">
        <f t="shared" si="20"/>
        <v>|CffBF00FF[防具]幻灵护甲lv3|r</v>
      </c>
      <c r="K80" s="169" t="str">
        <f t="shared" si="21"/>
        <v>|Cffbbbbbb属性：|r|n护甲+150|n生命值+1920000|n生命回复+48000|n|n|Cff00ff7f点击消耗10000金币进行强化|n成功率70%</v>
      </c>
      <c r="L80" s="27"/>
      <c r="M80" s="170" t="str">
        <f>VLOOKUP(LEFT(RIGHT(B80,5),4),物品!B:CU,20,FALSE)</f>
        <v>ReplaceableTextures\\CommandButtons\\BTNZ23.blp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7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9" t="str">
        <f t="shared" si="20"/>
        <v>|CffBF00FF[防具]幻灵护甲lv4|r</v>
      </c>
      <c r="K81" s="169" t="str">
        <f t="shared" si="21"/>
        <v>|Cffbbbbbb属性：|r|n护甲+150|n生命值+2160000|n生命回复+54000|n|n|Cff00ff7f点击消耗10000金币进行强化|n成功率70%</v>
      </c>
      <c r="L81" s="27"/>
      <c r="M81" s="170" t="str">
        <f>VLOOKUP(LEFT(RIGHT(B81,5),4),物品!B:CU,20,FALSE)</f>
        <v>ReplaceableTextures\\CommandButtons\\BTNZ23.blp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7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9" t="str">
        <f t="shared" si="20"/>
        <v>|CffBF00FF[防具]幻灵护甲lv5|r</v>
      </c>
      <c r="K82" s="169" t="str">
        <f t="shared" si="21"/>
        <v>|Cffbbbbbb属性：|r|n护甲+150|n生命值+2400000|n生命回复+60000|n|n|Cff00ff7f点击消耗30000金币进行晋阶挑战</v>
      </c>
      <c r="L82" s="27"/>
      <c r="M82" s="170" t="str">
        <f>VLOOKUP(LEFT(RIGHT(B82,5),4),物品!B:CU,20,FALSE)</f>
        <v>ReplaceableTextures\\CommandButtons\\BTNZ23.blp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7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9" t="str">
        <f t="shared" si="18"/>
        <v>|CffFFC926[防具]乾坤护心甲lv1|r</v>
      </c>
      <c r="K83" s="169" t="str">
        <f t="shared" si="19"/>
        <v>|Cffbbbbbb属性：|r|n护甲+200|n生命值+3200000|n生命回复+80000|n|n|Cff00ff7f点击消耗20000金币进行强化|n成功率60%</v>
      </c>
      <c r="L83" s="27"/>
      <c r="M83" s="170" t="str">
        <f>VLOOKUP(LEFT(RIGHT(B83,5),4),物品!B:CU,20,FALSE)</f>
        <v>ReplaceableTextures\\CommandButtons\\BTNZ14.blp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7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9" t="str">
        <f t="shared" si="18"/>
        <v>|CffFFC926[防具]乾坤护心甲lv2|r</v>
      </c>
      <c r="K84" s="169" t="str">
        <f t="shared" si="19"/>
        <v>|Cffbbbbbb属性：|r|n护甲+200|n生命值+3600000|n生命回复+90000|n|n|Cff00ff7f点击消耗20000金币进行强化|n成功率60%</v>
      </c>
      <c r="L84" s="27"/>
      <c r="M84" s="170" t="str">
        <f>VLOOKUP(LEFT(RIGHT(B84,5),4),物品!B:CU,20,FALSE)</f>
        <v>ReplaceableTextures\\CommandButtons\\BTNZ14.blp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7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9" t="str">
        <f t="shared" si="18"/>
        <v>|CffFFC926[防具]乾坤护心甲lv3|r</v>
      </c>
      <c r="K85" s="169" t="str">
        <f t="shared" si="19"/>
        <v>|Cffbbbbbb属性：|r|n护甲+200|n生命值+4000000|n生命回复+100000|n|n|Cff00ff7f点击消耗20000金币进行强化|n成功率60%</v>
      </c>
      <c r="L85" s="27"/>
      <c r="M85" s="170" t="str">
        <f>VLOOKUP(LEFT(RIGHT(B85,5),4),物品!B:CU,20,FALSE)</f>
        <v>ReplaceableTextures\\CommandButtons\\BTNZ14.blp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7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9" t="str">
        <f t="shared" si="18"/>
        <v>|CffFFC926[防具]乾坤护心甲lv4|r</v>
      </c>
      <c r="K86" s="169" t="str">
        <f t="shared" si="19"/>
        <v>|Cffbbbbbb属性：|r|n护甲+200|n生命值+4400000|n生命回复+110000|n|n|Cff00ff7f点击消耗20000金币进行强化|n成功率60%</v>
      </c>
      <c r="L86" s="27"/>
      <c r="M86" s="170" t="str">
        <f>VLOOKUP(LEFT(RIGHT(B86,5),4),物品!B:CU,20,FALSE)</f>
        <v>ReplaceableTextures\\CommandButtons\\BTNZ14.blp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7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9" t="str">
        <f t="shared" si="18"/>
        <v>|CffFFC926[防具]乾坤护心甲lv5|r</v>
      </c>
      <c r="K87" s="169" t="str">
        <f t="shared" si="19"/>
        <v>|Cffbbbbbb属性：|r|n护甲+200|n生命值+4800000|n生命回复+120000|n|n|Cff00ff7f点击消耗50000金币进行晋阶挑战</v>
      </c>
      <c r="L87" s="27"/>
      <c r="M87" s="170" t="str">
        <f>VLOOKUP(LEFT(RIGHT(B87,5),4),物品!B:CU,20,FALSE)</f>
        <v>ReplaceableTextures\\CommandButtons\\BTNZ14.blp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7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9" t="str">
        <f t="shared" si="18"/>
        <v>|CffFF0000[防具]九龙黄金甲lv1|r</v>
      </c>
      <c r="K88" s="169" t="str">
        <f t="shared" si="19"/>
        <v>|Cffbbbbbb属性：|r|n护甲+300|n生命值+7200000|n生命回复+180000|n|n|Cff00ff7f点击消耗30000金币进行强化|n成功率50%</v>
      </c>
      <c r="L88" s="27"/>
      <c r="M88" s="170" t="str">
        <f>VLOOKUP(LEFT(RIGHT(B88,5),4),物品!B:CU,20,FALSE)</f>
        <v>ReplaceableTextures\\CommandButtons\\BTNZ15.blp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7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9" t="str">
        <f t="shared" si="18"/>
        <v>|CffFF0000[防具]九龙黄金甲lv2|r</v>
      </c>
      <c r="K89" s="169" t="str">
        <f t="shared" si="19"/>
        <v>|Cffbbbbbb属性：|r|n护甲+300|n生命值+8400000|n生命回复+210000|n|n|Cff00ff7f点击消耗30000金币进行强化|n成功率50%</v>
      </c>
      <c r="L89" s="27"/>
      <c r="M89" s="170" t="str">
        <f>VLOOKUP(LEFT(RIGHT(B89,5),4),物品!B:CU,20,FALSE)</f>
        <v>ReplaceableTextures\\CommandButtons\\BTNZ15.blp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7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9" t="str">
        <f t="shared" si="18"/>
        <v>|CffFF0000[防具]九龙黄金甲lv3|r</v>
      </c>
      <c r="K90" s="169" t="str">
        <f t="shared" si="19"/>
        <v>|Cffbbbbbb属性：|r|n护甲+300|n生命值+9600000|n生命回复+240000|n|n|Cff00ff7f点击消耗30000金币进行强化|n成功率50%</v>
      </c>
      <c r="L90" s="27"/>
      <c r="M90" s="170" t="str">
        <f>VLOOKUP(LEFT(RIGHT(B90,5),4),物品!B:CU,20,FALSE)</f>
        <v>ReplaceableTextures\\CommandButtons\\BTNZ15.blp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7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9" t="str">
        <f t="shared" si="18"/>
        <v>|CffFF0000[防具]九龙黄金甲lv4|r</v>
      </c>
      <c r="K91" s="169" t="str">
        <f t="shared" si="19"/>
        <v>|Cffbbbbbb属性：|r|n护甲+300|n生命值+10800000|n生命回复+270000|n|n|Cff00ff7f点击消耗30000金币进行强化|n成功率50%</v>
      </c>
      <c r="L91" s="27"/>
      <c r="M91" s="170" t="str">
        <f>VLOOKUP(LEFT(RIGHT(B91,5),4),物品!B:CU,20,FALSE)</f>
        <v>ReplaceableTextures\\CommandButtons\\BTNZ15.blp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7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9" t="str">
        <f t="shared" si="18"/>
        <v>|CffFF0000[防具]九龙黄金甲lv5|r</v>
      </c>
      <c r="K92" s="169" t="str">
        <f t="shared" si="19"/>
        <v>|Cffbbbbbb属性：|r|n护甲+300|n生命值+12000000|n生命回复+300000|n</v>
      </c>
      <c r="L92" s="27"/>
      <c r="M92" s="170" t="str">
        <f>VLOOKUP(LEFT(RIGHT(B92,5),4),物品!B:CU,20,FALSE)</f>
        <v>ReplaceableTextures\\CommandButtons\\BTNZ15.blp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/>
    </row>
    <row r="93" spans="1:42">
      <c r="A93" s="167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9" t="str">
        <f t="shared" ref="J93" si="22">H93</f>
        <v>低级道果【1】</v>
      </c>
      <c r="K93" s="169" t="str">
        <f t="shared" ref="K93" si="23">I93</f>
        <v>|Cffbbbbbb属性：|r|n攻击+5000|n业力+4000|n生命值+100000|n生命回复+2000|n攻击伤害+9%|n技能伤害+8%|n</v>
      </c>
      <c r="L93" s="27"/>
      <c r="M93" s="170" t="str">
        <f>VLOOKUP(LEFT(RIGHT(B93,5),4),物品!B:CU,20,FALSE)</f>
        <v>ReplaceableTextures\\CommandButtons\\BTNOrbOfFrost.blp</v>
      </c>
      <c r="N93" s="188" t="s">
        <v>83</v>
      </c>
      <c r="O93" s="170" t="s">
        <v>87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/>
      <c r="W93" s="27" t="s">
        <v>88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>
        <v>1</v>
      </c>
      <c r="AJ93" s="27"/>
      <c r="AK93" s="27">
        <v>1</v>
      </c>
      <c r="AL93" s="27">
        <v>1</v>
      </c>
      <c r="AM93" s="188" t="s">
        <v>83</v>
      </c>
      <c r="AN93" s="27">
        <v>1</v>
      </c>
      <c r="AO93" s="27">
        <v>1</v>
      </c>
      <c r="AP93" s="27">
        <v>1</v>
      </c>
    </row>
    <row r="94" spans="1:42">
      <c r="A94" s="167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9" t="str">
        <f t="shared" ref="J94:J97" si="24">H94</f>
        <v>中级道果【2】</v>
      </c>
      <c r="K94" s="169" t="str">
        <f t="shared" ref="K94:K97" si="25">I94</f>
        <v>|Cffbbbbbb属性：|r|n攻击+7500|n业力+6000|n生命值+150000|n生命回复+3000|n攻击伤害+9%|n技能伤害+8%|n</v>
      </c>
      <c r="L94" s="27"/>
      <c r="M94" s="170" t="str">
        <f>VLOOKUP(LEFT(RIGHT(B94,5),4),物品!B:CU,20,FALSE)</f>
        <v>ReplaceableTextures\\CommandButtons\\BTNOrbOfVenom.blp</v>
      </c>
      <c r="N94" s="188" t="s">
        <v>83</v>
      </c>
      <c r="O94" s="170" t="s">
        <v>87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/>
      <c r="W94" s="27" t="s">
        <v>88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>
        <v>1</v>
      </c>
      <c r="AJ94" s="27"/>
      <c r="AK94" s="27">
        <v>1</v>
      </c>
      <c r="AL94" s="27">
        <v>1</v>
      </c>
      <c r="AM94" s="188" t="s">
        <v>83</v>
      </c>
      <c r="AN94" s="27">
        <v>1</v>
      </c>
      <c r="AO94" s="27">
        <v>1</v>
      </c>
      <c r="AP94" s="27">
        <v>1</v>
      </c>
    </row>
    <row r="95" spans="1:42">
      <c r="A95" s="167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9" t="str">
        <f t="shared" si="24"/>
        <v>|Cff00FF7F高级道果【3】|r</v>
      </c>
      <c r="K95" s="169" t="str">
        <f t="shared" si="25"/>
        <v>|Cffbbbbbb属性：|r|n攻击+12500|n业力+10000|n生命值+250000|n生命回复+5000|n攻击伤害+9%|n技能伤害+8%|n</v>
      </c>
      <c r="L95" s="27"/>
      <c r="M95" s="170" t="str">
        <f>VLOOKUP(LEFT(RIGHT(B95,5),4),物品!B:CU,20,FALSE)</f>
        <v>ReplaceableTextures\\CommandButtons\\BTNOrbOfCorruption.blp</v>
      </c>
      <c r="N95" s="188" t="s">
        <v>83</v>
      </c>
      <c r="O95" s="170" t="s">
        <v>89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/>
      <c r="W95" s="27" t="s">
        <v>88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>
        <v>1</v>
      </c>
      <c r="AJ95" s="27"/>
      <c r="AK95" s="27">
        <v>1</v>
      </c>
      <c r="AL95" s="27">
        <v>1</v>
      </c>
      <c r="AM95" s="188" t="s">
        <v>83</v>
      </c>
      <c r="AN95" s="27">
        <v>1</v>
      </c>
      <c r="AO95" s="27">
        <v>1</v>
      </c>
      <c r="AP95" s="27">
        <v>1</v>
      </c>
    </row>
    <row r="96" spans="1:42">
      <c r="A96" s="167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9" t="str">
        <f t="shared" si="24"/>
        <v>|Cff00FF7F黄级道果【4】|r</v>
      </c>
      <c r="K96" s="169" t="str">
        <f t="shared" si="25"/>
        <v>|Cffbbbbbb属性：|r|n攻击+21250|n业力+17000|n生命值+425000|n生命回复+8500|n攻击伤害+18%|n技能伤害+15%|n</v>
      </c>
      <c r="L96" s="27"/>
      <c r="M96" s="170" t="str">
        <f>VLOOKUP(LEFT(RIGHT(B96,5),4),物品!B:CU,20,FALSE)</f>
        <v>ReplaceableTextures\\CommandButtons\\BTNOrbOfFire.blp</v>
      </c>
      <c r="N96" s="188" t="s">
        <v>83</v>
      </c>
      <c r="O96" s="170" t="s">
        <v>89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/>
      <c r="W96" s="27" t="s">
        <v>88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>
        <v>1</v>
      </c>
      <c r="AJ96" s="27"/>
      <c r="AK96" s="27">
        <v>1</v>
      </c>
      <c r="AL96" s="27">
        <v>1</v>
      </c>
      <c r="AM96" s="188" t="s">
        <v>83</v>
      </c>
      <c r="AN96" s="27">
        <v>1</v>
      </c>
      <c r="AO96" s="27">
        <v>1</v>
      </c>
      <c r="AP96" s="27">
        <v>1</v>
      </c>
    </row>
    <row r="97" spans="1:42">
      <c r="A97" s="167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9" t="str">
        <f t="shared" si="24"/>
        <v>|Cff00BFFF玄级道果【5】|r</v>
      </c>
      <c r="K97" s="169" t="str">
        <f t="shared" si="25"/>
        <v>|Cffbbbbbb属性：|r|n攻击+33750|n业力+27000|n生命值+675000|n生命回复+13500|n攻击伤害+18%|n技能伤害+15%|n</v>
      </c>
      <c r="L97" s="27"/>
      <c r="M97" s="170" t="str">
        <f>VLOOKUP(LEFT(RIGHT(B97,5),4),物品!B:CU,20,FALSE)</f>
        <v>ReplaceableTextures\\CommandButtons\\BTNUsedSoulGem.blp</v>
      </c>
      <c r="N97" s="188" t="s">
        <v>83</v>
      </c>
      <c r="O97" s="170" t="s">
        <v>90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/>
      <c r="W97" s="27" t="s">
        <v>88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>
        <v>1</v>
      </c>
      <c r="AJ97" s="27"/>
      <c r="AK97" s="27">
        <v>1</v>
      </c>
      <c r="AL97" s="27">
        <v>1</v>
      </c>
      <c r="AM97" s="188" t="s">
        <v>83</v>
      </c>
      <c r="AN97" s="27">
        <v>1</v>
      </c>
      <c r="AO97" s="27">
        <v>1</v>
      </c>
      <c r="AP97" s="27">
        <v>1</v>
      </c>
    </row>
    <row r="98" spans="1:42">
      <c r="A98" s="167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9" t="str">
        <f t="shared" ref="J98:J132" si="26">H98</f>
        <v>|Cff00BFFF地级道果【6】|r</v>
      </c>
      <c r="K98" s="169" t="str">
        <f t="shared" ref="K98:K132" si="27">I98</f>
        <v>|Cffbbbbbb属性：|r|n攻击+50000|n业力+40000|n生命值+1000000|n生命回复+20000|n攻击伤害+18%|n技能伤害+15%|n</v>
      </c>
      <c r="L98" s="27"/>
      <c r="M98" s="170" t="str">
        <f>VLOOKUP(LEFT(RIGHT(B98,5),4),物品!B:CU,20,FALSE)</f>
        <v>ReplaceableTextures\\CommandButtons\\BTNOrbofSlowness.blp</v>
      </c>
      <c r="N98" s="188" t="s">
        <v>83</v>
      </c>
      <c r="O98" s="170" t="s">
        <v>90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/>
      <c r="W98" s="27" t="s">
        <v>88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>
        <v>1</v>
      </c>
      <c r="AJ98" s="27"/>
      <c r="AK98" s="27">
        <v>1</v>
      </c>
      <c r="AL98" s="27">
        <v>1</v>
      </c>
      <c r="AM98" s="188" t="s">
        <v>83</v>
      </c>
      <c r="AN98" s="27">
        <v>1</v>
      </c>
      <c r="AO98" s="27">
        <v>1</v>
      </c>
      <c r="AP98" s="27">
        <v>1</v>
      </c>
    </row>
    <row r="99" spans="1:42">
      <c r="A99" s="167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9" t="str">
        <f t="shared" si="26"/>
        <v>|CffFFC926天级道果【7】|r</v>
      </c>
      <c r="K99" s="169" t="str">
        <f t="shared" si="27"/>
        <v>|Cffbbbbbb属性：|r|n攻击+72500|n业力+58000|n生命值+1450000|n生命回复+29000|n攻击伤害+24%|n技能伤害+20%|n</v>
      </c>
      <c r="L99" s="27"/>
      <c r="M99" s="170" t="str">
        <f>VLOOKUP(LEFT(RIGHT(B99,5),4),物品!B:CU,20,FALSE)</f>
        <v>ReplaceableTextures\\CommandButtons\\BTNOrbOfLightning.blp</v>
      </c>
      <c r="N99" s="188" t="s">
        <v>83</v>
      </c>
      <c r="O99" s="170" t="s">
        <v>91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/>
      <c r="W99" s="27" t="s">
        <v>88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>
        <v>1</v>
      </c>
      <c r="AJ99" s="27"/>
      <c r="AK99" s="27">
        <v>1</v>
      </c>
      <c r="AL99" s="27">
        <v>1</v>
      </c>
      <c r="AM99" s="188" t="s">
        <v>83</v>
      </c>
      <c r="AN99" s="27">
        <v>1</v>
      </c>
      <c r="AO99" s="27">
        <v>1</v>
      </c>
      <c r="AP99" s="27">
        <v>1</v>
      </c>
    </row>
    <row r="100" spans="1:42">
      <c r="A100" s="167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9" t="str">
        <f t="shared" si="26"/>
        <v>|CffFFC926仙品道果【8】|r</v>
      </c>
      <c r="K100" s="169" t="str">
        <f t="shared" si="27"/>
        <v>|Cffbbbbbb属性：|r|n攻击+102500|n业力+82000|n生命值+2050000|n生命回复+41000|n攻击伤害+24%|n技能伤害+20%|n</v>
      </c>
      <c r="L100" s="27"/>
      <c r="M100" s="170" t="str">
        <f>VLOOKUP(LEFT(RIGHT(B100,5),4),物品!B:CU,20,FALSE)</f>
        <v>ReplaceableTextures\\CommandButtons\\BTNHeartOfAszune.blp</v>
      </c>
      <c r="N100" s="188" t="s">
        <v>83</v>
      </c>
      <c r="O100" s="170" t="s">
        <v>91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/>
      <c r="W100" s="27" t="s">
        <v>88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>
        <v>1</v>
      </c>
      <c r="AJ100" s="27"/>
      <c r="AK100" s="27">
        <v>1</v>
      </c>
      <c r="AL100" s="27">
        <v>1</v>
      </c>
      <c r="AM100" s="188" t="s">
        <v>83</v>
      </c>
      <c r="AN100" s="27">
        <v>1</v>
      </c>
      <c r="AO100" s="27">
        <v>1</v>
      </c>
      <c r="AP100" s="27">
        <v>1</v>
      </c>
    </row>
    <row r="101" spans="1:42">
      <c r="A101" s="167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9" t="str">
        <f t="shared" si="26"/>
        <v>|CffFF0000至圣道果【9】|r</v>
      </c>
      <c r="K101" s="169" t="str">
        <f t="shared" si="27"/>
        <v>|Cffbbbbbb属性：|r|n攻击+141250|n业力+113000|n生命值+2825000|n生命回复+56500|n攻击伤害+24%|n技能伤害+20%|n</v>
      </c>
      <c r="L101" s="27"/>
      <c r="M101" s="170" t="str">
        <f>VLOOKUP(LEFT(RIGHT(B101,5),4),物品!B:CU,20,FALSE)</f>
        <v>ReplaceableTextures\\CommandButtons\\BTNPhilosophersStone.blp</v>
      </c>
      <c r="N101" s="188" t="s">
        <v>83</v>
      </c>
      <c r="O101" s="170" t="s">
        <v>92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/>
      <c r="W101" s="27" t="s">
        <v>88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>
        <v>1</v>
      </c>
      <c r="AJ101" s="27"/>
      <c r="AK101" s="27">
        <v>1</v>
      </c>
      <c r="AL101" s="27">
        <v>1</v>
      </c>
      <c r="AM101" s="188" t="s">
        <v>83</v>
      </c>
      <c r="AN101" s="27">
        <v>1</v>
      </c>
      <c r="AO101" s="27">
        <v>1</v>
      </c>
      <c r="AP101" s="27">
        <v>1</v>
      </c>
    </row>
    <row r="102" spans="1:42">
      <c r="A102" s="167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9" t="str">
        <f t="shared" si="26"/>
        <v>|CffFF0000混沌道果【10】|r</v>
      </c>
      <c r="K102" s="169" t="str">
        <f t="shared" si="27"/>
        <v>|Cffbbbbbb属性：|r|n攻击+191250|n业力+153000|n生命值+3825000|n生命回复+76500|n攻击伤害+36%|n技能伤害+30%|n</v>
      </c>
      <c r="L102" s="27"/>
      <c r="M102" s="170" t="str">
        <f>VLOOKUP(LEFT(RIGHT(B102,5),4),物品!B:CU,20,FALSE)</f>
        <v>ReplaceableTextures\\CommandButtons\\BTNOrbOfDarkness.blp</v>
      </c>
      <c r="N102" s="188" t="s">
        <v>83</v>
      </c>
      <c r="O102" s="170" t="s">
        <v>92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/>
      <c r="W102" s="27" t="s">
        <v>88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>
        <v>1</v>
      </c>
      <c r="AJ102" s="27"/>
      <c r="AK102" s="27">
        <v>1</v>
      </c>
      <c r="AL102" s="27">
        <v>1</v>
      </c>
      <c r="AM102" s="188" t="s">
        <v>83</v>
      </c>
      <c r="AN102" s="27">
        <v>1</v>
      </c>
      <c r="AO102" s="27">
        <v>1</v>
      </c>
      <c r="AP102" s="27">
        <v>1</v>
      </c>
    </row>
    <row r="103" spans="1:42">
      <c r="A103" s="167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9" t="str">
        <f t="shared" ref="J103:J112" si="28">H103</f>
        <v>完美的低级道果【1】</v>
      </c>
      <c r="K103" s="16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70" t="str">
        <f>VLOOKUP(LEFT(RIGHT(B103,5),4),物品!B:CU,20,FALSE)</f>
        <v>ReplaceableTextures\\CommandButtons\\BTNDG11.blp</v>
      </c>
      <c r="N103" s="188" t="s">
        <v>83</v>
      </c>
      <c r="O103" s="170" t="s">
        <v>87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/>
      <c r="W103" s="27" t="s">
        <v>93</v>
      </c>
      <c r="X103" s="27">
        <v>0</v>
      </c>
      <c r="Y103" s="18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1</v>
      </c>
      <c r="AL103" s="27">
        <v>1</v>
      </c>
      <c r="AM103" s="188" t="s">
        <v>83</v>
      </c>
      <c r="AN103" s="27">
        <v>1</v>
      </c>
      <c r="AO103" s="27">
        <v>1</v>
      </c>
      <c r="AP103" s="27">
        <v>1</v>
      </c>
    </row>
    <row r="104" spans="1:42">
      <c r="A104" s="167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9" t="str">
        <f t="shared" si="28"/>
        <v>完美的中级道果【2】</v>
      </c>
      <c r="K104" s="169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70" t="str">
        <f>VLOOKUP(LEFT(RIGHT(B104,5),4),物品!B:CU,20,FALSE)</f>
        <v>ReplaceableTextures\\CommandButtons\\BTNDG12.blp</v>
      </c>
      <c r="N104" s="188" t="s">
        <v>83</v>
      </c>
      <c r="O104" s="170" t="s">
        <v>87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/>
      <c r="W104" s="27" t="s">
        <v>93</v>
      </c>
      <c r="X104" s="27">
        <v>0</v>
      </c>
      <c r="Y104" s="18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1</v>
      </c>
      <c r="AL104" s="27">
        <v>1</v>
      </c>
      <c r="AM104" s="188" t="s">
        <v>83</v>
      </c>
      <c r="AN104" s="27">
        <v>1</v>
      </c>
      <c r="AO104" s="27">
        <v>1</v>
      </c>
      <c r="AP104" s="27">
        <v>1</v>
      </c>
    </row>
    <row r="105" spans="1:42">
      <c r="A105" s="167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9" t="str">
        <f t="shared" si="28"/>
        <v>|Cff00FF7F完美的高级道果【3】|r</v>
      </c>
      <c r="K105" s="169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70" t="str">
        <f>VLOOKUP(LEFT(RIGHT(B105,5),4),物品!B:CU,20,FALSE)</f>
        <v>ReplaceableTextures\\CommandButtons\\BTNDG13.blp</v>
      </c>
      <c r="N105" s="188" t="s">
        <v>83</v>
      </c>
      <c r="O105" s="170" t="s">
        <v>89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/>
      <c r="W105" s="27" t="s">
        <v>93</v>
      </c>
      <c r="X105" s="27">
        <v>0</v>
      </c>
      <c r="Y105" s="18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1</v>
      </c>
      <c r="AL105" s="27">
        <v>1</v>
      </c>
      <c r="AM105" s="188" t="s">
        <v>83</v>
      </c>
      <c r="AN105" s="27">
        <v>1</v>
      </c>
      <c r="AO105" s="27">
        <v>1</v>
      </c>
      <c r="AP105" s="27">
        <v>1</v>
      </c>
    </row>
    <row r="106" spans="1:42">
      <c r="A106" s="167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9" t="str">
        <f t="shared" si="28"/>
        <v>|Cff00FF7F完美的黄级道果【4】|r</v>
      </c>
      <c r="K106" s="169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70" t="str">
        <f>VLOOKUP(LEFT(RIGHT(B106,5),4),物品!B:CU,20,FALSE)</f>
        <v>ReplaceableTextures\\CommandButtons\\BTNDG14.blp</v>
      </c>
      <c r="N106" s="188" t="s">
        <v>83</v>
      </c>
      <c r="O106" s="170" t="s">
        <v>89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/>
      <c r="W106" s="27" t="s">
        <v>93</v>
      </c>
      <c r="X106" s="27">
        <v>0</v>
      </c>
      <c r="Y106" s="18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1</v>
      </c>
      <c r="AL106" s="27">
        <v>1</v>
      </c>
      <c r="AM106" s="188" t="s">
        <v>83</v>
      </c>
      <c r="AN106" s="27">
        <v>1</v>
      </c>
      <c r="AO106" s="27">
        <v>1</v>
      </c>
      <c r="AP106" s="27">
        <v>1</v>
      </c>
    </row>
    <row r="107" spans="1:42">
      <c r="A107" s="167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9" t="str">
        <f t="shared" si="28"/>
        <v>|Cff00BFFF完美的玄级道果【5】|r</v>
      </c>
      <c r="K107" s="16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70" t="str">
        <f>VLOOKUP(LEFT(RIGHT(B107,5),4),物品!B:CU,20,FALSE)</f>
        <v>ReplaceableTextures\\CommandButtons\\BTNDG15.blp</v>
      </c>
      <c r="N107" s="188" t="s">
        <v>83</v>
      </c>
      <c r="O107" s="170" t="s">
        <v>90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/>
      <c r="W107" s="27" t="s">
        <v>93</v>
      </c>
      <c r="X107" s="27">
        <v>0</v>
      </c>
      <c r="Y107" s="18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1</v>
      </c>
      <c r="AL107" s="27">
        <v>1</v>
      </c>
      <c r="AM107" s="188" t="s">
        <v>83</v>
      </c>
      <c r="AN107" s="27">
        <v>1</v>
      </c>
      <c r="AO107" s="27">
        <v>1</v>
      </c>
      <c r="AP107" s="27">
        <v>1</v>
      </c>
    </row>
    <row r="108" spans="1:42">
      <c r="A108" s="167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9" t="str">
        <f t="shared" si="28"/>
        <v>|Cff00BFFF完美的地级道果【6】|r</v>
      </c>
      <c r="K108" s="16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70" t="str">
        <f>VLOOKUP(LEFT(RIGHT(B108,5),4),物品!B:CU,20,FALSE)</f>
        <v>ReplaceableTextures\\CommandButtons\\BTNDG16.blp</v>
      </c>
      <c r="N108" s="188" t="s">
        <v>83</v>
      </c>
      <c r="O108" s="170" t="s">
        <v>90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93</v>
      </c>
      <c r="X108" s="27">
        <v>0</v>
      </c>
      <c r="Y108" s="188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/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7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9" t="str">
        <f t="shared" si="28"/>
        <v>|CffFFC926完美的天级道果【7】|r</v>
      </c>
      <c r="K109" s="16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70" t="str">
        <f>VLOOKUP(LEFT(RIGHT(B109,5),4),物品!B:CU,20,FALSE)</f>
        <v>ReplaceableTextures\\CommandButtons\\BTNDG17.blp</v>
      </c>
      <c r="N109" s="188" t="s">
        <v>83</v>
      </c>
      <c r="O109" s="170" t="s">
        <v>91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93</v>
      </c>
      <c r="X109" s="27">
        <v>0</v>
      </c>
      <c r="Y109" s="188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/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7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9" t="str">
        <f t="shared" si="28"/>
        <v>|CffFFC926完美的仙品道果【8】|r</v>
      </c>
      <c r="K110" s="16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70" t="str">
        <f>VLOOKUP(LEFT(RIGHT(B110,5),4),物品!B:CU,20,FALSE)</f>
        <v>ReplaceableTextures\\CommandButtons\\BTNDG18.blp</v>
      </c>
      <c r="N110" s="188" t="s">
        <v>83</v>
      </c>
      <c r="O110" s="170" t="s">
        <v>91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93</v>
      </c>
      <c r="X110" s="27">
        <v>0</v>
      </c>
      <c r="Y110" s="188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/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7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9" t="str">
        <f t="shared" si="28"/>
        <v>|CffFF0000完美的至圣道果【9】|r</v>
      </c>
      <c r="K111" s="16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70" t="str">
        <f>VLOOKUP(LEFT(RIGHT(B111,5),4),物品!B:CU,20,FALSE)</f>
        <v>ReplaceableTextures\\CommandButtons\\BTNDG19.blp</v>
      </c>
      <c r="N111" s="188" t="s">
        <v>83</v>
      </c>
      <c r="O111" s="170" t="s">
        <v>92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93</v>
      </c>
      <c r="X111" s="27">
        <v>0</v>
      </c>
      <c r="Y111" s="188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/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7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9" t="str">
        <f t="shared" si="28"/>
        <v>|CffFF0000完美的混沌道果【10】|r</v>
      </c>
      <c r="K112" s="16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70" t="str">
        <f>VLOOKUP(LEFT(RIGHT(B112,5),4),物品!B:CU,20,FALSE)</f>
        <v>ReplaceableTextures\\CommandButtons\\BTNDG20.blp</v>
      </c>
      <c r="N112" s="188" t="s">
        <v>83</v>
      </c>
      <c r="O112" s="170" t="s">
        <v>92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93</v>
      </c>
      <c r="X112" s="27">
        <v>0</v>
      </c>
      <c r="Y112" s="188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/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7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9" t="str">
        <f t="shared" si="26"/>
        <v>低级道果【1】</v>
      </c>
      <c r="K113" s="16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70" t="str">
        <f>VLOOKUP(LEFT(RIGHT(B113,5),4),物品!B:CU,20,FALSE)</f>
        <v>ReplaceableTextures\\CommandButtons\\BTNDG01.blp</v>
      </c>
      <c r="N113" s="188" t="s">
        <v>83</v>
      </c>
      <c r="O113" s="170" t="s">
        <v>87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93</v>
      </c>
      <c r="X113" s="27">
        <v>0</v>
      </c>
      <c r="Y113" s="188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/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7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9" t="str">
        <f t="shared" si="26"/>
        <v>中级道果【2】</v>
      </c>
      <c r="K114" s="16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70" t="str">
        <f>VLOOKUP(LEFT(RIGHT(B114,5),4),物品!B:CU,20,FALSE)</f>
        <v>ReplaceableTextures\\CommandButtons\\BTNDG02.blp</v>
      </c>
      <c r="N114" s="188" t="s">
        <v>83</v>
      </c>
      <c r="O114" s="170" t="s">
        <v>87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93</v>
      </c>
      <c r="X114" s="27">
        <v>0</v>
      </c>
      <c r="Y114" s="188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/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7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9" t="str">
        <f t="shared" ref="J115:J118" si="30">H115</f>
        <v>|Cff00FF7F高级道果【3】|r</v>
      </c>
      <c r="K115" s="16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70" t="str">
        <f>VLOOKUP(LEFT(RIGHT(B115,5),4),物品!B:CU,20,FALSE)</f>
        <v>ReplaceableTextures\\CommandButtons\\BTNDG03.blp</v>
      </c>
      <c r="N115" s="188" t="s">
        <v>83</v>
      </c>
      <c r="O115" s="170" t="s">
        <v>89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93</v>
      </c>
      <c r="X115" s="27">
        <v>0</v>
      </c>
      <c r="Y115" s="188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/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7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9" t="str">
        <f t="shared" si="30"/>
        <v>|Cff00FF7F黄级道果【4】|r</v>
      </c>
      <c r="K116" s="16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70" t="str">
        <f>VLOOKUP(LEFT(RIGHT(B116,5),4),物品!B:CU,20,FALSE)</f>
        <v>ReplaceableTextures\\CommandButtons\\BTNDG04.blp</v>
      </c>
      <c r="N116" s="188" t="s">
        <v>83</v>
      </c>
      <c r="O116" s="170" t="s">
        <v>89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93</v>
      </c>
      <c r="X116" s="27">
        <v>0</v>
      </c>
      <c r="Y116" s="188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/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7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9" t="str">
        <f t="shared" si="30"/>
        <v>|Cff00BFFF玄级道果【5】|r</v>
      </c>
      <c r="K117" s="16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70" t="str">
        <f>VLOOKUP(LEFT(RIGHT(B117,5),4),物品!B:CU,20,FALSE)</f>
        <v>ReplaceableTextures\\CommandButtons\\BTNDG05.blp</v>
      </c>
      <c r="N117" s="188" t="s">
        <v>83</v>
      </c>
      <c r="O117" s="170" t="s">
        <v>90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93</v>
      </c>
      <c r="X117" s="27">
        <v>0</v>
      </c>
      <c r="Y117" s="188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/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7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9" t="str">
        <f t="shared" si="30"/>
        <v>|Cff00BFFF地级道果【6】|r</v>
      </c>
      <c r="K118" s="16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70" t="str">
        <f>VLOOKUP(LEFT(RIGHT(B118,5),4),物品!B:CU,20,FALSE)</f>
        <v>ReplaceableTextures\\CommandButtons\\BTNDG06.blp</v>
      </c>
      <c r="N118" s="188" t="s">
        <v>83</v>
      </c>
      <c r="O118" s="170" t="s">
        <v>90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7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9" t="str">
        <f t="shared" si="26"/>
        <v>|CffFFC926天级道果【7】|r</v>
      </c>
      <c r="K119" s="16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70" t="str">
        <f>VLOOKUP(LEFT(RIGHT(B119,5),4),物品!B:CU,20,FALSE)</f>
        <v>ReplaceableTextures\\CommandButtons\\BTNDG07.blp</v>
      </c>
      <c r="N119" s="188" t="s">
        <v>83</v>
      </c>
      <c r="O119" s="170" t="s">
        <v>91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7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9" t="str">
        <f t="shared" si="26"/>
        <v>|CffFFC926仙品道果【8】|r</v>
      </c>
      <c r="K120" s="16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70" t="str">
        <f>VLOOKUP(LEFT(RIGHT(B120,5),4),物品!B:CU,20,FALSE)</f>
        <v>ReplaceableTextures\\CommandButtons\\BTNDG08.blp</v>
      </c>
      <c r="N120" s="188" t="s">
        <v>83</v>
      </c>
      <c r="O120" s="170" t="s">
        <v>91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7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9" t="str">
        <f t="shared" si="26"/>
        <v>|CffFF0000至圣道果【9】|r</v>
      </c>
      <c r="K121" s="16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70" t="str">
        <f>VLOOKUP(LEFT(RIGHT(B121,5),4),物品!B:CU,20,FALSE)</f>
        <v>ReplaceableTextures\\CommandButtons\\BTNDG09.blp</v>
      </c>
      <c r="N121" s="188" t="s">
        <v>83</v>
      </c>
      <c r="O121" s="170" t="s">
        <v>92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7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9" t="str">
        <f t="shared" si="26"/>
        <v>|CffFF0000混沌道果【10】|r</v>
      </c>
      <c r="K122" s="16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70" t="str">
        <f>VLOOKUP(LEFT(RIGHT(B122,5),4),物品!B:CU,20,FALSE)</f>
        <v>ReplaceableTextures\\CommandButtons\\BTNDG10.blp</v>
      </c>
      <c r="N122" s="188" t="s">
        <v>83</v>
      </c>
      <c r="O122" s="170" t="s">
        <v>92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7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9" t="str">
        <f t="shared" si="26"/>
        <v>|cffffc926高级技能书[主动]|r</v>
      </c>
      <c r="K123" s="169" t="str">
        <f t="shared" si="27"/>
        <v>低概率获得C级技能，高概率获得|Cff00ff7fB级技能|r，低概率获得|Cff2693ffA级技能|r。</v>
      </c>
      <c r="L123" s="27"/>
      <c r="M123" s="170" t="str">
        <f>VLOOKUP(LEFT(RIGHT(B123,5),4),物品!B:CU,20,FALSE)</f>
        <v>ReplaceableTextures\\CommandButtons\\BTN001.blp</v>
      </c>
      <c r="N123" s="188" t="s">
        <v>83</v>
      </c>
      <c r="O123" s="170" t="s">
        <v>94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ht="12" customHeight="1" spans="1:42">
      <c r="A124" s="167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9" t="str">
        <f t="shared" ref="J124:J125" si="32">H124</f>
        <v>|cffffc926符印宝箱|r</v>
      </c>
      <c r="K124" s="169" t="str">
        <f t="shared" ref="K124:K125" si="33">I124</f>
        <v>随机抽取|Cffffd24d3|r个|Cffffd24d符印|r，可以从中任意选择|Cffffd24d1|r个。</v>
      </c>
      <c r="L124" s="27"/>
      <c r="M124" s="170" t="str">
        <f>VLOOKUP(LEFT(RIGHT(B124,5),4),物品!B:CU,20,FALSE)</f>
        <v>ReplaceableTextures\\CommandButtons\\BTNAM24.blp</v>
      </c>
      <c r="N124" s="188" t="s">
        <v>83</v>
      </c>
      <c r="O124" s="170" t="s">
        <v>94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7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9" t="str">
        <f t="shared" si="32"/>
        <v>|cff00ff7f初级技能书[被动]|r</v>
      </c>
      <c r="K125" s="169" t="str">
        <f t="shared" si="33"/>
        <v>高概率获得D级技能，低概率获得|Cff00ff7fC级技能|r</v>
      </c>
      <c r="L125" s="27"/>
      <c r="M125" s="170" t="str">
        <f>VLOOKUP(LEFT(RIGHT(B125,5),4),物品!B:CU,20,FALSE)</f>
        <v>ReplaceableTextures\\CommandButtons\\BTN024.blp</v>
      </c>
      <c r="N125" s="188" t="s">
        <v>83</v>
      </c>
      <c r="O125" s="170" t="s">
        <v>94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ht="12" customHeight="1" spans="1:42">
      <c r="A126" s="167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9" t="str">
        <f t="shared" ref="J126:J127" si="34">H126</f>
        <v>|cff00ff7f中级技能书[主动]|r</v>
      </c>
      <c r="K126" s="169" t="str">
        <f t="shared" ref="K126:K127" si="35">I126</f>
        <v>较高概率获得D级技能，高概率获得|Cff00ff7fC级技能|r，极低概率获得|Cff2693ffB级技能|r。</v>
      </c>
      <c r="L126" s="27"/>
      <c r="M126" s="170" t="str">
        <f>VLOOKUP(LEFT(RIGHT(B126,5),4),物品!B:CU,20,FALSE)</f>
        <v>ReplaceableTextures\\CommandButtons\\BTN020.blp</v>
      </c>
      <c r="N126" s="188" t="s">
        <v>83</v>
      </c>
      <c r="O126" s="170" t="s">
        <v>94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7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9" t="str">
        <f t="shared" si="34"/>
        <v>|cff00ff7f中级技能书[被动]|r</v>
      </c>
      <c r="K127" s="169" t="str">
        <f t="shared" si="35"/>
        <v>较高概率获得D级技能，高概率获得|Cff00ff7fC级技能|r，极低概率获得|Cff2693ffB级技能|r。</v>
      </c>
      <c r="L127" s="27"/>
      <c r="M127" s="170" t="str">
        <f>VLOOKUP(LEFT(RIGHT(B127,5),4),物品!B:CU,20,FALSE)</f>
        <v>ReplaceableTextures\\CommandButtons\\BTN021.blp</v>
      </c>
      <c r="N127" s="188" t="s">
        <v>83</v>
      </c>
      <c r="O127" s="170" t="s">
        <v>94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7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9" t="str">
        <f t="shared" ref="J128" si="36">H128</f>
        <v>|cffffc926高级技能书[被动]|r</v>
      </c>
      <c r="K128" s="169" t="str">
        <f t="shared" ref="K128" si="37">I128</f>
        <v>低概率获得C级技能，高概率获得|Cff00ff7fB级技能|r，低概率获得|Cff2693ffA级技能|r。</v>
      </c>
      <c r="L128" s="27"/>
      <c r="M128" s="170" t="str">
        <f>VLOOKUP(LEFT(RIGHT(B128,5),4),物品!B:CU,20,FALSE)</f>
        <v>ReplaceableTextures\\CommandButtons\\BTN002.blp</v>
      </c>
      <c r="N128" s="188" t="s">
        <v>83</v>
      </c>
      <c r="O128" s="170" t="s">
        <v>94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7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9" t="str">
        <f t="shared" si="26"/>
        <v>|Cff00BFFF技能进阶石【完美】|r</v>
      </c>
      <c r="K129" s="169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70" t="str">
        <f>VLOOKUP(LEFT(RIGHT(B129,5),4),物品!B:CU,20,FALSE)</f>
        <v>ReplaceableTextures\\CommandButtons\\BTNIN05.blp</v>
      </c>
      <c r="N129" s="188" t="s">
        <v>83</v>
      </c>
      <c r="O129" s="170" t="s">
        <v>95</v>
      </c>
      <c r="P129" s="27"/>
      <c r="Q129" s="27"/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88</v>
      </c>
      <c r="X129" s="27">
        <v>0</v>
      </c>
      <c r="Y129" s="188" t="s">
        <v>83</v>
      </c>
      <c r="Z129" s="27">
        <v>0</v>
      </c>
      <c r="AA129" s="27">
        <v>0</v>
      </c>
      <c r="AB129" s="169">
        <v>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>
        <v>1</v>
      </c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7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9" t="str">
        <f t="shared" si="26"/>
        <v>|CffFFD24D品质潜能石【完美】|r</v>
      </c>
      <c r="K130" s="169" t="str">
        <f t="shared" si="27"/>
        <v>购买需求：灵力x20|n|n使用后为指定技能增加1点品质潜力</v>
      </c>
      <c r="L130" s="27"/>
      <c r="M130" s="170" t="str">
        <f>VLOOKUP(LEFT(RIGHT(B130,5),4),物品!B:CU,20,FALSE)</f>
        <v>ReplaceableTextures\\CommandButtons\\BTNIN04.blp</v>
      </c>
      <c r="N130" s="188" t="s">
        <v>83</v>
      </c>
      <c r="O130" s="170" t="s">
        <v>91</v>
      </c>
      <c r="P130" s="27"/>
      <c r="Q130" s="27"/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88</v>
      </c>
      <c r="X130" s="27">
        <v>0</v>
      </c>
      <c r="Y130" s="188" t="s">
        <v>83</v>
      </c>
      <c r="Z130" s="27">
        <v>0</v>
      </c>
      <c r="AA130" s="27">
        <v>0</v>
      </c>
      <c r="AB130" s="169">
        <v>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>
        <v>1</v>
      </c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7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9" t="str">
        <f t="shared" si="26"/>
        <v>|Cff00FF7F技能进阶石【残缺】|r</v>
      </c>
      <c r="K131" s="169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70" t="str">
        <f>VLOOKUP(LEFT(RIGHT(B131,5),4),物品!B:CU,20,FALSE)</f>
        <v>ReplaceableTextures\\CommandButtons\\BTNIN06.blp</v>
      </c>
      <c r="N131" s="188" t="s">
        <v>83</v>
      </c>
      <c r="O131" s="170" t="s">
        <v>96</v>
      </c>
      <c r="P131" s="27"/>
      <c r="Q131" s="27"/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88</v>
      </c>
      <c r="X131" s="27">
        <v>0</v>
      </c>
      <c r="Y131" s="188" t="s">
        <v>83</v>
      </c>
      <c r="Z131" s="27">
        <v>0</v>
      </c>
      <c r="AA131" s="27">
        <v>0</v>
      </c>
      <c r="AB131" s="169">
        <v>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>
        <v>1</v>
      </c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7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9" t="str">
        <f t="shared" si="26"/>
        <v>|CffFFD24D品质潜能石【】|r</v>
      </c>
      <c r="K132" s="169">
        <f t="shared" si="27"/>
        <v>0</v>
      </c>
      <c r="L132" s="27"/>
      <c r="M132" s="170" t="str">
        <f>VLOOKUP(LEFT(RIGHT(B132,5),4),物品!B:CU,20,FALSE)</f>
        <v>ReplaceableTextures\\CommandButtons\\BTNIN04.blp</v>
      </c>
      <c r="N132" s="188" t="s">
        <v>83</v>
      </c>
      <c r="O132" s="170" t="s">
        <v>91</v>
      </c>
      <c r="P132" s="27"/>
      <c r="Q132" s="27"/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88</v>
      </c>
      <c r="X132" s="27">
        <v>0</v>
      </c>
      <c r="Y132" s="188" t="s">
        <v>83</v>
      </c>
      <c r="Z132" s="27">
        <v>0</v>
      </c>
      <c r="AA132" s="27">
        <v>0</v>
      </c>
      <c r="AB132" s="169">
        <v>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>
        <v>1</v>
      </c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7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9" t="str">
        <f t="shared" ref="J133:J134" si="38">H133</f>
        <v>|Cff00BFFF技能进阶石【完美】|r</v>
      </c>
      <c r="K133" s="169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70" t="str">
        <f>VLOOKUP(LEFT(RIGHT(B133,5),4),物品!B:CU,20,FALSE)</f>
        <v>ReplaceableTextures\\CommandButtons\\BTNIN05.blp</v>
      </c>
      <c r="N133" s="188" t="s">
        <v>83</v>
      </c>
      <c r="O133" s="170" t="s">
        <v>95</v>
      </c>
      <c r="P133" s="27">
        <v>1</v>
      </c>
      <c r="Q133" s="27">
        <v>2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169">
        <v>35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7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9" t="str">
        <f t="shared" si="38"/>
        <v>|CffFF0000技能进化石|r</v>
      </c>
      <c r="K134" s="169" t="str">
        <f t="shared" si="39"/>
        <v>使指定的|Cffffc926A级|r技能进化为|Cffff0000S级|r。</v>
      </c>
      <c r="L134" s="27"/>
      <c r="M134" s="170" t="str">
        <f>VLOOKUP(LEFT(RIGHT(B134,5),4),物品!B:CU,20,FALSE)</f>
        <v>ReplaceableTextures\\CommandButtons\\BTNIN04.blp</v>
      </c>
      <c r="N134" s="188" t="s">
        <v>83</v>
      </c>
      <c r="O134" s="170" t="s">
        <v>91</v>
      </c>
      <c r="P134" s="27"/>
      <c r="Q134" s="27"/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169">
        <v>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7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9" t="str">
        <f t="shared" ref="J135" si="40">H135</f>
        <v>|Cff00FF7F技能进阶石【残缺】|r</v>
      </c>
      <c r="K135" s="169" t="str">
        <f t="shared" ref="K135" si="41">I135</f>
        <v>|CffFFC92650%概率|r提升指定技能的|Cffffc926品质|r。|n|n|Cff00ff7f只能对|r|Cffffc926A级|r|Cff00ff7f以下的技能使用。|r</v>
      </c>
      <c r="L135" s="27"/>
      <c r="M135" s="170" t="str">
        <f>VLOOKUP(LEFT(RIGHT(B135,5),4),物品!B:CU,20,FALSE)</f>
        <v>ReplaceableTextures\\CommandButtons\\BTNIN06.blp</v>
      </c>
      <c r="N135" s="188" t="s">
        <v>83</v>
      </c>
      <c r="O135" s="170" t="s">
        <v>96</v>
      </c>
      <c r="P135" s="27">
        <v>0</v>
      </c>
      <c r="Q135" s="27">
        <v>2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169">
        <v>10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7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9" t="str">
        <f t="shared" ref="J136" si="42">H136</f>
        <v>|CffFFD24D品质潜能石【】|r</v>
      </c>
      <c r="K136" s="169">
        <f t="shared" ref="K136" si="43">I136</f>
        <v>0</v>
      </c>
      <c r="L136" s="27"/>
      <c r="M136" s="170" t="str">
        <f>VLOOKUP(LEFT(RIGHT(B136,5),4),物品!B:CU,20,FALSE)</f>
        <v>ReplaceableTextures\\CommandButtons\\BTNIN04.blp</v>
      </c>
      <c r="N136" s="188" t="s">
        <v>83</v>
      </c>
      <c r="O136" s="170" t="s">
        <v>91</v>
      </c>
      <c r="P136" s="27"/>
      <c r="Q136" s="27"/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ht="15" customHeight="1" spans="1:42">
      <c r="A137" s="167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9" t="str">
        <f t="shared" ref="J137" si="44">H137</f>
        <v>随机法宝</v>
      </c>
      <c r="K137" s="169" t="str">
        <f t="shared" ref="K137" si="45">I137</f>
        <v>获得一个随机品质的|Cffffc926法宝|r。</v>
      </c>
      <c r="L137" s="27"/>
      <c r="M137" s="170" t="str">
        <f>VLOOKUP(LEFT(RIGHT(B137,5),4),物品!B:CU,20,FALSE)</f>
        <v>ReplaceableTextures\\CommandButtons\\BTNCF01.blp</v>
      </c>
      <c r="N137" s="188" t="s">
        <v>83</v>
      </c>
      <c r="O137" s="170" t="s">
        <v>98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88</v>
      </c>
      <c r="X137" s="27">
        <v>0</v>
      </c>
      <c r="Y137" s="18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>
        <v>1</v>
      </c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7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9" t="str">
        <f t="shared" ref="J138:J141" si="46">H138</f>
        <v>蛋黄月饼</v>
      </c>
      <c r="K138" s="169" t="str">
        <f t="shared" ref="K138:K141" si="47">I138</f>
        <v>回复|Cffffd24d80%|r生命，|Cff00ff7f解除|r异常状态</v>
      </c>
      <c r="L138" s="27"/>
      <c r="M138" s="170" t="str">
        <f>VLOOKUP(LEFT(RIGHT(B138,5),4),物品!B:CU,20,FALSE)</f>
        <v>ReplaceableTextures\\CommandButtons\\BTNI001.blp</v>
      </c>
      <c r="N138" s="188" t="s">
        <v>83</v>
      </c>
      <c r="O138" s="170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>
      <c r="A139" s="167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9" t="str">
        <f t="shared" si="46"/>
        <v>豆沙月饼</v>
      </c>
      <c r="K139" s="169" t="str">
        <f t="shared" si="47"/>
        <v>暴击|Cffff0000+10%|n|n|r|Cff00ff7f效果持续15秒。|r</v>
      </c>
      <c r="L139" s="27"/>
      <c r="M139" s="170" t="str">
        <f>VLOOKUP(LEFT(RIGHT(B139,5),4),物品!B:CU,20,FALSE)</f>
        <v>ReplaceableTextures\\CommandButtons\\BTNI002.blp</v>
      </c>
      <c r="N139" s="188" t="s">
        <v>83</v>
      </c>
      <c r="O139" s="170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1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7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9" t="str">
        <f t="shared" si="46"/>
        <v>冰皮月饼</v>
      </c>
      <c r="K140" s="169" t="str">
        <f t="shared" si="47"/>
        <v>攻击速度|Cffffd24d+40%|r。|n|n|Cff00ff7f持续15秒。|r</v>
      </c>
      <c r="L140" s="27"/>
      <c r="M140" s="170" t="str">
        <f>VLOOKUP(LEFT(RIGHT(B140,5),4),物品!B:CU,20,FALSE)</f>
        <v>ReplaceableTextures\\CommandButtons\\BTNI003.blp</v>
      </c>
      <c r="N140" s="188" t="s">
        <v>83</v>
      </c>
      <c r="O140" s="170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>
      <c r="A141" s="167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9" t="str">
        <f t="shared" si="46"/>
        <v>果蔬月饼</v>
      </c>
      <c r="K141" s="169" t="str">
        <f t="shared" si="47"/>
        <v>技能伤害提高|Cffffd24d20%|r|Cfff0f0f0。|n|n|r|Cff00ff7f持续15秒。|r</v>
      </c>
      <c r="L141" s="27"/>
      <c r="M141" s="170" t="str">
        <f>VLOOKUP(LEFT(RIGHT(B141,5),4),物品!B:CU,20,FALSE)</f>
        <v>ReplaceableTextures\\CommandButtons\\BTNI004.blp</v>
      </c>
      <c r="N141" s="188" t="s">
        <v>83</v>
      </c>
      <c r="O141" s="170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7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9" t="str">
        <f t="shared" ref="J142:J144" si="48">H142</f>
        <v>鲜肉月饼</v>
      </c>
      <c r="K142" s="169" t="str">
        <f t="shared" ref="K142:K144" si="49">I142</f>
        <v>攻击伤害提高|Cffffd24d20%|r。|n|n|Cff00ff7f持续15秒。|r</v>
      </c>
      <c r="L142" s="27"/>
      <c r="M142" s="170" t="str">
        <f>VLOOKUP(LEFT(RIGHT(B142,5),4),物品!B:CU,20,FALSE)</f>
        <v>ReplaceableTextures\\CommandButtons\\BTNI005.blp</v>
      </c>
      <c r="N142" s="188" t="s">
        <v>83</v>
      </c>
      <c r="O142" s="170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7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9" t="str">
        <f t="shared" ref="J143" si="50">H143</f>
        <v>招魂幡Lv0</v>
      </c>
      <c r="K143" s="169" t="str">
        <f t="shared" ref="K143" si="51">I143</f>
        <v>击杀|Cff00ff7f300个|r敌人后奖励：|n金币|Cffffc926+3000~6000|r|n|n|Cff00ff7f同时只能携带一个招魂幡|r</v>
      </c>
      <c r="L143" s="27"/>
      <c r="M143" s="170" t="str">
        <f>VLOOKUP(LEFT(RIGHT(B143,5),4),物品!B:CU,20,FALSE)</f>
        <v>ReplaceableTextures\\CommandButtons\\BTNZHP1.blp</v>
      </c>
      <c r="N143" s="27">
        <v>0.5</v>
      </c>
      <c r="O143" s="170" t="s">
        <v>99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>
        <v>4</v>
      </c>
      <c r="W143" s="27" t="s">
        <v>85</v>
      </c>
      <c r="X143" s="27">
        <v>0</v>
      </c>
      <c r="Y143" s="188" t="s">
        <v>83</v>
      </c>
      <c r="Z143" s="27">
        <v>0</v>
      </c>
      <c r="AA143" s="27">
        <v>0</v>
      </c>
      <c r="AB143" s="169">
        <v>1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300</v>
      </c>
      <c r="AO143" s="27"/>
      <c r="AP143" s="27"/>
    </row>
    <row r="144" spans="1:42">
      <c r="A144" s="167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9" t="str">
        <f t="shared" si="48"/>
        <v>招魂幡Lv1</v>
      </c>
      <c r="K144" s="169" t="str">
        <f t="shared" si="49"/>
        <v>击杀|Cff00ff7f1000|r个敌人后奖励：|n金币|Cffffc926+7000~12000|r|n经验|Cffffc926+1000|r|n|n|Cff00ff7f同时只能携带一个招魂幡|r</v>
      </c>
      <c r="L144" s="27"/>
      <c r="M144" s="170" t="str">
        <f>VLOOKUP(LEFT(RIGHT(B144,5),4),物品!B:CU,20,FALSE)</f>
        <v>ReplaceableTextures\\CommandButtons\\BTNZHP1.blp</v>
      </c>
      <c r="N144" s="27">
        <v>0.5</v>
      </c>
      <c r="O144" s="170" t="s">
        <v>99</v>
      </c>
      <c r="P144" s="27">
        <v>0</v>
      </c>
      <c r="Q144" s="27">
        <v>0</v>
      </c>
      <c r="R144" s="188" t="s">
        <v>83</v>
      </c>
      <c r="S144" s="188" t="s">
        <v>83</v>
      </c>
      <c r="T144" s="188" t="s">
        <v>83</v>
      </c>
      <c r="U144" s="188" t="s">
        <v>83</v>
      </c>
      <c r="V144" s="27">
        <v>4</v>
      </c>
      <c r="W144" s="27" t="s">
        <v>85</v>
      </c>
      <c r="X144" s="27">
        <v>0</v>
      </c>
      <c r="Y144" s="188" t="s">
        <v>83</v>
      </c>
      <c r="Z144" s="27">
        <v>0</v>
      </c>
      <c r="AA144" s="27">
        <v>0</v>
      </c>
      <c r="AB144" s="169">
        <v>2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/>
      <c r="AJ144" s="27"/>
      <c r="AK144" s="27">
        <v>1</v>
      </c>
      <c r="AL144" s="27">
        <v>1</v>
      </c>
      <c r="AM144" s="188" t="s">
        <v>83</v>
      </c>
      <c r="AN144" s="27">
        <v>1000</v>
      </c>
      <c r="AO144" s="27"/>
      <c r="AP144" s="27"/>
    </row>
    <row r="145" spans="1:42">
      <c r="A145" s="167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9" t="str">
        <f t="shared" ref="J145:J146" si="52">H145</f>
        <v>|Cff00FF7F招魂幡Lv2|r</v>
      </c>
      <c r="K145" s="16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70" t="str">
        <f>VLOOKUP(LEFT(RIGHT(B145,5),4),物品!B:CU,20,FALSE)</f>
        <v>ReplaceableTextures\\CommandButtons\\BTNZHP2.blp</v>
      </c>
      <c r="N145" s="27">
        <v>0.5</v>
      </c>
      <c r="O145" s="170" t="s">
        <v>99</v>
      </c>
      <c r="P145" s="27">
        <v>1</v>
      </c>
      <c r="Q145" s="27">
        <v>0</v>
      </c>
      <c r="R145" s="188" t="s">
        <v>83</v>
      </c>
      <c r="S145" s="188" t="s">
        <v>83</v>
      </c>
      <c r="T145" s="188" t="s">
        <v>83</v>
      </c>
      <c r="U145" s="188" t="s">
        <v>83</v>
      </c>
      <c r="V145" s="27">
        <v>4</v>
      </c>
      <c r="W145" s="27" t="s">
        <v>85</v>
      </c>
      <c r="X145" s="27">
        <v>0</v>
      </c>
      <c r="Y145" s="188" t="s">
        <v>83</v>
      </c>
      <c r="Z145" s="27">
        <v>0</v>
      </c>
      <c r="AA145" s="27">
        <v>0</v>
      </c>
      <c r="AB145" s="169">
        <v>5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/>
      <c r="AJ145" s="27"/>
      <c r="AK145" s="27">
        <v>1</v>
      </c>
      <c r="AL145" s="27">
        <v>1</v>
      </c>
      <c r="AM145" s="188" t="s">
        <v>83</v>
      </c>
      <c r="AN145" s="27">
        <v>1000</v>
      </c>
      <c r="AO145" s="27"/>
      <c r="AP145" s="27"/>
    </row>
    <row r="146" spans="1:42">
      <c r="A146" s="167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9" t="str">
        <f t="shared" si="52"/>
        <v>|Cff00BFFF招魂幡Lv3|r</v>
      </c>
      <c r="K146" s="169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70" t="str">
        <f>VLOOKUP(LEFT(RIGHT(B146,5),4),物品!B:CU,20,FALSE)</f>
        <v>ReplaceableTextures\\CommandButtons\\BTNZHP3.blp</v>
      </c>
      <c r="N146" s="27">
        <v>0.5</v>
      </c>
      <c r="O146" s="170" t="s">
        <v>99</v>
      </c>
      <c r="P146" s="27">
        <v>2</v>
      </c>
      <c r="Q146" s="27">
        <v>0</v>
      </c>
      <c r="R146" s="188" t="s">
        <v>83</v>
      </c>
      <c r="S146" s="188" t="s">
        <v>83</v>
      </c>
      <c r="T146" s="188" t="s">
        <v>83</v>
      </c>
      <c r="U146" s="188" t="s">
        <v>83</v>
      </c>
      <c r="V146" s="27">
        <v>4</v>
      </c>
      <c r="W146" s="27" t="s">
        <v>85</v>
      </c>
      <c r="X146" s="27">
        <v>0</v>
      </c>
      <c r="Y146" s="188" t="s">
        <v>83</v>
      </c>
      <c r="Z146" s="27">
        <v>0</v>
      </c>
      <c r="AA146" s="27">
        <v>0</v>
      </c>
      <c r="AB146" s="169">
        <v>10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/>
      <c r="AJ146" s="27"/>
      <c r="AK146" s="27">
        <v>1</v>
      </c>
      <c r="AL146" s="27">
        <v>1</v>
      </c>
      <c r="AM146" s="188" t="s">
        <v>83</v>
      </c>
      <c r="AN146" s="27">
        <v>1000</v>
      </c>
      <c r="AO146" s="27"/>
      <c r="AP146" s="27"/>
    </row>
    <row r="147" spans="1:42">
      <c r="A147" s="167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9" t="str">
        <f t="shared" ref="J147:J149" si="54">H147</f>
        <v>|CffFFD24D招魂幡Lv4|r</v>
      </c>
      <c r="K147" s="16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70" t="str">
        <f>VLOOKUP(LEFT(RIGHT(B147,5),4),物品!B:CU,20,FALSE)</f>
        <v>ReplaceableTextures\\CommandButtons\\BTNZHP4.blp</v>
      </c>
      <c r="N147" s="27">
        <v>0.5</v>
      </c>
      <c r="O147" s="170" t="s">
        <v>99</v>
      </c>
      <c r="P147" s="27">
        <v>3</v>
      </c>
      <c r="Q147" s="27">
        <v>0</v>
      </c>
      <c r="R147" s="188" t="s">
        <v>83</v>
      </c>
      <c r="S147" s="188" t="s">
        <v>83</v>
      </c>
      <c r="T147" s="188" t="s">
        <v>83</v>
      </c>
      <c r="U147" s="188" t="s">
        <v>83</v>
      </c>
      <c r="V147" s="27">
        <v>4</v>
      </c>
      <c r="W147" s="27" t="s">
        <v>85</v>
      </c>
      <c r="X147" s="27">
        <v>0</v>
      </c>
      <c r="Y147" s="188" t="s">
        <v>83</v>
      </c>
      <c r="Z147" s="27">
        <v>0</v>
      </c>
      <c r="AA147" s="27">
        <v>0</v>
      </c>
      <c r="AB147" s="169">
        <v>20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/>
      <c r="AJ147" s="27"/>
      <c r="AK147" s="27">
        <v>1</v>
      </c>
      <c r="AL147" s="27">
        <v>1</v>
      </c>
      <c r="AM147" s="188" t="s">
        <v>83</v>
      </c>
      <c r="AN147" s="27">
        <v>1000</v>
      </c>
      <c r="AO147" s="27"/>
      <c r="AP147" s="27"/>
    </row>
    <row r="148" spans="1:42">
      <c r="A148" s="167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9" t="str">
        <f t="shared" ref="J148" si="56">H148</f>
        <v>|CffFF0000招魂幡Lv5|r</v>
      </c>
      <c r="K148" s="16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70" t="str">
        <f>VLOOKUP(LEFT(RIGHT(B148,5),4),物品!B:CU,20,FALSE)</f>
        <v>ReplaceableTextures\\CommandButtons\\BTNZHP5.blp</v>
      </c>
      <c r="N148" s="27">
        <v>0.5</v>
      </c>
      <c r="O148" s="170" t="s">
        <v>99</v>
      </c>
      <c r="P148" s="27">
        <v>0</v>
      </c>
      <c r="Q148" s="27">
        <v>0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>
        <v>4</v>
      </c>
      <c r="W148" s="27" t="s">
        <v>85</v>
      </c>
      <c r="X148" s="27">
        <v>0</v>
      </c>
      <c r="Y148" s="188" t="s">
        <v>83</v>
      </c>
      <c r="Z148" s="27">
        <v>0</v>
      </c>
      <c r="AA148" s="27">
        <v>0</v>
      </c>
      <c r="AB148" s="169">
        <v>50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1000</v>
      </c>
      <c r="AO148" s="27"/>
      <c r="AP148" s="27"/>
    </row>
    <row r="149" spans="1:42">
      <c r="A149" s="167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9" t="str">
        <f t="shared" si="54"/>
        <v>|CffFFD24D锦囊|r</v>
      </c>
      <c r="K149" s="169" t="str">
        <f t="shared" si="55"/>
        <v>开启后获得一个|Cffffc926随机锦囊|r。</v>
      </c>
      <c r="L149" s="27"/>
      <c r="M149" s="170" t="str">
        <f>VLOOKUP(LEFT(RIGHT(B149,5),4),物品!B:CU,20,FALSE)</f>
        <v>ReplaceableTextures\\CommandButtons\\BTNIN00.blp</v>
      </c>
      <c r="N149" s="27">
        <v>0.8</v>
      </c>
      <c r="O149" s="170" t="s">
        <v>100</v>
      </c>
      <c r="P149" s="27">
        <v>0</v>
      </c>
      <c r="Q149" s="27">
        <v>0</v>
      </c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7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9" t="str">
        <f t="shared" ref="J150:J152" si="58">H150</f>
        <v>|Cff00BFFF来份快餐|r</v>
      </c>
      <c r="K150" s="169" t="str">
        <f t="shared" ref="K150:K152" si="59">I150</f>
        <v>每秒回复|Cffffc92610%|r生命值，持续|Cffffc92610|r秒</v>
      </c>
      <c r="L150" s="27"/>
      <c r="M150" s="170" t="str">
        <f>VLOOKUP(LEFT(RIGHT(B150,5),4),物品!B:CU,20,FALSE)</f>
        <v>ReplaceableTextures\\CommandButtons\\BTNIN07.blp</v>
      </c>
      <c r="N150" s="27">
        <v>0.8</v>
      </c>
      <c r="O150" s="170" t="s">
        <v>100</v>
      </c>
      <c r="P150" s="27">
        <v>0</v>
      </c>
      <c r="Q150" s="27">
        <v>0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7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9" t="str">
        <f t="shared" si="58"/>
        <v>|CffFF0000抬你一手|r</v>
      </c>
      <c r="K151" s="169" t="str">
        <f t="shared" si="59"/>
        <v>|CffFFC926击杀|r当前存在的|Cffffc926进攻怪|r和|Cffffc926Boss|r。|n|n|Cff00ff7f无法在大决战时使用|r</v>
      </c>
      <c r="L151" s="27"/>
      <c r="M151" s="170" t="str">
        <f>VLOOKUP(LEFT(RIGHT(B151,5),4),物品!B:CU,20,FALSE)</f>
        <v>ReplaceableTextures\\CommandButtons\\BTNIN08.blp</v>
      </c>
      <c r="N151" s="27">
        <v>0.8</v>
      </c>
      <c r="O151" s="170" t="s">
        <v>100</v>
      </c>
      <c r="P151" s="27">
        <v>0</v>
      </c>
      <c r="Q151" s="27">
        <v>0</v>
      </c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7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9" t="str">
        <f t="shared" si="58"/>
        <v>|CffFFC926死者苏生|r</v>
      </c>
      <c r="K152" s="169" t="str">
        <f t="shared" si="59"/>
        <v>死亡时复活。</v>
      </c>
      <c r="L152" s="27"/>
      <c r="M152" s="170" t="str">
        <f>VLOOKUP(LEFT(RIGHT(B152,5),4),物品!B:CU,20,FALSE)</f>
        <v>ReplaceableTextures\\CommandButtons\\BTNIN09.blp</v>
      </c>
      <c r="N152" s="27">
        <v>0.8</v>
      </c>
      <c r="O152" s="170" t="s">
        <v>100</v>
      </c>
      <c r="P152" s="27">
        <v>0</v>
      </c>
      <c r="Q152" s="27">
        <v>0</v>
      </c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ht="14.4" spans="1:42">
      <c r="A153" s="167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9" t="str">
        <f t="shared" ref="J153" si="60">H153</f>
        <v>|Cff00BFFF福娃这么可爱..|r</v>
      </c>
      <c r="K153" s="169" t="str">
        <f t="shared" ref="K153" si="61">I153</f>
        <v>点金一个|Cffffc926练功房福娃|r，获得|Cffffc926300|r倍金币奖励</v>
      </c>
      <c r="L153" s="27"/>
      <c r="M153" s="170" t="str">
        <f>VLOOKUP(LEFT(RIGHT(B153,5),4),物品!B:CU,20,FALSE)</f>
        <v>ReplaceableTextures\\CommandButtons\\BTNIN10.blp</v>
      </c>
      <c r="N153" s="188" t="s">
        <v>83</v>
      </c>
      <c r="O153" s="170" t="s">
        <v>94</v>
      </c>
      <c r="P153" s="27">
        <v>0</v>
      </c>
      <c r="Q153" s="27">
        <v>0</v>
      </c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171" t="s">
        <v>103</v>
      </c>
      <c r="X153" s="27">
        <v>0</v>
      </c>
      <c r="Y153" s="188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0</v>
      </c>
      <c r="AO153" s="27">
        <v>0</v>
      </c>
      <c r="AP153" s="27">
        <v>1</v>
      </c>
    </row>
    <row r="154" spans="1:42">
      <c r="A154" s="167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9" t="str">
        <f t="shared" ref="J154:J160" si="62">H154</f>
        <v>|CffFFC926奥里给Lo他|r</v>
      </c>
      <c r="K154" s="169" t="str">
        <f t="shared" ref="K154:K160" si="63">I154</f>
        <v>|CffFFC92610秒|r内提高|Cffffc926100%|r攻击伤害</v>
      </c>
      <c r="L154" s="27"/>
      <c r="M154" s="170" t="str">
        <f>VLOOKUP(LEFT(RIGHT(B154,5),4),物品!B:CU,20,FALSE)</f>
        <v>ReplaceableTextures\\CommandButtons\\BTNIN11.blp</v>
      </c>
      <c r="N154" s="188" t="s">
        <v>83</v>
      </c>
      <c r="O154" s="170" t="s">
        <v>94</v>
      </c>
      <c r="P154" s="27">
        <v>0</v>
      </c>
      <c r="Q154" s="27">
        <v>0</v>
      </c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7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9" t="str">
        <f t="shared" si="62"/>
        <v>|CffFF0000以逸待劳|r</v>
      </c>
      <c r="K155" s="169" t="str">
        <f t="shared" si="63"/>
        <v>在|Cffffc926基地-周文王|r附近召唤|Cffffc9261|r个|Cffffc926黑市商店|r，仅存在|Cffffc92630|r秒。</v>
      </c>
      <c r="L155" s="27"/>
      <c r="M155" s="170" t="str">
        <f>VLOOKUP(LEFT(RIGHT(B155,5),4),物品!B:CU,20,FALSE)</f>
        <v>ReplaceableTextures\\CommandButtons\\BTNIN12.blp</v>
      </c>
      <c r="N155" s="188" t="s">
        <v>83</v>
      </c>
      <c r="O155" s="170" t="s">
        <v>94</v>
      </c>
      <c r="P155" s="27">
        <v>0</v>
      </c>
      <c r="Q155" s="27">
        <v>0</v>
      </c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7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9" t="str">
        <f t="shared" si="62"/>
        <v>|CffFF0000全军出击|r</v>
      </c>
      <c r="K156" s="169" t="str">
        <f t="shared" si="63"/>
        <v>场上存活的队友|Cffffc92615|r秒内提高|Cffffc92650%|r技能伤害</v>
      </c>
      <c r="L156" s="27"/>
      <c r="M156" s="170" t="str">
        <f>VLOOKUP(LEFT(RIGHT(B156,5),4),物品!B:CU,20,FALSE)</f>
        <v>ReplaceableTextures\\CommandButtons\\BTNIN13.blp</v>
      </c>
      <c r="N156" s="188" t="s">
        <v>83</v>
      </c>
      <c r="O156" s="170" t="s">
        <v>94</v>
      </c>
      <c r="P156" s="27">
        <v>0</v>
      </c>
      <c r="Q156" s="27">
        <v>0</v>
      </c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>
      <c r="A157" s="167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9" t="str">
        <f t="shared" si="62"/>
        <v>|CffFFC926心跳时刻|r</v>
      </c>
      <c r="K157" s="169" t="str">
        <f t="shared" si="63"/>
        <v>使用后基地无敌|Cffffc92610|r秒。</v>
      </c>
      <c r="L157" s="27"/>
      <c r="M157" s="170" t="str">
        <f>VLOOKUP(LEFT(RIGHT(B157,5),4),物品!B:CU,20,FALSE)</f>
        <v>ReplaceableTextures\\CommandButtons\\BTNIN14.blp</v>
      </c>
      <c r="N157" s="188" t="s">
        <v>83</v>
      </c>
      <c r="O157" s="170" t="s">
        <v>94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93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/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7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9" t="str">
        <f t="shared" si="62"/>
        <v>|CffFFC926据守|r</v>
      </c>
      <c r="K158" s="169" t="str">
        <f t="shared" si="63"/>
        <v>场上存活的队友|Cffffc92615|r秒内减少|Cffffc92620%|r承受伤害</v>
      </c>
      <c r="L158" s="27"/>
      <c r="M158" s="170" t="str">
        <f>VLOOKUP(LEFT(RIGHT(B158,5),4),物品!B:CU,20,FALSE)</f>
        <v>ReplaceableTextures\\CommandButtons\\BTNIN15.blp</v>
      </c>
      <c r="N158" s="188" t="s">
        <v>83</v>
      </c>
      <c r="O158" s="170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7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9" t="str">
        <f t="shared" si="62"/>
        <v>赌输可退</v>
      </c>
      <c r="K159" s="169" t="str">
        <f t="shared" si="63"/>
        <v>使|Cffffd24d1|r个|Cffffd24d道果品质|r提高|Cffffd24d-1~+2|r。|n|n|Cff00ff7f只能对天级【7】或以下的道果使用|r</v>
      </c>
      <c r="L159" s="27"/>
      <c r="M159" s="170" t="str">
        <f>VLOOKUP(LEFT(RIGHT(B159,5),4),物品!B:CU,20,FALSE)</f>
        <v>ReplaceableTextures\\CommandButtons\\BTNIN16.blp</v>
      </c>
      <c r="N159" s="188" t="s">
        <v>83</v>
      </c>
      <c r="O159" s="170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7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9" t="str">
        <f t="shared" si="62"/>
        <v>|Cff00BFFF来点玄铁|r</v>
      </c>
      <c r="K160" s="169" t="str">
        <f t="shared" si="63"/>
        <v>玄铁|Cffffc926+5~20|r</v>
      </c>
      <c r="L160" s="27"/>
      <c r="M160" s="170" t="str">
        <f>VLOOKUP(LEFT(RIGHT(B160,5),4),物品!B:CU,20,FALSE)</f>
        <v>ReplaceableTextures\\CommandButtons\\BTNIN17.blp</v>
      </c>
      <c r="N160" s="188" t="s">
        <v>83</v>
      </c>
      <c r="O160" s="170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7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9" t="str">
        <f t="shared" ref="J161" si="64">H161</f>
        <v>|CffFFC926恭喜发财|r</v>
      </c>
      <c r="K161" s="169" t="str">
        <f t="shared" ref="K161" si="65">I161</f>
        <v>|CffFFC92630|r秒内金币加成|Cffffc926+50%|r</v>
      </c>
      <c r="L161" s="27"/>
      <c r="M161" s="170" t="str">
        <f>VLOOKUP(LEFT(RIGHT(B161,5),4),物品!B:CU,20,FALSE)</f>
        <v>ReplaceableTextures\\CommandButtons\\BTNIN18.blp</v>
      </c>
      <c r="N161" s="188" t="s">
        <v>83</v>
      </c>
      <c r="O161" s="170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7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9" t="str">
        <f t="shared" ref="J162:J170" si="66">H162</f>
        <v>附魔宝箱</v>
      </c>
      <c r="K162" s="169" t="str">
        <f t="shared" ref="K162:K170" si="67">I162</f>
        <v>使用后获得|Cffffc926随机类型技能附魔石|r</v>
      </c>
      <c r="L162" s="27"/>
      <c r="M162" s="170" t="str">
        <f>VLOOKUP(LEFT(RIGHT(B162,5),4),物品!B:CU,20,FALSE)</f>
        <v>ReplaceableTextures\\CommandButtons\\BTNIN16.blp</v>
      </c>
      <c r="N162" s="188" t="s">
        <v>83</v>
      </c>
      <c r="O162" s="170" t="s">
        <v>104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7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9" t="str">
        <f t="shared" si="66"/>
        <v>|CffFFC926鼠年大吉|r</v>
      </c>
      <c r="K163" s="169" t="str">
        <f t="shared" si="67"/>
        <v>|CffFFC92630|r秒内杀敌金币|Cffffc926+25|r</v>
      </c>
      <c r="L163" s="27"/>
      <c r="M163" s="170" t="str">
        <f>VLOOKUP(LEFT(RIGHT(B163,5),4),物品!B:CU,20,FALSE)</f>
        <v>ReplaceableTextures\\CommandButtons\\BTNIN20.blp</v>
      </c>
      <c r="N163" s="188" t="s">
        <v>83</v>
      </c>
      <c r="O163" s="170" t="s">
        <v>94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/>
      <c r="W163" s="27" t="s">
        <v>93</v>
      </c>
      <c r="X163" s="27">
        <v>0</v>
      </c>
      <c r="Y163" s="188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1</v>
      </c>
      <c r="AO163" s="27">
        <v>1</v>
      </c>
      <c r="AP163" s="27">
        <v>1</v>
      </c>
    </row>
    <row r="164" spans="1:42">
      <c r="A164" s="167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9" t="str">
        <f t="shared" si="66"/>
        <v>|Cff00FF7F小金库|r</v>
      </c>
      <c r="K164" s="169" t="str">
        <f t="shared" si="67"/>
        <v>金币|Cffffc926+888~8888|r</v>
      </c>
      <c r="L164" s="27"/>
      <c r="M164" s="170" t="str">
        <f>VLOOKUP(LEFT(RIGHT(B164,5),4),物品!B:CU,20,FALSE)</f>
        <v>ReplaceableTextures\\CommandButtons\\BTNIN21.blp</v>
      </c>
      <c r="N164" s="188" t="s">
        <v>83</v>
      </c>
      <c r="O164" s="170" t="s">
        <v>94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/>
      <c r="W164" s="27" t="s">
        <v>93</v>
      </c>
      <c r="X164" s="27">
        <v>0</v>
      </c>
      <c r="Y164" s="188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</v>
      </c>
      <c r="AO164" s="27">
        <v>1</v>
      </c>
      <c r="AP164" s="27">
        <v>1</v>
      </c>
    </row>
    <row r="165" spans="1:42">
      <c r="A165" s="167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9" t="str">
        <f t="shared" si="66"/>
        <v>|Cff00BFFF小银行|r</v>
      </c>
      <c r="K165" s="169" t="str">
        <f t="shared" si="67"/>
        <v>金币|Cffffc926+2888~18888|r</v>
      </c>
      <c r="L165" s="27"/>
      <c r="M165" s="170" t="str">
        <f>VLOOKUP(LEFT(RIGHT(B165,5),4),物品!B:CU,20,FALSE)</f>
        <v>ReplaceableTextures\\CommandButtons\\BTNIN22.blp</v>
      </c>
      <c r="N165" s="188" t="s">
        <v>83</v>
      </c>
      <c r="O165" s="170" t="s">
        <v>94</v>
      </c>
      <c r="P165" s="27">
        <v>0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/>
      <c r="W165" s="27" t="s">
        <v>93</v>
      </c>
      <c r="X165" s="27">
        <v>0</v>
      </c>
      <c r="Y165" s="188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</v>
      </c>
      <c r="AO165" s="27">
        <v>1</v>
      </c>
      <c r="AP165" s="27">
        <v>1</v>
      </c>
    </row>
    <row r="166" spans="1:42">
      <c r="A166" s="167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9" t="str">
        <f t="shared" si="66"/>
        <v>|CffFFC926大金矿|r</v>
      </c>
      <c r="K166" s="169" t="str">
        <f t="shared" si="67"/>
        <v>金币|Cffffc926+8888~88888|r</v>
      </c>
      <c r="L166" s="27"/>
      <c r="M166" s="170" t="str">
        <f>VLOOKUP(LEFT(RIGHT(B166,5),4),物品!B:CU,20,FALSE)</f>
        <v>ReplaceableTextures\\CommandButtons\\BTNIN23.blp</v>
      </c>
      <c r="N166" s="188" t="s">
        <v>83</v>
      </c>
      <c r="O166" s="170" t="s">
        <v>94</v>
      </c>
      <c r="P166" s="27">
        <v>0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/>
      <c r="W166" s="27" t="s">
        <v>93</v>
      </c>
      <c r="X166" s="27">
        <v>0</v>
      </c>
      <c r="Y166" s="188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</v>
      </c>
      <c r="AO166" s="27">
        <v>1</v>
      </c>
      <c r="AP166" s="27">
        <v>1</v>
      </c>
    </row>
    <row r="167" spans="1:42">
      <c r="A167" s="167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9" t="str">
        <f t="shared" si="66"/>
        <v>|Cff00FF7F培元丹|r</v>
      </c>
      <c r="K167" s="169" t="str">
        <f t="shared" si="67"/>
        <v>攻击|Cffffc926+1000|r</v>
      </c>
      <c r="L167" s="27"/>
      <c r="M167" s="170" t="str">
        <f>VLOOKUP(LEFT(RIGHT(B167,5),4),物品!B:CU,20,FALSE)</f>
        <v>ReplaceableTextures\\CommandButtons\\BTNIN24.blp</v>
      </c>
      <c r="N167" s="188" t="s">
        <v>83</v>
      </c>
      <c r="O167" s="170" t="s">
        <v>94</v>
      </c>
      <c r="P167" s="27">
        <v>0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/>
      <c r="W167" s="27" t="s">
        <v>93</v>
      </c>
      <c r="X167" s="27">
        <v>0</v>
      </c>
      <c r="Y167" s="188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</v>
      </c>
      <c r="AO167" s="27">
        <v>1</v>
      </c>
      <c r="AP167" s="27">
        <v>1</v>
      </c>
    </row>
    <row r="168" spans="1:42">
      <c r="A168" s="167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9" t="str">
        <f t="shared" si="66"/>
        <v>|Cff00BFFF入门道果箱|r</v>
      </c>
      <c r="K168" s="169" t="str">
        <f t="shared" si="67"/>
        <v>打开后有几率获得以下奖励：|n【随机品质】中级道果|n|Cff00ff7f【随机品质】高级道果|r</v>
      </c>
      <c r="L168" s="27"/>
      <c r="M168" s="170" t="str">
        <f>VLOOKUP(LEFT(RIGHT(B168,5),4),物品!B:CU,20,FALSE)</f>
        <v>ReplaceableTextures\\CommandButtons\\BTNAM20.blp</v>
      </c>
      <c r="N168" s="188" t="s">
        <v>83</v>
      </c>
      <c r="O168" s="10" t="s">
        <v>105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/>
      <c r="W168" s="27" t="s">
        <v>93</v>
      </c>
      <c r="X168" s="27">
        <v>0</v>
      </c>
      <c r="Y168" s="188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</v>
      </c>
      <c r="AO168" s="27">
        <v>1</v>
      </c>
      <c r="AP168" s="27">
        <v>1</v>
      </c>
    </row>
    <row r="169" spans="1:42">
      <c r="A169" s="167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9" t="str">
        <f t="shared" si="66"/>
        <v>|CffFFD24D后天道果箱|r</v>
      </c>
      <c r="K169" s="169" t="str">
        <f t="shared" si="67"/>
        <v>打开后有几率获得以下奖励：|n|Cff00ff7f【随机品质】黄级道果|r|n|Cff00bfff【随机品质】玄级道果|n【随机品质】地级道果|r</v>
      </c>
      <c r="L169" s="27"/>
      <c r="M169" s="170" t="str">
        <f>VLOOKUP(LEFT(RIGHT(B169,5),4),物品!B:CU,20,FALSE)</f>
        <v>ReplaceableTextures\\CommandButtons\\BTNAM21.blp</v>
      </c>
      <c r="N169" s="188" t="s">
        <v>83</v>
      </c>
      <c r="O169" s="10" t="s">
        <v>106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/>
      <c r="W169" s="27" t="s">
        <v>93</v>
      </c>
      <c r="X169" s="27">
        <v>0</v>
      </c>
      <c r="Y169" s="188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1</v>
      </c>
      <c r="AL169" s="27">
        <v>1</v>
      </c>
      <c r="AM169" s="188" t="s">
        <v>83</v>
      </c>
      <c r="AN169" s="27">
        <v>1</v>
      </c>
      <c r="AO169" s="27">
        <v>1</v>
      </c>
      <c r="AP169" s="27">
        <v>1</v>
      </c>
    </row>
    <row r="170" spans="1:42">
      <c r="A170" s="167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9" t="str">
        <f t="shared" si="66"/>
        <v>|CffFF0000先天道果箱|r</v>
      </c>
      <c r="K170" s="16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70" t="str">
        <f>VLOOKUP(LEFT(RIGHT(B170,5),4),物品!B:CU,20,FALSE)</f>
        <v>ReplaceableTextures\\CommandButtons\\BTNAM22.blp</v>
      </c>
      <c r="N170" s="188" t="s">
        <v>83</v>
      </c>
      <c r="O170" s="170" t="s">
        <v>107</v>
      </c>
      <c r="P170" s="27">
        <v>0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/>
      <c r="W170" s="27" t="s">
        <v>93</v>
      </c>
      <c r="X170" s="27">
        <v>0</v>
      </c>
      <c r="Y170" s="188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1</v>
      </c>
      <c r="AL170" s="27">
        <v>1</v>
      </c>
      <c r="AM170" s="188" t="s">
        <v>83</v>
      </c>
      <c r="AN170" s="27">
        <v>1</v>
      </c>
      <c r="AO170" s="27">
        <v>1</v>
      </c>
      <c r="AP170" s="27">
        <v>1</v>
      </c>
    </row>
    <row r="171" spans="1:42">
      <c r="A171" s="167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9" t="str">
        <f t="shared" ref="J171:J172" si="68">H171</f>
        <v>|CffFFD24D技能宝箱|r</v>
      </c>
      <c r="K171" s="169" t="str">
        <f t="shared" ref="K171:K172" si="69">I171</f>
        <v>使用后获得|Cffffc926随机类型技能升阶石|r</v>
      </c>
      <c r="L171" s="27"/>
      <c r="M171" s="170" t="str">
        <f>VLOOKUP(LEFT(RIGHT(B171,5),4),物品!B:CU,20,FALSE)</f>
        <v>ReplaceableTextures\\CommandButtons\\BTNAM23.blp</v>
      </c>
      <c r="N171" s="188" t="s">
        <v>83</v>
      </c>
      <c r="O171" s="10" t="s">
        <v>106</v>
      </c>
      <c r="P171" s="27">
        <v>0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/>
      <c r="W171" s="27" t="s">
        <v>93</v>
      </c>
      <c r="X171" s="27">
        <v>0</v>
      </c>
      <c r="Y171" s="18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1</v>
      </c>
      <c r="AL171" s="27">
        <v>1</v>
      </c>
      <c r="AM171" s="188" t="s">
        <v>83</v>
      </c>
      <c r="AN171" s="27">
        <v>1</v>
      </c>
      <c r="AO171" s="27">
        <v>1</v>
      </c>
      <c r="AP171" s="27">
        <v>1</v>
      </c>
    </row>
    <row r="172" spans="1:42">
      <c r="A172" s="167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9" t="str">
        <f t="shared" si="68"/>
        <v>|CffFFD24D附魔宝箱|r</v>
      </c>
      <c r="K172" s="169" t="str">
        <f t="shared" si="69"/>
        <v>使用后获得|Cffffc926随机类型技能附魔石|r</v>
      </c>
      <c r="L172" s="27"/>
      <c r="M172" s="170" t="str">
        <f>VLOOKUP(LEFT(RIGHT(B172,5),4),物品!B:CU,20,FALSE)</f>
        <v>ReplaceableTextures\\CommandButtons\\BTNAM24.blp</v>
      </c>
      <c r="N172" s="188" t="s">
        <v>83</v>
      </c>
      <c r="O172" s="10" t="s">
        <v>106</v>
      </c>
      <c r="P172" s="27">
        <v>0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/>
      <c r="W172" s="27" t="s">
        <v>93</v>
      </c>
      <c r="X172" s="27">
        <v>0</v>
      </c>
      <c r="Y172" s="18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1</v>
      </c>
      <c r="AL172" s="27">
        <v>1</v>
      </c>
      <c r="AM172" s="188" t="s">
        <v>83</v>
      </c>
      <c r="AN172" s="27">
        <v>1</v>
      </c>
      <c r="AO172" s="27">
        <v>1</v>
      </c>
      <c r="AP172" s="27">
        <v>1</v>
      </c>
    </row>
    <row r="173" spans="1:42">
      <c r="A173" s="167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9" t="str">
        <f t="shared" ref="J173:J174" si="70">H173</f>
        <v>|Cff00FF7F幸运星盒|r</v>
      </c>
      <c r="K173" s="169" t="str">
        <f t="shared" ref="K173:K174" si="71">I173</f>
        <v>开启后获得|Cff00bfff随机奖励|r。</v>
      </c>
      <c r="L173" s="27"/>
      <c r="M173" s="170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/>
      <c r="W173" s="27" t="s">
        <v>93</v>
      </c>
      <c r="X173" s="27">
        <v>0</v>
      </c>
      <c r="Y173" s="18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1</v>
      </c>
      <c r="AL173" s="27">
        <v>1</v>
      </c>
      <c r="AM173" s="188" t="s">
        <v>83</v>
      </c>
      <c r="AN173" s="27">
        <v>1</v>
      </c>
      <c r="AO173" s="27">
        <v>1</v>
      </c>
      <c r="AP173" s="27">
        <v>1</v>
      </c>
    </row>
    <row r="174" spans="1:42">
      <c r="A174" s="167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9" t="str">
        <f t="shared" si="70"/>
        <v>|CffFFD24D炽星魔盒|r</v>
      </c>
      <c r="K174" s="169" t="str">
        <f t="shared" si="71"/>
        <v>开启后获得|Cffffd24d随机奖励|r。</v>
      </c>
      <c r="L174" s="27"/>
      <c r="M174" s="170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7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9" t="str">
        <f t="shared" ref="J175" si="72">H175</f>
        <v>|CffFFD24D技能宝箱|r</v>
      </c>
      <c r="K175" s="169" t="str">
        <f t="shared" ref="K175" si="73">I175</f>
        <v>使用后获得|Cffffc926随机类型技能升阶石|r</v>
      </c>
      <c r="L175" s="27"/>
      <c r="M175" s="170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7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9" t="str">
        <f t="shared" ref="J176:J179" si="74">H176</f>
        <v>|Cff00BFFF血莲丹|r</v>
      </c>
      <c r="K176" s="169" t="str">
        <f t="shared" ref="K176:K179" si="75">I176</f>
        <v>攻击|Cffffc926+2500|r</v>
      </c>
      <c r="L176" s="27"/>
      <c r="M176" s="170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7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9" t="str">
        <f t="shared" si="74"/>
        <v>|CffFFC926天魂融血丹|r</v>
      </c>
      <c r="K177" s="169" t="str">
        <f t="shared" si="75"/>
        <v>攻击|Cffffc926+10000|r</v>
      </c>
      <c r="L177" s="27"/>
      <c r="M177" s="170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>
      <c r="A178" s="167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9" t="str">
        <f t="shared" si="74"/>
        <v>|Cff00FF7F聚灵丹|r</v>
      </c>
      <c r="K178" s="169" t="str">
        <f t="shared" si="75"/>
        <v>业力|Cffffc926+1000|r</v>
      </c>
      <c r="L178" s="27"/>
      <c r="M178" s="170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27" t="s">
        <v>93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8" t="s">
        <v>83</v>
      </c>
      <c r="AF178" s="188" t="s">
        <v>83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1</v>
      </c>
      <c r="AO178" s="27">
        <v>1</v>
      </c>
      <c r="AP178" s="27">
        <v>1</v>
      </c>
    </row>
    <row r="179" spans="1:42">
      <c r="A179" s="167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9" t="str">
        <f t="shared" si="74"/>
        <v>|Cff00BFFF地灵丹|r</v>
      </c>
      <c r="K179" s="169" t="str">
        <f t="shared" si="75"/>
        <v>业力|Cffffc926+2500|r</v>
      </c>
      <c r="L179" s="27"/>
      <c r="M179" s="170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7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9" t="str">
        <f t="shared" ref="J180:J181" si="76">H180</f>
        <v>|CffFFC926三纹清灵丹|r</v>
      </c>
      <c r="K180" s="169" t="str">
        <f t="shared" ref="K180:K181" si="77">I180</f>
        <v>业力|Cffffc926+10000|r</v>
      </c>
      <c r="L180" s="27"/>
      <c r="M180" s="170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7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9" t="str">
        <f t="shared" si="76"/>
        <v>|Cff00FF7F血气丹|r</v>
      </c>
      <c r="K181" s="169" t="str">
        <f t="shared" si="77"/>
        <v>生命|Cffffc926+20000|r</v>
      </c>
      <c r="L181" s="27"/>
      <c r="M181" s="170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7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9" t="str">
        <f t="shared" ref="J182" si="78">H182</f>
        <v>|Cff00BFFF洗髓丹|r</v>
      </c>
      <c r="K182" s="169" t="str">
        <f t="shared" ref="K182" si="79">I182</f>
        <v>生命|Cffffc926+50000|r</v>
      </c>
      <c r="L182" s="27"/>
      <c r="M182" s="170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7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9" t="str">
        <f t="shared" ref="J183" si="80">H183</f>
        <v>|CffFFC926七命玄门丹|r</v>
      </c>
      <c r="K183" s="169" t="str">
        <f t="shared" ref="K183" si="81">I183</f>
        <v>生命|Cffffc926+200000|r</v>
      </c>
      <c r="L183" s="27"/>
      <c r="M183" s="170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7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9" t="str">
        <f t="shared" ref="J184" si="82">H184</f>
        <v>|CffFF0000时渊入场券|r</v>
      </c>
      <c r="K184" s="169" t="str">
        <f t="shared" ref="K184" si="83">I184</f>
        <v>每次|Cffffd24d完成|r时渊副本将消耗|Cffffd24d1|r个|Cffffd24d时渊入场券|r</v>
      </c>
      <c r="L184" s="27"/>
      <c r="M184" s="170" t="str">
        <f>VLOOKUP(LEFT(RIGHT(B184,5),4),物品!B:CU,20,FALSE)</f>
        <v>ReplaceableTextures\\CommandButtons\\BTNIP01.blp</v>
      </c>
      <c r="N184" s="188" t="s">
        <v>83</v>
      </c>
      <c r="O184" s="170" t="s">
        <v>98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88</v>
      </c>
      <c r="X184" s="27">
        <v>0</v>
      </c>
      <c r="Y184" s="188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>
        <v>1</v>
      </c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7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9" t="str">
        <f t="shared" ref="J185:J208" si="84">H185</f>
        <v>|CffFFD24D补天石|r</v>
      </c>
      <c r="K185" s="16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70" t="str">
        <f>VLOOKUP(LEFT(RIGHT(B185,5),4),物品!B:CU,20,FALSE)</f>
        <v>ReplaceableTextures\\CommandButtons\\BTNIP02.blp</v>
      </c>
      <c r="N185" s="188" t="s">
        <v>83</v>
      </c>
      <c r="O185" s="170" t="s">
        <v>107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88</v>
      </c>
      <c r="X185" s="27">
        <v>0</v>
      </c>
      <c r="Y185" s="188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7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9" t="str">
        <f t="shared" si="84"/>
        <v>|CffFF0000鸿蒙结晶|r</v>
      </c>
      <c r="K186" s="16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70" t="str">
        <f>VLOOKUP(LEFT(RIGHT(B186,5),4),物品!B:CU,20,FALSE)</f>
        <v>ReplaceableTextures\\CommandButtons\\BTNIP03.blp</v>
      </c>
      <c r="N186" s="188" t="s">
        <v>83</v>
      </c>
      <c r="O186" s="170" t="s">
        <v>107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88</v>
      </c>
      <c r="X186" s="27">
        <v>0</v>
      </c>
      <c r="Y186" s="188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0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7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9" t="str">
        <f t="shared" ref="J187:J188" si="86">H187</f>
        <v>|CffFF0000神兽洗灵石|r</v>
      </c>
      <c r="K187" s="169" t="str">
        <f t="shared" ref="K187:K188" si="87">I187</f>
        <v>使用后|Cffffc926重置|r当前|Cffff0000觉醒神通【R】|r|Cfff0f0f0。|r</v>
      </c>
      <c r="L187" s="27"/>
      <c r="M187" s="170" t="str">
        <f>VLOOKUP(LEFT(RIGHT(B187,5),4),物品!B:CU,20,FALSE)</f>
        <v>ReplaceableTextures\\CommandButtons\\BTNIP04.blp</v>
      </c>
      <c r="N187" s="188" t="s">
        <v>83</v>
      </c>
      <c r="O187" s="170" t="s">
        <v>98</v>
      </c>
      <c r="P187" s="27">
        <v>1</v>
      </c>
      <c r="Q187" s="27">
        <v>1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7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9" t="str">
        <f t="shared" si="86"/>
        <v>|CffFF0000虚空圣战卡|r</v>
      </c>
      <c r="K188" s="169" t="str">
        <f t="shared" si="87"/>
        <v>开启|Cffffc926结界|r，前往虚空终止|Cffff0000封神圣战|r。</v>
      </c>
      <c r="L188" s="27"/>
      <c r="M188" s="170" t="str">
        <f>VLOOKUP(LEFT(RIGHT(B188,5),4),物品!B:CU,20,FALSE)</f>
        <v>ReplaceableTextures\\CommandButtons\\BTNIP05.blp</v>
      </c>
      <c r="N188" s="188" t="s">
        <v>83</v>
      </c>
      <c r="O188" s="170" t="s">
        <v>98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7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9" t="str">
        <f t="shared" ref="J189:J190" si="88">H189</f>
        <v>|Cff00FF7F大补丸|r</v>
      </c>
      <c r="K189" s="169" t="str">
        <f t="shared" ref="K189:K190" si="89">I189</f>
        <v>使用后增加|Cffffd24d100点|r境界经验。</v>
      </c>
      <c r="L189" s="27"/>
      <c r="M189" s="170" t="str">
        <f>VLOOKUP(LEFT(RIGHT(B189,5),4),物品!B:CU,20,FALSE)</f>
        <v>ReplaceableTextures\\CommandButtons\\BTNAM40.blp</v>
      </c>
      <c r="N189" s="188" t="s">
        <v>83</v>
      </c>
      <c r="O189" s="170" t="s">
        <v>98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7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9" t="str">
        <f t="shared" si="88"/>
        <v>|Cff00FF7F抽奖抵用券|r</v>
      </c>
      <c r="K190" s="169" t="str">
        <f t="shared" si="89"/>
        <v>可抵扣|Cffffd24d1|r次抽奖消耗</v>
      </c>
      <c r="L190" s="27"/>
      <c r="M190" s="170" t="str">
        <f>VLOOKUP(LEFT(RIGHT(B190,5),4),物品!B:CU,20,FALSE)</f>
        <v>ReplaceableTextures\\CommandButtons\\BTNIP07.blp</v>
      </c>
      <c r="N190" s="188" t="s">
        <v>83</v>
      </c>
      <c r="O190" s="170" t="s">
        <v>98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7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9" t="str">
        <f t="shared" ref="J191:J193" si="90">H191</f>
        <v>|Cff00FF7F超级大补丸|r</v>
      </c>
      <c r="K191" s="169" t="str">
        <f t="shared" ref="K191:K193" si="91">I191</f>
        <v>使用后增加|Cffffd24d300点|r境界经验。</v>
      </c>
      <c r="L191" s="27"/>
      <c r="M191" s="170" t="str">
        <f>VLOOKUP(LEFT(RIGHT(B191,5),4),物品!B:CU,20,FALSE)</f>
        <v>ReplaceableTextures\\CommandButtons\\BTNAM41.blp</v>
      </c>
      <c r="N191" s="188" t="s">
        <v>83</v>
      </c>
      <c r="O191" s="170" t="s">
        <v>98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7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9" t="str">
        <f t="shared" si="90"/>
        <v>|Cff00FF7F特级大补丸|r</v>
      </c>
      <c r="K192" s="169" t="str">
        <f t="shared" si="91"/>
        <v>使用后增加|Cffffd24d500点|r境界经验。</v>
      </c>
      <c r="L192" s="27"/>
      <c r="M192" s="170" t="str">
        <f>VLOOKUP(LEFT(RIGHT(B192,5),4),物品!B:CU,20,FALSE)</f>
        <v>ReplaceableTextures\\CommandButtons\\BTNAM42.blp</v>
      </c>
      <c r="N192" s="188" t="s">
        <v>83</v>
      </c>
      <c r="O192" s="170" t="s">
        <v>98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7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9" t="str">
        <f t="shared" si="90"/>
        <v>|CffFF0000神兽洗灵石|r</v>
      </c>
      <c r="K193" s="169" t="str">
        <f t="shared" si="91"/>
        <v>使用后|Cffffc926重置|r当前|Cffff0000觉醒神通【R】|r|Cfff0f0f0。|r</v>
      </c>
      <c r="L193" s="27"/>
      <c r="M193" s="170" t="str">
        <f>VLOOKUP(LEFT(RIGHT(B193,5),4),物品!B:CU,20,FALSE)</f>
        <v>ReplaceableTextures\\CommandButtons\\BTNIP04.blp</v>
      </c>
      <c r="N193" s="188" t="s">
        <v>83</v>
      </c>
      <c r="O193" s="170" t="s">
        <v>98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88</v>
      </c>
      <c r="X193" s="27">
        <v>80000</v>
      </c>
      <c r="Y193" s="188" t="s">
        <v>83</v>
      </c>
      <c r="Z193" s="27">
        <v>0</v>
      </c>
      <c r="AA193" s="27">
        <v>0</v>
      </c>
      <c r="AB193" s="169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>
        <v>1</v>
      </c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7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9" t="str">
        <f t="shared" si="84"/>
        <v>噬心劫</v>
      </c>
      <c r="K194" s="16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70" t="str">
        <f>VLOOKUP(LEFT(RIGHT(B194,5),4),物品!B:CU,20,FALSE)</f>
        <v>ReplaceableTextures\\CommandButtons\\BTNIT01.blp</v>
      </c>
      <c r="N194" s="188" t="s">
        <v>83</v>
      </c>
      <c r="O194" s="170" t="s">
        <v>98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88</v>
      </c>
      <c r="X194" s="27">
        <v>3000</v>
      </c>
      <c r="Y194" s="188" t="s">
        <v>83</v>
      </c>
      <c r="Z194" s="27">
        <v>0</v>
      </c>
      <c r="AA194" s="27">
        <v>0</v>
      </c>
      <c r="AB194" s="169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>
        <v>1</v>
      </c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7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9" t="str">
        <f t="shared" si="84"/>
        <v>三重轰雷劫</v>
      </c>
      <c r="K195" s="16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70" t="str">
        <f>VLOOKUP(LEFT(RIGHT(B195,5),4),物品!B:CU,20,FALSE)</f>
        <v>ReplaceableTextures\\CommandButtons\\BTNIT02.blp</v>
      </c>
      <c r="N195" s="188" t="s">
        <v>83</v>
      </c>
      <c r="O195" s="170" t="s">
        <v>98</v>
      </c>
      <c r="P195" s="27">
        <v>1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88</v>
      </c>
      <c r="X195" s="27">
        <v>3000</v>
      </c>
      <c r="Y195" s="188" t="s">
        <v>83</v>
      </c>
      <c r="Z195" s="27">
        <v>0</v>
      </c>
      <c r="AA195" s="27">
        <v>0</v>
      </c>
      <c r="AB195" s="169">
        <v>2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>
        <v>1</v>
      </c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7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9" t="str">
        <f t="shared" si="84"/>
        <v>|Cff00FF7F六重天雷劫|r</v>
      </c>
      <c r="K196" s="16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70" t="str">
        <f>VLOOKUP(LEFT(RIGHT(B196,5),4),物品!B:CU,20,FALSE)</f>
        <v>ReplaceableTextures\\CommandButtons\\BTNIT03.blp</v>
      </c>
      <c r="N196" s="188" t="s">
        <v>83</v>
      </c>
      <c r="O196" s="170" t="s">
        <v>98</v>
      </c>
      <c r="P196" s="27">
        <v>2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88</v>
      </c>
      <c r="X196" s="27">
        <v>5000</v>
      </c>
      <c r="Y196" s="188" t="s">
        <v>83</v>
      </c>
      <c r="Z196" s="27">
        <v>0</v>
      </c>
      <c r="AA196" s="27">
        <v>0</v>
      </c>
      <c r="AB196" s="169">
        <v>3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>
        <v>1</v>
      </c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7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9" t="str">
        <f t="shared" si="84"/>
        <v>|Cff00FF7F九重煅神劫|r</v>
      </c>
      <c r="K197" s="16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70" t="str">
        <f>VLOOKUP(LEFT(RIGHT(B197,5),4),物品!B:CU,20,FALSE)</f>
        <v>ReplaceableTextures\\CommandButtons\\BTNIT04.blp</v>
      </c>
      <c r="N197" s="188" t="s">
        <v>83</v>
      </c>
      <c r="O197" s="170" t="s">
        <v>98</v>
      </c>
      <c r="P197" s="27">
        <v>3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88</v>
      </c>
      <c r="X197" s="27">
        <v>7000</v>
      </c>
      <c r="Y197" s="188" t="s">
        <v>83</v>
      </c>
      <c r="Z197" s="27">
        <v>0</v>
      </c>
      <c r="AA197" s="27">
        <v>0</v>
      </c>
      <c r="AB197" s="169">
        <v>5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>
        <v>1</v>
      </c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7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9" t="str">
        <f t="shared" si="84"/>
        <v>|Cff00BFFF灭魄血煞劫|r</v>
      </c>
      <c r="K198" s="16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70" t="str">
        <f>VLOOKUP(LEFT(RIGHT(B198,5),4),物品!B:CU,20,FALSE)</f>
        <v>ReplaceableTextures\\CommandButtons\\BTNIT05.blp</v>
      </c>
      <c r="N198" s="188" t="s">
        <v>83</v>
      </c>
      <c r="O198" s="170" t="s">
        <v>98</v>
      </c>
      <c r="P198" s="27">
        <v>0</v>
      </c>
      <c r="Q198" s="27">
        <v>1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88</v>
      </c>
      <c r="X198" s="27">
        <v>10000</v>
      </c>
      <c r="Y198" s="188" t="s">
        <v>83</v>
      </c>
      <c r="Z198" s="27">
        <v>0</v>
      </c>
      <c r="AA198" s="27">
        <v>0</v>
      </c>
      <c r="AB198" s="169">
        <v>7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>
        <v>1</v>
      </c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7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9" t="str">
        <f t="shared" si="84"/>
        <v>|Cff00BFFF入微洞虚劫|r</v>
      </c>
      <c r="K199" s="16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70" t="str">
        <f>VLOOKUP(LEFT(RIGHT(B199,5),4),物品!B:CU,20,FALSE)</f>
        <v>ReplaceableTextures\\CommandButtons\\BTNIT06.blp</v>
      </c>
      <c r="N199" s="188" t="s">
        <v>83</v>
      </c>
      <c r="O199" s="170" t="s">
        <v>98</v>
      </c>
      <c r="P199" s="27">
        <v>1</v>
      </c>
      <c r="Q199" s="27">
        <v>1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88</v>
      </c>
      <c r="X199" s="27">
        <v>15000</v>
      </c>
      <c r="Y199" s="188" t="s">
        <v>83</v>
      </c>
      <c r="Z199" s="27">
        <v>0</v>
      </c>
      <c r="AA199" s="27">
        <v>0</v>
      </c>
      <c r="AB199" s="169">
        <v>10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>
        <v>1</v>
      </c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7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9" t="str">
        <f t="shared" si="84"/>
        <v>|CffFFD24D因果厄难劫|r</v>
      </c>
      <c r="K200" s="16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70" t="str">
        <f>VLOOKUP(LEFT(RIGHT(B200,5),4),物品!B:CU,20,FALSE)</f>
        <v>ReplaceableTextures\\CommandButtons\\BTNIT07.blp</v>
      </c>
      <c r="N200" s="188" t="s">
        <v>83</v>
      </c>
      <c r="O200" s="170" t="s">
        <v>98</v>
      </c>
      <c r="P200" s="27">
        <v>2</v>
      </c>
      <c r="Q200" s="27">
        <v>1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88</v>
      </c>
      <c r="X200" s="27">
        <v>20000</v>
      </c>
      <c r="Y200" s="188" t="s">
        <v>83</v>
      </c>
      <c r="Z200" s="27">
        <v>0</v>
      </c>
      <c r="AA200" s="27">
        <v>0</v>
      </c>
      <c r="AB200" s="169">
        <v>13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>
        <v>1</v>
      </c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7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9" t="str">
        <f t="shared" si="84"/>
        <v>|CffFFD24D迷魂幻世劫|r</v>
      </c>
      <c r="K201" s="16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70" t="str">
        <f>VLOOKUP(LEFT(RIGHT(B201,5),4),物品!B:CU,20,FALSE)</f>
        <v>ReplaceableTextures\\CommandButtons\\BTNIT08.blp</v>
      </c>
      <c r="N201" s="188" t="s">
        <v>83</v>
      </c>
      <c r="O201" s="170" t="s">
        <v>98</v>
      </c>
      <c r="P201" s="27">
        <v>3</v>
      </c>
      <c r="Q201" s="27">
        <v>1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88</v>
      </c>
      <c r="X201" s="27">
        <v>25000</v>
      </c>
      <c r="Y201" s="188" t="s">
        <v>83</v>
      </c>
      <c r="Z201" s="27">
        <v>0</v>
      </c>
      <c r="AA201" s="27">
        <v>0</v>
      </c>
      <c r="AB201" s="169">
        <v>16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>
        <v>1</v>
      </c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7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9" t="str">
        <f t="shared" si="84"/>
        <v>|CffFF0000天人五衰劫|r</v>
      </c>
      <c r="K202" s="16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70" t="str">
        <f>VLOOKUP(LEFT(RIGHT(B202,5),4),物品!B:CU,20,FALSE)</f>
        <v>ReplaceableTextures\\CommandButtons\\BTNIT09.blp</v>
      </c>
      <c r="N202" s="188" t="s">
        <v>83</v>
      </c>
      <c r="O202" s="170" t="s">
        <v>98</v>
      </c>
      <c r="P202" s="27">
        <v>0</v>
      </c>
      <c r="Q202" s="27">
        <v>2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88</v>
      </c>
      <c r="X202" s="27">
        <v>30000</v>
      </c>
      <c r="Y202" s="188" t="s">
        <v>83</v>
      </c>
      <c r="Z202" s="27">
        <v>0</v>
      </c>
      <c r="AA202" s="27">
        <v>0</v>
      </c>
      <c r="AB202" s="169">
        <v>20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>
        <v>1</v>
      </c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7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9" t="str">
        <f t="shared" si="84"/>
        <v>|CffFF0000混元灭世劫|r</v>
      </c>
      <c r="K203" s="16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70" t="str">
        <f>VLOOKUP(LEFT(RIGHT(B203,5),4),物品!B:CU,20,FALSE)</f>
        <v>ReplaceableTextures\\CommandButtons\\BTNIT10.blp</v>
      </c>
      <c r="N203" s="188" t="s">
        <v>83</v>
      </c>
      <c r="O203" s="170" t="s">
        <v>98</v>
      </c>
      <c r="P203" s="27">
        <v>1</v>
      </c>
      <c r="Q203" s="27">
        <v>2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88</v>
      </c>
      <c r="X203" s="27">
        <v>50000</v>
      </c>
      <c r="Y203" s="188" t="s">
        <v>83</v>
      </c>
      <c r="Z203" s="27">
        <v>0</v>
      </c>
      <c r="AA203" s="27">
        <v>0</v>
      </c>
      <c r="AB203" s="169">
        <v>25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>
        <v>1</v>
      </c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7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9" t="str">
        <f t="shared" si="84"/>
        <v>斩三尸</v>
      </c>
      <c r="K204" s="169" t="str">
        <f t="shared" si="85"/>
        <v>境界挑战11</v>
      </c>
      <c r="L204" s="27"/>
      <c r="M204" s="170" t="str">
        <f>VLOOKUP(LEFT(RIGHT(B204,5),4),物品!B:CU,20,FALSE)</f>
        <v>ReplaceableTextures\\CommandButtons\\BTNIT11.blp</v>
      </c>
      <c r="N204" s="188" t="s">
        <v>83</v>
      </c>
      <c r="O204" s="170" t="s">
        <v>98</v>
      </c>
      <c r="P204" s="27">
        <v>2</v>
      </c>
      <c r="Q204" s="27">
        <v>1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88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>
        <v>1</v>
      </c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7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9" t="str">
        <f t="shared" si="84"/>
        <v>无量量劫</v>
      </c>
      <c r="K205" s="169" t="str">
        <f t="shared" si="85"/>
        <v>境界挑战12</v>
      </c>
      <c r="L205" s="27"/>
      <c r="M205" s="170" t="str">
        <f>VLOOKUP(LEFT(RIGHT(B205,5),4),物品!B:CU,20,FALSE)</f>
        <v>ReplaceableTextures\\CommandButtons\\BTNIT12.blp</v>
      </c>
      <c r="N205" s="188" t="s">
        <v>83</v>
      </c>
      <c r="O205" s="170" t="s">
        <v>98</v>
      </c>
      <c r="P205" s="27">
        <v>3</v>
      </c>
      <c r="Q205" s="27">
        <v>1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88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>
        <v>1</v>
      </c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7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9" t="str">
        <f t="shared" si="84"/>
        <v>鸿钧对练</v>
      </c>
      <c r="K206" s="169" t="str">
        <f t="shared" si="85"/>
        <v>境界挑战13</v>
      </c>
      <c r="L206" s="27"/>
      <c r="M206" s="170" t="str">
        <f>VLOOKUP(LEFT(RIGHT(B206,5),4),物品!B:CU,20,FALSE)</f>
        <v>ReplaceableTextures\\CommandButtons\\BTNIT13.blp</v>
      </c>
      <c r="N206" s="188" t="s">
        <v>83</v>
      </c>
      <c r="O206" s="170" t="s">
        <v>98</v>
      </c>
      <c r="P206" s="27">
        <v>0</v>
      </c>
      <c r="Q206" s="27">
        <v>2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88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>
        <v>1</v>
      </c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7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9" t="str">
        <f t="shared" si="84"/>
        <v>境界挑战14</v>
      </c>
      <c r="K207" s="169" t="str">
        <f t="shared" si="85"/>
        <v>境界挑战14</v>
      </c>
      <c r="L207" s="27"/>
      <c r="M207" s="170" t="str">
        <f>VLOOKUP(LEFT(RIGHT(B207,5),4),物品!B:CU,20,FALSE)</f>
        <v>ReplaceableTextures\\CommandButtons\\BTNIT14.blp</v>
      </c>
      <c r="N207" s="188" t="s">
        <v>83</v>
      </c>
      <c r="O207" s="170" t="s">
        <v>98</v>
      </c>
      <c r="P207" s="27">
        <v>1</v>
      </c>
      <c r="Q207" s="27">
        <v>2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88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>
        <v>1</v>
      </c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7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9" t="str">
        <f t="shared" si="84"/>
        <v>暂停进攻</v>
      </c>
      <c r="K208" s="169" t="str">
        <f t="shared" si="85"/>
        <v>延缓敌军2分钟进攻时间。|n|n|Cff999999狗策划一直不想做这个功能，你们就省着点用吧~（逃|r</v>
      </c>
      <c r="L208" s="27"/>
      <c r="M208" s="172" t="s">
        <v>109</v>
      </c>
      <c r="N208" s="188" t="s">
        <v>83</v>
      </c>
      <c r="O208" s="170" t="s">
        <v>98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88</v>
      </c>
      <c r="X208" s="27">
        <v>10000</v>
      </c>
      <c r="Y208" s="188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>
        <v>1</v>
      </c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7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9" t="str">
        <f t="shared" ref="J209:J219" si="92">H209</f>
        <v>奇经八脉</v>
      </c>
      <c r="K209" s="169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70" t="str">
        <f>VLOOKUP(LEFT(RIGHT(B209,5),4),物品!B:CU,20,FALSE)</f>
        <v>ReplaceableTextures\\CommandButtons\\BTNIZ0B.blp</v>
      </c>
      <c r="N209" s="188" t="s">
        <v>83</v>
      </c>
      <c r="O209" s="170" t="s">
        <v>98</v>
      </c>
      <c r="P209" s="27">
        <v>2</v>
      </c>
      <c r="Q209" s="27">
        <v>2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7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9">
        <f t="shared" si="92"/>
        <v>0</v>
      </c>
      <c r="K210" s="169">
        <f t="shared" si="93"/>
        <v>0</v>
      </c>
      <c r="L210" s="27"/>
      <c r="M210" s="170" t="str">
        <f>VLOOKUP(LEFT(RIGHT(B210,5),4),物品!B:CU,20,FALSE)</f>
        <v>ReplaceableTextures\\CommandButtons\\BTNIZ0D.blp</v>
      </c>
      <c r="N210" s="188" t="s">
        <v>83</v>
      </c>
      <c r="O210" s="170" t="s">
        <v>98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>
        <v>1</v>
      </c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7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9">
        <f t="shared" si="92"/>
        <v>0</v>
      </c>
      <c r="K211" s="169">
        <f t="shared" si="93"/>
        <v>0</v>
      </c>
      <c r="L211" s="27"/>
      <c r="M211" s="170" t="str">
        <f>VLOOKUP(LEFT(RIGHT(B211,5),4),物品!B:CU,20,FALSE)</f>
        <v>ReplaceableTextures\\CommandButtons\\BTNIZ0E.blp</v>
      </c>
      <c r="N211" s="188" t="s">
        <v>83</v>
      </c>
      <c r="O211" s="170" t="s">
        <v>98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>
        <v>1</v>
      </c>
      <c r="AJ211" s="27"/>
      <c r="AK211" s="27">
        <v>1</v>
      </c>
      <c r="AL211" s="27">
        <v>1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7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9">
        <f t="shared" si="92"/>
        <v>0</v>
      </c>
      <c r="K212" s="169">
        <f t="shared" si="93"/>
        <v>0</v>
      </c>
      <c r="L212" s="27"/>
      <c r="M212" s="170" t="str">
        <f>VLOOKUP(LEFT(RIGHT(B212,5),4),物品!B:CU,20,FALSE)</f>
        <v>ReplaceableTextures\\CommandButtons\\BTNIZ0F.blp</v>
      </c>
      <c r="N212" s="188" t="s">
        <v>83</v>
      </c>
      <c r="O212" s="170" t="s">
        <v>98</v>
      </c>
      <c r="P212" s="27">
        <v>0</v>
      </c>
      <c r="Q212" s="27">
        <v>0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88</v>
      </c>
      <c r="X212" s="27">
        <v>0</v>
      </c>
      <c r="Y212" s="18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>
        <v>1</v>
      </c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7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9">
        <f t="shared" si="92"/>
        <v>0</v>
      </c>
      <c r="K213" s="169">
        <f t="shared" si="93"/>
        <v>0</v>
      </c>
      <c r="L213" s="27"/>
      <c r="M213" s="170" t="str">
        <f>VLOOKUP(LEFT(RIGHT(B213,5),4),物品!B:CU,20,FALSE)</f>
        <v>ReplaceableTextures\\CommandButtons\\BTNIZ0G.blp</v>
      </c>
      <c r="N213" s="188" t="s">
        <v>83</v>
      </c>
      <c r="O213" s="170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88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>
        <v>1</v>
      </c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7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9" t="str">
        <f t="shared" ref="J214" si="94">H214</f>
        <v>【活动】战争号角</v>
      </c>
      <c r="K214" s="169" t="str">
        <f t="shared" ref="K214" si="95">I214</f>
        <v>活动期间通关积分提高50%|n|n|cff00ff00活动时间：周六日14:00-21:00|n|n|r|cff808080积分什么的，肝就是了！|r</v>
      </c>
      <c r="L214" s="27"/>
      <c r="M214" s="170" t="str">
        <f>VLOOKUP(LEFT(RIGHT(B214,5),4),物品!B:CU,20,FALSE)</f>
        <v>ReplaceableTextures\\CommandButtons\\BTNHornOfFog.blp</v>
      </c>
      <c r="N214" s="188" t="s">
        <v>83</v>
      </c>
      <c r="O214" s="170" t="s">
        <v>98</v>
      </c>
      <c r="P214" s="27">
        <v>3</v>
      </c>
      <c r="Q214" s="27">
        <v>2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88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>
        <v>1</v>
      </c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7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9" t="str">
        <f t="shared" si="92"/>
        <v>|CffFF0000团队副本-万仙阵|r</v>
      </c>
      <c r="K215" s="169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70" t="str">
        <f>VLOOKUP(LEFT(RIGHT(B215,5),4),物品!B:CU,20,FALSE)</f>
        <v>ReplaceableTextures\\CommandButtons\\BTNIZ01.blp</v>
      </c>
      <c r="N215" s="188" t="s">
        <v>83</v>
      </c>
      <c r="O215" s="170" t="s">
        <v>98</v>
      </c>
      <c r="P215" s="27">
        <v>0</v>
      </c>
      <c r="Q215" s="27">
        <v>1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88</v>
      </c>
      <c r="X215" s="27">
        <v>30000</v>
      </c>
      <c r="Y215" s="188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>
        <v>1</v>
      </c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7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9" t="str">
        <f t="shared" si="92"/>
        <v>|CffFF0000团队副本-寻宝秘境|r</v>
      </c>
      <c r="K216" s="169" t="str">
        <f t="shared" si="93"/>
        <v>暂未开放</v>
      </c>
      <c r="L216" s="27"/>
      <c r="M216" s="170" t="str">
        <f>VLOOKUP(LEFT(RIGHT(B216,5),4),物品!B:CU,20,FALSE)</f>
        <v>ReplaceableTextures\\CommandButtons\\BTNIZ02.blp</v>
      </c>
      <c r="N216" s="188" t="s">
        <v>83</v>
      </c>
      <c r="O216" s="170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0</v>
      </c>
      <c r="Y216" s="188" t="s">
        <v>83</v>
      </c>
      <c r="Z216" s="27">
        <v>0</v>
      </c>
      <c r="AA216" s="27">
        <v>0</v>
      </c>
      <c r="AB216" s="27"/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7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9" t="str">
        <f t="shared" si="92"/>
        <v>|CffFF0000团队副本-万魔窟|r</v>
      </c>
      <c r="K217" s="169" t="str">
        <f t="shared" si="93"/>
        <v>暂未开放</v>
      </c>
      <c r="L217" s="27"/>
      <c r="M217" s="170" t="str">
        <f>VLOOKUP(LEFT(RIGHT(B217,5),4),物品!B:CU,20,FALSE)</f>
        <v>ReplaceableTextures\\CommandButtons\\BTNIZ03.blp</v>
      </c>
      <c r="N217" s="188" t="s">
        <v>83</v>
      </c>
      <c r="O217" s="170" t="s">
        <v>98</v>
      </c>
      <c r="P217" s="27">
        <v>1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0</v>
      </c>
      <c r="Y217" s="188" t="s">
        <v>83</v>
      </c>
      <c r="Z217" s="27">
        <v>0</v>
      </c>
      <c r="AA217" s="27">
        <v>30</v>
      </c>
      <c r="AB217" s="27"/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7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9" t="str">
        <f t="shared" si="92"/>
        <v>|CffFF0000进入大决战|r</v>
      </c>
      <c r="K218" s="169" t="str">
        <f t="shared" si="93"/>
        <v>提前进入大决战。慎点哦！</v>
      </c>
      <c r="L218" s="27"/>
      <c r="M218" s="170" t="str">
        <f>VLOOKUP(LEFT(RIGHT(B218,5),4),物品!B:CU,20,FALSE)</f>
        <v>ReplaceableTextures\\CommandButtons\\BTNReplay-SpeedUp.blp</v>
      </c>
      <c r="N218" s="188" t="s">
        <v>83</v>
      </c>
      <c r="O218" s="170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50000</v>
      </c>
      <c r="Y218" s="188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7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9" t="str">
        <f t="shared" si="92"/>
        <v>|Cff00FF7F学习Q技能|r</v>
      </c>
      <c r="K219" s="169" t="str">
        <f t="shared" si="93"/>
        <v>高概率获得D级技能，低概率获得|Cff00ff7fC级技能|r</v>
      </c>
      <c r="L219" s="27"/>
      <c r="M219" s="170" t="str">
        <f>VLOOKUP(LEFT(RIGHT(B219,5),4),物品!B:CU,20,FALSE)</f>
        <v>ReplaceableTextures\\CommandButtons\\BTN023.blp</v>
      </c>
      <c r="N219" s="188" t="s">
        <v>83</v>
      </c>
      <c r="O219" s="170" t="s">
        <v>98</v>
      </c>
      <c r="P219" s="27">
        <v>0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0</v>
      </c>
      <c r="Y219" s="188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7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9" t="str">
        <f t="shared" ref="J220:J236" si="96">H220</f>
        <v>|Cff00BFFF学习Q技能|r</v>
      </c>
      <c r="K220" s="169" t="str">
        <f t="shared" ref="K220:K236" si="97">I220</f>
        <v>较高概率获得D级技能，高概率获得|Cff00ff7fC级技能|r，极低概率获得|Cff2693ffB级技能|r。</v>
      </c>
      <c r="L220" s="27"/>
      <c r="M220" s="170" t="str">
        <f>VLOOKUP(LEFT(RIGHT(B220,5),4),物品!B:CU,20,FALSE)</f>
        <v>ReplaceableTextures\\CommandButtons\\BTN020.blp</v>
      </c>
      <c r="N220" s="188" t="s">
        <v>83</v>
      </c>
      <c r="O220" s="170" t="s">
        <v>98</v>
      </c>
      <c r="P220" s="27">
        <v>1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0</v>
      </c>
      <c r="Y220" s="188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7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9" t="str">
        <f t="shared" si="96"/>
        <v>|CffFFC926学习Q技能|r</v>
      </c>
      <c r="K221" s="169" t="str">
        <f t="shared" si="97"/>
        <v>低概率获得C级技能，高概率获得|Cff00ff7fB级技能|r，低概率获得|Cff2693ffA级技能|r。</v>
      </c>
      <c r="L221" s="27"/>
      <c r="M221" s="170" t="str">
        <f>VLOOKUP(LEFT(RIGHT(B221,5),4),物品!B:CU,20,FALSE)</f>
        <v>ReplaceableTextures\\CommandButtons\\BTN001.blp</v>
      </c>
      <c r="N221" s="188" t="s">
        <v>83</v>
      </c>
      <c r="O221" s="170" t="s">
        <v>98</v>
      </c>
      <c r="P221" s="27">
        <v>2</v>
      </c>
      <c r="Q221" s="27">
        <v>0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0</v>
      </c>
      <c r="Y221" s="188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7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9" t="str">
        <f t="shared" si="96"/>
        <v>|Cff00FF7F学习W技能|r</v>
      </c>
      <c r="K222" s="169" t="str">
        <f t="shared" si="97"/>
        <v>高概率获得D级技能，低概率获得|Cff00ff7fC级技能|r</v>
      </c>
      <c r="L222" s="27"/>
      <c r="M222" s="170" t="str">
        <f>VLOOKUP(LEFT(RIGHT(B222,5),4),物品!B:CU,20,FALSE)</f>
        <v>ReplaceableTextures\\CommandButtons\\BTN024.blp</v>
      </c>
      <c r="N222" s="188" t="s">
        <v>83</v>
      </c>
      <c r="O222" s="170" t="s">
        <v>98</v>
      </c>
      <c r="P222" s="27">
        <v>0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0</v>
      </c>
      <c r="Y222" s="188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7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9" t="str">
        <f t="shared" ref="J223:J224" si="98">H223</f>
        <v>|Cff00BFFF学习W技能|r</v>
      </c>
      <c r="K223" s="169" t="str">
        <f t="shared" ref="K223:K224" si="99">I223</f>
        <v>较高概率获得D级技能，高概率获得|Cff00ff7fC级技能|r，极低概率获得|Cff2693ffB级技能|r。</v>
      </c>
      <c r="L223" s="27"/>
      <c r="M223" s="170" t="str">
        <f>VLOOKUP(LEFT(RIGHT(B223,5),4),物品!B:CU,20,FALSE)</f>
        <v>ReplaceableTextures\\CommandButtons\\BTN021.blp</v>
      </c>
      <c r="N223" s="188" t="s">
        <v>83</v>
      </c>
      <c r="O223" s="170" t="s">
        <v>98</v>
      </c>
      <c r="P223" s="27">
        <v>1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0</v>
      </c>
      <c r="Y223" s="188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7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9" t="str">
        <f t="shared" si="98"/>
        <v>|CffFFC926学习W技能|r</v>
      </c>
      <c r="K224" s="169" t="str">
        <f t="shared" si="99"/>
        <v>低概率获得C级技能，高概率获得|Cff00ff7fB级技能|r，低概率获得|Cff2693ffA级技能|r。</v>
      </c>
      <c r="L224" s="27"/>
      <c r="M224" s="170" t="str">
        <f>VLOOKUP(LEFT(RIGHT(B224,5),4),物品!B:CU,20,FALSE)</f>
        <v>ReplaceableTextures\\CommandButtons\\BTN002.blp</v>
      </c>
      <c r="N224" s="188" t="s">
        <v>83</v>
      </c>
      <c r="O224" s="170" t="s">
        <v>98</v>
      </c>
      <c r="P224" s="27">
        <v>2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0</v>
      </c>
      <c r="Y224" s="188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7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9" t="str">
        <f t="shared" si="96"/>
        <v>Q技能附魔石</v>
      </c>
      <c r="K225" s="169" t="str">
        <f t="shared" si="97"/>
        <v>为|Cffffd24dQ技能|r附魔一条|Cffffd24d随机属性|r。</v>
      </c>
      <c r="L225" s="27"/>
      <c r="M225" s="170" t="str">
        <f>VLOOKUP(LEFT(RIGHT(B225,5),4),物品!B:CU,20,FALSE)</f>
        <v>ReplaceableTextures\\CommandButtons\\BTNIN01.blp</v>
      </c>
      <c r="N225" s="188" t="s">
        <v>83</v>
      </c>
      <c r="O225" s="170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93</v>
      </c>
      <c r="X225" s="27">
        <v>0</v>
      </c>
      <c r="Y225" s="18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0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7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9" t="str">
        <f t="shared" ref="J226:J228" si="100">H226</f>
        <v>W技能附魔石</v>
      </c>
      <c r="K226" s="169" t="str">
        <f t="shared" ref="K226:K228" si="101">I226</f>
        <v>为|Cffffd24dW技能|r附魔一条|Cffffd24d随机属性|r。</v>
      </c>
      <c r="L226" s="27"/>
      <c r="M226" s="170" t="str">
        <f>VLOOKUP(LEFT(RIGHT(B226,5),4),物品!B:CU,20,FALSE)</f>
        <v>ReplaceableTextures\\CommandButtons\\BTNIN02.blp</v>
      </c>
      <c r="N226" s="188" t="s">
        <v>83</v>
      </c>
      <c r="O226" s="170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93</v>
      </c>
      <c r="X226" s="27">
        <v>0</v>
      </c>
      <c r="Y226" s="18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0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7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9" t="str">
        <f t="shared" si="100"/>
        <v>E技能附魔石</v>
      </c>
      <c r="K227" s="169" t="str">
        <f t="shared" si="101"/>
        <v>为|Cffffd24dE技能|r附魔一条|Cffffd24d随机属性|r。</v>
      </c>
      <c r="L227" s="27"/>
      <c r="M227" s="170" t="str">
        <f>VLOOKUP(LEFT(RIGHT(B227,5),4),物品!B:CU,20,FALSE)</f>
        <v>ReplaceableTextures\\CommandButtons\\BTNIN03.blp</v>
      </c>
      <c r="N227" s="188" t="s">
        <v>83</v>
      </c>
      <c r="O227" s="170" t="s">
        <v>98</v>
      </c>
      <c r="P227" s="27">
        <v>2</v>
      </c>
      <c r="Q227" s="27">
        <v>2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93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0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7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9" t="str">
        <f t="shared" si="100"/>
        <v>|CffFFD24DQ强力附魔石|r</v>
      </c>
      <c r="K228" s="169" t="str">
        <f t="shared" si="101"/>
        <v>为|Cffffd24dQ技能|r附魔一条|Cffffd24d随机属性|r。</v>
      </c>
      <c r="L228" s="27"/>
      <c r="M228" s="170" t="str">
        <f>VLOOKUP(LEFT(RIGHT(B228,5),4),物品!B:CU,20,FALSE)</f>
        <v>ReplaceableTextures\\CommandButtons\\BTN009.blp</v>
      </c>
      <c r="N228" s="188" t="s">
        <v>83</v>
      </c>
      <c r="O228" s="170" t="s">
        <v>98</v>
      </c>
      <c r="P228" s="27">
        <v>0</v>
      </c>
      <c r="Q228" s="27">
        <v>2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93</v>
      </c>
      <c r="X228" s="27">
        <v>0</v>
      </c>
      <c r="Y228" s="188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0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7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9" t="str">
        <f t="shared" ref="J229:J230" si="102">H229</f>
        <v>|CffFFD24DW强力附魔石|r</v>
      </c>
      <c r="K229" s="169" t="str">
        <f t="shared" ref="K229:K230" si="103">I229</f>
        <v>为|Cffffd24dW技能|r附魔一条|Cffffd24d随机属性|r。</v>
      </c>
      <c r="L229" s="27"/>
      <c r="M229" s="170" t="str">
        <f>VLOOKUP(LEFT(RIGHT(B229,5),4),物品!B:CU,20,FALSE)</f>
        <v>ReplaceableTextures\\CommandButtons\\BTN010.blp</v>
      </c>
      <c r="N229" s="188" t="s">
        <v>83</v>
      </c>
      <c r="O229" s="170" t="s">
        <v>98</v>
      </c>
      <c r="P229" s="27">
        <v>1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93</v>
      </c>
      <c r="X229" s="27">
        <v>0</v>
      </c>
      <c r="Y229" s="188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0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7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9" t="str">
        <f t="shared" si="102"/>
        <v>|CffFFD24DE强力附魔石|r</v>
      </c>
      <c r="K230" s="169" t="str">
        <f t="shared" si="103"/>
        <v>为|Cffffd24dE技能|r附魔一条|Cffffd24d随机属性|r。</v>
      </c>
      <c r="L230" s="27"/>
      <c r="M230" s="170" t="str">
        <f>VLOOKUP(LEFT(RIGHT(B230,5),4),物品!B:CU,20,FALSE)</f>
        <v>ReplaceableTextures\\CommandButtons\\BTN011.blp</v>
      </c>
      <c r="N230" s="188" t="s">
        <v>83</v>
      </c>
      <c r="O230" s="170" t="s">
        <v>98</v>
      </c>
      <c r="P230" s="27">
        <v>2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93</v>
      </c>
      <c r="X230" s="27">
        <v>0</v>
      </c>
      <c r="Y230" s="188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0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7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9" t="str">
        <f t="shared" ref="J231" si="104">H231</f>
        <v>|CffFF0000占星|r</v>
      </c>
      <c r="K231" s="169" t="str">
        <f t="shared" ref="K231" si="105">I231</f>
        <v>|CffFF0000占星|r</v>
      </c>
      <c r="L231" s="27"/>
      <c r="M231" s="170" t="str">
        <f>VLOOKUP(LEFT(RIGHT(B231,5),4),物品!B:CU,20,FALSE)</f>
        <v>ReplaceableTextures\\CommandButtons\\BTNIS11.blp</v>
      </c>
      <c r="N231" s="188" t="s">
        <v>83</v>
      </c>
      <c r="O231" s="170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0</v>
      </c>
      <c r="Y231" s="188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7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9" t="str">
        <f t="shared" si="96"/>
        <v>|CffFFD24D兽魂抽奖|r</v>
      </c>
      <c r="K232" s="169" t="str">
        <f t="shared" si="97"/>
        <v>|CffFFD24D兽魂抽奖|r</v>
      </c>
      <c r="L232" s="27"/>
      <c r="M232" s="170" t="str">
        <f>VLOOKUP(LEFT(RIGHT(B232,5),4),物品!B:CU,20,FALSE)</f>
        <v>ReplaceableTextures\\CommandButtons\\BTNIH00.blp</v>
      </c>
      <c r="N232" s="188" t="s">
        <v>83</v>
      </c>
      <c r="O232" s="170" t="s">
        <v>98</v>
      </c>
      <c r="P232" s="27">
        <v>0</v>
      </c>
      <c r="Q232" s="27">
        <v>0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7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9" t="str">
        <f t="shared" si="96"/>
        <v>|CffFFD24D兽魂抽奖|r</v>
      </c>
      <c r="K233" s="169" t="str">
        <f t="shared" si="97"/>
        <v>|CffFFD24D兽魂抽奖|r</v>
      </c>
      <c r="L233" s="27"/>
      <c r="M233" s="170" t="str">
        <f>VLOOKUP(LEFT(RIGHT(B233,5),4),物品!B:CU,20,FALSE)</f>
        <v>ReplaceableTextures\\CommandButtons\\BTNIH00.blp</v>
      </c>
      <c r="N233" s="188" t="s">
        <v>83</v>
      </c>
      <c r="O233" s="170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7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9" t="str">
        <f t="shared" si="96"/>
        <v>|CffFFD24D占星卜卦|r</v>
      </c>
      <c r="K234" s="169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70" t="str">
        <f>VLOOKUP(LEFT(RIGHT(B234,5),4),物品!B:CU,20,FALSE)</f>
        <v>ReplaceableTextures\\CommandButtons\\BTNIH00.blp</v>
      </c>
      <c r="N234" s="188" t="s">
        <v>83</v>
      </c>
      <c r="O234" s="170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3888</v>
      </c>
      <c r="Y234" s="188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7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9" t="str">
        <f t="shared" si="96"/>
        <v>|CffFFD24D占星卜卦|r - [|cffffcc0010连|r]</v>
      </c>
      <c r="K235" s="169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70" t="str">
        <f>VLOOKUP(LEFT(RIGHT(B235,5),4),物品!B:CU,20,FALSE)</f>
        <v>ReplaceableTextures\\CommandButtons\\BTNIH00.blp</v>
      </c>
      <c r="N235" s="188" t="s">
        <v>83</v>
      </c>
      <c r="O235" s="170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39999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7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9" t="str">
        <f t="shared" si="96"/>
        <v>|cffffd24d强化饰品等级|n|r</v>
      </c>
      <c r="K236" s="16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70" t="str">
        <f>VLOOKUP(LEFT(RIGHT(B236,5),4),物品!B:CU,20,FALSE)</f>
        <v>ReplaceableTextures\\CommandButtons\\BTNZ10.blp</v>
      </c>
      <c r="N236" s="188" t="s">
        <v>83</v>
      </c>
      <c r="O236" s="170" t="s">
        <v>98</v>
      </c>
      <c r="P236" s="27">
        <v>0</v>
      </c>
      <c r="Q236" s="27">
        <v>1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7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9" t="str">
        <f t="shared" ref="J237:J238" si="106">H237</f>
        <v>|CffFFD24D强化药品等级|r</v>
      </c>
      <c r="K237" s="169" t="str">
        <f t="shared" ref="K237:K238" si="107">I237</f>
        <v>|cffffcc00升级消耗：|r150+等级*150杀敌数|n|n|cff00ff7f最高升至10级|r</v>
      </c>
      <c r="L237" s="27"/>
      <c r="M237" s="170" t="str">
        <f>VLOOKUP(LEFT(RIGHT(B237,5),4),物品!B:CU,20,FALSE)</f>
        <v>ReplaceableTextures\\CommandButtons\\BTNAG06.blp</v>
      </c>
      <c r="N237" s="188" t="s">
        <v>83</v>
      </c>
      <c r="O237" s="170" t="s">
        <v>98</v>
      </c>
      <c r="P237" s="27">
        <v>0</v>
      </c>
      <c r="Q237" s="27">
        <v>1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7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9" t="str">
        <f t="shared" si="106"/>
        <v>星耀福利</v>
      </c>
      <c r="K238" s="169" t="str">
        <f t="shared" si="107"/>
        <v>|cffffcc33平台名称带有“星耀”开局自动激活！|n|n|r奖励：|n|cffffcc00每秒金币+1|n每秒攻击+1|n每秒生命+5|r</v>
      </c>
      <c r="L238" s="27"/>
      <c r="M238" s="170" t="str">
        <f>VLOOKUP(LEFT(RIGHT(B238,5),4),物品!B:CU,20,FALSE)</f>
        <v>ReplaceableTextures\\CommandButtons\\BTNIB00.blp</v>
      </c>
      <c r="N238" s="188" t="s">
        <v>83</v>
      </c>
      <c r="O238" s="170" t="s">
        <v>98</v>
      </c>
      <c r="P238" s="27">
        <v>0</v>
      </c>
      <c r="Q238" s="27">
        <v>0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0</v>
      </c>
      <c r="Y238" s="18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7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9" t="str">
        <f t="shared" ref="J239:K243" si="108">H239</f>
        <v>公众号礼包</v>
      </c>
      <c r="K239" s="16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70" t="str">
        <f>VLOOKUP(LEFT(RIGHT(B239,5),4),物品!B:CU,20,FALSE)</f>
        <v>ReplaceableTextures\\CommandButtons\\BTNIB01.blp</v>
      </c>
      <c r="N239" s="188" t="s">
        <v>83</v>
      </c>
      <c r="O239" s="170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7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9" t="str">
        <f t="shared" si="108"/>
        <v>入群礼包</v>
      </c>
      <c r="K240" s="169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70" t="str">
        <f>VLOOKUP(LEFT(RIGHT(B240,5),4),物品!B:CU,20,FALSE)</f>
        <v>ReplaceableTextures\\CommandButtons\\BTNIB02.blp</v>
      </c>
      <c r="N240" s="188" t="s">
        <v>83</v>
      </c>
      <c r="O240" s="170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7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9" t="str">
        <f t="shared" si="108"/>
        <v>拜年礼包</v>
      </c>
      <c r="K241" s="169" t="str">
        <f t="shared" si="108"/>
        <v>|cff99ccff给与地图有效评论建议|r即可领取：|n每秒生命+100，每秒业力+2|n|n|r|cff808080地图等级达到3级可领取|r</v>
      </c>
      <c r="L241" s="27"/>
      <c r="M241" s="170" t="str">
        <f>VLOOKUP(LEFT(RIGHT(B241,5),4),物品!B:CU,20,FALSE)</f>
        <v>ReplaceableTextures\\CommandButtons\\BTNIB03.blp</v>
      </c>
      <c r="N241" s="188" t="s">
        <v>83</v>
      </c>
      <c r="O241" s="170" t="s">
        <v>98</v>
      </c>
      <c r="P241" s="27">
        <v>2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0</v>
      </c>
      <c r="Y241" s="18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7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9" t="str">
        <f t="shared" si="108"/>
        <v>收藏礼包</v>
      </c>
      <c r="K242" s="169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70" t="str">
        <f>VLOOKUP(LEFT(RIGHT(B242,5),4),物品!B:CU,20,FALSE)</f>
        <v>ReplaceableTextures\\CommandButtons\\BTNIB04.blp</v>
      </c>
      <c r="N242" s="188" t="s">
        <v>83</v>
      </c>
      <c r="O242" s="170" t="s">
        <v>98</v>
      </c>
      <c r="P242" s="27">
        <v>3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7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9" t="str">
        <f t="shared" si="108"/>
        <v>重置版礼包</v>
      </c>
      <c r="K243" s="169" t="str">
        <f t="shared" si="108"/>
        <v>|cff33ff00购买魔兽重制版可领取该礼包！|n|n|r奖励：|n招魂幡Lv3</v>
      </c>
      <c r="L243" s="27"/>
      <c r="M243" s="170" t="str">
        <f>VLOOKUP(LEFT(RIGHT(B243,5),4),物品!B:CU,20,FALSE)</f>
        <v>ReplaceableTextures\\CommandButtons\\BTNIB05.blp</v>
      </c>
      <c r="N243" s="188" t="s">
        <v>83</v>
      </c>
      <c r="O243" s="170" t="s">
        <v>98</v>
      </c>
      <c r="P243" s="27">
        <v>0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0</v>
      </c>
      <c r="Y243" s="18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7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9" t="str">
        <f t="shared" ref="J244:J249" si="109">H244</f>
        <v>公会福利</v>
      </c>
      <c r="K244" s="169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70" t="str">
        <f>VLOOKUP(LEFT(RIGHT(B244,5),4),物品!B:CU,20,FALSE)</f>
        <v>ReplaceableTextures\\CommandButtons\\BTNIB06.blp</v>
      </c>
      <c r="N244" s="188" t="s">
        <v>83</v>
      </c>
      <c r="O244" s="170" t="s">
        <v>98</v>
      </c>
      <c r="P244" s="27">
        <v>1</v>
      </c>
      <c r="Q244" s="27">
        <v>1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7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9" t="str">
        <f t="shared" si="109"/>
        <v>星耀礼包</v>
      </c>
      <c r="K245" s="169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70" t="str">
        <f>VLOOKUP(LEFT(RIGHT(B245,5),4),物品!B:CU,20,FALSE)</f>
        <v>ReplaceableTextures\\CommandButtons\\BTNIB07.blp</v>
      </c>
      <c r="N245" s="188" t="s">
        <v>83</v>
      </c>
      <c r="O245" s="170" t="s">
        <v>98</v>
      </c>
      <c r="P245" s="27">
        <v>2</v>
      </c>
      <c r="Q245" s="27">
        <v>1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7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9" t="str">
        <f t="shared" si="109"/>
        <v>魔芝RPG礼包</v>
      </c>
      <c r="K246" s="169" t="str">
        <f t="shared" si="110"/>
        <v>|cff99ccff游戏中输入《|r|cff33ff00魔芝RPG|r|cff99ccff》领取本礼包！|r|n|n|r奖励：|n|cffffcc00练功房怪物数量+1|r</v>
      </c>
      <c r="L246" s="27"/>
      <c r="M246" s="170" t="str">
        <f>VLOOKUP(LEFT(RIGHT(B246,5),4),物品!B:CU,20,FALSE)</f>
        <v>ReplaceableTextures\\CommandButtons\\BTNIB08.blp</v>
      </c>
      <c r="N246" s="188" t="s">
        <v>83</v>
      </c>
      <c r="O246" s="170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7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9" t="str">
        <f t="shared" si="109"/>
        <v>老铁礼包</v>
      </c>
      <c r="K247" s="169">
        <f t="shared" si="110"/>
        <v>0</v>
      </c>
      <c r="L247" s="27"/>
      <c r="M247" s="170" t="str">
        <f>VLOOKUP(LEFT(RIGHT(B247,5),4),物品!B:CU,20,FALSE)</f>
        <v>ReplaceableTextures\\CommandButtons\\BTNIB09.blp</v>
      </c>
      <c r="N247" s="188" t="s">
        <v>83</v>
      </c>
      <c r="O247" s="170" t="s">
        <v>98</v>
      </c>
      <c r="P247" s="27">
        <v>0</v>
      </c>
      <c r="Q247" s="27">
        <v>0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7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9" t="str">
        <f t="shared" ref="J248" si="111">H248</f>
        <v>已领取星耀福利</v>
      </c>
      <c r="K248" s="169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70" t="str">
        <f>VLOOKUP(LEFT(RIGHT(B248,5),4),物品!B:CU,20,FALSE)</f>
        <v>ReplaceableTextures\\commandButtons\\BTNLBUI01.blp</v>
      </c>
      <c r="N248" s="188" t="s">
        <v>83</v>
      </c>
      <c r="O248" s="170" t="s">
        <v>98</v>
      </c>
      <c r="P248" s="27">
        <v>0</v>
      </c>
      <c r="Q248" s="27">
        <v>0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7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9" t="str">
        <f t="shared" si="109"/>
        <v>已领取公众号礼包</v>
      </c>
      <c r="K249" s="16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70" t="str">
        <f>VLOOKUP(LEFT(RIGHT(B249,5),4),物品!B:CU,20,FALSE)</f>
        <v>ReplaceableTextures\\commandButtons\\BTNLBUI01.blp</v>
      </c>
      <c r="N249" s="188" t="s">
        <v>83</v>
      </c>
      <c r="O249" s="170" t="s">
        <v>98</v>
      </c>
      <c r="P249" s="27">
        <v>0</v>
      </c>
      <c r="Q249" s="27">
        <v>0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7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9" t="str">
        <f t="shared" ref="J250:J262" si="113">H250</f>
        <v>已领取入群礼包</v>
      </c>
      <c r="K250" s="169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70" t="str">
        <f>VLOOKUP(LEFT(RIGHT(B250,5),4),物品!B:CU,20,FALSE)</f>
        <v>ReplaceableTextures\\commandButtons\\BTNLBUI01.blp</v>
      </c>
      <c r="N250" s="188" t="s">
        <v>83</v>
      </c>
      <c r="O250" s="170" t="s">
        <v>98</v>
      </c>
      <c r="P250" s="27">
        <v>1</v>
      </c>
      <c r="Q250" s="27">
        <v>0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88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1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7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9" t="str">
        <f t="shared" si="113"/>
        <v>已领取拜年礼包</v>
      </c>
      <c r="K251" s="169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70" t="str">
        <f>VLOOKUP(LEFT(RIGHT(B251,5),4),物品!B:CU,20,FALSE)</f>
        <v>ReplaceableTextures\\commandButtons\\BTNLBUI01.blp</v>
      </c>
      <c r="N251" s="188" t="s">
        <v>83</v>
      </c>
      <c r="O251" s="170" t="s">
        <v>98</v>
      </c>
      <c r="P251" s="27">
        <v>2</v>
      </c>
      <c r="Q251" s="27">
        <v>0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88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1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7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9" t="str">
        <f t="shared" si="113"/>
        <v>已领取收藏礼包</v>
      </c>
      <c r="K252" s="169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70" t="str">
        <f>VLOOKUP(LEFT(RIGHT(B252,5),4),物品!B:CU,20,FALSE)</f>
        <v>ReplaceableTextures\\commandButtons\\BTNLBUI01.blp</v>
      </c>
      <c r="N252" s="188" t="s">
        <v>83</v>
      </c>
      <c r="O252" s="170" t="s">
        <v>98</v>
      </c>
      <c r="P252" s="27">
        <v>3</v>
      </c>
      <c r="Q252" s="27">
        <v>0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88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1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7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9" t="str">
        <f t="shared" si="113"/>
        <v>已领取重置版礼包</v>
      </c>
      <c r="K253" s="169" t="str">
        <f t="shared" si="114"/>
        <v>|cff33ff00购买魔兽重制版可领取该礼包！|n|n|r奖励：|n招魂幡Lv3|N|N|cff00ff00已领取该礼包</v>
      </c>
      <c r="L253" s="27"/>
      <c r="M253" s="170" t="str">
        <f>VLOOKUP(LEFT(RIGHT(B253,5),4),物品!B:CU,20,FALSE)</f>
        <v>ReplaceableTextures\\commandButtons\\BTNLBUI01.blp</v>
      </c>
      <c r="N253" s="188" t="s">
        <v>83</v>
      </c>
      <c r="O253" s="170" t="s">
        <v>98</v>
      </c>
      <c r="P253" s="27">
        <v>0</v>
      </c>
      <c r="Q253" s="27">
        <v>1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88</v>
      </c>
      <c r="X253" s="27">
        <v>0</v>
      </c>
      <c r="Y253" s="188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1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7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9" t="str">
        <f t="shared" si="113"/>
        <v>已领取公会福利</v>
      </c>
      <c r="K254" s="169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70" t="str">
        <f>VLOOKUP(LEFT(RIGHT(B254,5),4),物品!B:CU,20,FALSE)</f>
        <v>ReplaceableTextures\\commandButtons\\BTNLBUI01.blp</v>
      </c>
      <c r="N254" s="188" t="s">
        <v>83</v>
      </c>
      <c r="O254" s="170" t="s">
        <v>98</v>
      </c>
      <c r="P254" s="27">
        <v>1</v>
      </c>
      <c r="Q254" s="27">
        <v>1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88</v>
      </c>
      <c r="X254" s="27">
        <v>0</v>
      </c>
      <c r="Y254" s="188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1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7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9" t="str">
        <f t="shared" si="113"/>
        <v>已领取星耀礼包</v>
      </c>
      <c r="K255" s="169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70" t="str">
        <f>VLOOKUP(LEFT(RIGHT(B255,5),4),物品!B:CU,20,FALSE)</f>
        <v>ReplaceableTextures\\commandButtons\\BTNLBUI01.blp</v>
      </c>
      <c r="N255" s="188" t="s">
        <v>83</v>
      </c>
      <c r="O255" s="170" t="s">
        <v>98</v>
      </c>
      <c r="P255" s="27">
        <v>2</v>
      </c>
      <c r="Q255" s="27">
        <v>1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88</v>
      </c>
      <c r="X255" s="27">
        <v>0</v>
      </c>
      <c r="Y255" s="188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1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7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9" t="str">
        <f t="shared" si="113"/>
        <v>已领取魔芝RPG礼包</v>
      </c>
      <c r="K256" s="169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70" t="str">
        <f>VLOOKUP(LEFT(RIGHT(B256,5),4),物品!B:CU,20,FALSE)</f>
        <v>ReplaceableTextures\\commandButtons\\BTNLBUI01.blp</v>
      </c>
      <c r="N256" s="188" t="s">
        <v>83</v>
      </c>
      <c r="O256" s="170" t="s">
        <v>98</v>
      </c>
      <c r="P256" s="27">
        <v>2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7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9" t="str">
        <f t="shared" si="113"/>
        <v>已领取老铁礼包</v>
      </c>
      <c r="K257" s="169" t="str">
        <f t="shared" si="114"/>
        <v>|N|N|cff00ff00已领取该礼包</v>
      </c>
      <c r="L257" s="27"/>
      <c r="M257" s="170" t="str">
        <f>VLOOKUP(LEFT(RIGHT(B257,5),4),物品!B:CU,20,FALSE)</f>
        <v>ReplaceableTextures\\commandButtons\\BTNLBUI01.blp</v>
      </c>
      <c r="N257" s="188" t="s">
        <v>83</v>
      </c>
      <c r="O257" s="170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7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9" t="str">
        <f t="shared" ref="J258" si="115">H258</f>
        <v>积分兑换-永久</v>
      </c>
      <c r="K258" s="169" t="str">
        <f t="shared" ref="K258" si="116">I258</f>
        <v>积分兑换-永久</v>
      </c>
      <c r="L258" s="27"/>
      <c r="M258" s="170" t="str">
        <f>VLOOKUP(LEFT(RIGHT(B258,5),4),物品!B:CU,20,FALSE)</f>
        <v>ReplaceableTextures\\CommandButtons\\BTNUIRK04.blp</v>
      </c>
      <c r="N258" s="188" t="s">
        <v>83</v>
      </c>
      <c r="O258" s="170" t="s">
        <v>98</v>
      </c>
      <c r="P258" s="27">
        <v>0</v>
      </c>
      <c r="Q258" s="27">
        <v>2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7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9" t="str">
        <f t="shared" si="113"/>
        <v>天乾地坤</v>
      </c>
      <c r="K259" s="169" t="str">
        <f t="shared" si="114"/>
        <v>代码生成</v>
      </c>
      <c r="L259" s="27"/>
      <c r="M259" s="170" t="str">
        <f>VLOOKUP(LEFT(RIGHT(B259,5),4),物品!B:CU,20,FALSE)</f>
        <v>ReplaceableTextures\\CommandButtons\\BTNRY1C.blp</v>
      </c>
      <c r="N259" s="188" t="s">
        <v>83</v>
      </c>
      <c r="O259" s="170" t="s">
        <v>98</v>
      </c>
      <c r="P259" s="27">
        <v>2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0</v>
      </c>
      <c r="Y259" s="188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7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9" t="str">
        <f t="shared" si="113"/>
        <v>五彩凰翼</v>
      </c>
      <c r="K260" s="169" t="str">
        <f t="shared" si="114"/>
        <v>代码生成</v>
      </c>
      <c r="L260" s="27"/>
      <c r="M260" s="170" t="str">
        <f>VLOOKUP(LEFT(RIGHT(B260,5),4),物品!B:CU,20,FALSE)</f>
        <v>ReplaceableTextures\\CommandButtons\\BTNRY2C.blp</v>
      </c>
      <c r="N260" s="188" t="s">
        <v>83</v>
      </c>
      <c r="O260" s="170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0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7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9" t="str">
        <f t="shared" si="113"/>
        <v>崩鸣刃</v>
      </c>
      <c r="K261" s="169" t="str">
        <f t="shared" si="114"/>
        <v>代码生成</v>
      </c>
      <c r="L261" s="27"/>
      <c r="M261" s="170" t="str">
        <f>VLOOKUP(LEFT(RIGHT(B261,5),4),物品!B:CU,20,FALSE)</f>
        <v>ReplaceableTextures\\CommandButtons\\BTNRY3C.blp</v>
      </c>
      <c r="N261" s="188" t="s">
        <v>83</v>
      </c>
      <c r="O261" s="170" t="s">
        <v>98</v>
      </c>
      <c r="P261" s="27">
        <v>3</v>
      </c>
      <c r="Q261" s="27">
        <v>0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7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9" t="str">
        <f t="shared" si="113"/>
        <v>俯瞰寰宇</v>
      </c>
      <c r="K262" s="169" t="str">
        <f t="shared" si="114"/>
        <v>代码生成</v>
      </c>
      <c r="L262" s="27"/>
      <c r="M262" s="170" t="str">
        <f>VLOOKUP(LEFT(RIGHT(B262,5),4),物品!B:CU,20,FALSE)</f>
        <v>ReplaceableTextures\\CommandButtons\\BTNRY4C.blp</v>
      </c>
      <c r="N262" s="188" t="s">
        <v>83</v>
      </c>
      <c r="O262" s="170" t="s">
        <v>98</v>
      </c>
      <c r="P262" s="27">
        <v>1</v>
      </c>
      <c r="Q262" s="27">
        <v>0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7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9" t="str">
        <f t="shared" ref="J263:J264" si="117">H263</f>
        <v>冰火双翼</v>
      </c>
      <c r="K263" s="169" t="str">
        <f t="shared" ref="K263:K264" si="118">I263</f>
        <v>代码生成</v>
      </c>
      <c r="L263" s="27"/>
      <c r="M263" s="170" t="str">
        <f>VLOOKUP(LEFT(RIGHT(B263,5),4),物品!B:CU,20,FALSE)</f>
        <v>ReplaceableTextures\\CommandButtons\\BTNRY2E.blp</v>
      </c>
      <c r="N263" s="188" t="s">
        <v>83</v>
      </c>
      <c r="O263" s="170" t="s">
        <v>98</v>
      </c>
      <c r="P263" s="27">
        <v>0</v>
      </c>
      <c r="Q263" s="27">
        <v>1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7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9" t="str">
        <f t="shared" si="117"/>
        <v>羽族之音</v>
      </c>
      <c r="K264" s="169" t="str">
        <f t="shared" si="118"/>
        <v>代码生成</v>
      </c>
      <c r="L264" s="27"/>
      <c r="M264" s="170" t="str">
        <f>VLOOKUP(LEFT(RIGHT(B264,5),4),物品!B:CU,20,FALSE)</f>
        <v>ReplaceableTextures\\CommandButtons\\BTNRY2F.blp</v>
      </c>
      <c r="N264" s="188" t="s">
        <v>83</v>
      </c>
      <c r="O264" s="170" t="s">
        <v>98</v>
      </c>
      <c r="P264" s="27">
        <v>1</v>
      </c>
      <c r="Q264" s="27">
        <v>1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7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9" t="str">
        <f t="shared" ref="J265" si="119">H265</f>
        <v>凌风之灵</v>
      </c>
      <c r="K265" s="169" t="str">
        <f t="shared" ref="K265" si="120">I265</f>
        <v>代码生成</v>
      </c>
      <c r="L265" s="27"/>
      <c r="M265" s="170" t="str">
        <f>VLOOKUP(LEFT(RIGHT(B265,5),4),物品!B:CU,20,FALSE)</f>
        <v>ReplaceableTextures\\CommandButtons\\BTNRY4O.blp</v>
      </c>
      <c r="N265" s="188" t="s">
        <v>83</v>
      </c>
      <c r="O265" s="170" t="s">
        <v>98</v>
      </c>
      <c r="P265" s="27">
        <v>2</v>
      </c>
      <c r="Q265" s="27">
        <v>1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7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9" t="str">
        <f t="shared" ref="J266" si="121">H266</f>
        <v>附魔</v>
      </c>
      <c r="K266" s="169">
        <f t="shared" ref="K266" si="122">I266</f>
        <v>0</v>
      </c>
      <c r="L266" s="27"/>
      <c r="M266" s="170">
        <f>VLOOKUP(LEFT(RIGHT(B266,5),4),物品!B:CU,20,FALSE)</f>
        <v>0</v>
      </c>
      <c r="N266" s="188" t="s">
        <v>83</v>
      </c>
      <c r="O266" s="170" t="s">
        <v>98</v>
      </c>
      <c r="P266" s="27">
        <v>0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7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9" t="str">
        <f t="shared" ref="J267:J292" si="123">H267</f>
        <v>附魔</v>
      </c>
      <c r="K267" s="169">
        <f t="shared" ref="K267:K292" si="124">I267</f>
        <v>0</v>
      </c>
      <c r="L267" s="27"/>
      <c r="M267" s="170">
        <f>VLOOKUP(LEFT(RIGHT(B267,5),4),物品!B:CU,20,FALSE)</f>
        <v>0</v>
      </c>
      <c r="N267" s="188" t="s">
        <v>83</v>
      </c>
      <c r="O267" s="170" t="s">
        <v>98</v>
      </c>
      <c r="P267" s="27">
        <v>0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7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9" t="str">
        <f t="shared" si="123"/>
        <v>附魔</v>
      </c>
      <c r="K268" s="169">
        <f t="shared" si="124"/>
        <v>0</v>
      </c>
      <c r="L268" s="27"/>
      <c r="M268" s="170">
        <f>VLOOKUP(LEFT(RIGHT(B268,5),4),物品!B:CU,20,FALSE)</f>
        <v>0</v>
      </c>
      <c r="N268" s="188" t="s">
        <v>83</v>
      </c>
      <c r="O268" s="170" t="s">
        <v>98</v>
      </c>
      <c r="P268" s="27">
        <v>0</v>
      </c>
      <c r="Q268" s="27">
        <v>0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7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9" t="str">
        <f t="shared" si="123"/>
        <v>附魔</v>
      </c>
      <c r="K269" s="169">
        <f t="shared" si="124"/>
        <v>0</v>
      </c>
      <c r="L269" s="27"/>
      <c r="M269" s="170">
        <f>VLOOKUP(LEFT(RIGHT(B269,5),4),物品!B:CU,20,FALSE)</f>
        <v>0</v>
      </c>
      <c r="N269" s="188" t="s">
        <v>83</v>
      </c>
      <c r="O269" s="170" t="s">
        <v>98</v>
      </c>
      <c r="P269" s="27">
        <v>0</v>
      </c>
      <c r="Q269" s="27">
        <v>0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7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9" t="str">
        <f t="shared" si="123"/>
        <v>附魔</v>
      </c>
      <c r="K270" s="169">
        <f t="shared" si="124"/>
        <v>0</v>
      </c>
      <c r="L270" s="27"/>
      <c r="M270" s="170">
        <f>VLOOKUP(LEFT(RIGHT(B270,5),4),物品!B:CU,20,FALSE)</f>
        <v>0</v>
      </c>
      <c r="N270" s="188" t="s">
        <v>83</v>
      </c>
      <c r="O270" s="170" t="s">
        <v>98</v>
      </c>
      <c r="P270" s="27">
        <v>0</v>
      </c>
      <c r="Q270" s="27">
        <v>0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7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9" t="str">
        <f t="shared" si="123"/>
        <v>附魔</v>
      </c>
      <c r="K271" s="169">
        <f t="shared" si="124"/>
        <v>0</v>
      </c>
      <c r="L271" s="27"/>
      <c r="M271" s="170">
        <f>VLOOKUP(LEFT(RIGHT(B271,5),4),物品!B:CU,20,FALSE)</f>
        <v>0</v>
      </c>
      <c r="N271" s="188" t="s">
        <v>83</v>
      </c>
      <c r="O271" s="170" t="s">
        <v>98</v>
      </c>
      <c r="P271" s="27">
        <v>0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7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9" t="str">
        <f t="shared" si="123"/>
        <v>附魔</v>
      </c>
      <c r="K272" s="169">
        <f t="shared" si="124"/>
        <v>0</v>
      </c>
      <c r="L272" s="27"/>
      <c r="M272" s="170">
        <f>VLOOKUP(LEFT(RIGHT(B272,5),4),物品!B:CU,20,FALSE)</f>
        <v>0</v>
      </c>
      <c r="N272" s="188" t="s">
        <v>83</v>
      </c>
      <c r="O272" s="170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7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9" t="str">
        <f t="shared" si="123"/>
        <v>附魔</v>
      </c>
      <c r="K273" s="169">
        <f t="shared" si="124"/>
        <v>0</v>
      </c>
      <c r="L273" s="27"/>
      <c r="M273" s="170">
        <f>VLOOKUP(LEFT(RIGHT(B273,5),4),物品!B:CU,20,FALSE)</f>
        <v>0</v>
      </c>
      <c r="N273" s="188" t="s">
        <v>83</v>
      </c>
      <c r="O273" s="170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7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9" t="str">
        <f t="shared" si="123"/>
        <v>附魔</v>
      </c>
      <c r="K274" s="169">
        <f t="shared" si="124"/>
        <v>0</v>
      </c>
      <c r="L274" s="27"/>
      <c r="M274" s="170">
        <f>VLOOKUP(LEFT(RIGHT(B274,5),4),物品!B:CU,20,FALSE)</f>
        <v>0</v>
      </c>
      <c r="N274" s="188" t="s">
        <v>83</v>
      </c>
      <c r="O274" s="170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7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9" t="str">
        <f t="shared" si="123"/>
        <v>附魔</v>
      </c>
      <c r="K275" s="169">
        <f t="shared" si="124"/>
        <v>0</v>
      </c>
      <c r="L275" s="27"/>
      <c r="M275" s="170">
        <f>VLOOKUP(LEFT(RIGHT(B275,5),4),物品!B:CU,20,FALSE)</f>
        <v>0</v>
      </c>
      <c r="N275" s="188" t="s">
        <v>83</v>
      </c>
      <c r="O275" s="170" t="s">
        <v>98</v>
      </c>
      <c r="P275" s="27">
        <v>0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7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9" t="str">
        <f t="shared" si="123"/>
        <v>附魔</v>
      </c>
      <c r="K276" s="169">
        <f t="shared" si="124"/>
        <v>0</v>
      </c>
      <c r="L276" s="27"/>
      <c r="M276" s="170">
        <f>VLOOKUP(LEFT(RIGHT(B276,5),4),物品!B:CU,20,FALSE)</f>
        <v>0</v>
      </c>
      <c r="N276" s="188" t="s">
        <v>83</v>
      </c>
      <c r="O276" s="170" t="s">
        <v>98</v>
      </c>
      <c r="P276" s="27">
        <v>0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7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9" t="str">
        <f t="shared" si="123"/>
        <v>附魔</v>
      </c>
      <c r="K277" s="169">
        <f t="shared" si="124"/>
        <v>0</v>
      </c>
      <c r="L277" s="27"/>
      <c r="M277" s="170">
        <f>VLOOKUP(LEFT(RIGHT(B277,5),4),物品!B:CU,20,FALSE)</f>
        <v>0</v>
      </c>
      <c r="N277" s="188" t="s">
        <v>83</v>
      </c>
      <c r="O277" s="170" t="s">
        <v>98</v>
      </c>
      <c r="P277" s="27">
        <v>0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7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9" t="str">
        <f t="shared" si="123"/>
        <v>附魔</v>
      </c>
      <c r="K278" s="169">
        <f t="shared" si="124"/>
        <v>0</v>
      </c>
      <c r="L278" s="27"/>
      <c r="M278" s="170">
        <f>VLOOKUP(LEFT(RIGHT(B278,5),4),物品!B:CU,20,FALSE)</f>
        <v>0</v>
      </c>
      <c r="N278" s="188" t="s">
        <v>83</v>
      </c>
      <c r="O278" s="170" t="s">
        <v>98</v>
      </c>
      <c r="P278" s="27">
        <v>0</v>
      </c>
      <c r="Q278" s="27">
        <v>0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7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9" t="str">
        <f t="shared" si="123"/>
        <v>附魔</v>
      </c>
      <c r="K279" s="169">
        <f t="shared" si="124"/>
        <v>0</v>
      </c>
      <c r="L279" s="27"/>
      <c r="M279" s="170">
        <f>VLOOKUP(LEFT(RIGHT(B279,5),4),物品!B:CU,20,FALSE)</f>
        <v>0</v>
      </c>
      <c r="N279" s="188" t="s">
        <v>83</v>
      </c>
      <c r="O279" s="170" t="s">
        <v>98</v>
      </c>
      <c r="P279" s="27">
        <v>0</v>
      </c>
      <c r="Q279" s="27">
        <v>0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7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9" t="str">
        <f t="shared" si="123"/>
        <v>附魔</v>
      </c>
      <c r="K280" s="169">
        <f t="shared" si="124"/>
        <v>0</v>
      </c>
      <c r="L280" s="27"/>
      <c r="M280" s="170">
        <f>VLOOKUP(LEFT(RIGHT(B280,5),4),物品!B:CU,20,FALSE)</f>
        <v>0</v>
      </c>
      <c r="N280" s="188" t="s">
        <v>83</v>
      </c>
      <c r="O280" s="170" t="s">
        <v>98</v>
      </c>
      <c r="P280" s="27">
        <v>0</v>
      </c>
      <c r="Q280" s="27">
        <v>0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7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9" t="str">
        <f t="shared" si="123"/>
        <v>附魔</v>
      </c>
      <c r="K281" s="169">
        <f t="shared" si="124"/>
        <v>0</v>
      </c>
      <c r="L281" s="27"/>
      <c r="M281" s="170">
        <f>VLOOKUP(LEFT(RIGHT(B281,5),4),物品!B:CU,20,FALSE)</f>
        <v>0</v>
      </c>
      <c r="N281" s="188" t="s">
        <v>83</v>
      </c>
      <c r="O281" s="170" t="s">
        <v>98</v>
      </c>
      <c r="P281" s="27">
        <v>0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7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9" t="str">
        <f t="shared" si="123"/>
        <v>附魔</v>
      </c>
      <c r="K282" s="169">
        <f t="shared" si="124"/>
        <v>0</v>
      </c>
      <c r="L282" s="27"/>
      <c r="M282" s="170">
        <f>VLOOKUP(LEFT(RIGHT(B282,5),4),物品!B:CU,20,FALSE)</f>
        <v>0</v>
      </c>
      <c r="N282" s="188" t="s">
        <v>83</v>
      </c>
      <c r="O282" s="170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7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9" t="str">
        <f t="shared" si="123"/>
        <v>附魔</v>
      </c>
      <c r="K283" s="169">
        <f t="shared" si="124"/>
        <v>0</v>
      </c>
      <c r="L283" s="27"/>
      <c r="M283" s="170">
        <f>VLOOKUP(LEFT(RIGHT(B283,5),4),物品!B:CU,20,FALSE)</f>
        <v>0</v>
      </c>
      <c r="N283" s="188" t="s">
        <v>83</v>
      </c>
      <c r="O283" s="170" t="s">
        <v>98</v>
      </c>
      <c r="P283" s="27">
        <v>0</v>
      </c>
      <c r="Q283" s="27">
        <v>0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7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9" t="str">
        <f t="shared" si="123"/>
        <v>附魔</v>
      </c>
      <c r="K284" s="169">
        <f t="shared" si="124"/>
        <v>0</v>
      </c>
      <c r="L284" s="27"/>
      <c r="M284" s="170">
        <f>VLOOKUP(LEFT(RIGHT(B284,5),4),物品!B:CU,20,FALSE)</f>
        <v>0</v>
      </c>
      <c r="N284" s="188" t="s">
        <v>83</v>
      </c>
      <c r="O284" s="170" t="s">
        <v>98</v>
      </c>
      <c r="P284" s="27">
        <v>0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7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9" t="str">
        <f t="shared" si="123"/>
        <v>附魔</v>
      </c>
      <c r="K285" s="169">
        <f t="shared" si="124"/>
        <v>0</v>
      </c>
      <c r="L285" s="27"/>
      <c r="M285" s="170">
        <f>VLOOKUP(LEFT(RIGHT(B285,5),4),物品!B:CU,20,FALSE)</f>
        <v>0</v>
      </c>
      <c r="N285" s="188" t="s">
        <v>83</v>
      </c>
      <c r="O285" s="170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7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9" t="str">
        <f t="shared" si="123"/>
        <v>附魔</v>
      </c>
      <c r="K286" s="169">
        <f t="shared" si="124"/>
        <v>0</v>
      </c>
      <c r="L286" s="27"/>
      <c r="M286" s="170">
        <f>VLOOKUP(LEFT(RIGHT(B286,5),4),物品!B:CU,20,FALSE)</f>
        <v>0</v>
      </c>
      <c r="N286" s="188" t="s">
        <v>83</v>
      </c>
      <c r="O286" s="170" t="s">
        <v>98</v>
      </c>
      <c r="P286" s="27">
        <v>0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7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9" t="str">
        <f t="shared" si="123"/>
        <v>附魔</v>
      </c>
      <c r="K287" s="169">
        <f t="shared" si="124"/>
        <v>0</v>
      </c>
      <c r="L287" s="27"/>
      <c r="M287" s="170">
        <f>VLOOKUP(LEFT(RIGHT(B287,5),4),物品!B:CU,20,FALSE)</f>
        <v>0</v>
      </c>
      <c r="N287" s="188" t="s">
        <v>83</v>
      </c>
      <c r="O287" s="170" t="s">
        <v>98</v>
      </c>
      <c r="P287" s="27">
        <v>0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7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9" t="str">
        <f t="shared" si="123"/>
        <v>附魔</v>
      </c>
      <c r="K288" s="169">
        <f t="shared" si="124"/>
        <v>0</v>
      </c>
      <c r="L288" s="27"/>
      <c r="M288" s="170">
        <f>VLOOKUP(LEFT(RIGHT(B288,5),4),物品!B:CU,20,FALSE)</f>
        <v>0</v>
      </c>
      <c r="N288" s="188" t="s">
        <v>83</v>
      </c>
      <c r="O288" s="170" t="s">
        <v>98</v>
      </c>
      <c r="P288" s="27">
        <v>0</v>
      </c>
      <c r="Q288" s="27">
        <v>0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7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9" t="str">
        <f t="shared" si="123"/>
        <v>附魔</v>
      </c>
      <c r="K289" s="169">
        <f t="shared" si="124"/>
        <v>0</v>
      </c>
      <c r="L289" s="27"/>
      <c r="M289" s="170">
        <f>VLOOKUP(LEFT(RIGHT(B289,5),4),物品!B:CU,20,FALSE)</f>
        <v>0</v>
      </c>
      <c r="N289" s="188" t="s">
        <v>83</v>
      </c>
      <c r="O289" s="170" t="s">
        <v>98</v>
      </c>
      <c r="P289" s="27">
        <v>0</v>
      </c>
      <c r="Q289" s="27">
        <v>0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7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9" t="str">
        <f t="shared" si="123"/>
        <v>附魔</v>
      </c>
      <c r="K290" s="169">
        <f t="shared" si="124"/>
        <v>0</v>
      </c>
      <c r="L290" s="27"/>
      <c r="M290" s="170">
        <f>VLOOKUP(LEFT(RIGHT(B290,5),4),物品!B:CU,20,FALSE)</f>
        <v>0</v>
      </c>
      <c r="N290" s="188" t="s">
        <v>83</v>
      </c>
      <c r="O290" s="170" t="s">
        <v>98</v>
      </c>
      <c r="P290" s="27">
        <v>0</v>
      </c>
      <c r="Q290" s="27">
        <v>0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7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9" t="str">
        <f t="shared" si="123"/>
        <v>附魔</v>
      </c>
      <c r="K291" s="169">
        <f t="shared" si="124"/>
        <v>0</v>
      </c>
      <c r="L291" s="27"/>
      <c r="M291" s="170">
        <f>VLOOKUP(LEFT(RIGHT(B291,5),4),物品!B:CU,20,FALSE)</f>
        <v>0</v>
      </c>
      <c r="N291" s="188" t="s">
        <v>83</v>
      </c>
      <c r="O291" s="170" t="s">
        <v>98</v>
      </c>
      <c r="P291" s="27">
        <v>0</v>
      </c>
      <c r="Q291" s="27">
        <v>0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7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9" t="str">
        <f t="shared" si="123"/>
        <v>附魔</v>
      </c>
      <c r="K292" s="169">
        <f t="shared" si="124"/>
        <v>0</v>
      </c>
      <c r="L292" s="27"/>
      <c r="M292" s="170">
        <f>VLOOKUP(LEFT(RIGHT(B292,5),4),物品!B:CU,20,FALSE)</f>
        <v>0</v>
      </c>
      <c r="N292" s="188" t="s">
        <v>83</v>
      </c>
      <c r="O292" s="170" t="s">
        <v>98</v>
      </c>
      <c r="P292" s="27">
        <v>0</v>
      </c>
      <c r="Q292" s="27">
        <v>0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7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9" t="str">
        <f t="shared" ref="J293:J295" si="125">H293</f>
        <v>附魔</v>
      </c>
      <c r="K293" s="169">
        <f t="shared" ref="K293:K295" si="126">I293</f>
        <v>0</v>
      </c>
      <c r="L293" s="27"/>
      <c r="M293" s="170">
        <f>VLOOKUP(LEFT(RIGHT(B293,5),4),物品!B:CU,20,FALSE)</f>
        <v>0</v>
      </c>
      <c r="N293" s="188" t="s">
        <v>83</v>
      </c>
      <c r="O293" s="170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7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9" t="str">
        <f t="shared" si="125"/>
        <v>附魔</v>
      </c>
      <c r="K294" s="169">
        <f t="shared" si="126"/>
        <v>0</v>
      </c>
      <c r="L294" s="27"/>
      <c r="M294" s="170">
        <f>VLOOKUP(LEFT(RIGHT(B294,5),4),物品!B:CU,20,FALSE)</f>
        <v>0</v>
      </c>
      <c r="N294" s="188" t="s">
        <v>83</v>
      </c>
      <c r="O294" s="170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7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9" t="str">
        <f t="shared" si="125"/>
        <v>附魔</v>
      </c>
      <c r="K295" s="169">
        <f t="shared" si="126"/>
        <v>0</v>
      </c>
      <c r="L295" s="27"/>
      <c r="M295" s="170">
        <f>VLOOKUP(LEFT(RIGHT(B295,5),4),物品!B:CU,20,FALSE)</f>
        <v>0</v>
      </c>
      <c r="N295" s="188" t="s">
        <v>83</v>
      </c>
      <c r="O295" s="170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7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9" t="str">
        <f t="shared" ref="J296:J310" si="127">H296</f>
        <v>附魔</v>
      </c>
      <c r="K296" s="169">
        <f t="shared" ref="K296:K310" si="128">I296</f>
        <v>0</v>
      </c>
      <c r="L296" s="27"/>
      <c r="M296" s="170">
        <f>VLOOKUP(LEFT(RIGHT(B296,5),4),物品!B:CU,20,FALSE)</f>
        <v>0</v>
      </c>
      <c r="N296" s="188" t="s">
        <v>83</v>
      </c>
      <c r="O296" s="170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7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9" t="str">
        <f t="shared" ref="J297" si="129">H297</f>
        <v>附魔</v>
      </c>
      <c r="K297" s="169">
        <f t="shared" ref="K297" si="130">I297</f>
        <v>0</v>
      </c>
      <c r="L297" s="27"/>
      <c r="M297" s="170">
        <f>VLOOKUP(LEFT(RIGHT(B297,5),4),物品!B:CU,20,FALSE)</f>
        <v>0</v>
      </c>
      <c r="N297" s="188" t="s">
        <v>83</v>
      </c>
      <c r="O297" s="170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7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9" t="str">
        <f t="shared" ref="J298" si="131">H298</f>
        <v>没抽到任何东西</v>
      </c>
      <c r="K298" s="169">
        <f t="shared" ref="K298" si="132">I298</f>
        <v>0</v>
      </c>
      <c r="L298" s="27"/>
      <c r="M298" s="170">
        <f>VLOOKUP(LEFT(RIGHT(B298,5),4),物品!B:CU,20,FALSE)</f>
        <v>0</v>
      </c>
      <c r="N298" s="188" t="s">
        <v>83</v>
      </c>
      <c r="O298" s="170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7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9" t="str">
        <f t="shared" si="127"/>
        <v>玄铁</v>
      </c>
      <c r="K299" s="169">
        <f t="shared" si="128"/>
        <v>0</v>
      </c>
      <c r="L299" s="27"/>
      <c r="M299" s="170">
        <f>VLOOKUP(LEFT(RIGHT(B299,5),4),物品!B:CU,20,FALSE)</f>
        <v>0</v>
      </c>
      <c r="N299" s="188" t="s">
        <v>83</v>
      </c>
      <c r="O299" s="170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7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9" t="str">
        <f t="shared" si="127"/>
        <v>杀敌数</v>
      </c>
      <c r="K300" s="169">
        <f t="shared" si="128"/>
        <v>0</v>
      </c>
      <c r="L300" s="27"/>
      <c r="M300" s="170">
        <f>VLOOKUP(LEFT(RIGHT(B300,5),4),物品!B:CU,20,FALSE)</f>
        <v>0</v>
      </c>
      <c r="N300" s="188" t="s">
        <v>83</v>
      </c>
      <c r="O300" s="170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7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9" t="str">
        <f t="shared" si="127"/>
        <v>攻击力低</v>
      </c>
      <c r="K301" s="169">
        <f t="shared" si="128"/>
        <v>0</v>
      </c>
      <c r="L301" s="27"/>
      <c r="M301" s="170">
        <f>VLOOKUP(LEFT(RIGHT(B301,5),4),物品!B:CU,20,FALSE)</f>
        <v>0</v>
      </c>
      <c r="N301" s="188" t="s">
        <v>83</v>
      </c>
      <c r="O301" s="170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7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9" t="str">
        <f t="shared" si="127"/>
        <v>攻击力中</v>
      </c>
      <c r="K302" s="169">
        <f t="shared" si="128"/>
        <v>0</v>
      </c>
      <c r="L302" s="27"/>
      <c r="M302" s="170">
        <f>VLOOKUP(LEFT(RIGHT(B302,5),4),物品!B:CU,20,FALSE)</f>
        <v>0</v>
      </c>
      <c r="N302" s="188" t="s">
        <v>83</v>
      </c>
      <c r="O302" s="170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7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9" t="str">
        <f t="shared" si="127"/>
        <v>攻击力高</v>
      </c>
      <c r="K303" s="169">
        <f t="shared" si="128"/>
        <v>0</v>
      </c>
      <c r="L303" s="27"/>
      <c r="M303" s="170">
        <f>VLOOKUP(LEFT(RIGHT(B303,5),4),物品!B:CU,20,FALSE)</f>
        <v>0</v>
      </c>
      <c r="N303" s="188" t="s">
        <v>83</v>
      </c>
      <c r="O303" s="170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7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9" t="str">
        <f t="shared" si="127"/>
        <v>生命值低</v>
      </c>
      <c r="K304" s="169">
        <f t="shared" si="128"/>
        <v>0</v>
      </c>
      <c r="L304" s="27"/>
      <c r="M304" s="170">
        <f>VLOOKUP(LEFT(RIGHT(B304,5),4),物品!B:CU,20,FALSE)</f>
        <v>0</v>
      </c>
      <c r="N304" s="188" t="s">
        <v>83</v>
      </c>
      <c r="O304" s="170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7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9" t="str">
        <f t="shared" si="127"/>
        <v>生命值中</v>
      </c>
      <c r="K305" s="169">
        <f t="shared" si="128"/>
        <v>0</v>
      </c>
      <c r="L305" s="27"/>
      <c r="M305" s="170">
        <f>VLOOKUP(LEFT(RIGHT(B305,5),4),物品!B:CU,20,FALSE)</f>
        <v>0</v>
      </c>
      <c r="N305" s="188" t="s">
        <v>83</v>
      </c>
      <c r="O305" s="170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7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9" t="str">
        <f t="shared" si="127"/>
        <v>生命值高</v>
      </c>
      <c r="K306" s="169">
        <f t="shared" si="128"/>
        <v>0</v>
      </c>
      <c r="L306" s="27"/>
      <c r="M306" s="170">
        <f>VLOOKUP(LEFT(RIGHT(B306,5),4),物品!B:CU,20,FALSE)</f>
        <v>0</v>
      </c>
      <c r="N306" s="188" t="s">
        <v>83</v>
      </c>
      <c r="O306" s="170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7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9" t="str">
        <f t="shared" si="127"/>
        <v>业力低</v>
      </c>
      <c r="K307" s="169">
        <f t="shared" si="128"/>
        <v>0</v>
      </c>
      <c r="L307" s="27"/>
      <c r="M307" s="170">
        <f>VLOOKUP(LEFT(RIGHT(B307,5),4),物品!B:CU,20,FALSE)</f>
        <v>0</v>
      </c>
      <c r="N307" s="188" t="s">
        <v>83</v>
      </c>
      <c r="O307" s="170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7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9" t="str">
        <f t="shared" si="127"/>
        <v>业力中</v>
      </c>
      <c r="K308" s="169">
        <f t="shared" si="128"/>
        <v>0</v>
      </c>
      <c r="L308" s="27"/>
      <c r="M308" s="170">
        <f>VLOOKUP(LEFT(RIGHT(B308,5),4),物品!B:CU,20,FALSE)</f>
        <v>0</v>
      </c>
      <c r="N308" s="188" t="s">
        <v>83</v>
      </c>
      <c r="O308" s="170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7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9" t="str">
        <f t="shared" si="127"/>
        <v>业力高</v>
      </c>
      <c r="K309" s="169">
        <f t="shared" si="128"/>
        <v>0</v>
      </c>
      <c r="L309" s="27"/>
      <c r="M309" s="170">
        <f>VLOOKUP(LEFT(RIGHT(B309,5),4),物品!B:CU,20,FALSE)</f>
        <v>0</v>
      </c>
      <c r="N309" s="188" t="s">
        <v>83</v>
      </c>
      <c r="O309" s="170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ht="14.4" spans="1:42">
      <c r="A310" s="167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致命倍率|Cffffc926+10%|n|n|r|Cffff00bf【白虎】|r+|Cffff00bf【白虎】|r=|Cffffc926【神威虎爪】|n|n|r|Cff00ff7f点击穿戴或脱卸。|r</v>
      </c>
      <c r="J310" s="169" t="str">
        <f t="shared" si="127"/>
        <v>|CffBF00FF【稀有】白虎|r</v>
      </c>
      <c r="K310" s="169" t="str">
        <f t="shared" si="128"/>
        <v>致命倍率|Cffffc926+10%|n|n|r|Cffff00bf【白虎】|r+|Cffff00bf【白虎】|r=|Cffffc926【神威虎爪】|n|n|r|Cff00ff7f点击穿戴或脱卸。|r</v>
      </c>
      <c r="L310" s="27"/>
      <c r="M310" s="170" t="str">
        <f>VLOOKUP(LEFT(RIGHT(B310,5),4),物品!B:CU,20,FALSE)</f>
        <v>ReplaceableTextures\\CommandButtons\\BTNSST01.blp</v>
      </c>
      <c r="N310" s="188" t="s">
        <v>83</v>
      </c>
      <c r="O310" s="170" t="s">
        <v>94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171" t="s">
        <v>103</v>
      </c>
      <c r="X310" s="27">
        <v>0</v>
      </c>
      <c r="Y310" s="188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/>
      <c r="AJ310" s="27"/>
      <c r="AK310" s="27">
        <v>1</v>
      </c>
      <c r="AL310" s="27">
        <v>1</v>
      </c>
      <c r="AM310" s="188" t="s">
        <v>83</v>
      </c>
      <c r="AN310" s="27">
        <v>0</v>
      </c>
      <c r="AO310" s="27">
        <v>0</v>
      </c>
      <c r="AP310" s="27">
        <v>1</v>
      </c>
    </row>
    <row r="311" ht="14.4" spans="1:42">
      <c r="A311" s="167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9" t="str">
        <f t="shared" ref="J311:J338" si="133">H311</f>
        <v>|CffBF00FF【稀有】玄武|r</v>
      </c>
      <c r="K311" s="169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70" t="str">
        <f>VLOOKUP(LEFT(RIGHT(B311,5),4),物品!B:CU,20,FALSE)</f>
        <v>ReplaceableTextures\\CommandButtons\\BTNSST02.blp</v>
      </c>
      <c r="N311" s="188" t="s">
        <v>83</v>
      </c>
      <c r="O311" s="170" t="s">
        <v>94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171" t="s">
        <v>103</v>
      </c>
      <c r="X311" s="27">
        <v>0</v>
      </c>
      <c r="Y311" s="188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/>
      <c r="AJ311" s="27"/>
      <c r="AK311" s="27">
        <v>1</v>
      </c>
      <c r="AL311" s="27">
        <v>1</v>
      </c>
      <c r="AM311" s="188" t="s">
        <v>83</v>
      </c>
      <c r="AN311" s="27">
        <v>0</v>
      </c>
      <c r="AO311" s="27">
        <v>0</v>
      </c>
      <c r="AP311" s="27">
        <v>1</v>
      </c>
    </row>
    <row r="312" ht="14.4" spans="1:42">
      <c r="A312" s="167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9" t="str">
        <f t="shared" si="133"/>
        <v>|CffBF00FF【稀有】帝魄|r</v>
      </c>
      <c r="K312" s="169" t="str">
        <f t="shared" si="134"/>
        <v>道兵伤害|Cffffc926+30%|n|n|r|Cffff00bf【帝魄】|r+|Cffff00bf【帝魄】|r=|Cffffc926【昊天帝玉】|n|n|r|Cff00ff7f点击穿戴或脱卸。|r</v>
      </c>
      <c r="L312" s="27"/>
      <c r="M312" s="170" t="str">
        <f>VLOOKUP(LEFT(RIGHT(B312,5),4),物品!B:CU,20,FALSE)</f>
        <v>ReplaceableTextures\\CommandButtons\\BTNSST03.blp</v>
      </c>
      <c r="N312" s="188" t="s">
        <v>83</v>
      </c>
      <c r="O312" s="170" t="s">
        <v>94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171" t="s">
        <v>103</v>
      </c>
      <c r="X312" s="27">
        <v>0</v>
      </c>
      <c r="Y312" s="188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/>
      <c r="AJ312" s="27"/>
      <c r="AK312" s="27">
        <v>1</v>
      </c>
      <c r="AL312" s="27">
        <v>1</v>
      </c>
      <c r="AM312" s="188" t="s">
        <v>83</v>
      </c>
      <c r="AN312" s="27">
        <v>0</v>
      </c>
      <c r="AO312" s="27">
        <v>0</v>
      </c>
      <c r="AP312" s="27">
        <v>1</v>
      </c>
    </row>
    <row r="313" ht="14.4" spans="1:42">
      <c r="A313" s="167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9" t="str">
        <f t="shared" si="133"/>
        <v>|CffBF00FF【稀有】青龙|r</v>
      </c>
      <c r="K313" s="169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70" t="str">
        <f>VLOOKUP(LEFT(RIGHT(B313,5),4),物品!B:CU,20,FALSE)</f>
        <v>ReplaceableTextures\\CommandButtons\\BTNSST04.blp</v>
      </c>
      <c r="N313" s="188" t="s">
        <v>83</v>
      </c>
      <c r="O313" s="170" t="s">
        <v>94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171" t="s">
        <v>103</v>
      </c>
      <c r="X313" s="27">
        <v>0</v>
      </c>
      <c r="Y313" s="188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/>
      <c r="AJ313" s="27"/>
      <c r="AK313" s="27">
        <v>1</v>
      </c>
      <c r="AL313" s="27">
        <v>1</v>
      </c>
      <c r="AM313" s="188" t="s">
        <v>83</v>
      </c>
      <c r="AN313" s="27">
        <v>0</v>
      </c>
      <c r="AO313" s="27">
        <v>0</v>
      </c>
      <c r="AP313" s="27">
        <v>1</v>
      </c>
    </row>
    <row r="314" ht="14.4" spans="1:42">
      <c r="A314" s="167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9" t="str">
        <f t="shared" si="133"/>
        <v>|CffBF00FF【稀有】白泽|r</v>
      </c>
      <c r="K314" s="169" t="str">
        <f t="shared" si="134"/>
        <v>护甲穿透|Cffffc926+80|n|n|r|Cffff00bf【白泽】|r+|Cffff00bf【白泽】|r=|Cffffc926【白泽之灵】|n|n|r|Cff00ff7f点击穿戴或脱卸。|r</v>
      </c>
      <c r="L314" s="27"/>
      <c r="M314" s="170" t="str">
        <f>VLOOKUP(LEFT(RIGHT(B314,5),4),物品!B:CU,20,FALSE)</f>
        <v>ReplaceableTextures\\CommandButtons\\BTNSST05.blp</v>
      </c>
      <c r="N314" s="188" t="s">
        <v>83</v>
      </c>
      <c r="O314" s="170" t="s">
        <v>94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171" t="s">
        <v>103</v>
      </c>
      <c r="X314" s="27">
        <v>0</v>
      </c>
      <c r="Y314" s="188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/>
      <c r="AJ314" s="27"/>
      <c r="AK314" s="27">
        <v>1</v>
      </c>
      <c r="AL314" s="27">
        <v>1</v>
      </c>
      <c r="AM314" s="188" t="s">
        <v>83</v>
      </c>
      <c r="AN314" s="27">
        <v>0</v>
      </c>
      <c r="AO314" s="27">
        <v>0</v>
      </c>
      <c r="AP314" s="27">
        <v>1</v>
      </c>
    </row>
    <row r="315" ht="14.4" spans="1:42">
      <c r="A315" s="167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9" t="str">
        <f t="shared" si="133"/>
        <v>|CffBF00FF【稀有】麒麟|r</v>
      </c>
      <c r="K315" s="169" t="str">
        <f t="shared" si="134"/>
        <v>暴击伤害|Cffffc926+30%|n|n|r|Cffff00bf【麒麟】|r+|Cffff00bf【麒麟】|r=|Cffffc926【麒麟心】|n|n|r|Cff00ff7f点击穿戴或脱卸。|r</v>
      </c>
      <c r="L315" s="27"/>
      <c r="M315" s="170" t="str">
        <f>VLOOKUP(LEFT(RIGHT(B315,5),4),物品!B:CU,20,FALSE)</f>
        <v>ReplaceableTextures\\CommandButtons\\BTNSST06.blp</v>
      </c>
      <c r="N315" s="188" t="s">
        <v>83</v>
      </c>
      <c r="O315" s="170" t="s">
        <v>94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171" t="s">
        <v>103</v>
      </c>
      <c r="X315" s="27">
        <v>0</v>
      </c>
      <c r="Y315" s="188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/>
      <c r="AJ315" s="27"/>
      <c r="AK315" s="27">
        <v>1</v>
      </c>
      <c r="AL315" s="27">
        <v>1</v>
      </c>
      <c r="AM315" s="188" t="s">
        <v>83</v>
      </c>
      <c r="AN315" s="27">
        <v>0</v>
      </c>
      <c r="AO315" s="27">
        <v>0</v>
      </c>
      <c r="AP315" s="27">
        <v>1</v>
      </c>
    </row>
    <row r="316" ht="14.4" spans="1:42">
      <c r="A316" s="167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9" t="str">
        <f t="shared" si="133"/>
        <v>|CffBF00FF【稀有】腾蛇|r</v>
      </c>
      <c r="K316" s="169" t="str">
        <f t="shared" si="134"/>
        <v>护甲|Cffffc926+60|n|n|r|Cffff00bf【腾蛇】|r+|Cffff00bf【腾蛇】|r=|Cffffc926【腾蛇之牙】|n|n|r|Cff00ff7f点击穿戴或脱卸。|r</v>
      </c>
      <c r="L316" s="27"/>
      <c r="M316" s="170" t="str">
        <f>VLOOKUP(LEFT(RIGHT(B316,5),4),物品!B:CU,20,FALSE)</f>
        <v>ReplaceableTextures\\CommandButtons\\BTNSST07.blp</v>
      </c>
      <c r="N316" s="188" t="s">
        <v>83</v>
      </c>
      <c r="O316" s="170" t="s">
        <v>94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171" t="s">
        <v>103</v>
      </c>
      <c r="X316" s="27">
        <v>0</v>
      </c>
      <c r="Y316" s="188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/>
      <c r="AJ316" s="27"/>
      <c r="AK316" s="27">
        <v>1</v>
      </c>
      <c r="AL316" s="27">
        <v>1</v>
      </c>
      <c r="AM316" s="188" t="s">
        <v>83</v>
      </c>
      <c r="AN316" s="27">
        <v>0</v>
      </c>
      <c r="AO316" s="27">
        <v>0</v>
      </c>
      <c r="AP316" s="27">
        <v>1</v>
      </c>
    </row>
    <row r="317" ht="14.4" spans="1:42">
      <c r="A317" s="167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9" t="str">
        <f t="shared" si="133"/>
        <v>|CffBF00FF【稀有】朱雀|r</v>
      </c>
      <c r="K317" s="169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70" t="str">
        <f>VLOOKUP(LEFT(RIGHT(B317,5),4),物品!B:CU,20,FALSE)</f>
        <v>ReplaceableTextures\\CommandButtons\\BTNSST08.blp</v>
      </c>
      <c r="N317" s="188" t="s">
        <v>83</v>
      </c>
      <c r="O317" s="170" t="s">
        <v>94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171" t="s">
        <v>103</v>
      </c>
      <c r="X317" s="27">
        <v>0</v>
      </c>
      <c r="Y317" s="188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/>
      <c r="AJ317" s="27"/>
      <c r="AK317" s="27">
        <v>1</v>
      </c>
      <c r="AL317" s="27">
        <v>1</v>
      </c>
      <c r="AM317" s="188" t="s">
        <v>83</v>
      </c>
      <c r="AN317" s="27">
        <v>0</v>
      </c>
      <c r="AO317" s="27">
        <v>0</v>
      </c>
      <c r="AP317" s="27">
        <v>1</v>
      </c>
    </row>
    <row r="318" ht="14.4" spans="1:42">
      <c r="A318" s="167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9" t="str">
        <f t="shared" si="133"/>
        <v>|CffFFD24D【史诗】神威虎爪|r</v>
      </c>
      <c r="K318" s="169" t="str">
        <f t="shared" si="134"/>
        <v>致命倍率|Cffffc926+300%|n|n|r|Cffaaaaaa○刻印槽 【空】|r|n|n|Cff00ff7f点击穿戴或脱卸。|r</v>
      </c>
      <c r="L318" s="27"/>
      <c r="M318" s="170" t="str">
        <f>VLOOKUP(LEFT(RIGHT(B318,5),4),物品!B:CU,20,FALSE)</f>
        <v>ReplaceableTextures\\CommandButtons\\BTNSST09.blp</v>
      </c>
      <c r="N318" s="188" t="s">
        <v>83</v>
      </c>
      <c r="O318" s="170" t="s">
        <v>94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171" t="s">
        <v>103</v>
      </c>
      <c r="X318" s="27">
        <v>0</v>
      </c>
      <c r="Y318" s="188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/>
      <c r="AJ318" s="27"/>
      <c r="AK318" s="27">
        <v>1</v>
      </c>
      <c r="AL318" s="27">
        <v>1</v>
      </c>
      <c r="AM318" s="188" t="s">
        <v>83</v>
      </c>
      <c r="AN318" s="27">
        <v>0</v>
      </c>
      <c r="AO318" s="27">
        <v>0</v>
      </c>
      <c r="AP318" s="27">
        <v>1</v>
      </c>
    </row>
    <row r="319" ht="14.4" spans="1:42">
      <c r="A319" s="167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9" t="str">
        <f t="shared" si="133"/>
        <v>|CffFFD24D【史诗】神威虎爪|r</v>
      </c>
      <c r="K319" s="169" t="str">
        <f t="shared" si="134"/>
        <v>致命倍率|Cffffc926+300%|n|n|r|Cffaaaaaa○|CffFFD24D金之刻印+1|r|r|n|n|Cff00ff7f点击穿戴或脱卸。|r</v>
      </c>
      <c r="L319" s="27"/>
      <c r="M319" s="170" t="str">
        <f>VLOOKUP(LEFT(RIGHT(B319,5),4),物品!B:CU,20,FALSE)</f>
        <v>ReplaceableTextures\\CommandButtons\\BTNSST09.blp</v>
      </c>
      <c r="N319" s="188" t="s">
        <v>83</v>
      </c>
      <c r="O319" s="170" t="s">
        <v>94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171" t="s">
        <v>103</v>
      </c>
      <c r="X319" s="27">
        <v>0</v>
      </c>
      <c r="Y319" s="188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/>
      <c r="AJ319" s="27"/>
      <c r="AK319" s="27">
        <v>1</v>
      </c>
      <c r="AL319" s="27">
        <v>1</v>
      </c>
      <c r="AM319" s="188" t="s">
        <v>83</v>
      </c>
      <c r="AN319" s="27">
        <v>0</v>
      </c>
      <c r="AO319" s="27">
        <v>0</v>
      </c>
      <c r="AP319" s="27">
        <v>1</v>
      </c>
    </row>
    <row r="320" ht="14.4" spans="1:42">
      <c r="A320" s="167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9" t="str">
        <f t="shared" si="133"/>
        <v>|CffFFD24D【史诗】神威虎爪|r</v>
      </c>
      <c r="K320" s="169" t="str">
        <f t="shared" si="134"/>
        <v>致命倍率|Cffffc926+300%|n|n|r|Cffaaaaaa○|CffFFD24D木之刻印+1|r|r|n|n|Cff00ff7f点击穿戴或脱卸。|r</v>
      </c>
      <c r="L320" s="27"/>
      <c r="M320" s="170" t="str">
        <f>VLOOKUP(LEFT(RIGHT(B320,5),4),物品!B:CU,20,FALSE)</f>
        <v>ReplaceableTextures\\CommandButtons\\BTNSST09.blp</v>
      </c>
      <c r="N320" s="188" t="s">
        <v>83</v>
      </c>
      <c r="O320" s="170" t="s">
        <v>94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171" t="s">
        <v>103</v>
      </c>
      <c r="X320" s="27">
        <v>0</v>
      </c>
      <c r="Y320" s="188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/>
      <c r="AJ320" s="27"/>
      <c r="AK320" s="27">
        <v>1</v>
      </c>
      <c r="AL320" s="27">
        <v>1</v>
      </c>
      <c r="AM320" s="188" t="s">
        <v>83</v>
      </c>
      <c r="AN320" s="27">
        <v>0</v>
      </c>
      <c r="AO320" s="27">
        <v>0</v>
      </c>
      <c r="AP320" s="27">
        <v>1</v>
      </c>
    </row>
    <row r="321" ht="14.4" spans="1:42">
      <c r="A321" s="167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9" t="str">
        <f t="shared" si="133"/>
        <v>|CffFFD24D【史诗】神威虎爪|r</v>
      </c>
      <c r="K321" s="169" t="str">
        <f t="shared" si="134"/>
        <v>致命倍率|Cffffc926+300%|n|n|r|Cffaaaaaa○|CffFFD24D水之刻印+1|r|r|n|n|Cff00ff7f点击穿戴或脱卸。|r</v>
      </c>
      <c r="L321" s="27"/>
      <c r="M321" s="170" t="str">
        <f>VLOOKUP(LEFT(RIGHT(B321,5),4),物品!B:CU,20,FALSE)</f>
        <v>ReplaceableTextures\\CommandButtons\\BTNSST09.blp</v>
      </c>
      <c r="N321" s="188" t="s">
        <v>83</v>
      </c>
      <c r="O321" s="170" t="s">
        <v>94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171" t="s">
        <v>103</v>
      </c>
      <c r="X321" s="27">
        <v>0</v>
      </c>
      <c r="Y321" s="188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/>
      <c r="AJ321" s="27"/>
      <c r="AK321" s="27">
        <v>1</v>
      </c>
      <c r="AL321" s="27">
        <v>1</v>
      </c>
      <c r="AM321" s="188" t="s">
        <v>83</v>
      </c>
      <c r="AN321" s="27">
        <v>0</v>
      </c>
      <c r="AO321" s="27">
        <v>0</v>
      </c>
      <c r="AP321" s="27">
        <v>1</v>
      </c>
    </row>
    <row r="322" ht="14.4" spans="1:42">
      <c r="A322" s="167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9" t="str">
        <f t="shared" si="133"/>
        <v>|CffFFD24D【史诗】神威虎爪|r</v>
      </c>
      <c r="K322" s="169" t="str">
        <f t="shared" si="134"/>
        <v>致命倍率|Cffffc926+300%|n|n|r|Cffaaaaaa○|CffFFD24D火之刻印+1|r|r|n|n|Cff00ff7f点击穿戴或脱卸。|r</v>
      </c>
      <c r="L322" s="27"/>
      <c r="M322" s="170" t="str">
        <f>VLOOKUP(LEFT(RIGHT(B322,5),4),物品!B:CU,20,FALSE)</f>
        <v>ReplaceableTextures\\CommandButtons\\BTNSST09.blp</v>
      </c>
      <c r="N322" s="188" t="s">
        <v>83</v>
      </c>
      <c r="O322" s="170" t="s">
        <v>94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171" t="s">
        <v>103</v>
      </c>
      <c r="X322" s="27">
        <v>0</v>
      </c>
      <c r="Y322" s="188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/>
      <c r="AJ322" s="27"/>
      <c r="AK322" s="27">
        <v>1</v>
      </c>
      <c r="AL322" s="27">
        <v>1</v>
      </c>
      <c r="AM322" s="188" t="s">
        <v>83</v>
      </c>
      <c r="AN322" s="27">
        <v>0</v>
      </c>
      <c r="AO322" s="27">
        <v>0</v>
      </c>
      <c r="AP322" s="27">
        <v>1</v>
      </c>
    </row>
    <row r="323" ht="14.4" spans="1:42">
      <c r="A323" s="167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9" t="str">
        <f t="shared" si="133"/>
        <v>|CffFFD24D【史诗】神威虎爪|r</v>
      </c>
      <c r="K323" s="169" t="str">
        <f t="shared" si="134"/>
        <v>致命倍率|Cffffc926+300%|n|n|r|Cffaaaaaa○|CffFFD24D土之刻印+1|r|r|n|n|Cff00ff7f点击穿戴或脱卸。|r</v>
      </c>
      <c r="L323" s="27"/>
      <c r="M323" s="170" t="str">
        <f>VLOOKUP(LEFT(RIGHT(B323,5),4),物品!B:CU,20,FALSE)</f>
        <v>ReplaceableTextures\\CommandButtons\\BTNSST09.blp</v>
      </c>
      <c r="N323" s="188" t="s">
        <v>83</v>
      </c>
      <c r="O323" s="170" t="s">
        <v>94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171" t="s">
        <v>103</v>
      </c>
      <c r="X323" s="27">
        <v>0</v>
      </c>
      <c r="Y323" s="188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/>
      <c r="AJ323" s="27"/>
      <c r="AK323" s="27">
        <v>1</v>
      </c>
      <c r="AL323" s="27">
        <v>1</v>
      </c>
      <c r="AM323" s="188" t="s">
        <v>83</v>
      </c>
      <c r="AN323" s="27">
        <v>0</v>
      </c>
      <c r="AO323" s="27">
        <v>0</v>
      </c>
      <c r="AP323" s="27">
        <v>1</v>
      </c>
    </row>
    <row r="324" ht="14.4" spans="1:42">
      <c r="A324" s="167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9" t="str">
        <f t="shared" si="133"/>
        <v>|CffFFD24D【史诗】神威虎爪|r</v>
      </c>
      <c r="K324" s="169" t="str">
        <f t="shared" si="134"/>
        <v>致命倍率|Cffffc926+300%|n|n|r|Cffaaaaaa○|CffFFD24D雷之刻印+1|r|r|n|n|Cff00ff7f点击穿戴或脱卸。|r</v>
      </c>
      <c r="L324" s="27"/>
      <c r="M324" s="170" t="str">
        <f>VLOOKUP(LEFT(RIGHT(B324,5),4),物品!B:CU,20,FALSE)</f>
        <v>ReplaceableTextures\\CommandButtons\\BTNSST09.blp</v>
      </c>
      <c r="N324" s="188" t="s">
        <v>83</v>
      </c>
      <c r="O324" s="170" t="s">
        <v>94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171" t="s">
        <v>103</v>
      </c>
      <c r="X324" s="27">
        <v>0</v>
      </c>
      <c r="Y324" s="188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/>
      <c r="AJ324" s="27"/>
      <c r="AK324" s="27">
        <v>1</v>
      </c>
      <c r="AL324" s="27">
        <v>1</v>
      </c>
      <c r="AM324" s="188" t="s">
        <v>83</v>
      </c>
      <c r="AN324" s="27">
        <v>0</v>
      </c>
      <c r="AO324" s="27">
        <v>0</v>
      </c>
      <c r="AP324" s="27">
        <v>1</v>
      </c>
    </row>
    <row r="325" ht="14.4" spans="1:42">
      <c r="A325" s="167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9" t="str">
        <f t="shared" si="133"/>
        <v>|CffFFD24D【史诗】神威虎爪|r</v>
      </c>
      <c r="K325" s="169" t="str">
        <f t="shared" si="134"/>
        <v>致命倍率|Cffffc926+300%|n|n|r|Cffaaaaaa○|CffFFD24D光之刻印+1|r|r|n|n|Cff00ff7f点击穿戴或脱卸。|r</v>
      </c>
      <c r="L325" s="27"/>
      <c r="M325" s="170" t="str">
        <f>VLOOKUP(LEFT(RIGHT(B325,5),4),物品!B:CU,20,FALSE)</f>
        <v>ReplaceableTextures\\CommandButtons\\BTNSST09.blp</v>
      </c>
      <c r="N325" s="188" t="s">
        <v>83</v>
      </c>
      <c r="O325" s="170" t="s">
        <v>94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171" t="s">
        <v>103</v>
      </c>
      <c r="X325" s="27">
        <v>0</v>
      </c>
      <c r="Y325" s="188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/>
      <c r="AJ325" s="27"/>
      <c r="AK325" s="27">
        <v>1</v>
      </c>
      <c r="AL325" s="27">
        <v>1</v>
      </c>
      <c r="AM325" s="188" t="s">
        <v>83</v>
      </c>
      <c r="AN325" s="27">
        <v>0</v>
      </c>
      <c r="AO325" s="27">
        <v>0</v>
      </c>
      <c r="AP325" s="27">
        <v>1</v>
      </c>
    </row>
    <row r="326" ht="14.4" spans="1:42">
      <c r="A326" s="167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9" t="str">
        <f t="shared" si="133"/>
        <v>|CffFFD24D【史诗】神威虎爪|r</v>
      </c>
      <c r="K326" s="169" t="str">
        <f t="shared" si="134"/>
        <v>致命倍率|Cffffc926+300%|n|n|r|Cffaaaaaa○|CffFFD24D暗之刻印+1|r|r|n|n|Cff00ff7f点击穿戴或脱卸。|r</v>
      </c>
      <c r="L326" s="27"/>
      <c r="M326" s="170" t="str">
        <f>VLOOKUP(LEFT(RIGHT(B326,5),4),物品!B:CU,20,FALSE)</f>
        <v>ReplaceableTextures\\CommandButtons\\BTNSST09.blp</v>
      </c>
      <c r="N326" s="188" t="s">
        <v>83</v>
      </c>
      <c r="O326" s="170" t="s">
        <v>94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171" t="s">
        <v>103</v>
      </c>
      <c r="X326" s="27">
        <v>0</v>
      </c>
      <c r="Y326" s="188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/>
      <c r="AJ326" s="27"/>
      <c r="AK326" s="27">
        <v>1</v>
      </c>
      <c r="AL326" s="27">
        <v>1</v>
      </c>
      <c r="AM326" s="188" t="s">
        <v>83</v>
      </c>
      <c r="AN326" s="27">
        <v>0</v>
      </c>
      <c r="AO326" s="27">
        <v>0</v>
      </c>
      <c r="AP326" s="27">
        <v>1</v>
      </c>
    </row>
    <row r="327" ht="14.4" spans="1:42">
      <c r="A327" s="167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9" t="str">
        <f t="shared" si="133"/>
        <v>|CffFFD24D【史诗】佛陀舍利|r</v>
      </c>
      <c r="K327" s="169" t="str">
        <f t="shared" si="134"/>
        <v>最大生命|Cffffc926+20%|n|n|r|Cffaaaaaa○刻印槽 【空】|r|n|n|Cff00ff7f点击穿戴或脱卸。|r</v>
      </c>
      <c r="L327" s="27"/>
      <c r="M327" s="170" t="str">
        <f>VLOOKUP(LEFT(RIGHT(B327,5),4),物品!B:CU,20,FALSE)</f>
        <v>ReplaceableTextures\\CommandButtons\\BTNSST10.blp</v>
      </c>
      <c r="N327" s="188" t="s">
        <v>83</v>
      </c>
      <c r="O327" s="170" t="s">
        <v>94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171" t="s">
        <v>103</v>
      </c>
      <c r="X327" s="27">
        <v>0</v>
      </c>
      <c r="Y327" s="188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/>
      <c r="AJ327" s="27"/>
      <c r="AK327" s="27">
        <v>1</v>
      </c>
      <c r="AL327" s="27">
        <v>1</v>
      </c>
      <c r="AM327" s="188" t="s">
        <v>83</v>
      </c>
      <c r="AN327" s="27">
        <v>0</v>
      </c>
      <c r="AO327" s="27">
        <v>0</v>
      </c>
      <c r="AP327" s="27">
        <v>1</v>
      </c>
    </row>
    <row r="328" ht="14.4" spans="1:42">
      <c r="A328" s="167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9" t="str">
        <f t="shared" si="133"/>
        <v>|CffFFD24D【史诗】佛陀舍利|r</v>
      </c>
      <c r="K328" s="169" t="str">
        <f t="shared" si="134"/>
        <v>最大生命|Cffffc926+20%|n|n|r|Cffaaaaaa○|CffFFD24D金之刻印+1|r|r|n|n|Cff00ff7f点击穿戴或脱卸。|r</v>
      </c>
      <c r="L328" s="27"/>
      <c r="M328" s="170" t="str">
        <f>VLOOKUP(LEFT(RIGHT(B328,5),4),物品!B:CU,20,FALSE)</f>
        <v>ReplaceableTextures\\CommandButtons\\BTNSST10.blp</v>
      </c>
      <c r="N328" s="188" t="s">
        <v>83</v>
      </c>
      <c r="O328" s="170" t="s">
        <v>94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171" t="s">
        <v>103</v>
      </c>
      <c r="X328" s="27">
        <v>0</v>
      </c>
      <c r="Y328" s="188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/>
      <c r="AJ328" s="27"/>
      <c r="AK328" s="27">
        <v>1</v>
      </c>
      <c r="AL328" s="27">
        <v>1</v>
      </c>
      <c r="AM328" s="188" t="s">
        <v>83</v>
      </c>
      <c r="AN328" s="27">
        <v>0</v>
      </c>
      <c r="AO328" s="27">
        <v>0</v>
      </c>
      <c r="AP328" s="27">
        <v>1</v>
      </c>
    </row>
    <row r="329" ht="14.4" spans="1:42">
      <c r="A329" s="167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9" t="str">
        <f t="shared" si="133"/>
        <v>|CffFFD24D【史诗】佛陀舍利|r</v>
      </c>
      <c r="K329" s="169" t="str">
        <f t="shared" si="134"/>
        <v>最大生命|Cffffc926+20%|n|n|r|Cffaaaaaa○|CffFFD24D木之刻印+1|r|r|n|n|Cff00ff7f点击穿戴或脱卸。|r</v>
      </c>
      <c r="L329" s="27"/>
      <c r="M329" s="170" t="str">
        <f>VLOOKUP(LEFT(RIGHT(B329,5),4),物品!B:CU,20,FALSE)</f>
        <v>ReplaceableTextures\\CommandButtons\\BTNSST10.blp</v>
      </c>
      <c r="N329" s="188" t="s">
        <v>83</v>
      </c>
      <c r="O329" s="170" t="s">
        <v>94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171" t="s">
        <v>103</v>
      </c>
      <c r="X329" s="27">
        <v>0</v>
      </c>
      <c r="Y329" s="188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/>
      <c r="AJ329" s="27"/>
      <c r="AK329" s="27">
        <v>1</v>
      </c>
      <c r="AL329" s="27">
        <v>1</v>
      </c>
      <c r="AM329" s="188" t="s">
        <v>83</v>
      </c>
      <c r="AN329" s="27">
        <v>0</v>
      </c>
      <c r="AO329" s="27">
        <v>0</v>
      </c>
      <c r="AP329" s="27">
        <v>1</v>
      </c>
    </row>
    <row r="330" ht="14.4" spans="1:42">
      <c r="A330" s="167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9" t="str">
        <f t="shared" si="133"/>
        <v>|CffFFD24D【史诗】佛陀舍利|r</v>
      </c>
      <c r="K330" s="169" t="str">
        <f t="shared" si="134"/>
        <v>最大生命|Cffffc926+20%|n|n|r|Cffaaaaaa○|CffFFD24D水之刻印+1|r|r|n|n|Cff00ff7f点击穿戴或脱卸。|r</v>
      </c>
      <c r="L330" s="27"/>
      <c r="M330" s="170" t="str">
        <f>VLOOKUP(LEFT(RIGHT(B330,5),4),物品!B:CU,20,FALSE)</f>
        <v>ReplaceableTextures\\CommandButtons\\BTNSST10.blp</v>
      </c>
      <c r="N330" s="188" t="s">
        <v>83</v>
      </c>
      <c r="O330" s="170" t="s">
        <v>94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171" t="s">
        <v>103</v>
      </c>
      <c r="X330" s="27">
        <v>0</v>
      </c>
      <c r="Y330" s="188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/>
      <c r="AJ330" s="27"/>
      <c r="AK330" s="27">
        <v>1</v>
      </c>
      <c r="AL330" s="27">
        <v>1</v>
      </c>
      <c r="AM330" s="188" t="s">
        <v>83</v>
      </c>
      <c r="AN330" s="27">
        <v>0</v>
      </c>
      <c r="AO330" s="27">
        <v>0</v>
      </c>
      <c r="AP330" s="27">
        <v>1</v>
      </c>
    </row>
    <row r="331" ht="14.4" spans="1:42">
      <c r="A331" s="167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9" t="str">
        <f t="shared" si="133"/>
        <v>|CffFFD24D【史诗】佛陀舍利|r</v>
      </c>
      <c r="K331" s="169" t="str">
        <f t="shared" si="134"/>
        <v>最大生命|Cffffc926+20%|n|n|r|Cffaaaaaa○|CffFFD24D火之刻印+1|r|r|n|n|Cff00ff7f点击穿戴或脱卸。|r</v>
      </c>
      <c r="L331" s="27"/>
      <c r="M331" s="170" t="str">
        <f>VLOOKUP(LEFT(RIGHT(B331,5),4),物品!B:CU,20,FALSE)</f>
        <v>ReplaceableTextures\\CommandButtons\\BTNSST10.blp</v>
      </c>
      <c r="N331" s="188" t="s">
        <v>83</v>
      </c>
      <c r="O331" s="170" t="s">
        <v>94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171" t="s">
        <v>103</v>
      </c>
      <c r="X331" s="27">
        <v>0</v>
      </c>
      <c r="Y331" s="188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/>
      <c r="AJ331" s="27"/>
      <c r="AK331" s="27">
        <v>1</v>
      </c>
      <c r="AL331" s="27">
        <v>1</v>
      </c>
      <c r="AM331" s="188" t="s">
        <v>83</v>
      </c>
      <c r="AN331" s="27">
        <v>0</v>
      </c>
      <c r="AO331" s="27">
        <v>0</v>
      </c>
      <c r="AP331" s="27">
        <v>1</v>
      </c>
    </row>
    <row r="332" ht="14.4" spans="1:42">
      <c r="A332" s="167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9" t="str">
        <f t="shared" si="133"/>
        <v>|CffFFD24D【史诗】佛陀舍利|r</v>
      </c>
      <c r="K332" s="169" t="str">
        <f t="shared" si="134"/>
        <v>最大生命|Cffffc926+20%|n|n|r|Cffaaaaaa○|CffFFD24D土之刻印+1|r|r|n|n|Cff00ff7f点击穿戴或脱卸。|r</v>
      </c>
      <c r="L332" s="27"/>
      <c r="M332" s="170" t="str">
        <f>VLOOKUP(LEFT(RIGHT(B332,5),4),物品!B:CU,20,FALSE)</f>
        <v>ReplaceableTextures\\CommandButtons\\BTNSST10.blp</v>
      </c>
      <c r="N332" s="188" t="s">
        <v>83</v>
      </c>
      <c r="O332" s="170" t="s">
        <v>94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171" t="s">
        <v>103</v>
      </c>
      <c r="X332" s="27">
        <v>0</v>
      </c>
      <c r="Y332" s="188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/>
      <c r="AJ332" s="27"/>
      <c r="AK332" s="27">
        <v>1</v>
      </c>
      <c r="AL332" s="27">
        <v>1</v>
      </c>
      <c r="AM332" s="188" t="s">
        <v>83</v>
      </c>
      <c r="AN332" s="27">
        <v>0</v>
      </c>
      <c r="AO332" s="27">
        <v>0</v>
      </c>
      <c r="AP332" s="27">
        <v>1</v>
      </c>
    </row>
    <row r="333" ht="14.4" spans="1:42">
      <c r="A333" s="167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9" t="str">
        <f t="shared" si="133"/>
        <v>|CffFFD24D【史诗】佛陀舍利|r</v>
      </c>
      <c r="K333" s="169" t="str">
        <f t="shared" si="134"/>
        <v>最大生命|Cffffc926+20%|n|n|r|Cffaaaaaa○|CffFFD24D雷之刻印+1|r|r|n|n|Cff00ff7f点击穿戴或脱卸。|r</v>
      </c>
      <c r="L333" s="27"/>
      <c r="M333" s="170" t="str">
        <f>VLOOKUP(LEFT(RIGHT(B333,5),4),物品!B:CU,20,FALSE)</f>
        <v>ReplaceableTextures\\CommandButtons\\BTNSST10.blp</v>
      </c>
      <c r="N333" s="188" t="s">
        <v>83</v>
      </c>
      <c r="O333" s="170" t="s">
        <v>94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171" t="s">
        <v>103</v>
      </c>
      <c r="X333" s="27">
        <v>0</v>
      </c>
      <c r="Y333" s="188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/>
      <c r="AJ333" s="27"/>
      <c r="AK333" s="27">
        <v>1</v>
      </c>
      <c r="AL333" s="27">
        <v>1</v>
      </c>
      <c r="AM333" s="188" t="s">
        <v>83</v>
      </c>
      <c r="AN333" s="27">
        <v>0</v>
      </c>
      <c r="AO333" s="27">
        <v>0</v>
      </c>
      <c r="AP333" s="27">
        <v>1</v>
      </c>
    </row>
    <row r="334" ht="14.4" spans="1:42">
      <c r="A334" s="167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9" t="str">
        <f t="shared" si="133"/>
        <v>|CffFFD24D【史诗】佛陀舍利|r</v>
      </c>
      <c r="K334" s="169" t="str">
        <f t="shared" si="134"/>
        <v>最大生命|Cffffc926+20%|n|n|r|Cffaaaaaa○|CffFFD24D光之刻印+1|r|r|n|n|Cff00ff7f点击穿戴或脱卸。|r</v>
      </c>
      <c r="L334" s="27"/>
      <c r="M334" s="170" t="str">
        <f>VLOOKUP(LEFT(RIGHT(B334,5),4),物品!B:CU,20,FALSE)</f>
        <v>ReplaceableTextures\\CommandButtons\\BTNSST10.blp</v>
      </c>
      <c r="N334" s="188" t="s">
        <v>83</v>
      </c>
      <c r="O334" s="170" t="s">
        <v>94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171" t="s">
        <v>103</v>
      </c>
      <c r="X334" s="27">
        <v>0</v>
      </c>
      <c r="Y334" s="188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/>
      <c r="AJ334" s="27"/>
      <c r="AK334" s="27">
        <v>1</v>
      </c>
      <c r="AL334" s="27">
        <v>1</v>
      </c>
      <c r="AM334" s="188" t="s">
        <v>83</v>
      </c>
      <c r="AN334" s="27">
        <v>0</v>
      </c>
      <c r="AO334" s="27">
        <v>0</v>
      </c>
      <c r="AP334" s="27">
        <v>1</v>
      </c>
    </row>
    <row r="335" ht="14.4" spans="1:42">
      <c r="A335" s="167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9" t="str">
        <f t="shared" si="133"/>
        <v>|CffFFD24D【史诗】佛陀舍利|r</v>
      </c>
      <c r="K335" s="169" t="str">
        <f t="shared" si="134"/>
        <v>最大生命|Cffffc926+20%|n|n|r|Cffaaaaaa○|CffFFD24D暗之刻印+1|r|r|n|n|Cff00ff7f点击穿戴或脱卸。|r</v>
      </c>
      <c r="L335" s="27"/>
      <c r="M335" s="170" t="str">
        <f>VLOOKUP(LEFT(RIGHT(B335,5),4),物品!B:CU,20,FALSE)</f>
        <v>ReplaceableTextures\\CommandButtons\\BTNSST10.blp</v>
      </c>
      <c r="N335" s="188" t="s">
        <v>83</v>
      </c>
      <c r="O335" s="170" t="s">
        <v>94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171" t="s">
        <v>103</v>
      </c>
      <c r="X335" s="27">
        <v>0</v>
      </c>
      <c r="Y335" s="188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/>
      <c r="AJ335" s="27"/>
      <c r="AK335" s="27">
        <v>1</v>
      </c>
      <c r="AL335" s="27">
        <v>1</v>
      </c>
      <c r="AM335" s="188" t="s">
        <v>83</v>
      </c>
      <c r="AN335" s="27">
        <v>0</v>
      </c>
      <c r="AO335" s="27">
        <v>0</v>
      </c>
      <c r="AP335" s="27">
        <v>1</v>
      </c>
    </row>
    <row r="336" ht="14.4" spans="1:42">
      <c r="A336" s="167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9" t="str">
        <f t="shared" si="133"/>
        <v>|CffFFD24D【史诗】昊天帝玉|r</v>
      </c>
      <c r="K336" s="169" t="str">
        <f t="shared" si="134"/>
        <v>道兵伤害|Cffffc926+60%|n|n|r|Cffaaaaaa○刻印槽 【空】|r|n|n|Cff00ff7f点击穿戴或脱卸。|r</v>
      </c>
      <c r="L336" s="27"/>
      <c r="M336" s="170" t="str">
        <f>VLOOKUP(LEFT(RIGHT(B336,5),4),物品!B:CU,20,FALSE)</f>
        <v>ReplaceableTextures\\CommandButtons\\BTNSST11.blp</v>
      </c>
      <c r="N336" s="188" t="s">
        <v>83</v>
      </c>
      <c r="O336" s="170" t="s">
        <v>94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171" t="s">
        <v>103</v>
      </c>
      <c r="X336" s="27">
        <v>0</v>
      </c>
      <c r="Y336" s="188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/>
      <c r="AJ336" s="27"/>
      <c r="AK336" s="27">
        <v>1</v>
      </c>
      <c r="AL336" s="27">
        <v>1</v>
      </c>
      <c r="AM336" s="188" t="s">
        <v>83</v>
      </c>
      <c r="AN336" s="27">
        <v>0</v>
      </c>
      <c r="AO336" s="27">
        <v>0</v>
      </c>
      <c r="AP336" s="27">
        <v>1</v>
      </c>
    </row>
    <row r="337" ht="14.4" spans="1:42">
      <c r="A337" s="167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9" t="str">
        <f t="shared" si="133"/>
        <v>|CffFFD24D【史诗】昊天帝玉|r</v>
      </c>
      <c r="K337" s="169" t="str">
        <f t="shared" si="134"/>
        <v>道兵伤害|Cffffc926+60%|n|n|r|Cffaaaaaa○|CffFFD24D金之刻印+1|r|r|n|n|Cff00ff7f点击穿戴或脱卸。|r</v>
      </c>
      <c r="L337" s="27"/>
      <c r="M337" s="170" t="str">
        <f>VLOOKUP(LEFT(RIGHT(B337,5),4),物品!B:CU,20,FALSE)</f>
        <v>ReplaceableTextures\\CommandButtons\\BTNSST11.blp</v>
      </c>
      <c r="N337" s="188" t="s">
        <v>83</v>
      </c>
      <c r="O337" s="170" t="s">
        <v>94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71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ht="14.4" spans="1:42">
      <c r="A338" s="167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9" t="str">
        <f t="shared" si="133"/>
        <v>|CffFFD24D【史诗】昊天帝玉|r</v>
      </c>
      <c r="K338" s="169" t="str">
        <f t="shared" si="134"/>
        <v>道兵伤害|Cffffc926+60%|n|n|r|Cffaaaaaa○|CffFFD24D木之刻印+1|r|r|n|n|Cff00ff7f点击穿戴或脱卸。|r</v>
      </c>
      <c r="L338" s="27"/>
      <c r="M338" s="170" t="str">
        <f>VLOOKUP(LEFT(RIGHT(B338,5),4),物品!B:CU,20,FALSE)</f>
        <v>ReplaceableTextures\\CommandButtons\\BTNSST11.blp</v>
      </c>
      <c r="N338" s="188" t="s">
        <v>83</v>
      </c>
      <c r="O338" s="170" t="s">
        <v>94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71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ht="14.4" spans="1:42">
      <c r="A339" s="167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9" t="str">
        <f t="shared" ref="J339:J397" si="135">H339</f>
        <v>|CffFFD24D【史诗】昊天帝玉|r</v>
      </c>
      <c r="K339" s="169" t="str">
        <f t="shared" ref="K339:K397" si="136">I339</f>
        <v>道兵伤害|Cffffc926+60%|n|n|r|Cffaaaaaa○|CffFFD24D水之刻印+1|r|r|n|n|Cff00ff7f点击穿戴或脱卸。|r</v>
      </c>
      <c r="L339" s="27"/>
      <c r="M339" s="170" t="str">
        <f>VLOOKUP(LEFT(RIGHT(B339,5),4),物品!B:CU,20,FALSE)</f>
        <v>ReplaceableTextures\\CommandButtons\\BTNSST11.blp</v>
      </c>
      <c r="N339" s="188" t="s">
        <v>83</v>
      </c>
      <c r="O339" s="170" t="s">
        <v>94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71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ht="14.4" spans="1:42">
      <c r="A340" s="167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9" t="str">
        <f t="shared" si="135"/>
        <v>|CffFFD24D【史诗】昊天帝玉|r</v>
      </c>
      <c r="K340" s="169" t="str">
        <f t="shared" si="136"/>
        <v>道兵伤害|Cffffc926+60%|n|n|r|Cffaaaaaa○|CffFFD24D火之刻印+1|r|r|n|n|Cff00ff7f点击穿戴或脱卸。|r</v>
      </c>
      <c r="L340" s="27"/>
      <c r="M340" s="170" t="str">
        <f>VLOOKUP(LEFT(RIGHT(B340,5),4),物品!B:CU,20,FALSE)</f>
        <v>ReplaceableTextures\\CommandButtons\\BTNSST11.blp</v>
      </c>
      <c r="N340" s="188" t="s">
        <v>83</v>
      </c>
      <c r="O340" s="170" t="s">
        <v>94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71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ht="14.4" spans="1:42">
      <c r="A341" s="167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9" t="str">
        <f t="shared" si="135"/>
        <v>|CffFFD24D【史诗】昊天帝玉|r</v>
      </c>
      <c r="K341" s="169" t="str">
        <f t="shared" si="136"/>
        <v>道兵伤害|Cffffc926+60%|n|n|r|Cffaaaaaa○|CffFFD24D土之刻印+1|r|r|n|n|Cff00ff7f点击穿戴或脱卸。|r</v>
      </c>
      <c r="L341" s="27"/>
      <c r="M341" s="170" t="str">
        <f>VLOOKUP(LEFT(RIGHT(B341,5),4),物品!B:CU,20,FALSE)</f>
        <v>ReplaceableTextures\\CommandButtons\\BTNSST11.blp</v>
      </c>
      <c r="N341" s="188" t="s">
        <v>83</v>
      </c>
      <c r="O341" s="170" t="s">
        <v>94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71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ht="14.4" spans="1:42">
      <c r="A342" s="167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9" t="str">
        <f t="shared" si="135"/>
        <v>|CffFFD24D【史诗】昊天帝玉|r</v>
      </c>
      <c r="K342" s="169" t="str">
        <f t="shared" si="136"/>
        <v>道兵伤害|Cffffc926+60%|n|n|r|Cffaaaaaa○|CffFFD24D雷之刻印+1|r|r|n|n|Cff00ff7f点击穿戴或脱卸。|r</v>
      </c>
      <c r="L342" s="27"/>
      <c r="M342" s="170" t="str">
        <f>VLOOKUP(LEFT(RIGHT(B342,5),4),物品!B:CU,20,FALSE)</f>
        <v>ReplaceableTextures\\CommandButtons\\BTNSST11.blp</v>
      </c>
      <c r="N342" s="188" t="s">
        <v>83</v>
      </c>
      <c r="O342" s="170" t="s">
        <v>94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71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ht="14.4" spans="1:42">
      <c r="A343" s="167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9" t="str">
        <f t="shared" si="135"/>
        <v>|CffFFD24D【史诗】昊天帝玉|r</v>
      </c>
      <c r="K343" s="169" t="str">
        <f t="shared" si="136"/>
        <v>道兵伤害|Cffffc926+60%|n|n|r|Cffaaaaaa○|CffFFD24D光之刻印+1|r|r|n|n|Cff00ff7f点击穿戴或脱卸。|r</v>
      </c>
      <c r="L343" s="27"/>
      <c r="M343" s="170" t="str">
        <f>VLOOKUP(LEFT(RIGHT(B343,5),4),物品!B:CU,20,FALSE)</f>
        <v>ReplaceableTextures\\CommandButtons\\BTNSST11.blp</v>
      </c>
      <c r="N343" s="188" t="s">
        <v>83</v>
      </c>
      <c r="O343" s="170" t="s">
        <v>94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71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ht="14.4" spans="1:42">
      <c r="A344" s="167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9" t="str">
        <f t="shared" si="135"/>
        <v>|CffFFD24D【史诗】昊天帝玉|r</v>
      </c>
      <c r="K344" s="169" t="str">
        <f t="shared" si="136"/>
        <v>道兵伤害|Cffffc926+60%|n|n|r|Cffaaaaaa○|CffFFD24D暗之刻印+1|r|r|n|n|Cff00ff7f点击穿戴或脱卸。|r</v>
      </c>
      <c r="L344" s="27"/>
      <c r="M344" s="170" t="str">
        <f>VLOOKUP(LEFT(RIGHT(B344,5),4),物品!B:CU,20,FALSE)</f>
        <v>ReplaceableTextures\\CommandButtons\\BTNSST11.blp</v>
      </c>
      <c r="N344" s="188" t="s">
        <v>83</v>
      </c>
      <c r="O344" s="170" t="s">
        <v>94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71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ht="14.4" spans="1:42">
      <c r="A345" s="167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9" t="str">
        <f t="shared" si="135"/>
        <v>|CffFFD24D【史诗】应龙珠|r</v>
      </c>
      <c r="K345" s="169" t="str">
        <f t="shared" si="136"/>
        <v>攻击|Cffffc926+50000|r，攻击|Cffffc926+12%|n|n|r|Cffaaaaaa○刻印槽 【空】|r|n|n|Cff00ff7f点击穿戴或脱卸。|r</v>
      </c>
      <c r="L345" s="27"/>
      <c r="M345" s="170" t="str">
        <f>VLOOKUP(LEFT(RIGHT(B345,5),4),物品!B:CU,20,FALSE)</f>
        <v>ReplaceableTextures\\CommandButtons\\BTNSST12.blp</v>
      </c>
      <c r="N345" s="188" t="s">
        <v>83</v>
      </c>
      <c r="O345" s="170" t="s">
        <v>94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71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ht="14.4" spans="1:42">
      <c r="A346" s="167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9" t="str">
        <f t="shared" si="135"/>
        <v>|CffFFD24D【史诗】应龙珠|r</v>
      </c>
      <c r="K346" s="169" t="str">
        <f t="shared" si="136"/>
        <v>攻击|Cffffc926+50000|r，攻击|Cffffc926+12%|n|n|r|Cffaaaaaa○|CffFFD24D金之刻印+1|r|r|n|n|Cff00ff7f点击穿戴或脱卸。|r</v>
      </c>
      <c r="L346" s="27"/>
      <c r="M346" s="170" t="str">
        <f>VLOOKUP(LEFT(RIGHT(B346,5),4),物品!B:CU,20,FALSE)</f>
        <v>ReplaceableTextures\\CommandButtons\\BTNSST12.blp</v>
      </c>
      <c r="N346" s="188" t="s">
        <v>83</v>
      </c>
      <c r="O346" s="170" t="s">
        <v>94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71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ht="14.4" spans="1:42">
      <c r="A347" s="167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9" t="str">
        <f t="shared" si="135"/>
        <v>|CffFFD24D【史诗】应龙珠|r</v>
      </c>
      <c r="K347" s="169" t="str">
        <f t="shared" si="136"/>
        <v>攻击|Cffffc926+50000|r，攻击|Cffffc926+12%|n|n|r|Cffaaaaaa○|CffFFD24D木之刻印+1|r|r|n|n|Cff00ff7f点击穿戴或脱卸。|r</v>
      </c>
      <c r="L347" s="27"/>
      <c r="M347" s="170" t="str">
        <f>VLOOKUP(LEFT(RIGHT(B347,5),4),物品!B:CU,20,FALSE)</f>
        <v>ReplaceableTextures\\CommandButtons\\BTNSST12.blp</v>
      </c>
      <c r="N347" s="188" t="s">
        <v>83</v>
      </c>
      <c r="O347" s="170" t="s">
        <v>94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71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ht="14.4" spans="1:42">
      <c r="A348" s="167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9" t="str">
        <f t="shared" si="135"/>
        <v>|CffFFD24D【史诗】应龙珠|r</v>
      </c>
      <c r="K348" s="169" t="str">
        <f t="shared" si="136"/>
        <v>攻击|Cffffc926+50000|r，攻击|Cffffc926+12%|n|n|r|Cffaaaaaa○|CffFFD24D水之刻印+1|r|r|n|n|Cff00ff7f点击穿戴或脱卸。|r</v>
      </c>
      <c r="L348" s="27"/>
      <c r="M348" s="170" t="str">
        <f>VLOOKUP(LEFT(RIGHT(B348,5),4),物品!B:CU,20,FALSE)</f>
        <v>ReplaceableTextures\\CommandButtons\\BTNSST12.blp</v>
      </c>
      <c r="N348" s="188" t="s">
        <v>83</v>
      </c>
      <c r="O348" s="170" t="s">
        <v>94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71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ht="14.4" spans="1:42">
      <c r="A349" s="167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9" t="str">
        <f t="shared" si="135"/>
        <v>|CffFFD24D【史诗】应龙珠|r</v>
      </c>
      <c r="K349" s="169" t="str">
        <f t="shared" si="136"/>
        <v>攻击|Cffffc926+50000|r，攻击|Cffffc926+12%|n|n|r|Cffaaaaaa○|CffFFD24D火之刻印+1|r|r|n|n|Cff00ff7f点击穿戴或脱卸。|r</v>
      </c>
      <c r="L349" s="27"/>
      <c r="M349" s="170" t="str">
        <f>VLOOKUP(LEFT(RIGHT(B349,5),4),物品!B:CU,20,FALSE)</f>
        <v>ReplaceableTextures\\CommandButtons\\BTNSST12.blp</v>
      </c>
      <c r="N349" s="188" t="s">
        <v>83</v>
      </c>
      <c r="O349" s="170" t="s">
        <v>94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71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ht="14.4" spans="1:42">
      <c r="A350" s="167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9" t="str">
        <f t="shared" si="135"/>
        <v>|CffFFD24D【史诗】应龙珠|r</v>
      </c>
      <c r="K350" s="169" t="str">
        <f t="shared" si="136"/>
        <v>攻击|Cffffc926+50000|r，攻击|Cffffc926+12%|n|n|r|Cffaaaaaa○|CffFFD24D土之刻印+1|r|r|n|n|Cff00ff7f点击穿戴或脱卸。|r</v>
      </c>
      <c r="L350" s="27"/>
      <c r="M350" s="170" t="str">
        <f>VLOOKUP(LEFT(RIGHT(B350,5),4),物品!B:CU,20,FALSE)</f>
        <v>ReplaceableTextures\\CommandButtons\\BTNSST12.blp</v>
      </c>
      <c r="N350" s="188" t="s">
        <v>83</v>
      </c>
      <c r="O350" s="170" t="s">
        <v>94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71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ht="14.4" spans="1:42">
      <c r="A351" s="167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9" t="str">
        <f t="shared" si="135"/>
        <v>|CffFFD24D【史诗】应龙珠|r</v>
      </c>
      <c r="K351" s="169" t="str">
        <f t="shared" si="136"/>
        <v>攻击|Cffffc926+50000|r，攻击|Cffffc926+12%|n|n|r|Cffaaaaaa○|CffFFD24D雷之刻印+1|r|r|n|n|Cff00ff7f点击穿戴或脱卸。|r</v>
      </c>
      <c r="L351" s="27"/>
      <c r="M351" s="170" t="str">
        <f>VLOOKUP(LEFT(RIGHT(B351,5),4),物品!B:CU,20,FALSE)</f>
        <v>ReplaceableTextures\\CommandButtons\\BTNSST12.blp</v>
      </c>
      <c r="N351" s="188" t="s">
        <v>83</v>
      </c>
      <c r="O351" s="170" t="s">
        <v>94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71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ht="14.4" spans="1:42">
      <c r="A352" s="167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9" t="str">
        <f t="shared" si="135"/>
        <v>|CffFFD24D【史诗】应龙珠|r</v>
      </c>
      <c r="K352" s="169" t="str">
        <f t="shared" si="136"/>
        <v>攻击|Cffffc926+50000|r，攻击|Cffffc926+12%|n|n|r|Cffaaaaaa○|CffFFD24D光之刻印+1|r|r|n|n|Cff00ff7f点击穿戴或脱卸。|r</v>
      </c>
      <c r="L352" s="27"/>
      <c r="M352" s="170" t="str">
        <f>VLOOKUP(LEFT(RIGHT(B352,5),4),物品!B:CU,20,FALSE)</f>
        <v>ReplaceableTextures\\CommandButtons\\BTNSST12.blp</v>
      </c>
      <c r="N352" s="188" t="s">
        <v>83</v>
      </c>
      <c r="O352" s="170" t="s">
        <v>94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71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ht="14.4" spans="1:42">
      <c r="A353" s="167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9" t="str">
        <f t="shared" si="135"/>
        <v>|CffFFD24D【史诗】应龙珠|r</v>
      </c>
      <c r="K353" s="169" t="str">
        <f t="shared" si="136"/>
        <v>攻击|Cffffc926+50000|r，攻击|Cffffc926+12%|n|n|r|Cffaaaaaa○|CffFFD24D暗之刻印+1|r|r|n|n|Cff00ff7f点击穿戴或脱卸。|r</v>
      </c>
      <c r="L353" s="27"/>
      <c r="M353" s="170" t="str">
        <f>VLOOKUP(LEFT(RIGHT(B353,5),4),物品!B:CU,20,FALSE)</f>
        <v>ReplaceableTextures\\CommandButtons\\BTNSST12.blp</v>
      </c>
      <c r="N353" s="188" t="s">
        <v>83</v>
      </c>
      <c r="O353" s="170" t="s">
        <v>94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71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ht="14.4" spans="1:42">
      <c r="A354" s="167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9" t="str">
        <f t="shared" si="135"/>
        <v>|CffFFD24D【史诗】白泽之灵|r</v>
      </c>
      <c r="K354" s="169" t="str">
        <f t="shared" si="136"/>
        <v>护甲穿透|Cffffc926+150|n|n|r|Cffaaaaaa○刻印槽 【空】|r|n|n|Cff00ff7f点击穿戴或脱卸。|r</v>
      </c>
      <c r="L354" s="27"/>
      <c r="M354" s="170" t="str">
        <f>VLOOKUP(LEFT(RIGHT(B354,5),4),物品!B:CU,20,FALSE)</f>
        <v>ReplaceableTextures\\CommandButtons\\BTNSST13.blp</v>
      </c>
      <c r="N354" s="188" t="s">
        <v>83</v>
      </c>
      <c r="O354" s="170" t="s">
        <v>94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71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ht="14.4" spans="1:42">
      <c r="A355" s="167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9" t="str">
        <f t="shared" si="135"/>
        <v>|CffFFD24D【史诗】白泽之灵|r</v>
      </c>
      <c r="K355" s="169" t="str">
        <f t="shared" si="136"/>
        <v>护甲穿透|Cffffc926+150|n|n|r|Cffaaaaaa○|CffFFD24D金之刻印+1|r|r|n|n|Cff00ff7f点击穿戴或脱卸。|r</v>
      </c>
      <c r="L355" s="27"/>
      <c r="M355" s="170" t="str">
        <f>VLOOKUP(LEFT(RIGHT(B355,5),4),物品!B:CU,20,FALSE)</f>
        <v>ReplaceableTextures\\CommandButtons\\BTNSST13.blp</v>
      </c>
      <c r="N355" s="188" t="s">
        <v>83</v>
      </c>
      <c r="O355" s="170" t="s">
        <v>94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71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ht="14.4" spans="1:42">
      <c r="A356" s="167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9" t="str">
        <f t="shared" si="135"/>
        <v>|CffFFD24D【史诗】白泽之灵|r</v>
      </c>
      <c r="K356" s="169" t="str">
        <f t="shared" si="136"/>
        <v>护甲穿透|Cffffc926+150|n|n|r|Cffaaaaaa○|CffFFD24D木之刻印+1|r|r|n|n|Cff00ff7f点击穿戴或脱卸。|r</v>
      </c>
      <c r="L356" s="27"/>
      <c r="M356" s="170" t="str">
        <f>VLOOKUP(LEFT(RIGHT(B356,5),4),物品!B:CU,20,FALSE)</f>
        <v>ReplaceableTextures\\CommandButtons\\BTNSST13.blp</v>
      </c>
      <c r="N356" s="188" t="s">
        <v>83</v>
      </c>
      <c r="O356" s="170" t="s">
        <v>94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71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ht="14.4" spans="1:42">
      <c r="A357" s="167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9" t="str">
        <f t="shared" si="135"/>
        <v>|CffFFD24D【史诗】白泽之灵|r</v>
      </c>
      <c r="K357" s="169" t="str">
        <f t="shared" si="136"/>
        <v>护甲穿透|Cffffc926+150|n|n|r|Cffaaaaaa○|CffFFD24D水之刻印+1|r|r|n|n|Cff00ff7f点击穿戴或脱卸。|r</v>
      </c>
      <c r="L357" s="27"/>
      <c r="M357" s="170" t="str">
        <f>VLOOKUP(LEFT(RIGHT(B357,5),4),物品!B:CU,20,FALSE)</f>
        <v>ReplaceableTextures\\CommandButtons\\BTNSST13.blp</v>
      </c>
      <c r="N357" s="188" t="s">
        <v>83</v>
      </c>
      <c r="O357" s="170" t="s">
        <v>94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71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ht="14.4" spans="1:42">
      <c r="A358" s="167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9" t="str">
        <f t="shared" si="135"/>
        <v>|CffFFD24D【史诗】白泽之灵|r</v>
      </c>
      <c r="K358" s="169" t="str">
        <f t="shared" si="136"/>
        <v>护甲穿透|Cffffc926+150|n|n|r|Cffaaaaaa○|CffFFD24D火之刻印+1|r|r|n|n|Cff00ff7f点击穿戴或脱卸。|r</v>
      </c>
      <c r="L358" s="27"/>
      <c r="M358" s="170" t="str">
        <f>VLOOKUP(LEFT(RIGHT(B358,5),4),物品!B:CU,20,FALSE)</f>
        <v>ReplaceableTextures\\CommandButtons\\BTNSST13.blp</v>
      </c>
      <c r="N358" s="188" t="s">
        <v>83</v>
      </c>
      <c r="O358" s="170" t="s">
        <v>94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71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ht="14.4" spans="1:42">
      <c r="A359" s="167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9" t="str">
        <f t="shared" si="135"/>
        <v>|CffFFD24D【史诗】白泽之灵|r</v>
      </c>
      <c r="K359" s="169" t="str">
        <f t="shared" si="136"/>
        <v>护甲穿透|Cffffc926+150|n|n|r|Cffaaaaaa○|CffFFD24D土之刻印+1|r|r|n|n|Cff00ff7f点击穿戴或脱卸。|r</v>
      </c>
      <c r="L359" s="27"/>
      <c r="M359" s="170" t="str">
        <f>VLOOKUP(LEFT(RIGHT(B359,5),4),物品!B:CU,20,FALSE)</f>
        <v>ReplaceableTextures\\CommandButtons\\BTNSST13.blp</v>
      </c>
      <c r="N359" s="188" t="s">
        <v>83</v>
      </c>
      <c r="O359" s="170" t="s">
        <v>94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71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ht="14.4" spans="1:42">
      <c r="A360" s="167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9" t="str">
        <f t="shared" si="135"/>
        <v>|CffFFD24D【史诗】白泽之灵|r</v>
      </c>
      <c r="K360" s="169" t="str">
        <f t="shared" si="136"/>
        <v>护甲穿透|Cffffc926+150|n|n|r|Cffaaaaaa○|CffFFD24D雷之刻印+1|r|r|n|n|Cff00ff7f点击穿戴或脱卸。|r</v>
      </c>
      <c r="L360" s="27"/>
      <c r="M360" s="170" t="str">
        <f>VLOOKUP(LEFT(RIGHT(B360,5),4),物品!B:CU,20,FALSE)</f>
        <v>ReplaceableTextures\\CommandButtons\\BTNSST13.blp</v>
      </c>
      <c r="N360" s="188" t="s">
        <v>83</v>
      </c>
      <c r="O360" s="170" t="s">
        <v>94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71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ht="14.4" spans="1:42">
      <c r="A361" s="167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9" t="str">
        <f t="shared" si="135"/>
        <v>|CffFFD24D【史诗】白泽之灵|r</v>
      </c>
      <c r="K361" s="169" t="str">
        <f t="shared" si="136"/>
        <v>护甲穿透|Cffffc926+150|n|n|r|Cffaaaaaa○|CffFFD24D光之刻印+1|r|r|n|n|Cff00ff7f点击穿戴或脱卸。|r</v>
      </c>
      <c r="L361" s="27"/>
      <c r="M361" s="170" t="str">
        <f>VLOOKUP(LEFT(RIGHT(B361,5),4),物品!B:CU,20,FALSE)</f>
        <v>ReplaceableTextures\\CommandButtons\\BTNSST13.blp</v>
      </c>
      <c r="N361" s="188" t="s">
        <v>83</v>
      </c>
      <c r="O361" s="170" t="s">
        <v>94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71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ht="14.4" spans="1:42">
      <c r="A362" s="167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9" t="str">
        <f t="shared" si="135"/>
        <v>|CffFFD24D【史诗】白泽之灵|r</v>
      </c>
      <c r="K362" s="169" t="str">
        <f t="shared" si="136"/>
        <v>护甲穿透|Cffffc926+150|n|n|r|Cffaaaaaa○|CffFFD24D暗之刻印+1|r|r|n|n|Cff00ff7f点击穿戴或脱卸。|r</v>
      </c>
      <c r="L362" s="27"/>
      <c r="M362" s="170" t="str">
        <f>VLOOKUP(LEFT(RIGHT(B362,5),4),物品!B:CU,20,FALSE)</f>
        <v>ReplaceableTextures\\CommandButtons\\BTNSST13.blp</v>
      </c>
      <c r="N362" s="188" t="s">
        <v>83</v>
      </c>
      <c r="O362" s="170" t="s">
        <v>94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71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ht="14.4" spans="1:42">
      <c r="A363" s="167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9" t="str">
        <f t="shared" si="135"/>
        <v>|CffFFD24D【史诗】麒麟心|r</v>
      </c>
      <c r="K363" s="169" t="str">
        <f t="shared" si="136"/>
        <v>暴击伤害|Cffffc926+60%|n|n|r|Cffaaaaaa○刻印槽 【空】|r|n|n|Cff00ff7f点击穿戴或脱卸。|r</v>
      </c>
      <c r="L363" s="27"/>
      <c r="M363" s="170" t="str">
        <f>VLOOKUP(LEFT(RIGHT(B363,5),4),物品!B:CU,20,FALSE)</f>
        <v>ReplaceableTextures\\CommandButtons\\BTNSST14.blp</v>
      </c>
      <c r="N363" s="188" t="s">
        <v>83</v>
      </c>
      <c r="O363" s="170" t="s">
        <v>94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71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ht="14.4" spans="1:42">
      <c r="A364" s="167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9" t="str">
        <f t="shared" si="135"/>
        <v>|CffFFD24D【史诗】麒麟心|r</v>
      </c>
      <c r="K364" s="169" t="str">
        <f t="shared" si="136"/>
        <v>暴击伤害|Cffffc926+60%|n|n|r|Cffaaaaaa○|CffFFD24D金之刻印+1|r|r|n|n|Cff00ff7f点击穿戴或脱卸。|r</v>
      </c>
      <c r="L364" s="27"/>
      <c r="M364" s="170" t="str">
        <f>VLOOKUP(LEFT(RIGHT(B364,5),4),物品!B:CU,20,FALSE)</f>
        <v>ReplaceableTextures\\CommandButtons\\BTNSST14.blp</v>
      </c>
      <c r="N364" s="188" t="s">
        <v>83</v>
      </c>
      <c r="O364" s="170" t="s">
        <v>94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71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ht="14.4" spans="1:42">
      <c r="A365" s="167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9" t="str">
        <f t="shared" si="135"/>
        <v>|CffFFD24D【史诗】麒麟心|r</v>
      </c>
      <c r="K365" s="169" t="str">
        <f t="shared" si="136"/>
        <v>暴击伤害|Cffffc926+60%|n|n|r|Cffaaaaaa○|CffFFD24D木之刻印+1|r|r|n|n|Cff00ff7f点击穿戴或脱卸。|r</v>
      </c>
      <c r="L365" s="27"/>
      <c r="M365" s="170" t="str">
        <f>VLOOKUP(LEFT(RIGHT(B365,5),4),物品!B:CU,20,FALSE)</f>
        <v>ReplaceableTextures\\CommandButtons\\BTNSST14.blp</v>
      </c>
      <c r="N365" s="188" t="s">
        <v>83</v>
      </c>
      <c r="O365" s="170" t="s">
        <v>94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71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ht="14.4" spans="1:42">
      <c r="A366" s="167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9" t="str">
        <f t="shared" si="135"/>
        <v>|CffFFD24D【史诗】麒麟心|r</v>
      </c>
      <c r="K366" s="169" t="str">
        <f t="shared" si="136"/>
        <v>暴击伤害|Cffffc926+60%|n|n|r|Cffaaaaaa○|CffFFD24D水之刻印+1|r|r|n|n|Cff00ff7f点击穿戴或脱卸。|r</v>
      </c>
      <c r="L366" s="27"/>
      <c r="M366" s="170" t="str">
        <f>VLOOKUP(LEFT(RIGHT(B366,5),4),物品!B:CU,20,FALSE)</f>
        <v>ReplaceableTextures\\CommandButtons\\BTNSST14.blp</v>
      </c>
      <c r="N366" s="188" t="s">
        <v>83</v>
      </c>
      <c r="O366" s="170" t="s">
        <v>94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71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ht="14.4" spans="1:42">
      <c r="A367" s="167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9" t="str">
        <f t="shared" si="135"/>
        <v>|CffFFD24D【史诗】麒麟心|r</v>
      </c>
      <c r="K367" s="169" t="str">
        <f t="shared" si="136"/>
        <v>暴击伤害|Cffffc926+60%|n|n|r|Cffaaaaaa○|CffFFD24D火之刻印+1|r|r|n|n|Cff00ff7f点击穿戴或脱卸。|r</v>
      </c>
      <c r="L367" s="27"/>
      <c r="M367" s="170" t="str">
        <f>VLOOKUP(LEFT(RIGHT(B367,5),4),物品!B:CU,20,FALSE)</f>
        <v>ReplaceableTextures\\CommandButtons\\BTNSST14.blp</v>
      </c>
      <c r="N367" s="188" t="s">
        <v>83</v>
      </c>
      <c r="O367" s="170" t="s">
        <v>94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71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ht="14.4" spans="1:42">
      <c r="A368" s="167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9" t="str">
        <f t="shared" si="135"/>
        <v>|CffFFD24D【史诗】麒麟心|r</v>
      </c>
      <c r="K368" s="169" t="str">
        <f t="shared" si="136"/>
        <v>暴击伤害|Cffffc926+60%|n|n|r|Cffaaaaaa○|CffFFD24D土之刻印+1|r|r|n|n|Cff00ff7f点击穿戴或脱卸。|r</v>
      </c>
      <c r="L368" s="27"/>
      <c r="M368" s="170" t="str">
        <f>VLOOKUP(LEFT(RIGHT(B368,5),4),物品!B:CU,20,FALSE)</f>
        <v>ReplaceableTextures\\CommandButtons\\BTNSST14.blp</v>
      </c>
      <c r="N368" s="188" t="s">
        <v>83</v>
      </c>
      <c r="O368" s="170" t="s">
        <v>94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71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ht="14.4" spans="1:42">
      <c r="A369" s="167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9" t="str">
        <f t="shared" si="135"/>
        <v>|CffFFD24D【史诗】麒麟心|r</v>
      </c>
      <c r="K369" s="169" t="str">
        <f t="shared" si="136"/>
        <v>暴击伤害|Cffffc926+60%|n|n|r|Cffaaaaaa○|CffFFD24D雷之刻印+1|r|r|n|n|Cff00ff7f点击穿戴或脱卸。|r</v>
      </c>
      <c r="L369" s="27"/>
      <c r="M369" s="170" t="str">
        <f>VLOOKUP(LEFT(RIGHT(B369,5),4),物品!B:CU,20,FALSE)</f>
        <v>ReplaceableTextures\\CommandButtons\\BTNSST14.blp</v>
      </c>
      <c r="N369" s="188" t="s">
        <v>83</v>
      </c>
      <c r="O369" s="170" t="s">
        <v>94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71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ht="14.4" spans="1:42">
      <c r="A370" s="167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9" t="str">
        <f t="shared" si="135"/>
        <v>|CffFFD24D【史诗】麒麟心|r</v>
      </c>
      <c r="K370" s="169" t="str">
        <f t="shared" si="136"/>
        <v>暴击伤害|Cffffc926+60%|n|n|r|Cffaaaaaa○|CffFFD24D光之刻印+1|r|r|n|n|Cff00ff7f点击穿戴或脱卸。|r</v>
      </c>
      <c r="L370" s="27"/>
      <c r="M370" s="170" t="str">
        <f>VLOOKUP(LEFT(RIGHT(B370,5),4),物品!B:CU,20,FALSE)</f>
        <v>ReplaceableTextures\\CommandButtons\\BTNSST14.blp</v>
      </c>
      <c r="N370" s="188" t="s">
        <v>83</v>
      </c>
      <c r="O370" s="170" t="s">
        <v>94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71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ht="14.4" spans="1:42">
      <c r="A371" s="167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9" t="str">
        <f t="shared" si="135"/>
        <v>|CffFFD24D【史诗】麒麟心|r</v>
      </c>
      <c r="K371" s="169" t="str">
        <f t="shared" si="136"/>
        <v>暴击伤害|Cffffc926+60%|n|n|r|Cffaaaaaa○|CffFFD24D暗之刻印+1|r|r|n|n|Cff00ff7f点击穿戴或脱卸。|r</v>
      </c>
      <c r="L371" s="27"/>
      <c r="M371" s="170" t="str">
        <f>VLOOKUP(LEFT(RIGHT(B371,5),4),物品!B:CU,20,FALSE)</f>
        <v>ReplaceableTextures\\CommandButtons\\BTNSST14.blp</v>
      </c>
      <c r="N371" s="188" t="s">
        <v>83</v>
      </c>
      <c r="O371" s="170" t="s">
        <v>94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71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ht="14.4" spans="1:42">
      <c r="A372" s="167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9" t="str">
        <f t="shared" si="135"/>
        <v>|CffFFD24D【史诗】腾蛇之牙|r</v>
      </c>
      <c r="K372" s="169" t="str">
        <f t="shared" si="136"/>
        <v>护甲|Cffffc926+100|n|n|r|Cffaaaaaa○刻印槽 【空】|r|n|n|Cff00ff7f点击穿戴或脱卸。|r</v>
      </c>
      <c r="L372" s="27"/>
      <c r="M372" s="170" t="str">
        <f>VLOOKUP(LEFT(RIGHT(B372,5),4),物品!B:CU,20,FALSE)</f>
        <v>ReplaceableTextures\\CommandButtons\\BTNSST15.blp</v>
      </c>
      <c r="N372" s="188" t="s">
        <v>83</v>
      </c>
      <c r="O372" s="170" t="s">
        <v>94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71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ht="14.4" spans="1:42">
      <c r="A373" s="167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9" t="str">
        <f t="shared" si="135"/>
        <v>|CffFFD24D【史诗】腾蛇之牙|r</v>
      </c>
      <c r="K373" s="169" t="str">
        <f t="shared" si="136"/>
        <v>护甲|Cffffc926+100|n|n|r|Cffaaaaaa○|CffFFD24D金之刻印+1|r|r|n|n|Cff00ff7f点击穿戴或脱卸。|r</v>
      </c>
      <c r="L373" s="27"/>
      <c r="M373" s="170" t="str">
        <f>VLOOKUP(LEFT(RIGHT(B373,5),4),物品!B:CU,20,FALSE)</f>
        <v>ReplaceableTextures\\CommandButtons\\BTNSST15.blp</v>
      </c>
      <c r="N373" s="188" t="s">
        <v>83</v>
      </c>
      <c r="O373" s="170" t="s">
        <v>94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71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ht="14.4" spans="1:42">
      <c r="A374" s="167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9" t="str">
        <f t="shared" si="135"/>
        <v>|CffFFD24D【史诗】腾蛇之牙|r</v>
      </c>
      <c r="K374" s="169" t="str">
        <f t="shared" si="136"/>
        <v>护甲|Cffffc926+100|n|n|r|Cffaaaaaa○|CffFFD24D木之刻印+1|r|r|n|n|Cff00ff7f点击穿戴或脱卸。|r</v>
      </c>
      <c r="L374" s="27"/>
      <c r="M374" s="170" t="str">
        <f>VLOOKUP(LEFT(RIGHT(B374,5),4),物品!B:CU,20,FALSE)</f>
        <v>ReplaceableTextures\\CommandButtons\\BTNSST15.blp</v>
      </c>
      <c r="N374" s="188" t="s">
        <v>83</v>
      </c>
      <c r="O374" s="170" t="s">
        <v>94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71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ht="14.4" spans="1:42">
      <c r="A375" s="167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9" t="str">
        <f t="shared" si="135"/>
        <v>|CffFFD24D【史诗】腾蛇之牙|r</v>
      </c>
      <c r="K375" s="169" t="str">
        <f t="shared" si="136"/>
        <v>护甲|Cffffc926+100|n|n|r|Cffaaaaaa○|CffFFD24D水之刻印+1|r|r|n|n|Cff00ff7f点击穿戴或脱卸。|r</v>
      </c>
      <c r="L375" s="27"/>
      <c r="M375" s="170" t="str">
        <f>VLOOKUP(LEFT(RIGHT(B375,5),4),物品!B:CU,20,FALSE)</f>
        <v>ReplaceableTextures\\CommandButtons\\BTNSST15.blp</v>
      </c>
      <c r="N375" s="188" t="s">
        <v>83</v>
      </c>
      <c r="O375" s="170" t="s">
        <v>94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71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ht="14.4" spans="1:42">
      <c r="A376" s="167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9" t="str">
        <f t="shared" si="135"/>
        <v>|CffFFD24D【史诗】腾蛇之牙|r</v>
      </c>
      <c r="K376" s="169" t="str">
        <f t="shared" si="136"/>
        <v>护甲|Cffffc926+100|n|n|r|Cffaaaaaa○|CffFFD24D火之刻印+1|r|r|n|n|Cff00ff7f点击穿戴或脱卸。|r</v>
      </c>
      <c r="L376" s="27"/>
      <c r="M376" s="170" t="str">
        <f>VLOOKUP(LEFT(RIGHT(B376,5),4),物品!B:CU,20,FALSE)</f>
        <v>ReplaceableTextures\\CommandButtons\\BTNSST15.blp</v>
      </c>
      <c r="N376" s="188" t="s">
        <v>83</v>
      </c>
      <c r="O376" s="170" t="s">
        <v>94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71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ht="14.4" spans="1:42">
      <c r="A377" s="167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9" t="str">
        <f t="shared" si="135"/>
        <v>|CffFFD24D【史诗】腾蛇之牙|r</v>
      </c>
      <c r="K377" s="169" t="str">
        <f t="shared" si="136"/>
        <v>护甲|Cffffc926+100|n|n|r|Cffaaaaaa○|CffFFD24D土之刻印+1|r|r|n|n|Cff00ff7f点击穿戴或脱卸。|r</v>
      </c>
      <c r="L377" s="27"/>
      <c r="M377" s="170" t="str">
        <f>VLOOKUP(LEFT(RIGHT(B377,5),4),物品!B:CU,20,FALSE)</f>
        <v>ReplaceableTextures\\CommandButtons\\BTNSST15.blp</v>
      </c>
      <c r="N377" s="188" t="s">
        <v>83</v>
      </c>
      <c r="O377" s="170" t="s">
        <v>94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71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ht="14.4" spans="1:42">
      <c r="A378" s="167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9" t="str">
        <f t="shared" si="135"/>
        <v>|CffFFD24D【史诗】腾蛇之牙|r</v>
      </c>
      <c r="K378" s="169" t="str">
        <f t="shared" si="136"/>
        <v>护甲|Cffffc926+100|n|n|r|Cffaaaaaa○|CffFFD24D雷之刻印+1|r|r|n|n|Cff00ff7f点击穿戴或脱卸。|r</v>
      </c>
      <c r="L378" s="27"/>
      <c r="M378" s="170" t="str">
        <f>VLOOKUP(LEFT(RIGHT(B378,5),4),物品!B:CU,20,FALSE)</f>
        <v>ReplaceableTextures\\CommandButtons\\BTNSST15.blp</v>
      </c>
      <c r="N378" s="188" t="s">
        <v>83</v>
      </c>
      <c r="O378" s="170" t="s">
        <v>94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71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ht="14.4" spans="1:42">
      <c r="A379" s="167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9" t="str">
        <f t="shared" si="135"/>
        <v>|CffFFD24D【史诗】腾蛇之牙|r</v>
      </c>
      <c r="K379" s="169" t="str">
        <f t="shared" si="136"/>
        <v>护甲|Cffffc926+100|n|n|r|Cffaaaaaa○|CffFFD24D光之刻印+1|r|r|n|n|Cff00ff7f点击穿戴或脱卸。|r</v>
      </c>
      <c r="L379" s="27"/>
      <c r="M379" s="170" t="str">
        <f>VLOOKUP(LEFT(RIGHT(B379,5),4),物品!B:CU,20,FALSE)</f>
        <v>ReplaceableTextures\\CommandButtons\\BTNSST15.blp</v>
      </c>
      <c r="N379" s="188" t="s">
        <v>83</v>
      </c>
      <c r="O379" s="170" t="s">
        <v>94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71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ht="14.4" spans="1:42">
      <c r="A380" s="167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9" t="str">
        <f t="shared" si="135"/>
        <v>|CffFFD24D【史诗】腾蛇之牙|r</v>
      </c>
      <c r="K380" s="169" t="str">
        <f t="shared" si="136"/>
        <v>护甲|Cffffc926+100|n|n|r|Cffaaaaaa○|CffFFD24D暗之刻印+1|r|r|n|n|Cff00ff7f点击穿戴或脱卸。|r</v>
      </c>
      <c r="L380" s="27"/>
      <c r="M380" s="170" t="str">
        <f>VLOOKUP(LEFT(RIGHT(B380,5),4),物品!B:CU,20,FALSE)</f>
        <v>ReplaceableTextures\\CommandButtons\\BTNSST15.blp</v>
      </c>
      <c r="N380" s="188" t="s">
        <v>83</v>
      </c>
      <c r="O380" s="170" t="s">
        <v>94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71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ht="14.4" spans="1:42">
      <c r="A381" s="167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9" t="str">
        <f t="shared" si="135"/>
        <v>|CffFFD24D【史诗】悟道碑石|r</v>
      </c>
      <c r="K381" s="169" t="str">
        <f t="shared" si="136"/>
        <v>业力|Cffffc926+50000|r，业力|Cffffc926+12%|n|n|r|Cffaaaaaa○刻印槽 【空】|r|n|n|Cff00ff7f点击穿戴或脱卸。|r</v>
      </c>
      <c r="L381" s="27"/>
      <c r="M381" s="170" t="str">
        <f>VLOOKUP(LEFT(RIGHT(B381,5),4),物品!B:CU,20,FALSE)</f>
        <v>ReplaceableTextures\\CommandButtons\\BTNSST16.blp</v>
      </c>
      <c r="N381" s="188" t="s">
        <v>83</v>
      </c>
      <c r="O381" s="170" t="s">
        <v>94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71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ht="14.4" spans="1:42">
      <c r="A382" s="167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9" t="str">
        <f t="shared" si="135"/>
        <v>|CffFFD24D【史诗】悟道碑石|r</v>
      </c>
      <c r="K382" s="169" t="str">
        <f t="shared" si="136"/>
        <v>业力|Cffffc926+50000|r，业力|Cffffc926+12%|n|n|r|Cffaaaaaa○|CffFFD24D金之刻印+1|r|r|n|n|Cff00ff7f点击穿戴或脱卸。|r</v>
      </c>
      <c r="L382" s="27"/>
      <c r="M382" s="170" t="str">
        <f>VLOOKUP(LEFT(RIGHT(B382,5),4),物品!B:CU,20,FALSE)</f>
        <v>ReplaceableTextures\\CommandButtons\\BTNSST16.blp</v>
      </c>
      <c r="N382" s="188" t="s">
        <v>83</v>
      </c>
      <c r="O382" s="170" t="s">
        <v>94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71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ht="14.4" spans="1:42">
      <c r="A383" s="167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9" t="str">
        <f t="shared" si="135"/>
        <v>|CffFFD24D【史诗】悟道碑石|r</v>
      </c>
      <c r="K383" s="169" t="str">
        <f t="shared" si="136"/>
        <v>业力|Cffffc926+50000|r，业力|Cffffc926+12%|n|n|r|Cffaaaaaa○|CffFFD24D木之刻印+1|r|r|n|n|Cff00ff7f点击穿戴或脱卸。|r</v>
      </c>
      <c r="L383" s="27"/>
      <c r="M383" s="170" t="str">
        <f>VLOOKUP(LEFT(RIGHT(B383,5),4),物品!B:CU,20,FALSE)</f>
        <v>ReplaceableTextures\\CommandButtons\\BTNSST16.blp</v>
      </c>
      <c r="N383" s="188" t="s">
        <v>83</v>
      </c>
      <c r="O383" s="170" t="s">
        <v>94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71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ht="14.4" spans="1:42">
      <c r="A384" s="167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9" t="str">
        <f t="shared" si="135"/>
        <v>|CffFFD24D【史诗】悟道碑石|r</v>
      </c>
      <c r="K384" s="169" t="str">
        <f t="shared" si="136"/>
        <v>业力|Cffffc926+50000|r，业力|Cffffc926+12%|n|n|r|Cffaaaaaa○|CffFFD24D水之刻印+1|r|r|n|n|Cff00ff7f点击穿戴或脱卸。|r</v>
      </c>
      <c r="L384" s="27"/>
      <c r="M384" s="170" t="str">
        <f>VLOOKUP(LEFT(RIGHT(B384,5),4),物品!B:CU,20,FALSE)</f>
        <v>ReplaceableTextures\\CommandButtons\\BTNSST16.blp</v>
      </c>
      <c r="N384" s="188" t="s">
        <v>83</v>
      </c>
      <c r="O384" s="170" t="s">
        <v>94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71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ht="14.4" spans="1:42">
      <c r="A385" s="167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9" t="str">
        <f t="shared" si="135"/>
        <v>|CffFFD24D【史诗】悟道碑石|r</v>
      </c>
      <c r="K385" s="169" t="str">
        <f t="shared" si="136"/>
        <v>业力|Cffffc926+50000|r，业力|Cffffc926+12%|n|n|r|Cffaaaaaa○|CffFFD24D火之刻印+1|r|r|n|n|Cff00ff7f点击穿戴或脱卸。|r</v>
      </c>
      <c r="L385" s="27"/>
      <c r="M385" s="170" t="str">
        <f>VLOOKUP(LEFT(RIGHT(B385,5),4),物品!B:CU,20,FALSE)</f>
        <v>ReplaceableTextures\\CommandButtons\\BTNSST16.blp</v>
      </c>
      <c r="N385" s="188" t="s">
        <v>83</v>
      </c>
      <c r="O385" s="170" t="s">
        <v>94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71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ht="14.4" spans="1:42">
      <c r="A386" s="167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9" t="str">
        <f t="shared" si="135"/>
        <v>|CffFFD24D【史诗】悟道碑石|r</v>
      </c>
      <c r="K386" s="169" t="str">
        <f t="shared" si="136"/>
        <v>业力|Cffffc926+50000|r，业力|Cffffc926+12%|n|n|r|Cffaaaaaa○|CffFFD24D土之刻印+1|r|r|n|n|Cff00ff7f点击穿戴或脱卸。|r</v>
      </c>
      <c r="L386" s="27"/>
      <c r="M386" s="170" t="str">
        <f>VLOOKUP(LEFT(RIGHT(B386,5),4),物品!B:CU,20,FALSE)</f>
        <v>ReplaceableTextures\\CommandButtons\\BTNSST16.blp</v>
      </c>
      <c r="N386" s="188" t="s">
        <v>83</v>
      </c>
      <c r="O386" s="170" t="s">
        <v>94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71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ht="14.4" spans="1:42">
      <c r="A387" s="167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9" t="str">
        <f t="shared" si="135"/>
        <v>|CffFFD24D【史诗】悟道碑石|r</v>
      </c>
      <c r="K387" s="169" t="str">
        <f t="shared" si="136"/>
        <v>业力|Cffffc926+50000|r，业力|Cffffc926+12%|n|n|r|Cffaaaaaa○|CffFFD24D雷之刻印+1|r|r|n|n|Cff00ff7f点击穿戴或脱卸。|r</v>
      </c>
      <c r="L387" s="27"/>
      <c r="M387" s="170" t="str">
        <f>VLOOKUP(LEFT(RIGHT(B387,5),4),物品!B:CU,20,FALSE)</f>
        <v>ReplaceableTextures\\CommandButtons\\BTNSST16.blp</v>
      </c>
      <c r="N387" s="188" t="s">
        <v>83</v>
      </c>
      <c r="O387" s="170" t="s">
        <v>94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71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ht="14.4" spans="1:42">
      <c r="A388" s="167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9" t="str">
        <f t="shared" si="135"/>
        <v>|CffFFD24D【史诗】悟道碑石|r</v>
      </c>
      <c r="K388" s="169" t="str">
        <f t="shared" si="136"/>
        <v>业力|Cffffc926+50000|r，业力|Cffffc926+12%|n|n|r|Cffaaaaaa○|CffFFD24D光之刻印+1|r|r|n|n|Cff00ff7f点击穿戴或脱卸。|r</v>
      </c>
      <c r="L388" s="27"/>
      <c r="M388" s="170" t="str">
        <f>VLOOKUP(LEFT(RIGHT(B388,5),4),物品!B:CU,20,FALSE)</f>
        <v>ReplaceableTextures\\CommandButtons\\BTNSST16.blp</v>
      </c>
      <c r="N388" s="188" t="s">
        <v>83</v>
      </c>
      <c r="O388" s="170" t="s">
        <v>94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71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ht="14.4" spans="1:42">
      <c r="A389" s="167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9" t="str">
        <f t="shared" si="135"/>
        <v>|CffFFD24D【史诗】悟道碑石|r</v>
      </c>
      <c r="K389" s="169" t="str">
        <f t="shared" si="136"/>
        <v>业力|Cffffc926+50000|r，业力|Cffffc926+12%|n|n|r|Cffaaaaaa○|CffFFD24D暗之刻印+1|r|r|n|n|Cff00ff7f点击穿戴或脱卸。|r</v>
      </c>
      <c r="L389" s="27"/>
      <c r="M389" s="170" t="str">
        <f>VLOOKUP(LEFT(RIGHT(B389,5),4),物品!B:CU,20,FALSE)</f>
        <v>ReplaceableTextures\\CommandButtons\\BTNSST16.blp</v>
      </c>
      <c r="N389" s="188" t="s">
        <v>83</v>
      </c>
      <c r="O389" s="170" t="s">
        <v>94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71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ht="14.4" spans="1:42">
      <c r="A390" s="167"/>
      <c r="B390" s="27" t="str">
        <f>物品!B390</f>
        <v>IK91</v>
      </c>
      <c r="C390" s="27" t="s">
        <v>41</v>
      </c>
      <c r="D390" s="27" t="s">
        <v>81</v>
      </c>
      <c r="E390" s="27" t="s">
        <v>110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9" t="str">
        <f t="shared" si="135"/>
        <v>|CffFFD24D金之刻印|r</v>
      </c>
      <c r="K390" s="169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70" t="str">
        <f>VLOOKUP(LEFT(RIGHT(B390,5),4),物品!B:CU,20,FALSE)</f>
        <v>ReplaceableTextures\\CommandButtons\\BTNUI_Fuin_01.blp</v>
      </c>
      <c r="N390" s="188" t="s">
        <v>83</v>
      </c>
      <c r="O390" s="170" t="s">
        <v>94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71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ht="14.4" spans="1:42">
      <c r="A391" s="167"/>
      <c r="B391" s="27" t="str">
        <f>物品!B391</f>
        <v>IK92</v>
      </c>
      <c r="C391" s="27" t="s">
        <v>41</v>
      </c>
      <c r="D391" s="27" t="s">
        <v>81</v>
      </c>
      <c r="E391" s="27" t="s">
        <v>111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9" t="str">
        <f t="shared" si="135"/>
        <v>|CffFFD24D木之刻印|r</v>
      </c>
      <c r="K391" s="169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70" t="str">
        <f>VLOOKUP(LEFT(RIGHT(B391,5),4),物品!B:CU,20,FALSE)</f>
        <v>ReplaceableTextures\\CommandButtons\\BTNUI_Fuin_02.blp</v>
      </c>
      <c r="N391" s="188" t="s">
        <v>83</v>
      </c>
      <c r="O391" s="170" t="s">
        <v>94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71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ht="14.4" spans="1:42">
      <c r="A392" s="167"/>
      <c r="B392" s="27" t="str">
        <f>物品!B392</f>
        <v>IK93</v>
      </c>
      <c r="C392" s="27" t="s">
        <v>41</v>
      </c>
      <c r="D392" s="27" t="s">
        <v>81</v>
      </c>
      <c r="E392" s="27" t="s">
        <v>112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9" t="str">
        <f t="shared" si="135"/>
        <v>|CffFFD24D水之刻印|r</v>
      </c>
      <c r="K392" s="169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70" t="str">
        <f>VLOOKUP(LEFT(RIGHT(B392,5),4),物品!B:CU,20,FALSE)</f>
        <v>ReplaceableTextures\\CommandButtons\\BTNUI_Fuin_03.blp</v>
      </c>
      <c r="N392" s="188" t="s">
        <v>83</v>
      </c>
      <c r="O392" s="170" t="s">
        <v>94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71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ht="14.4" spans="1:42">
      <c r="A393" s="167"/>
      <c r="B393" s="27" t="str">
        <f>物品!B393</f>
        <v>IK94</v>
      </c>
      <c r="C393" s="27" t="s">
        <v>41</v>
      </c>
      <c r="D393" s="27" t="s">
        <v>81</v>
      </c>
      <c r="E393" s="27" t="s">
        <v>113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9" t="str">
        <f t="shared" si="135"/>
        <v>|CffFFD24D火之刻印|r</v>
      </c>
      <c r="K393" s="169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70" t="str">
        <f>VLOOKUP(LEFT(RIGHT(B393,5),4),物品!B:CU,20,FALSE)</f>
        <v>ReplaceableTextures\\CommandButtons\\BTNUI_Fuin_04.blp</v>
      </c>
      <c r="N393" s="188" t="s">
        <v>83</v>
      </c>
      <c r="O393" s="170" t="s">
        <v>94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71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ht="14.4" spans="1:42">
      <c r="A394" s="167"/>
      <c r="B394" s="27" t="str">
        <f>物品!B394</f>
        <v>IK95</v>
      </c>
      <c r="C394" s="27" t="s">
        <v>41</v>
      </c>
      <c r="D394" s="27" t="s">
        <v>81</v>
      </c>
      <c r="E394" s="27" t="s">
        <v>114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9" t="str">
        <f t="shared" si="135"/>
        <v>|CffFFD24D土之刻印|r</v>
      </c>
      <c r="K394" s="169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70" t="str">
        <f>VLOOKUP(LEFT(RIGHT(B394,5),4),物品!B:CU,20,FALSE)</f>
        <v>ReplaceableTextures\\CommandButtons\\BTNUI_Fuin_05.blp</v>
      </c>
      <c r="N394" s="188" t="s">
        <v>83</v>
      </c>
      <c r="O394" s="170" t="s">
        <v>94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71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ht="14.4" spans="1:42">
      <c r="A395" s="167"/>
      <c r="B395" s="27" t="str">
        <f>物品!B395</f>
        <v>IK96</v>
      </c>
      <c r="C395" s="27" t="s">
        <v>41</v>
      </c>
      <c r="D395" s="27" t="s">
        <v>81</v>
      </c>
      <c r="E395" s="27" t="s">
        <v>115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9" t="str">
        <f t="shared" si="135"/>
        <v>|CffFFD24D雷之刻印|r</v>
      </c>
      <c r="K395" s="169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70" t="str">
        <f>VLOOKUP(LEFT(RIGHT(B395,5),4),物品!B:CU,20,FALSE)</f>
        <v>ReplaceableTextures\\CommandButtons\\BTNUI_Fuin_06.blp</v>
      </c>
      <c r="N395" s="188" t="s">
        <v>83</v>
      </c>
      <c r="O395" s="170" t="s">
        <v>94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71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ht="14.4" spans="1:42">
      <c r="A396" s="167"/>
      <c r="B396" s="27" t="str">
        <f>物品!B396</f>
        <v>IK97</v>
      </c>
      <c r="C396" s="27" t="s">
        <v>41</v>
      </c>
      <c r="D396" s="27" t="s">
        <v>81</v>
      </c>
      <c r="E396" s="27" t="s">
        <v>116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9" t="str">
        <f t="shared" si="135"/>
        <v>|CffFFD24D光之刻印|r</v>
      </c>
      <c r="K396" s="169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70" t="str">
        <f>VLOOKUP(LEFT(RIGHT(B396,5),4),物品!B:CU,20,FALSE)</f>
        <v>ReplaceableTextures\\CommandButtons\\BTNUI_Fuin_07.blp</v>
      </c>
      <c r="N396" s="188" t="s">
        <v>83</v>
      </c>
      <c r="O396" s="170" t="s">
        <v>94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71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ht="14.4" spans="1:42">
      <c r="A397" s="167"/>
      <c r="B397" s="27" t="str">
        <f>物品!B397</f>
        <v>IK98</v>
      </c>
      <c r="C397" s="27" t="s">
        <v>41</v>
      </c>
      <c r="D397" s="27" t="s">
        <v>81</v>
      </c>
      <c r="E397" s="27" t="s">
        <v>117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9" t="str">
        <f t="shared" si="135"/>
        <v>|CffFFD24D暗之刻印|r</v>
      </c>
      <c r="K397" s="169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70" t="str">
        <f>VLOOKUP(LEFT(RIGHT(B397,5),4),物品!B:CU,20,FALSE)</f>
        <v>ReplaceableTextures\\CommandButtons\\BTNUI_Fuin_08.blp</v>
      </c>
      <c r="N397" s="188" t="s">
        <v>83</v>
      </c>
      <c r="O397" s="170" t="s">
        <v>94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71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2:42">
      <c r="B398" s="163"/>
      <c r="C398" s="27"/>
      <c r="D398" s="27"/>
      <c r="E398" s="27"/>
      <c r="H398" s="27"/>
      <c r="J398" s="173"/>
      <c r="K398" s="163"/>
      <c r="L398" s="27"/>
      <c r="M398" s="174"/>
      <c r="O398" s="170"/>
      <c r="P398" s="27"/>
      <c r="Q398" s="27"/>
      <c r="W398" s="163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63"/>
      <c r="C399" s="27"/>
      <c r="D399" s="27"/>
      <c r="E399" s="27"/>
      <c r="H399" s="27"/>
      <c r="J399" s="173"/>
      <c r="K399" s="163"/>
      <c r="L399" s="27"/>
      <c r="M399" s="174"/>
      <c r="O399" s="170"/>
      <c r="P399" s="27"/>
      <c r="Q399" s="27"/>
      <c r="W399" s="163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63"/>
      <c r="C400" s="27"/>
      <c r="D400" s="27"/>
      <c r="E400" s="27"/>
      <c r="H400" s="27"/>
      <c r="J400" s="173"/>
      <c r="K400" s="163"/>
      <c r="L400" s="27"/>
      <c r="M400" s="174"/>
      <c r="O400" s="170"/>
      <c r="P400" s="27"/>
      <c r="Q400" s="27"/>
      <c r="W400" s="163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3"/>
      <c r="C401" s="27"/>
      <c r="D401" s="27"/>
      <c r="E401" s="27"/>
      <c r="H401" s="27"/>
      <c r="J401" s="173"/>
      <c r="K401" s="163"/>
      <c r="L401" s="27"/>
      <c r="M401" s="174"/>
      <c r="O401" s="170"/>
      <c r="P401" s="27"/>
      <c r="Q401" s="27"/>
      <c r="W401" s="163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3"/>
      <c r="C402" s="27"/>
      <c r="D402" s="27"/>
      <c r="E402" s="27"/>
      <c r="H402" s="27"/>
      <c r="J402" s="173"/>
      <c r="K402" s="163"/>
      <c r="L402" s="27"/>
      <c r="M402" s="174"/>
      <c r="O402" s="170"/>
      <c r="P402" s="27"/>
      <c r="Q402" s="27"/>
      <c r="R402" s="163"/>
      <c r="S402" s="163"/>
      <c r="T402" s="163"/>
      <c r="W402" s="163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3"/>
      <c r="C403" s="27"/>
      <c r="D403" s="27"/>
      <c r="E403" s="27"/>
      <c r="H403" s="27"/>
      <c r="J403" s="173"/>
      <c r="K403" s="163"/>
      <c r="L403" s="27"/>
      <c r="M403" s="174"/>
      <c r="O403" s="170"/>
      <c r="P403" s="27"/>
      <c r="Q403" s="27"/>
      <c r="R403" s="163"/>
      <c r="S403" s="163"/>
      <c r="T403" s="163"/>
      <c r="W403" s="163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3"/>
      <c r="C404" s="27"/>
      <c r="D404" s="27"/>
      <c r="E404" s="27"/>
      <c r="H404" s="27"/>
      <c r="J404" s="173"/>
      <c r="K404" s="163"/>
      <c r="L404" s="27"/>
      <c r="M404" s="174"/>
      <c r="O404" s="170"/>
      <c r="P404" s="27"/>
      <c r="Q404" s="27"/>
      <c r="R404" s="163"/>
      <c r="S404" s="163"/>
      <c r="T404" s="163"/>
      <c r="W404" s="163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3"/>
      <c r="C405" s="27"/>
      <c r="D405" s="27"/>
      <c r="E405" s="27"/>
      <c r="H405" s="27"/>
      <c r="J405" s="173"/>
      <c r="K405" s="163"/>
      <c r="L405" s="27"/>
      <c r="M405" s="174"/>
      <c r="O405" s="170"/>
      <c r="P405" s="27"/>
      <c r="Q405" s="27"/>
      <c r="R405" s="163"/>
      <c r="S405" s="163"/>
      <c r="T405" s="163"/>
      <c r="W405" s="163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3"/>
      <c r="C406" s="27"/>
      <c r="D406" s="27"/>
      <c r="E406" s="27"/>
      <c r="H406" s="27"/>
      <c r="J406" s="173"/>
      <c r="K406" s="163"/>
      <c r="L406" s="27"/>
      <c r="M406" s="174"/>
      <c r="O406" s="170"/>
      <c r="P406" s="27"/>
      <c r="Q406" s="27"/>
      <c r="R406" s="163"/>
      <c r="S406" s="163"/>
      <c r="T406" s="163"/>
      <c r="W406" s="163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3"/>
      <c r="C407" s="27"/>
      <c r="D407" s="27"/>
      <c r="E407" s="27"/>
      <c r="H407" s="27"/>
      <c r="J407" s="173"/>
      <c r="K407" s="163"/>
      <c r="L407" s="27"/>
      <c r="M407" s="174"/>
      <c r="O407" s="170"/>
      <c r="P407" s="27"/>
      <c r="Q407" s="27"/>
      <c r="R407" s="163"/>
      <c r="S407" s="163"/>
      <c r="T407" s="163"/>
      <c r="W407" s="163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3"/>
      <c r="C408" s="27"/>
      <c r="D408" s="27"/>
      <c r="E408" s="27"/>
      <c r="H408" s="27"/>
      <c r="J408" s="173"/>
      <c r="K408" s="163"/>
      <c r="L408" s="27"/>
      <c r="M408" s="174"/>
      <c r="O408" s="170"/>
      <c r="P408" s="27"/>
      <c r="Q408" s="27"/>
      <c r="R408" s="163"/>
      <c r="S408" s="163"/>
      <c r="T408" s="163"/>
      <c r="W408" s="163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3"/>
      <c r="C409" s="27"/>
      <c r="D409" s="27"/>
      <c r="E409" s="27"/>
      <c r="H409" s="27"/>
      <c r="J409" s="173"/>
      <c r="K409" s="163"/>
      <c r="L409" s="27"/>
      <c r="M409" s="174"/>
      <c r="O409" s="170"/>
      <c r="P409" s="27"/>
      <c r="Q409" s="27"/>
      <c r="R409" s="163"/>
      <c r="S409" s="163"/>
      <c r="T409" s="163"/>
      <c r="W409" s="163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3"/>
      <c r="C410" s="27"/>
      <c r="D410" s="27"/>
      <c r="E410" s="27"/>
      <c r="H410" s="27"/>
      <c r="J410" s="173"/>
      <c r="K410" s="163"/>
      <c r="L410" s="27"/>
      <c r="M410" s="174"/>
      <c r="O410" s="170"/>
      <c r="P410" s="27"/>
      <c r="Q410" s="27"/>
      <c r="R410" s="163"/>
      <c r="S410" s="163"/>
      <c r="T410" s="163"/>
      <c r="W410" s="163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3"/>
      <c r="C411" s="27"/>
      <c r="D411" s="27"/>
      <c r="E411" s="27"/>
      <c r="H411" s="27"/>
      <c r="J411" s="173"/>
      <c r="K411" s="163"/>
      <c r="L411" s="27"/>
      <c r="M411" s="174"/>
      <c r="O411" s="170"/>
      <c r="P411" s="27"/>
      <c r="Q411" s="27"/>
      <c r="R411" s="163"/>
      <c r="S411" s="163"/>
      <c r="T411" s="163"/>
      <c r="W411" s="163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3"/>
      <c r="C412" s="27"/>
      <c r="D412" s="27"/>
      <c r="E412" s="27"/>
      <c r="H412" s="27"/>
      <c r="J412" s="173"/>
      <c r="K412" s="163"/>
      <c r="L412" s="27"/>
      <c r="M412" s="174"/>
      <c r="O412" s="170"/>
      <c r="P412" s="27"/>
      <c r="Q412" s="27"/>
      <c r="R412" s="163"/>
      <c r="S412" s="163"/>
      <c r="T412" s="163"/>
      <c r="W412" s="163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3"/>
      <c r="C413" s="27"/>
      <c r="D413" s="27"/>
      <c r="E413" s="27"/>
      <c r="H413" s="27"/>
      <c r="J413" s="173"/>
      <c r="K413" s="163"/>
      <c r="L413" s="27"/>
      <c r="M413" s="174"/>
      <c r="O413" s="170"/>
      <c r="P413" s="27"/>
      <c r="Q413" s="27"/>
      <c r="R413" s="163"/>
      <c r="S413" s="163"/>
      <c r="T413" s="163"/>
      <c r="W413" s="163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3"/>
      <c r="C414" s="27"/>
      <c r="D414" s="27"/>
      <c r="E414" s="27"/>
      <c r="H414" s="27"/>
      <c r="J414" s="173"/>
      <c r="K414" s="163"/>
      <c r="L414" s="27"/>
      <c r="M414" s="174"/>
      <c r="O414" s="170"/>
      <c r="P414" s="27"/>
      <c r="Q414" s="27"/>
      <c r="R414" s="27"/>
      <c r="S414" s="27"/>
      <c r="T414" s="27"/>
      <c r="W414" s="163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3"/>
      <c r="C415" s="27"/>
      <c r="D415" s="27"/>
      <c r="E415" s="27"/>
      <c r="H415" s="27"/>
      <c r="J415" s="173"/>
      <c r="K415" s="163"/>
      <c r="L415" s="27"/>
      <c r="M415" s="174"/>
      <c r="O415" s="170"/>
      <c r="P415" s="27"/>
      <c r="Q415" s="27"/>
      <c r="R415" s="27"/>
      <c r="S415" s="27"/>
      <c r="T415" s="27"/>
      <c r="W415" s="163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="164" customFormat="1" spans="5:28">
      <c r="E416" s="27"/>
      <c r="H416" s="27"/>
      <c r="J416" s="169"/>
      <c r="AB416" s="27"/>
    </row>
    <row r="417" s="164" customFormat="1" spans="5:28">
      <c r="E417" s="27"/>
      <c r="H417" s="27"/>
      <c r="J417" s="169"/>
      <c r="AB417" s="27"/>
    </row>
    <row r="418" s="164" customFormat="1" spans="5:28">
      <c r="E418" s="27"/>
      <c r="H418" s="27"/>
      <c r="J418" s="169"/>
      <c r="AB418" s="27"/>
    </row>
    <row r="419" s="164" customFormat="1" spans="5:28">
      <c r="E419" s="27"/>
      <c r="H419" s="27"/>
      <c r="J419" s="169"/>
      <c r="AB419" s="27"/>
    </row>
    <row r="420" s="164" customFormat="1" spans="5:28">
      <c r="E420" s="27"/>
      <c r="H420" s="27"/>
      <c r="J420" s="169"/>
      <c r="AB420" s="27"/>
    </row>
    <row r="421" s="164" customFormat="1" spans="5:28">
      <c r="E421" s="27"/>
      <c r="H421" s="27"/>
      <c r="J421" s="169"/>
      <c r="AB421" s="27"/>
    </row>
    <row r="422" s="164" customFormat="1" spans="5:28">
      <c r="E422" s="27"/>
      <c r="H422" s="27"/>
      <c r="J422" s="169"/>
      <c r="AB422" s="27"/>
    </row>
    <row r="423" s="164" customFormat="1" spans="5:28">
      <c r="E423" s="27"/>
      <c r="H423" s="27"/>
      <c r="J423" s="169"/>
      <c r="AB423" s="27"/>
    </row>
    <row r="424" s="164" customFormat="1" spans="5:28">
      <c r="E424" s="27"/>
      <c r="H424" s="27"/>
      <c r="J424" s="169"/>
      <c r="AB424" s="27"/>
    </row>
    <row r="425" s="164" customFormat="1" spans="5:28">
      <c r="E425" s="27"/>
      <c r="H425" s="27"/>
      <c r="J425" s="169"/>
      <c r="AB425" s="27"/>
    </row>
    <row r="426" s="164" customFormat="1" spans="5:28">
      <c r="E426" s="27"/>
      <c r="H426" s="27"/>
      <c r="J426" s="169"/>
      <c r="AB426" s="27"/>
    </row>
    <row r="427" s="164" customFormat="1" spans="5:28">
      <c r="E427" s="27"/>
      <c r="H427" s="27"/>
      <c r="J427" s="169"/>
      <c r="AB427" s="27"/>
    </row>
    <row r="428" s="164" customFormat="1" spans="5:28">
      <c r="E428" s="27"/>
      <c r="H428" s="27"/>
      <c r="J428" s="169"/>
      <c r="AB428" s="27"/>
    </row>
    <row r="429" s="164" customFormat="1" spans="5:28">
      <c r="E429" s="27"/>
      <c r="H429" s="27"/>
      <c r="J429" s="169"/>
      <c r="AB429" s="27"/>
    </row>
    <row r="430" s="164" customFormat="1" spans="5:28">
      <c r="E430" s="27"/>
      <c r="H430" s="27"/>
      <c r="J430" s="169"/>
      <c r="AB430" s="27"/>
    </row>
    <row r="431" s="164" customFormat="1" spans="5:28">
      <c r="E431" s="27"/>
      <c r="H431" s="27"/>
      <c r="J431" s="169"/>
      <c r="AB431" s="27"/>
    </row>
    <row r="432" s="164" customFormat="1" spans="5:28">
      <c r="E432" s="27"/>
      <c r="H432" s="27"/>
      <c r="J432" s="169"/>
      <c r="AB432" s="27"/>
    </row>
    <row r="433" s="164" customFormat="1" spans="5:28">
      <c r="E433" s="27"/>
      <c r="H433" s="27"/>
      <c r="J433" s="169"/>
      <c r="AB433" s="27"/>
    </row>
    <row r="434" spans="2:42">
      <c r="B434" s="163"/>
      <c r="C434" s="27"/>
      <c r="D434" s="27"/>
      <c r="E434" s="27"/>
      <c r="H434" s="27"/>
      <c r="J434" s="169"/>
      <c r="K434" s="27"/>
      <c r="L434" s="27"/>
      <c r="O434" s="170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3"/>
      <c r="C435" s="27"/>
      <c r="D435" s="27"/>
      <c r="E435" s="27"/>
      <c r="H435" s="27"/>
      <c r="I435" s="164"/>
      <c r="J435" s="169"/>
      <c r="K435" s="27"/>
      <c r="L435" s="27"/>
      <c r="M435" s="164"/>
      <c r="O435" s="170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3"/>
      <c r="C436" s="27"/>
      <c r="D436" s="27"/>
      <c r="E436" s="27"/>
      <c r="H436" s="27"/>
      <c r="I436" s="164"/>
      <c r="J436" s="169"/>
      <c r="K436" s="27"/>
      <c r="L436" s="27"/>
      <c r="M436" s="164"/>
      <c r="O436" s="170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3"/>
      <c r="C437" s="27"/>
      <c r="D437" s="27"/>
      <c r="E437" s="27"/>
      <c r="H437" s="27"/>
      <c r="I437" s="164"/>
      <c r="J437" s="169"/>
      <c r="K437" s="27"/>
      <c r="L437" s="27"/>
      <c r="M437" s="164"/>
      <c r="O437" s="170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3"/>
      <c r="C438" s="27"/>
      <c r="D438" s="27"/>
      <c r="E438" s="27"/>
      <c r="H438" s="27"/>
      <c r="I438" s="164"/>
      <c r="J438" s="164"/>
      <c r="K438" s="27"/>
      <c r="L438" s="27"/>
      <c r="M438" s="164"/>
      <c r="O438" s="170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3"/>
      <c r="C439" s="27"/>
      <c r="D439" s="27"/>
      <c r="E439" s="27"/>
      <c r="H439" s="27"/>
      <c r="I439" s="164"/>
      <c r="J439" s="164"/>
      <c r="K439" s="27"/>
      <c r="L439" s="27"/>
      <c r="M439" s="164"/>
      <c r="O439" s="170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3"/>
      <c r="C440" s="27"/>
      <c r="D440" s="27"/>
      <c r="E440" s="27"/>
      <c r="H440" s="27"/>
      <c r="I440" s="164"/>
      <c r="J440" s="164"/>
      <c r="K440" s="27"/>
      <c r="L440" s="27"/>
      <c r="M440" s="164"/>
      <c r="O440" s="170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3"/>
      <c r="C441" s="27"/>
      <c r="D441" s="27"/>
      <c r="E441" s="27"/>
      <c r="H441" s="27"/>
      <c r="I441" s="164"/>
      <c r="J441" s="163"/>
      <c r="K441" s="27"/>
      <c r="L441" s="27"/>
      <c r="M441" s="164"/>
      <c r="O441" s="170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3"/>
      <c r="C442" s="27"/>
      <c r="D442" s="27"/>
      <c r="E442" s="27"/>
      <c r="H442" s="27"/>
      <c r="I442" s="164"/>
      <c r="J442" s="163"/>
      <c r="K442" s="27"/>
      <c r="L442" s="27"/>
      <c r="M442" s="164"/>
      <c r="O442" s="17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3"/>
      <c r="C443" s="27"/>
      <c r="D443" s="27"/>
      <c r="E443" s="27"/>
      <c r="H443" s="27"/>
      <c r="J443" s="169"/>
      <c r="K443" s="27"/>
      <c r="L443" s="27"/>
      <c r="M443" s="174"/>
      <c r="O443" s="170"/>
      <c r="P443" s="27"/>
      <c r="Q443" s="27"/>
      <c r="W443" s="163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3"/>
      <c r="C444" s="27"/>
      <c r="D444" s="27"/>
      <c r="E444" s="27"/>
      <c r="H444" s="27"/>
      <c r="J444" s="169"/>
      <c r="K444" s="27"/>
      <c r="L444" s="27"/>
      <c r="M444" s="174"/>
      <c r="O444" s="170"/>
      <c r="P444" s="27"/>
      <c r="Q444" s="27"/>
      <c r="W444" s="163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3"/>
      <c r="C445" s="27"/>
      <c r="D445" s="27"/>
      <c r="E445" s="27"/>
      <c r="H445" s="27"/>
      <c r="J445" s="169"/>
      <c r="K445" s="27"/>
      <c r="L445" s="27"/>
      <c r="M445" s="174"/>
      <c r="O445" s="170"/>
      <c r="P445" s="27"/>
      <c r="Q445" s="27"/>
      <c r="W445" s="163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3"/>
      <c r="C446" s="27"/>
      <c r="D446" s="27"/>
      <c r="E446" s="27"/>
      <c r="H446" s="27"/>
      <c r="J446" s="169"/>
      <c r="K446" s="27"/>
      <c r="L446" s="27"/>
      <c r="M446" s="174"/>
      <c r="O446" s="170"/>
      <c r="P446" s="27"/>
      <c r="Q446" s="27"/>
      <c r="W446" s="163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3"/>
      <c r="C447" s="27"/>
      <c r="D447" s="27"/>
      <c r="E447" s="27"/>
      <c r="H447" s="27"/>
      <c r="J447" s="169"/>
      <c r="K447" s="27"/>
      <c r="L447" s="27"/>
      <c r="M447" s="175"/>
      <c r="O447" s="170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3"/>
      <c r="C448" s="27"/>
      <c r="D448" s="27"/>
      <c r="E448" s="27"/>
      <c r="H448" s="27"/>
      <c r="J448" s="169"/>
      <c r="K448" s="27"/>
      <c r="L448" s="27"/>
      <c r="M448" s="175"/>
      <c r="O448" s="170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3"/>
      <c r="C449" s="27"/>
      <c r="D449" s="27"/>
      <c r="E449" s="27"/>
      <c r="H449" s="27"/>
      <c r="J449" s="169"/>
      <c r="K449" s="27"/>
      <c r="L449" s="27"/>
      <c r="M449" s="175"/>
      <c r="O449" s="170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3"/>
      <c r="C450" s="27"/>
      <c r="D450" s="27"/>
      <c r="E450" s="27"/>
      <c r="H450" s="27"/>
      <c r="J450" s="169"/>
      <c r="K450" s="27"/>
      <c r="L450" s="27"/>
      <c r="M450" s="175"/>
      <c r="O450" s="170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3"/>
      <c r="C451" s="27"/>
      <c r="D451" s="27"/>
      <c r="E451" s="27"/>
      <c r="H451" s="27"/>
      <c r="J451" s="169"/>
      <c r="K451" s="27"/>
      <c r="L451" s="27"/>
      <c r="M451" s="175"/>
      <c r="O451" s="170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3"/>
      <c r="C452" s="27"/>
      <c r="D452" s="27"/>
      <c r="E452" s="27"/>
      <c r="H452" s="27"/>
      <c r="J452" s="169"/>
      <c r="K452" s="27"/>
      <c r="L452" s="27"/>
      <c r="M452" s="175"/>
      <c r="O452" s="170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3"/>
      <c r="C453" s="27"/>
      <c r="D453" s="27"/>
      <c r="E453" s="27"/>
      <c r="H453" s="27"/>
      <c r="J453" s="169"/>
      <c r="K453" s="27"/>
      <c r="L453" s="27"/>
      <c r="M453" s="175"/>
      <c r="O453" s="170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3"/>
      <c r="C454" s="27"/>
      <c r="D454" s="27"/>
      <c r="E454" s="27"/>
      <c r="H454" s="27"/>
      <c r="J454" s="169"/>
      <c r="K454" s="27"/>
      <c r="L454" s="27"/>
      <c r="M454" s="175"/>
      <c r="O454" s="170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4"/>
      <c r="C455" s="27"/>
      <c r="D455" s="27"/>
      <c r="E455" s="27"/>
      <c r="H455" s="27"/>
      <c r="J455" s="169"/>
      <c r="K455" s="27"/>
      <c r="L455" s="27"/>
      <c r="M455" s="175"/>
      <c r="O455" s="170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4"/>
      <c r="C456" s="27"/>
      <c r="D456" s="27"/>
      <c r="E456" s="27"/>
      <c r="H456" s="27"/>
      <c r="J456" s="169"/>
      <c r="K456" s="27"/>
      <c r="L456" s="27"/>
      <c r="M456" s="175"/>
      <c r="O456" s="170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4"/>
      <c r="C457" s="27"/>
      <c r="D457" s="27"/>
      <c r="E457" s="27"/>
      <c r="H457" s="27"/>
      <c r="J457" s="169"/>
      <c r="K457" s="27"/>
      <c r="L457" s="27"/>
      <c r="M457" s="175"/>
      <c r="O457" s="170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37">
      <c r="B458" s="163"/>
      <c r="C458" s="27"/>
      <c r="D458" s="27"/>
      <c r="E458" s="27"/>
      <c r="H458" s="27"/>
      <c r="I458" s="164"/>
      <c r="J458" s="169"/>
      <c r="K458" s="27"/>
      <c r="L458" s="27"/>
      <c r="M458" s="174"/>
      <c r="O458" s="170"/>
      <c r="P458" s="27"/>
      <c r="Q458" s="27"/>
      <c r="W458" s="163"/>
      <c r="X458" s="27"/>
      <c r="Z458" s="27"/>
      <c r="AA458" s="27"/>
      <c r="AC458" s="27"/>
      <c r="AD458" s="27"/>
      <c r="AJ458" s="27"/>
      <c r="AK458" s="27"/>
    </row>
    <row r="459" spans="2:37">
      <c r="B459" s="163"/>
      <c r="C459" s="27"/>
      <c r="D459" s="27"/>
      <c r="E459" s="27"/>
      <c r="H459" s="27"/>
      <c r="J459" s="169"/>
      <c r="K459" s="27"/>
      <c r="L459" s="27"/>
      <c r="M459" s="174"/>
      <c r="O459" s="170"/>
      <c r="P459" s="27"/>
      <c r="Q459" s="27"/>
      <c r="W459" s="163"/>
      <c r="X459" s="27"/>
      <c r="Z459" s="27"/>
      <c r="AA459" s="27"/>
      <c r="AC459" s="27"/>
      <c r="AD459" s="27"/>
      <c r="AJ459" s="27"/>
      <c r="AK459" s="27"/>
    </row>
    <row r="460" spans="2:37">
      <c r="B460" s="163"/>
      <c r="C460" s="27"/>
      <c r="D460" s="27"/>
      <c r="E460" s="27"/>
      <c r="H460" s="27"/>
      <c r="J460" s="169"/>
      <c r="K460" s="27"/>
      <c r="L460" s="27"/>
      <c r="M460" s="174"/>
      <c r="O460" s="170"/>
      <c r="P460" s="27"/>
      <c r="Q460" s="27"/>
      <c r="W460" s="163"/>
      <c r="X460" s="27"/>
      <c r="Z460" s="27"/>
      <c r="AA460" s="27"/>
      <c r="AC460" s="27"/>
      <c r="AD460" s="27"/>
      <c r="AJ460" s="27"/>
      <c r="AK460" s="27"/>
    </row>
    <row r="461" spans="2:37">
      <c r="B461" s="163"/>
      <c r="C461" s="27"/>
      <c r="D461" s="27"/>
      <c r="E461" s="27"/>
      <c r="H461" s="27"/>
      <c r="J461" s="169"/>
      <c r="K461" s="27"/>
      <c r="L461" s="27"/>
      <c r="M461" s="174"/>
      <c r="O461" s="170"/>
      <c r="P461" s="27"/>
      <c r="Q461" s="27"/>
      <c r="W461" s="163"/>
      <c r="X461" s="27"/>
      <c r="Z461" s="27"/>
      <c r="AA461" s="27"/>
      <c r="AC461" s="27"/>
      <c r="AD461" s="27"/>
      <c r="AJ461" s="27"/>
      <c r="AK461" s="27"/>
    </row>
    <row r="462" spans="2:42">
      <c r="B462" s="163"/>
      <c r="C462" s="27"/>
      <c r="D462" s="27"/>
      <c r="E462" s="27"/>
      <c r="H462" s="27"/>
      <c r="J462" s="169"/>
      <c r="K462" s="27"/>
      <c r="L462" s="27"/>
      <c r="P462" s="27"/>
      <c r="Q462" s="27"/>
      <c r="W462" s="163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3"/>
      <c r="C463" s="27"/>
      <c r="D463" s="27"/>
      <c r="E463" s="27"/>
      <c r="H463" s="27"/>
      <c r="J463" s="169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3"/>
      <c r="C464" s="27"/>
      <c r="D464" s="27"/>
      <c r="E464" s="27"/>
      <c r="H464" s="27"/>
      <c r="J464" s="169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3"/>
      <c r="C465" s="27"/>
      <c r="D465" s="27"/>
      <c r="E465" s="27"/>
      <c r="H465" s="27"/>
      <c r="J465" s="169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3"/>
      <c r="C466" s="27"/>
      <c r="D466" s="27"/>
      <c r="E466" s="27"/>
      <c r="H466" s="27"/>
      <c r="J466" s="169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3"/>
      <c r="C467" s="27"/>
      <c r="D467" s="27"/>
      <c r="E467" s="27"/>
      <c r="H467" s="27"/>
      <c r="J467" s="169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3"/>
      <c r="C468" s="27"/>
      <c r="D468" s="27"/>
      <c r="E468" s="27"/>
      <c r="H468" s="27"/>
      <c r="J468" s="169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3"/>
      <c r="C469" s="27"/>
      <c r="D469" s="27"/>
      <c r="E469" s="27"/>
      <c r="H469" s="27"/>
      <c r="J469" s="169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3"/>
      <c r="C470" s="27"/>
      <c r="D470" s="27"/>
      <c r="E470" s="27"/>
      <c r="H470" s="27"/>
      <c r="J470" s="169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3"/>
      <c r="C471" s="27"/>
      <c r="D471" s="27"/>
      <c r="E471" s="27"/>
      <c r="H471" s="27"/>
      <c r="J471" s="169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3"/>
      <c r="C472" s="27"/>
      <c r="D472" s="27"/>
      <c r="E472" s="27"/>
      <c r="H472" s="27"/>
      <c r="J472" s="169"/>
      <c r="K472" s="27"/>
      <c r="L472" s="27"/>
      <c r="O472" s="170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3"/>
      <c r="C473" s="27"/>
      <c r="D473" s="27"/>
      <c r="E473" s="27"/>
      <c r="H473" s="27"/>
      <c r="J473" s="169"/>
      <c r="K473" s="27"/>
      <c r="L473" s="27"/>
      <c r="O473" s="170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3"/>
      <c r="C474" s="27"/>
      <c r="D474" s="27"/>
      <c r="E474" s="27"/>
      <c r="H474" s="27"/>
      <c r="J474" s="169"/>
      <c r="K474" s="27"/>
      <c r="L474" s="27"/>
      <c r="O474" s="170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3"/>
      <c r="C475" s="27"/>
      <c r="D475" s="27"/>
      <c r="E475" s="27"/>
      <c r="H475" s="27"/>
      <c r="J475" s="169"/>
      <c r="K475" s="27"/>
      <c r="L475" s="27"/>
      <c r="M475"/>
      <c r="O475" s="170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3"/>
      <c r="C476" s="27"/>
      <c r="D476" s="27"/>
      <c r="E476" s="27"/>
      <c r="H476" s="27"/>
      <c r="J476" s="169"/>
      <c r="K476" s="27"/>
      <c r="L476" s="27"/>
      <c r="M476"/>
      <c r="O476" s="170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3"/>
      <c r="C477" s="27"/>
      <c r="D477" s="27"/>
      <c r="E477" s="27"/>
      <c r="H477" s="27"/>
      <c r="J477" s="169"/>
      <c r="K477" s="27"/>
      <c r="L477" s="27"/>
      <c r="M477"/>
      <c r="O477" s="170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3"/>
      <c r="C478" s="27"/>
      <c r="D478" s="27"/>
      <c r="E478" s="27"/>
      <c r="H478" s="27"/>
      <c r="J478" s="169"/>
      <c r="K478" s="27"/>
      <c r="L478" s="27"/>
      <c r="M478"/>
      <c r="O478" s="170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3"/>
      <c r="C479" s="27"/>
      <c r="D479" s="27"/>
      <c r="E479" s="27"/>
      <c r="H479" s="27"/>
      <c r="J479" s="169"/>
      <c r="K479" s="27"/>
      <c r="L479" s="27"/>
      <c r="M479"/>
      <c r="O479" s="170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3"/>
      <c r="C480" s="27"/>
      <c r="D480" s="27"/>
      <c r="E480" s="27"/>
      <c r="H480" s="27"/>
      <c r="J480" s="169"/>
      <c r="K480" s="27"/>
      <c r="L480" s="27"/>
      <c r="M480"/>
      <c r="O480" s="170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3"/>
      <c r="C481" s="27"/>
      <c r="D481" s="27"/>
      <c r="E481" s="27"/>
      <c r="H481" s="27"/>
      <c r="J481" s="169"/>
      <c r="K481" s="27"/>
      <c r="L481" s="27"/>
      <c r="M481"/>
      <c r="O481" s="170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3"/>
      <c r="C482" s="27"/>
      <c r="D482" s="27"/>
      <c r="E482" s="27"/>
      <c r="H482" s="27"/>
      <c r="J482" s="169"/>
      <c r="K482" s="27"/>
      <c r="L482" s="27"/>
      <c r="M482"/>
      <c r="O482" s="170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3"/>
      <c r="C483" s="27"/>
      <c r="D483" s="27"/>
      <c r="E483" s="27"/>
      <c r="H483" s="27"/>
      <c r="J483" s="169"/>
      <c r="K483" s="27"/>
      <c r="L483" s="27"/>
      <c r="M483"/>
      <c r="O483" s="170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3"/>
      <c r="C484" s="27"/>
      <c r="D484" s="27"/>
      <c r="E484" s="27"/>
      <c r="H484" s="27"/>
      <c r="J484" s="169"/>
      <c r="K484" s="27"/>
      <c r="L484" s="27"/>
      <c r="M484"/>
      <c r="O484" s="170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3"/>
      <c r="C485" s="27"/>
      <c r="D485" s="27"/>
      <c r="E485" s="27"/>
      <c r="H485" s="27"/>
      <c r="J485" s="169"/>
      <c r="K485" s="27"/>
      <c r="L485" s="27"/>
      <c r="M485"/>
      <c r="O485" s="170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3"/>
      <c r="C486" s="27"/>
      <c r="D486" s="27"/>
      <c r="E486" s="27"/>
      <c r="H486" s="27"/>
      <c r="J486" s="169"/>
      <c r="K486" s="27"/>
      <c r="L486" s="27"/>
      <c r="M486"/>
      <c r="O486" s="170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3"/>
      <c r="C487" s="27"/>
      <c r="D487" s="27"/>
      <c r="E487" s="27"/>
      <c r="H487" s="27"/>
      <c r="J487" s="169"/>
      <c r="K487" s="27"/>
      <c r="L487" s="27"/>
      <c r="M487"/>
      <c r="O487" s="170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3"/>
      <c r="C488" s="27"/>
      <c r="D488" s="27"/>
      <c r="E488" s="27"/>
      <c r="H488" s="27"/>
      <c r="J488" s="169"/>
      <c r="K488" s="27"/>
      <c r="L488" s="27"/>
      <c r="M488"/>
      <c r="O488" s="170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3"/>
      <c r="C489" s="27"/>
      <c r="D489" s="27"/>
      <c r="E489" s="27"/>
      <c r="H489" s="27"/>
      <c r="J489" s="169"/>
      <c r="K489" s="27"/>
      <c r="L489" s="27"/>
      <c r="M489"/>
      <c r="O489" s="170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3"/>
      <c r="C490" s="27"/>
      <c r="D490" s="27"/>
      <c r="E490" s="27"/>
      <c r="H490" s="27"/>
      <c r="J490" s="169"/>
      <c r="K490" s="27"/>
      <c r="L490" s="27"/>
      <c r="M490"/>
      <c r="O490" s="170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3"/>
      <c r="C491" s="27"/>
      <c r="D491" s="27"/>
      <c r="E491" s="27"/>
      <c r="H491" s="27"/>
      <c r="J491" s="169"/>
      <c r="K491" s="27"/>
      <c r="L491" s="27"/>
      <c r="M491"/>
      <c r="O491" s="170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3"/>
      <c r="C492" s="27"/>
      <c r="D492" s="27"/>
      <c r="E492" s="27"/>
      <c r="H492" s="27"/>
      <c r="J492" s="169"/>
      <c r="K492" s="27"/>
      <c r="L492" s="27"/>
      <c r="M492"/>
      <c r="O492" s="170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3"/>
      <c r="C493" s="27"/>
      <c r="D493" s="27"/>
      <c r="E493" s="27"/>
      <c r="H493" s="27"/>
      <c r="J493" s="169"/>
      <c r="K493" s="27"/>
      <c r="L493" s="27"/>
      <c r="M493"/>
      <c r="O493" s="17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3"/>
      <c r="C494" s="27"/>
      <c r="D494" s="27"/>
      <c r="E494" s="27"/>
      <c r="H494" s="27"/>
      <c r="J494" s="169"/>
      <c r="K494" s="27"/>
      <c r="L494" s="27"/>
      <c r="M494"/>
      <c r="O494" s="17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3"/>
      <c r="C495" s="27"/>
      <c r="D495" s="27"/>
      <c r="E495" s="27"/>
      <c r="H495" s="27"/>
      <c r="J495" s="169"/>
      <c r="K495" s="27"/>
      <c r="L495" s="27"/>
      <c r="M495"/>
      <c r="O495" s="17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3"/>
      <c r="C496" s="27"/>
      <c r="D496" s="27"/>
      <c r="E496" s="27"/>
      <c r="H496" s="27"/>
      <c r="J496" s="169"/>
      <c r="K496" s="27"/>
      <c r="L496" s="27"/>
      <c r="M496"/>
      <c r="O496" s="17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3"/>
      <c r="C497" s="27"/>
      <c r="D497" s="27"/>
      <c r="E497" s="27"/>
      <c r="H497" s="27"/>
      <c r="J497" s="169"/>
      <c r="K497" s="27"/>
      <c r="L497" s="27"/>
      <c r="M497"/>
      <c r="O497" s="170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3"/>
      <c r="C498" s="27"/>
      <c r="D498" s="27"/>
      <c r="E498" s="27"/>
      <c r="H498" s="27"/>
      <c r="J498" s="169"/>
      <c r="K498" s="27"/>
      <c r="L498" s="27"/>
      <c r="M498"/>
      <c r="O498" s="170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3"/>
      <c r="C499" s="27"/>
      <c r="D499" s="27"/>
      <c r="E499" s="27"/>
      <c r="H499" s="27"/>
      <c r="J499" s="169"/>
      <c r="K499" s="27"/>
      <c r="M499" s="176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3"/>
      <c r="C500" s="27"/>
      <c r="D500" s="27"/>
      <c r="E500" s="27"/>
      <c r="H500" s="27"/>
      <c r="J500" s="169"/>
      <c r="K500" s="27"/>
      <c r="M500" s="176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3"/>
      <c r="C501" s="27"/>
      <c r="D501" s="27"/>
      <c r="E501" s="27"/>
      <c r="H501" s="27"/>
      <c r="J501" s="169"/>
      <c r="K501" s="27"/>
      <c r="M501" s="176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3"/>
      <c r="C502" s="27"/>
      <c r="D502" s="27"/>
      <c r="E502" s="27"/>
      <c r="H502" s="27"/>
      <c r="J502" s="169"/>
      <c r="K502" s="27"/>
      <c r="M502" s="176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3"/>
      <c r="C503" s="27"/>
      <c r="D503" s="27"/>
      <c r="E503" s="27"/>
      <c r="H503" s="27"/>
      <c r="J503" s="169"/>
      <c r="K503" s="27"/>
      <c r="M503" s="176"/>
      <c r="P503" s="27"/>
      <c r="Q503" s="27"/>
      <c r="W503" s="163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3"/>
      <c r="C504" s="27"/>
      <c r="D504" s="27"/>
      <c r="E504" s="27"/>
      <c r="H504" s="27"/>
      <c r="J504" s="169"/>
      <c r="K504" s="27"/>
      <c r="M504" s="176"/>
      <c r="P504" s="27"/>
      <c r="Q504" s="27"/>
      <c r="W504" s="163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3"/>
      <c r="C505" s="27"/>
      <c r="D505" s="27"/>
      <c r="E505" s="27"/>
      <c r="H505" s="27"/>
      <c r="J505" s="169"/>
      <c r="K505" s="27"/>
      <c r="M505" s="176"/>
      <c r="P505" s="27"/>
      <c r="Q505" s="27"/>
      <c r="W505" s="163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3"/>
      <c r="C506" s="27"/>
      <c r="D506" s="27"/>
      <c r="E506" s="27"/>
      <c r="H506" s="27"/>
      <c r="J506" s="169"/>
      <c r="K506" s="27"/>
      <c r="M506" s="17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3"/>
      <c r="C507" s="27"/>
      <c r="D507" s="27"/>
      <c r="E507" s="27"/>
      <c r="H507" s="27"/>
      <c r="J507" s="169"/>
      <c r="K507" s="27"/>
      <c r="M507" s="17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3"/>
      <c r="C508" s="27"/>
      <c r="D508" s="27"/>
      <c r="E508" s="27"/>
      <c r="H508" s="27"/>
      <c r="J508" s="169"/>
      <c r="K508" s="27"/>
      <c r="M508" s="17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3"/>
      <c r="C509" s="27"/>
      <c r="D509" s="27"/>
      <c r="E509" s="27"/>
      <c r="H509" s="27"/>
      <c r="J509" s="169"/>
      <c r="K509" s="27"/>
      <c r="M509" s="17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3"/>
      <c r="C510" s="27"/>
      <c r="D510" s="27"/>
      <c r="E510" s="27"/>
      <c r="H510" s="27"/>
      <c r="J510" s="169"/>
      <c r="K510" s="27"/>
      <c r="M510" s="17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3"/>
      <c r="C511" s="27"/>
      <c r="D511" s="27"/>
      <c r="E511" s="27"/>
      <c r="H511" s="27"/>
      <c r="J511" s="169"/>
      <c r="K511" s="27"/>
      <c r="M511" s="17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3"/>
      <c r="C512" s="27"/>
      <c r="D512" s="27"/>
      <c r="E512" s="27"/>
      <c r="H512" s="27"/>
      <c r="J512" s="169"/>
      <c r="K512" s="27"/>
      <c r="M512" s="17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3"/>
      <c r="C513" s="27"/>
      <c r="D513" s="27"/>
      <c r="E513" s="27"/>
      <c r="H513" s="27"/>
      <c r="J513" s="169"/>
      <c r="K513" s="27"/>
      <c r="M513" s="17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3"/>
      <c r="C514" s="27"/>
      <c r="D514" s="27"/>
      <c r="E514" s="27"/>
      <c r="H514" s="27"/>
      <c r="J514" s="169"/>
      <c r="K514" s="27"/>
      <c r="M514" s="17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3"/>
      <c r="C515" s="27"/>
      <c r="D515" s="27"/>
      <c r="E515" s="27"/>
      <c r="H515" s="27"/>
      <c r="J515" s="169"/>
      <c r="K515" s="27"/>
      <c r="M515" s="17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3"/>
      <c r="C516" s="27"/>
      <c r="D516" s="27"/>
      <c r="E516" s="27"/>
      <c r="H516" s="27"/>
      <c r="J516" s="169"/>
      <c r="K516" s="27"/>
      <c r="M516" s="17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3"/>
      <c r="C517" s="27"/>
      <c r="D517" s="27"/>
      <c r="E517" s="27"/>
      <c r="H517" s="27"/>
      <c r="J517" s="169"/>
      <c r="K517" s="27"/>
      <c r="M517" s="17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3"/>
      <c r="C518" s="27"/>
      <c r="D518" s="27"/>
      <c r="E518" s="27"/>
      <c r="H518" s="27"/>
      <c r="J518" s="169"/>
      <c r="K518" s="27"/>
      <c r="M518" s="17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4"/>
      <c r="C519" s="27"/>
      <c r="D519" s="27"/>
      <c r="E519" s="27"/>
      <c r="H519" s="27"/>
      <c r="I519" s="164"/>
      <c r="J519" s="169"/>
      <c r="K519" s="27"/>
      <c r="L519" s="27"/>
      <c r="M519" s="176"/>
      <c r="O519" s="17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4"/>
      <c r="C520" s="27"/>
      <c r="D520" s="27"/>
      <c r="E520" s="27"/>
      <c r="H520" s="27"/>
      <c r="I520" s="164"/>
      <c r="J520" s="169"/>
      <c r="K520" s="27"/>
      <c r="L520" s="27"/>
      <c r="M520" s="176"/>
      <c r="O520" s="17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4"/>
      <c r="C521" s="27"/>
      <c r="D521" s="27"/>
      <c r="E521" s="27"/>
      <c r="H521" s="27"/>
      <c r="I521" s="164"/>
      <c r="J521" s="169"/>
      <c r="K521" s="27"/>
      <c r="L521" s="27"/>
      <c r="M521" s="176"/>
      <c r="O521" s="17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4"/>
      <c r="C522" s="27"/>
      <c r="D522" s="27"/>
      <c r="E522" s="27"/>
      <c r="H522" s="27"/>
      <c r="I522" s="164"/>
      <c r="J522" s="169"/>
      <c r="K522" s="27"/>
      <c r="L522" s="27"/>
      <c r="M522" s="176"/>
      <c r="O522" s="17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4"/>
      <c r="C523" s="27"/>
      <c r="D523" s="27"/>
      <c r="E523" s="27"/>
      <c r="H523" s="27"/>
      <c r="I523" s="164"/>
      <c r="J523" s="169"/>
      <c r="K523" s="27"/>
      <c r="L523" s="27"/>
      <c r="M523" s="176"/>
      <c r="O523" s="170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4"/>
      <c r="C524" s="27"/>
      <c r="D524" s="27"/>
      <c r="E524" s="27"/>
      <c r="H524" s="27"/>
      <c r="I524" s="164"/>
      <c r="J524" s="169"/>
      <c r="K524" s="27"/>
      <c r="L524" s="27"/>
      <c r="M524" s="176"/>
      <c r="O524" s="170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4"/>
      <c r="C525" s="27"/>
      <c r="D525" s="27"/>
      <c r="E525" s="27"/>
      <c r="H525" s="27"/>
      <c r="I525" s="164"/>
      <c r="J525" s="169"/>
      <c r="K525" s="27"/>
      <c r="L525" s="27"/>
      <c r="M525" s="176"/>
      <c r="O525" s="170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4"/>
      <c r="C526" s="27"/>
      <c r="D526" s="27"/>
      <c r="E526" s="27"/>
      <c r="H526" s="27"/>
      <c r="I526" s="164"/>
      <c r="J526" s="169"/>
      <c r="K526" s="27"/>
      <c r="L526" s="27"/>
      <c r="M526" s="176"/>
      <c r="O526" s="170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4"/>
      <c r="C527" s="27"/>
      <c r="D527" s="27"/>
      <c r="E527" s="27"/>
      <c r="H527" s="27"/>
      <c r="I527" s="164"/>
      <c r="J527" s="169"/>
      <c r="K527" s="27"/>
      <c r="L527" s="27"/>
      <c r="M527" s="176"/>
      <c r="O527" s="170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4"/>
      <c r="C528" s="27"/>
      <c r="D528" s="27"/>
      <c r="E528" s="27"/>
      <c r="H528" s="27"/>
      <c r="I528" s="164"/>
      <c r="J528" s="169"/>
      <c r="K528" s="27"/>
      <c r="L528" s="27"/>
      <c r="M528" s="176"/>
      <c r="O528" s="170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4"/>
      <c r="C529" s="27"/>
      <c r="D529" s="27"/>
      <c r="E529" s="27"/>
      <c r="H529" s="27"/>
      <c r="I529" s="164"/>
      <c r="J529" s="169"/>
      <c r="K529" s="27"/>
      <c r="L529" s="27"/>
      <c r="M529" s="176"/>
      <c r="O529" s="170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4"/>
      <c r="C530" s="27"/>
      <c r="D530" s="27"/>
      <c r="E530" s="27"/>
      <c r="H530" s="27"/>
      <c r="I530" s="164"/>
      <c r="J530" s="169"/>
      <c r="K530" s="27"/>
      <c r="L530" s="27"/>
      <c r="M530" s="176"/>
      <c r="O530" s="170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4"/>
      <c r="C531" s="27"/>
      <c r="D531" s="27"/>
      <c r="E531" s="27"/>
      <c r="H531" s="27"/>
      <c r="I531" s="164"/>
      <c r="J531" s="169"/>
      <c r="K531" s="27"/>
      <c r="L531" s="27"/>
      <c r="M531" s="176"/>
      <c r="O531" s="170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4"/>
      <c r="C532" s="27"/>
      <c r="D532" s="27"/>
      <c r="E532" s="27"/>
      <c r="H532" s="27"/>
      <c r="I532" s="164"/>
      <c r="J532" s="169"/>
      <c r="K532" s="27"/>
      <c r="L532" s="27"/>
      <c r="M532" s="176"/>
      <c r="O532" s="170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4"/>
      <c r="C533" s="27"/>
      <c r="D533" s="27"/>
      <c r="E533" s="27"/>
      <c r="H533" s="27"/>
      <c r="I533" s="164"/>
      <c r="J533" s="169"/>
      <c r="K533" s="27"/>
      <c r="L533" s="27"/>
      <c r="M533" s="176"/>
      <c r="O533" s="170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4"/>
      <c r="C534" s="27"/>
      <c r="D534" s="27"/>
      <c r="E534" s="27"/>
      <c r="H534" s="27"/>
      <c r="I534" s="164"/>
      <c r="J534" s="169"/>
      <c r="K534" s="27"/>
      <c r="L534" s="27"/>
      <c r="M534" s="176"/>
      <c r="O534" s="170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4"/>
      <c r="C535" s="27"/>
      <c r="D535" s="27"/>
      <c r="E535" s="27"/>
      <c r="H535" s="27"/>
      <c r="I535" s="164"/>
      <c r="J535" s="169"/>
      <c r="K535" s="27"/>
      <c r="L535" s="27"/>
      <c r="M535" s="176"/>
      <c r="O535" s="170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4"/>
      <c r="C536" s="27"/>
      <c r="D536" s="27"/>
      <c r="E536" s="27"/>
      <c r="H536" s="27"/>
      <c r="I536" s="164"/>
      <c r="J536" s="169"/>
      <c r="K536" s="27"/>
      <c r="L536" s="27"/>
      <c r="M536" s="176"/>
      <c r="O536" s="170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4"/>
      <c r="C537" s="27"/>
      <c r="D537" s="27"/>
      <c r="E537" s="27"/>
      <c r="H537" s="27"/>
      <c r="I537" s="164"/>
      <c r="J537" s="169"/>
      <c r="K537" s="27"/>
      <c r="L537" s="27"/>
      <c r="M537" s="176"/>
      <c r="O537" s="170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3"/>
      <c r="C538" s="27"/>
      <c r="D538" s="27"/>
      <c r="E538" s="27"/>
      <c r="H538" s="27"/>
      <c r="J538" s="169"/>
      <c r="K538" s="27"/>
      <c r="L538" s="27"/>
      <c r="O538" s="170"/>
      <c r="P538" s="27"/>
      <c r="Q538" s="27"/>
      <c r="W538" s="163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3"/>
      <c r="C539" s="27"/>
      <c r="D539" s="27"/>
      <c r="E539" s="27"/>
      <c r="H539" s="27"/>
      <c r="J539" s="169"/>
      <c r="K539" s="27"/>
      <c r="L539" s="27"/>
      <c r="O539" s="170"/>
      <c r="P539" s="27"/>
      <c r="Q539" s="27"/>
      <c r="W539" s="163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3"/>
      <c r="C540" s="27"/>
      <c r="D540" s="27"/>
      <c r="E540" s="27"/>
      <c r="H540" s="27"/>
      <c r="J540" s="169"/>
      <c r="K540" s="27"/>
      <c r="L540" s="27"/>
      <c r="O540" s="170"/>
      <c r="P540" s="27"/>
      <c r="Q540" s="27"/>
      <c r="W540" s="163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3"/>
      <c r="C541" s="27"/>
      <c r="D541" s="27"/>
      <c r="E541" s="27"/>
      <c r="H541" s="27"/>
      <c r="J541" s="169"/>
      <c r="K541" s="27"/>
      <c r="L541" s="27"/>
      <c r="O541" s="170"/>
      <c r="P541" s="27"/>
      <c r="Q541" s="27"/>
      <c r="W541" s="163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3"/>
      <c r="C542" s="27"/>
      <c r="D542" s="27"/>
      <c r="E542" s="27"/>
      <c r="H542" s="27"/>
      <c r="J542" s="169"/>
      <c r="K542" s="27"/>
      <c r="L542" s="27"/>
      <c r="O542" s="170"/>
      <c r="P542" s="27"/>
      <c r="Q542" s="27"/>
      <c r="W542" s="163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3"/>
      <c r="C543" s="27"/>
      <c r="D543" s="27"/>
      <c r="E543" s="27"/>
      <c r="H543" s="27"/>
      <c r="J543" s="169"/>
      <c r="K543" s="27"/>
      <c r="L543" s="27"/>
      <c r="O543" s="170"/>
      <c r="P543" s="27"/>
      <c r="Q543" s="27"/>
      <c r="W543" s="163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3"/>
      <c r="C544" s="27"/>
      <c r="D544" s="27"/>
      <c r="E544" s="27"/>
      <c r="H544" s="27"/>
      <c r="J544" s="169"/>
      <c r="K544" s="27"/>
      <c r="L544" s="27"/>
      <c r="O544" s="170"/>
      <c r="P544" s="27"/>
      <c r="Q544" s="27"/>
      <c r="W544" s="163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3"/>
      <c r="C545" s="27"/>
      <c r="D545" s="27"/>
      <c r="E545" s="27"/>
      <c r="H545" s="27"/>
      <c r="J545" s="169"/>
      <c r="K545" s="27"/>
      <c r="L545" s="27"/>
      <c r="O545" s="170"/>
      <c r="P545" s="27"/>
      <c r="Q545" s="27"/>
      <c r="W545" s="163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3"/>
      <c r="C546" s="27"/>
      <c r="D546" s="27"/>
      <c r="E546" s="27"/>
      <c r="H546" s="27"/>
      <c r="J546" s="169"/>
      <c r="K546" s="27"/>
      <c r="L546" s="27"/>
      <c r="O546" s="170"/>
      <c r="P546" s="27"/>
      <c r="Q546" s="27"/>
      <c r="W546" s="163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3"/>
      <c r="C547" s="27"/>
      <c r="D547" s="27"/>
      <c r="E547" s="27"/>
      <c r="H547" s="27"/>
      <c r="J547" s="169"/>
      <c r="K547" s="27"/>
      <c r="L547" s="27"/>
      <c r="O547" s="170"/>
      <c r="P547" s="27"/>
      <c r="Q547" s="27"/>
      <c r="W547" s="163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3"/>
      <c r="C548" s="27"/>
      <c r="D548" s="27"/>
      <c r="E548" s="27"/>
      <c r="H548" s="27"/>
      <c r="J548" s="169"/>
      <c r="K548" s="27"/>
      <c r="L548" s="27"/>
      <c r="O548" s="170"/>
      <c r="P548" s="27"/>
      <c r="Q548" s="27"/>
      <c r="W548" s="163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3"/>
      <c r="C549" s="27"/>
      <c r="D549" s="27"/>
      <c r="E549" s="27"/>
      <c r="H549" s="27"/>
      <c r="I549" s="27"/>
      <c r="J549" s="169"/>
      <c r="K549" s="27"/>
      <c r="L549" s="27"/>
      <c r="N549" s="163"/>
      <c r="O549" s="170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3"/>
      <c r="C550" s="27"/>
      <c r="D550" s="27"/>
      <c r="E550" s="27"/>
      <c r="H550" s="27"/>
      <c r="I550" s="27"/>
      <c r="J550" s="169"/>
      <c r="K550" s="27"/>
      <c r="L550" s="27"/>
      <c r="N550" s="163"/>
      <c r="O550" s="170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3"/>
      <c r="C551" s="27"/>
      <c r="D551" s="27"/>
      <c r="E551" s="27"/>
      <c r="H551" s="27"/>
      <c r="I551" s="27"/>
      <c r="J551" s="169"/>
      <c r="K551" s="27"/>
      <c r="L551" s="27"/>
      <c r="N551" s="163"/>
      <c r="O551" s="170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3"/>
      <c r="C552" s="27"/>
      <c r="D552" s="27"/>
      <c r="E552" s="27"/>
      <c r="H552" s="27"/>
      <c r="I552" s="27"/>
      <c r="J552" s="169"/>
      <c r="K552" s="27"/>
      <c r="L552" s="27"/>
      <c r="N552" s="163"/>
      <c r="O552" s="170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="165" customFormat="1" spans="2:42">
      <c r="B553" s="177"/>
      <c r="C553" s="178"/>
      <c r="D553" s="178"/>
      <c r="E553" s="27"/>
      <c r="H553" s="27"/>
      <c r="I553" s="178"/>
      <c r="J553" s="179"/>
      <c r="K553" s="178"/>
      <c r="L553" s="178"/>
      <c r="M553" s="174"/>
      <c r="P553" s="178"/>
      <c r="Q553" s="178"/>
      <c r="W553" s="178"/>
      <c r="X553" s="178"/>
      <c r="Z553" s="178"/>
      <c r="AA553" s="27"/>
      <c r="AB553" s="177"/>
      <c r="AC553" s="178"/>
      <c r="AD553" s="178"/>
      <c r="AI553" s="178"/>
      <c r="AJ553" s="178"/>
      <c r="AK553" s="178"/>
      <c r="AN553" s="177"/>
      <c r="AO553" s="178"/>
      <c r="AP553" s="178"/>
    </row>
    <row r="554" s="165" customFormat="1" spans="2:42">
      <c r="B554" s="177"/>
      <c r="C554" s="178"/>
      <c r="D554" s="178"/>
      <c r="E554" s="27"/>
      <c r="H554" s="27"/>
      <c r="I554" s="178"/>
      <c r="J554" s="179"/>
      <c r="K554" s="178"/>
      <c r="L554" s="178"/>
      <c r="M554" s="174"/>
      <c r="P554" s="178"/>
      <c r="Q554" s="178"/>
      <c r="W554" s="178"/>
      <c r="X554" s="178"/>
      <c r="Z554" s="178"/>
      <c r="AA554" s="27"/>
      <c r="AB554" s="177"/>
      <c r="AC554" s="178"/>
      <c r="AD554" s="178"/>
      <c r="AI554" s="178"/>
      <c r="AJ554" s="178"/>
      <c r="AK554" s="178"/>
      <c r="AN554" s="177"/>
      <c r="AO554" s="178"/>
      <c r="AP554" s="178"/>
    </row>
    <row r="555" spans="2:42">
      <c r="B555" s="163"/>
      <c r="C555" s="27"/>
      <c r="D555" s="27"/>
      <c r="E555" s="27"/>
      <c r="H555" s="27"/>
      <c r="I555" s="27"/>
      <c r="J555" s="169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3"/>
      <c r="C556" s="27"/>
      <c r="D556" s="27"/>
      <c r="E556" s="27"/>
      <c r="H556" s="27"/>
      <c r="I556" s="27"/>
      <c r="J556" s="169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3"/>
      <c r="C557" s="27"/>
      <c r="D557" s="27"/>
      <c r="E557" s="27"/>
      <c r="H557" s="27"/>
      <c r="I557" s="27"/>
      <c r="J557" s="169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3"/>
      <c r="C558" s="27"/>
      <c r="D558" s="27"/>
      <c r="E558" s="27"/>
      <c r="H558" s="27"/>
      <c r="I558" s="27"/>
      <c r="J558" s="169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3"/>
      <c r="C559" s="27"/>
      <c r="D559" s="27"/>
      <c r="E559" s="27"/>
      <c r="H559" s="27"/>
      <c r="I559" s="27"/>
      <c r="J559" s="169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3"/>
      <c r="C560" s="27"/>
      <c r="D560" s="27"/>
      <c r="E560" s="27"/>
      <c r="H560" s="27"/>
      <c r="I560" s="27"/>
      <c r="J560" s="169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3"/>
      <c r="C561" s="27"/>
      <c r="D561" s="27"/>
      <c r="E561" s="27"/>
      <c r="H561" s="27"/>
      <c r="I561" s="27"/>
      <c r="J561" s="169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3"/>
      <c r="C562" s="27"/>
      <c r="D562" s="27"/>
      <c r="E562" s="27"/>
      <c r="H562" s="27"/>
      <c r="I562" s="27"/>
      <c r="J562" s="169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3"/>
      <c r="C563" s="27"/>
      <c r="D563" s="27"/>
      <c r="E563" s="27"/>
      <c r="H563" s="27"/>
      <c r="I563" s="27"/>
      <c r="J563" s="169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3"/>
      <c r="C564" s="27"/>
      <c r="D564" s="27"/>
      <c r="E564" s="27"/>
      <c r="H564" s="27"/>
      <c r="I564" s="27"/>
      <c r="J564" s="169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3"/>
      <c r="C565" s="27"/>
      <c r="D565" s="27"/>
      <c r="E565" s="27"/>
      <c r="H565" s="27"/>
      <c r="I565" s="27"/>
      <c r="J565" s="169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3"/>
      <c r="C566" s="27"/>
      <c r="D566" s="27"/>
      <c r="E566" s="27"/>
      <c r="H566" s="27"/>
      <c r="I566" s="27"/>
      <c r="J566" s="169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3"/>
      <c r="C567" s="27"/>
      <c r="D567" s="27"/>
      <c r="E567" s="27"/>
      <c r="H567" s="27"/>
      <c r="I567" s="27"/>
      <c r="J567" s="169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3"/>
      <c r="C568" s="27"/>
      <c r="D568" s="27"/>
      <c r="E568" s="27"/>
      <c r="H568" s="27"/>
      <c r="I568" s="27"/>
      <c r="J568" s="169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3"/>
      <c r="C569" s="27"/>
      <c r="D569" s="27"/>
      <c r="E569" s="27"/>
      <c r="H569" s="27"/>
      <c r="I569" s="27"/>
      <c r="J569" s="169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3"/>
      <c r="C570" s="27"/>
      <c r="D570" s="27"/>
      <c r="E570" s="27"/>
      <c r="H570" s="27"/>
      <c r="I570" s="27"/>
      <c r="J570" s="169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3"/>
      <c r="C571" s="27"/>
      <c r="D571" s="27"/>
      <c r="E571" s="27"/>
      <c r="H571" s="27"/>
      <c r="I571" s="27"/>
      <c r="J571" s="169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3"/>
      <c r="C572" s="27"/>
      <c r="D572" s="27"/>
      <c r="E572" s="27"/>
      <c r="H572" s="27"/>
      <c r="I572" s="27"/>
      <c r="J572" s="169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3"/>
      <c r="C573" s="27"/>
      <c r="D573" s="27"/>
      <c r="E573" s="27"/>
      <c r="H573" s="27"/>
      <c r="I573" s="27"/>
      <c r="J573" s="169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3"/>
      <c r="C574" s="27"/>
      <c r="D574" s="27"/>
      <c r="E574" s="27"/>
      <c r="H574" s="27"/>
      <c r="I574" s="164"/>
      <c r="J574" s="169"/>
      <c r="K574" s="27"/>
      <c r="L574" s="27"/>
      <c r="P574" s="27"/>
      <c r="Q574" s="27"/>
      <c r="V574" s="27"/>
      <c r="W574" s="163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3"/>
      <c r="C575" s="27"/>
      <c r="D575" s="27"/>
      <c r="E575" s="27"/>
      <c r="H575" s="27"/>
      <c r="I575" s="169"/>
      <c r="J575" s="169"/>
      <c r="K575" s="27"/>
      <c r="L575" s="27"/>
      <c r="P575" s="27"/>
      <c r="Q575" s="27"/>
      <c r="V575" s="27"/>
      <c r="W575" s="163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3"/>
      <c r="C576" s="27"/>
      <c r="D576" s="27"/>
      <c r="E576" s="27"/>
      <c r="H576" s="27"/>
      <c r="I576" s="169"/>
      <c r="J576" s="169"/>
      <c r="K576" s="27"/>
      <c r="L576" s="27"/>
      <c r="P576" s="27"/>
      <c r="Q576" s="27"/>
      <c r="V576" s="27"/>
      <c r="W576" s="163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3"/>
      <c r="C577" s="27"/>
      <c r="D577" s="27"/>
      <c r="E577" s="27"/>
      <c r="H577" s="27"/>
      <c r="I577" s="169"/>
      <c r="J577" s="169"/>
      <c r="K577" s="27"/>
      <c r="L577" s="27"/>
      <c r="P577" s="27"/>
      <c r="Q577" s="27"/>
      <c r="V577" s="27"/>
      <c r="W577" s="163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3"/>
      <c r="C578" s="27"/>
      <c r="D578" s="27"/>
      <c r="E578" s="27"/>
      <c r="H578" s="27"/>
      <c r="I578" s="169"/>
      <c r="J578" s="169"/>
      <c r="K578" s="27"/>
      <c r="L578" s="27"/>
      <c r="P578" s="27"/>
      <c r="Q578" s="27"/>
      <c r="V578" s="27"/>
      <c r="W578" s="163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3"/>
      <c r="C579" s="27"/>
      <c r="D579" s="27"/>
      <c r="E579" s="27"/>
      <c r="H579" s="27"/>
      <c r="I579" s="169"/>
      <c r="J579" s="169"/>
      <c r="K579" s="27"/>
      <c r="L579" s="27"/>
      <c r="P579" s="27"/>
      <c r="Q579" s="27"/>
      <c r="V579" s="27"/>
      <c r="W579" s="163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3"/>
      <c r="C580" s="27"/>
      <c r="D580" s="27"/>
      <c r="E580" s="27"/>
      <c r="H580" s="27"/>
      <c r="I580" s="169"/>
      <c r="J580" s="169"/>
      <c r="K580" s="27"/>
      <c r="L580" s="27"/>
      <c r="P580" s="27"/>
      <c r="Q580" s="27"/>
      <c r="V580" s="27"/>
      <c r="W580" s="163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3"/>
      <c r="C581" s="27"/>
      <c r="D581" s="27"/>
      <c r="E581" s="27"/>
      <c r="H581" s="27"/>
      <c r="I581" s="169"/>
      <c r="J581" s="169"/>
      <c r="K581" s="27"/>
      <c r="L581" s="27"/>
      <c r="P581" s="27"/>
      <c r="Q581" s="27"/>
      <c r="V581" s="27"/>
      <c r="W581" s="163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3"/>
      <c r="C582" s="27"/>
      <c r="D582" s="27"/>
      <c r="E582" s="27"/>
      <c r="H582" s="27"/>
      <c r="I582" s="169"/>
      <c r="J582" s="169"/>
      <c r="K582" s="27"/>
      <c r="L582" s="27"/>
      <c r="P582" s="27"/>
      <c r="Q582" s="27"/>
      <c r="V582" s="27"/>
      <c r="W582" s="163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9"/>
      <c r="K583" s="169"/>
      <c r="L583" s="27"/>
      <c r="M583" s="170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9"/>
      <c r="K584" s="169"/>
      <c r="L584" s="27"/>
      <c r="M584" s="170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9"/>
      <c r="K585" s="169"/>
      <c r="L585" s="27"/>
      <c r="M585" s="170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9"/>
      <c r="K586" s="169"/>
      <c r="L586" s="27"/>
      <c r="M586" s="170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9"/>
      <c r="K587" s="169"/>
      <c r="L587" s="27"/>
      <c r="M587" s="170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9"/>
      <c r="K588" s="169"/>
      <c r="L588" s="27"/>
      <c r="M588" s="170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9"/>
      <c r="K589" s="169"/>
      <c r="L589" s="27"/>
      <c r="M589" s="170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9"/>
      <c r="J590" s="169"/>
      <c r="K590" s="27"/>
      <c r="L590" s="27"/>
      <c r="M590" s="180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9"/>
      <c r="J591" s="169"/>
      <c r="K591" s="27"/>
      <c r="L591" s="27"/>
      <c r="M591" s="180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9"/>
      <c r="J592" s="169"/>
      <c r="K592" s="27"/>
      <c r="L592" s="27"/>
      <c r="M592" s="181"/>
      <c r="O592" s="27"/>
      <c r="P592" s="27"/>
      <c r="Q592" s="27"/>
      <c r="W592" s="27"/>
      <c r="X592" s="27"/>
      <c r="Z592" s="27"/>
      <c r="AA592" s="27"/>
      <c r="AC592" s="27"/>
      <c r="AD592" s="27"/>
      <c r="AI592" s="163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9"/>
      <c r="J593" s="169"/>
      <c r="K593" s="27"/>
      <c r="L593" s="27"/>
      <c r="M593" s="180"/>
      <c r="O593" s="27"/>
      <c r="P593" s="27"/>
      <c r="Q593" s="27"/>
      <c r="W593" s="27"/>
      <c r="X593" s="27"/>
      <c r="Z593" s="27"/>
      <c r="AA593" s="27"/>
      <c r="AC593" s="27"/>
      <c r="AD593" s="27"/>
      <c r="AI593" s="163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9"/>
      <c r="J594" s="169"/>
      <c r="K594" s="27"/>
      <c r="L594" s="27"/>
      <c r="M594" s="180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9"/>
      <c r="K595" s="27"/>
      <c r="L595" s="27"/>
      <c r="M595" s="180"/>
      <c r="N595" s="163"/>
      <c r="O595" s="18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9"/>
      <c r="K596" s="27"/>
      <c r="L596" s="27"/>
      <c r="M596" s="180"/>
      <c r="N596" s="163"/>
      <c r="O596" s="18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9"/>
      <c r="K597" s="27"/>
      <c r="L597" s="27"/>
      <c r="M597" s="180"/>
      <c r="N597" s="163"/>
      <c r="O597" s="18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9"/>
      <c r="K598" s="27"/>
      <c r="L598" s="27"/>
      <c r="M598" s="180"/>
      <c r="N598" s="163"/>
      <c r="O598" s="18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9"/>
      <c r="K599" s="27"/>
      <c r="L599" s="27"/>
      <c r="M599" s="180"/>
      <c r="N599" s="163"/>
      <c r="O599" s="18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9"/>
      <c r="K600" s="27"/>
      <c r="L600" s="27"/>
      <c r="M600" s="180"/>
      <c r="N600" s="163"/>
      <c r="O600" s="18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9"/>
      <c r="K601" s="27"/>
      <c r="L601" s="27"/>
      <c r="M601" s="180"/>
      <c r="N601" s="163"/>
      <c r="O601" s="18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9"/>
      <c r="K602" s="27"/>
      <c r="L602" s="27"/>
      <c r="M602" s="180"/>
      <c r="N602" s="163"/>
      <c r="O602" s="18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9"/>
      <c r="K603" s="27"/>
      <c r="L603" s="27"/>
      <c r="M603" s="180"/>
      <c r="N603" s="163"/>
      <c r="O603" s="18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9"/>
      <c r="K604" s="27"/>
      <c r="L604" s="27"/>
      <c r="M604" s="180"/>
      <c r="N604" s="163"/>
      <c r="O604" s="18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9"/>
      <c r="K605" s="27"/>
      <c r="L605" s="27"/>
      <c r="M605" s="180"/>
      <c r="N605" s="163"/>
      <c r="O605" s="18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9"/>
      <c r="K606" s="27"/>
      <c r="L606" s="27"/>
      <c r="M606" s="180"/>
      <c r="N606" s="163"/>
      <c r="O606" s="18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9"/>
      <c r="K607" s="27"/>
      <c r="L607" s="27"/>
      <c r="M607" s="180"/>
      <c r="N607" s="163"/>
      <c r="O607" s="18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9"/>
      <c r="K608" s="27"/>
      <c r="L608" s="27"/>
      <c r="M608" s="180"/>
      <c r="N608" s="163"/>
      <c r="O608" s="18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9"/>
      <c r="K609" s="27"/>
      <c r="L609" s="27"/>
      <c r="M609" s="180"/>
      <c r="N609" s="163"/>
      <c r="O609" s="18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9"/>
      <c r="K610" s="27"/>
      <c r="L610" s="27"/>
      <c r="M610" s="180"/>
      <c r="N610" s="163"/>
      <c r="O610" s="18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9"/>
      <c r="K611" s="27"/>
      <c r="L611" s="27"/>
      <c r="M611" s="180"/>
      <c r="N611" s="163"/>
      <c r="O611" s="18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9"/>
      <c r="K612" s="27"/>
      <c r="L612" s="27"/>
      <c r="M612" s="180"/>
      <c r="N612" s="163"/>
      <c r="O612" s="18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9"/>
      <c r="K613" s="27"/>
      <c r="L613" s="27"/>
      <c r="M613" s="180"/>
      <c r="N613" s="163"/>
      <c r="O613" s="18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9"/>
      <c r="K614" s="27"/>
      <c r="L614" s="27"/>
      <c r="M614" s="180"/>
      <c r="N614" s="163"/>
      <c r="O614" s="18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9"/>
      <c r="K615" s="27"/>
      <c r="L615" s="27"/>
      <c r="M615" s="181"/>
      <c r="N615" s="163"/>
      <c r="O615" s="182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9"/>
      <c r="K616" s="27"/>
      <c r="L616" s="27"/>
      <c r="M616" s="181"/>
      <c r="N616" s="163"/>
      <c r="O616" s="182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9"/>
      <c r="K617" s="27"/>
      <c r="L617" s="27"/>
      <c r="M617" s="181"/>
      <c r="N617" s="163"/>
      <c r="O617" s="182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9"/>
      <c r="K618" s="27"/>
      <c r="L618" s="27"/>
      <c r="M618" s="181"/>
      <c r="N618" s="163"/>
      <c r="O618" s="182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9"/>
      <c r="K619" s="27"/>
      <c r="L619" s="27"/>
      <c r="M619" s="181"/>
      <c r="N619" s="163"/>
      <c r="O619" s="182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9"/>
      <c r="K620" s="27"/>
      <c r="L620" s="27"/>
      <c r="M620" s="181"/>
      <c r="N620" s="163"/>
      <c r="O620" s="182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9"/>
      <c r="K621" s="27"/>
      <c r="L621" s="27"/>
      <c r="M621" s="181"/>
      <c r="N621" s="163"/>
      <c r="O621" s="182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9"/>
      <c r="K622" s="27"/>
      <c r="L622" s="27"/>
      <c r="M622" s="181"/>
      <c r="N622" s="163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9"/>
      <c r="K623" s="27"/>
      <c r="L623" s="27"/>
      <c r="M623" s="181"/>
      <c r="N623" s="163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9"/>
      <c r="K624" s="27"/>
      <c r="L624" s="27"/>
      <c r="M624" s="181"/>
      <c r="N624" s="163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9"/>
      <c r="K625" s="27"/>
      <c r="L625" s="27"/>
      <c r="M625" s="180"/>
      <c r="N625" s="163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9"/>
      <c r="K626" s="27"/>
      <c r="L626" s="27"/>
      <c r="M626" s="180"/>
      <c r="N626" s="163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9"/>
      <c r="K627" s="27"/>
      <c r="L627" s="27"/>
      <c r="M627" s="180"/>
      <c r="N627" s="163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9"/>
      <c r="K628" s="27"/>
      <c r="L628" s="27"/>
      <c r="M628" s="180"/>
      <c r="N628" s="163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9"/>
      <c r="K629" s="27"/>
      <c r="L629" s="27"/>
      <c r="M629" s="180"/>
      <c r="N629" s="163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9"/>
      <c r="K630" s="27"/>
      <c r="L630" s="27"/>
      <c r="M630" s="180"/>
      <c r="N630" s="163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9"/>
      <c r="K631" s="27"/>
      <c r="L631" s="27"/>
      <c r="M631" s="180"/>
      <c r="N631" s="163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9"/>
      <c r="K632" s="27"/>
      <c r="L632" s="27"/>
      <c r="M632" s="180"/>
      <c r="N632" s="163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9"/>
      <c r="K633" s="27"/>
      <c r="L633" s="27"/>
      <c r="M633" s="180"/>
      <c r="N633" s="163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9"/>
      <c r="K634" s="27"/>
      <c r="L634" s="27"/>
      <c r="M634" s="180"/>
      <c r="N634" s="163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9"/>
      <c r="K635" s="27"/>
      <c r="M635" s="180"/>
      <c r="N635" s="163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9"/>
      <c r="K636" s="27"/>
      <c r="M636" s="180"/>
      <c r="N636" s="163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9"/>
      <c r="K637" s="27"/>
      <c r="M637" s="180"/>
      <c r="N637" s="163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9"/>
      <c r="K638" s="27"/>
      <c r="M638" s="180"/>
      <c r="N638" s="163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9"/>
      <c r="K639" s="27"/>
      <c r="M639" s="180"/>
      <c r="N639" s="163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9"/>
      <c r="K640" s="27"/>
      <c r="M640" s="180"/>
      <c r="N640" s="163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9"/>
      <c r="K641" s="27"/>
      <c r="M641" s="180"/>
      <c r="N641" s="163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9"/>
      <c r="K642" s="27"/>
      <c r="M642" s="180"/>
      <c r="N642" s="163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9"/>
      <c r="K643" s="27"/>
      <c r="M643" s="180"/>
      <c r="N643" s="163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9"/>
      <c r="K644" s="27"/>
      <c r="M644" s="180"/>
      <c r="N644" s="163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37">
      <c r="B645" s="27"/>
      <c r="C645" s="27"/>
      <c r="D645" s="27"/>
      <c r="E645" s="27"/>
      <c r="H645" s="27"/>
      <c r="I645" s="27"/>
      <c r="J645" s="169"/>
      <c r="K645" s="27"/>
      <c r="L645" s="27"/>
      <c r="M645" s="182"/>
      <c r="O645" s="167"/>
      <c r="P645" s="27"/>
      <c r="Q645" s="27"/>
      <c r="V645" s="27"/>
      <c r="W645" s="163"/>
      <c r="X645" s="27"/>
      <c r="Z645" s="27"/>
      <c r="AA645" s="27"/>
      <c r="AC645" s="27"/>
      <c r="AD645" s="27"/>
      <c r="AJ645" s="27"/>
      <c r="AK645" s="27"/>
    </row>
    <row r="646" spans="2:37">
      <c r="B646" s="27"/>
      <c r="C646" s="27"/>
      <c r="D646" s="27"/>
      <c r="E646" s="27"/>
      <c r="H646" s="27"/>
      <c r="I646" s="27"/>
      <c r="J646" s="169"/>
      <c r="K646" s="27"/>
      <c r="L646" s="27"/>
      <c r="M646" s="182"/>
      <c r="O646" s="167"/>
      <c r="P646" s="27"/>
      <c r="Q646" s="27"/>
      <c r="V646" s="27"/>
      <c r="W646" s="163"/>
      <c r="X646" s="27"/>
      <c r="Z646" s="27"/>
      <c r="AA646" s="27"/>
      <c r="AB646" s="27"/>
      <c r="AC646" s="27"/>
      <c r="AD646" s="27"/>
      <c r="AJ646" s="27"/>
      <c r="AK646" s="27"/>
    </row>
    <row r="647" spans="2:37">
      <c r="B647" s="27"/>
      <c r="C647" s="27"/>
      <c r="D647" s="27"/>
      <c r="E647" s="27"/>
      <c r="H647" s="27"/>
      <c r="I647" s="27"/>
      <c r="J647" s="169"/>
      <c r="K647" s="27"/>
      <c r="L647" s="27"/>
      <c r="M647" s="182"/>
      <c r="O647" s="167"/>
      <c r="P647" s="27"/>
      <c r="Q647" s="27"/>
      <c r="V647" s="27"/>
      <c r="W647" s="163"/>
      <c r="X647" s="27"/>
      <c r="Z647" s="27"/>
      <c r="AA647" s="27"/>
      <c r="AB647" s="27"/>
      <c r="AC647" s="27"/>
      <c r="AD647" s="27"/>
      <c r="AJ647" s="27"/>
      <c r="AK647" s="27"/>
    </row>
    <row r="648" spans="2:37">
      <c r="B648" s="27"/>
      <c r="C648" s="27"/>
      <c r="D648" s="27"/>
      <c r="E648" s="27"/>
      <c r="H648" s="27"/>
      <c r="I648" s="27"/>
      <c r="J648" s="169"/>
      <c r="K648" s="27"/>
      <c r="L648" s="27"/>
      <c r="M648" s="182"/>
      <c r="O648" s="167"/>
      <c r="P648" s="27"/>
      <c r="Q648" s="27"/>
      <c r="V648" s="27"/>
      <c r="W648" s="163"/>
      <c r="X648" s="27"/>
      <c r="Z648" s="27"/>
      <c r="AA648" s="27"/>
      <c r="AB648" s="27"/>
      <c r="AC648" s="27"/>
      <c r="AD648" s="27"/>
      <c r="AJ648" s="27"/>
      <c r="AK648" s="27"/>
    </row>
    <row r="649" s="166" customFormat="1" spans="2:40">
      <c r="B649" s="183"/>
      <c r="C649" s="183"/>
      <c r="D649" s="183"/>
      <c r="E649" s="27"/>
      <c r="H649" s="27"/>
      <c r="I649" s="183"/>
      <c r="J649" s="184"/>
      <c r="K649" s="183"/>
      <c r="L649" s="183"/>
      <c r="M649" s="185"/>
      <c r="O649" s="186"/>
      <c r="P649" s="183"/>
      <c r="Q649" s="183"/>
      <c r="V649" s="183"/>
      <c r="W649" s="187"/>
      <c r="X649" s="183"/>
      <c r="Z649" s="183"/>
      <c r="AA649" s="183"/>
      <c r="AB649" s="187"/>
      <c r="AC649" s="183"/>
      <c r="AD649" s="183"/>
      <c r="AJ649" s="183"/>
      <c r="AK649" s="183"/>
      <c r="AN649" s="187"/>
    </row>
    <row r="650" s="166" customFormat="1" spans="2:40">
      <c r="B650" s="183"/>
      <c r="C650" s="183"/>
      <c r="D650" s="183"/>
      <c r="E650" s="27"/>
      <c r="H650" s="27"/>
      <c r="I650" s="183"/>
      <c r="J650" s="184"/>
      <c r="K650" s="183"/>
      <c r="L650" s="183"/>
      <c r="M650" s="185"/>
      <c r="O650" s="186"/>
      <c r="P650" s="183"/>
      <c r="Q650" s="183"/>
      <c r="V650" s="183"/>
      <c r="W650" s="187"/>
      <c r="X650" s="183"/>
      <c r="Z650" s="183"/>
      <c r="AA650" s="183"/>
      <c r="AB650" s="187"/>
      <c r="AC650" s="183"/>
      <c r="AD650" s="183"/>
      <c r="AJ650" s="183"/>
      <c r="AK650" s="183"/>
      <c r="AN650" s="187"/>
    </row>
    <row r="651" s="166" customFormat="1" spans="2:40">
      <c r="B651" s="183"/>
      <c r="C651" s="183"/>
      <c r="D651" s="183"/>
      <c r="E651" s="27"/>
      <c r="H651" s="27"/>
      <c r="I651" s="183"/>
      <c r="J651" s="184"/>
      <c r="K651" s="183"/>
      <c r="L651" s="183"/>
      <c r="M651" s="185"/>
      <c r="O651" s="186"/>
      <c r="P651" s="183"/>
      <c r="Q651" s="183"/>
      <c r="V651" s="183"/>
      <c r="W651" s="187"/>
      <c r="X651" s="183"/>
      <c r="Z651" s="183"/>
      <c r="AA651" s="183"/>
      <c r="AB651" s="187"/>
      <c r="AC651" s="183"/>
      <c r="AD651" s="183"/>
      <c r="AJ651" s="183"/>
      <c r="AK651" s="183"/>
      <c r="AN651" s="187"/>
    </row>
    <row r="652" s="166" customFormat="1" spans="2:40">
      <c r="B652" s="183"/>
      <c r="C652" s="183"/>
      <c r="D652" s="183"/>
      <c r="E652" s="27"/>
      <c r="H652" s="27"/>
      <c r="I652" s="183"/>
      <c r="J652" s="184"/>
      <c r="K652" s="183"/>
      <c r="L652" s="183"/>
      <c r="M652" s="185"/>
      <c r="O652" s="186"/>
      <c r="P652" s="183"/>
      <c r="Q652" s="183"/>
      <c r="V652" s="183"/>
      <c r="W652" s="187"/>
      <c r="X652" s="183"/>
      <c r="Z652" s="183"/>
      <c r="AA652" s="183"/>
      <c r="AB652" s="187"/>
      <c r="AC652" s="183"/>
      <c r="AD652" s="183"/>
      <c r="AJ652" s="183"/>
      <c r="AK652" s="183"/>
      <c r="AN652" s="187"/>
    </row>
    <row r="653" spans="2:42">
      <c r="B653" s="27"/>
      <c r="C653" s="27"/>
      <c r="D653" s="27"/>
      <c r="E653" s="27"/>
      <c r="H653" s="27"/>
      <c r="I653" s="27"/>
      <c r="J653" s="169"/>
      <c r="K653" s="27"/>
      <c r="L653" s="27"/>
      <c r="M653" s="182"/>
      <c r="O653" s="167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9"/>
      <c r="K654" s="27"/>
      <c r="L654" s="27"/>
      <c r="M654" s="182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9"/>
      <c r="K655" s="27"/>
      <c r="L655" s="27"/>
      <c r="M655" s="182"/>
      <c r="O655" s="167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9"/>
      <c r="K656" s="27"/>
      <c r="L656" s="27"/>
      <c r="M656" s="182"/>
      <c r="O656" s="167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="166" customFormat="1" spans="2:42">
      <c r="B657" s="183"/>
      <c r="C657" s="183"/>
      <c r="D657" s="183"/>
      <c r="E657" s="27"/>
      <c r="H657" s="27"/>
      <c r="I657" s="183"/>
      <c r="J657" s="184"/>
      <c r="K657" s="183"/>
      <c r="L657" s="183"/>
      <c r="M657" s="185"/>
      <c r="O657" s="186"/>
      <c r="P657" s="183"/>
      <c r="Q657" s="183"/>
      <c r="W657" s="183"/>
      <c r="X657" s="183"/>
      <c r="Z657" s="183"/>
      <c r="AA657" s="183"/>
      <c r="AB657" s="187"/>
      <c r="AC657" s="183"/>
      <c r="AD657" s="183"/>
      <c r="AJ657" s="183"/>
      <c r="AK657" s="183"/>
      <c r="AN657" s="187"/>
      <c r="AO657" s="183"/>
      <c r="AP657" s="183"/>
    </row>
    <row r="658" s="166" customFormat="1" spans="2:42">
      <c r="B658" s="183"/>
      <c r="C658" s="183"/>
      <c r="D658" s="183"/>
      <c r="E658" s="27"/>
      <c r="H658" s="27"/>
      <c r="I658" s="183"/>
      <c r="J658" s="184"/>
      <c r="K658" s="183"/>
      <c r="L658" s="183"/>
      <c r="M658" s="185"/>
      <c r="O658" s="186"/>
      <c r="P658" s="183"/>
      <c r="Q658" s="183"/>
      <c r="W658" s="183"/>
      <c r="X658" s="183"/>
      <c r="Z658" s="183"/>
      <c r="AA658" s="183"/>
      <c r="AB658" s="187"/>
      <c r="AC658" s="183"/>
      <c r="AD658" s="183"/>
      <c r="AJ658" s="183"/>
      <c r="AK658" s="183"/>
      <c r="AN658" s="187"/>
      <c r="AO658" s="183"/>
      <c r="AP658" s="183"/>
    </row>
    <row r="659" s="166" customFormat="1" spans="2:42">
      <c r="B659" s="183"/>
      <c r="C659" s="183"/>
      <c r="D659" s="183"/>
      <c r="E659" s="27"/>
      <c r="H659" s="27"/>
      <c r="I659" s="183"/>
      <c r="J659" s="184"/>
      <c r="K659" s="183"/>
      <c r="L659" s="183"/>
      <c r="M659" s="185"/>
      <c r="O659" s="186"/>
      <c r="P659" s="183"/>
      <c r="Q659" s="183"/>
      <c r="W659" s="183"/>
      <c r="X659" s="183"/>
      <c r="Z659" s="183"/>
      <c r="AA659" s="183"/>
      <c r="AB659" s="187"/>
      <c r="AC659" s="183"/>
      <c r="AD659" s="183"/>
      <c r="AJ659" s="183"/>
      <c r="AK659" s="183"/>
      <c r="AN659" s="187"/>
      <c r="AO659" s="183"/>
      <c r="AP659" s="183"/>
    </row>
    <row r="660" s="166" customFormat="1" spans="2:42">
      <c r="B660" s="183"/>
      <c r="C660" s="183"/>
      <c r="D660" s="183"/>
      <c r="E660" s="27"/>
      <c r="H660" s="27"/>
      <c r="I660" s="183"/>
      <c r="J660" s="184"/>
      <c r="K660" s="183"/>
      <c r="L660" s="183"/>
      <c r="M660" s="185"/>
      <c r="O660" s="186"/>
      <c r="P660" s="183"/>
      <c r="Q660" s="183"/>
      <c r="W660" s="183"/>
      <c r="X660" s="183"/>
      <c r="Z660" s="183"/>
      <c r="AA660" s="183"/>
      <c r="AB660" s="187"/>
      <c r="AC660" s="183"/>
      <c r="AD660" s="183"/>
      <c r="AJ660" s="183"/>
      <c r="AK660" s="183"/>
      <c r="AN660" s="187"/>
      <c r="AO660" s="183"/>
      <c r="AP660" s="183"/>
    </row>
    <row r="661" spans="2:42">
      <c r="B661" s="27"/>
      <c r="C661" s="27"/>
      <c r="D661" s="27"/>
      <c r="E661" s="27"/>
      <c r="H661" s="27"/>
      <c r="I661" s="27"/>
      <c r="J661" s="169"/>
      <c r="K661" s="27"/>
      <c r="L661" s="27"/>
      <c r="M661" s="170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9"/>
      <c r="K662" s="27"/>
      <c r="L662" s="27"/>
      <c r="M662" s="170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9"/>
      <c r="K663" s="27"/>
      <c r="L663" s="27"/>
      <c r="M663" s="170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9"/>
      <c r="K664" s="27"/>
      <c r="L664" s="27"/>
      <c r="M664" s="170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9"/>
      <c r="K665" s="27"/>
      <c r="L665" s="27"/>
      <c r="M665" s="170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9"/>
      <c r="K666" s="27"/>
      <c r="L666" s="27"/>
      <c r="M666" s="170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9"/>
      <c r="K667" s="27"/>
      <c r="L667" s="27"/>
      <c r="M667" s="170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9"/>
      <c r="K668" s="27"/>
      <c r="L668" s="27"/>
      <c r="M668" s="170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9"/>
      <c r="K669" s="27"/>
      <c r="L669" s="27"/>
      <c r="M669" s="170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9"/>
      <c r="K670" s="27"/>
      <c r="L670" s="27"/>
      <c r="M670" s="170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9"/>
      <c r="K671" s="27"/>
      <c r="L671" s="27"/>
      <c r="M671" s="170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9"/>
      <c r="K672" s="27"/>
      <c r="L672" s="27"/>
      <c r="M672" s="170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9"/>
      <c r="K673" s="27"/>
      <c r="L673" s="27"/>
      <c r="M673" s="170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9"/>
      <c r="K674" s="27"/>
      <c r="L674" s="27"/>
      <c r="M674" s="170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9"/>
      <c r="C675" s="27"/>
      <c r="D675" s="27"/>
      <c r="E675" s="27"/>
      <c r="H675" s="27"/>
      <c r="I675" s="169"/>
      <c r="J675" s="169"/>
      <c r="K675" s="27"/>
      <c r="L675" s="27"/>
      <c r="M675" s="170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9"/>
      <c r="K676" s="27"/>
      <c r="L676" s="27"/>
      <c r="O676" s="167"/>
      <c r="P676" s="27"/>
      <c r="Q676" s="27"/>
      <c r="V676" s="27"/>
      <c r="W676" s="163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9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9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9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9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9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9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9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9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37">
      <c r="B685" s="27"/>
      <c r="C685" s="27"/>
      <c r="D685" s="27"/>
      <c r="E685" s="27"/>
      <c r="H685" s="27"/>
      <c r="I685" s="27"/>
      <c r="J685" s="169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9"/>
      <c r="K686" s="27"/>
      <c r="L686" s="27"/>
      <c r="P686" s="27"/>
      <c r="Q686" s="27"/>
      <c r="R686" s="163"/>
      <c r="S686" s="163"/>
      <c r="T686" s="163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9"/>
      <c r="K687" s="27"/>
      <c r="L687" s="27"/>
      <c r="P687" s="27"/>
      <c r="Q687" s="27"/>
      <c r="R687" s="163"/>
      <c r="S687" s="163"/>
      <c r="T687" s="163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37">
      <c r="B688" s="27"/>
      <c r="C688" s="27"/>
      <c r="D688" s="27"/>
      <c r="E688" s="27"/>
      <c r="H688" s="27"/>
      <c r="I688" s="27"/>
      <c r="J688" s="169"/>
      <c r="K688" s="27"/>
      <c r="L688" s="27"/>
      <c r="P688" s="27"/>
      <c r="Q688" s="27"/>
      <c r="R688" s="163"/>
      <c r="S688" s="163"/>
      <c r="T688" s="163"/>
      <c r="W688" s="27"/>
      <c r="X688" s="27"/>
      <c r="Z688" s="27"/>
      <c r="AA688" s="27"/>
      <c r="AC688" s="27"/>
      <c r="AD688" s="27"/>
      <c r="AJ688" s="27"/>
      <c r="AK688" s="27"/>
    </row>
    <row r="689" spans="2:37">
      <c r="B689" s="27"/>
      <c r="C689" s="27"/>
      <c r="D689" s="27"/>
      <c r="E689" s="27"/>
      <c r="H689" s="27"/>
      <c r="I689" s="27"/>
      <c r="J689" s="169"/>
      <c r="K689" s="27"/>
      <c r="L689" s="27"/>
      <c r="P689" s="27"/>
      <c r="Q689" s="27"/>
      <c r="R689" s="163"/>
      <c r="S689" s="163"/>
      <c r="T689" s="163"/>
      <c r="W689" s="27"/>
      <c r="X689" s="27"/>
      <c r="Z689" s="27"/>
      <c r="AA689" s="27"/>
      <c r="AC689" s="27"/>
      <c r="AD689" s="27"/>
      <c r="AJ689" s="27"/>
      <c r="AK689" s="27"/>
    </row>
    <row r="690" spans="2:37">
      <c r="B690" s="27"/>
      <c r="C690" s="27"/>
      <c r="D690" s="27"/>
      <c r="E690" s="27"/>
      <c r="H690" s="27"/>
      <c r="I690" s="27"/>
      <c r="J690" s="169"/>
      <c r="K690" s="27"/>
      <c r="L690" s="27"/>
      <c r="P690" s="27"/>
      <c r="Q690" s="27"/>
      <c r="R690" s="163"/>
      <c r="S690" s="163"/>
      <c r="T690" s="163"/>
      <c r="W690" s="27"/>
      <c r="X690" s="27"/>
      <c r="Z690" s="27"/>
      <c r="AA690" s="27"/>
      <c r="AC690" s="27"/>
      <c r="AD690" s="27"/>
      <c r="AJ690" s="27"/>
      <c r="AK690" s="27"/>
    </row>
    <row r="691" spans="2:37">
      <c r="B691" s="27"/>
      <c r="C691" s="27"/>
      <c r="D691" s="27"/>
      <c r="E691" s="27"/>
      <c r="H691" s="27"/>
      <c r="I691" s="27"/>
      <c r="J691" s="169"/>
      <c r="K691" s="27"/>
      <c r="L691" s="27"/>
      <c r="P691" s="27"/>
      <c r="Q691" s="27"/>
      <c r="R691" s="163"/>
      <c r="S691" s="163"/>
      <c r="T691" s="163"/>
      <c r="W691" s="27"/>
      <c r="X691" s="27"/>
      <c r="Z691" s="27"/>
      <c r="AA691" s="27"/>
      <c r="AC691" s="27"/>
      <c r="AD691" s="27"/>
      <c r="AJ691" s="27"/>
      <c r="AK691" s="27"/>
    </row>
    <row r="692" spans="2:37">
      <c r="B692" s="27"/>
      <c r="C692" s="27"/>
      <c r="D692" s="27"/>
      <c r="E692" s="27"/>
      <c r="H692" s="27"/>
      <c r="I692" s="27"/>
      <c r="J692" s="169"/>
      <c r="K692" s="27"/>
      <c r="L692" s="27"/>
      <c r="P692" s="27"/>
      <c r="Q692" s="27"/>
      <c r="R692" s="163"/>
      <c r="S692" s="163"/>
      <c r="T692" s="163"/>
      <c r="W692" s="27"/>
      <c r="X692" s="27"/>
      <c r="Z692" s="27"/>
      <c r="AA692" s="27"/>
      <c r="AC692" s="27"/>
      <c r="AD692" s="27"/>
      <c r="AJ692" s="27"/>
      <c r="AK692" s="27"/>
    </row>
    <row r="693" spans="2:37">
      <c r="B693" s="27"/>
      <c r="C693" s="27"/>
      <c r="D693" s="27"/>
      <c r="E693" s="27"/>
      <c r="H693" s="27"/>
      <c r="I693" s="27"/>
      <c r="J693" s="169"/>
      <c r="K693" s="27"/>
      <c r="L693" s="27"/>
      <c r="P693" s="27"/>
      <c r="Q693" s="27"/>
      <c r="R693" s="163"/>
      <c r="S693" s="163"/>
      <c r="T693" s="163"/>
      <c r="W693" s="27"/>
      <c r="X693" s="27"/>
      <c r="Z693" s="27"/>
      <c r="AA693" s="27"/>
      <c r="AC693" s="27"/>
      <c r="AD693" s="27"/>
      <c r="AJ693" s="27"/>
      <c r="AK693" s="27"/>
    </row>
    <row r="694" spans="2:37">
      <c r="B694" s="27"/>
      <c r="C694" s="27"/>
      <c r="D694" s="27"/>
      <c r="E694" s="27"/>
      <c r="H694" s="27"/>
      <c r="I694" s="27"/>
      <c r="J694" s="169"/>
      <c r="K694" s="27"/>
      <c r="L694" s="27"/>
      <c r="P694" s="27"/>
      <c r="Q694" s="27"/>
      <c r="R694" s="163"/>
      <c r="S694" s="163"/>
      <c r="T694" s="163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7"/>
      <c r="J695" s="169"/>
      <c r="K695" s="27"/>
      <c r="M695" s="176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7"/>
      <c r="J696" s="169"/>
      <c r="K696" s="27"/>
      <c r="M696" s="176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7"/>
      <c r="J697" s="169"/>
      <c r="K697" s="27"/>
      <c r="M697" s="176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7"/>
      <c r="J698" s="169"/>
      <c r="K698" s="27"/>
      <c r="M698" s="176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7"/>
      <c r="J699" s="169"/>
      <c r="K699" s="27"/>
      <c r="M699" s="176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7"/>
      <c r="J700" s="169"/>
      <c r="K700" s="27"/>
      <c r="M700" s="176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7"/>
      <c r="J701" s="169"/>
      <c r="K701" s="27"/>
      <c r="M701" s="176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7"/>
      <c r="J702" s="169"/>
      <c r="K702" s="27"/>
      <c r="M702" s="176"/>
      <c r="W702" s="27"/>
      <c r="Z702" s="27"/>
      <c r="AA702" s="27"/>
      <c r="AC702" s="27"/>
      <c r="AD702" s="27"/>
      <c r="AI702" s="27"/>
      <c r="AO702" s="27"/>
    </row>
    <row r="703" spans="2:11">
      <c r="B703" s="27"/>
      <c r="C703" s="27"/>
      <c r="D703" s="27"/>
      <c r="E703" s="27"/>
      <c r="H703" s="27"/>
      <c r="J703" s="169"/>
      <c r="K703" s="27"/>
    </row>
    <row r="704" spans="2:11">
      <c r="B704" s="27"/>
      <c r="C704" s="27"/>
      <c r="D704" s="27"/>
      <c r="E704" s="27"/>
      <c r="H704" s="27"/>
      <c r="J704" s="169"/>
      <c r="K704" s="163"/>
    </row>
    <row r="705" spans="5:10">
      <c r="E705" s="27"/>
      <c r="J705" s="169"/>
    </row>
    <row r="706" spans="5:10">
      <c r="E706" s="27"/>
      <c r="J706" s="169"/>
    </row>
    <row r="707" spans="5:10">
      <c r="E707" s="27"/>
      <c r="J707" s="169"/>
    </row>
    <row r="708" spans="5:10">
      <c r="E708" s="27"/>
      <c r="J708" s="169"/>
    </row>
    <row r="709" spans="5:10">
      <c r="E709" s="27"/>
      <c r="J709" s="169"/>
    </row>
    <row r="710" spans="5:10">
      <c r="E710" s="27"/>
      <c r="J710" s="169"/>
    </row>
    <row r="711" spans="5:10">
      <c r="E711" s="27"/>
      <c r="J711" s="169"/>
    </row>
    <row r="712" spans="5:10">
      <c r="E712" s="27"/>
      <c r="J712" s="169"/>
    </row>
    <row r="713" spans="5:10">
      <c r="E713" s="27"/>
      <c r="J713" s="169"/>
    </row>
    <row r="714" spans="5:10">
      <c r="E714" s="27"/>
      <c r="J714" s="169"/>
    </row>
    <row r="715" spans="5:10">
      <c r="E715" s="27"/>
      <c r="J715" s="169"/>
    </row>
    <row r="716" spans="5:10">
      <c r="E716" s="27"/>
      <c r="J716" s="169"/>
    </row>
    <row r="717" spans="5:10">
      <c r="E717" s="27"/>
      <c r="J717" s="169"/>
    </row>
    <row r="718" spans="5:10">
      <c r="E718" s="27"/>
      <c r="J718" s="169"/>
    </row>
    <row r="719" spans="5:10">
      <c r="E719" s="27"/>
      <c r="J719" s="169"/>
    </row>
    <row r="720" spans="5:10">
      <c r="E720" s="27"/>
      <c r="J720" s="169"/>
    </row>
    <row r="721" spans="5:10">
      <c r="E721" s="27"/>
      <c r="J721" s="169"/>
    </row>
    <row r="722" spans="5:10">
      <c r="E722" s="27"/>
      <c r="J722" s="169"/>
    </row>
    <row r="723" spans="5:10">
      <c r="E723" s="27"/>
      <c r="J723" s="169"/>
    </row>
    <row r="724" spans="5:10">
      <c r="E724" s="27"/>
      <c r="J724" s="169"/>
    </row>
    <row r="725" spans="5:10">
      <c r="E725" s="27"/>
      <c r="J725" s="169"/>
    </row>
    <row r="726" spans="5:10">
      <c r="E726" s="27"/>
      <c r="J726" s="169"/>
    </row>
    <row r="727" spans="5:10">
      <c r="E727" s="27"/>
      <c r="J727" s="169"/>
    </row>
    <row r="728" spans="5:10">
      <c r="E728" s="27"/>
      <c r="J728" s="169"/>
    </row>
    <row r="729" spans="5:10">
      <c r="E729" s="27"/>
      <c r="J729" s="169"/>
    </row>
    <row r="730" spans="5:10">
      <c r="E730" s="27"/>
      <c r="J730" s="169"/>
    </row>
    <row r="731" spans="5:10">
      <c r="E731" s="27"/>
      <c r="J731" s="169"/>
    </row>
    <row r="732" spans="5:10">
      <c r="E732" s="27"/>
      <c r="J732" s="169"/>
    </row>
    <row r="733" spans="5:10">
      <c r="E733" s="27"/>
      <c r="J733" s="169"/>
    </row>
    <row r="734" spans="5:10">
      <c r="E734" s="27"/>
      <c r="J734" s="169"/>
    </row>
    <row r="735" spans="5:10">
      <c r="E735" s="27"/>
      <c r="J735" s="169"/>
    </row>
    <row r="736" spans="5:10">
      <c r="E736" s="27"/>
      <c r="J736" s="169"/>
    </row>
    <row r="737" spans="5:10">
      <c r="E737" s="27"/>
      <c r="J737" s="169"/>
    </row>
    <row r="738" spans="5:10">
      <c r="E738" s="27"/>
      <c r="J738" s="169"/>
    </row>
    <row r="739" spans="5:10">
      <c r="E739" s="27"/>
      <c r="J739" s="169"/>
    </row>
    <row r="740" spans="5:10">
      <c r="E740" s="27"/>
      <c r="J740" s="169"/>
    </row>
    <row r="741" spans="5:10">
      <c r="E741" s="27"/>
      <c r="J741" s="169"/>
    </row>
    <row r="742" spans="5:10">
      <c r="E742" s="27"/>
      <c r="J742" s="169"/>
    </row>
    <row r="743" spans="5:5">
      <c r="E743" s="27"/>
    </row>
    <row r="744" spans="5:5">
      <c r="E744" s="27"/>
    </row>
  </sheetData>
  <autoFilter ref="A1:AP74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452"/>
  <sheetViews>
    <sheetView workbookViewId="0">
      <pane xSplit="5" ySplit="2" topLeftCell="CU387" activePane="bottomRight" state="frozen"/>
      <selection/>
      <selection pane="topRight"/>
      <selection pane="bottomLeft"/>
      <selection pane="bottomRight" activeCell="CV310" sqref="CV310:CV397"/>
    </sheetView>
  </sheetViews>
  <sheetFormatPr defaultColWidth="9" defaultRowHeight="13.8"/>
  <cols>
    <col min="1" max="1" width="2.12962962962963" style="61" customWidth="1"/>
    <col min="2" max="2" width="5.12962962962963" style="61" customWidth="1"/>
    <col min="3" max="3" width="27.1296296296296" style="61" customWidth="1"/>
    <col min="4" max="4" width="6.12962962962963" style="61" customWidth="1"/>
    <col min="5" max="5" width="4.25" style="61" customWidth="1"/>
    <col min="6" max="6" width="8.12962962962963" style="62" customWidth="1"/>
    <col min="7" max="8" width="6.12962962962963" style="62" customWidth="1"/>
    <col min="9" max="9" width="6.62962962962963" style="62" customWidth="1"/>
    <col min="10" max="10" width="4.87962962962963" style="62" customWidth="1"/>
    <col min="11" max="11" width="5.12962962962963" style="62" customWidth="1"/>
    <col min="12" max="12" width="4.62962962962963" style="62" customWidth="1"/>
    <col min="13" max="13" width="5.25" style="62" customWidth="1"/>
    <col min="14" max="15" width="4.37962962962963" style="62" customWidth="1"/>
    <col min="16" max="18" width="5" style="63" customWidth="1"/>
    <col min="19" max="19" width="20.8796296296296" style="63" customWidth="1"/>
    <col min="20" max="20" width="37.6296296296296" style="64" customWidth="1"/>
    <col min="21" max="21" width="50.3796296296296" style="65" customWidth="1"/>
    <col min="22" max="22" width="8.62962962962963" style="66" customWidth="1"/>
    <col min="23" max="25" width="8.62962962962963" style="67" customWidth="1"/>
    <col min="26" max="26" width="10.1296296296296" style="67" customWidth="1"/>
    <col min="27" max="43" width="8.62962962962963" style="67" customWidth="1"/>
    <col min="44" max="45" width="8.62962962962963" style="68" customWidth="1"/>
    <col min="46" max="48" width="8.62962962962963" style="67" customWidth="1"/>
    <col min="49" max="49" width="12.1296296296296" style="67" customWidth="1"/>
    <col min="50" max="91" width="8.62962962962963" style="67" customWidth="1"/>
    <col min="92" max="92" width="9.62962962962963" style="69" hidden="1" customWidth="1"/>
    <col min="93" max="93" width="14.5" style="69" hidden="1" customWidth="1"/>
    <col min="94" max="94" width="12" style="69" hidden="1" customWidth="1"/>
    <col min="95" max="95" width="13.1296296296296" style="69" hidden="1" customWidth="1"/>
    <col min="96" max="98" width="15.3796296296296" style="69" hidden="1" customWidth="1"/>
    <col min="99" max="99" width="46" style="70" customWidth="1"/>
    <col min="100" max="104" width="9" style="70"/>
    <col min="105" max="105" width="63" style="70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70" customWidth="1"/>
    <col min="148" max="175" width="3.62962962962963" style="70" customWidth="1"/>
    <col min="176" max="16384" width="9" style="70"/>
  </cols>
  <sheetData>
    <row r="1" spans="6:174">
      <c r="F1" s="72" t="s">
        <v>118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119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70" t="s">
        <v>120</v>
      </c>
      <c r="CR1" s="96" t="s">
        <v>120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121</v>
      </c>
      <c r="DK1" s="80" t="s">
        <v>121</v>
      </c>
      <c r="DL1" s="80" t="s">
        <v>121</v>
      </c>
      <c r="DM1" s="80"/>
      <c r="DN1" s="80"/>
      <c r="DO1" s="80" t="s">
        <v>121</v>
      </c>
      <c r="DP1" s="80" t="s">
        <v>121</v>
      </c>
      <c r="DQ1" s="80" t="s">
        <v>121</v>
      </c>
      <c r="DR1" s="80" t="s">
        <v>121</v>
      </c>
      <c r="DS1" s="80" t="s">
        <v>121</v>
      </c>
      <c r="DT1" s="80" t="s">
        <v>121</v>
      </c>
      <c r="DU1" s="80" t="s">
        <v>121</v>
      </c>
      <c r="DV1" s="80" t="s">
        <v>121</v>
      </c>
      <c r="DW1" s="80" t="s">
        <v>121</v>
      </c>
      <c r="DX1" s="80" t="s">
        <v>121</v>
      </c>
      <c r="DY1" s="80" t="s">
        <v>121</v>
      </c>
      <c r="DZ1" s="80" t="s">
        <v>121</v>
      </c>
      <c r="EA1" s="80"/>
      <c r="EB1" s="80"/>
      <c r="EC1" s="80"/>
      <c r="ED1" s="80"/>
      <c r="EE1" s="80"/>
      <c r="EF1" s="80" t="s">
        <v>121</v>
      </c>
      <c r="EG1" s="80" t="s">
        <v>121</v>
      </c>
      <c r="EH1" s="80" t="s">
        <v>121</v>
      </c>
      <c r="FJ1" s="70" t="s">
        <v>121</v>
      </c>
      <c r="FK1" s="70" t="s">
        <v>121</v>
      </c>
      <c r="FL1" s="70" t="s">
        <v>121</v>
      </c>
      <c r="FM1" s="70" t="s">
        <v>121</v>
      </c>
      <c r="FN1" s="70" t="s">
        <v>121</v>
      </c>
      <c r="FO1" s="70" t="s">
        <v>121</v>
      </c>
      <c r="FP1" s="70" t="s">
        <v>121</v>
      </c>
      <c r="FQ1" s="70" t="s">
        <v>121</v>
      </c>
      <c r="FR1" s="70" t="s">
        <v>121</v>
      </c>
    </row>
    <row r="2" ht="14.4" spans="2:175">
      <c r="B2" s="61" t="s">
        <v>122</v>
      </c>
      <c r="D2" s="61" t="s">
        <v>123</v>
      </c>
      <c r="E2" s="61" t="s">
        <v>124</v>
      </c>
      <c r="F2" s="62" t="s">
        <v>125</v>
      </c>
      <c r="G2" s="62" t="s">
        <v>126</v>
      </c>
      <c r="H2" s="62" t="s">
        <v>127</v>
      </c>
      <c r="I2" s="62" t="s">
        <v>128</v>
      </c>
      <c r="J2" s="62" t="s">
        <v>129</v>
      </c>
      <c r="K2" s="62" t="s">
        <v>130</v>
      </c>
      <c r="L2" s="62" t="s">
        <v>131</v>
      </c>
      <c r="M2" s="62" t="s">
        <v>132</v>
      </c>
      <c r="N2" s="62" t="s">
        <v>133</v>
      </c>
      <c r="O2" s="62" t="s">
        <v>134</v>
      </c>
      <c r="P2" s="83" t="s">
        <v>125</v>
      </c>
      <c r="Q2" s="83" t="s">
        <v>135</v>
      </c>
      <c r="R2" s="83" t="s">
        <v>136</v>
      </c>
      <c r="S2" s="83" t="s">
        <v>137</v>
      </c>
      <c r="T2" s="87" t="s">
        <v>138</v>
      </c>
      <c r="U2" s="65" t="s">
        <v>139</v>
      </c>
      <c r="V2" s="80" t="s">
        <v>140</v>
      </c>
      <c r="W2" s="80" t="s">
        <v>141</v>
      </c>
      <c r="X2" s="80" t="s">
        <v>142</v>
      </c>
      <c r="Y2" s="80" t="s">
        <v>143</v>
      </c>
      <c r="Z2" s="80" t="s">
        <v>23</v>
      </c>
      <c r="AA2" s="80" t="s">
        <v>144</v>
      </c>
      <c r="AB2" s="80" t="s">
        <v>145</v>
      </c>
      <c r="AC2" s="80" t="s">
        <v>146</v>
      </c>
      <c r="AD2" s="80" t="s">
        <v>147</v>
      </c>
      <c r="AE2" s="80" t="s">
        <v>148</v>
      </c>
      <c r="AF2" s="80" t="s">
        <v>149</v>
      </c>
      <c r="AG2" s="80" t="s">
        <v>150</v>
      </c>
      <c r="AH2" s="80" t="s">
        <v>151</v>
      </c>
      <c r="AI2" s="80" t="s">
        <v>152</v>
      </c>
      <c r="AJ2" s="80" t="s">
        <v>150</v>
      </c>
      <c r="AK2" s="80" t="s">
        <v>153</v>
      </c>
      <c r="AL2" s="80" t="s">
        <v>154</v>
      </c>
      <c r="AM2" s="80" t="s">
        <v>155</v>
      </c>
      <c r="AN2" s="80" t="s">
        <v>156</v>
      </c>
      <c r="AO2" s="80" t="s">
        <v>157</v>
      </c>
      <c r="AP2" s="80" t="s">
        <v>158</v>
      </c>
      <c r="AQ2" s="80" t="s">
        <v>159</v>
      </c>
      <c r="AR2" s="93" t="s">
        <v>160</v>
      </c>
      <c r="AS2" s="93" t="s">
        <v>161</v>
      </c>
      <c r="AT2" s="80" t="s">
        <v>162</v>
      </c>
      <c r="AU2" s="80" t="s">
        <v>163</v>
      </c>
      <c r="AV2" s="80" t="s">
        <v>164</v>
      </c>
      <c r="AW2" s="80" t="s">
        <v>165</v>
      </c>
      <c r="AX2" s="80" t="s">
        <v>166</v>
      </c>
      <c r="AY2" s="80"/>
      <c r="AZ2" s="80" t="s">
        <v>167</v>
      </c>
      <c r="BA2" s="80" t="s">
        <v>168</v>
      </c>
      <c r="BB2" s="80" t="s">
        <v>169</v>
      </c>
      <c r="BC2" s="80" t="s">
        <v>170</v>
      </c>
      <c r="BD2" s="80" t="s">
        <v>171</v>
      </c>
      <c r="BE2" s="80"/>
      <c r="BF2" s="80"/>
      <c r="BG2" s="80"/>
      <c r="BH2" s="80"/>
      <c r="BI2" s="80" t="s">
        <v>172</v>
      </c>
      <c r="BJ2" s="80" t="s">
        <v>173</v>
      </c>
      <c r="BK2" s="80"/>
      <c r="BL2" s="80" t="s">
        <v>174</v>
      </c>
      <c r="BM2" s="80" t="s">
        <v>175</v>
      </c>
      <c r="BN2" s="80" t="s">
        <v>176</v>
      </c>
      <c r="BO2" s="80" t="s">
        <v>177</v>
      </c>
      <c r="BP2" s="80" t="s">
        <v>178</v>
      </c>
      <c r="BQ2" s="80" t="s">
        <v>179</v>
      </c>
      <c r="BR2" s="80" t="s">
        <v>180</v>
      </c>
      <c r="BS2" s="80" t="s">
        <v>181</v>
      </c>
      <c r="BT2" s="80" t="s">
        <v>182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69" t="s">
        <v>183</v>
      </c>
      <c r="CO2" s="69" t="s">
        <v>184</v>
      </c>
      <c r="CP2" s="69" t="s">
        <v>185</v>
      </c>
      <c r="CQ2" s="69" t="s">
        <v>186</v>
      </c>
      <c r="CR2" s="69" t="s">
        <v>187</v>
      </c>
      <c r="CS2" s="69" t="s">
        <v>188</v>
      </c>
      <c r="CT2" s="69" t="s">
        <v>189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141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190</v>
      </c>
      <c r="C3" s="73" t="s">
        <v>191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192</v>
      </c>
      <c r="U3" s="89" t="s">
        <v>193</v>
      </c>
      <c r="V3" s="19">
        <v>1000</v>
      </c>
      <c r="W3" s="90"/>
      <c r="X3" s="90"/>
      <c r="Y3" s="90"/>
      <c r="Z3" s="90"/>
      <c r="AA3" s="90"/>
      <c r="AB3" s="90"/>
      <c r="AC3" s="90"/>
      <c r="AD3" s="70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194</v>
      </c>
      <c r="C4" s="73" t="s">
        <v>195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192</v>
      </c>
      <c r="U4" s="89" t="s">
        <v>193</v>
      </c>
      <c r="V4" s="19">
        <v>2000</v>
      </c>
      <c r="W4" s="90"/>
      <c r="X4" s="90"/>
      <c r="Y4" s="90"/>
      <c r="Z4" s="90"/>
      <c r="AA4" s="90"/>
      <c r="AB4" s="90"/>
      <c r="AC4" s="90"/>
      <c r="AD4" s="70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196</v>
      </c>
      <c r="C5" s="73" t="s">
        <v>197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192</v>
      </c>
      <c r="U5" s="89" t="s">
        <v>193</v>
      </c>
      <c r="V5" s="19">
        <v>3000</v>
      </c>
      <c r="W5" s="90"/>
      <c r="X5" s="90"/>
      <c r="Y5" s="90"/>
      <c r="Z5" s="90"/>
      <c r="AA5" s="90"/>
      <c r="AB5" s="90"/>
      <c r="AC5" s="90"/>
      <c r="AD5" s="70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198</v>
      </c>
      <c r="C6" s="73" t="s">
        <v>199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192</v>
      </c>
      <c r="U6" s="89" t="s">
        <v>193</v>
      </c>
      <c r="V6" s="19">
        <v>4000</v>
      </c>
      <c r="W6" s="90"/>
      <c r="X6" s="90"/>
      <c r="Y6" s="90"/>
      <c r="Z6" s="90"/>
      <c r="AA6" s="90"/>
      <c r="AB6" s="90"/>
      <c r="AC6" s="90"/>
      <c r="AD6" s="70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200</v>
      </c>
      <c r="C7" s="73" t="s">
        <v>201</v>
      </c>
      <c r="D7" s="75"/>
      <c r="E7" s="76"/>
      <c r="F7" s="77">
        <v>2500</v>
      </c>
      <c r="G7" s="78">
        <v>100</v>
      </c>
      <c r="H7" s="79" t="s">
        <v>202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192</v>
      </c>
      <c r="U7" s="89" t="s">
        <v>193</v>
      </c>
      <c r="V7" s="19">
        <v>5000</v>
      </c>
      <c r="W7" s="90"/>
      <c r="X7" s="90"/>
      <c r="Y7" s="90"/>
      <c r="Z7" s="90"/>
      <c r="AA7" s="90"/>
      <c r="AB7" s="90"/>
      <c r="AC7" s="90"/>
      <c r="AD7" s="70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203</v>
      </c>
      <c r="C8" s="73" t="s">
        <v>204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192</v>
      </c>
      <c r="U8" s="89" t="s">
        <v>205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206</v>
      </c>
      <c r="C9" s="73" t="s">
        <v>207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192</v>
      </c>
      <c r="U9" s="89" t="s">
        <v>205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208</v>
      </c>
      <c r="C10" s="73" t="s">
        <v>209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192</v>
      </c>
      <c r="U10" s="89" t="s">
        <v>205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210</v>
      </c>
      <c r="C11" s="73" t="s">
        <v>211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192</v>
      </c>
      <c r="U11" s="89" t="s">
        <v>205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212</v>
      </c>
      <c r="C12" s="73" t="s">
        <v>213</v>
      </c>
      <c r="D12" s="75"/>
      <c r="E12" s="76"/>
      <c r="F12" s="77">
        <v>8000</v>
      </c>
      <c r="G12" s="78">
        <v>100</v>
      </c>
      <c r="H12" s="79" t="s">
        <v>214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192</v>
      </c>
      <c r="U12" s="89" t="s">
        <v>205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215</v>
      </c>
      <c r="C13" s="73" t="s">
        <v>216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192</v>
      </c>
      <c r="U13" s="89" t="s">
        <v>217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218</v>
      </c>
      <c r="C14" s="73" t="s">
        <v>219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192</v>
      </c>
      <c r="U14" s="89" t="s">
        <v>217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220</v>
      </c>
      <c r="C15" s="73" t="s">
        <v>221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192</v>
      </c>
      <c r="U15" s="89" t="s">
        <v>217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222</v>
      </c>
      <c r="C16" s="73" t="s">
        <v>223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192</v>
      </c>
      <c r="U16" s="89" t="s">
        <v>217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224</v>
      </c>
      <c r="C17" s="73" t="s">
        <v>225</v>
      </c>
      <c r="D17" s="75"/>
      <c r="E17" s="76"/>
      <c r="F17" s="77">
        <v>20000</v>
      </c>
      <c r="G17" s="78">
        <v>100</v>
      </c>
      <c r="H17" s="79" t="s">
        <v>226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192</v>
      </c>
      <c r="U17" s="89" t="s">
        <v>217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227</v>
      </c>
      <c r="C18" s="73" t="s">
        <v>228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192</v>
      </c>
      <c r="U18" s="89" t="s">
        <v>229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230</v>
      </c>
      <c r="C19" s="73" t="s">
        <v>231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192</v>
      </c>
      <c r="U19" s="89" t="s">
        <v>229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232</v>
      </c>
      <c r="C20" s="73" t="s">
        <v>233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192</v>
      </c>
      <c r="U20" s="89" t="s">
        <v>229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234</v>
      </c>
      <c r="C21" s="73" t="s">
        <v>235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192</v>
      </c>
      <c r="U21" s="89" t="s">
        <v>229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236</v>
      </c>
      <c r="C22" s="73" t="s">
        <v>237</v>
      </c>
      <c r="D22" s="75"/>
      <c r="E22" s="76"/>
      <c r="F22" s="77">
        <v>30000</v>
      </c>
      <c r="G22" s="78">
        <v>100</v>
      </c>
      <c r="H22" s="79" t="s">
        <v>238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192</v>
      </c>
      <c r="U22" s="89" t="s">
        <v>229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239</v>
      </c>
      <c r="C23" s="73" t="s">
        <v>240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192</v>
      </c>
      <c r="U23" s="89" t="s">
        <v>241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242</v>
      </c>
      <c r="C24" s="73" t="s">
        <v>243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192</v>
      </c>
      <c r="U24" s="89" t="s">
        <v>241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244</v>
      </c>
      <c r="C25" s="73" t="s">
        <v>245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192</v>
      </c>
      <c r="U25" s="89" t="s">
        <v>241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246</v>
      </c>
      <c r="C26" s="73" t="s">
        <v>247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192</v>
      </c>
      <c r="U26" s="89" t="s">
        <v>241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248</v>
      </c>
      <c r="C27" s="73" t="s">
        <v>249</v>
      </c>
      <c r="D27" s="75"/>
      <c r="E27" s="76"/>
      <c r="F27" s="77">
        <v>50000</v>
      </c>
      <c r="G27" s="78">
        <v>100</v>
      </c>
      <c r="H27" s="79" t="s">
        <v>250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192</v>
      </c>
      <c r="U27" s="89" t="s">
        <v>241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251</v>
      </c>
      <c r="C28" s="73" t="s">
        <v>252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192</v>
      </c>
      <c r="U28" s="89" t="s">
        <v>253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254</v>
      </c>
      <c r="C29" s="73" t="s">
        <v>255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192</v>
      </c>
      <c r="U29" s="89" t="s">
        <v>253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256</v>
      </c>
      <c r="C30" s="73" t="s">
        <v>257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192</v>
      </c>
      <c r="U30" s="89" t="s">
        <v>253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258</v>
      </c>
      <c r="C31" s="73" t="s">
        <v>259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192</v>
      </c>
      <c r="U31" s="89" t="s">
        <v>253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260</v>
      </c>
      <c r="C32" s="73" t="s">
        <v>261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192</v>
      </c>
      <c r="U32" s="89" t="s">
        <v>253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262</v>
      </c>
      <c r="C33" s="80" t="s">
        <v>263</v>
      </c>
      <c r="D33" s="10">
        <v>200</v>
      </c>
      <c r="E33" s="76"/>
      <c r="F33" s="77"/>
      <c r="G33" s="10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"|n|Cff00ff7f击杀"&amp;D33&amp;"只怪有50%概率升级|r"</f>
        <v>|n|Cff00ff7f击杀200只怪有50%概率升级|r</v>
      </c>
      <c r="U33" s="89" t="s">
        <v>264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InitEquipData('E101',200,"",,E102,,60,'','','','','','',"ReplaceableTextures\\CommandButtons\\BTNZ06.blp")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265</v>
      </c>
      <c r="C34" s="80" t="s">
        <v>266</v>
      </c>
      <c r="D34" s="10">
        <v>200</v>
      </c>
      <c r="E34" s="76"/>
      <c r="F34" s="77"/>
      <c r="G34" s="10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>"|n|Cff00ff7f击杀"&amp;D34&amp;"只怪有50%概率升级|r"</f>
        <v>|n|Cff00ff7f击杀200只怪有50%概率升级|r</v>
      </c>
      <c r="U34" s="89" t="s">
        <v>264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InitEquipData('E102',200,"",,E103,,60,'','','','','','',"ReplaceableTextures\\CommandButtons\\BTNZ06.blp")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267</v>
      </c>
      <c r="C35" s="80" t="s">
        <v>268</v>
      </c>
      <c r="D35" s="10">
        <v>200</v>
      </c>
      <c r="E35" s="76"/>
      <c r="F35" s="77"/>
      <c r="G35" s="10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ref="T35:T61" si="366">"|n|Cff00ff7f击杀"&amp;D35&amp;"只怪有50%概率升级|r"</f>
        <v>|n|Cff00ff7f击杀200只怪有50%概率升级|r</v>
      </c>
      <c r="U35" s="89" t="s">
        <v>264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InitEquipData('E103',200,"",,E104,,60,'','','','','','',"ReplaceableTextures\\CommandButtons\\BTNZ06.blp")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269</v>
      </c>
      <c r="C36" s="80" t="s">
        <v>270</v>
      </c>
      <c r="D36" s="10">
        <v>200</v>
      </c>
      <c r="E36" s="76"/>
      <c r="F36" s="77"/>
      <c r="G36" s="10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|n|Cff00ff7f击杀200只怪有50%概率升级|r</v>
      </c>
      <c r="U36" s="89" t="s">
        <v>264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InitEquipData('E104',200,"",,E105,,60,'','','','','','',"ReplaceableTextures\\CommandButtons\\BTNZ06.blp")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271</v>
      </c>
      <c r="C37" s="80" t="s">
        <v>272</v>
      </c>
      <c r="D37" s="10">
        <v>300</v>
      </c>
      <c r="E37" s="76"/>
      <c r="F37" s="77"/>
      <c r="G37" s="10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|n|Cff00ff7f击杀300只怪有50%概率升级|r</v>
      </c>
      <c r="U37" s="89" t="s">
        <v>264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InitEquipData('E105',300,"",,E106,,50,'','','','','','',"ReplaceableTextures\\CommandButtons\\BTNZ07.blp")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273</v>
      </c>
      <c r="C38" s="80" t="s">
        <v>274</v>
      </c>
      <c r="D38" s="10">
        <v>250</v>
      </c>
      <c r="E38" s="76"/>
      <c r="F38" s="77"/>
      <c r="G38" s="10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|n|Cff00ff7f击杀250只怪有50%概率升级|r</v>
      </c>
      <c r="U38" s="89" t="s">
        <v>275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70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InitEquipData('E106',250,"",,E107,,50,'','','','','','',"ReplaceableTextures\\CommandButtons\\BTNZ07.blp")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276</v>
      </c>
      <c r="C39" s="80" t="s">
        <v>277</v>
      </c>
      <c r="D39" s="10">
        <v>250</v>
      </c>
      <c r="E39" s="76"/>
      <c r="F39" s="77"/>
      <c r="G39" s="10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|n|Cff00ff7f击杀250只怪有50%概率升级|r</v>
      </c>
      <c r="U39" s="89" t="s">
        <v>275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70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InitEquipData('E107',250,"",,E108,,50,'','','','','','',"ReplaceableTextures\\CommandButtons\\BTNZ07.blp")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278</v>
      </c>
      <c r="C40" s="80" t="s">
        <v>279</v>
      </c>
      <c r="D40" s="10">
        <v>250</v>
      </c>
      <c r="E40" s="76"/>
      <c r="F40" s="77"/>
      <c r="G40" s="10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|n|Cff00ff7f击杀250只怪有50%概率升级|r</v>
      </c>
      <c r="U40" s="89" t="s">
        <v>275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70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280</v>
      </c>
      <c r="C41" s="80" t="s">
        <v>281</v>
      </c>
      <c r="D41" s="10">
        <v>250</v>
      </c>
      <c r="E41" s="76"/>
      <c r="F41" s="77"/>
      <c r="G41" s="10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|n|Cff00ff7f击杀250只怪有50%概率升级|r</v>
      </c>
      <c r="U41" s="89" t="s">
        <v>275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70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InitEquipData('E109',250,"",,E110,,50,'','','','','','',"ReplaceableTextures\\CommandButtons\\BTNZ07.blp")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282</v>
      </c>
      <c r="C42" s="80" t="s">
        <v>283</v>
      </c>
      <c r="D42" s="10">
        <v>400</v>
      </c>
      <c r="E42" s="76"/>
      <c r="F42" s="77"/>
      <c r="G42" s="10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|n|Cff00ff7f击杀400只怪有50%概率升级|r</v>
      </c>
      <c r="U42" s="89" t="s">
        <v>275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70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InitEquipData('E110',400,"",,E111,,50,'','','','','','',"ReplaceableTextures\\CommandButtons\\BTNZ08.blp")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284</v>
      </c>
      <c r="C43" s="80" t="s">
        <v>285</v>
      </c>
      <c r="D43" s="10">
        <v>350</v>
      </c>
      <c r="E43" s="76"/>
      <c r="F43" s="77"/>
      <c r="G43" s="10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|n|Cff00ff7f击杀350只怪有50%概率升级|r</v>
      </c>
      <c r="U43" s="89" t="s">
        <v>286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70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InitEquipData('E111',350,"",,E112,,50,'','','','','','',"ReplaceableTextures\\CommandButtons\\BTNZ08.blp")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287</v>
      </c>
      <c r="C44" s="80" t="s">
        <v>288</v>
      </c>
      <c r="D44" s="10">
        <v>350</v>
      </c>
      <c r="E44" s="76"/>
      <c r="F44" s="77"/>
      <c r="G44" s="10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|n|Cff00ff7f击杀350只怪有50%概率升级|r</v>
      </c>
      <c r="U44" s="89" t="s">
        <v>286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70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289</v>
      </c>
      <c r="C45" s="80" t="s">
        <v>290</v>
      </c>
      <c r="D45" s="10">
        <v>350</v>
      </c>
      <c r="E45" s="76"/>
      <c r="F45" s="77"/>
      <c r="G45" s="10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|n|Cff00ff7f击杀350只怪有50%概率升级|r</v>
      </c>
      <c r="U45" s="89" t="s">
        <v>286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70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291</v>
      </c>
      <c r="C46" s="80" t="s">
        <v>292</v>
      </c>
      <c r="D46" s="10">
        <v>350</v>
      </c>
      <c r="E46" s="76"/>
      <c r="F46" s="77"/>
      <c r="G46" s="10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|n|Cff00ff7f击杀350只怪有50%概率升级|r</v>
      </c>
      <c r="U46" s="89" t="s">
        <v>286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70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293</v>
      </c>
      <c r="C47" s="80" t="s">
        <v>294</v>
      </c>
      <c r="D47" s="10">
        <v>600</v>
      </c>
      <c r="E47" s="76"/>
      <c r="F47" s="77"/>
      <c r="G47" s="10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|n|Cff00ff7f击杀600只怪有50%概率升级|r</v>
      </c>
      <c r="U47" s="89" t="s">
        <v>286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70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295</v>
      </c>
      <c r="C48" s="80" t="s">
        <v>296</v>
      </c>
      <c r="D48" s="10">
        <v>500</v>
      </c>
      <c r="E48" s="76"/>
      <c r="F48" s="77"/>
      <c r="G48" s="10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ref="T48:T52" si="442">"|n|Cff00ff7f击杀"&amp;D48&amp;"只怪有50%概率升级|r"</f>
        <v>|n|Cff00ff7f击杀500只怪有50%概率升级|r</v>
      </c>
      <c r="U48" s="89" t="s">
        <v>297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70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7"/>
      <c r="CT48" s="97"/>
      <c r="CU48" s="99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="60" customFormat="1" ht="15" spans="1:175">
      <c r="A49" s="73"/>
      <c r="B49" s="74" t="s">
        <v>298</v>
      </c>
      <c r="C49" s="80" t="s">
        <v>299</v>
      </c>
      <c r="D49" s="10">
        <v>500</v>
      </c>
      <c r="E49" s="76"/>
      <c r="F49" s="77"/>
      <c r="G49" s="10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442"/>
        <v>|n|Cff00ff7f击杀500只怪有50%概率升级|r</v>
      </c>
      <c r="U49" s="89" t="s">
        <v>297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70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3"/>
        <v>InitUnitState('E117',21000,84000,,,420000,,,,,)</v>
      </c>
      <c r="CO49" s="97" t="str">
        <f t="shared" si="444"/>
        <v>InitUnitNormal('E117',,,,,,,,,8,)</v>
      </c>
      <c r="CP49" s="97" t="str">
        <f t="shared" si="445"/>
        <v>InitUnitMagic('E117',,,,,,,,,,)</v>
      </c>
      <c r="CQ49" s="97" t="str">
        <f t="shared" si="446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7"/>
      <c r="CT49" s="97"/>
      <c r="CU49" s="99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="60" customFormat="1" ht="15" spans="1:175">
      <c r="A50" s="73"/>
      <c r="B50" s="74" t="s">
        <v>300</v>
      </c>
      <c r="C50" s="80" t="s">
        <v>301</v>
      </c>
      <c r="D50" s="10">
        <v>500</v>
      </c>
      <c r="E50" s="76"/>
      <c r="F50" s="77"/>
      <c r="G50" s="10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442"/>
        <v>|n|Cff00ff7f击杀500只怪有50%概率升级|r</v>
      </c>
      <c r="U50" s="89" t="s">
        <v>297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70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3"/>
        <v>InitUnitState('E118',24000,96000,,,480000,,,,,)</v>
      </c>
      <c r="CO50" s="97" t="str">
        <f t="shared" si="444"/>
        <v>InitUnitNormal('E118',,,,,,,,,8,)</v>
      </c>
      <c r="CP50" s="97" t="str">
        <f t="shared" si="445"/>
        <v>InitUnitMagic('E118',,,,,,,,,,)</v>
      </c>
      <c r="CQ50" s="97" t="str">
        <f t="shared" si="446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7"/>
      <c r="CT50" s="97"/>
      <c r="CU50" s="99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="60" customFormat="1" ht="15" spans="1:175">
      <c r="A51" s="73"/>
      <c r="B51" s="74" t="s">
        <v>302</v>
      </c>
      <c r="C51" s="80" t="s">
        <v>303</v>
      </c>
      <c r="D51" s="10">
        <v>500</v>
      </c>
      <c r="E51" s="76"/>
      <c r="F51" s="77"/>
      <c r="G51" s="10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442"/>
        <v>|n|Cff00ff7f击杀500只怪有50%概率升级|r</v>
      </c>
      <c r="U51" s="89" t="s">
        <v>297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70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3"/>
        <v>InitUnitState('E119',27000,108000,,,540000,,,,,)</v>
      </c>
      <c r="CO51" s="97" t="str">
        <f t="shared" si="444"/>
        <v>InitUnitNormal('E119',,,,,,,,,8,)</v>
      </c>
      <c r="CP51" s="97" t="str">
        <f t="shared" si="445"/>
        <v>InitUnitMagic('E119',,,,,,,,,,)</v>
      </c>
      <c r="CQ51" s="97" t="str">
        <f t="shared" si="446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7"/>
      <c r="CT51" s="97"/>
      <c r="CU51" s="99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="60" customFormat="1" ht="15" spans="1:175">
      <c r="A52" s="73"/>
      <c r="B52" s="74" t="s">
        <v>304</v>
      </c>
      <c r="C52" s="80" t="s">
        <v>305</v>
      </c>
      <c r="D52" s="10">
        <v>800</v>
      </c>
      <c r="E52" s="76"/>
      <c r="F52" s="77"/>
      <c r="G52" s="10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442"/>
        <v>|n|Cff00ff7f击杀800只怪有50%概率升级|r</v>
      </c>
      <c r="U52" s="89" t="s">
        <v>297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70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3"/>
        <v>InitUnitState('E120',30000,120000,,,600000,,,,,)</v>
      </c>
      <c r="CO52" s="97" t="str">
        <f t="shared" si="444"/>
        <v>InitUnitNormal('E120',,,,,,,,,8,)</v>
      </c>
      <c r="CP52" s="97" t="str">
        <f t="shared" si="445"/>
        <v>InitUnitMagic('E120',,,,,,,,,,)</v>
      </c>
      <c r="CQ52" s="97" t="str">
        <f t="shared" si="446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7"/>
      <c r="CT52" s="97"/>
      <c r="CU52" s="99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="60" customFormat="1" ht="15" spans="1:175">
      <c r="A53" s="73"/>
      <c r="B53" s="74" t="s">
        <v>306</v>
      </c>
      <c r="C53" s="80" t="s">
        <v>307</v>
      </c>
      <c r="D53" s="10">
        <v>800</v>
      </c>
      <c r="E53" s="76"/>
      <c r="F53" s="77"/>
      <c r="G53" s="10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308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70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309</v>
      </c>
      <c r="C54" s="80" t="s">
        <v>310</v>
      </c>
      <c r="D54" s="10">
        <v>800</v>
      </c>
      <c r="E54" s="76"/>
      <c r="F54" s="77"/>
      <c r="G54" s="10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308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70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311</v>
      </c>
      <c r="C55" s="80" t="s">
        <v>312</v>
      </c>
      <c r="D55" s="10">
        <v>800</v>
      </c>
      <c r="E55" s="76"/>
      <c r="F55" s="77"/>
      <c r="G55" s="10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308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70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313</v>
      </c>
      <c r="C56" s="80" t="s">
        <v>314</v>
      </c>
      <c r="D56" s="10">
        <v>800</v>
      </c>
      <c r="E56" s="76"/>
      <c r="F56" s="77"/>
      <c r="G56" s="10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308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70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315</v>
      </c>
      <c r="C57" s="80" t="s">
        <v>316</v>
      </c>
      <c r="D57" s="10">
        <v>1200</v>
      </c>
      <c r="E57" s="76"/>
      <c r="F57" s="77"/>
      <c r="G57" s="10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|n|Cff00ff7f击杀1200只怪有50%概率升级|r</v>
      </c>
      <c r="U57" s="89" t="s">
        <v>308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70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317</v>
      </c>
      <c r="C58" s="80" t="s">
        <v>318</v>
      </c>
      <c r="D58" s="10">
        <v>1200</v>
      </c>
      <c r="E58" s="76"/>
      <c r="F58" s="77"/>
      <c r="G58" s="10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319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70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320</v>
      </c>
      <c r="C59" s="80" t="s">
        <v>321</v>
      </c>
      <c r="D59" s="10">
        <v>1200</v>
      </c>
      <c r="E59" s="76"/>
      <c r="F59" s="77"/>
      <c r="G59" s="10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319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70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322</v>
      </c>
      <c r="C60" s="80" t="s">
        <v>323</v>
      </c>
      <c r="D60" s="10">
        <v>1200</v>
      </c>
      <c r="E60" s="76"/>
      <c r="F60" s="77"/>
      <c r="G60" s="10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319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70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324</v>
      </c>
      <c r="C61" s="80" t="s">
        <v>325</v>
      </c>
      <c r="D61" s="10">
        <v>1200</v>
      </c>
      <c r="E61" s="76"/>
      <c r="F61" s="77"/>
      <c r="G61" s="10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319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70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326</v>
      </c>
      <c r="C62" s="80" t="s">
        <v>327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319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70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328</v>
      </c>
      <c r="C63" s="73" t="s">
        <v>329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330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="60" customFormat="1" ht="15" spans="1:175">
      <c r="A64" s="73"/>
      <c r="B64" s="74" t="s">
        <v>331</v>
      </c>
      <c r="C64" s="73" t="s">
        <v>332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330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="60" customFormat="1" ht="15" spans="1:175">
      <c r="A65" s="73"/>
      <c r="B65" s="74" t="s">
        <v>333</v>
      </c>
      <c r="C65" s="73" t="s">
        <v>334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330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90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="60" customFormat="1" ht="15" spans="1:175">
      <c r="A66" s="73"/>
      <c r="B66" s="74" t="s">
        <v>335</v>
      </c>
      <c r="C66" s="73" t="s">
        <v>336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330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90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="60" customFormat="1" ht="15" spans="1:175">
      <c r="A67" s="73"/>
      <c r="B67" s="74" t="s">
        <v>337</v>
      </c>
      <c r="C67" s="73" t="s">
        <v>338</v>
      </c>
      <c r="D67" s="75"/>
      <c r="E67" s="76"/>
      <c r="F67" s="77">
        <v>2500</v>
      </c>
      <c r="G67" s="78">
        <v>100</v>
      </c>
      <c r="H67" s="79" t="s">
        <v>339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330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90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="60" customFormat="1" ht="15" spans="1:175">
      <c r="A68" s="73"/>
      <c r="B68" s="74" t="s">
        <v>340</v>
      </c>
      <c r="C68" s="73" t="s">
        <v>341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342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90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="60" customFormat="1" ht="15" spans="1:175">
      <c r="A69" s="73"/>
      <c r="B69" s="74" t="s">
        <v>343</v>
      </c>
      <c r="C69" s="73" t="s">
        <v>344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342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="60" customFormat="1" ht="15" spans="1:175">
      <c r="A70" s="73"/>
      <c r="B70" s="74" t="s">
        <v>345</v>
      </c>
      <c r="C70" s="73" t="s">
        <v>346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342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="60" customFormat="1" ht="15" spans="1:175">
      <c r="A71" s="73"/>
      <c r="B71" s="74" t="s">
        <v>347</v>
      </c>
      <c r="C71" s="73" t="s">
        <v>348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342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="60" customFormat="1" ht="15" spans="1:175">
      <c r="A72" s="73"/>
      <c r="B72" s="74" t="s">
        <v>349</v>
      </c>
      <c r="C72" s="73" t="s">
        <v>350</v>
      </c>
      <c r="D72" s="75"/>
      <c r="E72" s="76"/>
      <c r="F72" s="77">
        <v>8000</v>
      </c>
      <c r="G72" s="78">
        <v>100</v>
      </c>
      <c r="H72" s="79" t="s">
        <v>351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342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="60" customFormat="1" ht="15" spans="1:175">
      <c r="A73" s="73"/>
      <c r="B73" s="74" t="s">
        <v>352</v>
      </c>
      <c r="C73" s="73" t="s">
        <v>353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7"/>
      <c r="Q73" s="107"/>
      <c r="R73" s="107"/>
      <c r="S73" s="108"/>
      <c r="T73" s="109"/>
      <c r="U73" s="89" t="s">
        <v>354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="60" customFormat="1" ht="15" spans="1:175">
      <c r="A74" s="73"/>
      <c r="B74" s="74" t="s">
        <v>355</v>
      </c>
      <c r="C74" s="73" t="s">
        <v>356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7"/>
      <c r="Q74" s="107"/>
      <c r="R74" s="107"/>
      <c r="S74" s="108"/>
      <c r="T74" s="109"/>
      <c r="U74" s="89" t="s">
        <v>354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1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="60" customFormat="1" ht="15" spans="1:175">
      <c r="A75" s="73"/>
      <c r="B75" s="74" t="s">
        <v>357</v>
      </c>
      <c r="C75" s="73" t="s">
        <v>358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7"/>
      <c r="Q75" s="107"/>
      <c r="R75" s="107"/>
      <c r="S75" s="108"/>
      <c r="T75" s="109"/>
      <c r="U75" s="89" t="s">
        <v>354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1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="60" customFormat="1" ht="15" spans="1:175">
      <c r="A76" s="73"/>
      <c r="B76" s="74" t="s">
        <v>359</v>
      </c>
      <c r="C76" s="73" t="s">
        <v>360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7"/>
      <c r="Q76" s="107"/>
      <c r="R76" s="107"/>
      <c r="S76" s="108"/>
      <c r="T76" s="109"/>
      <c r="U76" s="89" t="s">
        <v>354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1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="60" customFormat="1" ht="15" spans="1:175">
      <c r="A77" s="73"/>
      <c r="B77" s="74" t="s">
        <v>361</v>
      </c>
      <c r="C77" s="73" t="s">
        <v>362</v>
      </c>
      <c r="D77" s="75"/>
      <c r="E77" s="76"/>
      <c r="F77" s="77">
        <v>20000</v>
      </c>
      <c r="G77" s="78">
        <v>100</v>
      </c>
      <c r="H77" s="79" t="s">
        <v>363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7"/>
      <c r="Q77" s="107"/>
      <c r="R77" s="107"/>
      <c r="S77" s="108"/>
      <c r="T77" s="109"/>
      <c r="U77" s="89" t="s">
        <v>354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="60" customFormat="1" ht="15" spans="1:175">
      <c r="A78" s="73"/>
      <c r="B78" s="74" t="s">
        <v>364</v>
      </c>
      <c r="C78" s="73" t="s">
        <v>365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7"/>
      <c r="Q78" s="107"/>
      <c r="R78" s="107"/>
      <c r="S78" s="108"/>
      <c r="T78" s="109"/>
      <c r="U78" s="89" t="s">
        <v>366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2"/>
        <v>InitUnitState('E216',,,150,,1440000,,36000,,,)</v>
      </c>
      <c r="CO78" s="97" t="str">
        <f t="shared" si="1013"/>
        <v>InitUnitNormal('E216',,,,,,,,,,)</v>
      </c>
      <c r="CP78" s="97" t="str">
        <f t="shared" si="1014"/>
        <v>InitUnitMagic('E216',,,,,,,,,,)</v>
      </c>
      <c r="CQ78" s="97" t="str">
        <f t="shared" si="1015"/>
        <v>InitUnitAdd('E216',,,,,,,,,,)</v>
      </c>
      <c r="CR78" s="97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="60" customFormat="1" ht="15" spans="1:175">
      <c r="A79" s="73"/>
      <c r="B79" s="74" t="s">
        <v>367</v>
      </c>
      <c r="C79" s="73" t="s">
        <v>368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7"/>
      <c r="Q79" s="107"/>
      <c r="R79" s="107"/>
      <c r="S79" s="108"/>
      <c r="T79" s="109"/>
      <c r="U79" s="89" t="s">
        <v>366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2"/>
        <v>InitUnitState('E217',,,150,,1680000,,42000,,,)</v>
      </c>
      <c r="CO79" s="97" t="str">
        <f t="shared" si="1013"/>
        <v>InitUnitNormal('E217',,,,,,,,,,)</v>
      </c>
      <c r="CP79" s="97" t="str">
        <f t="shared" si="1014"/>
        <v>InitUnitMagic('E217',,,,,,,,,,)</v>
      </c>
      <c r="CQ79" s="97" t="str">
        <f t="shared" si="1015"/>
        <v>InitUnitAdd('E217',,,,,,,,,,)</v>
      </c>
      <c r="CR79" s="97" t="str">
        <f t="shared" si="1016"/>
        <v>InitEquipData('E217',,"",,E218,10000,70,'','','','','','',"ReplaceableTextures\\CommandButtons\\BTNZ23.blp")</v>
      </c>
      <c r="CS79" s="97"/>
      <c r="CT79" s="97"/>
      <c r="CU79" s="99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="60" customFormat="1" ht="15" spans="1:175">
      <c r="A80" s="73"/>
      <c r="B80" s="74" t="s">
        <v>369</v>
      </c>
      <c r="C80" s="73" t="s">
        <v>370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7"/>
      <c r="Q80" s="107"/>
      <c r="R80" s="107"/>
      <c r="S80" s="108"/>
      <c r="T80" s="109"/>
      <c r="U80" s="89" t="s">
        <v>366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2"/>
        <v>InitUnitState('E218',,,150,,1920000,,48000,,,)</v>
      </c>
      <c r="CO80" s="97" t="str">
        <f t="shared" si="1013"/>
        <v>InitUnitNormal('E218',,,,,,,,,,)</v>
      </c>
      <c r="CP80" s="97" t="str">
        <f t="shared" si="1014"/>
        <v>InitUnitMagic('E218',,,,,,,,,,)</v>
      </c>
      <c r="CQ80" s="97" t="str">
        <f t="shared" si="1015"/>
        <v>InitUnitAdd('E218',,,,,,,,,,)</v>
      </c>
      <c r="CR80" s="97" t="str">
        <f t="shared" si="1016"/>
        <v>InitEquipData('E218',,"",,E219,10000,70,'','','','','','',"ReplaceableTextures\\CommandButtons\\BTNZ23.blp")</v>
      </c>
      <c r="CS80" s="97"/>
      <c r="CT80" s="97"/>
      <c r="CU80" s="99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="60" customFormat="1" ht="15" spans="1:175">
      <c r="A81" s="73"/>
      <c r="B81" s="74" t="s">
        <v>371</v>
      </c>
      <c r="C81" s="73" t="s">
        <v>372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7"/>
      <c r="Q81" s="107"/>
      <c r="R81" s="107"/>
      <c r="S81" s="108"/>
      <c r="T81" s="109"/>
      <c r="U81" s="89" t="s">
        <v>366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2"/>
        <v>InitUnitState('E219',,,150,,2160000,,54000,,,)</v>
      </c>
      <c r="CO81" s="97" t="str">
        <f t="shared" si="1013"/>
        <v>InitUnitNormal('E219',,,,,,,,,,)</v>
      </c>
      <c r="CP81" s="97" t="str">
        <f t="shared" si="1014"/>
        <v>InitUnitMagic('E219',,,,,,,,,,)</v>
      </c>
      <c r="CQ81" s="97" t="str">
        <f t="shared" si="1015"/>
        <v>InitUnitAdd('E219',,,,,,,,,,)</v>
      </c>
      <c r="CR81" s="97" t="str">
        <f t="shared" si="1016"/>
        <v>InitEquipData('E219',,"",,E220,10000,70,'','','','','','',"ReplaceableTextures\\CommandButtons\\BTNZ23.blp")</v>
      </c>
      <c r="CS81" s="97"/>
      <c r="CT81" s="97"/>
      <c r="CU81" s="99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="60" customFormat="1" ht="15" spans="1:175">
      <c r="A82" s="73"/>
      <c r="B82" s="74" t="s">
        <v>373</v>
      </c>
      <c r="C82" s="73" t="s">
        <v>374</v>
      </c>
      <c r="D82" s="75"/>
      <c r="E82" s="76"/>
      <c r="F82" s="77">
        <v>30000</v>
      </c>
      <c r="G82" s="78">
        <v>100</v>
      </c>
      <c r="H82" s="79" t="s">
        <v>375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7"/>
      <c r="Q82" s="107"/>
      <c r="R82" s="107"/>
      <c r="S82" s="108"/>
      <c r="T82" s="109"/>
      <c r="U82" s="89" t="s">
        <v>366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="60" customFormat="1" ht="15" spans="1:175">
      <c r="A83" s="73"/>
      <c r="B83" s="74" t="s">
        <v>376</v>
      </c>
      <c r="C83" s="73" t="s">
        <v>377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7"/>
      <c r="Q83" s="107"/>
      <c r="R83" s="107"/>
      <c r="S83" s="108"/>
      <c r="T83" s="109"/>
      <c r="U83" s="89" t="s">
        <v>378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2"/>
        <v>InitUnitState('E221',,,200,,3200000,,80000,,,)</v>
      </c>
      <c r="CO83" s="97" t="str">
        <f t="shared" si="1013"/>
        <v>InitUnitNormal('E221',,,,,,,,,,)</v>
      </c>
      <c r="CP83" s="97" t="str">
        <f t="shared" si="1014"/>
        <v>InitUnitMagic('E221',,,,,,,,,,)</v>
      </c>
      <c r="CQ83" s="97" t="str">
        <f t="shared" si="1015"/>
        <v>InitUnitAdd('E221',,,,,,,,,,)</v>
      </c>
      <c r="CR83" s="97" t="str">
        <f t="shared" si="801"/>
        <v>InitEquipData('E221',,"",,E222,20000,60,'','','','','','',"ReplaceableTextures\\CommandButtons\\BTNZ14.blp")</v>
      </c>
      <c r="CS83" s="97"/>
      <c r="CT83" s="97"/>
      <c r="CU83" s="99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="60" customFormat="1" ht="15" spans="1:175">
      <c r="A84" s="73"/>
      <c r="B84" s="74" t="s">
        <v>379</v>
      </c>
      <c r="C84" s="73" t="s">
        <v>380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7"/>
      <c r="Q84" s="107"/>
      <c r="R84" s="107"/>
      <c r="S84" s="108"/>
      <c r="T84" s="109"/>
      <c r="U84" s="89" t="s">
        <v>378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2"/>
        <v>InitUnitState('E222',,,200,,3600000,,90000,,,)</v>
      </c>
      <c r="CO84" s="97" t="str">
        <f t="shared" si="1013"/>
        <v>InitUnitNormal('E222',,,,,,,,,,)</v>
      </c>
      <c r="CP84" s="97" t="str">
        <f t="shared" si="1014"/>
        <v>InitUnitMagic('E222',,,,,,,,,,)</v>
      </c>
      <c r="CQ84" s="97" t="str">
        <f t="shared" si="1015"/>
        <v>InitUnitAdd('E222',,,,,,,,,,)</v>
      </c>
      <c r="CR84" s="97" t="str">
        <f t="shared" si="801"/>
        <v>InitEquipData('E222',,"",,E223,20000,60,'','','','','','',"ReplaceableTextures\\CommandButtons\\BTNZ14.blp")</v>
      </c>
      <c r="CS84" s="97"/>
      <c r="CT84" s="97"/>
      <c r="CU84" s="99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="60" customFormat="1" ht="15" spans="1:175">
      <c r="A85" s="73"/>
      <c r="B85" s="74" t="s">
        <v>381</v>
      </c>
      <c r="C85" s="73" t="s">
        <v>382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7"/>
      <c r="Q85" s="107"/>
      <c r="R85" s="107"/>
      <c r="S85" s="108"/>
      <c r="T85" s="109"/>
      <c r="U85" s="89" t="s">
        <v>378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2"/>
        <v>InitUnitState('E223',,,200,,4000000,,100000,,,)</v>
      </c>
      <c r="CO85" s="97" t="str">
        <f t="shared" si="1013"/>
        <v>InitUnitNormal('E223',,,,,,,,,,)</v>
      </c>
      <c r="CP85" s="97" t="str">
        <f t="shared" si="1014"/>
        <v>InitUnitMagic('E223',,,,,,,,,,)</v>
      </c>
      <c r="CQ85" s="97" t="str">
        <f t="shared" si="1015"/>
        <v>InitUnitAdd('E223',,,,,,,,,,)</v>
      </c>
      <c r="CR85" s="97" t="str">
        <f t="shared" si="801"/>
        <v>InitEquipData('E223',,"",,E224,20000,60,'','','','','','',"ReplaceableTextures\\CommandButtons\\BTNZ14.blp")</v>
      </c>
      <c r="CS85" s="97"/>
      <c r="CT85" s="97"/>
      <c r="CU85" s="99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="60" customFormat="1" ht="15" spans="1:175">
      <c r="A86" s="73"/>
      <c r="B86" s="74" t="s">
        <v>383</v>
      </c>
      <c r="C86" s="73" t="s">
        <v>384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7"/>
      <c r="Q86" s="107"/>
      <c r="R86" s="107"/>
      <c r="S86" s="108"/>
      <c r="T86" s="109"/>
      <c r="U86" s="89" t="s">
        <v>378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2"/>
        <v>InitUnitState('E224',,,200,,4400000,,110000,,,)</v>
      </c>
      <c r="CO86" s="97" t="str">
        <f t="shared" si="1013"/>
        <v>InitUnitNormal('E224',,,,,,,,,,)</v>
      </c>
      <c r="CP86" s="97" t="str">
        <f t="shared" si="1014"/>
        <v>InitUnitMagic('E224',,,,,,,,,,)</v>
      </c>
      <c r="CQ86" s="97" t="str">
        <f t="shared" si="1015"/>
        <v>InitUnitAdd('E224',,,,,,,,,,)</v>
      </c>
      <c r="CR86" s="97" t="str">
        <f t="shared" si="801"/>
        <v>InitEquipData('E224',,"",,E225,20000,60,'','','','','','',"ReplaceableTextures\\CommandButtons\\BTNZ14.blp")</v>
      </c>
      <c r="CS86" s="97"/>
      <c r="CT86" s="97"/>
      <c r="CU86" s="99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="60" customFormat="1" ht="15" spans="1:175">
      <c r="A87" s="73"/>
      <c r="B87" s="74" t="s">
        <v>385</v>
      </c>
      <c r="C87" s="73" t="s">
        <v>386</v>
      </c>
      <c r="D87" s="75"/>
      <c r="E87" s="76"/>
      <c r="F87" s="77">
        <v>50000</v>
      </c>
      <c r="G87" s="78">
        <v>100</v>
      </c>
      <c r="H87" s="79" t="s">
        <v>387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7"/>
      <c r="Q87" s="107"/>
      <c r="R87" s="107"/>
      <c r="S87" s="108"/>
      <c r="T87" s="109"/>
      <c r="U87" s="89" t="s">
        <v>378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2"/>
        <v>InitUnitState('E225',,,200,,4800000,,120000,,,)</v>
      </c>
      <c r="CO87" s="97" t="str">
        <f t="shared" si="1013"/>
        <v>InitUnitNormal('E225',,,,,,,,,,)</v>
      </c>
      <c r="CP87" s="97" t="str">
        <f t="shared" si="1014"/>
        <v>InitUnitMagic('E225',,,,,,,,,,)</v>
      </c>
      <c r="CQ87" s="97" t="str">
        <f t="shared" si="1015"/>
        <v>InitUnitAdd('E225',,,,,,,,,,)</v>
      </c>
      <c r="CR87" s="97" t="str">
        <f t="shared" si="801"/>
        <v>InitEquipData('E225',,"",,E226,50000,100,'','','','','','',"ReplaceableTextures\\CommandButtons\\BTNZ15.blp")</v>
      </c>
      <c r="CS87" s="97"/>
      <c r="CT87" s="97"/>
      <c r="CU87" s="99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="60" customFormat="1" ht="15" spans="1:175">
      <c r="A88" s="73"/>
      <c r="B88" s="74" t="s">
        <v>388</v>
      </c>
      <c r="C88" s="73" t="s">
        <v>389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7"/>
      <c r="Q88" s="107"/>
      <c r="R88" s="107"/>
      <c r="S88" s="108"/>
      <c r="T88" s="109"/>
      <c r="U88" s="89" t="s">
        <v>390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2"/>
        <v>InitUnitState('E226',,,300,,7200000,,180000,,,)</v>
      </c>
      <c r="CO88" s="97" t="str">
        <f t="shared" si="1013"/>
        <v>InitUnitNormal('E226',,,,,,,,,,)</v>
      </c>
      <c r="CP88" s="97" t="str">
        <f t="shared" si="1014"/>
        <v>InitUnitMagic('E226',,,,,,,,,,)</v>
      </c>
      <c r="CQ88" s="97" t="str">
        <f t="shared" si="1015"/>
        <v>InitUnitAdd('E226',,,,,,,,,,)</v>
      </c>
      <c r="CR88" s="97" t="str">
        <f t="shared" si="801"/>
        <v>InitEquipData('E226',,"",,E227,30000,50,'','','','','','',"ReplaceableTextures\\CommandButtons\\BTNZ15.blp")</v>
      </c>
      <c r="CS88" s="97"/>
      <c r="CT88" s="97"/>
      <c r="CU88" s="99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="60" customFormat="1" ht="15" spans="1:175">
      <c r="A89" s="73"/>
      <c r="B89" s="74" t="s">
        <v>391</v>
      </c>
      <c r="C89" s="73" t="s">
        <v>392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7"/>
      <c r="Q89" s="107"/>
      <c r="R89" s="107"/>
      <c r="S89" s="108"/>
      <c r="T89" s="109"/>
      <c r="U89" s="89" t="s">
        <v>390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2"/>
        <v>InitUnitState('E227',,,300,,8400000,,210000,,,)</v>
      </c>
      <c r="CO89" s="97" t="str">
        <f t="shared" si="1013"/>
        <v>InitUnitNormal('E227',,,,,,,,,,)</v>
      </c>
      <c r="CP89" s="97" t="str">
        <f t="shared" si="1014"/>
        <v>InitUnitMagic('E227',,,,,,,,,,)</v>
      </c>
      <c r="CQ89" s="97" t="str">
        <f t="shared" si="1015"/>
        <v>InitUnitAdd('E227',,,,,,,,,,)</v>
      </c>
      <c r="CR89" s="97" t="str">
        <f t="shared" si="801"/>
        <v>InitEquipData('E227',,"",,E228,30000,50,'','','','','','',"ReplaceableTextures\\CommandButtons\\BTNZ15.blp")</v>
      </c>
      <c r="CS89" s="97"/>
      <c r="CT89" s="97"/>
      <c r="CU89" s="99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="60" customFormat="1" ht="15" spans="1:175">
      <c r="A90" s="73"/>
      <c r="B90" s="74" t="s">
        <v>393</v>
      </c>
      <c r="C90" s="73" t="s">
        <v>394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7"/>
      <c r="Q90" s="107"/>
      <c r="R90" s="107"/>
      <c r="S90" s="108"/>
      <c r="T90" s="109"/>
      <c r="U90" s="89" t="s">
        <v>390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2"/>
        <v>InitUnitState('E228',,,300,,9600000,,240000,,,)</v>
      </c>
      <c r="CO90" s="97" t="str">
        <f t="shared" si="1013"/>
        <v>InitUnitNormal('E228',,,,,,,,,,)</v>
      </c>
      <c r="CP90" s="97" t="str">
        <f t="shared" si="1014"/>
        <v>InitUnitMagic('E228',,,,,,,,,,)</v>
      </c>
      <c r="CQ90" s="97" t="str">
        <f t="shared" si="1015"/>
        <v>InitUnitAdd('E228',,,,,,,,,,)</v>
      </c>
      <c r="CR90" s="97" t="str">
        <f t="shared" si="801"/>
        <v>InitEquipData('E228',,"",,E229,30000,50,'','','','','','',"ReplaceableTextures\\CommandButtons\\BTNZ15.blp")</v>
      </c>
      <c r="CS90" s="97"/>
      <c r="CT90" s="97"/>
      <c r="CU90" s="99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="60" customFormat="1" ht="15" spans="1:175">
      <c r="A91" s="73"/>
      <c r="B91" s="74" t="s">
        <v>395</v>
      </c>
      <c r="C91" s="73" t="s">
        <v>396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7"/>
      <c r="Q91" s="107"/>
      <c r="R91" s="107"/>
      <c r="S91" s="108"/>
      <c r="T91" s="109"/>
      <c r="U91" s="89" t="s">
        <v>390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2"/>
        <v>InitUnitState('E229',,,300,,10800000,,270000,,,)</v>
      </c>
      <c r="CO91" s="97" t="str">
        <f t="shared" si="1013"/>
        <v>InitUnitNormal('E229',,,,,,,,,,)</v>
      </c>
      <c r="CP91" s="97" t="str">
        <f t="shared" si="1014"/>
        <v>InitUnitMagic('E229',,,,,,,,,,)</v>
      </c>
      <c r="CQ91" s="97" t="str">
        <f t="shared" si="1015"/>
        <v>InitUnitAdd('E229',,,,,,,,,,)</v>
      </c>
      <c r="CR91" s="97" t="str">
        <f t="shared" si="801"/>
        <v>InitEquipData('E229',,"",,E230,30000,50,'','','','','','',"ReplaceableTextures\\CommandButtons\\BTNZ15.blp")</v>
      </c>
      <c r="CS91" s="97"/>
      <c r="CT91" s="97"/>
      <c r="CU91" s="99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="60" customFormat="1" ht="15" spans="1:175">
      <c r="A92" s="73"/>
      <c r="B92" s="74" t="s">
        <v>397</v>
      </c>
      <c r="C92" s="73" t="s">
        <v>398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7"/>
      <c r="Q92" s="107"/>
      <c r="R92" s="107"/>
      <c r="S92" s="108"/>
      <c r="T92" s="109"/>
      <c r="U92" s="89" t="s">
        <v>390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2"/>
        <v>InitUnitState('E230',,,300,,12000000,,300000,,,)</v>
      </c>
      <c r="CO92" s="97" t="str">
        <f t="shared" si="1013"/>
        <v>InitUnitNormal('E230',,,,,,,,,,)</v>
      </c>
      <c r="CP92" s="97" t="str">
        <f t="shared" si="1014"/>
        <v>InitUnitMagic('E230',,,,,,,,,,)</v>
      </c>
      <c r="CQ92" s="97" t="str">
        <f t="shared" si="1015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ht="15" spans="2:175">
      <c r="B93" s="74" t="s">
        <v>399</v>
      </c>
      <c r="C93" s="61" t="s">
        <v>400</v>
      </c>
      <c r="E93" s="101"/>
      <c r="U93" s="110" t="s">
        <v>401</v>
      </c>
      <c r="V93" s="10">
        <v>5000</v>
      </c>
      <c r="W93" s="111">
        <v>4000</v>
      </c>
      <c r="X93" s="111"/>
      <c r="Y93" s="111"/>
      <c r="Z93" s="10">
        <v>100000</v>
      </c>
      <c r="AA93" s="111"/>
      <c r="AB93" s="111">
        <v>2000</v>
      </c>
      <c r="AC93" s="111"/>
      <c r="AD93" s="111"/>
      <c r="AE93" s="111"/>
      <c r="AF93" s="111"/>
      <c r="AG93" s="114"/>
      <c r="AH93" s="111"/>
      <c r="AI93" s="111"/>
      <c r="AJ93" s="19">
        <v>9</v>
      </c>
      <c r="AK93" s="19">
        <v>8</v>
      </c>
      <c r="AL93" s="115"/>
      <c r="BC93" s="116"/>
      <c r="BD93" s="116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ht="15" spans="2:175">
      <c r="B94" s="74" t="s">
        <v>402</v>
      </c>
      <c r="C94" s="61" t="s">
        <v>403</v>
      </c>
      <c r="E94" s="101"/>
      <c r="U94" s="110" t="s">
        <v>404</v>
      </c>
      <c r="V94" s="10">
        <v>7500</v>
      </c>
      <c r="W94" s="111">
        <v>6000</v>
      </c>
      <c r="X94" s="111"/>
      <c r="Y94" s="111"/>
      <c r="Z94" s="10">
        <v>150000</v>
      </c>
      <c r="AA94" s="111"/>
      <c r="AB94" s="111">
        <v>3000</v>
      </c>
      <c r="AC94" s="111"/>
      <c r="AD94" s="111"/>
      <c r="AE94" s="111"/>
      <c r="AF94" s="111"/>
      <c r="AG94" s="114"/>
      <c r="AH94" s="111"/>
      <c r="AI94" s="111"/>
      <c r="AJ94" s="19">
        <v>9</v>
      </c>
      <c r="AK94" s="19">
        <v>8</v>
      </c>
      <c r="AL94" s="115"/>
      <c r="BC94" s="116"/>
      <c r="BD94" s="116"/>
      <c r="CU94" s="99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ht="15" spans="1:175">
      <c r="A95" s="102"/>
      <c r="B95" s="74" t="s">
        <v>405</v>
      </c>
      <c r="C95" s="102" t="s">
        <v>406</v>
      </c>
      <c r="E95" s="101"/>
      <c r="S95" s="112"/>
      <c r="U95" s="110" t="s">
        <v>407</v>
      </c>
      <c r="V95" s="10">
        <v>12500</v>
      </c>
      <c r="W95" s="111">
        <v>10000</v>
      </c>
      <c r="X95" s="111"/>
      <c r="Y95" s="111"/>
      <c r="Z95" s="10">
        <v>250000</v>
      </c>
      <c r="AA95" s="111"/>
      <c r="AB95" s="111">
        <v>5000</v>
      </c>
      <c r="AC95" s="111"/>
      <c r="AD95" s="111"/>
      <c r="AE95" s="111"/>
      <c r="AF95" s="111"/>
      <c r="AG95" s="114"/>
      <c r="AH95" s="111"/>
      <c r="AI95" s="111"/>
      <c r="AJ95" s="19">
        <v>9</v>
      </c>
      <c r="AK95" s="19">
        <v>8</v>
      </c>
      <c r="AL95" s="115"/>
      <c r="BC95" s="116"/>
      <c r="BD95" s="116"/>
      <c r="CU95" s="99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ht="15" spans="1:175">
      <c r="A96" s="102"/>
      <c r="B96" s="74" t="s">
        <v>408</v>
      </c>
      <c r="C96" s="102" t="s">
        <v>409</v>
      </c>
      <c r="E96" s="101"/>
      <c r="S96" s="112"/>
      <c r="U96" s="110" t="s">
        <v>410</v>
      </c>
      <c r="V96" s="10">
        <v>21250</v>
      </c>
      <c r="W96" s="111">
        <v>17000</v>
      </c>
      <c r="X96" s="111"/>
      <c r="Y96" s="111"/>
      <c r="Z96" s="10">
        <v>425000</v>
      </c>
      <c r="AA96" s="111"/>
      <c r="AB96" s="111">
        <v>8500</v>
      </c>
      <c r="AC96" s="111"/>
      <c r="AD96" s="111"/>
      <c r="AE96" s="111"/>
      <c r="AF96" s="111"/>
      <c r="AG96" s="114"/>
      <c r="AH96" s="111"/>
      <c r="AI96" s="111"/>
      <c r="AJ96" s="111">
        <v>18</v>
      </c>
      <c r="AK96" s="111">
        <v>15</v>
      </c>
      <c r="AL96" s="115"/>
      <c r="BC96" s="116"/>
      <c r="BD96" s="116"/>
      <c r="CU96" s="99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ht="15" spans="1:175">
      <c r="A97" s="102"/>
      <c r="B97" s="74" t="s">
        <v>411</v>
      </c>
      <c r="C97" s="102" t="s">
        <v>412</v>
      </c>
      <c r="E97" s="101"/>
      <c r="S97" s="112"/>
      <c r="U97" s="110" t="s">
        <v>413</v>
      </c>
      <c r="V97" s="10">
        <v>33750</v>
      </c>
      <c r="W97" s="111">
        <v>27000</v>
      </c>
      <c r="X97" s="111"/>
      <c r="Y97" s="111"/>
      <c r="Z97" s="10">
        <v>675000</v>
      </c>
      <c r="AA97" s="111"/>
      <c r="AB97" s="111">
        <v>13500</v>
      </c>
      <c r="AC97" s="111"/>
      <c r="AD97" s="111"/>
      <c r="AE97" s="111"/>
      <c r="AF97" s="111"/>
      <c r="AG97" s="114"/>
      <c r="AH97" s="111"/>
      <c r="AI97" s="111"/>
      <c r="AJ97" s="111">
        <v>18</v>
      </c>
      <c r="AK97" s="111">
        <v>15</v>
      </c>
      <c r="AL97" s="115"/>
      <c r="BC97" s="116"/>
      <c r="BD97" s="116"/>
      <c r="CU97" s="99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ht="15" spans="1:175">
      <c r="A98" s="73"/>
      <c r="B98" s="74" t="s">
        <v>414</v>
      </c>
      <c r="C98" s="73" t="s">
        <v>415</v>
      </c>
      <c r="E98" s="101"/>
      <c r="F98" s="103"/>
      <c r="S98" s="112"/>
      <c r="U98" s="110" t="s">
        <v>416</v>
      </c>
      <c r="V98" s="10">
        <v>50000</v>
      </c>
      <c r="W98" s="111">
        <v>40000</v>
      </c>
      <c r="X98" s="111"/>
      <c r="Y98" s="111"/>
      <c r="Z98" s="10">
        <v>1000000</v>
      </c>
      <c r="AA98" s="111"/>
      <c r="AB98" s="111">
        <v>20000</v>
      </c>
      <c r="AC98" s="111"/>
      <c r="AD98" s="111"/>
      <c r="AE98" s="111"/>
      <c r="AF98" s="111"/>
      <c r="AG98" s="114"/>
      <c r="AH98" s="111"/>
      <c r="AI98" s="111"/>
      <c r="AJ98" s="111">
        <v>18</v>
      </c>
      <c r="AK98" s="111">
        <v>15</v>
      </c>
      <c r="AL98" s="115"/>
      <c r="BC98" s="116"/>
      <c r="BD98" s="116"/>
      <c r="CU98" s="99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ht="15" spans="1:175">
      <c r="A99" s="73"/>
      <c r="B99" s="74" t="s">
        <v>417</v>
      </c>
      <c r="C99" s="73" t="s">
        <v>418</v>
      </c>
      <c r="E99" s="101"/>
      <c r="F99" s="103"/>
      <c r="S99" s="112"/>
      <c r="U99" s="110" t="s">
        <v>419</v>
      </c>
      <c r="V99" s="10">
        <v>72500</v>
      </c>
      <c r="W99" s="111">
        <v>58000</v>
      </c>
      <c r="X99" s="111"/>
      <c r="Y99" s="111"/>
      <c r="Z99" s="10">
        <v>1450000</v>
      </c>
      <c r="AA99" s="111"/>
      <c r="AB99" s="111">
        <v>29000</v>
      </c>
      <c r="AC99" s="111"/>
      <c r="AD99" s="111"/>
      <c r="AE99" s="111"/>
      <c r="AF99" s="111"/>
      <c r="AG99" s="114"/>
      <c r="AH99" s="111"/>
      <c r="AI99" s="111"/>
      <c r="AJ99" s="111">
        <v>24</v>
      </c>
      <c r="AK99" s="111">
        <v>20</v>
      </c>
      <c r="AL99" s="115"/>
      <c r="BC99" s="116"/>
      <c r="BD99" s="116"/>
      <c r="CU99" s="99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ht="15" spans="1:175">
      <c r="A100" s="73"/>
      <c r="B100" s="74" t="s">
        <v>420</v>
      </c>
      <c r="C100" s="73" t="s">
        <v>421</v>
      </c>
      <c r="E100" s="104"/>
      <c r="F100" s="103"/>
      <c r="S100" s="112"/>
      <c r="U100" s="110" t="s">
        <v>422</v>
      </c>
      <c r="V100" s="10">
        <v>102500</v>
      </c>
      <c r="W100" s="111">
        <v>82000</v>
      </c>
      <c r="X100" s="111"/>
      <c r="Y100" s="111"/>
      <c r="Z100" s="10">
        <v>2050000</v>
      </c>
      <c r="AA100" s="111"/>
      <c r="AB100" s="111">
        <v>41000</v>
      </c>
      <c r="AC100" s="111"/>
      <c r="AD100" s="111"/>
      <c r="AE100" s="111"/>
      <c r="AF100" s="111"/>
      <c r="AG100" s="114"/>
      <c r="AH100" s="111"/>
      <c r="AI100" s="111"/>
      <c r="AJ100" s="111">
        <v>24</v>
      </c>
      <c r="AK100" s="111">
        <v>20</v>
      </c>
      <c r="AL100" s="115"/>
      <c r="BC100" s="116"/>
      <c r="BD100" s="116"/>
      <c r="CU100" s="99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ht="15" spans="1:175">
      <c r="A101" s="73"/>
      <c r="B101" s="74" t="s">
        <v>423</v>
      </c>
      <c r="C101" s="73" t="s">
        <v>424</v>
      </c>
      <c r="E101" s="104"/>
      <c r="F101" s="103"/>
      <c r="S101" s="112"/>
      <c r="U101" s="110" t="s">
        <v>425</v>
      </c>
      <c r="V101" s="10">
        <v>141250</v>
      </c>
      <c r="W101" s="111">
        <v>113000</v>
      </c>
      <c r="X101" s="111"/>
      <c r="Y101" s="111"/>
      <c r="Z101" s="10">
        <v>2825000</v>
      </c>
      <c r="AA101" s="111"/>
      <c r="AB101" s="111">
        <v>56500</v>
      </c>
      <c r="AC101" s="111"/>
      <c r="AD101" s="111"/>
      <c r="AE101" s="111"/>
      <c r="AF101" s="111"/>
      <c r="AG101" s="114"/>
      <c r="AH101" s="111"/>
      <c r="AI101" s="111"/>
      <c r="AJ101" s="111">
        <v>24</v>
      </c>
      <c r="AK101" s="111">
        <v>20</v>
      </c>
      <c r="AL101" s="115"/>
      <c r="BC101" s="116"/>
      <c r="BD101" s="116"/>
      <c r="CU101" s="99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ht="15" spans="1:175">
      <c r="A102" s="73"/>
      <c r="B102" s="74" t="s">
        <v>426</v>
      </c>
      <c r="C102" s="73" t="s">
        <v>427</v>
      </c>
      <c r="E102" s="104"/>
      <c r="F102" s="103"/>
      <c r="S102" s="112"/>
      <c r="U102" s="110" t="s">
        <v>428</v>
      </c>
      <c r="V102" s="10">
        <v>191250</v>
      </c>
      <c r="W102" s="111">
        <v>153000</v>
      </c>
      <c r="X102" s="111"/>
      <c r="Y102" s="111"/>
      <c r="Z102" s="10">
        <v>3825000</v>
      </c>
      <c r="AA102" s="111"/>
      <c r="AB102" s="111">
        <v>76500</v>
      </c>
      <c r="AC102" s="111"/>
      <c r="AD102" s="111"/>
      <c r="AE102" s="111"/>
      <c r="AF102" s="111"/>
      <c r="AG102" s="114"/>
      <c r="AH102" s="111"/>
      <c r="AI102" s="111"/>
      <c r="AJ102" s="111">
        <v>36</v>
      </c>
      <c r="AK102" s="111">
        <v>30</v>
      </c>
      <c r="AL102" s="115"/>
      <c r="BC102" s="116"/>
      <c r="BD102" s="116"/>
      <c r="CU102" s="99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ht="15.75" customHeight="1" spans="1:175">
      <c r="A103" s="105"/>
      <c r="B103" s="105" t="s">
        <v>429</v>
      </c>
      <c r="C103" s="61" t="s">
        <v>430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431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ht="15" spans="1:175">
      <c r="A104" s="105"/>
      <c r="B104" s="105" t="s">
        <v>432</v>
      </c>
      <c r="C104" s="61" t="s">
        <v>433</v>
      </c>
      <c r="T104" s="105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434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ht="15" spans="1:175">
      <c r="A105" s="105"/>
      <c r="B105" s="105" t="s">
        <v>435</v>
      </c>
      <c r="C105" s="102" t="s">
        <v>436</v>
      </c>
      <c r="T105" s="105" t="str">
        <f t="shared" si="1239"/>
        <v>|CffCCCCCC道果属性：|r|n攻击+12500|n业力+10000|n生命值+250000|n生命回复+5000|n攻击伤害+9%|n技能伤害+8%|n|n|Cff00FF7F点击吸收道果，强行突破境界。|r</v>
      </c>
      <c r="U105" s="89" t="s">
        <v>437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ht="15" spans="1:175">
      <c r="A106" s="105"/>
      <c r="B106" s="105" t="s">
        <v>438</v>
      </c>
      <c r="C106" s="102" t="s">
        <v>439</v>
      </c>
      <c r="T106" s="105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9" t="s">
        <v>440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ht="15" spans="1:175">
      <c r="A107" s="105"/>
      <c r="B107" s="105" t="s">
        <v>441</v>
      </c>
      <c r="C107" s="102" t="s">
        <v>442</v>
      </c>
      <c r="T107" s="105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9" t="s">
        <v>443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ht="15" spans="1:175">
      <c r="A108" s="105"/>
      <c r="B108" s="105" t="s">
        <v>444</v>
      </c>
      <c r="C108" s="73" t="s">
        <v>445</v>
      </c>
      <c r="T108" s="105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9" t="s">
        <v>446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ht="15" spans="1:175">
      <c r="A109" s="105"/>
      <c r="B109" s="105" t="s">
        <v>447</v>
      </c>
      <c r="C109" s="73" t="s">
        <v>448</v>
      </c>
      <c r="T109" s="105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9" t="s">
        <v>449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ht="15" spans="1:175">
      <c r="A110" s="105"/>
      <c r="B110" s="105" t="s">
        <v>450</v>
      </c>
      <c r="C110" s="73" t="s">
        <v>451</v>
      </c>
      <c r="T110" s="105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9" t="s">
        <v>452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ht="15" spans="1:175">
      <c r="A111" s="105"/>
      <c r="B111" s="105" t="s">
        <v>453</v>
      </c>
      <c r="C111" s="73" t="s">
        <v>454</v>
      </c>
      <c r="T111" s="105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9" t="s">
        <v>455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ht="15" spans="1:175">
      <c r="A112" s="105"/>
      <c r="B112" s="105" t="s">
        <v>456</v>
      </c>
      <c r="C112" s="73" t="s">
        <v>457</v>
      </c>
      <c r="T112" s="105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9" t="s">
        <v>458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9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ht="15" spans="1:175">
      <c r="A113" s="105"/>
      <c r="B113" s="105" t="s">
        <v>459</v>
      </c>
      <c r="C113" s="61" t="s">
        <v>400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460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ht="15" spans="1:175">
      <c r="A114" s="105"/>
      <c r="B114" s="105" t="s">
        <v>461</v>
      </c>
      <c r="C114" s="61" t="s">
        <v>403</v>
      </c>
      <c r="T114" s="105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462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ht="15" spans="1:175">
      <c r="A115" s="105"/>
      <c r="B115" s="105" t="s">
        <v>463</v>
      </c>
      <c r="C115" s="102" t="s">
        <v>406</v>
      </c>
      <c r="T115" s="105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464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ht="15" spans="1:175">
      <c r="A116" s="105"/>
      <c r="B116" s="105" t="s">
        <v>465</v>
      </c>
      <c r="C116" s="102" t="s">
        <v>409</v>
      </c>
      <c r="T116" s="105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466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ht="15" spans="1:175">
      <c r="A117" s="105"/>
      <c r="B117" s="105" t="s">
        <v>467</v>
      </c>
      <c r="C117" s="102" t="s">
        <v>412</v>
      </c>
      <c r="T117" s="105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468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ht="15" spans="1:175">
      <c r="A118" s="105"/>
      <c r="B118" s="105" t="s">
        <v>469</v>
      </c>
      <c r="C118" s="73" t="s">
        <v>415</v>
      </c>
      <c r="T118" s="105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470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ht="15" spans="1:175">
      <c r="A119" s="105"/>
      <c r="B119" s="105" t="s">
        <v>471</v>
      </c>
      <c r="C119" s="73" t="s">
        <v>418</v>
      </c>
      <c r="T119" s="105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472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ht="15" spans="1:175">
      <c r="A120" s="105"/>
      <c r="B120" s="105" t="s">
        <v>473</v>
      </c>
      <c r="C120" s="73" t="s">
        <v>421</v>
      </c>
      <c r="T120" s="105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474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ht="15" spans="1:175">
      <c r="A121" s="105"/>
      <c r="B121" s="105" t="s">
        <v>475</v>
      </c>
      <c r="C121" s="73" t="s">
        <v>424</v>
      </c>
      <c r="T121" s="105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476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ht="15" spans="1:175">
      <c r="A122" s="105"/>
      <c r="B122" s="105" t="s">
        <v>477</v>
      </c>
      <c r="C122" s="73" t="s">
        <v>427</v>
      </c>
      <c r="T122" s="105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478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9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ht="15" spans="1:175">
      <c r="A123" s="105"/>
      <c r="B123" s="105" t="s">
        <v>479</v>
      </c>
      <c r="C123" s="106" t="s">
        <v>480</v>
      </c>
      <c r="T123" s="113" t="s">
        <v>481</v>
      </c>
      <c r="U123" s="89" t="s">
        <v>482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9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ht="15" spans="1:175">
      <c r="A124" s="105"/>
      <c r="B124" s="105" t="s">
        <v>483</v>
      </c>
      <c r="C124" s="105" t="s">
        <v>484</v>
      </c>
      <c r="T124" s="105" t="s">
        <v>485</v>
      </c>
      <c r="U124" s="89" t="s">
        <v>486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9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ht="15" spans="1:175">
      <c r="A125" s="105"/>
      <c r="B125" s="105" t="s">
        <v>487</v>
      </c>
      <c r="C125" s="105" t="s">
        <v>488</v>
      </c>
      <c r="T125" s="113" t="s">
        <v>489</v>
      </c>
      <c r="U125" s="89" t="s">
        <v>490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9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ht="15" spans="1:175">
      <c r="A126" s="105"/>
      <c r="B126" s="105" t="s">
        <v>491</v>
      </c>
      <c r="C126" s="105" t="s">
        <v>492</v>
      </c>
      <c r="T126" s="113" t="s">
        <v>493</v>
      </c>
      <c r="U126" s="89" t="s">
        <v>494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9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ht="15" spans="1:175">
      <c r="A127" s="105"/>
      <c r="B127" s="105" t="s">
        <v>495</v>
      </c>
      <c r="C127" s="105" t="s">
        <v>496</v>
      </c>
      <c r="T127" s="113" t="s">
        <v>493</v>
      </c>
      <c r="U127" s="89" t="s">
        <v>497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9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ht="15" spans="1:175">
      <c r="A128" s="105"/>
      <c r="B128" s="105" t="s">
        <v>498</v>
      </c>
      <c r="C128" s="106" t="s">
        <v>499</v>
      </c>
      <c r="T128" s="113" t="s">
        <v>481</v>
      </c>
      <c r="U128" s="89" t="s">
        <v>500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9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ht="15" spans="1:175">
      <c r="A129" s="105"/>
      <c r="B129" s="105" t="s">
        <v>501</v>
      </c>
      <c r="C129" s="105" t="s">
        <v>502</v>
      </c>
      <c r="T129" s="105" t="s">
        <v>503</v>
      </c>
      <c r="U129" s="89" t="s">
        <v>504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9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ht="15" spans="1:175">
      <c r="A130" s="105"/>
      <c r="B130" s="105" t="s">
        <v>505</v>
      </c>
      <c r="C130" s="105" t="s">
        <v>506</v>
      </c>
      <c r="T130" s="105" t="s">
        <v>507</v>
      </c>
      <c r="U130" s="89" t="s">
        <v>508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9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ht="15" spans="1:175">
      <c r="A131" s="105"/>
      <c r="B131" s="105" t="s">
        <v>509</v>
      </c>
      <c r="C131" s="105" t="s">
        <v>510</v>
      </c>
      <c r="T131" s="105" t="s">
        <v>511</v>
      </c>
      <c r="U131" s="121" t="s">
        <v>512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9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ht="15" spans="1:175">
      <c r="A132" s="105"/>
      <c r="B132" s="105" t="s">
        <v>513</v>
      </c>
      <c r="C132" s="105" t="s">
        <v>514</v>
      </c>
      <c r="T132" s="105"/>
      <c r="U132" s="89" t="s">
        <v>508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9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ht="15" spans="1:175">
      <c r="A133" s="105"/>
      <c r="B133" s="105" t="s">
        <v>515</v>
      </c>
      <c r="C133" s="105" t="s">
        <v>502</v>
      </c>
      <c r="T133" s="105" t="s">
        <v>516</v>
      </c>
      <c r="U133" s="89" t="s">
        <v>504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9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ht="15" spans="1:175">
      <c r="A134" s="105"/>
      <c r="B134" s="105" t="s">
        <v>517</v>
      </c>
      <c r="C134" s="9" t="s">
        <v>518</v>
      </c>
      <c r="T134" s="9" t="s">
        <v>519</v>
      </c>
      <c r="U134" s="89" t="s">
        <v>508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9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ht="15" spans="1:175">
      <c r="A135" s="105"/>
      <c r="B135" s="105" t="s">
        <v>520</v>
      </c>
      <c r="C135" s="105" t="s">
        <v>510</v>
      </c>
      <c r="T135" s="105" t="s">
        <v>521</v>
      </c>
      <c r="U135" s="121" t="s">
        <v>512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9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ht="15" spans="1:175">
      <c r="A136" s="105"/>
      <c r="B136" s="105" t="s">
        <v>522</v>
      </c>
      <c r="C136" s="105" t="s">
        <v>514</v>
      </c>
      <c r="T136" s="105"/>
      <c r="U136" s="89" t="s">
        <v>508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9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ht="15" spans="1:175">
      <c r="A137" s="117"/>
      <c r="B137" s="105" t="s">
        <v>523</v>
      </c>
      <c r="C137" s="117" t="s">
        <v>524</v>
      </c>
      <c r="T137" s="122" t="s">
        <v>525</v>
      </c>
      <c r="U137" s="89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9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ht="15" spans="1:175">
      <c r="A138" s="105"/>
      <c r="B138" s="105" t="s">
        <v>526</v>
      </c>
      <c r="C138" s="105" t="s">
        <v>527</v>
      </c>
      <c r="T138" s="123" t="s">
        <v>528</v>
      </c>
      <c r="U138" s="89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9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ht="15" spans="1:175">
      <c r="A139" s="105"/>
      <c r="B139" s="105" t="s">
        <v>529</v>
      </c>
      <c r="C139" s="105" t="s">
        <v>530</v>
      </c>
      <c r="T139" s="123" t="s">
        <v>531</v>
      </c>
      <c r="U139" s="89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9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ht="15" spans="1:175">
      <c r="A140" s="105"/>
      <c r="B140" s="105" t="s">
        <v>532</v>
      </c>
      <c r="C140" s="105" t="s">
        <v>533</v>
      </c>
      <c r="T140" s="123" t="s">
        <v>534</v>
      </c>
      <c r="U140" s="89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9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ht="15" spans="1:175">
      <c r="A141" s="105"/>
      <c r="B141" s="105" t="s">
        <v>535</v>
      </c>
      <c r="C141" s="105" t="s">
        <v>536</v>
      </c>
      <c r="T141" s="123" t="s">
        <v>537</v>
      </c>
      <c r="U141" s="89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9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ht="15" spans="1:175">
      <c r="A142" s="105"/>
      <c r="B142" s="105" t="s">
        <v>538</v>
      </c>
      <c r="C142" s="105" t="s">
        <v>539</v>
      </c>
      <c r="T142" s="123" t="s">
        <v>540</v>
      </c>
      <c r="U142" s="89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9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ht="15" spans="1:175">
      <c r="A143" s="105"/>
      <c r="B143" s="105" t="s">
        <v>541</v>
      </c>
      <c r="C143" s="80" t="s">
        <v>542</v>
      </c>
      <c r="T143" s="9" t="s">
        <v>543</v>
      </c>
      <c r="U143" s="121" t="s">
        <v>544</v>
      </c>
      <c r="V143" s="90"/>
      <c r="W143" s="90"/>
      <c r="X143" s="90">
        <v>5</v>
      </c>
      <c r="Y143" s="90"/>
      <c r="Z143" s="90"/>
      <c r="AA143" s="90"/>
      <c r="AB143" s="90"/>
      <c r="AC143" s="90"/>
      <c r="AD143" s="90"/>
      <c r="AE143" s="90"/>
      <c r="AF143" s="90"/>
      <c r="AG143" s="92"/>
      <c r="AH143" s="90"/>
      <c r="AI143" s="90"/>
      <c r="AJ143" s="90"/>
      <c r="AK143" s="90"/>
      <c r="AL143" s="92"/>
      <c r="AM143" s="90"/>
      <c r="AN143" s="90"/>
      <c r="AO143" s="90"/>
      <c r="AP143" s="90"/>
      <c r="AQ143" s="90"/>
      <c r="AR143" s="92"/>
      <c r="AS143" s="92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9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ht="15" spans="1:175">
      <c r="A144" s="105"/>
      <c r="B144" s="105" t="s">
        <v>545</v>
      </c>
      <c r="C144" s="80" t="s">
        <v>546</v>
      </c>
      <c r="T144" s="9" t="s">
        <v>547</v>
      </c>
      <c r="U144" s="121" t="s">
        <v>544</v>
      </c>
      <c r="V144" s="90"/>
      <c r="W144" s="90"/>
      <c r="X144" s="90">
        <v>10</v>
      </c>
      <c r="Y144" s="90"/>
      <c r="Z144" s="90"/>
      <c r="AA144" s="90"/>
      <c r="AB144" s="90"/>
      <c r="AC144" s="90"/>
      <c r="AD144" s="90"/>
      <c r="AE144" s="90"/>
      <c r="AF144" s="90"/>
      <c r="AG144" s="92"/>
      <c r="AH144" s="90"/>
      <c r="AI144" s="90"/>
      <c r="AJ144" s="90"/>
      <c r="AK144" s="90"/>
      <c r="AL144" s="92"/>
      <c r="AM144" s="90"/>
      <c r="AN144" s="90"/>
      <c r="AO144" s="90"/>
      <c r="AP144" s="90"/>
      <c r="AQ144" s="90"/>
      <c r="AR144" s="92"/>
      <c r="AS144" s="92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9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ht="15" spans="1:175">
      <c r="A145" s="105"/>
      <c r="B145" s="105" t="s">
        <v>548</v>
      </c>
      <c r="C145" s="118" t="s">
        <v>549</v>
      </c>
      <c r="T145" s="9" t="s">
        <v>550</v>
      </c>
      <c r="U145" s="121" t="s">
        <v>551</v>
      </c>
      <c r="V145" s="90"/>
      <c r="W145" s="90"/>
      <c r="X145" s="90">
        <v>20</v>
      </c>
      <c r="Y145" s="90"/>
      <c r="Z145" s="90"/>
      <c r="AA145" s="90"/>
      <c r="AB145" s="90"/>
      <c r="AC145" s="90"/>
      <c r="AD145" s="90"/>
      <c r="AE145" s="90"/>
      <c r="AF145" s="90"/>
      <c r="AG145" s="92"/>
      <c r="AH145" s="90"/>
      <c r="AI145" s="90"/>
      <c r="AJ145" s="90"/>
      <c r="AK145" s="90"/>
      <c r="AL145" s="92"/>
      <c r="AM145" s="90"/>
      <c r="AN145" s="90"/>
      <c r="AO145" s="90"/>
      <c r="AP145" s="90"/>
      <c r="AQ145" s="90"/>
      <c r="AR145" s="92"/>
      <c r="AS145" s="92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9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ht="15" spans="1:175">
      <c r="A146" s="105"/>
      <c r="B146" s="105" t="s">
        <v>552</v>
      </c>
      <c r="C146" s="118" t="s">
        <v>553</v>
      </c>
      <c r="T146" s="9" t="s">
        <v>554</v>
      </c>
      <c r="U146" s="121" t="s">
        <v>555</v>
      </c>
      <c r="V146" s="90"/>
      <c r="W146" s="90"/>
      <c r="X146" s="90">
        <v>30</v>
      </c>
      <c r="Y146" s="90"/>
      <c r="Z146" s="90"/>
      <c r="AA146" s="90"/>
      <c r="AB146" s="90"/>
      <c r="AC146" s="90"/>
      <c r="AD146" s="90"/>
      <c r="AE146" s="90"/>
      <c r="AF146" s="90"/>
      <c r="AG146" s="92"/>
      <c r="AH146" s="90"/>
      <c r="AI146" s="90"/>
      <c r="AJ146" s="90"/>
      <c r="AK146" s="90"/>
      <c r="AL146" s="92"/>
      <c r="AM146" s="90"/>
      <c r="AN146" s="90"/>
      <c r="AO146" s="90"/>
      <c r="AP146" s="90"/>
      <c r="AQ146" s="90"/>
      <c r="AR146" s="92"/>
      <c r="AS146" s="92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9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ht="15" spans="1:175">
      <c r="A147" s="105"/>
      <c r="B147" s="105" t="s">
        <v>556</v>
      </c>
      <c r="C147" s="118" t="s">
        <v>557</v>
      </c>
      <c r="T147" s="9" t="s">
        <v>558</v>
      </c>
      <c r="U147" s="121" t="s">
        <v>559</v>
      </c>
      <c r="V147" s="90"/>
      <c r="W147" s="90"/>
      <c r="X147" s="90">
        <v>40</v>
      </c>
      <c r="Y147" s="90"/>
      <c r="Z147" s="90"/>
      <c r="AA147" s="90"/>
      <c r="AB147" s="90"/>
      <c r="AC147" s="90"/>
      <c r="AD147" s="90"/>
      <c r="AE147" s="90"/>
      <c r="AF147" s="90"/>
      <c r="AG147" s="92"/>
      <c r="AH147" s="90"/>
      <c r="AI147" s="90"/>
      <c r="AJ147" s="90"/>
      <c r="AK147" s="90"/>
      <c r="AL147" s="92"/>
      <c r="AM147" s="90"/>
      <c r="AN147" s="90"/>
      <c r="AO147" s="90"/>
      <c r="AP147" s="90"/>
      <c r="AQ147" s="90"/>
      <c r="AR147" s="92"/>
      <c r="AS147" s="92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9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ht="15" spans="1:175">
      <c r="A148" s="105"/>
      <c r="B148" s="105" t="s">
        <v>560</v>
      </c>
      <c r="C148" s="118" t="s">
        <v>561</v>
      </c>
      <c r="T148" s="9" t="s">
        <v>562</v>
      </c>
      <c r="U148" s="121" t="s">
        <v>563</v>
      </c>
      <c r="V148" s="90"/>
      <c r="W148" s="90"/>
      <c r="X148" s="90">
        <v>50</v>
      </c>
      <c r="Y148" s="90"/>
      <c r="Z148" s="90"/>
      <c r="AA148" s="90"/>
      <c r="AB148" s="90"/>
      <c r="AC148" s="90"/>
      <c r="AD148" s="90"/>
      <c r="AE148" s="90"/>
      <c r="AF148" s="90"/>
      <c r="AG148" s="92"/>
      <c r="AH148" s="90"/>
      <c r="AI148" s="90"/>
      <c r="AJ148" s="90"/>
      <c r="AK148" s="90"/>
      <c r="AL148" s="92"/>
      <c r="AM148" s="90"/>
      <c r="AN148" s="90"/>
      <c r="AO148" s="90"/>
      <c r="AP148" s="90"/>
      <c r="AQ148" s="90"/>
      <c r="AR148" s="92"/>
      <c r="AS148" s="92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9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ht="15" spans="1:175">
      <c r="A149" s="105"/>
      <c r="B149" s="105" t="s">
        <v>564</v>
      </c>
      <c r="C149" s="105" t="s">
        <v>565</v>
      </c>
      <c r="T149" s="122" t="s">
        <v>566</v>
      </c>
      <c r="U149" s="89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9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ht="15" spans="1:175">
      <c r="A150" s="105"/>
      <c r="B150" s="119" t="s">
        <v>567</v>
      </c>
      <c r="C150" s="22" t="s">
        <v>568</v>
      </c>
      <c r="T150" s="70" t="s">
        <v>569</v>
      </c>
      <c r="U150" s="89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9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ht="15" spans="1:175">
      <c r="A151" s="105"/>
      <c r="B151" s="105" t="s">
        <v>570</v>
      </c>
      <c r="C151" s="70" t="s">
        <v>571</v>
      </c>
      <c r="T151" s="70" t="s">
        <v>572</v>
      </c>
      <c r="U151" s="89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9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ht="15" spans="1:175">
      <c r="A152" s="105"/>
      <c r="B152" s="119" t="s">
        <v>573</v>
      </c>
      <c r="C152" s="22" t="s">
        <v>574</v>
      </c>
      <c r="T152" s="70" t="s">
        <v>575</v>
      </c>
      <c r="U152" s="89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9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ht="15" spans="1:175">
      <c r="A153" s="105"/>
      <c r="B153" s="119" t="s">
        <v>576</v>
      </c>
      <c r="C153" s="22" t="s">
        <v>577</v>
      </c>
      <c r="T153" s="70" t="s">
        <v>578</v>
      </c>
      <c r="U153" s="89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9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ht="15" spans="1:175">
      <c r="A154" s="105"/>
      <c r="B154" s="119" t="s">
        <v>579</v>
      </c>
      <c r="C154" s="22" t="s">
        <v>580</v>
      </c>
      <c r="T154" s="70" t="s">
        <v>581</v>
      </c>
      <c r="U154" s="89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9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ht="15" spans="1:175">
      <c r="A155" s="105"/>
      <c r="B155" s="119" t="s">
        <v>582</v>
      </c>
      <c r="C155" s="22" t="s">
        <v>583</v>
      </c>
      <c r="T155" s="70" t="s">
        <v>584</v>
      </c>
      <c r="U155" s="89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9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ht="15" spans="1:175">
      <c r="A156" s="105"/>
      <c r="B156" s="119" t="s">
        <v>585</v>
      </c>
      <c r="C156" s="22" t="s">
        <v>586</v>
      </c>
      <c r="T156" s="70" t="s">
        <v>587</v>
      </c>
      <c r="U156" s="89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9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ht="15" spans="1:175">
      <c r="A157" s="105"/>
      <c r="B157" s="119" t="s">
        <v>588</v>
      </c>
      <c r="C157" s="22" t="s">
        <v>589</v>
      </c>
      <c r="T157" s="70" t="s">
        <v>590</v>
      </c>
      <c r="U157" s="89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9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ht="15" spans="1:175">
      <c r="A158" s="105"/>
      <c r="B158" s="119" t="s">
        <v>591</v>
      </c>
      <c r="C158" s="22" t="s">
        <v>592</v>
      </c>
      <c r="T158" s="70" t="s">
        <v>593</v>
      </c>
      <c r="U158" s="89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9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ht="15" spans="1:175">
      <c r="A159" s="105"/>
      <c r="B159" s="119" t="s">
        <v>594</v>
      </c>
      <c r="C159" s="119" t="s">
        <v>595</v>
      </c>
      <c r="T159" s="70" t="s">
        <v>596</v>
      </c>
      <c r="U159" s="89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9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ht="15" spans="1:175">
      <c r="A160" s="105"/>
      <c r="B160" s="119" t="s">
        <v>597</v>
      </c>
      <c r="C160" s="22" t="s">
        <v>598</v>
      </c>
      <c r="T160" s="70" t="s">
        <v>599</v>
      </c>
      <c r="U160" s="89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9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ht="15" spans="1:175">
      <c r="A161" s="105"/>
      <c r="B161" s="119" t="s">
        <v>600</v>
      </c>
      <c r="C161" s="22" t="s">
        <v>601</v>
      </c>
      <c r="T161" s="70" t="s">
        <v>602</v>
      </c>
      <c r="U161" s="89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9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ht="15" spans="1:175">
      <c r="A162" s="105"/>
      <c r="B162" s="105" t="s">
        <v>603</v>
      </c>
      <c r="C162" s="70" t="s">
        <v>604</v>
      </c>
      <c r="T162" s="70" t="s">
        <v>605</v>
      </c>
      <c r="U162" s="89" t="s">
        <v>606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9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ht="15" spans="1:175">
      <c r="A163" s="105"/>
      <c r="B163" s="119" t="s">
        <v>607</v>
      </c>
      <c r="C163" s="22" t="s">
        <v>608</v>
      </c>
      <c r="T163" s="70" t="s">
        <v>609</v>
      </c>
      <c r="U163" s="89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9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ht="15" spans="1:175">
      <c r="A164" s="105"/>
      <c r="B164" s="119" t="s">
        <v>610</v>
      </c>
      <c r="C164" s="22" t="s">
        <v>611</v>
      </c>
      <c r="T164" s="70" t="s">
        <v>612</v>
      </c>
      <c r="U164" s="89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9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ht="15" spans="1:175">
      <c r="A165" s="105"/>
      <c r="B165" s="105" t="s">
        <v>613</v>
      </c>
      <c r="C165" s="99" t="s">
        <v>614</v>
      </c>
      <c r="T165" s="70" t="s">
        <v>615</v>
      </c>
      <c r="U165" s="89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9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ht="15" spans="1:175">
      <c r="A166" s="105"/>
      <c r="B166" s="119" t="s">
        <v>616</v>
      </c>
      <c r="C166" s="22" t="s">
        <v>617</v>
      </c>
      <c r="T166" s="70" t="s">
        <v>618</v>
      </c>
      <c r="U166" s="89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9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ht="15" spans="1:175">
      <c r="A167" s="105"/>
      <c r="B167" s="119" t="s">
        <v>619</v>
      </c>
      <c r="C167" s="22" t="s">
        <v>620</v>
      </c>
      <c r="T167" s="70" t="s">
        <v>621</v>
      </c>
      <c r="U167" s="89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9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ht="15" spans="1:175">
      <c r="A168" s="105"/>
      <c r="B168" s="120" t="s">
        <v>622</v>
      </c>
      <c r="C168" s="99" t="s">
        <v>623</v>
      </c>
      <c r="T168" s="70" t="s">
        <v>624</v>
      </c>
      <c r="U168" s="89" t="s">
        <v>625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9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ht="15" spans="1:175">
      <c r="A169" s="105"/>
      <c r="B169" s="120" t="s">
        <v>626</v>
      </c>
      <c r="C169" s="99" t="s">
        <v>627</v>
      </c>
      <c r="T169" s="70" t="s">
        <v>628</v>
      </c>
      <c r="U169" s="89" t="s">
        <v>629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9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ht="15" spans="1:175">
      <c r="A170" s="105"/>
      <c r="B170" s="120" t="s">
        <v>630</v>
      </c>
      <c r="C170" s="99" t="s">
        <v>631</v>
      </c>
      <c r="T170" s="70" t="s">
        <v>632</v>
      </c>
      <c r="U170" s="89" t="s">
        <v>633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9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ht="15" spans="1:175">
      <c r="A171" s="105"/>
      <c r="B171" s="120" t="s">
        <v>634</v>
      </c>
      <c r="C171" s="70" t="s">
        <v>635</v>
      </c>
      <c r="T171" s="70" t="s">
        <v>636</v>
      </c>
      <c r="U171" s="89" t="s">
        <v>637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9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ht="15" spans="1:175">
      <c r="A172" s="105"/>
      <c r="B172" s="120" t="s">
        <v>638</v>
      </c>
      <c r="C172" s="70" t="s">
        <v>639</v>
      </c>
      <c r="T172" s="70" t="s">
        <v>605</v>
      </c>
      <c r="U172" s="89" t="s">
        <v>486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9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ht="15" spans="1:175">
      <c r="A173" s="105"/>
      <c r="B173" s="120" t="s">
        <v>640</v>
      </c>
      <c r="C173" s="70" t="s">
        <v>641</v>
      </c>
      <c r="T173" s="70" t="s">
        <v>642</v>
      </c>
      <c r="U173" s="89" t="s">
        <v>643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9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ht="15" spans="1:175">
      <c r="A174" s="105"/>
      <c r="B174" s="120" t="s">
        <v>644</v>
      </c>
      <c r="C174" s="70" t="s">
        <v>645</v>
      </c>
      <c r="T174" s="70" t="s">
        <v>646</v>
      </c>
      <c r="U174" s="89" t="s">
        <v>647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9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ht="15" spans="1:175">
      <c r="A175" s="105"/>
      <c r="B175" s="120" t="s">
        <v>648</v>
      </c>
      <c r="C175" s="70" t="s">
        <v>635</v>
      </c>
      <c r="T175" s="70" t="s">
        <v>636</v>
      </c>
      <c r="U175" s="89" t="s">
        <v>637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9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ht="15" spans="1:175">
      <c r="A176" s="105"/>
      <c r="B176" s="119" t="s">
        <v>649</v>
      </c>
      <c r="C176" s="22" t="s">
        <v>650</v>
      </c>
      <c r="T176" s="70" t="s">
        <v>651</v>
      </c>
      <c r="U176" s="89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9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ht="15" spans="1:175">
      <c r="A177" s="105"/>
      <c r="B177" s="105" t="s">
        <v>652</v>
      </c>
      <c r="C177" s="99" t="s">
        <v>653</v>
      </c>
      <c r="T177" s="70" t="s">
        <v>654</v>
      </c>
      <c r="U177" s="89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9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ht="15" spans="1:175">
      <c r="A178" s="105"/>
      <c r="B178" s="119" t="s">
        <v>655</v>
      </c>
      <c r="C178" s="22" t="s">
        <v>656</v>
      </c>
      <c r="T178" s="70" t="s">
        <v>657</v>
      </c>
      <c r="U178" s="89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9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ht="15" spans="1:175">
      <c r="A179" s="105"/>
      <c r="B179" s="105" t="s">
        <v>658</v>
      </c>
      <c r="C179" s="22" t="s">
        <v>659</v>
      </c>
      <c r="T179" s="70" t="s">
        <v>660</v>
      </c>
      <c r="U179" s="89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9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ht="15" spans="1:175">
      <c r="A180" s="105"/>
      <c r="B180" s="119" t="s">
        <v>661</v>
      </c>
      <c r="C180" s="22" t="s">
        <v>662</v>
      </c>
      <c r="T180" s="70" t="s">
        <v>663</v>
      </c>
      <c r="U180" s="89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9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ht="15" spans="1:175">
      <c r="A181" s="105"/>
      <c r="B181" s="105" t="s">
        <v>664</v>
      </c>
      <c r="C181" s="99" t="s">
        <v>665</v>
      </c>
      <c r="T181" s="70" t="s">
        <v>666</v>
      </c>
      <c r="U181" s="89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9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ht="15" spans="1:175">
      <c r="A182" s="105"/>
      <c r="B182" s="119" t="s">
        <v>667</v>
      </c>
      <c r="C182" s="22" t="s">
        <v>668</v>
      </c>
      <c r="T182" s="70" t="s">
        <v>669</v>
      </c>
      <c r="U182" s="89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9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ht="15" spans="1:175">
      <c r="A183" s="105"/>
      <c r="B183" s="105" t="s">
        <v>670</v>
      </c>
      <c r="C183" s="22" t="s">
        <v>671</v>
      </c>
      <c r="T183" s="70" t="s">
        <v>672</v>
      </c>
      <c r="U183" s="89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9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ht="15" spans="1:175">
      <c r="A184" s="105"/>
      <c r="B184" s="105" t="s">
        <v>673</v>
      </c>
      <c r="C184" s="105" t="s">
        <v>674</v>
      </c>
      <c r="T184" s="124" t="s">
        <v>675</v>
      </c>
      <c r="U184" s="89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9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ht="15" spans="1:175">
      <c r="A185" s="80"/>
      <c r="B185" s="105" t="s">
        <v>676</v>
      </c>
      <c r="C185" s="80" t="s">
        <v>677</v>
      </c>
      <c r="T185" s="125" t="s">
        <v>678</v>
      </c>
      <c r="U185" s="89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9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ht="15" spans="1:175">
      <c r="A186" s="80"/>
      <c r="B186" s="105" t="s">
        <v>679</v>
      </c>
      <c r="C186" s="80" t="s">
        <v>680</v>
      </c>
      <c r="T186" s="118" t="s">
        <v>681</v>
      </c>
      <c r="U186" s="89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9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ht="15" spans="1:175">
      <c r="A187" s="80"/>
      <c r="B187" s="105" t="s">
        <v>682</v>
      </c>
      <c r="C187" s="80" t="s">
        <v>683</v>
      </c>
      <c r="T187" s="118" t="s">
        <v>684</v>
      </c>
      <c r="U187" s="89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9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ht="15" spans="1:175">
      <c r="A188" s="80"/>
      <c r="B188" s="105" t="s">
        <v>685</v>
      </c>
      <c r="C188" s="80" t="s">
        <v>686</v>
      </c>
      <c r="T188" s="118" t="s">
        <v>687</v>
      </c>
      <c r="U188" s="89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9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ht="15" spans="1:175">
      <c r="A189" s="80"/>
      <c r="B189" s="105" t="s">
        <v>688</v>
      </c>
      <c r="C189" s="80" t="s">
        <v>689</v>
      </c>
      <c r="T189" s="126" t="s">
        <v>690</v>
      </c>
      <c r="U189" s="89" t="s">
        <v>691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9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ht="15" spans="1:175">
      <c r="A190" s="80"/>
      <c r="B190" s="105" t="s">
        <v>692</v>
      </c>
      <c r="C190" s="80" t="s">
        <v>693</v>
      </c>
      <c r="T190" s="118" t="s">
        <v>694</v>
      </c>
      <c r="U190" s="89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9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ht="15" spans="1:175">
      <c r="A191" s="80"/>
      <c r="B191" s="105" t="s">
        <v>695</v>
      </c>
      <c r="C191" s="80" t="s">
        <v>696</v>
      </c>
      <c r="T191" s="118" t="s">
        <v>697</v>
      </c>
      <c r="U191" s="89" t="s">
        <v>698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9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ht="15" spans="1:175">
      <c r="A192" s="80"/>
      <c r="B192" s="105" t="s">
        <v>699</v>
      </c>
      <c r="C192" s="80" t="s">
        <v>700</v>
      </c>
      <c r="T192" s="126" t="s">
        <v>701</v>
      </c>
      <c r="U192" s="89" t="s">
        <v>702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9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ht="15" spans="1:175">
      <c r="A193" s="80"/>
      <c r="B193" s="105" t="s">
        <v>703</v>
      </c>
      <c r="C193" s="80" t="s">
        <v>683</v>
      </c>
      <c r="T193" s="118" t="s">
        <v>684</v>
      </c>
      <c r="U193" s="89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9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ht="20.25" customHeight="1" spans="1:175">
      <c r="A194" s="80"/>
      <c r="B194" s="105" t="s">
        <v>704</v>
      </c>
      <c r="C194" s="80" t="s">
        <v>705</v>
      </c>
      <c r="R194" s="63">
        <v>-8086</v>
      </c>
      <c r="S194" s="63">
        <v>-3245</v>
      </c>
      <c r="T194" s="124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9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9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ht="18" customHeight="1" spans="1:175">
      <c r="A195" s="80"/>
      <c r="B195" s="105" t="s">
        <v>706</v>
      </c>
      <c r="C195" s="80" t="s">
        <v>707</v>
      </c>
      <c r="R195" s="63">
        <v>-7991</v>
      </c>
      <c r="S195" s="63">
        <v>-2312</v>
      </c>
      <c r="T195" s="124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9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9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ht="15" spans="1:175">
      <c r="A196" s="80"/>
      <c r="B196" s="105" t="s">
        <v>708</v>
      </c>
      <c r="C196" s="80" t="s">
        <v>709</v>
      </c>
      <c r="R196" s="63">
        <v>-8089</v>
      </c>
      <c r="S196" s="63">
        <v>-1230</v>
      </c>
      <c r="T196" s="124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9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9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ht="15" spans="1:175">
      <c r="A197" s="80"/>
      <c r="B197" s="105" t="s">
        <v>710</v>
      </c>
      <c r="C197" s="80" t="s">
        <v>711</v>
      </c>
      <c r="R197" s="63">
        <v>-7794</v>
      </c>
      <c r="S197" s="63">
        <v>195</v>
      </c>
      <c r="T197" s="124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9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9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ht="15" spans="1:175">
      <c r="A198" s="80"/>
      <c r="B198" s="105" t="s">
        <v>712</v>
      </c>
      <c r="C198" s="80" t="s">
        <v>713</v>
      </c>
      <c r="R198" s="63">
        <v>-8110</v>
      </c>
      <c r="S198" s="63">
        <v>1810</v>
      </c>
      <c r="T198" s="124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9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9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ht="15" spans="1:175">
      <c r="A199" s="80"/>
      <c r="B199" s="105" t="s">
        <v>714</v>
      </c>
      <c r="C199" s="80" t="s">
        <v>715</v>
      </c>
      <c r="R199" s="63">
        <v>-7896</v>
      </c>
      <c r="S199" s="63">
        <v>3839</v>
      </c>
      <c r="T199" s="124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9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9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ht="15" spans="1:175">
      <c r="A200" s="80"/>
      <c r="B200" s="105" t="s">
        <v>716</v>
      </c>
      <c r="C200" s="80" t="s">
        <v>717</v>
      </c>
      <c r="R200" s="63">
        <v>-7896</v>
      </c>
      <c r="S200" s="63">
        <v>5906</v>
      </c>
      <c r="T200" s="124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9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9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ht="15" spans="1:175">
      <c r="A201" s="80" t="s">
        <v>718</v>
      </c>
      <c r="B201" s="105" t="s">
        <v>719</v>
      </c>
      <c r="C201" s="80" t="s">
        <v>720</v>
      </c>
      <c r="R201" s="63">
        <v>-7970</v>
      </c>
      <c r="S201" s="63">
        <v>7965</v>
      </c>
      <c r="T201" s="124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9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9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ht="15" spans="1:175">
      <c r="A202" s="80"/>
      <c r="B202" s="105" t="s">
        <v>721</v>
      </c>
      <c r="C202" s="80" t="s">
        <v>722</v>
      </c>
      <c r="R202" s="63">
        <v>2100</v>
      </c>
      <c r="S202" s="63">
        <v>-5120</v>
      </c>
      <c r="T202" s="124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9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9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ht="15" spans="1:175">
      <c r="A203" s="80"/>
      <c r="B203" s="105" t="s">
        <v>723</v>
      </c>
      <c r="C203" s="80" t="s">
        <v>724</v>
      </c>
      <c r="R203" s="63">
        <v>2268</v>
      </c>
      <c r="S203" s="63">
        <v>-8065</v>
      </c>
      <c r="T203" s="124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9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9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ht="15" spans="1:175">
      <c r="A204" s="80" t="s">
        <v>718</v>
      </c>
      <c r="B204" s="105" t="s">
        <v>725</v>
      </c>
      <c r="C204" s="80" t="s">
        <v>726</v>
      </c>
      <c r="T204" s="124" t="s">
        <v>727</v>
      </c>
      <c r="U204" s="89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9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ht="15" spans="1:175">
      <c r="A205" s="80"/>
      <c r="B205" s="105" t="s">
        <v>728</v>
      </c>
      <c r="C205" s="80" t="s">
        <v>729</v>
      </c>
      <c r="T205" s="124" t="s">
        <v>730</v>
      </c>
      <c r="U205" s="89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9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ht="15" spans="1:175">
      <c r="A206" s="80"/>
      <c r="B206" s="105" t="s">
        <v>731</v>
      </c>
      <c r="C206" s="80" t="s">
        <v>732</v>
      </c>
      <c r="T206" s="124" t="s">
        <v>733</v>
      </c>
      <c r="U206" s="89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9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ht="15" spans="1:175">
      <c r="A207" s="80"/>
      <c r="B207" s="105" t="s">
        <v>734</v>
      </c>
      <c r="C207" s="80" t="s">
        <v>735</v>
      </c>
      <c r="T207" s="124" t="s">
        <v>735</v>
      </c>
      <c r="U207" s="89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9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ht="15" spans="1:175">
      <c r="A208" s="80"/>
      <c r="B208" s="105" t="s">
        <v>736</v>
      </c>
      <c r="C208" s="80" t="s">
        <v>737</v>
      </c>
      <c r="T208" s="124" t="s">
        <v>738</v>
      </c>
      <c r="U208" s="89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9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ht="15" spans="1:175">
      <c r="A209" s="80"/>
      <c r="B209" s="105" t="s">
        <v>739</v>
      </c>
      <c r="C209" s="80" t="s">
        <v>740</v>
      </c>
      <c r="T209" s="124" t="s">
        <v>741</v>
      </c>
      <c r="U209" s="89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9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ht="15" spans="1:175">
      <c r="A210" s="80"/>
      <c r="B210" s="105" t="s">
        <v>742</v>
      </c>
      <c r="C210" s="80"/>
      <c r="T210" s="124" t="s">
        <v>738</v>
      </c>
      <c r="U210" s="89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9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ht="15" spans="1:175">
      <c r="A211" s="80"/>
      <c r="B211" s="105" t="s">
        <v>743</v>
      </c>
      <c r="C211" s="80"/>
      <c r="T211" s="124" t="s">
        <v>738</v>
      </c>
      <c r="U211" s="89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9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ht="15" spans="1:175">
      <c r="A212" s="80"/>
      <c r="B212" s="105" t="s">
        <v>744</v>
      </c>
      <c r="C212" s="80"/>
      <c r="T212" s="124" t="s">
        <v>738</v>
      </c>
      <c r="U212" s="89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9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ht="15" spans="1:175">
      <c r="A213" s="80"/>
      <c r="B213" s="105" t="s">
        <v>745</v>
      </c>
      <c r="C213" s="80"/>
      <c r="T213" s="124" t="s">
        <v>738</v>
      </c>
      <c r="U213" s="89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9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ht="15" spans="1:175">
      <c r="A214" s="80"/>
      <c r="B214" s="105" t="s">
        <v>746</v>
      </c>
      <c r="C214" s="127" t="s">
        <v>747</v>
      </c>
      <c r="T214" s="127" t="s">
        <v>748</v>
      </c>
      <c r="U214" s="89" t="s">
        <v>749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9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ht="15" spans="1:175">
      <c r="A215" s="80"/>
      <c r="B215" s="105" t="s">
        <v>750</v>
      </c>
      <c r="C215" s="80" t="s">
        <v>751</v>
      </c>
      <c r="T215" s="9" t="s">
        <v>752</v>
      </c>
      <c r="U215" s="89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9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ht="15" spans="1:175">
      <c r="A216" s="80"/>
      <c r="B216" s="105" t="s">
        <v>753</v>
      </c>
      <c r="C216" s="80" t="s">
        <v>754</v>
      </c>
      <c r="T216" s="9" t="s">
        <v>755</v>
      </c>
      <c r="U216" s="89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9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ht="15" spans="1:175">
      <c r="A217" s="80"/>
      <c r="B217" s="105" t="s">
        <v>756</v>
      </c>
      <c r="C217" s="80" t="s">
        <v>757</v>
      </c>
      <c r="T217" s="9" t="s">
        <v>755</v>
      </c>
      <c r="U217" s="89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9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ht="15" spans="1:175">
      <c r="A218" s="80"/>
      <c r="B218" s="105" t="s">
        <v>758</v>
      </c>
      <c r="C218" s="80" t="s">
        <v>759</v>
      </c>
      <c r="T218" s="9" t="s">
        <v>760</v>
      </c>
      <c r="U218" s="89" t="s">
        <v>761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9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ht="15" spans="1:175">
      <c r="A219" s="80"/>
      <c r="B219" s="105" t="s">
        <v>762</v>
      </c>
      <c r="C219" s="80" t="s">
        <v>763</v>
      </c>
      <c r="T219" s="113" t="s">
        <v>489</v>
      </c>
      <c r="U219" s="89" t="s">
        <v>764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9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ht="15" spans="1:175">
      <c r="A220" s="80"/>
      <c r="B220" s="105" t="s">
        <v>765</v>
      </c>
      <c r="C220" s="80" t="s">
        <v>766</v>
      </c>
      <c r="T220" s="113" t="s">
        <v>493</v>
      </c>
      <c r="U220" s="89" t="s">
        <v>767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9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ht="15" spans="1:175">
      <c r="A221" s="80"/>
      <c r="B221" s="105" t="s">
        <v>768</v>
      </c>
      <c r="C221" s="80" t="s">
        <v>769</v>
      </c>
      <c r="T221" s="113" t="s">
        <v>481</v>
      </c>
      <c r="U221" s="89" t="s">
        <v>770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9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ht="15" spans="1:175">
      <c r="A222" s="80"/>
      <c r="B222" s="105" t="s">
        <v>771</v>
      </c>
      <c r="C222" s="80" t="s">
        <v>772</v>
      </c>
      <c r="T222" s="113" t="s">
        <v>489</v>
      </c>
      <c r="U222" s="89" t="s">
        <v>773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9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ht="15" spans="1:175">
      <c r="A223" s="80"/>
      <c r="B223" s="105" t="s">
        <v>774</v>
      </c>
      <c r="C223" s="80" t="s">
        <v>775</v>
      </c>
      <c r="T223" s="113" t="s">
        <v>493</v>
      </c>
      <c r="U223" s="89" t="s">
        <v>776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9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ht="15" spans="1:175">
      <c r="A224" s="80"/>
      <c r="B224" s="105" t="s">
        <v>777</v>
      </c>
      <c r="C224" s="80" t="s">
        <v>778</v>
      </c>
      <c r="T224" s="113" t="s">
        <v>481</v>
      </c>
      <c r="U224" s="89" t="s">
        <v>779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9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ht="15" spans="1:175">
      <c r="A225" s="80"/>
      <c r="B225" s="105" t="s">
        <v>780</v>
      </c>
      <c r="C225" s="80" t="s">
        <v>781</v>
      </c>
      <c r="T225" s="124" t="s">
        <v>782</v>
      </c>
      <c r="U225" s="89" t="s">
        <v>783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9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ht="15" spans="1:175">
      <c r="A226" s="80"/>
      <c r="B226" s="105" t="s">
        <v>784</v>
      </c>
      <c r="C226" s="80" t="s">
        <v>785</v>
      </c>
      <c r="T226" s="124" t="s">
        <v>786</v>
      </c>
      <c r="U226" s="89" t="s">
        <v>787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9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ht="15" spans="1:175">
      <c r="A227" s="80"/>
      <c r="B227" s="105" t="s">
        <v>788</v>
      </c>
      <c r="C227" s="80" t="s">
        <v>789</v>
      </c>
      <c r="T227" s="124" t="s">
        <v>790</v>
      </c>
      <c r="U227" s="89" t="s">
        <v>791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9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ht="15" spans="1:175">
      <c r="A228" s="80"/>
      <c r="B228" s="105" t="s">
        <v>792</v>
      </c>
      <c r="C228" s="80" t="s">
        <v>793</v>
      </c>
      <c r="T228" s="124" t="s">
        <v>782</v>
      </c>
      <c r="U228" s="89" t="s">
        <v>794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9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ht="15" spans="1:175">
      <c r="A229" s="80"/>
      <c r="B229" s="105" t="s">
        <v>795</v>
      </c>
      <c r="C229" s="105" t="s">
        <v>796</v>
      </c>
      <c r="T229" s="124" t="s">
        <v>786</v>
      </c>
      <c r="U229" s="89" t="s">
        <v>797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9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ht="15" spans="1:175">
      <c r="A230" s="80"/>
      <c r="B230" s="105" t="s">
        <v>798</v>
      </c>
      <c r="C230" s="105" t="s">
        <v>799</v>
      </c>
      <c r="T230" s="124" t="s">
        <v>790</v>
      </c>
      <c r="U230" s="89" t="s">
        <v>800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9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ht="15" spans="1:175">
      <c r="A231" s="80"/>
      <c r="B231" s="105" t="s">
        <v>801</v>
      </c>
      <c r="C231" s="80" t="s">
        <v>802</v>
      </c>
      <c r="T231" s="124" t="str">
        <f t="shared" ref="T231:T233" si="3658">C231</f>
        <v>|CffFF0000占星|r</v>
      </c>
      <c r="U231" s="89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9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ht="15" spans="1:175">
      <c r="A232" s="80"/>
      <c r="B232" s="105" t="s">
        <v>803</v>
      </c>
      <c r="C232" s="80" t="s">
        <v>804</v>
      </c>
      <c r="T232" s="124" t="str">
        <f t="shared" si="3658"/>
        <v>|CffFFD24D兽魂抽奖|r</v>
      </c>
      <c r="U232" s="89" t="s">
        <v>805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9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ht="15" spans="1:175">
      <c r="A233" s="80"/>
      <c r="B233" s="105" t="s">
        <v>806</v>
      </c>
      <c r="C233" s="80" t="s">
        <v>804</v>
      </c>
      <c r="T233" s="124" t="str">
        <f t="shared" si="3658"/>
        <v>|CffFFD24D兽魂抽奖|r</v>
      </c>
      <c r="U233" s="89" t="s">
        <v>805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9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ht="15" spans="1:175">
      <c r="A234" s="80"/>
      <c r="B234" s="105" t="s">
        <v>807</v>
      </c>
      <c r="C234" s="80" t="s">
        <v>808</v>
      </c>
      <c r="T234" s="124" t="s">
        <v>809</v>
      </c>
      <c r="U234" s="89" t="s">
        <v>805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9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ht="15" spans="1:175">
      <c r="A235" s="80"/>
      <c r="B235" s="105" t="s">
        <v>810</v>
      </c>
      <c r="C235" s="80" t="s">
        <v>811</v>
      </c>
      <c r="T235" s="124" t="s">
        <v>812</v>
      </c>
      <c r="U235" s="89" t="s">
        <v>805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9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ht="15" spans="1:175">
      <c r="A236" s="80"/>
      <c r="B236" s="105" t="s">
        <v>813</v>
      </c>
      <c r="C236" s="80" t="s">
        <v>814</v>
      </c>
      <c r="T236" s="130" t="s">
        <v>815</v>
      </c>
      <c r="U236" s="89" t="s">
        <v>319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9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ht="15" spans="1:175">
      <c r="A237" s="80"/>
      <c r="B237" s="105" t="s">
        <v>816</v>
      </c>
      <c r="C237" s="80" t="s">
        <v>817</v>
      </c>
      <c r="T237" s="113" t="s">
        <v>818</v>
      </c>
      <c r="U237" s="121" t="s">
        <v>819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9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ht="14.4" spans="1:175">
      <c r="A238" s="80"/>
      <c r="B238" s="81" t="s">
        <v>820</v>
      </c>
      <c r="C238" s="128" t="s">
        <v>821</v>
      </c>
      <c r="T238" s="131" t="s">
        <v>822</v>
      </c>
      <c r="U238" s="89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9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ht="14.4" spans="1:175">
      <c r="A239" s="80"/>
      <c r="B239" s="81" t="s">
        <v>823</v>
      </c>
      <c r="C239" s="128" t="s">
        <v>824</v>
      </c>
      <c r="T239" s="131" t="s">
        <v>825</v>
      </c>
      <c r="U239" s="89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9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ht="14.4" spans="1:175">
      <c r="A240" s="80"/>
      <c r="B240" s="81" t="s">
        <v>826</v>
      </c>
      <c r="C240" s="128" t="s">
        <v>827</v>
      </c>
      <c r="T240" s="131" t="s">
        <v>828</v>
      </c>
      <c r="U240" s="89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9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ht="14.4" spans="1:175">
      <c r="A241" s="80"/>
      <c r="B241" s="81" t="s">
        <v>829</v>
      </c>
      <c r="C241" s="128" t="s">
        <v>830</v>
      </c>
      <c r="T241" s="131" t="s">
        <v>831</v>
      </c>
      <c r="U241" s="89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9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ht="14.4" spans="1:175">
      <c r="A242" s="80"/>
      <c r="B242" s="81" t="s">
        <v>832</v>
      </c>
      <c r="C242" s="128" t="s">
        <v>833</v>
      </c>
      <c r="T242" s="131" t="s">
        <v>834</v>
      </c>
      <c r="U242" s="89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9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ht="14.4" spans="1:175">
      <c r="A243" s="80"/>
      <c r="B243" s="81" t="s">
        <v>835</v>
      </c>
      <c r="C243" s="128" t="s">
        <v>836</v>
      </c>
      <c r="T243" s="131" t="s">
        <v>837</v>
      </c>
      <c r="U243" s="89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9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ht="14.4" spans="1:175">
      <c r="A244" s="80"/>
      <c r="B244" s="81" t="s">
        <v>838</v>
      </c>
      <c r="C244" s="128" t="s">
        <v>839</v>
      </c>
      <c r="T244" s="131" t="s">
        <v>840</v>
      </c>
      <c r="U244" s="89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9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ht="14.4" spans="1:175">
      <c r="A245" s="80"/>
      <c r="B245" s="81" t="s">
        <v>841</v>
      </c>
      <c r="C245" s="128" t="s">
        <v>842</v>
      </c>
      <c r="T245" s="128" t="s">
        <v>843</v>
      </c>
      <c r="U245" s="89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9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ht="14.4" spans="1:175">
      <c r="A246" s="80"/>
      <c r="B246" s="81" t="s">
        <v>844</v>
      </c>
      <c r="C246" s="128" t="s">
        <v>845</v>
      </c>
      <c r="T246" s="131" t="s">
        <v>846</v>
      </c>
      <c r="U246" s="89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9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ht="14.4" spans="1:175">
      <c r="A247" s="80"/>
      <c r="B247" s="81" t="s">
        <v>847</v>
      </c>
      <c r="C247" s="128" t="s">
        <v>848</v>
      </c>
      <c r="T247" s="132"/>
      <c r="U247" s="89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9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ht="14.4" spans="1:175">
      <c r="A248" s="80"/>
      <c r="B248" s="129" t="s">
        <v>849</v>
      </c>
      <c r="C248" s="128" t="str">
        <f>"已领取"&amp;C238</f>
        <v>已领取星耀福利</v>
      </c>
      <c r="T248" s="131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80" t="s">
        <v>850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9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ht="14.4" spans="1:175">
      <c r="A249" s="80"/>
      <c r="B249" s="129" t="s">
        <v>851</v>
      </c>
      <c r="C249" s="128" t="str">
        <f>"已领取"&amp;C239</f>
        <v>已领取公众号礼包</v>
      </c>
      <c r="T249" s="131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80" t="s">
        <v>850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9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ht="14.4" spans="1:175">
      <c r="A250" s="80"/>
      <c r="B250" s="129" t="s">
        <v>852</v>
      </c>
      <c r="C250" s="128" t="str">
        <f t="shared" ref="C250:C257" si="3984">"已领取"&amp;C240</f>
        <v>已领取入群礼包</v>
      </c>
      <c r="T250" s="131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80" t="s">
        <v>850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9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ht="14.4" spans="1:175">
      <c r="A251" s="80"/>
      <c r="B251" s="129" t="s">
        <v>853</v>
      </c>
      <c r="C251" s="128" t="str">
        <f t="shared" si="3984"/>
        <v>已领取拜年礼包</v>
      </c>
      <c r="T251" s="131" t="str">
        <f t="shared" si="3985"/>
        <v>|cff99ccff给与地图有效评论建议|r即可领取：|n每秒生命+100，每秒业力+2|n|n|r|cff808080地图等级达到3级可领取|r|N|N|cff00ff00已领取该礼包</v>
      </c>
      <c r="U251" s="80" t="s">
        <v>850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9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ht="14.4" spans="1:175">
      <c r="A252" s="80"/>
      <c r="B252" s="129" t="s">
        <v>854</v>
      </c>
      <c r="C252" s="128" t="str">
        <f t="shared" si="3984"/>
        <v>已领取收藏礼包</v>
      </c>
      <c r="T252" s="131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80" t="s">
        <v>850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9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ht="14.4" spans="1:175">
      <c r="A253" s="80"/>
      <c r="B253" s="129" t="s">
        <v>855</v>
      </c>
      <c r="C253" s="128" t="str">
        <f t="shared" si="3984"/>
        <v>已领取重置版礼包</v>
      </c>
      <c r="T253" s="131" t="str">
        <f t="shared" si="3985"/>
        <v>|cff33ff00购买魔兽重制版可领取该礼包！|n|n|r奖励：|n招魂幡Lv3|N|N|cff00ff00已领取该礼包</v>
      </c>
      <c r="U253" s="80" t="s">
        <v>850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9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ht="14.4" spans="1:175">
      <c r="A254" s="80"/>
      <c r="B254" s="129" t="s">
        <v>856</v>
      </c>
      <c r="C254" s="128" t="str">
        <f t="shared" si="3984"/>
        <v>已领取公会福利</v>
      </c>
      <c r="T254" s="131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80" t="s">
        <v>850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9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ht="14.4" spans="1:175">
      <c r="A255" s="80"/>
      <c r="B255" s="129" t="s">
        <v>857</v>
      </c>
      <c r="C255" s="128" t="str">
        <f t="shared" si="3984"/>
        <v>已领取星耀礼包</v>
      </c>
      <c r="T255" s="131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80" t="s">
        <v>850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9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ht="14.4" spans="1:175">
      <c r="A256" s="80"/>
      <c r="B256" s="129" t="s">
        <v>858</v>
      </c>
      <c r="C256" s="128" t="str">
        <f t="shared" si="3984"/>
        <v>已领取魔芝RPG礼包</v>
      </c>
      <c r="T256" s="131" t="str">
        <f t="shared" si="3985"/>
        <v>|cff99ccff游戏中输入《|r|cff33ff00魔芝RPG|r|cff99ccff》领取本礼包！|r|n|n|r奖励：|n|cffffcc00练功房怪物数量+1|r|N|N|cff00ff00已领取该礼包</v>
      </c>
      <c r="U256" s="80" t="s">
        <v>850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9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ht="14.4" spans="1:175">
      <c r="A257" s="80"/>
      <c r="B257" s="129" t="s">
        <v>859</v>
      </c>
      <c r="C257" s="128" t="str">
        <f t="shared" si="3984"/>
        <v>已领取老铁礼包</v>
      </c>
      <c r="T257" s="131" t="str">
        <f t="shared" si="3985"/>
        <v>|N|N|cff00ff00已领取该礼包</v>
      </c>
      <c r="U257" s="80" t="s">
        <v>850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9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ht="15.6" spans="1:175">
      <c r="A258" s="73"/>
      <c r="B258" s="133" t="s">
        <v>860</v>
      </c>
      <c r="C258" s="133" t="s">
        <v>861</v>
      </c>
      <c r="E258" s="104"/>
      <c r="F258" s="103"/>
      <c r="S258" s="112"/>
      <c r="T258" s="133" t="s">
        <v>861</v>
      </c>
      <c r="U258" s="89" t="s">
        <v>862</v>
      </c>
      <c r="V258" s="80"/>
      <c r="Z258" s="80"/>
      <c r="AG258" s="115"/>
      <c r="AL258" s="115"/>
      <c r="BC258" s="116"/>
      <c r="BD258" s="116"/>
      <c r="CU258" s="99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ht="15.6" spans="1:175">
      <c r="A259" s="73"/>
      <c r="B259" s="133" t="s">
        <v>863</v>
      </c>
      <c r="C259" s="133" t="s">
        <v>864</v>
      </c>
      <c r="E259" s="104"/>
      <c r="F259" s="103"/>
      <c r="S259" s="112"/>
      <c r="T259" s="70" t="s">
        <v>865</v>
      </c>
      <c r="U259" s="89" t="str">
        <f t="shared" ref="U259:U263" si="4066">"ReplaceableTextures\\CommandButtons\\BTNR"&amp;RIGHT(B259,3)&amp;".blp"</f>
        <v>ReplaceableTextures\\CommandButtons\\BTNRY1C.blp</v>
      </c>
      <c r="V259" s="80"/>
      <c r="Z259" s="80"/>
      <c r="AG259" s="115"/>
      <c r="AL259" s="115"/>
      <c r="BC259" s="116"/>
      <c r="BD259" s="116"/>
      <c r="CU259" s="99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ht="17.4" spans="1:175">
      <c r="A260" s="73"/>
      <c r="B260" s="134" t="s">
        <v>866</v>
      </c>
      <c r="C260" s="135" t="s">
        <v>867</v>
      </c>
      <c r="E260" s="104"/>
      <c r="F260" s="103"/>
      <c r="S260" s="112"/>
      <c r="T260" s="70" t="s">
        <v>865</v>
      </c>
      <c r="U260" s="89" t="str">
        <f t="shared" si="4066"/>
        <v>ReplaceableTextures\\CommandButtons\\BTNRY2C.blp</v>
      </c>
      <c r="V260" s="80"/>
      <c r="Z260" s="80"/>
      <c r="AG260" s="115"/>
      <c r="AL260" s="115"/>
      <c r="BC260" s="116"/>
      <c r="BD260" s="116"/>
      <c r="CU260" s="99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ht="15" spans="1:175">
      <c r="A261" s="73"/>
      <c r="B261" s="134" t="s">
        <v>868</v>
      </c>
      <c r="C261" s="134" t="s">
        <v>869</v>
      </c>
      <c r="E261" s="104"/>
      <c r="F261" s="103"/>
      <c r="S261" s="112"/>
      <c r="T261" s="70" t="s">
        <v>865</v>
      </c>
      <c r="U261" s="89" t="str">
        <f t="shared" si="4066"/>
        <v>ReplaceableTextures\\CommandButtons\\BTNRY3C.blp</v>
      </c>
      <c r="V261" s="80"/>
      <c r="Z261" s="80"/>
      <c r="AG261" s="115"/>
      <c r="AL261" s="115"/>
      <c r="BC261" s="116"/>
      <c r="BD261" s="116"/>
      <c r="CU261" s="99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ht="15" spans="1:175">
      <c r="A262" s="73"/>
      <c r="B262" s="134" t="s">
        <v>870</v>
      </c>
      <c r="C262" s="134" t="s">
        <v>871</v>
      </c>
      <c r="E262" s="104"/>
      <c r="F262" s="103"/>
      <c r="S262" s="112"/>
      <c r="T262" s="70" t="s">
        <v>865</v>
      </c>
      <c r="U262" s="89" t="str">
        <f t="shared" si="4066"/>
        <v>ReplaceableTextures\\CommandButtons\\BTNRY4C.blp</v>
      </c>
      <c r="V262" s="80"/>
      <c r="Z262" s="80"/>
      <c r="AG262" s="115"/>
      <c r="AL262" s="115"/>
      <c r="BC262" s="116"/>
      <c r="BD262" s="116"/>
      <c r="CU262" s="99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ht="15" spans="1:175">
      <c r="A263" s="73"/>
      <c r="B263" s="134" t="s">
        <v>872</v>
      </c>
      <c r="C263" s="136" t="s">
        <v>873</v>
      </c>
      <c r="E263" s="104"/>
      <c r="F263" s="103"/>
      <c r="S263" s="112"/>
      <c r="T263" s="70" t="s">
        <v>865</v>
      </c>
      <c r="U263" s="89" t="str">
        <f t="shared" si="4066"/>
        <v>ReplaceableTextures\\CommandButtons\\BTNRY2E.blp</v>
      </c>
      <c r="V263" s="80"/>
      <c r="Z263" s="80"/>
      <c r="AG263" s="115"/>
      <c r="AL263" s="115"/>
      <c r="BC263" s="116"/>
      <c r="BD263" s="116"/>
      <c r="CU263" s="99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ht="15" spans="1:175">
      <c r="A264" s="73"/>
      <c r="B264" s="134" t="s">
        <v>874</v>
      </c>
      <c r="C264" s="136" t="s">
        <v>875</v>
      </c>
      <c r="E264" s="104"/>
      <c r="F264" s="103"/>
      <c r="S264" s="112"/>
      <c r="T264" s="70" t="s">
        <v>865</v>
      </c>
      <c r="U264" s="89" t="str">
        <f t="shared" ref="U264" si="4281">"ReplaceableTextures\\CommandButtons\\BTNR"&amp;RIGHT(B264,3)&amp;".blp"</f>
        <v>ReplaceableTextures\\CommandButtons\\BTNRY2F.blp</v>
      </c>
      <c r="V264" s="80"/>
      <c r="Z264" s="80"/>
      <c r="AG264" s="115"/>
      <c r="AL264" s="115"/>
      <c r="BC264" s="116"/>
      <c r="BD264" s="116"/>
      <c r="CU264" s="99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ht="15" spans="1:175">
      <c r="A265" s="73"/>
      <c r="B265" s="9" t="s">
        <v>876</v>
      </c>
      <c r="C265" s="9" t="s">
        <v>877</v>
      </c>
      <c r="E265" s="104"/>
      <c r="F265" s="103"/>
      <c r="S265" s="112"/>
      <c r="T265" s="70" t="s">
        <v>865</v>
      </c>
      <c r="U265" s="89" t="str">
        <f t="shared" ref="U265" si="4283">"ReplaceableTextures\\CommandButtons\\BTNR"&amp;RIGHT(B265,3)&amp;".blp"</f>
        <v>ReplaceableTextures\\CommandButtons\\BTNRY4O.blp</v>
      </c>
      <c r="V265" s="80"/>
      <c r="Z265" s="80"/>
      <c r="AG265" s="115"/>
      <c r="AL265" s="115"/>
      <c r="BC265" s="116"/>
      <c r="BD265" s="116"/>
      <c r="CU265" s="99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ht="15" spans="1:175">
      <c r="A266" s="137"/>
      <c r="B266" s="81" t="s">
        <v>878</v>
      </c>
      <c r="C266" s="70" t="s">
        <v>879</v>
      </c>
      <c r="T266" s="148"/>
      <c r="U266" s="89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9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ht="15" spans="1:175">
      <c r="A267" s="137"/>
      <c r="B267" s="81" t="s">
        <v>880</v>
      </c>
      <c r="C267" s="70" t="s">
        <v>879</v>
      </c>
      <c r="T267" s="148"/>
      <c r="U267" s="89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9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ht="15" spans="1:175">
      <c r="A268" s="138"/>
      <c r="B268" s="81" t="s">
        <v>881</v>
      </c>
      <c r="C268" s="70" t="s">
        <v>879</v>
      </c>
      <c r="T268" s="149"/>
      <c r="U268" s="89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9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ht="15" spans="1:175">
      <c r="A269" s="138"/>
      <c r="B269" s="81" t="s">
        <v>882</v>
      </c>
      <c r="C269" s="70" t="s">
        <v>879</v>
      </c>
      <c r="T269" s="149"/>
      <c r="U269" s="89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9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ht="15" spans="1:175">
      <c r="A270" s="138"/>
      <c r="B270" s="81" t="s">
        <v>883</v>
      </c>
      <c r="C270" s="70" t="s">
        <v>879</v>
      </c>
      <c r="T270" s="149"/>
      <c r="U270" s="89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9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ht="15" spans="1:175">
      <c r="A271" s="138"/>
      <c r="B271" s="81" t="s">
        <v>884</v>
      </c>
      <c r="C271" s="70" t="s">
        <v>879</v>
      </c>
      <c r="T271" s="149"/>
      <c r="U271" s="89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9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ht="15" spans="1:175">
      <c r="A272" s="138"/>
      <c r="B272" s="81" t="s">
        <v>885</v>
      </c>
      <c r="C272" s="70" t="s">
        <v>879</v>
      </c>
      <c r="T272" s="149"/>
      <c r="U272" s="89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9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ht="15" spans="1:175">
      <c r="A273" s="138"/>
      <c r="B273" s="81" t="s">
        <v>886</v>
      </c>
      <c r="C273" s="70" t="s">
        <v>879</v>
      </c>
      <c r="T273" s="149"/>
      <c r="U273" s="89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9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ht="15" spans="1:175">
      <c r="A274" s="138"/>
      <c r="B274" s="81" t="s">
        <v>887</v>
      </c>
      <c r="C274" s="70" t="s">
        <v>879</v>
      </c>
      <c r="T274" s="149"/>
      <c r="U274" s="89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9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ht="15" spans="1:175">
      <c r="A275" s="138"/>
      <c r="B275" s="81" t="s">
        <v>888</v>
      </c>
      <c r="C275" s="70" t="s">
        <v>879</v>
      </c>
      <c r="T275" s="149"/>
      <c r="U275" s="89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9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ht="15" spans="1:175">
      <c r="A276" s="138"/>
      <c r="B276" s="81" t="s">
        <v>889</v>
      </c>
      <c r="C276" s="70" t="s">
        <v>879</v>
      </c>
      <c r="T276" s="149"/>
      <c r="U276" s="89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9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ht="15" spans="1:175">
      <c r="A277" s="137"/>
      <c r="B277" s="81" t="s">
        <v>890</v>
      </c>
      <c r="C277" s="70" t="s">
        <v>879</v>
      </c>
      <c r="T277" s="150"/>
      <c r="U277" s="89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9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ht="15" spans="1:175">
      <c r="A278" s="137"/>
      <c r="B278" s="81" t="s">
        <v>891</v>
      </c>
      <c r="C278" s="70" t="s">
        <v>879</v>
      </c>
      <c r="T278" s="150"/>
      <c r="U278" s="89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9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ht="15" spans="1:175">
      <c r="A279" s="137"/>
      <c r="B279" s="81" t="s">
        <v>892</v>
      </c>
      <c r="C279" s="70" t="s">
        <v>879</v>
      </c>
      <c r="T279" s="150"/>
      <c r="U279" s="89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9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ht="15" spans="1:175">
      <c r="A280" s="137"/>
      <c r="B280" s="81" t="s">
        <v>893</v>
      </c>
      <c r="C280" s="70" t="s">
        <v>879</v>
      </c>
      <c r="T280" s="150"/>
      <c r="U280" s="89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9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ht="15" spans="1:175">
      <c r="A281" s="137"/>
      <c r="B281" s="81" t="s">
        <v>894</v>
      </c>
      <c r="C281" s="70" t="s">
        <v>879</v>
      </c>
      <c r="T281" s="150"/>
      <c r="U281" s="89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9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ht="15" spans="1:175">
      <c r="A282" s="137"/>
      <c r="B282" s="81" t="s">
        <v>895</v>
      </c>
      <c r="C282" s="70" t="s">
        <v>879</v>
      </c>
      <c r="T282" s="150"/>
      <c r="U282" s="89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9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ht="15" spans="1:175">
      <c r="A283" s="137"/>
      <c r="B283" s="81" t="s">
        <v>896</v>
      </c>
      <c r="C283" s="70" t="s">
        <v>879</v>
      </c>
      <c r="T283" s="151"/>
      <c r="U283" s="89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9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ht="15" spans="1:175">
      <c r="A284" s="137"/>
      <c r="B284" s="81" t="s">
        <v>897</v>
      </c>
      <c r="C284" s="70" t="s">
        <v>879</v>
      </c>
      <c r="T284" s="151"/>
      <c r="U284" s="89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9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ht="15" spans="1:175">
      <c r="A285" s="137"/>
      <c r="B285" s="81" t="s">
        <v>898</v>
      </c>
      <c r="C285" s="70" t="s">
        <v>879</v>
      </c>
      <c r="T285" s="151"/>
      <c r="U285" s="89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9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1"/>
      <c r="B286" s="81" t="s">
        <v>899</v>
      </c>
      <c r="C286" s="70" t="s">
        <v>879</v>
      </c>
      <c r="T286" s="152"/>
      <c r="U286" s="89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9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1"/>
      <c r="B287" s="81" t="s">
        <v>900</v>
      </c>
      <c r="C287" s="70" t="s">
        <v>879</v>
      </c>
      <c r="T287" s="152"/>
      <c r="U287" s="89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9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1"/>
      <c r="B288" s="81" t="s">
        <v>901</v>
      </c>
      <c r="C288" s="70" t="s">
        <v>879</v>
      </c>
      <c r="T288" s="152"/>
      <c r="U288" s="89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9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1"/>
      <c r="B289" s="81" t="s">
        <v>902</v>
      </c>
      <c r="C289" s="70" t="s">
        <v>879</v>
      </c>
      <c r="T289" s="152"/>
      <c r="U289" s="89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9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1"/>
      <c r="B290" s="81" t="s">
        <v>903</v>
      </c>
      <c r="C290" s="70" t="s">
        <v>879</v>
      </c>
      <c r="T290" s="152"/>
      <c r="U290" s="89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9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1"/>
      <c r="B291" s="81" t="s">
        <v>904</v>
      </c>
      <c r="C291" s="70" t="s">
        <v>879</v>
      </c>
      <c r="T291" s="152"/>
      <c r="U291" s="89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9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1"/>
      <c r="B292" s="81" t="s">
        <v>905</v>
      </c>
      <c r="C292" s="70" t="s">
        <v>879</v>
      </c>
      <c r="T292" s="152"/>
      <c r="U292" s="89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9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1"/>
      <c r="B293" s="81" t="s">
        <v>906</v>
      </c>
      <c r="C293" s="70" t="s">
        <v>879</v>
      </c>
      <c r="T293" s="152"/>
      <c r="U293" s="89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9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1"/>
      <c r="B294" s="81" t="s">
        <v>907</v>
      </c>
      <c r="C294" s="70" t="s">
        <v>879</v>
      </c>
      <c r="T294" s="152"/>
      <c r="U294" s="89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9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1"/>
      <c r="B295" s="81" t="s">
        <v>908</v>
      </c>
      <c r="C295" s="70" t="s">
        <v>879</v>
      </c>
      <c r="T295" s="152"/>
      <c r="U295" s="89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9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1"/>
      <c r="B296" s="81" t="s">
        <v>909</v>
      </c>
      <c r="C296" s="70" t="s">
        <v>879</v>
      </c>
      <c r="T296" s="152"/>
      <c r="U296" s="89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9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1"/>
      <c r="B297" s="81" t="s">
        <v>910</v>
      </c>
      <c r="C297" s="70" t="s">
        <v>879</v>
      </c>
      <c r="T297" s="152"/>
      <c r="U297" s="89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9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ht="15" spans="1:175">
      <c r="A298" s="137"/>
      <c r="B298" s="105" t="s">
        <v>911</v>
      </c>
      <c r="C298" s="105" t="s">
        <v>912</v>
      </c>
      <c r="T298" s="148"/>
      <c r="U298" s="89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9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ht="15" spans="1:175">
      <c r="A299" s="137"/>
      <c r="B299" s="105" t="s">
        <v>913</v>
      </c>
      <c r="C299" s="105" t="s">
        <v>914</v>
      </c>
      <c r="T299" s="148"/>
      <c r="U299" s="89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9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ht="15" spans="1:175">
      <c r="A300" s="81"/>
      <c r="B300" s="105" t="s">
        <v>915</v>
      </c>
      <c r="C300" s="105" t="s">
        <v>127</v>
      </c>
      <c r="T300" s="152"/>
      <c r="U300" s="89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9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="60" customFormat="1" ht="15" spans="1:175">
      <c r="A301" s="139"/>
      <c r="B301" s="105" t="s">
        <v>916</v>
      </c>
      <c r="C301" s="105" t="s">
        <v>917</v>
      </c>
      <c r="D301" s="75"/>
      <c r="E301" s="76"/>
      <c r="F301" s="140"/>
      <c r="G301" s="141"/>
      <c r="H301" s="141"/>
      <c r="I301" s="141"/>
      <c r="J301" s="141"/>
      <c r="K301" s="141"/>
      <c r="L301" s="141"/>
      <c r="M301" s="141"/>
      <c r="N301" s="141"/>
      <c r="O301" s="141"/>
      <c r="P301" s="84"/>
      <c r="Q301" s="84"/>
      <c r="R301" s="84"/>
      <c r="S301" s="84"/>
      <c r="T301" s="109"/>
      <c r="U301" s="89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5"/>
      <c r="AS301" s="95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94"/>
      <c r="BY301" s="94"/>
      <c r="BZ301" s="94"/>
      <c r="CA301" s="94"/>
      <c r="CB301" s="94"/>
      <c r="CC301" s="94"/>
      <c r="CD301" s="94"/>
      <c r="CE301" s="94"/>
      <c r="CF301" s="94"/>
      <c r="CG301" s="94"/>
      <c r="CH301" s="94"/>
      <c r="CI301" s="94"/>
      <c r="CJ301" s="94"/>
      <c r="CK301" s="94"/>
      <c r="CL301" s="94"/>
      <c r="CM301" s="94"/>
      <c r="CN301" s="97" t="str">
        <f t="shared" si="4660"/>
        <v>InitUnitState('IC03',,,,,,,,,,)</v>
      </c>
      <c r="CO301" s="97" t="str">
        <f t="shared" si="4661"/>
        <v>InitUnitNormal('IC03',,,,,,,,,,)</v>
      </c>
      <c r="CP301" s="97" t="str">
        <f t="shared" si="4662"/>
        <v>InitUnitMagic('IC03',,,,,,,,,,)</v>
      </c>
      <c r="CQ301" s="97" t="str">
        <f t="shared" si="4663"/>
        <v>InitUnitAdd('IC03',,,,,,,,,,)</v>
      </c>
      <c r="CR301" s="97" t="str">
        <f t="shared" si="4360"/>
        <v>InitEquipData('IC03',,"",,,,,'','','','','','',"")</v>
      </c>
      <c r="CS301" s="97"/>
      <c r="CT301" s="97"/>
      <c r="CU301" s="99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="60" customFormat="1" ht="15" spans="1:175">
      <c r="A302" s="139"/>
      <c r="B302" s="105" t="s">
        <v>918</v>
      </c>
      <c r="C302" s="105" t="s">
        <v>919</v>
      </c>
      <c r="D302" s="75"/>
      <c r="E302" s="76"/>
      <c r="F302" s="140"/>
      <c r="G302" s="141"/>
      <c r="H302" s="141"/>
      <c r="I302" s="141"/>
      <c r="J302" s="141"/>
      <c r="K302" s="141"/>
      <c r="L302" s="141"/>
      <c r="M302" s="141"/>
      <c r="N302" s="141"/>
      <c r="O302" s="141"/>
      <c r="P302" s="84"/>
      <c r="Q302" s="84"/>
      <c r="R302" s="84"/>
      <c r="S302" s="84"/>
      <c r="T302" s="109"/>
      <c r="U302" s="89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5"/>
      <c r="AS302" s="95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4"/>
      <c r="CL302" s="94"/>
      <c r="CM302" s="94"/>
      <c r="CN302" s="97" t="str">
        <f t="shared" si="4660"/>
        <v>InitUnitState('IC04',,,,,,,,,,)</v>
      </c>
      <c r="CO302" s="97" t="str">
        <f t="shared" si="4661"/>
        <v>InitUnitNormal('IC04',,,,,,,,,,)</v>
      </c>
      <c r="CP302" s="97" t="str">
        <f t="shared" si="4662"/>
        <v>InitUnitMagic('IC04',,,,,,,,,,)</v>
      </c>
      <c r="CQ302" s="97" t="str">
        <f t="shared" si="4663"/>
        <v>InitUnitAdd('IC04',,,,,,,,,,)</v>
      </c>
      <c r="CR302" s="97" t="str">
        <f t="shared" si="4360"/>
        <v>InitEquipData('IC04',,"",,,,,'','','','','','',"")</v>
      </c>
      <c r="CS302" s="97"/>
      <c r="CT302" s="97"/>
      <c r="CU302" s="99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="60" customFormat="1" ht="15" spans="1:175">
      <c r="A303" s="139"/>
      <c r="B303" s="105" t="s">
        <v>920</v>
      </c>
      <c r="C303" s="105" t="s">
        <v>921</v>
      </c>
      <c r="D303" s="75"/>
      <c r="E303" s="76"/>
      <c r="F303" s="140"/>
      <c r="G303" s="141"/>
      <c r="H303" s="141"/>
      <c r="I303" s="141"/>
      <c r="J303" s="141"/>
      <c r="K303" s="141"/>
      <c r="L303" s="141"/>
      <c r="M303" s="141"/>
      <c r="N303" s="141"/>
      <c r="O303" s="141"/>
      <c r="P303" s="84"/>
      <c r="Q303" s="84"/>
      <c r="R303" s="84"/>
      <c r="S303" s="84"/>
      <c r="T303" s="109"/>
      <c r="U303" s="89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5"/>
      <c r="AS303" s="95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4"/>
      <c r="CL303" s="94"/>
      <c r="CM303" s="94"/>
      <c r="CN303" s="97" t="str">
        <f t="shared" si="4660"/>
        <v>InitUnitState('IC05',,,,,,,,,,)</v>
      </c>
      <c r="CO303" s="97" t="str">
        <f t="shared" si="4661"/>
        <v>InitUnitNormal('IC05',,,,,,,,,,)</v>
      </c>
      <c r="CP303" s="97" t="str">
        <f t="shared" si="4662"/>
        <v>InitUnitMagic('IC05',,,,,,,,,,)</v>
      </c>
      <c r="CQ303" s="97" t="str">
        <f t="shared" si="4663"/>
        <v>InitUnitAdd('IC05',,,,,,,,,,)</v>
      </c>
      <c r="CR303" s="97" t="str">
        <f t="shared" si="4360"/>
        <v>InitEquipData('IC05',,"",,,,,'','','','','','',"")</v>
      </c>
      <c r="CS303" s="97"/>
      <c r="CT303" s="97"/>
      <c r="CU303" s="99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="60" customFormat="1" ht="15" spans="1:175">
      <c r="A304" s="139"/>
      <c r="B304" s="105" t="s">
        <v>922</v>
      </c>
      <c r="C304" s="105" t="s">
        <v>923</v>
      </c>
      <c r="D304" s="75"/>
      <c r="E304" s="76"/>
      <c r="F304" s="140"/>
      <c r="G304" s="141"/>
      <c r="H304" s="141"/>
      <c r="I304" s="141"/>
      <c r="J304" s="141"/>
      <c r="K304" s="141"/>
      <c r="L304" s="141"/>
      <c r="M304" s="141"/>
      <c r="N304" s="141"/>
      <c r="O304" s="141"/>
      <c r="P304" s="84"/>
      <c r="Q304" s="84"/>
      <c r="R304" s="84"/>
      <c r="S304" s="84"/>
      <c r="T304" s="109"/>
      <c r="U304" s="89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5"/>
      <c r="AS304" s="95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4"/>
      <c r="CL304" s="94"/>
      <c r="CM304" s="94"/>
      <c r="CN304" s="97" t="str">
        <f t="shared" si="4660"/>
        <v>InitUnitState('IC06',,,,,,,,,,)</v>
      </c>
      <c r="CO304" s="97" t="str">
        <f t="shared" si="4661"/>
        <v>InitUnitNormal('IC06',,,,,,,,,,)</v>
      </c>
      <c r="CP304" s="97" t="str">
        <f t="shared" si="4662"/>
        <v>InitUnitMagic('IC06',,,,,,,,,,)</v>
      </c>
      <c r="CQ304" s="97" t="str">
        <f t="shared" si="4663"/>
        <v>InitUnitAdd('IC06',,,,,,,,,,)</v>
      </c>
      <c r="CR304" s="97" t="str">
        <f t="shared" si="4360"/>
        <v>InitEquipData('IC06',,"",,,,,'','','','','','',"")</v>
      </c>
      <c r="CS304" s="97"/>
      <c r="CT304" s="97"/>
      <c r="CU304" s="99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="60" customFormat="1" ht="15" spans="1:175">
      <c r="A305" s="139"/>
      <c r="B305" s="105" t="s">
        <v>924</v>
      </c>
      <c r="C305" s="105" t="s">
        <v>925</v>
      </c>
      <c r="D305" s="75"/>
      <c r="E305" s="76"/>
      <c r="F305" s="140"/>
      <c r="G305" s="141"/>
      <c r="H305" s="141"/>
      <c r="I305" s="141"/>
      <c r="J305" s="141"/>
      <c r="K305" s="141"/>
      <c r="L305" s="141"/>
      <c r="M305" s="141"/>
      <c r="N305" s="141"/>
      <c r="O305" s="141"/>
      <c r="P305" s="84"/>
      <c r="Q305" s="84"/>
      <c r="R305" s="84"/>
      <c r="S305" s="84"/>
      <c r="T305" s="109"/>
      <c r="U305" s="89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5"/>
      <c r="AS305" s="95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4"/>
      <c r="CL305" s="94"/>
      <c r="CM305" s="94"/>
      <c r="CN305" s="97" t="str">
        <f t="shared" si="4660"/>
        <v>InitUnitState('IC07',,,,,,,,,,)</v>
      </c>
      <c r="CO305" s="97" t="str">
        <f t="shared" si="4661"/>
        <v>InitUnitNormal('IC07',,,,,,,,,,)</v>
      </c>
      <c r="CP305" s="97" t="str">
        <f t="shared" si="4662"/>
        <v>InitUnitMagic('IC07',,,,,,,,,,)</v>
      </c>
      <c r="CQ305" s="97" t="str">
        <f t="shared" si="4663"/>
        <v>InitUnitAdd('IC07',,,,,,,,,,)</v>
      </c>
      <c r="CR305" s="97" t="str">
        <f t="shared" si="4360"/>
        <v>InitEquipData('IC07',,"",,,,,'','','','','','',"")</v>
      </c>
      <c r="CS305" s="97"/>
      <c r="CT305" s="97"/>
      <c r="CU305" s="99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="60" customFormat="1" ht="15" spans="1:175">
      <c r="A306" s="139"/>
      <c r="B306" s="105" t="s">
        <v>926</v>
      </c>
      <c r="C306" s="105" t="s">
        <v>927</v>
      </c>
      <c r="D306" s="75"/>
      <c r="E306" s="76"/>
      <c r="F306" s="140"/>
      <c r="G306" s="141"/>
      <c r="H306" s="141"/>
      <c r="I306" s="141"/>
      <c r="J306" s="141"/>
      <c r="K306" s="141"/>
      <c r="L306" s="141"/>
      <c r="M306" s="141"/>
      <c r="N306" s="141"/>
      <c r="O306" s="141"/>
      <c r="P306" s="84"/>
      <c r="Q306" s="84"/>
      <c r="R306" s="84"/>
      <c r="S306" s="84"/>
      <c r="T306" s="109"/>
      <c r="U306" s="89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5"/>
      <c r="AS306" s="95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4"/>
      <c r="CL306" s="94"/>
      <c r="CM306" s="94"/>
      <c r="CN306" s="97" t="str">
        <f t="shared" si="4660"/>
        <v>InitUnitState('IC08',,,,,,,,,,)</v>
      </c>
      <c r="CO306" s="97" t="str">
        <f t="shared" si="4661"/>
        <v>InitUnitNormal('IC08',,,,,,,,,,)</v>
      </c>
      <c r="CP306" s="97" t="str">
        <f t="shared" si="4662"/>
        <v>InitUnitMagic('IC08',,,,,,,,,,)</v>
      </c>
      <c r="CQ306" s="97" t="str">
        <f t="shared" si="4663"/>
        <v>InitUnitAdd('IC08',,,,,,,,,,)</v>
      </c>
      <c r="CR306" s="97" t="str">
        <f t="shared" si="4360"/>
        <v>InitEquipData('IC08',,"",,,,,'','','','','','',"")</v>
      </c>
      <c r="CS306" s="97"/>
      <c r="CT306" s="97"/>
      <c r="CU306" s="99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="60" customFormat="1" ht="15" spans="1:175">
      <c r="A307" s="139"/>
      <c r="B307" s="105" t="s">
        <v>928</v>
      </c>
      <c r="C307" s="105" t="s">
        <v>929</v>
      </c>
      <c r="D307" s="75"/>
      <c r="E307" s="76"/>
      <c r="F307" s="140"/>
      <c r="G307" s="141"/>
      <c r="H307" s="141"/>
      <c r="I307" s="141"/>
      <c r="J307" s="141"/>
      <c r="K307" s="141"/>
      <c r="L307" s="141"/>
      <c r="M307" s="141"/>
      <c r="N307" s="141"/>
      <c r="O307" s="141"/>
      <c r="P307" s="84"/>
      <c r="Q307" s="84"/>
      <c r="R307" s="84"/>
      <c r="S307" s="84"/>
      <c r="T307" s="109"/>
      <c r="U307" s="89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5"/>
      <c r="AS307" s="95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7" t="str">
        <f t="shared" si="4660"/>
        <v>InitUnitState('IC09',,,,,,,,,,)</v>
      </c>
      <c r="CO307" s="97" t="str">
        <f t="shared" si="4661"/>
        <v>InitUnitNormal('IC09',,,,,,,,,,)</v>
      </c>
      <c r="CP307" s="97" t="str">
        <f t="shared" si="4662"/>
        <v>InitUnitMagic('IC09',,,,,,,,,,)</v>
      </c>
      <c r="CQ307" s="97" t="str">
        <f t="shared" si="4663"/>
        <v>InitUnitAdd('IC09',,,,,,,,,,)</v>
      </c>
      <c r="CR307" s="97" t="str">
        <f t="shared" si="4360"/>
        <v>InitEquipData('IC09',,"",,,,,'','','','','','',"")</v>
      </c>
      <c r="CS307" s="97"/>
      <c r="CT307" s="97"/>
      <c r="CU307" s="99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="60" customFormat="1" ht="15" spans="1:175">
      <c r="A308" s="139"/>
      <c r="B308" s="105" t="s">
        <v>930</v>
      </c>
      <c r="C308" s="105" t="s">
        <v>931</v>
      </c>
      <c r="D308" s="75"/>
      <c r="E308" s="76"/>
      <c r="F308" s="140"/>
      <c r="G308" s="141"/>
      <c r="H308" s="141"/>
      <c r="I308" s="141"/>
      <c r="J308" s="141"/>
      <c r="K308" s="141"/>
      <c r="L308" s="141"/>
      <c r="M308" s="141"/>
      <c r="N308" s="141"/>
      <c r="O308" s="141"/>
      <c r="P308" s="84"/>
      <c r="Q308" s="84"/>
      <c r="R308" s="84"/>
      <c r="S308" s="84"/>
      <c r="T308" s="109"/>
      <c r="U308" s="89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5"/>
      <c r="AS308" s="95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4"/>
      <c r="CL308" s="94"/>
      <c r="CM308" s="94"/>
      <c r="CN308" s="97" t="str">
        <f t="shared" si="4660"/>
        <v>InitUnitState('IC10',,,,,,,,,,)</v>
      </c>
      <c r="CO308" s="97" t="str">
        <f t="shared" si="4661"/>
        <v>InitUnitNormal('IC10',,,,,,,,,,)</v>
      </c>
      <c r="CP308" s="97" t="str">
        <f t="shared" si="4662"/>
        <v>InitUnitMagic('IC10',,,,,,,,,,)</v>
      </c>
      <c r="CQ308" s="97" t="str">
        <f t="shared" si="4663"/>
        <v>InitUnitAdd('IC10',,,,,,,,,,)</v>
      </c>
      <c r="CR308" s="97" t="str">
        <f t="shared" si="4360"/>
        <v>InitEquipData('IC10',,"",,,,,'','','','','','',"")</v>
      </c>
      <c r="CS308" s="97"/>
      <c r="CT308" s="97"/>
      <c r="CU308" s="99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ht="15" spans="1:175">
      <c r="A309" s="73"/>
      <c r="B309" s="105" t="s">
        <v>932</v>
      </c>
      <c r="C309" s="105" t="s">
        <v>933</v>
      </c>
      <c r="E309" s="142"/>
      <c r="T309" s="153"/>
      <c r="U309" s="89"/>
      <c r="CU309" s="99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ht="15" spans="1:175">
      <c r="A310" s="137"/>
      <c r="B310" s="81" t="s">
        <v>934</v>
      </c>
      <c r="C310" s="143" t="s">
        <v>935</v>
      </c>
      <c r="T310" s="154" t="s">
        <v>936</v>
      </c>
      <c r="U310" s="89" t="s">
        <v>937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9" t="str">
        <f t="shared" si="4432"/>
        <v>|n</v>
      </c>
      <c r="CV310" s="70" t="str">
        <f t="shared" ref="CV310:CV373" si="4669">T310</f>
        <v>致命倍率|Cffffc926+10%|n|n|r|Cffff00bf【白虎】|r+|Cffff00bf【白虎】|r=|Cffffc926【神威虎爪】|n|n|r|Cff00ff7f点击穿戴或脱卸。|r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ht="15" spans="1:175">
      <c r="A311" s="137"/>
      <c r="B311" s="81" t="s">
        <v>938</v>
      </c>
      <c r="C311" s="144" t="s">
        <v>939</v>
      </c>
      <c r="T311" s="155" t="s">
        <v>940</v>
      </c>
      <c r="U311" s="89" t="s">
        <v>941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9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ht="15" spans="1:175">
      <c r="A312" s="138"/>
      <c r="B312" s="81" t="s">
        <v>942</v>
      </c>
      <c r="C312" s="144" t="s">
        <v>943</v>
      </c>
      <c r="T312" s="155" t="s">
        <v>944</v>
      </c>
      <c r="U312" s="89" t="s">
        <v>945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9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ht="15" spans="1:175">
      <c r="A313" s="138"/>
      <c r="B313" s="81" t="s">
        <v>946</v>
      </c>
      <c r="C313" s="144" t="s">
        <v>947</v>
      </c>
      <c r="T313" s="155" t="s">
        <v>948</v>
      </c>
      <c r="U313" s="89" t="s">
        <v>949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9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ht="15" spans="1:175">
      <c r="A314" s="138"/>
      <c r="B314" s="81" t="s">
        <v>950</v>
      </c>
      <c r="C314" s="144" t="s">
        <v>951</v>
      </c>
      <c r="T314" s="155" t="s">
        <v>952</v>
      </c>
      <c r="U314" s="89" t="s">
        <v>953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9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ht="15" spans="1:175">
      <c r="A315" s="138"/>
      <c r="B315" s="81" t="s">
        <v>954</v>
      </c>
      <c r="C315" s="144" t="s">
        <v>955</v>
      </c>
      <c r="T315" s="155" t="s">
        <v>956</v>
      </c>
      <c r="U315" s="89" t="s">
        <v>957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9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ht="15" spans="1:175">
      <c r="A316" s="138"/>
      <c r="B316" s="81" t="s">
        <v>958</v>
      </c>
      <c r="C316" s="144" t="s">
        <v>959</v>
      </c>
      <c r="T316" s="155" t="s">
        <v>960</v>
      </c>
      <c r="U316" s="89" t="s">
        <v>961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9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ht="15" spans="1:175">
      <c r="A317" s="138"/>
      <c r="B317" s="81" t="s">
        <v>962</v>
      </c>
      <c r="C317" s="144" t="s">
        <v>963</v>
      </c>
      <c r="T317" s="155" t="s">
        <v>964</v>
      </c>
      <c r="U317" s="89" t="s">
        <v>965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9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ht="15" spans="1:175">
      <c r="A318" s="137"/>
      <c r="B318" s="81" t="s">
        <v>966</v>
      </c>
      <c r="C318" s="145" t="s">
        <v>967</v>
      </c>
      <c r="T318" s="154" t="s">
        <v>968</v>
      </c>
      <c r="U318" s="89" t="s">
        <v>969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9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ht="15" spans="1:175">
      <c r="A319" s="137"/>
      <c r="B319" s="81" t="s">
        <v>970</v>
      </c>
      <c r="C319" s="145" t="s">
        <v>967</v>
      </c>
      <c r="K319" s="146"/>
      <c r="T319" s="154" t="s">
        <v>971</v>
      </c>
      <c r="U319" s="89" t="s">
        <v>969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9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ht="15" spans="1:175">
      <c r="A320" s="137"/>
      <c r="B320" s="81" t="s">
        <v>972</v>
      </c>
      <c r="C320" s="145" t="s">
        <v>967</v>
      </c>
      <c r="K320" s="147"/>
      <c r="T320" s="154" t="s">
        <v>973</v>
      </c>
      <c r="U320" s="89" t="s">
        <v>969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9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ht="15" spans="1:175">
      <c r="A321" s="137"/>
      <c r="B321" s="81" t="s">
        <v>974</v>
      </c>
      <c r="C321" s="145" t="s">
        <v>967</v>
      </c>
      <c r="K321" s="147"/>
      <c r="T321" s="154" t="s">
        <v>975</v>
      </c>
      <c r="U321" s="89" t="s">
        <v>969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9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ht="15" spans="1:175">
      <c r="A322" s="137"/>
      <c r="B322" s="81" t="s">
        <v>976</v>
      </c>
      <c r="C322" s="145" t="s">
        <v>967</v>
      </c>
      <c r="K322" s="147"/>
      <c r="T322" s="154" t="s">
        <v>977</v>
      </c>
      <c r="U322" s="89" t="s">
        <v>969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9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ht="15" spans="1:175">
      <c r="A323" s="137"/>
      <c r="B323" s="81" t="s">
        <v>978</v>
      </c>
      <c r="C323" s="145" t="s">
        <v>967</v>
      </c>
      <c r="K323" s="147"/>
      <c r="T323" s="154" t="s">
        <v>979</v>
      </c>
      <c r="U323" s="89" t="s">
        <v>969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9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ht="15" spans="1:175">
      <c r="A324" s="137"/>
      <c r="B324" s="81" t="s">
        <v>980</v>
      </c>
      <c r="C324" s="145" t="s">
        <v>967</v>
      </c>
      <c r="K324" s="147"/>
      <c r="T324" s="154" t="s">
        <v>981</v>
      </c>
      <c r="U324" s="89" t="s">
        <v>969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9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ht="15" spans="1:175">
      <c r="A325" s="137"/>
      <c r="B325" s="81" t="s">
        <v>982</v>
      </c>
      <c r="C325" s="145" t="s">
        <v>967</v>
      </c>
      <c r="K325" s="147"/>
      <c r="T325" s="154" t="s">
        <v>983</v>
      </c>
      <c r="U325" s="89" t="s">
        <v>969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9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ht="15" spans="1:175">
      <c r="A326" s="137"/>
      <c r="B326" s="81" t="s">
        <v>984</v>
      </c>
      <c r="C326" s="145" t="s">
        <v>967</v>
      </c>
      <c r="K326" s="157"/>
      <c r="T326" s="154" t="s">
        <v>985</v>
      </c>
      <c r="U326" s="89" t="s">
        <v>969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9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ht="15" spans="1:175">
      <c r="A327" s="137"/>
      <c r="B327" s="81" t="s">
        <v>986</v>
      </c>
      <c r="C327" s="144" t="s">
        <v>987</v>
      </c>
      <c r="T327" s="155" t="s">
        <v>988</v>
      </c>
      <c r="U327" s="89" t="s">
        <v>989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9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ht="15" spans="1:175">
      <c r="A328" s="137"/>
      <c r="B328" s="81" t="s">
        <v>990</v>
      </c>
      <c r="C328" s="144" t="s">
        <v>987</v>
      </c>
      <c r="K328" s="146"/>
      <c r="T328" s="155" t="s">
        <v>991</v>
      </c>
      <c r="U328" s="89" t="s">
        <v>989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9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ht="15" spans="1:175">
      <c r="A329" s="137"/>
      <c r="B329" s="81" t="s">
        <v>992</v>
      </c>
      <c r="C329" s="144" t="s">
        <v>987</v>
      </c>
      <c r="K329" s="147"/>
      <c r="T329" s="155" t="s">
        <v>993</v>
      </c>
      <c r="U329" s="89" t="s">
        <v>989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9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ht="15" spans="1:175">
      <c r="A330" s="137"/>
      <c r="B330" s="81" t="s">
        <v>994</v>
      </c>
      <c r="C330" s="144" t="s">
        <v>987</v>
      </c>
      <c r="K330" s="147"/>
      <c r="T330" s="155" t="s">
        <v>995</v>
      </c>
      <c r="U330" s="89" t="s">
        <v>989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9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ht="15" spans="1:175">
      <c r="A331" s="137"/>
      <c r="B331" s="81" t="s">
        <v>996</v>
      </c>
      <c r="C331" s="144" t="s">
        <v>987</v>
      </c>
      <c r="K331" s="147"/>
      <c r="T331" s="155" t="s">
        <v>997</v>
      </c>
      <c r="U331" s="89" t="s">
        <v>989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9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ht="15" spans="1:175">
      <c r="A332" s="137"/>
      <c r="B332" s="81" t="s">
        <v>998</v>
      </c>
      <c r="C332" s="144" t="s">
        <v>987</v>
      </c>
      <c r="K332" s="147"/>
      <c r="T332" s="155" t="s">
        <v>999</v>
      </c>
      <c r="U332" s="89" t="s">
        <v>989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9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ht="15" spans="1:175">
      <c r="A333" s="137"/>
      <c r="B333" s="81" t="s">
        <v>1000</v>
      </c>
      <c r="C333" s="144" t="s">
        <v>987</v>
      </c>
      <c r="K333" s="147"/>
      <c r="T333" s="155" t="s">
        <v>1001</v>
      </c>
      <c r="U333" s="89" t="s">
        <v>989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9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ht="15" spans="1:175">
      <c r="A334" s="137"/>
      <c r="B334" s="81" t="s">
        <v>1002</v>
      </c>
      <c r="C334" s="144" t="s">
        <v>987</v>
      </c>
      <c r="K334" s="147"/>
      <c r="T334" s="155" t="s">
        <v>1003</v>
      </c>
      <c r="U334" s="89" t="s">
        <v>989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9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ht="15" spans="1:175">
      <c r="A335" s="137"/>
      <c r="B335" s="81" t="s">
        <v>1004</v>
      </c>
      <c r="C335" s="144" t="s">
        <v>987</v>
      </c>
      <c r="K335" s="157"/>
      <c r="T335" s="155" t="s">
        <v>1005</v>
      </c>
      <c r="U335" s="89" t="s">
        <v>989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9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ht="15" spans="1:175">
      <c r="A336" s="138"/>
      <c r="B336" s="81" t="s">
        <v>1006</v>
      </c>
      <c r="C336" s="144" t="s">
        <v>1007</v>
      </c>
      <c r="T336" s="155" t="s">
        <v>1008</v>
      </c>
      <c r="U336" s="89" t="s">
        <v>1009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9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ht="15" spans="1:175">
      <c r="A337" s="138"/>
      <c r="B337" s="81" t="s">
        <v>1010</v>
      </c>
      <c r="C337" s="144" t="s">
        <v>1007</v>
      </c>
      <c r="K337" s="146"/>
      <c r="T337" s="155" t="s">
        <v>1011</v>
      </c>
      <c r="U337" s="89" t="s">
        <v>1009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9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ht="15" spans="1:175">
      <c r="A338" s="138"/>
      <c r="B338" s="81" t="s">
        <v>1012</v>
      </c>
      <c r="C338" s="144" t="s">
        <v>1007</v>
      </c>
      <c r="K338" s="147"/>
      <c r="T338" s="155" t="s">
        <v>1013</v>
      </c>
      <c r="U338" s="89" t="s">
        <v>1009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9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ht="15" spans="1:175">
      <c r="A339" s="138"/>
      <c r="B339" s="81" t="s">
        <v>1014</v>
      </c>
      <c r="C339" s="144" t="s">
        <v>1007</v>
      </c>
      <c r="K339" s="147"/>
      <c r="T339" s="155" t="s">
        <v>1015</v>
      </c>
      <c r="U339" s="89" t="s">
        <v>1009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9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ht="15" spans="1:175">
      <c r="A340" s="138"/>
      <c r="B340" s="81" t="s">
        <v>1016</v>
      </c>
      <c r="C340" s="144" t="s">
        <v>1007</v>
      </c>
      <c r="K340" s="147"/>
      <c r="T340" s="155" t="s">
        <v>1017</v>
      </c>
      <c r="U340" s="89" t="s">
        <v>1009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9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ht="15" spans="1:175">
      <c r="A341" s="138"/>
      <c r="B341" s="81" t="s">
        <v>1018</v>
      </c>
      <c r="C341" s="144" t="s">
        <v>1007</v>
      </c>
      <c r="K341" s="147"/>
      <c r="T341" s="155" t="s">
        <v>1019</v>
      </c>
      <c r="U341" s="89" t="s">
        <v>1009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9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ht="15" spans="1:175">
      <c r="A342" s="138"/>
      <c r="B342" s="81" t="s">
        <v>1020</v>
      </c>
      <c r="C342" s="144" t="s">
        <v>1007</v>
      </c>
      <c r="K342" s="147"/>
      <c r="T342" s="155" t="s">
        <v>1021</v>
      </c>
      <c r="U342" s="89" t="s">
        <v>1009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9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ht="15" spans="1:175">
      <c r="A343" s="138"/>
      <c r="B343" s="81" t="s">
        <v>1022</v>
      </c>
      <c r="C343" s="144" t="s">
        <v>1007</v>
      </c>
      <c r="K343" s="147"/>
      <c r="T343" s="155" t="s">
        <v>1023</v>
      </c>
      <c r="U343" s="89" t="s">
        <v>1009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9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ht="15" spans="1:175">
      <c r="A344" s="138"/>
      <c r="B344" s="81" t="s">
        <v>1024</v>
      </c>
      <c r="C344" s="144" t="s">
        <v>1007</v>
      </c>
      <c r="K344" s="157"/>
      <c r="T344" s="155" t="s">
        <v>1025</v>
      </c>
      <c r="U344" s="89" t="s">
        <v>1009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9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ht="15" spans="1:175">
      <c r="A345" s="138"/>
      <c r="B345" s="81" t="s">
        <v>1026</v>
      </c>
      <c r="C345" s="144" t="s">
        <v>1027</v>
      </c>
      <c r="T345" s="155" t="s">
        <v>1028</v>
      </c>
      <c r="U345" s="89" t="s">
        <v>1029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9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ht="15" spans="1:175">
      <c r="A346" s="138"/>
      <c r="B346" s="81" t="s">
        <v>1030</v>
      </c>
      <c r="C346" s="144" t="s">
        <v>1027</v>
      </c>
      <c r="K346" s="146"/>
      <c r="T346" s="155" t="s">
        <v>1031</v>
      </c>
      <c r="U346" s="89" t="s">
        <v>1029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9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ht="15" spans="1:175">
      <c r="A347" s="138"/>
      <c r="B347" s="81" t="s">
        <v>1032</v>
      </c>
      <c r="C347" s="144" t="s">
        <v>1027</v>
      </c>
      <c r="K347" s="147"/>
      <c r="T347" s="155" t="s">
        <v>1033</v>
      </c>
      <c r="U347" s="89" t="s">
        <v>1029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9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ht="15" spans="1:175">
      <c r="A348" s="138"/>
      <c r="B348" s="81" t="s">
        <v>1034</v>
      </c>
      <c r="C348" s="144" t="s">
        <v>1027</v>
      </c>
      <c r="K348" s="147"/>
      <c r="T348" s="155" t="s">
        <v>1035</v>
      </c>
      <c r="U348" s="89" t="s">
        <v>1029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9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ht="15" spans="1:175">
      <c r="A349" s="138"/>
      <c r="B349" s="81" t="s">
        <v>1036</v>
      </c>
      <c r="C349" s="144" t="s">
        <v>1027</v>
      </c>
      <c r="K349" s="147"/>
      <c r="T349" s="155" t="s">
        <v>1037</v>
      </c>
      <c r="U349" s="89" t="s">
        <v>1029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9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ht="15" spans="1:175">
      <c r="A350" s="138"/>
      <c r="B350" s="81" t="s">
        <v>1038</v>
      </c>
      <c r="C350" s="144" t="s">
        <v>1027</v>
      </c>
      <c r="K350" s="147"/>
      <c r="T350" s="155" t="s">
        <v>1039</v>
      </c>
      <c r="U350" s="89" t="s">
        <v>1029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9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ht="15" spans="1:175">
      <c r="A351" s="138"/>
      <c r="B351" s="81" t="s">
        <v>1040</v>
      </c>
      <c r="C351" s="144" t="s">
        <v>1027</v>
      </c>
      <c r="K351" s="147"/>
      <c r="T351" s="155" t="s">
        <v>1041</v>
      </c>
      <c r="U351" s="89" t="s">
        <v>1029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9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ht="15" spans="1:175">
      <c r="A352" s="138"/>
      <c r="B352" s="81" t="s">
        <v>1042</v>
      </c>
      <c r="C352" s="144" t="s">
        <v>1027</v>
      </c>
      <c r="K352" s="147"/>
      <c r="T352" s="155" t="s">
        <v>1043</v>
      </c>
      <c r="U352" s="89" t="s">
        <v>1029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9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ht="15" spans="1:175">
      <c r="A353" s="138"/>
      <c r="B353" s="81" t="s">
        <v>1044</v>
      </c>
      <c r="C353" s="144" t="s">
        <v>1027</v>
      </c>
      <c r="K353" s="157"/>
      <c r="T353" s="155" t="s">
        <v>1045</v>
      </c>
      <c r="U353" s="89" t="s">
        <v>1029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9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ht="15" spans="1:175">
      <c r="A354" s="138"/>
      <c r="B354" s="81" t="s">
        <v>1046</v>
      </c>
      <c r="C354" s="144" t="s">
        <v>1047</v>
      </c>
      <c r="T354" s="155" t="s">
        <v>1048</v>
      </c>
      <c r="U354" s="89" t="s">
        <v>1049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9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ht="15" spans="1:175">
      <c r="A355" s="138"/>
      <c r="B355" s="81" t="s">
        <v>1050</v>
      </c>
      <c r="C355" s="144" t="s">
        <v>1047</v>
      </c>
      <c r="K355" s="146"/>
      <c r="T355" s="155" t="s">
        <v>1051</v>
      </c>
      <c r="U355" s="89" t="s">
        <v>1049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9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ht="15" spans="1:175">
      <c r="A356" s="138"/>
      <c r="B356" s="81" t="s">
        <v>1052</v>
      </c>
      <c r="C356" s="144" t="s">
        <v>1047</v>
      </c>
      <c r="K356" s="147"/>
      <c r="T356" s="155" t="s">
        <v>1053</v>
      </c>
      <c r="U356" s="89" t="s">
        <v>1049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9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ht="15" spans="1:175">
      <c r="A357" s="138"/>
      <c r="B357" s="81" t="s">
        <v>1054</v>
      </c>
      <c r="C357" s="144" t="s">
        <v>1047</v>
      </c>
      <c r="K357" s="147"/>
      <c r="T357" s="155" t="s">
        <v>1055</v>
      </c>
      <c r="U357" s="89" t="s">
        <v>1049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9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ht="15" spans="1:175">
      <c r="A358" s="138"/>
      <c r="B358" s="81" t="s">
        <v>1056</v>
      </c>
      <c r="C358" s="144" t="s">
        <v>1047</v>
      </c>
      <c r="K358" s="147"/>
      <c r="T358" s="155" t="s">
        <v>1057</v>
      </c>
      <c r="U358" s="89" t="s">
        <v>1049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9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ht="15" spans="1:175">
      <c r="A359" s="138"/>
      <c r="B359" s="81" t="s">
        <v>1058</v>
      </c>
      <c r="C359" s="144" t="s">
        <v>1047</v>
      </c>
      <c r="K359" s="147"/>
      <c r="T359" s="155" t="s">
        <v>1059</v>
      </c>
      <c r="U359" s="89" t="s">
        <v>1049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9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ht="15" spans="1:175">
      <c r="A360" s="138"/>
      <c r="B360" s="81" t="s">
        <v>1060</v>
      </c>
      <c r="C360" s="144" t="s">
        <v>1047</v>
      </c>
      <c r="K360" s="147"/>
      <c r="T360" s="155" t="s">
        <v>1061</v>
      </c>
      <c r="U360" s="89" t="s">
        <v>1049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9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ht="15" spans="1:175">
      <c r="A361" s="138"/>
      <c r="B361" s="81" t="s">
        <v>1062</v>
      </c>
      <c r="C361" s="144" t="s">
        <v>1047</v>
      </c>
      <c r="K361" s="147"/>
      <c r="T361" s="155" t="s">
        <v>1063</v>
      </c>
      <c r="U361" s="89" t="s">
        <v>1049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9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ht="15" spans="1:175">
      <c r="A362" s="138"/>
      <c r="B362" s="81" t="s">
        <v>1064</v>
      </c>
      <c r="C362" s="144" t="s">
        <v>1047</v>
      </c>
      <c r="K362" s="157"/>
      <c r="T362" s="155" t="s">
        <v>1065</v>
      </c>
      <c r="U362" s="89" t="s">
        <v>1049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9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ht="15" spans="1:175">
      <c r="A363" s="138"/>
      <c r="B363" s="81" t="s">
        <v>1066</v>
      </c>
      <c r="C363" s="144" t="s">
        <v>1067</v>
      </c>
      <c r="T363" s="155" t="s">
        <v>1068</v>
      </c>
      <c r="U363" s="89" t="s">
        <v>1069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9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ht="15" spans="1:175">
      <c r="A364" s="138"/>
      <c r="B364" s="81" t="s">
        <v>1070</v>
      </c>
      <c r="C364" s="144" t="s">
        <v>1067</v>
      </c>
      <c r="K364" s="146"/>
      <c r="T364" s="155" t="s">
        <v>1071</v>
      </c>
      <c r="U364" s="89" t="s">
        <v>1069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9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ht="15" spans="1:175">
      <c r="A365" s="138"/>
      <c r="B365" s="81" t="s">
        <v>1072</v>
      </c>
      <c r="C365" s="144" t="s">
        <v>1067</v>
      </c>
      <c r="K365" s="147"/>
      <c r="T365" s="155" t="s">
        <v>1073</v>
      </c>
      <c r="U365" s="89" t="s">
        <v>1069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9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ht="15" spans="1:175">
      <c r="A366" s="138"/>
      <c r="B366" s="81" t="s">
        <v>1074</v>
      </c>
      <c r="C366" s="144" t="s">
        <v>1067</v>
      </c>
      <c r="K366" s="147"/>
      <c r="T366" s="155" t="s">
        <v>1075</v>
      </c>
      <c r="U366" s="89" t="s">
        <v>1069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9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ht="15" spans="1:175">
      <c r="A367" s="138"/>
      <c r="B367" s="81" t="s">
        <v>1076</v>
      </c>
      <c r="C367" s="144" t="s">
        <v>1067</v>
      </c>
      <c r="K367" s="147"/>
      <c r="T367" s="155" t="s">
        <v>1077</v>
      </c>
      <c r="U367" s="89" t="s">
        <v>1069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9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ht="15" spans="1:175">
      <c r="A368" s="138"/>
      <c r="B368" s="81" t="s">
        <v>1078</v>
      </c>
      <c r="C368" s="144" t="s">
        <v>1067</v>
      </c>
      <c r="K368" s="147"/>
      <c r="T368" s="155" t="s">
        <v>1079</v>
      </c>
      <c r="U368" s="89" t="s">
        <v>1069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9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ht="15" spans="1:175">
      <c r="A369" s="138"/>
      <c r="B369" s="81" t="s">
        <v>1080</v>
      </c>
      <c r="C369" s="144" t="s">
        <v>1067</v>
      </c>
      <c r="K369" s="147"/>
      <c r="T369" s="155" t="s">
        <v>1081</v>
      </c>
      <c r="U369" s="89" t="s">
        <v>1069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9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ht="15" spans="1:175">
      <c r="A370" s="138"/>
      <c r="B370" s="81" t="s">
        <v>1082</v>
      </c>
      <c r="C370" s="144" t="s">
        <v>1067</v>
      </c>
      <c r="K370" s="147"/>
      <c r="T370" s="155" t="s">
        <v>1083</v>
      </c>
      <c r="U370" s="89" t="s">
        <v>1069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9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ht="15" spans="1:175">
      <c r="A371" s="138"/>
      <c r="B371" s="81" t="s">
        <v>1084</v>
      </c>
      <c r="C371" s="144" t="s">
        <v>1067</v>
      </c>
      <c r="K371" s="157"/>
      <c r="T371" s="155" t="s">
        <v>1085</v>
      </c>
      <c r="U371" s="89" t="s">
        <v>1069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9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ht="15" spans="1:175">
      <c r="A372" s="138"/>
      <c r="B372" s="81" t="s">
        <v>1086</v>
      </c>
      <c r="C372" s="144" t="s">
        <v>1087</v>
      </c>
      <c r="T372" s="155" t="s">
        <v>1088</v>
      </c>
      <c r="U372" s="89" t="s">
        <v>1089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9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ht="15" spans="1:175">
      <c r="A373" s="138"/>
      <c r="B373" s="81" t="s">
        <v>1090</v>
      </c>
      <c r="C373" s="144" t="s">
        <v>1087</v>
      </c>
      <c r="K373" s="146"/>
      <c r="T373" s="155" t="s">
        <v>1091</v>
      </c>
      <c r="U373" s="89" t="s">
        <v>1089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9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ht="15" spans="1:175">
      <c r="A374" s="138"/>
      <c r="B374" s="81" t="s">
        <v>1092</v>
      </c>
      <c r="C374" s="144" t="s">
        <v>1087</v>
      </c>
      <c r="K374" s="147"/>
      <c r="T374" s="155" t="s">
        <v>1093</v>
      </c>
      <c r="U374" s="89" t="s">
        <v>1089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9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ht="15" spans="1:175">
      <c r="A375" s="138"/>
      <c r="B375" s="81" t="s">
        <v>1094</v>
      </c>
      <c r="C375" s="144" t="s">
        <v>1087</v>
      </c>
      <c r="K375" s="147"/>
      <c r="T375" s="155" t="s">
        <v>1095</v>
      </c>
      <c r="U375" s="89" t="s">
        <v>1089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9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ht="15" spans="1:175">
      <c r="A376" s="138"/>
      <c r="B376" s="81" t="s">
        <v>1096</v>
      </c>
      <c r="C376" s="144" t="s">
        <v>1087</v>
      </c>
      <c r="K376" s="147"/>
      <c r="T376" s="155" t="s">
        <v>1097</v>
      </c>
      <c r="U376" s="89" t="s">
        <v>1089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9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ht="15" spans="1:175">
      <c r="A377" s="138"/>
      <c r="B377" s="81" t="s">
        <v>1098</v>
      </c>
      <c r="C377" s="144" t="s">
        <v>1087</v>
      </c>
      <c r="K377" s="147"/>
      <c r="T377" s="155" t="s">
        <v>1099</v>
      </c>
      <c r="U377" s="89" t="s">
        <v>1089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9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ht="15" spans="1:175">
      <c r="A378" s="138"/>
      <c r="B378" s="81" t="s">
        <v>1100</v>
      </c>
      <c r="C378" s="144" t="s">
        <v>1087</v>
      </c>
      <c r="K378" s="147"/>
      <c r="T378" s="155" t="s">
        <v>1101</v>
      </c>
      <c r="U378" s="89" t="s">
        <v>1089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9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ht="15" spans="1:175">
      <c r="A379" s="138"/>
      <c r="B379" s="81" t="s">
        <v>1102</v>
      </c>
      <c r="C379" s="144" t="s">
        <v>1087</v>
      </c>
      <c r="K379" s="147"/>
      <c r="T379" s="155" t="s">
        <v>1103</v>
      </c>
      <c r="U379" s="89" t="s">
        <v>1089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9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ht="15" spans="1:175">
      <c r="A380" s="138"/>
      <c r="B380" s="81" t="s">
        <v>1104</v>
      </c>
      <c r="C380" s="144" t="s">
        <v>1087</v>
      </c>
      <c r="K380" s="157"/>
      <c r="T380" s="155" t="s">
        <v>1105</v>
      </c>
      <c r="U380" s="89" t="s">
        <v>1089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9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ht="15" spans="1:175">
      <c r="A381" s="138"/>
      <c r="B381" s="81" t="s">
        <v>1106</v>
      </c>
      <c r="C381" s="156" t="s">
        <v>1107</v>
      </c>
      <c r="T381" s="155" t="s">
        <v>1108</v>
      </c>
      <c r="U381" s="89" t="s">
        <v>1109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9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ht="15" spans="1:175">
      <c r="A382" s="138"/>
      <c r="B382" s="81" t="s">
        <v>1110</v>
      </c>
      <c r="C382" s="156" t="s">
        <v>1107</v>
      </c>
      <c r="K382" s="146"/>
      <c r="T382" s="155" t="s">
        <v>1111</v>
      </c>
      <c r="U382" s="89" t="s">
        <v>1109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9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ht="15" spans="1:175">
      <c r="A383" s="138"/>
      <c r="B383" s="81" t="s">
        <v>1112</v>
      </c>
      <c r="C383" s="156" t="s">
        <v>1107</v>
      </c>
      <c r="K383" s="147"/>
      <c r="T383" s="155" t="s">
        <v>1113</v>
      </c>
      <c r="U383" s="89" t="s">
        <v>1109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9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ht="15" spans="1:175">
      <c r="A384" s="138"/>
      <c r="B384" s="81" t="s">
        <v>1114</v>
      </c>
      <c r="C384" s="156" t="s">
        <v>1107</v>
      </c>
      <c r="K384" s="147"/>
      <c r="T384" s="155" t="s">
        <v>1115</v>
      </c>
      <c r="U384" s="89" t="s">
        <v>1109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9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ht="15" spans="1:175">
      <c r="A385" s="138"/>
      <c r="B385" s="81" t="s">
        <v>1116</v>
      </c>
      <c r="C385" s="156" t="s">
        <v>1107</v>
      </c>
      <c r="K385" s="147"/>
      <c r="T385" s="155" t="s">
        <v>1117</v>
      </c>
      <c r="U385" s="89" t="s">
        <v>1109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9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ht="15" spans="1:175">
      <c r="A386" s="138"/>
      <c r="B386" s="81" t="s">
        <v>1118</v>
      </c>
      <c r="C386" s="156" t="s">
        <v>1107</v>
      </c>
      <c r="K386" s="147"/>
      <c r="T386" s="155" t="s">
        <v>1119</v>
      </c>
      <c r="U386" s="89" t="s">
        <v>1109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9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ht="15" spans="1:175">
      <c r="A387" s="138"/>
      <c r="B387" s="81" t="s">
        <v>1120</v>
      </c>
      <c r="C387" s="156" t="s">
        <v>1107</v>
      </c>
      <c r="K387" s="147"/>
      <c r="T387" s="155" t="s">
        <v>1121</v>
      </c>
      <c r="U387" s="89" t="s">
        <v>1109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9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ht="15" spans="1:175">
      <c r="A388" s="138"/>
      <c r="B388" s="81" t="s">
        <v>1122</v>
      </c>
      <c r="C388" s="156" t="s">
        <v>1107</v>
      </c>
      <c r="K388" s="147"/>
      <c r="T388" s="155" t="s">
        <v>1123</v>
      </c>
      <c r="U388" s="89" t="s">
        <v>1109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9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ht="15" spans="1:175">
      <c r="A389" s="138"/>
      <c r="B389" s="81" t="s">
        <v>1124</v>
      </c>
      <c r="C389" s="156" t="s">
        <v>1107</v>
      </c>
      <c r="K389" s="157"/>
      <c r="T389" s="155" t="s">
        <v>1125</v>
      </c>
      <c r="U389" s="89" t="s">
        <v>1109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9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ht="15" spans="1:175">
      <c r="A390" s="137"/>
      <c r="B390" s="81" t="s">
        <v>1126</v>
      </c>
      <c r="C390" s="146" t="s">
        <v>1127</v>
      </c>
      <c r="T390" s="159" t="s">
        <v>1128</v>
      </c>
      <c r="U390" s="89" t="s">
        <v>1129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9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ht="15" spans="1:175">
      <c r="A391" s="137"/>
      <c r="B391" s="81" t="s">
        <v>1130</v>
      </c>
      <c r="C391" s="147" t="s">
        <v>1131</v>
      </c>
      <c r="T391" s="160" t="s">
        <v>1132</v>
      </c>
      <c r="U391" s="89" t="s">
        <v>1133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9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ht="15" spans="1:175">
      <c r="A392" s="138"/>
      <c r="B392" s="81" t="s">
        <v>1134</v>
      </c>
      <c r="C392" s="147" t="s">
        <v>1135</v>
      </c>
      <c r="T392" s="160" t="s">
        <v>1136</v>
      </c>
      <c r="U392" s="89" t="s">
        <v>1137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9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ht="15" spans="1:175">
      <c r="A393" s="138"/>
      <c r="B393" s="81" t="s">
        <v>1138</v>
      </c>
      <c r="C393" s="147" t="s">
        <v>1139</v>
      </c>
      <c r="T393" s="160" t="s">
        <v>1140</v>
      </c>
      <c r="U393" s="89" t="s">
        <v>1141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9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ht="15" spans="1:175">
      <c r="A394" s="138"/>
      <c r="B394" s="81" t="s">
        <v>1142</v>
      </c>
      <c r="C394" s="147" t="s">
        <v>1143</v>
      </c>
      <c r="T394" s="160" t="s">
        <v>1144</v>
      </c>
      <c r="U394" s="89" t="s">
        <v>1145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9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ht="15" spans="1:175">
      <c r="A395" s="138"/>
      <c r="B395" s="81" t="s">
        <v>1146</v>
      </c>
      <c r="C395" s="147" t="s">
        <v>1147</v>
      </c>
      <c r="T395" s="160" t="s">
        <v>1148</v>
      </c>
      <c r="U395" s="89" t="s">
        <v>1149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9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ht="15" spans="1:175">
      <c r="A396" s="138"/>
      <c r="B396" s="81" t="s">
        <v>1150</v>
      </c>
      <c r="C396" s="147" t="s">
        <v>1151</v>
      </c>
      <c r="T396" s="160" t="s">
        <v>1152</v>
      </c>
      <c r="U396" s="89" t="s">
        <v>1153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9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ht="15" spans="1:175">
      <c r="A397" s="138"/>
      <c r="B397" s="81" t="s">
        <v>1154</v>
      </c>
      <c r="C397" s="157" t="s">
        <v>1155</v>
      </c>
      <c r="T397" s="161" t="s">
        <v>1156</v>
      </c>
      <c r="U397" s="89" t="s">
        <v>1157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9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ht="15" spans="1:175">
      <c r="A398" s="73"/>
      <c r="B398" s="158"/>
      <c r="C398" s="73"/>
      <c r="E398" s="142"/>
      <c r="T398" s="162"/>
      <c r="U398" s="89"/>
      <c r="CU398" s="99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ht="15" spans="1:175">
      <c r="A399" s="73"/>
      <c r="B399" s="158"/>
      <c r="C399" s="73"/>
      <c r="E399" s="142"/>
      <c r="T399" s="162"/>
      <c r="U399" s="89"/>
      <c r="CU399" s="99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ht="15" spans="1:175">
      <c r="A400" s="73"/>
      <c r="B400" s="158"/>
      <c r="C400" s="73"/>
      <c r="E400" s="142"/>
      <c r="T400" s="162"/>
      <c r="U400" s="89"/>
      <c r="CU400" s="99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20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20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20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20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20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20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20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20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20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20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20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1158</v>
      </c>
      <c r="B1" s="56" t="s">
        <v>122</v>
      </c>
      <c r="C1" s="57" t="s">
        <v>129</v>
      </c>
      <c r="D1" s="57" t="s">
        <v>130</v>
      </c>
      <c r="E1" s="57" t="s">
        <v>131</v>
      </c>
      <c r="F1" s="57" t="s">
        <v>132</v>
      </c>
      <c r="G1" s="57" t="s">
        <v>133</v>
      </c>
      <c r="H1" s="57" t="s">
        <v>134</v>
      </c>
      <c r="I1" s="57" t="s">
        <v>129</v>
      </c>
      <c r="J1" s="57" t="s">
        <v>130</v>
      </c>
      <c r="K1" s="57" t="s">
        <v>131</v>
      </c>
      <c r="L1" s="57" t="s">
        <v>132</v>
      </c>
      <c r="M1" s="57" t="s">
        <v>133</v>
      </c>
      <c r="N1" s="57" t="s">
        <v>134</v>
      </c>
      <c r="O1" s="58" t="s">
        <v>1159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122</v>
      </c>
      <c r="B1" s="37" t="s">
        <v>123</v>
      </c>
      <c r="C1" s="37" t="s">
        <v>124</v>
      </c>
      <c r="D1" s="38" t="s">
        <v>125</v>
      </c>
      <c r="E1" s="38" t="s">
        <v>135</v>
      </c>
      <c r="F1" s="38" t="s">
        <v>127</v>
      </c>
      <c r="G1" s="38" t="s">
        <v>1160</v>
      </c>
      <c r="H1" s="39" t="s">
        <v>1161</v>
      </c>
      <c r="I1" s="43" t="s">
        <v>1162</v>
      </c>
      <c r="J1" s="44" t="s">
        <v>1158</v>
      </c>
      <c r="K1" s="45" t="s">
        <v>138</v>
      </c>
      <c r="L1" s="46" t="s">
        <v>139</v>
      </c>
      <c r="M1" s="47" t="s">
        <v>1163</v>
      </c>
      <c r="N1" s="48" t="s">
        <v>1164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1165</v>
      </c>
      <c r="CD1" s="10" t="s">
        <v>1165</v>
      </c>
      <c r="CE1" s="10" t="s">
        <v>1165</v>
      </c>
      <c r="CF1" s="10" t="s">
        <v>1165</v>
      </c>
      <c r="CH1" s="10" t="s">
        <v>1165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1166</v>
      </c>
      <c r="CC2" s="10" t="s">
        <v>1167</v>
      </c>
      <c r="CD2" s="10" t="s">
        <v>1168</v>
      </c>
      <c r="CE2" s="10" t="s">
        <v>1169</v>
      </c>
      <c r="CF2" s="10" t="s">
        <v>1170</v>
      </c>
      <c r="CG2" s="10" t="s">
        <v>1171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1172</v>
      </c>
      <c r="B1" s="10" t="s">
        <v>1173</v>
      </c>
      <c r="C1" s="10" t="s">
        <v>1174</v>
      </c>
      <c r="D1" s="10" t="s">
        <v>1175</v>
      </c>
      <c r="E1" s="10" t="s">
        <v>1176</v>
      </c>
    </row>
    <row r="2" ht="15" spans="1:5">
      <c r="A2" s="9">
        <v>1</v>
      </c>
      <c r="B2" s="9" t="s">
        <v>1177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1178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1179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1180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1181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1182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567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570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573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576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579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582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585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588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591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594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597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600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878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880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881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882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883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884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885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886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887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888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889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890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891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892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893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894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895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896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897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898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899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900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901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902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903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904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905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125</v>
      </c>
      <c r="E1" t="s">
        <v>126</v>
      </c>
      <c r="F1" t="s">
        <v>1183</v>
      </c>
      <c r="G1" t="s">
        <v>1184</v>
      </c>
      <c r="I1" t="s">
        <v>1185</v>
      </c>
      <c r="J1">
        <v>11</v>
      </c>
      <c r="P1" t="s">
        <v>1186</v>
      </c>
      <c r="U1" t="s">
        <v>1187</v>
      </c>
      <c r="V1" t="s">
        <v>1188</v>
      </c>
      <c r="X1" s="10" t="s">
        <v>1189</v>
      </c>
    </row>
    <row r="2" spans="1:25">
      <c r="A2" t="s">
        <v>1190</v>
      </c>
      <c r="D2">
        <v>800</v>
      </c>
      <c r="E2" s="30">
        <v>1</v>
      </c>
      <c r="F2" s="31">
        <f>D2/E2</f>
        <v>800</v>
      </c>
      <c r="I2" t="s">
        <v>1191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1192</v>
      </c>
      <c r="D3">
        <v>800</v>
      </c>
      <c r="E3" s="30">
        <v>1</v>
      </c>
      <c r="F3" s="31">
        <f t="shared" ref="F3:F25" si="1">D3/E3</f>
        <v>800</v>
      </c>
      <c r="I3" t="s">
        <v>1193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1194</v>
      </c>
      <c r="D4">
        <v>800</v>
      </c>
      <c r="E4" s="30">
        <v>1</v>
      </c>
      <c r="F4" s="31">
        <f t="shared" si="1"/>
        <v>800</v>
      </c>
      <c r="I4" t="s">
        <v>1195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1196</v>
      </c>
      <c r="D5">
        <v>800</v>
      </c>
      <c r="E5" s="30">
        <v>1</v>
      </c>
      <c r="F5" s="31">
        <f t="shared" si="1"/>
        <v>800</v>
      </c>
      <c r="I5" t="s">
        <v>1197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1198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1199</v>
      </c>
      <c r="D7">
        <v>2500</v>
      </c>
      <c r="E7" s="30">
        <v>0.85</v>
      </c>
      <c r="F7" s="31">
        <f t="shared" si="1"/>
        <v>2941.17647058824</v>
      </c>
      <c r="J7" t="s">
        <v>1200</v>
      </c>
      <c r="K7" s="10" t="s">
        <v>1201</v>
      </c>
      <c r="L7" s="10" t="s">
        <v>1202</v>
      </c>
      <c r="M7" t="s">
        <v>1203</v>
      </c>
      <c r="N7" t="s">
        <v>1204</v>
      </c>
      <c r="P7">
        <f t="shared" si="0"/>
        <v>85</v>
      </c>
    </row>
    <row r="8" spans="1:16">
      <c r="A8" t="s">
        <v>1205</v>
      </c>
      <c r="D8">
        <v>2500</v>
      </c>
      <c r="E8" s="30">
        <v>0.85</v>
      </c>
      <c r="F8" s="31">
        <f t="shared" si="1"/>
        <v>2941.17647058824</v>
      </c>
      <c r="I8" t="s">
        <v>1206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1207</v>
      </c>
      <c r="D9">
        <v>2500</v>
      </c>
      <c r="E9" s="30">
        <v>0.85</v>
      </c>
      <c r="F9" s="31">
        <f t="shared" si="1"/>
        <v>2941.17647058824</v>
      </c>
      <c r="I9" t="s">
        <v>1208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1209</v>
      </c>
      <c r="D10">
        <v>2500</v>
      </c>
      <c r="E10" s="30">
        <v>0.85</v>
      </c>
      <c r="F10" s="31">
        <f t="shared" si="1"/>
        <v>2941.17647058824</v>
      </c>
      <c r="I10" t="s">
        <v>1210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1211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1212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1213</v>
      </c>
      <c r="D12">
        <v>8000</v>
      </c>
      <c r="E12" s="30">
        <v>0.7</v>
      </c>
      <c r="F12" s="31">
        <f t="shared" si="1"/>
        <v>11428.5714285714</v>
      </c>
      <c r="I12" t="s">
        <v>1214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1215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1216</v>
      </c>
      <c r="N13">
        <f>SUM(N8:N12)</f>
        <v>1061280</v>
      </c>
      <c r="P13">
        <f t="shared" si="0"/>
        <v>70</v>
      </c>
    </row>
    <row r="14" spans="1:16">
      <c r="A14" t="s">
        <v>1217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1218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1219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1220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1221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1222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1223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1224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1225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1228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1229</v>
      </c>
      <c r="E26" t="s">
        <v>1230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1231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1232</v>
      </c>
      <c r="B31" s="10" t="s">
        <v>125</v>
      </c>
      <c r="C31" s="10" t="s">
        <v>135</v>
      </c>
      <c r="F31" s="10" t="s">
        <v>1233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1234</v>
      </c>
      <c r="G32" s="10" t="s">
        <v>1235</v>
      </c>
      <c r="H32" s="10" t="s">
        <v>1183</v>
      </c>
      <c r="J32" s="10" t="s">
        <v>1236</v>
      </c>
      <c r="K32" s="10" t="s">
        <v>1237</v>
      </c>
      <c r="L32" s="10" t="s">
        <v>1</v>
      </c>
      <c r="M32" s="10" t="s">
        <v>1183</v>
      </c>
      <c r="N32" s="10" t="s">
        <v>125</v>
      </c>
      <c r="O32" s="10" t="s">
        <v>127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125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125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127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125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135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127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125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127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1230</v>
      </c>
      <c r="N41">
        <f>SUM(N33:N40)</f>
        <v>28860</v>
      </c>
      <c r="O41">
        <f>SUM(O33:O40)</f>
        <v>9600</v>
      </c>
    </row>
    <row r="42" spans="1:11">
      <c r="A42" s="10" t="s">
        <v>1230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1238</v>
      </c>
      <c r="B45" s="10" t="s">
        <v>1239</v>
      </c>
      <c r="C45" s="10" t="s">
        <v>1240</v>
      </c>
      <c r="F45" s="10" t="s">
        <v>1241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1242</v>
      </c>
      <c r="G46" s="32" t="s">
        <v>1243</v>
      </c>
      <c r="H46" s="32" t="s">
        <v>176</v>
      </c>
      <c r="I46" s="10" t="s">
        <v>1244</v>
      </c>
      <c r="K46" s="10"/>
    </row>
    <row r="47" spans="1:11">
      <c r="A47">
        <v>2</v>
      </c>
      <c r="B47">
        <f t="shared" si="11"/>
        <v>200</v>
      </c>
      <c r="C47" s="10" t="s">
        <v>1245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1230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190</v>
      </c>
      <c r="B1" s="2" t="s">
        <v>191</v>
      </c>
      <c r="G1" s="3" t="s">
        <v>644</v>
      </c>
      <c r="H1" t="str">
        <f>IF(G1="","",VLOOKUP(G1,A:B,2,FALSE))</f>
        <v>炽星魔盒</v>
      </c>
    </row>
    <row r="2" ht="15" spans="1:8">
      <c r="A2" s="1" t="s">
        <v>194</v>
      </c>
      <c r="B2" s="2" t="s">
        <v>195</v>
      </c>
      <c r="G2" s="4" t="s">
        <v>545</v>
      </c>
      <c r="H2" t="str">
        <f t="shared" ref="H2:H65" si="0">IF(G2="","",VLOOKUP(G2,A:B,2,FALSE))</f>
        <v>招魂幡Lv1</v>
      </c>
    </row>
    <row r="3" ht="15" spans="1:8">
      <c r="A3" s="1" t="s">
        <v>196</v>
      </c>
      <c r="B3" s="2" t="s">
        <v>197</v>
      </c>
      <c r="G3" s="4" t="s">
        <v>552</v>
      </c>
      <c r="H3" t="str">
        <f t="shared" si="0"/>
        <v>|Cff00BFFF招魂幡Lv3|r</v>
      </c>
    </row>
    <row r="4" ht="15" spans="1:8">
      <c r="A4" s="1" t="s">
        <v>198</v>
      </c>
      <c r="B4" s="2" t="s">
        <v>199</v>
      </c>
      <c r="G4" s="4" t="s">
        <v>560</v>
      </c>
      <c r="H4" t="str">
        <f t="shared" si="0"/>
        <v>|CffFF0000招魂幡Lv5|r</v>
      </c>
    </row>
    <row r="5" ht="15" spans="1:8">
      <c r="A5" s="1" t="s">
        <v>200</v>
      </c>
      <c r="B5" s="2" t="s">
        <v>201</v>
      </c>
      <c r="G5" s="5" t="s">
        <v>626</v>
      </c>
      <c r="H5" t="str">
        <f t="shared" si="0"/>
        <v>|CffFFD24D后天道果箱|r</v>
      </c>
    </row>
    <row r="6" ht="15" spans="1:8">
      <c r="A6" s="1" t="s">
        <v>203</v>
      </c>
      <c r="B6" s="2" t="s">
        <v>204</v>
      </c>
      <c r="G6" s="5" t="s">
        <v>916</v>
      </c>
      <c r="H6" t="str">
        <f t="shared" si="0"/>
        <v>攻击力低</v>
      </c>
    </row>
    <row r="7" ht="15" spans="1:8">
      <c r="A7" s="1" t="s">
        <v>206</v>
      </c>
      <c r="B7" s="2" t="s">
        <v>207</v>
      </c>
      <c r="G7" s="5" t="s">
        <v>918</v>
      </c>
      <c r="H7" t="str">
        <f t="shared" si="0"/>
        <v>攻击力中</v>
      </c>
    </row>
    <row r="8" ht="15" spans="1:8">
      <c r="A8" s="1" t="s">
        <v>208</v>
      </c>
      <c r="B8" s="2" t="s">
        <v>209</v>
      </c>
      <c r="G8" s="5" t="s">
        <v>922</v>
      </c>
      <c r="H8" t="str">
        <f t="shared" si="0"/>
        <v>生命值低</v>
      </c>
    </row>
    <row r="9" ht="15" spans="1:8">
      <c r="A9" s="1" t="s">
        <v>210</v>
      </c>
      <c r="B9" s="2" t="s">
        <v>211</v>
      </c>
      <c r="G9" s="5" t="s">
        <v>924</v>
      </c>
      <c r="H9" t="str">
        <f t="shared" si="0"/>
        <v>生命值中</v>
      </c>
    </row>
    <row r="10" ht="15" spans="1:8">
      <c r="A10" s="1" t="s">
        <v>212</v>
      </c>
      <c r="B10" s="2" t="s">
        <v>213</v>
      </c>
      <c r="G10" s="5" t="s">
        <v>928</v>
      </c>
      <c r="H10" t="str">
        <f t="shared" si="0"/>
        <v>业力低</v>
      </c>
    </row>
    <row r="11" ht="15" spans="1:8">
      <c r="A11" s="1" t="s">
        <v>215</v>
      </c>
      <c r="B11" s="2" t="s">
        <v>216</v>
      </c>
      <c r="G11" s="5" t="s">
        <v>930</v>
      </c>
      <c r="H11" t="str">
        <f t="shared" si="0"/>
        <v>业力中</v>
      </c>
    </row>
    <row r="12" ht="15" spans="1:8">
      <c r="A12" s="1" t="s">
        <v>218</v>
      </c>
      <c r="B12" s="2" t="s">
        <v>219</v>
      </c>
      <c r="G12" s="5" t="s">
        <v>634</v>
      </c>
      <c r="H12" t="str">
        <f t="shared" si="0"/>
        <v>|CffFFD24D技能宝箱|r</v>
      </c>
    </row>
    <row r="13" ht="15" spans="1:8">
      <c r="A13" s="1" t="s">
        <v>220</v>
      </c>
      <c r="B13" s="2" t="s">
        <v>221</v>
      </c>
      <c r="G13" s="5" t="s">
        <v>622</v>
      </c>
      <c r="H13" t="str">
        <f t="shared" si="0"/>
        <v>|Cff00BFFF入门道果箱|r</v>
      </c>
    </row>
    <row r="14" ht="15" spans="1:8">
      <c r="A14" s="1" t="s">
        <v>222</v>
      </c>
      <c r="B14" s="2" t="s">
        <v>223</v>
      </c>
      <c r="G14" s="5" t="s">
        <v>673</v>
      </c>
      <c r="H14" t="str">
        <f t="shared" si="0"/>
        <v>|CffFF0000时渊碎片|r</v>
      </c>
    </row>
    <row r="15" ht="15" spans="1:8">
      <c r="A15" s="1" t="s">
        <v>224</v>
      </c>
      <c r="B15" s="2" t="s">
        <v>225</v>
      </c>
      <c r="G15" s="5" t="s">
        <v>688</v>
      </c>
      <c r="H15" t="str">
        <f t="shared" si="0"/>
        <v>|Cff00FF7F大补丸|r</v>
      </c>
    </row>
    <row r="16" ht="15" spans="1:8">
      <c r="A16" s="1" t="s">
        <v>227</v>
      </c>
      <c r="B16" s="2" t="s">
        <v>240</v>
      </c>
      <c r="G16" s="6" t="s">
        <v>695</v>
      </c>
      <c r="H16" t="str">
        <f t="shared" si="0"/>
        <v>|Cff00FF7F超级大补丸|r</v>
      </c>
    </row>
    <row r="17" ht="15" spans="1:15">
      <c r="A17" s="1" t="s">
        <v>230</v>
      </c>
      <c r="B17" s="2" t="s">
        <v>243</v>
      </c>
      <c r="G17" s="5" t="s">
        <v>699</v>
      </c>
      <c r="H17" t="str">
        <f t="shared" si="0"/>
        <v>|Cff00FF7F特级大补丸|r</v>
      </c>
      <c r="O17" s="10"/>
    </row>
    <row r="18" ht="15" spans="1:15">
      <c r="A18" s="1" t="s">
        <v>232</v>
      </c>
      <c r="B18" s="2" t="s">
        <v>245</v>
      </c>
      <c r="G18" s="7" t="s">
        <v>1247</v>
      </c>
      <c r="H18" t="e">
        <f t="shared" si="0"/>
        <v>#N/A</v>
      </c>
      <c r="O18" s="10"/>
    </row>
    <row r="19" ht="15" spans="1:15">
      <c r="A19" s="1" t="s">
        <v>234</v>
      </c>
      <c r="B19" s="2" t="s">
        <v>247</v>
      </c>
      <c r="G19" s="8" t="s">
        <v>603</v>
      </c>
      <c r="H19" t="str">
        <f t="shared" si="0"/>
        <v>附魔宝箱</v>
      </c>
      <c r="O19" s="10"/>
    </row>
    <row r="20" ht="15" spans="1:8">
      <c r="A20" s="1" t="s">
        <v>236</v>
      </c>
      <c r="B20" s="2" t="s">
        <v>249</v>
      </c>
      <c r="G20" s="5" t="s">
        <v>911</v>
      </c>
      <c r="H20" t="str">
        <f t="shared" si="0"/>
        <v>没抽到任何东西</v>
      </c>
    </row>
    <row r="21" ht="15" spans="1:8">
      <c r="A21" s="1" t="s">
        <v>239</v>
      </c>
      <c r="B21" s="2" t="s">
        <v>252</v>
      </c>
      <c r="G21" s="9"/>
      <c r="H21" t="str">
        <f t="shared" si="0"/>
        <v/>
      </c>
    </row>
    <row r="22" ht="15" spans="1:8">
      <c r="A22" s="1" t="s">
        <v>242</v>
      </c>
      <c r="B22" s="2" t="s">
        <v>255</v>
      </c>
      <c r="G22" s="9"/>
      <c r="H22" t="str">
        <f t="shared" si="0"/>
        <v/>
      </c>
    </row>
    <row r="23" ht="15" spans="1:8">
      <c r="A23" s="1" t="s">
        <v>244</v>
      </c>
      <c r="B23" s="2" t="s">
        <v>257</v>
      </c>
      <c r="G23" s="9"/>
      <c r="H23" t="str">
        <f t="shared" si="0"/>
        <v/>
      </c>
    </row>
    <row r="24" ht="15" spans="1:8">
      <c r="A24" s="1" t="s">
        <v>246</v>
      </c>
      <c r="B24" s="2" t="s">
        <v>259</v>
      </c>
      <c r="G24" s="9"/>
      <c r="H24" t="str">
        <f t="shared" si="0"/>
        <v/>
      </c>
    </row>
    <row r="25" ht="15" spans="1:8">
      <c r="A25" s="1" t="s">
        <v>248</v>
      </c>
      <c r="B25" s="2" t="s">
        <v>261</v>
      </c>
      <c r="G25" s="9" t="s">
        <v>1248</v>
      </c>
      <c r="H25" t="e">
        <f t="shared" si="0"/>
        <v>#N/A</v>
      </c>
    </row>
    <row r="26" ht="15" spans="1:8">
      <c r="A26" s="1" t="s">
        <v>262</v>
      </c>
      <c r="B26" s="10" t="s">
        <v>263</v>
      </c>
      <c r="G26" s="4" t="s">
        <v>682</v>
      </c>
      <c r="H26" t="str">
        <f t="shared" si="0"/>
        <v>|CffFF0000神兽洗灵石|r</v>
      </c>
    </row>
    <row r="27" ht="15" spans="1:8">
      <c r="A27" s="1" t="s">
        <v>265</v>
      </c>
      <c r="B27" s="10" t="s">
        <v>266</v>
      </c>
      <c r="G27" s="5" t="s">
        <v>676</v>
      </c>
      <c r="H27" t="str">
        <f t="shared" si="0"/>
        <v>|CffFFD24D补天石|r</v>
      </c>
    </row>
    <row r="28" ht="15" spans="1:8">
      <c r="A28" s="1" t="s">
        <v>267</v>
      </c>
      <c r="B28" s="10" t="s">
        <v>268</v>
      </c>
      <c r="G28" s="5" t="s">
        <v>679</v>
      </c>
      <c r="H28" t="str">
        <f t="shared" si="0"/>
        <v>|CffFF0000鸿蒙结晶|r</v>
      </c>
    </row>
    <row r="29" ht="15" spans="1:8">
      <c r="A29" s="1" t="s">
        <v>269</v>
      </c>
      <c r="B29" s="10" t="s">
        <v>270</v>
      </c>
      <c r="G29" s="5" t="s">
        <v>918</v>
      </c>
      <c r="H29" t="str">
        <f t="shared" si="0"/>
        <v>攻击力中</v>
      </c>
    </row>
    <row r="30" ht="15" spans="1:8">
      <c r="A30" s="1" t="s">
        <v>271</v>
      </c>
      <c r="B30" s="10" t="s">
        <v>272</v>
      </c>
      <c r="G30" s="5" t="s">
        <v>920</v>
      </c>
      <c r="H30" t="str">
        <f t="shared" si="0"/>
        <v>攻击力高</v>
      </c>
    </row>
    <row r="31" ht="15" spans="1:8">
      <c r="A31" s="1" t="s">
        <v>273</v>
      </c>
      <c r="B31" s="10" t="s">
        <v>274</v>
      </c>
      <c r="G31" s="5" t="s">
        <v>924</v>
      </c>
      <c r="H31" t="str">
        <f t="shared" si="0"/>
        <v>生命值中</v>
      </c>
    </row>
    <row r="32" ht="15" spans="1:8">
      <c r="A32" s="1" t="s">
        <v>276</v>
      </c>
      <c r="B32" s="10" t="s">
        <v>277</v>
      </c>
      <c r="G32" s="5" t="s">
        <v>926</v>
      </c>
      <c r="H32" t="str">
        <f t="shared" si="0"/>
        <v>生命值高</v>
      </c>
    </row>
    <row r="33" ht="15" spans="1:8">
      <c r="A33" s="1" t="s">
        <v>278</v>
      </c>
      <c r="B33" s="10" t="s">
        <v>279</v>
      </c>
      <c r="G33" s="5" t="s">
        <v>930</v>
      </c>
      <c r="H33" t="str">
        <f t="shared" si="0"/>
        <v>业力中</v>
      </c>
    </row>
    <row r="34" ht="15" spans="1:8">
      <c r="A34" s="1" t="s">
        <v>280</v>
      </c>
      <c r="B34" s="10" t="s">
        <v>281</v>
      </c>
      <c r="G34" s="5" t="s">
        <v>932</v>
      </c>
      <c r="H34" t="str">
        <f t="shared" si="0"/>
        <v>业力高</v>
      </c>
    </row>
    <row r="35" ht="15" spans="1:8">
      <c r="A35" s="1" t="s">
        <v>282</v>
      </c>
      <c r="B35" s="10" t="s">
        <v>283</v>
      </c>
      <c r="G35" s="5" t="s">
        <v>626</v>
      </c>
      <c r="H35" t="str">
        <f t="shared" si="0"/>
        <v>|CffFFD24D后天道果箱|r</v>
      </c>
    </row>
    <row r="36" ht="15" spans="1:8">
      <c r="A36" s="1" t="s">
        <v>284</v>
      </c>
      <c r="B36" s="10" t="s">
        <v>285</v>
      </c>
      <c r="G36" s="8" t="s">
        <v>630</v>
      </c>
      <c r="H36" t="str">
        <f t="shared" si="0"/>
        <v>|CffFF0000先天道果箱|r</v>
      </c>
    </row>
    <row r="37" ht="15" spans="1:8">
      <c r="A37" s="1" t="s">
        <v>287</v>
      </c>
      <c r="B37" s="10" t="s">
        <v>288</v>
      </c>
      <c r="G37" s="4" t="s">
        <v>552</v>
      </c>
      <c r="H37" t="str">
        <f t="shared" si="0"/>
        <v>|Cff00BFFF招魂幡Lv3|r</v>
      </c>
    </row>
    <row r="38" ht="15" spans="1:8">
      <c r="A38" s="1" t="s">
        <v>289</v>
      </c>
      <c r="B38" s="10" t="s">
        <v>290</v>
      </c>
      <c r="G38" s="3" t="s">
        <v>560</v>
      </c>
      <c r="H38" t="str">
        <f t="shared" si="0"/>
        <v>|CffFF0000招魂幡Lv5|r</v>
      </c>
    </row>
    <row r="39" ht="15" spans="1:8">
      <c r="A39" s="1" t="s">
        <v>291</v>
      </c>
      <c r="B39" s="10" t="s">
        <v>292</v>
      </c>
      <c r="G39" s="5" t="s">
        <v>634</v>
      </c>
      <c r="H39" t="str">
        <f t="shared" si="0"/>
        <v>|CffFFD24D技能宝箱|r</v>
      </c>
    </row>
    <row r="40" ht="15" spans="1:8">
      <c r="A40" s="1" t="s">
        <v>293</v>
      </c>
      <c r="B40" s="10" t="s">
        <v>294</v>
      </c>
      <c r="G40" s="7" t="s">
        <v>1247</v>
      </c>
      <c r="H40" t="e">
        <f t="shared" si="0"/>
        <v>#N/A</v>
      </c>
    </row>
    <row r="41" ht="15" spans="1:8">
      <c r="A41" s="1" t="s">
        <v>295</v>
      </c>
      <c r="B41" s="10" t="s">
        <v>307</v>
      </c>
      <c r="G41" s="5" t="s">
        <v>603</v>
      </c>
      <c r="H41" t="str">
        <f t="shared" si="0"/>
        <v>附魔宝箱</v>
      </c>
    </row>
    <row r="42" ht="15" spans="1:8">
      <c r="A42" s="1" t="s">
        <v>298</v>
      </c>
      <c r="B42" s="10" t="s">
        <v>310</v>
      </c>
      <c r="G42" s="5" t="s">
        <v>673</v>
      </c>
      <c r="H42" t="str">
        <f t="shared" si="0"/>
        <v>|CffFF0000时渊碎片|r</v>
      </c>
    </row>
    <row r="43" ht="15" spans="1:8">
      <c r="A43" s="1" t="s">
        <v>300</v>
      </c>
      <c r="B43" s="10" t="s">
        <v>312</v>
      </c>
      <c r="G43" s="5" t="s">
        <v>688</v>
      </c>
      <c r="H43" t="str">
        <f t="shared" si="0"/>
        <v>|Cff00FF7F大补丸|r</v>
      </c>
    </row>
    <row r="44" ht="15" spans="1:8">
      <c r="A44" s="1" t="s">
        <v>302</v>
      </c>
      <c r="B44" s="10" t="s">
        <v>314</v>
      </c>
      <c r="G44" s="6" t="s">
        <v>695</v>
      </c>
      <c r="H44" t="str">
        <f t="shared" si="0"/>
        <v>|Cff00FF7F超级大补丸|r</v>
      </c>
    </row>
    <row r="45" ht="15" spans="1:8">
      <c r="A45" s="1" t="s">
        <v>304</v>
      </c>
      <c r="B45" s="10" t="s">
        <v>316</v>
      </c>
      <c r="G45" s="5" t="s">
        <v>911</v>
      </c>
      <c r="H45" t="str">
        <f t="shared" si="0"/>
        <v>没抽到任何东西</v>
      </c>
    </row>
    <row r="46" ht="15" spans="1:8">
      <c r="A46" s="1" t="s">
        <v>306</v>
      </c>
      <c r="B46" s="10" t="s">
        <v>318</v>
      </c>
      <c r="G46" s="8" t="s">
        <v>622</v>
      </c>
      <c r="H46" t="str">
        <f t="shared" si="0"/>
        <v>|Cff00BFFF入门道果箱|r</v>
      </c>
    </row>
    <row r="47" ht="15" spans="1:8">
      <c r="A47" s="1" t="s">
        <v>309</v>
      </c>
      <c r="B47" s="10" t="s">
        <v>321</v>
      </c>
      <c r="G47" s="3" t="s">
        <v>461</v>
      </c>
      <c r="H47" t="str">
        <f t="shared" si="0"/>
        <v>残缺的中级道果【2】</v>
      </c>
    </row>
    <row r="48" ht="15" spans="1:8">
      <c r="A48" s="1" t="s">
        <v>311</v>
      </c>
      <c r="B48" s="10" t="s">
        <v>323</v>
      </c>
      <c r="G48" s="3" t="s">
        <v>463</v>
      </c>
      <c r="H48" t="str">
        <f t="shared" si="0"/>
        <v>|Cff00FF7F残缺的高级道果【3】|r</v>
      </c>
    </row>
    <row r="49" ht="15" spans="1:8">
      <c r="A49" s="1" t="s">
        <v>313</v>
      </c>
      <c r="B49" s="10" t="s">
        <v>325</v>
      </c>
      <c r="G49" s="9" t="s">
        <v>432</v>
      </c>
      <c r="H49" t="str">
        <f t="shared" si="0"/>
        <v>完美的中级道果【2】</v>
      </c>
    </row>
    <row r="50" ht="15" spans="1:8">
      <c r="A50" s="1" t="s">
        <v>315</v>
      </c>
      <c r="B50" s="10" t="s">
        <v>327</v>
      </c>
      <c r="G50" s="9" t="s">
        <v>435</v>
      </c>
      <c r="H50" t="str">
        <f t="shared" si="0"/>
        <v>|Cff00FF7F完美的高级道果【3】|r</v>
      </c>
    </row>
    <row r="51" ht="15" spans="1:8">
      <c r="A51" s="1" t="s">
        <v>328</v>
      </c>
      <c r="B51" s="2" t="s">
        <v>329</v>
      </c>
      <c r="G51" s="9"/>
      <c r="H51" t="str">
        <f t="shared" si="0"/>
        <v/>
      </c>
    </row>
    <row r="52" ht="15" spans="1:8">
      <c r="A52" s="1" t="s">
        <v>331</v>
      </c>
      <c r="B52" s="2" t="s">
        <v>332</v>
      </c>
      <c r="G52" s="11"/>
      <c r="H52" t="str">
        <f t="shared" si="0"/>
        <v/>
      </c>
    </row>
    <row r="53" ht="15" spans="1:8">
      <c r="A53" s="1" t="s">
        <v>333</v>
      </c>
      <c r="B53" s="2" t="s">
        <v>334</v>
      </c>
      <c r="G53" s="9"/>
      <c r="H53" t="str">
        <f t="shared" si="0"/>
        <v/>
      </c>
    </row>
    <row r="54" ht="15" spans="1:8">
      <c r="A54" s="1" t="s">
        <v>335</v>
      </c>
      <c r="B54" s="2" t="s">
        <v>336</v>
      </c>
      <c r="G54" s="11"/>
      <c r="H54" t="str">
        <f t="shared" si="0"/>
        <v/>
      </c>
    </row>
    <row r="55" ht="15" spans="1:8">
      <c r="A55" s="1" t="s">
        <v>337</v>
      </c>
      <c r="B55" s="2" t="s">
        <v>338</v>
      </c>
      <c r="G55" s="8" t="s">
        <v>626</v>
      </c>
      <c r="H55" t="str">
        <f t="shared" si="0"/>
        <v>|CffFFD24D后天道果箱|r</v>
      </c>
    </row>
    <row r="56" ht="15" spans="1:8">
      <c r="A56" s="1" t="s">
        <v>340</v>
      </c>
      <c r="B56" s="2" t="s">
        <v>341</v>
      </c>
      <c r="G56" s="3" t="s">
        <v>465</v>
      </c>
      <c r="H56" t="str">
        <f t="shared" si="0"/>
        <v>|Cff00FF7F残缺的黄级道果【4】|r</v>
      </c>
    </row>
    <row r="57" ht="15" spans="1:8">
      <c r="A57" s="1" t="s">
        <v>343</v>
      </c>
      <c r="B57" s="2" t="s">
        <v>344</v>
      </c>
      <c r="G57" s="3" t="s">
        <v>467</v>
      </c>
      <c r="H57" t="str">
        <f t="shared" si="0"/>
        <v>|Cff00BFFF残缺的玄级道果【5】|r</v>
      </c>
    </row>
    <row r="58" ht="15" spans="1:8">
      <c r="A58" s="1" t="s">
        <v>345</v>
      </c>
      <c r="B58" s="2" t="s">
        <v>346</v>
      </c>
      <c r="G58" s="3" t="s">
        <v>469</v>
      </c>
      <c r="H58" t="str">
        <f t="shared" si="0"/>
        <v>|Cff00BFFF残缺的地级道果【6】|r</v>
      </c>
    </row>
    <row r="59" ht="15" spans="1:8">
      <c r="A59" s="1" t="s">
        <v>347</v>
      </c>
      <c r="B59" s="2" t="s">
        <v>348</v>
      </c>
      <c r="G59" s="9" t="s">
        <v>438</v>
      </c>
      <c r="H59" t="str">
        <f t="shared" si="0"/>
        <v>|Cff00FF7F完美的黄级道果【4】|r</v>
      </c>
    </row>
    <row r="60" ht="15" spans="1:8">
      <c r="A60" s="1" t="s">
        <v>349</v>
      </c>
      <c r="B60" s="2" t="s">
        <v>350</v>
      </c>
      <c r="G60" s="9" t="s">
        <v>441</v>
      </c>
      <c r="H60" t="str">
        <f t="shared" si="0"/>
        <v>|Cff00BFFF完美的玄级道果【5】|r</v>
      </c>
    </row>
    <row r="61" ht="15" spans="1:8">
      <c r="A61" s="1" t="s">
        <v>352</v>
      </c>
      <c r="B61" s="2" t="s">
        <v>353</v>
      </c>
      <c r="G61" s="9" t="s">
        <v>444</v>
      </c>
      <c r="H61" t="str">
        <f t="shared" si="0"/>
        <v>|Cff00BFFF完美的地级道果【6】|r</v>
      </c>
    </row>
    <row r="62" ht="15" spans="1:8">
      <c r="A62" s="1" t="s">
        <v>355</v>
      </c>
      <c r="B62" s="2" t="s">
        <v>356</v>
      </c>
      <c r="G62" s="11" t="s">
        <v>695</v>
      </c>
      <c r="H62" t="str">
        <f t="shared" si="0"/>
        <v>|Cff00FF7F超级大补丸|r</v>
      </c>
    </row>
    <row r="63" ht="15" spans="1:8">
      <c r="A63" s="1" t="s">
        <v>357</v>
      </c>
      <c r="B63" s="2" t="s">
        <v>358</v>
      </c>
      <c r="G63" s="9" t="s">
        <v>699</v>
      </c>
      <c r="H63" t="str">
        <f t="shared" si="0"/>
        <v>|Cff00FF7F特级大补丸|r</v>
      </c>
    </row>
    <row r="64" ht="15" spans="1:8">
      <c r="A64" s="1" t="s">
        <v>359</v>
      </c>
      <c r="B64" s="2" t="s">
        <v>360</v>
      </c>
      <c r="G64" s="9"/>
      <c r="H64" t="str">
        <f t="shared" si="0"/>
        <v/>
      </c>
    </row>
    <row r="65" ht="15" spans="1:8">
      <c r="A65" s="1" t="s">
        <v>361</v>
      </c>
      <c r="B65" s="2" t="s">
        <v>362</v>
      </c>
      <c r="G65" s="11"/>
      <c r="H65" t="str">
        <f t="shared" si="0"/>
        <v/>
      </c>
    </row>
    <row r="66" ht="15" spans="1:8">
      <c r="A66" s="1" t="s">
        <v>364</v>
      </c>
      <c r="B66" s="2" t="s">
        <v>377</v>
      </c>
      <c r="G66" s="11"/>
      <c r="H66" t="str">
        <f t="shared" ref="H66:H129" si="1">IF(G66="","",VLOOKUP(G66,A:B,2,FALSE))</f>
        <v/>
      </c>
    </row>
    <row r="67" ht="15" spans="1:8">
      <c r="A67" s="1" t="s">
        <v>367</v>
      </c>
      <c r="B67" s="2" t="s">
        <v>380</v>
      </c>
      <c r="G67" s="11"/>
      <c r="H67" t="str">
        <f t="shared" si="1"/>
        <v/>
      </c>
    </row>
    <row r="68" ht="15" spans="1:8">
      <c r="A68" s="1" t="s">
        <v>369</v>
      </c>
      <c r="B68" s="2" t="s">
        <v>382</v>
      </c>
      <c r="G68" s="8" t="s">
        <v>630</v>
      </c>
      <c r="H68" t="str">
        <f t="shared" si="1"/>
        <v>|CffFF0000先天道果箱|r</v>
      </c>
    </row>
    <row r="69" ht="15" spans="1:8">
      <c r="A69" s="1" t="s">
        <v>371</v>
      </c>
      <c r="B69" s="2" t="s">
        <v>384</v>
      </c>
      <c r="G69" s="3" t="s">
        <v>447</v>
      </c>
      <c r="H69" t="str">
        <f t="shared" si="1"/>
        <v>|CffFFC926完美的天级道果【7】|r</v>
      </c>
    </row>
    <row r="70" ht="15" spans="1:8">
      <c r="A70" s="1" t="s">
        <v>373</v>
      </c>
      <c r="B70" s="2" t="s">
        <v>386</v>
      </c>
      <c r="G70" s="3" t="s">
        <v>450</v>
      </c>
      <c r="H70" t="str">
        <f t="shared" si="1"/>
        <v>|CffFFC926完美的仙品道果【8】|r</v>
      </c>
    </row>
    <row r="71" ht="15" spans="1:8">
      <c r="A71" s="1" t="s">
        <v>376</v>
      </c>
      <c r="B71" s="2" t="s">
        <v>389</v>
      </c>
      <c r="G71" s="3" t="s">
        <v>453</v>
      </c>
      <c r="H71" t="str">
        <f t="shared" si="1"/>
        <v>|CffFF0000完美的至圣道果【9】|r</v>
      </c>
    </row>
    <row r="72" ht="15" spans="1:8">
      <c r="A72" s="1" t="s">
        <v>379</v>
      </c>
      <c r="B72" s="2" t="s">
        <v>392</v>
      </c>
      <c r="G72" s="3" t="s">
        <v>456</v>
      </c>
      <c r="H72" t="str">
        <f t="shared" si="1"/>
        <v>|CffFF0000完美的混沌道果【10】|r</v>
      </c>
    </row>
    <row r="73" ht="15" spans="1:8">
      <c r="A73" s="1" t="s">
        <v>381</v>
      </c>
      <c r="B73" s="2" t="s">
        <v>394</v>
      </c>
      <c r="G73" s="9" t="s">
        <v>471</v>
      </c>
      <c r="H73" t="str">
        <f t="shared" si="1"/>
        <v>|CffFFC926残缺的天级道果【7】|r</v>
      </c>
    </row>
    <row r="74" ht="15" spans="1:8">
      <c r="A74" s="1" t="s">
        <v>383</v>
      </c>
      <c r="B74" s="2" t="s">
        <v>396</v>
      </c>
      <c r="G74" s="9" t="s">
        <v>473</v>
      </c>
      <c r="H74" t="str">
        <f t="shared" si="1"/>
        <v>|CffFFC926残缺的仙品道果【8】|r</v>
      </c>
    </row>
    <row r="75" ht="15" spans="1:8">
      <c r="A75" s="1" t="s">
        <v>385</v>
      </c>
      <c r="B75" s="2" t="s">
        <v>398</v>
      </c>
      <c r="G75" s="9" t="s">
        <v>475</v>
      </c>
      <c r="H75" t="str">
        <f t="shared" si="1"/>
        <v>|CffFF0000残缺的至圣道果【9】|r</v>
      </c>
    </row>
    <row r="76" ht="15" spans="1:8">
      <c r="A76" s="1" t="s">
        <v>399</v>
      </c>
      <c r="B76" s="12" t="s">
        <v>400</v>
      </c>
      <c r="G76" s="9" t="s">
        <v>477</v>
      </c>
      <c r="H76" t="str">
        <f t="shared" si="1"/>
        <v>|CffFF0000残缺的混沌道果【10】|r</v>
      </c>
    </row>
    <row r="77" ht="15" spans="1:8">
      <c r="A77" s="1" t="s">
        <v>402</v>
      </c>
      <c r="B77" s="12" t="s">
        <v>403</v>
      </c>
      <c r="G77" s="11" t="s">
        <v>695</v>
      </c>
      <c r="H77" t="str">
        <f t="shared" si="1"/>
        <v>|Cff00FF7F超级大补丸|r</v>
      </c>
    </row>
    <row r="78" ht="15" spans="1:8">
      <c r="A78" s="1" t="s">
        <v>405</v>
      </c>
      <c r="B78" s="13" t="s">
        <v>406</v>
      </c>
      <c r="G78" s="9" t="s">
        <v>699</v>
      </c>
      <c r="H78" t="str">
        <f t="shared" si="1"/>
        <v>|Cff00FF7F特级大补丸|r</v>
      </c>
    </row>
    <row r="79" ht="15" spans="1:8">
      <c r="A79" s="1" t="s">
        <v>408</v>
      </c>
      <c r="B79" s="13" t="s">
        <v>409</v>
      </c>
      <c r="G79" s="9"/>
      <c r="H79" t="str">
        <f t="shared" si="1"/>
        <v/>
      </c>
    </row>
    <row r="80" ht="15" spans="1:8">
      <c r="A80" s="1" t="s">
        <v>411</v>
      </c>
      <c r="B80" s="13" t="s">
        <v>412</v>
      </c>
      <c r="G80" s="11"/>
      <c r="H80" t="str">
        <f t="shared" si="1"/>
        <v/>
      </c>
    </row>
    <row r="81" ht="15" spans="1:8">
      <c r="A81" s="1" t="s">
        <v>414</v>
      </c>
      <c r="B81" s="2" t="s">
        <v>415</v>
      </c>
      <c r="G81" s="3" t="s">
        <v>640</v>
      </c>
      <c r="H81" t="str">
        <f t="shared" si="1"/>
        <v>幸运星盒</v>
      </c>
    </row>
    <row r="82" ht="15" spans="1:8">
      <c r="A82" s="1" t="s">
        <v>417</v>
      </c>
      <c r="B82" s="2" t="s">
        <v>418</v>
      </c>
      <c r="G82" s="9" t="s">
        <v>913</v>
      </c>
      <c r="H82" t="str">
        <f t="shared" si="1"/>
        <v>玄铁</v>
      </c>
    </row>
    <row r="83" ht="15" spans="1:8">
      <c r="A83" s="1" t="s">
        <v>420</v>
      </c>
      <c r="B83" s="2" t="s">
        <v>421</v>
      </c>
      <c r="G83" s="9" t="s">
        <v>915</v>
      </c>
      <c r="H83" t="str">
        <f t="shared" si="1"/>
        <v>杀敌数</v>
      </c>
    </row>
    <row r="84" ht="15" spans="1:8">
      <c r="A84" s="1" t="s">
        <v>423</v>
      </c>
      <c r="B84" s="2" t="s">
        <v>424</v>
      </c>
      <c r="G84" s="9" t="s">
        <v>916</v>
      </c>
      <c r="H84" t="str">
        <f t="shared" si="1"/>
        <v>攻击力低</v>
      </c>
    </row>
    <row r="85" ht="15" spans="1:8">
      <c r="A85" s="1" t="s">
        <v>426</v>
      </c>
      <c r="B85" s="2" t="s">
        <v>427</v>
      </c>
      <c r="G85" s="9" t="s">
        <v>918</v>
      </c>
      <c r="H85" t="str">
        <f t="shared" si="1"/>
        <v>攻击力中</v>
      </c>
    </row>
    <row r="86" ht="15" spans="1:8">
      <c r="A86" s="9" t="s">
        <v>429</v>
      </c>
      <c r="B86" s="12" t="s">
        <v>430</v>
      </c>
      <c r="G86" s="9" t="s">
        <v>920</v>
      </c>
      <c r="H86" t="str">
        <f t="shared" si="1"/>
        <v>攻击力高</v>
      </c>
    </row>
    <row r="87" ht="15" spans="1:8">
      <c r="A87" s="9" t="s">
        <v>432</v>
      </c>
      <c r="B87" s="12" t="s">
        <v>433</v>
      </c>
      <c r="G87" s="9" t="s">
        <v>922</v>
      </c>
      <c r="H87" t="str">
        <f t="shared" si="1"/>
        <v>生命值低</v>
      </c>
    </row>
    <row r="88" ht="15" spans="1:8">
      <c r="A88" s="9" t="s">
        <v>435</v>
      </c>
      <c r="B88" s="13" t="s">
        <v>436</v>
      </c>
      <c r="G88" s="9" t="s">
        <v>924</v>
      </c>
      <c r="H88" t="str">
        <f t="shared" si="1"/>
        <v>生命值中</v>
      </c>
    </row>
    <row r="89" ht="15" spans="1:8">
      <c r="A89" s="9" t="s">
        <v>438</v>
      </c>
      <c r="B89" s="13" t="s">
        <v>439</v>
      </c>
      <c r="G89" s="9" t="s">
        <v>926</v>
      </c>
      <c r="H89" t="str">
        <f t="shared" si="1"/>
        <v>生命值高</v>
      </c>
    </row>
    <row r="90" ht="15" spans="1:8">
      <c r="A90" s="9" t="s">
        <v>441</v>
      </c>
      <c r="B90" s="13" t="s">
        <v>442</v>
      </c>
      <c r="G90" s="9" t="s">
        <v>928</v>
      </c>
      <c r="H90" t="str">
        <f t="shared" si="1"/>
        <v>业力低</v>
      </c>
    </row>
    <row r="91" ht="15" spans="1:8">
      <c r="A91" s="9" t="s">
        <v>444</v>
      </c>
      <c r="B91" s="2" t="s">
        <v>445</v>
      </c>
      <c r="G91" s="9" t="s">
        <v>930</v>
      </c>
      <c r="H91" t="str">
        <f t="shared" si="1"/>
        <v>业力中</v>
      </c>
    </row>
    <row r="92" ht="15" spans="1:8">
      <c r="A92" s="9" t="s">
        <v>447</v>
      </c>
      <c r="B92" s="2" t="s">
        <v>448</v>
      </c>
      <c r="G92" s="9" t="s">
        <v>932</v>
      </c>
      <c r="H92" t="str">
        <f t="shared" si="1"/>
        <v>业力高</v>
      </c>
    </row>
    <row r="93" ht="15" spans="1:8">
      <c r="A93" s="9" t="s">
        <v>450</v>
      </c>
      <c r="B93" s="2" t="s">
        <v>451</v>
      </c>
      <c r="G93" s="9" t="s">
        <v>692</v>
      </c>
      <c r="H93" t="str">
        <f t="shared" si="1"/>
        <v>|Cff00FF7F抽奖抵用券|r</v>
      </c>
    </row>
    <row r="94" ht="15" spans="1:8">
      <c r="A94" s="9" t="s">
        <v>453</v>
      </c>
      <c r="B94" s="2" t="s">
        <v>454</v>
      </c>
      <c r="G94" s="9" t="s">
        <v>911</v>
      </c>
      <c r="H94" t="str">
        <f t="shared" si="1"/>
        <v>没抽到任何东西</v>
      </c>
    </row>
    <row r="95" ht="15" spans="1:8">
      <c r="A95" s="9" t="s">
        <v>456</v>
      </c>
      <c r="B95" s="2" t="s">
        <v>457</v>
      </c>
      <c r="G95" s="11"/>
      <c r="H95" t="str">
        <f t="shared" si="1"/>
        <v/>
      </c>
    </row>
    <row r="96" ht="15" spans="1:8">
      <c r="A96" s="9" t="s">
        <v>459</v>
      </c>
      <c r="B96" s="12" t="s">
        <v>1249</v>
      </c>
      <c r="G96" s="8" t="s">
        <v>564</v>
      </c>
      <c r="H96" t="str">
        <f t="shared" si="1"/>
        <v>锦囊</v>
      </c>
    </row>
    <row r="97" ht="15" spans="1:8">
      <c r="A97" s="9" t="s">
        <v>461</v>
      </c>
      <c r="B97" s="12" t="s">
        <v>1250</v>
      </c>
      <c r="G97" s="9" t="s">
        <v>567</v>
      </c>
      <c r="H97" t="str">
        <f t="shared" si="1"/>
        <v>来份快餐</v>
      </c>
    </row>
    <row r="98" ht="15" spans="1:8">
      <c r="A98" s="9" t="s">
        <v>463</v>
      </c>
      <c r="B98" s="13" t="s">
        <v>1251</v>
      </c>
      <c r="G98" s="9" t="s">
        <v>570</v>
      </c>
      <c r="H98" t="str">
        <f t="shared" si="1"/>
        <v>抬你一手</v>
      </c>
    </row>
    <row r="99" ht="15" spans="1:8">
      <c r="A99" s="9" t="s">
        <v>465</v>
      </c>
      <c r="B99" s="13" t="s">
        <v>1252</v>
      </c>
      <c r="G99" s="9" t="s">
        <v>573</v>
      </c>
      <c r="H99" t="str">
        <f t="shared" si="1"/>
        <v>死者苏生</v>
      </c>
    </row>
    <row r="100" ht="15" spans="1:8">
      <c r="A100" s="9" t="s">
        <v>467</v>
      </c>
      <c r="B100" s="13" t="s">
        <v>1253</v>
      </c>
      <c r="G100" s="9" t="s">
        <v>576</v>
      </c>
      <c r="H100" t="str">
        <f t="shared" si="1"/>
        <v>福娃这么可爱..</v>
      </c>
    </row>
    <row r="101" ht="15" spans="1:8">
      <c r="A101" s="9" t="s">
        <v>469</v>
      </c>
      <c r="B101" s="2" t="s">
        <v>1254</v>
      </c>
      <c r="G101" s="9" t="s">
        <v>579</v>
      </c>
      <c r="H101" t="str">
        <f t="shared" si="1"/>
        <v>奥里给Lo他</v>
      </c>
    </row>
    <row r="102" ht="15" spans="1:8">
      <c r="A102" s="9" t="s">
        <v>471</v>
      </c>
      <c r="B102" s="2" t="s">
        <v>1255</v>
      </c>
      <c r="G102" s="9" t="s">
        <v>582</v>
      </c>
      <c r="H102" t="str">
        <f t="shared" si="1"/>
        <v>以逸待劳</v>
      </c>
    </row>
    <row r="103" ht="15" spans="1:8">
      <c r="A103" s="9" t="s">
        <v>473</v>
      </c>
      <c r="B103" s="2" t="s">
        <v>1256</v>
      </c>
      <c r="G103" s="9" t="s">
        <v>585</v>
      </c>
      <c r="H103" t="str">
        <f t="shared" si="1"/>
        <v>全军出击</v>
      </c>
    </row>
    <row r="104" ht="15" spans="1:8">
      <c r="A104" s="9" t="s">
        <v>475</v>
      </c>
      <c r="B104" s="2" t="s">
        <v>1257</v>
      </c>
      <c r="G104" s="9" t="s">
        <v>588</v>
      </c>
      <c r="H104" t="str">
        <f t="shared" si="1"/>
        <v>心跳时刻</v>
      </c>
    </row>
    <row r="105" ht="15" spans="1:8">
      <c r="A105" s="9" t="s">
        <v>477</v>
      </c>
      <c r="B105" s="2" t="s">
        <v>1258</v>
      </c>
      <c r="G105" s="9" t="s">
        <v>591</v>
      </c>
      <c r="H105" t="str">
        <f t="shared" si="1"/>
        <v>据守</v>
      </c>
    </row>
    <row r="106" ht="15" spans="1:8">
      <c r="A106" s="9" t="s">
        <v>479</v>
      </c>
      <c r="B106" s="9" t="s">
        <v>1259</v>
      </c>
      <c r="G106" s="9" t="s">
        <v>594</v>
      </c>
      <c r="H106" t="str">
        <f t="shared" si="1"/>
        <v>赌输可退</v>
      </c>
    </row>
    <row r="107" ht="15" spans="1:8">
      <c r="A107" s="9" t="s">
        <v>515</v>
      </c>
      <c r="B107" s="9" t="s">
        <v>502</v>
      </c>
      <c r="G107" s="9" t="s">
        <v>597</v>
      </c>
      <c r="H107" t="str">
        <f t="shared" si="1"/>
        <v>来点玄铁</v>
      </c>
    </row>
    <row r="108" ht="15" spans="1:8">
      <c r="A108" s="9" t="s">
        <v>517</v>
      </c>
      <c r="B108" s="9" t="s">
        <v>1260</v>
      </c>
      <c r="G108" s="9" t="s">
        <v>600</v>
      </c>
      <c r="H108" t="str">
        <f t="shared" si="1"/>
        <v>恭喜发财</v>
      </c>
    </row>
    <row r="109" ht="15" spans="1:8">
      <c r="A109" s="9" t="s">
        <v>520</v>
      </c>
      <c r="B109" s="9" t="s">
        <v>510</v>
      </c>
      <c r="G109" s="9" t="s">
        <v>607</v>
      </c>
      <c r="H109" t="str">
        <f t="shared" si="1"/>
        <v>鼠年大吉</v>
      </c>
    </row>
    <row r="110" ht="15" spans="1:8">
      <c r="A110" s="9" t="s">
        <v>522</v>
      </c>
      <c r="B110" s="9" t="s">
        <v>1261</v>
      </c>
      <c r="G110" s="9" t="s">
        <v>610</v>
      </c>
      <c r="H110" t="str">
        <f t="shared" si="1"/>
        <v>兄弟们拼了</v>
      </c>
    </row>
    <row r="111" ht="15" spans="1:8">
      <c r="A111" s="9" t="s">
        <v>523</v>
      </c>
      <c r="B111" s="14" t="s">
        <v>524</v>
      </c>
      <c r="G111" s="9" t="s">
        <v>613</v>
      </c>
      <c r="H111" t="str">
        <f t="shared" si="1"/>
        <v>老铁忍住啊</v>
      </c>
    </row>
    <row r="112" ht="15" spans="1:8">
      <c r="A112" s="9" t="s">
        <v>526</v>
      </c>
      <c r="B112" s="9" t="s">
        <v>527</v>
      </c>
      <c r="G112" s="9" t="s">
        <v>616</v>
      </c>
      <c r="H112" t="str">
        <f t="shared" si="1"/>
        <v>老铁忍住呀</v>
      </c>
    </row>
    <row r="113" ht="15" spans="1:8">
      <c r="A113" s="9" t="s">
        <v>529</v>
      </c>
      <c r="B113" s="9" t="s">
        <v>530</v>
      </c>
      <c r="G113" s="9" t="s">
        <v>619</v>
      </c>
      <c r="H113" t="str">
        <f t="shared" si="1"/>
        <v>跳不动了</v>
      </c>
    </row>
    <row r="114" ht="15" spans="1:8">
      <c r="A114" s="9" t="s">
        <v>532</v>
      </c>
      <c r="B114" s="9" t="s">
        <v>533</v>
      </c>
      <c r="G114" s="9" t="s">
        <v>916</v>
      </c>
      <c r="H114" t="str">
        <f t="shared" si="1"/>
        <v>攻击力低</v>
      </c>
    </row>
    <row r="115" ht="15" spans="1:8">
      <c r="A115" s="9" t="s">
        <v>535</v>
      </c>
      <c r="B115" s="9" t="s">
        <v>536</v>
      </c>
      <c r="G115" s="9" t="s">
        <v>922</v>
      </c>
      <c r="H115" t="str">
        <f t="shared" si="1"/>
        <v>生命值低</v>
      </c>
    </row>
    <row r="116" ht="15" spans="1:8">
      <c r="A116" s="9" t="s">
        <v>538</v>
      </c>
      <c r="B116" s="9" t="s">
        <v>539</v>
      </c>
      <c r="G116" s="9" t="s">
        <v>928</v>
      </c>
      <c r="H116" t="str">
        <f t="shared" si="1"/>
        <v>业力低</v>
      </c>
    </row>
    <row r="117" ht="15" spans="1:8">
      <c r="A117" s="9" t="s">
        <v>545</v>
      </c>
      <c r="B117" s="15" t="s">
        <v>546</v>
      </c>
      <c r="G117" s="11"/>
      <c r="H117" t="str">
        <f t="shared" si="1"/>
        <v/>
      </c>
    </row>
    <row r="118" ht="15" spans="1:8">
      <c r="A118" s="9" t="s">
        <v>548</v>
      </c>
      <c r="B118" s="16" t="s">
        <v>549</v>
      </c>
      <c r="G118" s="8" t="s">
        <v>603</v>
      </c>
      <c r="H118" t="str">
        <f t="shared" si="1"/>
        <v>附魔宝箱</v>
      </c>
    </row>
    <row r="119" ht="15" spans="1:8">
      <c r="A119" s="9" t="s">
        <v>552</v>
      </c>
      <c r="B119" s="16" t="s">
        <v>553</v>
      </c>
      <c r="G119" s="9" t="s">
        <v>780</v>
      </c>
      <c r="H119" t="str">
        <f t="shared" si="1"/>
        <v>Q技能附魔卷</v>
      </c>
    </row>
    <row r="120" ht="15" spans="1:8">
      <c r="A120" s="9" t="s">
        <v>556</v>
      </c>
      <c r="B120" s="16" t="s">
        <v>557</v>
      </c>
      <c r="G120" s="9" t="s">
        <v>784</v>
      </c>
      <c r="H120" t="str">
        <f t="shared" si="1"/>
        <v>W技能附魔卷</v>
      </c>
    </row>
    <row r="121" ht="15" spans="1:8">
      <c r="A121" s="9" t="s">
        <v>560</v>
      </c>
      <c r="B121" s="16" t="s">
        <v>561</v>
      </c>
      <c r="G121" s="9" t="s">
        <v>788</v>
      </c>
      <c r="H121" t="str">
        <f t="shared" si="1"/>
        <v>E技能附魔卷</v>
      </c>
    </row>
    <row r="122" ht="15" spans="1:8">
      <c r="A122" s="9" t="s">
        <v>564</v>
      </c>
      <c r="B122" s="9" t="s">
        <v>1262</v>
      </c>
      <c r="G122" s="9" t="s">
        <v>792</v>
      </c>
      <c r="H122" t="str">
        <f t="shared" si="1"/>
        <v>|CffFFD24DQ强力附魔卷|r</v>
      </c>
    </row>
    <row r="123" ht="15" spans="1:8">
      <c r="A123" s="17" t="s">
        <v>567</v>
      </c>
      <c r="B123" s="18" t="s">
        <v>1263</v>
      </c>
      <c r="G123" s="9" t="s">
        <v>795</v>
      </c>
      <c r="H123" t="str">
        <f t="shared" si="1"/>
        <v>|CffFFD24DW强力附魔卷|r</v>
      </c>
    </row>
    <row r="124" ht="15" spans="1:8">
      <c r="A124" s="9" t="s">
        <v>570</v>
      </c>
      <c r="B124" s="19" t="s">
        <v>1264</v>
      </c>
      <c r="G124" s="9" t="s">
        <v>798</v>
      </c>
      <c r="H124" t="str">
        <f t="shared" si="1"/>
        <v>|CffFFD24DE强力附魔卷|r</v>
      </c>
    </row>
    <row r="125" ht="15" spans="1:8">
      <c r="A125" s="17" t="s">
        <v>573</v>
      </c>
      <c r="B125" s="18" t="s">
        <v>1265</v>
      </c>
      <c r="G125" s="11"/>
      <c r="H125" t="str">
        <f t="shared" si="1"/>
        <v/>
      </c>
    </row>
    <row r="126" ht="15" spans="1:8">
      <c r="A126" s="17" t="s">
        <v>576</v>
      </c>
      <c r="B126" s="18" t="s">
        <v>1266</v>
      </c>
      <c r="G126" s="8" t="s">
        <v>634</v>
      </c>
      <c r="H126" t="str">
        <f t="shared" si="1"/>
        <v>|CffFFD24D技能宝箱|r</v>
      </c>
    </row>
    <row r="127" ht="15" spans="1:8">
      <c r="A127" s="17" t="s">
        <v>579</v>
      </c>
      <c r="B127" s="18" t="s">
        <v>1267</v>
      </c>
      <c r="G127" s="9" t="s">
        <v>520</v>
      </c>
      <c r="H127" t="str">
        <f t="shared" si="1"/>
        <v>|Cff00FF7F技能进阶石【残缺】|r</v>
      </c>
    </row>
    <row r="128" ht="15" spans="1:8">
      <c r="A128" s="17" t="s">
        <v>582</v>
      </c>
      <c r="B128" s="18" t="s">
        <v>1268</v>
      </c>
      <c r="G128" s="9" t="s">
        <v>515</v>
      </c>
      <c r="H128" t="str">
        <f t="shared" si="1"/>
        <v>|Cff00BFFF技能进阶石【完美】|r</v>
      </c>
    </row>
    <row r="129" ht="15" spans="1:8">
      <c r="A129" s="17" t="s">
        <v>585</v>
      </c>
      <c r="B129" s="18" t="s">
        <v>1269</v>
      </c>
      <c r="G129" s="9" t="s">
        <v>517</v>
      </c>
      <c r="H129" t="str">
        <f t="shared" si="1"/>
        <v>|CffFF0000技能进化石【完美】|r</v>
      </c>
    </row>
    <row r="130" ht="15" spans="1:8">
      <c r="A130" s="17" t="s">
        <v>588</v>
      </c>
      <c r="B130" s="18" t="s">
        <v>1270</v>
      </c>
      <c r="G130" s="9" t="s">
        <v>522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591</v>
      </c>
      <c r="B131" s="18" t="s">
        <v>1271</v>
      </c>
      <c r="G131" s="11"/>
      <c r="H131" t="str">
        <f t="shared" si="2"/>
        <v/>
      </c>
    </row>
    <row r="132" ht="15" spans="1:8">
      <c r="A132" s="17" t="s">
        <v>594</v>
      </c>
      <c r="B132" s="17" t="s">
        <v>595</v>
      </c>
      <c r="G132" s="8" t="s">
        <v>648</v>
      </c>
      <c r="H132" t="str">
        <f t="shared" si="2"/>
        <v>|CffFFD24D技能宝箱|r</v>
      </c>
    </row>
    <row r="133" ht="15" spans="1:8">
      <c r="A133" s="17" t="s">
        <v>597</v>
      </c>
      <c r="B133" s="18" t="s">
        <v>1272</v>
      </c>
      <c r="G133" s="9" t="s">
        <v>520</v>
      </c>
      <c r="H133" t="str">
        <f t="shared" si="2"/>
        <v>|Cff00FF7F技能进阶石【残缺】|r</v>
      </c>
    </row>
    <row r="134" ht="15" spans="1:8">
      <c r="A134" s="17" t="s">
        <v>600</v>
      </c>
      <c r="B134" s="18" t="s">
        <v>1273</v>
      </c>
      <c r="G134" s="9" t="s">
        <v>515</v>
      </c>
      <c r="H134" t="str">
        <f t="shared" si="2"/>
        <v>|Cff00BFFF技能进阶石【完美】|r</v>
      </c>
    </row>
    <row r="135" ht="15" spans="1:8">
      <c r="A135" s="9" t="s">
        <v>603</v>
      </c>
      <c r="B135" s="20" t="s">
        <v>604</v>
      </c>
      <c r="G135" s="11"/>
      <c r="H135" t="str">
        <f t="shared" si="2"/>
        <v/>
      </c>
    </row>
    <row r="136" ht="15" spans="1:8">
      <c r="A136" s="17" t="s">
        <v>607</v>
      </c>
      <c r="B136" s="21" t="s">
        <v>1274</v>
      </c>
      <c r="G136" s="8" t="s">
        <v>638</v>
      </c>
      <c r="H136" t="str">
        <f t="shared" si="2"/>
        <v>|CffFFD24D附魔宝箱|r</v>
      </c>
    </row>
    <row r="137" ht="15" spans="1:8">
      <c r="A137" s="17" t="s">
        <v>610</v>
      </c>
      <c r="B137" s="22" t="s">
        <v>1275</v>
      </c>
      <c r="G137" s="9" t="s">
        <v>780</v>
      </c>
      <c r="H137" t="str">
        <f t="shared" si="2"/>
        <v>Q技能附魔卷</v>
      </c>
    </row>
    <row r="138" ht="15" spans="1:8">
      <c r="A138" s="9" t="s">
        <v>613</v>
      </c>
      <c r="B138" s="23" t="s">
        <v>1276</v>
      </c>
      <c r="G138" s="9" t="s">
        <v>792</v>
      </c>
      <c r="H138" t="str">
        <f t="shared" si="2"/>
        <v>|CffFFD24DQ强力附魔卷|r</v>
      </c>
    </row>
    <row r="139" ht="15" spans="1:8">
      <c r="A139" s="17" t="s">
        <v>616</v>
      </c>
      <c r="B139" s="21" t="s">
        <v>1277</v>
      </c>
      <c r="G139" s="9"/>
      <c r="H139" t="str">
        <f t="shared" si="2"/>
        <v/>
      </c>
    </row>
    <row r="140" ht="15" spans="1:8">
      <c r="A140" s="17" t="s">
        <v>619</v>
      </c>
      <c r="B140" s="21" t="s">
        <v>1278</v>
      </c>
      <c r="G140" s="8"/>
      <c r="H140" t="str">
        <f t="shared" si="2"/>
        <v/>
      </c>
    </row>
    <row r="141" ht="15" spans="1:8">
      <c r="A141" s="24" t="s">
        <v>622</v>
      </c>
      <c r="B141" s="23" t="s">
        <v>623</v>
      </c>
      <c r="G141" s="9" t="s">
        <v>878</v>
      </c>
      <c r="H141" t="str">
        <f t="shared" si="2"/>
        <v>附魔</v>
      </c>
    </row>
    <row r="142" ht="15" spans="1:8">
      <c r="A142" s="24" t="s">
        <v>626</v>
      </c>
      <c r="B142" s="23" t="s">
        <v>627</v>
      </c>
      <c r="G142" s="9" t="s">
        <v>880</v>
      </c>
      <c r="H142" t="str">
        <f t="shared" si="2"/>
        <v>附魔</v>
      </c>
    </row>
    <row r="143" ht="15" spans="1:8">
      <c r="A143" s="24" t="s">
        <v>630</v>
      </c>
      <c r="B143" s="23" t="s">
        <v>631</v>
      </c>
      <c r="G143" s="9" t="s">
        <v>881</v>
      </c>
      <c r="H143" t="str">
        <f t="shared" si="2"/>
        <v>附魔</v>
      </c>
    </row>
    <row r="144" ht="15" spans="1:8">
      <c r="A144" s="24" t="s">
        <v>634</v>
      </c>
      <c r="B144" s="20" t="s">
        <v>635</v>
      </c>
      <c r="G144" s="9" t="s">
        <v>882</v>
      </c>
      <c r="H144" t="str">
        <f t="shared" si="2"/>
        <v>附魔</v>
      </c>
    </row>
    <row r="145" ht="15" spans="1:8">
      <c r="A145" s="24" t="s">
        <v>638</v>
      </c>
      <c r="B145" s="20" t="s">
        <v>639</v>
      </c>
      <c r="G145" s="9" t="s">
        <v>883</v>
      </c>
      <c r="H145" t="str">
        <f t="shared" si="2"/>
        <v>附魔</v>
      </c>
    </row>
    <row r="146" ht="15" spans="1:8">
      <c r="A146" s="24" t="s">
        <v>640</v>
      </c>
      <c r="B146" s="20" t="s">
        <v>1279</v>
      </c>
      <c r="G146" s="9" t="s">
        <v>884</v>
      </c>
      <c r="H146" t="str">
        <f t="shared" si="2"/>
        <v>附魔</v>
      </c>
    </row>
    <row r="147" ht="15" spans="1:8">
      <c r="A147" s="24" t="s">
        <v>644</v>
      </c>
      <c r="B147" s="20" t="s">
        <v>1280</v>
      </c>
      <c r="G147" s="9" t="s">
        <v>885</v>
      </c>
      <c r="H147" t="str">
        <f t="shared" si="2"/>
        <v>附魔</v>
      </c>
    </row>
    <row r="148" ht="15" spans="1:8">
      <c r="A148" s="24" t="s">
        <v>648</v>
      </c>
      <c r="B148" s="20" t="s">
        <v>635</v>
      </c>
      <c r="G148" s="9" t="s">
        <v>886</v>
      </c>
      <c r="H148" t="str">
        <f t="shared" si="2"/>
        <v>附魔</v>
      </c>
    </row>
    <row r="149" ht="15" spans="1:8">
      <c r="A149" s="9" t="s">
        <v>673</v>
      </c>
      <c r="B149" s="9" t="s">
        <v>1281</v>
      </c>
      <c r="G149" s="9" t="s">
        <v>887</v>
      </c>
      <c r="H149" t="str">
        <f t="shared" si="2"/>
        <v>附魔</v>
      </c>
    </row>
    <row r="150" ht="15" spans="1:8">
      <c r="A150" s="9" t="s">
        <v>676</v>
      </c>
      <c r="B150" s="15" t="s">
        <v>677</v>
      </c>
      <c r="G150" s="9" t="s">
        <v>888</v>
      </c>
      <c r="H150" t="str">
        <f t="shared" si="2"/>
        <v>附魔</v>
      </c>
    </row>
    <row r="151" ht="15" spans="1:8">
      <c r="A151" s="9" t="s">
        <v>679</v>
      </c>
      <c r="B151" s="15" t="s">
        <v>680</v>
      </c>
      <c r="G151" s="9" t="s">
        <v>889</v>
      </c>
      <c r="H151" t="str">
        <f t="shared" si="2"/>
        <v>附魔</v>
      </c>
    </row>
    <row r="152" ht="15" spans="1:8">
      <c r="A152" s="9" t="s">
        <v>682</v>
      </c>
      <c r="B152" s="15" t="s">
        <v>683</v>
      </c>
      <c r="G152" s="9" t="s">
        <v>890</v>
      </c>
      <c r="H152" t="str">
        <f t="shared" si="2"/>
        <v>附魔</v>
      </c>
    </row>
    <row r="153" ht="15" spans="1:8">
      <c r="A153" s="9" t="s">
        <v>685</v>
      </c>
      <c r="B153" s="15" t="s">
        <v>686</v>
      </c>
      <c r="G153" s="9" t="s">
        <v>891</v>
      </c>
      <c r="H153" t="str">
        <f t="shared" si="2"/>
        <v>附魔</v>
      </c>
    </row>
    <row r="154" ht="15" spans="1:8">
      <c r="A154" s="9" t="s">
        <v>688</v>
      </c>
      <c r="B154" s="25" t="s">
        <v>689</v>
      </c>
      <c r="G154" s="9" t="s">
        <v>892</v>
      </c>
      <c r="H154" t="str">
        <f t="shared" si="2"/>
        <v>附魔</v>
      </c>
    </row>
    <row r="155" ht="15" spans="1:8">
      <c r="A155" s="9" t="s">
        <v>692</v>
      </c>
      <c r="B155" s="25" t="s">
        <v>693</v>
      </c>
      <c r="G155" s="9" t="s">
        <v>893</v>
      </c>
      <c r="H155" t="str">
        <f t="shared" si="2"/>
        <v>附魔</v>
      </c>
    </row>
    <row r="156" ht="15" spans="1:8">
      <c r="A156" s="9" t="s">
        <v>695</v>
      </c>
      <c r="B156" s="25" t="s">
        <v>696</v>
      </c>
      <c r="G156" s="9" t="s">
        <v>894</v>
      </c>
      <c r="H156" t="str">
        <f t="shared" si="2"/>
        <v>附魔</v>
      </c>
    </row>
    <row r="157" ht="15" spans="1:8">
      <c r="A157" s="9" t="s">
        <v>699</v>
      </c>
      <c r="B157" s="25" t="s">
        <v>700</v>
      </c>
      <c r="G157" s="11"/>
      <c r="H157" t="str">
        <f t="shared" si="2"/>
        <v/>
      </c>
    </row>
    <row r="158" ht="15" spans="1:8">
      <c r="A158" s="9" t="s">
        <v>704</v>
      </c>
      <c r="B158" s="15" t="s">
        <v>705</v>
      </c>
      <c r="G158" s="8"/>
      <c r="H158" t="str">
        <f t="shared" si="2"/>
        <v/>
      </c>
    </row>
    <row r="159" ht="15" spans="1:8">
      <c r="A159" s="9" t="s">
        <v>706</v>
      </c>
      <c r="B159" s="15" t="s">
        <v>707</v>
      </c>
      <c r="G159" s="9" t="s">
        <v>895</v>
      </c>
      <c r="H159" t="str">
        <f t="shared" si="2"/>
        <v>附魔</v>
      </c>
    </row>
    <row r="160" ht="15" spans="1:8">
      <c r="A160" s="9" t="s">
        <v>708</v>
      </c>
      <c r="B160" s="15" t="s">
        <v>709</v>
      </c>
      <c r="G160" s="9" t="s">
        <v>896</v>
      </c>
      <c r="H160" t="str">
        <f t="shared" si="2"/>
        <v>附魔</v>
      </c>
    </row>
    <row r="161" ht="15" spans="1:8">
      <c r="A161" s="9" t="s">
        <v>710</v>
      </c>
      <c r="B161" s="15" t="s">
        <v>711</v>
      </c>
      <c r="G161" s="9" t="s">
        <v>897</v>
      </c>
      <c r="H161" t="str">
        <f t="shared" si="2"/>
        <v>附魔</v>
      </c>
    </row>
    <row r="162" ht="15" spans="1:8">
      <c r="A162" s="9" t="s">
        <v>712</v>
      </c>
      <c r="B162" s="15" t="s">
        <v>713</v>
      </c>
      <c r="G162" s="9" t="s">
        <v>898</v>
      </c>
      <c r="H162" t="str">
        <f t="shared" si="2"/>
        <v>附魔</v>
      </c>
    </row>
    <row r="163" ht="15" spans="1:8">
      <c r="A163" s="9" t="s">
        <v>714</v>
      </c>
      <c r="B163" s="15" t="s">
        <v>715</v>
      </c>
      <c r="G163" s="9" t="s">
        <v>899</v>
      </c>
      <c r="H163" t="str">
        <f t="shared" si="2"/>
        <v>附魔</v>
      </c>
    </row>
    <row r="164" ht="15" spans="1:8">
      <c r="A164" s="9" t="s">
        <v>716</v>
      </c>
      <c r="B164" s="15" t="s">
        <v>717</v>
      </c>
      <c r="G164" s="9" t="s">
        <v>900</v>
      </c>
      <c r="H164" t="str">
        <f t="shared" si="2"/>
        <v>附魔</v>
      </c>
    </row>
    <row r="165" ht="15" spans="1:8">
      <c r="A165" s="9" t="s">
        <v>719</v>
      </c>
      <c r="B165" s="15" t="s">
        <v>720</v>
      </c>
      <c r="G165" s="9" t="s">
        <v>901</v>
      </c>
      <c r="H165" t="str">
        <f t="shared" si="2"/>
        <v>附魔</v>
      </c>
    </row>
    <row r="166" ht="15" spans="1:8">
      <c r="A166" s="9" t="s">
        <v>721</v>
      </c>
      <c r="B166" s="15" t="s">
        <v>722</v>
      </c>
      <c r="G166" s="9" t="s">
        <v>902</v>
      </c>
      <c r="H166" t="str">
        <f t="shared" si="2"/>
        <v>附魔</v>
      </c>
    </row>
    <row r="167" ht="15" spans="1:8">
      <c r="A167" s="9" t="s">
        <v>723</v>
      </c>
      <c r="B167" s="15" t="s">
        <v>724</v>
      </c>
      <c r="G167" s="9" t="s">
        <v>903</v>
      </c>
      <c r="H167" t="str">
        <f t="shared" si="2"/>
        <v>附魔</v>
      </c>
    </row>
    <row r="168" ht="15" spans="1:8">
      <c r="A168" s="9" t="s">
        <v>725</v>
      </c>
      <c r="B168" s="15" t="s">
        <v>726</v>
      </c>
      <c r="G168" s="9" t="s">
        <v>904</v>
      </c>
      <c r="H168" t="str">
        <f t="shared" si="2"/>
        <v>附魔</v>
      </c>
    </row>
    <row r="169" ht="15" spans="1:8">
      <c r="A169" s="9" t="s">
        <v>728</v>
      </c>
      <c r="B169" s="15" t="s">
        <v>729</v>
      </c>
      <c r="G169" s="9" t="s">
        <v>905</v>
      </c>
      <c r="H169" t="str">
        <f t="shared" si="2"/>
        <v>附魔</v>
      </c>
    </row>
    <row r="170" ht="15" spans="1:8">
      <c r="A170" s="9" t="s">
        <v>731</v>
      </c>
      <c r="B170" s="15" t="s">
        <v>732</v>
      </c>
      <c r="G170" s="9" t="s">
        <v>906</v>
      </c>
      <c r="H170" t="str">
        <f t="shared" si="2"/>
        <v>附魔</v>
      </c>
    </row>
    <row r="171" ht="15" spans="1:8">
      <c r="A171" s="9" t="s">
        <v>734</v>
      </c>
      <c r="B171" s="15" t="s">
        <v>735</v>
      </c>
      <c r="G171" s="9" t="s">
        <v>907</v>
      </c>
      <c r="H171" t="str">
        <f t="shared" si="2"/>
        <v>附魔</v>
      </c>
    </row>
    <row r="172" ht="15" spans="1:8">
      <c r="A172" s="9" t="s">
        <v>736</v>
      </c>
      <c r="B172" s="15" t="s">
        <v>737</v>
      </c>
      <c r="G172" s="9" t="s">
        <v>908</v>
      </c>
      <c r="H172" t="str">
        <f t="shared" si="2"/>
        <v>附魔</v>
      </c>
    </row>
    <row r="173" ht="15" spans="1:8">
      <c r="A173" s="9" t="s">
        <v>739</v>
      </c>
      <c r="B173" s="15" t="s">
        <v>740</v>
      </c>
      <c r="G173" s="9" t="s">
        <v>909</v>
      </c>
      <c r="H173" t="str">
        <f t="shared" si="2"/>
        <v>附魔</v>
      </c>
    </row>
    <row r="174" ht="15" spans="1:8">
      <c r="A174" s="9" t="s">
        <v>750</v>
      </c>
      <c r="B174" s="15" t="s">
        <v>751</v>
      </c>
      <c r="G174" s="9" t="s">
        <v>910</v>
      </c>
      <c r="H174" t="e">
        <f t="shared" si="2"/>
        <v>#N/A</v>
      </c>
    </row>
    <row r="175" ht="15" spans="1:2">
      <c r="A175" s="9" t="s">
        <v>762</v>
      </c>
      <c r="B175" s="15" t="s">
        <v>1282</v>
      </c>
    </row>
    <row r="176" ht="15" spans="1:2">
      <c r="A176" s="9" t="s">
        <v>765</v>
      </c>
      <c r="B176" s="15" t="s">
        <v>1283</v>
      </c>
    </row>
    <row r="177" ht="15" spans="1:2">
      <c r="A177" s="9" t="s">
        <v>768</v>
      </c>
      <c r="B177" s="15" t="s">
        <v>1284</v>
      </c>
    </row>
    <row r="178" ht="15" spans="1:2">
      <c r="A178" s="9" t="s">
        <v>780</v>
      </c>
      <c r="B178" s="15" t="s">
        <v>1285</v>
      </c>
    </row>
    <row r="179" ht="15" spans="1:2">
      <c r="A179" s="9" t="s">
        <v>784</v>
      </c>
      <c r="B179" s="15" t="s">
        <v>1286</v>
      </c>
    </row>
    <row r="180" ht="15" spans="1:2">
      <c r="A180" s="9" t="s">
        <v>788</v>
      </c>
      <c r="B180" s="15" t="s">
        <v>1287</v>
      </c>
    </row>
    <row r="181" ht="15" spans="1:2">
      <c r="A181" s="9" t="s">
        <v>792</v>
      </c>
      <c r="B181" s="25" t="s">
        <v>1288</v>
      </c>
    </row>
    <row r="182" ht="15" spans="1:2">
      <c r="A182" s="9" t="s">
        <v>795</v>
      </c>
      <c r="B182" s="26" t="s">
        <v>1289</v>
      </c>
    </row>
    <row r="183" ht="15" spans="1:2">
      <c r="A183" s="9" t="s">
        <v>798</v>
      </c>
      <c r="B183" s="26" t="s">
        <v>1290</v>
      </c>
    </row>
    <row r="184" ht="15" spans="1:2">
      <c r="A184" s="9" t="s">
        <v>801</v>
      </c>
      <c r="B184" s="15" t="s">
        <v>802</v>
      </c>
    </row>
    <row r="185" ht="15" spans="1:2">
      <c r="A185" s="9" t="s">
        <v>803</v>
      </c>
      <c r="B185" s="15" t="s">
        <v>804</v>
      </c>
    </row>
    <row r="186" ht="15" spans="1:2">
      <c r="A186" s="9" t="s">
        <v>813</v>
      </c>
      <c r="B186" s="15" t="s">
        <v>814</v>
      </c>
    </row>
    <row r="187" ht="15" spans="1:2">
      <c r="A187" s="9" t="s">
        <v>816</v>
      </c>
      <c r="B187" s="15" t="s">
        <v>817</v>
      </c>
    </row>
    <row r="188" ht="14.4" spans="1:2">
      <c r="A188" s="27" t="s">
        <v>823</v>
      </c>
      <c r="B188" s="28" t="s">
        <v>824</v>
      </c>
    </row>
    <row r="189" ht="14.4" spans="1:2">
      <c r="A189" s="27" t="s">
        <v>826</v>
      </c>
      <c r="B189" s="28" t="s">
        <v>827</v>
      </c>
    </row>
    <row r="190" ht="14.4" spans="1:2">
      <c r="A190" s="27" t="s">
        <v>829</v>
      </c>
      <c r="B190" s="28" t="s">
        <v>830</v>
      </c>
    </row>
    <row r="191" ht="14.4" spans="1:2">
      <c r="A191" s="27" t="s">
        <v>832</v>
      </c>
      <c r="B191" s="28" t="s">
        <v>833</v>
      </c>
    </row>
    <row r="192" ht="14.4" spans="1:2">
      <c r="A192" s="27" t="s">
        <v>835</v>
      </c>
      <c r="B192" s="28" t="s">
        <v>836</v>
      </c>
    </row>
    <row r="193" ht="14.4" spans="1:2">
      <c r="A193" s="27" t="s">
        <v>838</v>
      </c>
      <c r="B193" s="28" t="s">
        <v>839</v>
      </c>
    </row>
    <row r="194" ht="14.4" spans="1:2">
      <c r="A194" s="27" t="s">
        <v>841</v>
      </c>
      <c r="B194" s="28" t="s">
        <v>842</v>
      </c>
    </row>
    <row r="195" ht="14.4" spans="1:2">
      <c r="A195" s="27" t="s">
        <v>844</v>
      </c>
      <c r="B195" s="28" t="s">
        <v>845</v>
      </c>
    </row>
    <row r="196" ht="14.4" spans="1:2">
      <c r="A196" s="27" t="s">
        <v>847</v>
      </c>
      <c r="B196" s="28" t="s">
        <v>848</v>
      </c>
    </row>
    <row r="197" ht="14.4" spans="1:2">
      <c r="A197" s="27" t="s">
        <v>1291</v>
      </c>
      <c r="B197" s="28" t="str">
        <f>"已领取"&amp;B188</f>
        <v>已领取公众号礼包</v>
      </c>
    </row>
    <row r="198" ht="14.4" spans="1:2">
      <c r="A198" s="27" t="s">
        <v>1292</v>
      </c>
      <c r="B198" s="28" t="str">
        <f t="shared" ref="B198:B205" si="3">"已领取"&amp;B189</f>
        <v>已领取入群礼包</v>
      </c>
    </row>
    <row r="199" ht="14.4" spans="1:2">
      <c r="A199" s="27" t="s">
        <v>1293</v>
      </c>
      <c r="B199" s="28" t="str">
        <f t="shared" si="3"/>
        <v>已领取拜年礼包</v>
      </c>
    </row>
    <row r="200" ht="14.4" spans="1:2">
      <c r="A200" s="27" t="s">
        <v>1294</v>
      </c>
      <c r="B200" s="28" t="str">
        <f t="shared" si="3"/>
        <v>已领取收藏礼包</v>
      </c>
    </row>
    <row r="201" ht="14.4" spans="1:2">
      <c r="A201" s="27" t="s">
        <v>1295</v>
      </c>
      <c r="B201" s="28" t="str">
        <f t="shared" si="3"/>
        <v>已领取重置版礼包</v>
      </c>
    </row>
    <row r="202" ht="14.4" spans="1:2">
      <c r="A202" s="27" t="s">
        <v>1296</v>
      </c>
      <c r="B202" s="28" t="str">
        <f t="shared" si="3"/>
        <v>已领取公会福利</v>
      </c>
    </row>
    <row r="203" ht="14.4" spans="1:2">
      <c r="A203" s="27" t="s">
        <v>1297</v>
      </c>
      <c r="B203" s="28" t="str">
        <f t="shared" si="3"/>
        <v>已领取星耀礼包</v>
      </c>
    </row>
    <row r="204" ht="14.4" spans="1:2">
      <c r="A204" s="27" t="s">
        <v>1298</v>
      </c>
      <c r="B204" s="28" t="str">
        <f t="shared" si="3"/>
        <v>已领取魔芝RPG礼包</v>
      </c>
    </row>
    <row r="205" ht="14.4" spans="1:2">
      <c r="A205" s="27" t="s">
        <v>1299</v>
      </c>
      <c r="B205" s="28" t="str">
        <f t="shared" si="3"/>
        <v>已领取老铁礼包</v>
      </c>
    </row>
    <row r="206" spans="1:2">
      <c r="A206" s="27" t="s">
        <v>878</v>
      </c>
      <c r="B206" s="29" t="s">
        <v>879</v>
      </c>
    </row>
    <row r="207" spans="1:2">
      <c r="A207" s="27" t="s">
        <v>880</v>
      </c>
      <c r="B207" s="29" t="s">
        <v>879</v>
      </c>
    </row>
    <row r="208" spans="1:2">
      <c r="A208" s="27" t="s">
        <v>881</v>
      </c>
      <c r="B208" s="29" t="s">
        <v>879</v>
      </c>
    </row>
    <row r="209" spans="1:2">
      <c r="A209" s="27" t="s">
        <v>882</v>
      </c>
      <c r="B209" s="29" t="s">
        <v>879</v>
      </c>
    </row>
    <row r="210" spans="1:2">
      <c r="A210" s="27" t="s">
        <v>883</v>
      </c>
      <c r="B210" s="29" t="s">
        <v>879</v>
      </c>
    </row>
    <row r="211" spans="1:2">
      <c r="A211" s="27" t="s">
        <v>884</v>
      </c>
      <c r="B211" s="29" t="s">
        <v>879</v>
      </c>
    </row>
    <row r="212" spans="1:2">
      <c r="A212" s="27" t="s">
        <v>885</v>
      </c>
      <c r="B212" s="29" t="s">
        <v>879</v>
      </c>
    </row>
    <row r="213" spans="1:2">
      <c r="A213" s="27" t="s">
        <v>886</v>
      </c>
      <c r="B213" s="29" t="s">
        <v>879</v>
      </c>
    </row>
    <row r="214" spans="1:2">
      <c r="A214" s="27" t="s">
        <v>887</v>
      </c>
      <c r="B214" s="29" t="s">
        <v>879</v>
      </c>
    </row>
    <row r="215" spans="1:2">
      <c r="A215" s="27" t="s">
        <v>888</v>
      </c>
      <c r="B215" s="29" t="s">
        <v>879</v>
      </c>
    </row>
    <row r="216" spans="1:2">
      <c r="A216" s="27" t="s">
        <v>889</v>
      </c>
      <c r="B216" s="29" t="s">
        <v>879</v>
      </c>
    </row>
    <row r="217" spans="1:2">
      <c r="A217" s="27" t="s">
        <v>890</v>
      </c>
      <c r="B217" s="29" t="s">
        <v>879</v>
      </c>
    </row>
    <row r="218" spans="1:2">
      <c r="A218" s="27" t="s">
        <v>891</v>
      </c>
      <c r="B218" s="29" t="s">
        <v>879</v>
      </c>
    </row>
    <row r="219" spans="1:2">
      <c r="A219" s="27" t="s">
        <v>892</v>
      </c>
      <c r="B219" s="29" t="s">
        <v>879</v>
      </c>
    </row>
    <row r="220" spans="1:2">
      <c r="A220" s="27" t="s">
        <v>893</v>
      </c>
      <c r="B220" s="29" t="s">
        <v>879</v>
      </c>
    </row>
    <row r="221" spans="1:2">
      <c r="A221" s="27" t="s">
        <v>894</v>
      </c>
      <c r="B221" s="29" t="s">
        <v>879</v>
      </c>
    </row>
    <row r="222" spans="1:2">
      <c r="A222" s="27" t="s">
        <v>895</v>
      </c>
      <c r="B222" s="29" t="s">
        <v>879</v>
      </c>
    </row>
    <row r="223" spans="1:2">
      <c r="A223" s="27" t="s">
        <v>896</v>
      </c>
      <c r="B223" s="29" t="s">
        <v>879</v>
      </c>
    </row>
    <row r="224" spans="1:2">
      <c r="A224" s="27" t="s">
        <v>897</v>
      </c>
      <c r="B224" s="29" t="s">
        <v>879</v>
      </c>
    </row>
    <row r="225" spans="1:2">
      <c r="A225" s="27" t="s">
        <v>898</v>
      </c>
      <c r="B225" s="29" t="s">
        <v>879</v>
      </c>
    </row>
    <row r="226" spans="1:2">
      <c r="A226" s="27" t="s">
        <v>899</v>
      </c>
      <c r="B226" s="29" t="s">
        <v>879</v>
      </c>
    </row>
    <row r="227" spans="1:2">
      <c r="A227" s="27" t="s">
        <v>900</v>
      </c>
      <c r="B227" s="29" t="s">
        <v>879</v>
      </c>
    </row>
    <row r="228" spans="1:2">
      <c r="A228" s="27" t="s">
        <v>901</v>
      </c>
      <c r="B228" s="29" t="s">
        <v>879</v>
      </c>
    </row>
    <row r="229" spans="1:2">
      <c r="A229" s="27" t="s">
        <v>902</v>
      </c>
      <c r="B229" s="29" t="s">
        <v>879</v>
      </c>
    </row>
    <row r="230" spans="1:2">
      <c r="A230" s="27" t="s">
        <v>903</v>
      </c>
      <c r="B230" s="29" t="s">
        <v>879</v>
      </c>
    </row>
    <row r="231" spans="1:2">
      <c r="A231" s="27" t="s">
        <v>904</v>
      </c>
      <c r="B231" s="29" t="s">
        <v>879</v>
      </c>
    </row>
    <row r="232" spans="1:2">
      <c r="A232" s="27" t="s">
        <v>905</v>
      </c>
      <c r="B232" s="29" t="s">
        <v>879</v>
      </c>
    </row>
    <row r="233" spans="1:2">
      <c r="A233" s="27" t="s">
        <v>906</v>
      </c>
      <c r="B233" s="29" t="s">
        <v>879</v>
      </c>
    </row>
    <row r="234" spans="1:2">
      <c r="A234" s="27" t="s">
        <v>907</v>
      </c>
      <c r="B234" s="29" t="s">
        <v>879</v>
      </c>
    </row>
    <row r="235" spans="1:2">
      <c r="A235" s="27" t="s">
        <v>908</v>
      </c>
      <c r="B235" s="29" t="s">
        <v>879</v>
      </c>
    </row>
    <row r="236" spans="1:2">
      <c r="A236" s="27" t="s">
        <v>909</v>
      </c>
      <c r="B236" s="29" t="s">
        <v>879</v>
      </c>
    </row>
    <row r="237" ht="15" spans="1:2">
      <c r="A237" s="9" t="s">
        <v>911</v>
      </c>
      <c r="B237" s="9" t="s">
        <v>912</v>
      </c>
    </row>
    <row r="238" ht="15" spans="1:2">
      <c r="A238" s="9" t="s">
        <v>913</v>
      </c>
      <c r="B238" s="9" t="s">
        <v>914</v>
      </c>
    </row>
    <row r="239" ht="15" spans="1:2">
      <c r="A239" s="9" t="s">
        <v>915</v>
      </c>
      <c r="B239" s="9" t="s">
        <v>127</v>
      </c>
    </row>
    <row r="240" ht="15" spans="1:2">
      <c r="A240" s="9" t="s">
        <v>916</v>
      </c>
      <c r="B240" s="9" t="s">
        <v>917</v>
      </c>
    </row>
    <row r="241" ht="15" spans="1:2">
      <c r="A241" s="9" t="s">
        <v>918</v>
      </c>
      <c r="B241" s="9" t="s">
        <v>919</v>
      </c>
    </row>
    <row r="242" ht="15" spans="1:2">
      <c r="A242" s="9" t="s">
        <v>920</v>
      </c>
      <c r="B242" s="9" t="s">
        <v>921</v>
      </c>
    </row>
    <row r="243" ht="15" spans="1:2">
      <c r="A243" s="9" t="s">
        <v>922</v>
      </c>
      <c r="B243" s="9" t="s">
        <v>923</v>
      </c>
    </row>
    <row r="244" ht="15" spans="1:2">
      <c r="A244" s="9" t="s">
        <v>924</v>
      </c>
      <c r="B244" s="9" t="s">
        <v>925</v>
      </c>
    </row>
    <row r="245" ht="15" spans="1:2">
      <c r="A245" s="9" t="s">
        <v>926</v>
      </c>
      <c r="B245" s="9" t="s">
        <v>927</v>
      </c>
    </row>
    <row r="246" ht="15" spans="1:2">
      <c r="A246" s="9" t="s">
        <v>928</v>
      </c>
      <c r="B246" s="9" t="s">
        <v>929</v>
      </c>
    </row>
    <row r="247" ht="15" spans="1:2">
      <c r="A247" s="9" t="s">
        <v>930</v>
      </c>
      <c r="B247" s="9" t="s">
        <v>931</v>
      </c>
    </row>
    <row r="248" ht="15" spans="1:2">
      <c r="A248" s="9" t="s">
        <v>932</v>
      </c>
      <c r="B248" s="9" t="s">
        <v>933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2020-04-07T04:32:37Z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