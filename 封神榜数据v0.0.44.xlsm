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15" windowHeight="7410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externalReferences>
    <externalReference r:id="rId6"/>
  </externalReferences>
  <definedNames>
    <definedName name="副本折算境界">0.7</definedName>
    <definedName name="怪类型">[1]常数查询!$B$2:$F$6</definedName>
  </definedNames>
  <calcPr calcId="144525"/>
</workbook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<sst xmlns="http://schemas.openxmlformats.org/spreadsheetml/2006/main" count="2379" uniqueCount="1633">
  <si>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</si>
  <si>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</si>
  <si>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</si>
  <si>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</si>
  <si>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</si>
  <si>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</si>
  <si>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</si>
  <si>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</si>
  <si>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</si>
  <si>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</si>
  <si>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</si>
  <si>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</si>
  <si>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</si>
  <si>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</si>
  <si>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</si>
  <si>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</si>
  <si>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</si>
  <si>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</si>
  <si>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</si>
  <si>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</si>
  <si>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</si>
  <si>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</si>
  <si>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</si>
  <si>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</si>
  <si>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</si>
  <si>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</si>
  <si>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</si>
  <si>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</si>
  <si>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</si>
  <si>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</si>
  <si>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</si>
  <si>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</si>
  <si>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</si>
  <si>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</si>
  <si>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</si>
  <si>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</si>
  <si>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</si>
  <si>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</si>
  <si>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</si>
  <si>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</si>
  <si>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</si>
  <si>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</si>
  <si>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</si>
  <si>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</si>
  <si>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</si>
  <si>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</si>
  <si>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</si>
  <si>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</si>
  <si>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</si>
  <si>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</si>
  <si>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</si>
  <si>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</si>
  <si>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</si>
  <si>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</si>
  <si>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</si>
  <si>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</si>
  <si>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</si>
  <si>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</si>
  <si>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</si>
  <si>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</si>
  <si>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</si>
  <si>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</si>
  <si>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</si>
  <si>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</si>
  <si>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</si>
  <si>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</si>
  <si>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</si>
  <si>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</si>
  <si>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</si>
  <si>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</si>
  <si>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</si>
  <si>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</si>
  <si>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</si>
  <si>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</si>
  <si>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</si>
  <si>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</si>
  <si>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</si>
  <si>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</si>
  <si>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</si>
  <si>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</si>
  <si>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</si>
  <si>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</si>
  <si>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</si>
  <si>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</si>
  <si>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</si>
  <si>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</si>
  <si>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</si>
  <si>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</si>
  <si>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</si>
  <si>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</si>
  <si>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</si>
  <si>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</si>
  <si>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</si>
  <si>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</si>
  <si>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</si>
  <si>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</si>
  <si>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</si>
  <si>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</si>
  <si>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</si>
  <si>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</si>
  <si>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</si>
  <si>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</si>
  <si>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</si>
  <si>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</si>
  <si>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</si>
  <si>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</si>
  <si>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</si>
  <si>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</si>
  <si>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</si>
  <si>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</si>
  <si>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</si>
  <si>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</si>
  <si>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</si>
  <si>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</si>
  <si>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</si>
  <si>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</si>
  <si>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</si>
  <si>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</si>
  <si>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</si>
  <si>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</si>
  <si>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</si>
  <si>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</si>
  <si>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</si>
  <si>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</si>
  <si>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</si>
  <si>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</si>
  <si>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</si>
  <si>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</si>
  <si>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</si>
  <si>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charset val="134"/>
      </rPr>
      <t>E001</t>
    </r>
  </si>
  <si>
    <t>武器</t>
  </si>
  <si>
    <r>
      <rPr>
        <sz val="11"/>
        <color theme="1"/>
        <rFont val="宋体"/>
        <charset val="134"/>
      </rPr>
      <t>E002</t>
    </r>
  </si>
  <si>
    <r>
      <rPr>
        <sz val="11"/>
        <color theme="1"/>
        <rFont val="宋体"/>
        <charset val="134"/>
      </rPr>
      <t>E003</t>
    </r>
  </si>
  <si>
    <r>
      <rPr>
        <sz val="11"/>
        <color theme="1"/>
        <rFont val="宋体"/>
        <charset val="134"/>
      </rPr>
      <t>E004</t>
    </r>
  </si>
  <si>
    <r>
      <rPr>
        <sz val="11"/>
        <color theme="1"/>
        <rFont val="宋体"/>
        <charset val="134"/>
      </rPr>
      <t>E005</t>
    </r>
  </si>
  <si>
    <r>
      <rPr>
        <sz val="11"/>
        <color theme="1"/>
        <rFont val="宋体"/>
        <charset val="134"/>
      </rPr>
      <t>E006</t>
    </r>
  </si>
  <si>
    <r>
      <rPr>
        <sz val="11"/>
        <color theme="1"/>
        <rFont val="宋体"/>
        <charset val="134"/>
      </rPr>
      <t>E007</t>
    </r>
  </si>
  <si>
    <r>
      <rPr>
        <sz val="11"/>
        <color theme="1"/>
        <rFont val="宋体"/>
        <charset val="134"/>
      </rPr>
      <t>E008</t>
    </r>
  </si>
  <si>
    <r>
      <rPr>
        <sz val="11"/>
        <color theme="1"/>
        <rFont val="宋体"/>
        <charset val="134"/>
      </rPr>
      <t>E009</t>
    </r>
  </si>
  <si>
    <r>
      <rPr>
        <sz val="11"/>
        <color theme="1"/>
        <rFont val="宋体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</si>
  <si>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</si>
  <si>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</si>
  <si>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</si>
  <si>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</si>
  <si>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</si>
  <si>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</si>
  <si>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</si>
  <si>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</si>
  <si>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</si>
  <si>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</si>
  <si>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</si>
  <si>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</si>
  <si>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</si>
  <si>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</si>
  <si>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</si>
  <si>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</si>
  <si>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</si>
  <si>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</si>
  <si>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</si>
  <si>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</si>
  <si>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</si>
  <si>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</si>
  <si>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</si>
  <si>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</si>
  <si>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</si>
  <si>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</si>
  <si>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</si>
  <si>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</si>
  <si>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</si>
  <si>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</si>
  <si>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</si>
  <si>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</si>
  <si>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</si>
  <si>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</si>
  <si>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</si>
  <si>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</si>
  <si>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</si>
  <si>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</si>
  <si>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</si>
  <si>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</si>
  <si>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</si>
  <si>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</si>
  <si>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</si>
  <si>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</si>
  <si>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</si>
  <si>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</si>
  <si>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</si>
  <si>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</si>
  <si>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</si>
  <si>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</si>
  <si>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</si>
  <si>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</si>
  <si>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</si>
  <si>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</si>
  <si>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</si>
  <si>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</si>
  <si>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</si>
  <si>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</si>
  <si>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</si>
  <si>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</si>
  <si>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</si>
  <si>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</si>
  <si>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</si>
  <si>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</si>
  <si>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</si>
  <si>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</si>
  <si>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</si>
  <si>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</si>
  <si>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</si>
  <si>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</si>
  <si>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</si>
  <si>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</si>
  <si>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</si>
  <si>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</si>
  <si>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</si>
  <si>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</si>
  <si>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</si>
  <si>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</si>
  <si>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</si>
  <si>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</si>
  <si>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</si>
  <si>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</si>
  <si>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</si>
  <si>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</si>
  <si>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</si>
  <si>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</si>
  <si>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</si>
  <si>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</si>
  <si>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</si>
  <si>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</si>
  <si>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</si>
  <si>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</si>
  <si>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</si>
  <si>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</si>
  <si>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</si>
  <si>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</si>
  <si>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</si>
  <si>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</si>
  <si>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</si>
  <si>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</si>
  <si>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</si>
  <si>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</si>
  <si>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</si>
  <si>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</si>
  <si>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</si>
  <si>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</si>
  <si>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</si>
  <si>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</si>
  <si>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</si>
  <si>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</si>
  <si>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</si>
  <si>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</si>
  <si>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</si>
  <si>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</si>
  <si>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</si>
  <si>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</si>
  <si>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</si>
  <si>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</si>
  <si>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</si>
  <si>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</si>
  <si>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</si>
  <si>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</si>
  <si>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</si>
  <si>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</si>
  <si>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</si>
  <si>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</si>
  <si>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</si>
  <si>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</si>
  <si>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</si>
  <si>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</si>
  <si>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</si>
  <si>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</si>
  <si>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</si>
  <si>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</si>
  <si>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</si>
  <si>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</si>
  <si>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</si>
  <si>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</si>
  <si>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</si>
  <si>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</si>
  <si>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</si>
  <si>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</si>
  <si>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</si>
  <si>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</si>
  <si>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</si>
  <si>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</si>
  <si>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</si>
  <si>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</si>
  <si>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</si>
  <si>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</si>
  <si>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</si>
  <si>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</si>
  <si>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</si>
  <si>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</si>
  <si>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</si>
  <si>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</si>
  <si>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</si>
  <si>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</si>
  <si>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</si>
  <si>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</si>
  <si>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</si>
  <si>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</si>
  <si>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</si>
  <si>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</si>
  <si>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</si>
  <si>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</si>
  <si>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</si>
  <si>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</si>
  <si>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</si>
  <si>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</si>
  <si>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</si>
  <si>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</si>
  <si>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</si>
  <si>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</si>
  <si>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</si>
  <si>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</si>
  <si>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</si>
  <si>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</si>
  <si>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</si>
  <si>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</si>
  <si>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</si>
  <si>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</si>
  <si>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</si>
  <si>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</si>
  <si>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</si>
  <si>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</si>
  <si>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</si>
  <si>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</si>
  <si>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</si>
  <si>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</si>
  <si>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</si>
  <si>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</si>
  <si>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</si>
  <si>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</si>
  <si>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</si>
  <si>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</si>
  <si>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</si>
  <si>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</si>
  <si>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</si>
  <si>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</si>
  <si>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</si>
  <si>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</si>
  <si>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</si>
  <si>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</si>
  <si>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</si>
  <si>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</si>
  <si>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</si>
  <si>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</si>
  <si>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</si>
  <si>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</si>
  <si>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</si>
  <si>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</si>
  <si>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</si>
  <si>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</si>
  <si>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</si>
  <si>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</si>
  <si>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</si>
  <si>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</si>
  <si>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</si>
  <si>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</si>
  <si>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</si>
  <si>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</si>
  <si>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</si>
  <si>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</si>
  <si>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</si>
  <si>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</si>
  <si>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</si>
  <si>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</si>
  <si>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</si>
  <si>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</si>
  <si>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</si>
  <si>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</si>
  <si>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</si>
  <si>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</si>
  <si>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</si>
  <si>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</si>
  <si>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charset val="134"/>
      </rPr>
      <t>IF01</t>
    </r>
  </si>
  <si>
    <t>初级附魔</t>
  </si>
  <si>
    <r>
      <rPr>
        <sz val="11"/>
        <color rgb="FF9C6500"/>
        <rFont val="宋体"/>
        <charset val="134"/>
      </rPr>
      <t>IF02</t>
    </r>
  </si>
  <si>
    <r>
      <rPr>
        <sz val="11"/>
        <color rgb="FF9C6500"/>
        <rFont val="宋体"/>
        <charset val="134"/>
      </rPr>
      <t>IF03</t>
    </r>
  </si>
  <si>
    <r>
      <rPr>
        <sz val="11"/>
        <color rgb="FF9C6500"/>
        <rFont val="宋体"/>
        <charset val="134"/>
      </rPr>
      <t>IF04</t>
    </r>
  </si>
  <si>
    <r>
      <rPr>
        <sz val="11"/>
        <color rgb="FF9C6500"/>
        <rFont val="宋体"/>
        <charset val="134"/>
      </rPr>
      <t>IF05</t>
    </r>
  </si>
  <si>
    <r>
      <rPr>
        <sz val="11"/>
        <color rgb="FF9C6500"/>
        <rFont val="宋体"/>
        <charset val="134"/>
      </rPr>
      <t>IF06</t>
    </r>
  </si>
  <si>
    <r>
      <rPr>
        <sz val="11"/>
        <color rgb="FF9C6500"/>
        <rFont val="宋体"/>
        <charset val="134"/>
      </rPr>
      <t>IF07</t>
    </r>
  </si>
  <si>
    <r>
      <rPr>
        <sz val="11"/>
        <color rgb="FF9C6500"/>
        <rFont val="宋体"/>
        <charset val="134"/>
      </rPr>
      <t>IF08</t>
    </r>
  </si>
  <si>
    <r>
      <rPr>
        <sz val="11"/>
        <color rgb="FF9C6500"/>
        <rFont val="宋体"/>
        <charset val="134"/>
      </rPr>
      <t>IF09</t>
    </r>
  </si>
  <si>
    <r>
      <rPr>
        <sz val="11"/>
        <color rgb="FF9C6500"/>
        <rFont val="宋体"/>
        <charset val="134"/>
      </rPr>
      <t>IF10</t>
    </r>
  </si>
  <si>
    <r>
      <rPr>
        <sz val="11"/>
        <color rgb="FF9C6500"/>
        <rFont val="宋体"/>
        <charset val="134"/>
      </rPr>
      <t>IF11</t>
    </r>
  </si>
  <si>
    <r>
      <rPr>
        <sz val="11"/>
        <color rgb="FF9C6500"/>
        <rFont val="宋体"/>
        <charset val="134"/>
      </rPr>
      <t>IF12</t>
    </r>
  </si>
  <si>
    <r>
      <rPr>
        <sz val="11"/>
        <color rgb="FF9C6500"/>
        <rFont val="宋体"/>
        <charset val="134"/>
      </rPr>
      <t>IF13</t>
    </r>
  </si>
  <si>
    <r>
      <rPr>
        <sz val="11"/>
        <color rgb="FF9C6500"/>
        <rFont val="宋体"/>
        <charset val="134"/>
      </rPr>
      <t>IF14</t>
    </r>
  </si>
  <si>
    <r>
      <rPr>
        <sz val="11"/>
        <color rgb="FF9C6500"/>
        <rFont val="宋体"/>
        <charset val="134"/>
      </rPr>
      <t>IF15</t>
    </r>
  </si>
  <si>
    <r>
      <rPr>
        <sz val="11"/>
        <color rgb="FF9C6500"/>
        <rFont val="宋体"/>
        <charset val="134"/>
      </rPr>
      <t>IF16</t>
    </r>
  </si>
  <si>
    <r>
      <rPr>
        <sz val="11"/>
        <color rgb="FF9C6500"/>
        <rFont val="宋体"/>
        <charset val="134"/>
      </rPr>
      <t>IF17</t>
    </r>
  </si>
  <si>
    <t>强力技能附魔</t>
  </si>
  <si>
    <r>
      <rPr>
        <sz val="11"/>
        <color rgb="FF9C6500"/>
        <rFont val="宋体"/>
        <charset val="134"/>
      </rPr>
      <t>IF18</t>
    </r>
  </si>
  <si>
    <r>
      <rPr>
        <sz val="11"/>
        <color rgb="FF9C6500"/>
        <rFont val="宋体"/>
        <charset val="134"/>
      </rPr>
      <t>IF19</t>
    </r>
  </si>
  <si>
    <r>
      <rPr>
        <sz val="11"/>
        <color rgb="FF9C6500"/>
        <rFont val="宋体"/>
        <charset val="134"/>
      </rPr>
      <t>IF20</t>
    </r>
  </si>
  <si>
    <r>
      <rPr>
        <sz val="11"/>
        <color rgb="FF9C6500"/>
        <rFont val="宋体"/>
        <charset val="134"/>
      </rPr>
      <t>IF21</t>
    </r>
  </si>
  <si>
    <r>
      <rPr>
        <sz val="11"/>
        <color rgb="FF9C6500"/>
        <rFont val="宋体"/>
        <charset val="134"/>
      </rPr>
      <t>IF22</t>
    </r>
  </si>
  <si>
    <r>
      <rPr>
        <sz val="11"/>
        <color rgb="FF9C6500"/>
        <rFont val="宋体"/>
        <charset val="134"/>
      </rPr>
      <t>IF23</t>
    </r>
  </si>
  <si>
    <r>
      <rPr>
        <sz val="11"/>
        <color rgb="FF9C6500"/>
        <rFont val="宋体"/>
        <charset val="134"/>
      </rPr>
      <t>IF24</t>
    </r>
  </si>
  <si>
    <r>
      <rPr>
        <sz val="11"/>
        <color rgb="FF9C6500"/>
        <rFont val="宋体"/>
        <charset val="134"/>
      </rPr>
      <t>IF25</t>
    </r>
  </si>
  <si>
    <r>
      <rPr>
        <sz val="11"/>
        <color rgb="FF9C6500"/>
        <rFont val="宋体"/>
        <charset val="134"/>
      </rPr>
      <t>IF26</t>
    </r>
  </si>
  <si>
    <r>
      <rPr>
        <sz val="11"/>
        <color rgb="FF9C6500"/>
        <rFont val="宋体"/>
        <charset val="134"/>
      </rPr>
      <t>IF27</t>
    </r>
  </si>
  <si>
    <r>
      <rPr>
        <sz val="11"/>
        <color rgb="FF9C6500"/>
        <rFont val="宋体"/>
        <charset val="134"/>
      </rPr>
      <t>IF28</t>
    </r>
  </si>
  <si>
    <r>
      <rPr>
        <sz val="11"/>
        <color rgb="FF9C6500"/>
        <rFont val="宋体"/>
        <charset val="134"/>
      </rPr>
      <t>IF29</t>
    </r>
  </si>
  <si>
    <r>
      <rPr>
        <sz val="11"/>
        <color rgb="FF9C6500"/>
        <rFont val="宋体"/>
        <charset val="134"/>
      </rPr>
      <t>IF30</t>
    </r>
  </si>
  <si>
    <r>
      <rPr>
        <sz val="11"/>
        <color rgb="FF9C6500"/>
        <rFont val="宋体"/>
        <charset val="134"/>
      </rPr>
      <t>IF31</t>
    </r>
  </si>
  <si>
    <r>
      <rPr>
        <sz val="11"/>
        <color rgb="FF9C6500"/>
        <rFont val="宋体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</si>
  <si>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</si>
  <si>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</si>
  <si>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</si>
  <si>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</si>
  <si>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</si>
  <si>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</si>
  <si>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</si>
  <si>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</si>
  <si>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</si>
  <si>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</si>
  <si>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</si>
  <si>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</si>
  <si>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</si>
  <si>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</si>
  <si>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</si>
  <si>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</si>
  <si>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</si>
  <si>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</si>
  <si>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</si>
  <si>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</si>
  <si>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</si>
  <si>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</si>
  <si>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</si>
  <si>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</si>
  <si>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</si>
  <si>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</si>
  <si>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</si>
  <si>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</si>
  <si>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</si>
  <si>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</si>
  <si>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</si>
  <si>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</si>
  <si>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</si>
  <si>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</si>
  <si>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</si>
  <si>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</si>
  <si>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</si>
  <si>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</si>
  <si>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</si>
  <si>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</si>
  <si>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</si>
  <si>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</si>
  <si>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</si>
  <si>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</si>
  <si>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</si>
  <si>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</si>
  <si>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</si>
  <si>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</si>
  <si>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</si>
  <si>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</si>
  <si>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</si>
  <si>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</si>
  <si>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</si>
  <si>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</si>
  <si>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</si>
  <si>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</si>
  <si>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</si>
  <si>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</si>
  <si>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</si>
  <si>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</si>
  <si>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</si>
  <si>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</si>
  <si>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</si>
  <si>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</si>
  <si>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</si>
  <si>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</si>
  <si>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</si>
  <si>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</si>
  <si>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</si>
  <si>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</si>
  <si>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</si>
  <si>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</si>
  <si>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</si>
  <si>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</si>
  <si>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</si>
  <si>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</si>
  <si>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</si>
  <si>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</si>
  <si>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</si>
  <si>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</si>
  <si>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</si>
  <si>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</si>
  <si>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</si>
  <si>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</si>
  <si>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</si>
  <si>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</si>
  <si>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</si>
  <si>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</si>
  <si>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</si>
  <si>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</si>
  <si>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</si>
  <si>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</si>
  <si>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</si>
  <si>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</si>
  <si>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</si>
  <si>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</si>
  <si>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</si>
  <si>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</si>
  <si>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</si>
  <si>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</si>
  <si>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</si>
  <si>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</si>
  <si>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</si>
  <si>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</si>
  <si>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</si>
  <si>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</si>
  <si>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</si>
  <si>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</si>
  <si>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</si>
  <si>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</si>
  <si>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</si>
  <si>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</si>
  <si>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</si>
  <si>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</si>
  <si>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</si>
  <si>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</si>
  <si>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</si>
  <si>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</si>
  <si>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</si>
  <si>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</si>
  <si>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</si>
  <si>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</si>
  <si>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</si>
  <si>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</si>
  <si>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</si>
  <si>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</si>
  <si>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</si>
  <si>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</si>
  <si>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</si>
  <si>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</si>
  <si>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</si>
  <si>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</si>
  <si>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</si>
  <si>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</si>
  <si>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</si>
  <si>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</si>
  <si>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</si>
  <si>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</si>
  <si>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</si>
  <si>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</si>
  <si>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</si>
  <si>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</si>
  <si>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</si>
  <si>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</si>
  <si>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</si>
  <si>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charset val="134"/>
      </rPr>
      <t>王魔1</t>
    </r>
    <r>
      <rPr>
        <sz val="11"/>
        <color theme="1"/>
        <rFont val="宋体"/>
        <charset val="134"/>
      </rPr>
      <t>2</t>
    </r>
  </si>
  <si>
    <t>特殊事件2敌方副将</t>
  </si>
  <si>
    <t>mc03</t>
  </si>
  <si>
    <r>
      <rPr>
        <sz val="11"/>
        <color theme="1"/>
        <rFont val="宋体"/>
        <charset val="134"/>
      </rPr>
      <t>杨森1</t>
    </r>
    <r>
      <rPr>
        <sz val="11"/>
        <color theme="1"/>
        <rFont val="宋体"/>
        <charset val="134"/>
      </rPr>
      <t>2</t>
    </r>
  </si>
  <si>
    <t>mc04</t>
  </si>
  <si>
    <r>
      <rPr>
        <sz val="11"/>
        <color theme="1"/>
        <rFont val="宋体"/>
        <charset val="134"/>
      </rPr>
      <t>高友乾1</t>
    </r>
    <r>
      <rPr>
        <sz val="11"/>
        <color theme="1"/>
        <rFont val="宋体"/>
        <charset val="134"/>
      </rPr>
      <t>2</t>
    </r>
  </si>
  <si>
    <t>mc05</t>
  </si>
  <si>
    <r>
      <rPr>
        <sz val="11"/>
        <color theme="1"/>
        <rFont val="宋体"/>
        <charset val="134"/>
      </rPr>
      <t>李兴霸1</t>
    </r>
    <r>
      <rPr>
        <sz val="11"/>
        <color theme="1"/>
        <rFont val="宋体"/>
        <charset val="134"/>
      </rPr>
      <t>2</t>
    </r>
  </si>
  <si>
    <t>mc06</t>
  </si>
  <si>
    <r>
      <rPr>
        <sz val="11"/>
        <color theme="1"/>
        <rFont val="宋体"/>
        <charset val="134"/>
      </rPr>
      <t>闻太师1</t>
    </r>
    <r>
      <rPr>
        <sz val="11"/>
        <color theme="1"/>
        <rFont val="宋体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</si>
  <si>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</si>
  <si>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</si>
  <si>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charset val="134"/>
      </rPr>
      <t>妲己1</t>
    </r>
    <r>
      <rPr>
        <sz val="11"/>
        <color theme="1"/>
        <rFont val="宋体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</si>
  <si>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</si>
  <si>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</si>
  <si>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</si>
  <si>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</si>
  <si>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</si>
  <si>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</si>
  <si>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</si>
  <si>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</si>
  <si>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</si>
  <si>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</si>
  <si>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</si>
  <si>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</si>
  <si>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</si>
  <si>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</si>
  <si>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</si>
  <si>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</si>
  <si>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</si>
  <si>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</si>
  <si>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</si>
  <si>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</si>
  <si>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</si>
  <si>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</si>
  <si>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</si>
  <si>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</si>
  <si>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</si>
  <si>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</si>
  <si>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</si>
  <si>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</si>
  <si>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</si>
  <si>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</si>
  <si>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</si>
  <si>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</si>
  <si>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</si>
  <si>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</si>
  <si>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</si>
  <si>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</si>
  <si>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</si>
  <si>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</si>
  <si>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</si>
  <si>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</si>
  <si>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</si>
  <si>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</si>
  <si>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</si>
  <si>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</si>
  <si>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</si>
  <si>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</si>
  <si>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</si>
  <si>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</si>
  <si>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</si>
  <si>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</si>
  <si>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</si>
  <si>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</si>
  <si>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</si>
  <si>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</si>
  <si>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</si>
  <si>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</si>
  <si>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</si>
  <si>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</si>
  <si>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</si>
  <si>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</si>
  <si>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</si>
  <si>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</si>
  <si>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</si>
  <si>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</si>
  <si>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</si>
  <si>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</si>
  <si>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</si>
  <si>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</si>
  <si>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</si>
  <si>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</si>
  <si>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</si>
  <si>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</si>
  <si>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</si>
  <si>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</si>
  <si>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</si>
  <si>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</si>
  <si>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</si>
  <si>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</si>
  <si>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</si>
  <si>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</si>
  <si>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</si>
  <si>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</si>
  <si>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</si>
  <si>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</si>
  <si>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</si>
  <si>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</si>
  <si>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</si>
  <si>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</si>
  <si>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</si>
  <si>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</si>
  <si>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</si>
  <si>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</si>
  <si>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</si>
  <si>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</si>
  <si>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</si>
  <si>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</si>
  <si>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</si>
  <si>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</si>
  <si>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</si>
  <si>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</si>
  <si>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</si>
  <si>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</si>
  <si>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</si>
  <si>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</si>
  <si>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</si>
  <si>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</si>
  <si>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</si>
  <si>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</si>
  <si>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</si>
  <si>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</si>
  <si>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</si>
  <si>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</si>
  <si>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</si>
  <si>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</si>
  <si>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</si>
  <si>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</si>
  <si>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</si>
  <si>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</si>
  <si>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</si>
  <si>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</si>
  <si>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</si>
  <si>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</si>
  <si>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</si>
  <si>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</si>
  <si>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</si>
  <si>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</si>
  <si>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</si>
  <si>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</si>
  <si>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</si>
  <si>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</si>
  <si>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</si>
  <si>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</si>
  <si>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</si>
  <si>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</si>
  <si>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</si>
  <si>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</si>
  <si>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</si>
  <si>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</si>
  <si>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</si>
  <si>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</si>
  <si>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</si>
  <si>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</si>
  <si>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</si>
  <si>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</si>
  <si>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</si>
  <si>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</si>
  <si>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</si>
  <si>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</si>
  <si>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</si>
  <si>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</si>
  <si>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</si>
  <si>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</si>
  <si>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</si>
  <si>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</si>
  <si>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</si>
  <si>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</si>
  <si>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</si>
  <si>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</si>
  <si>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</si>
  <si>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</si>
  <si>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</si>
  <si>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</si>
  <si>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</si>
  <si>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</si>
  <si>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</si>
  <si>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</si>
  <si>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</si>
  <si>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</si>
  <si>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</si>
  <si>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</si>
  <si>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</si>
  <si>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</si>
  <si>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</si>
  <si>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</si>
  <si>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</si>
  <si>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</si>
  <si>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</si>
  <si>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</si>
  <si>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</si>
  <si>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</si>
  <si>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</si>
  <si>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</si>
  <si>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</si>
  <si>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</si>
  <si>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</si>
  <si>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</si>
  <si>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</si>
  <si>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</si>
  <si>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</si>
  <si>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</si>
  <si>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</si>
  <si>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</si>
  <si>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</si>
  <si>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</si>
  <si>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</si>
  <si>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</si>
  <si>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</si>
  <si>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</si>
  <si>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</si>
  <si>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</si>
  <si>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</si>
  <si>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</si>
  <si>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</si>
  <si>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</si>
  <si>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</si>
  <si>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</si>
  <si>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</si>
  <si>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</si>
  <si>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</si>
  <si>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</si>
  <si>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</si>
  <si>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</si>
  <si>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</si>
  <si>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</si>
  <si>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</si>
  <si>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</si>
  <si>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</si>
  <si>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</si>
  <si>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</si>
  <si>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</si>
  <si>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</si>
  <si>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</si>
  <si>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</si>
  <si>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</si>
  <si>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</si>
  <si>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</si>
  <si>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</si>
  <si>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</si>
  <si>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</si>
  <si>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</si>
  <si>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</si>
  <si>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</si>
  <si>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</si>
  <si>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</si>
  <si>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</si>
  <si>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</si>
  <si>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</si>
  <si>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</si>
  <si>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</si>
  <si>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</si>
  <si>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</si>
  <si>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</si>
  <si>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</si>
  <si>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</si>
  <si>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</si>
  <si>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</si>
  <si>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</si>
  <si>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</si>
  <si>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</si>
  <si>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</si>
  <si>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</si>
  <si>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</si>
  <si>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</si>
  <si>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</si>
  <si>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</si>
  <si>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</si>
  <si>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</si>
  <si>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</si>
  <si>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</si>
  <si>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</si>
  <si>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</si>
  <si>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</si>
  <si>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</si>
  <si>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</si>
  <si>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</si>
  <si>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</si>
  <si>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</si>
  <si>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</si>
  <si>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</si>
  <si>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</si>
  <si>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</si>
  <si>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</si>
  <si>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</si>
  <si>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</si>
  <si>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</si>
  <si>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</si>
  <si>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</si>
  <si>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</si>
  <si>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</si>
  <si>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</si>
  <si>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</si>
  <si>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</si>
  <si>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</si>
  <si>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</si>
  <si>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</si>
  <si>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</si>
  <si>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</si>
  <si>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</si>
  <si>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</si>
  <si>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</si>
  <si>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</si>
  <si>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</si>
  <si>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</si>
  <si>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</si>
  <si>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</si>
  <si>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</si>
  <si>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</si>
  <si>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</si>
  <si>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</si>
  <si>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</si>
  <si>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</si>
  <si>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</si>
  <si>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</si>
  <si>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</si>
  <si>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</si>
  <si>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</si>
  <si>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</si>
  <si>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</si>
  <si>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</si>
  <si>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</si>
  <si>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</si>
  <si>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</si>
  <si>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</si>
  <si>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</si>
  <si>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</si>
  <si>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</si>
  <si>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</si>
  <si>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</si>
  <si>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</si>
  <si>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</si>
  <si>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</si>
  <si>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</si>
  <si>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</si>
  <si>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</si>
  <si>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</si>
  <si>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</si>
  <si>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</si>
  <si>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</si>
  <si>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</si>
  <si>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</si>
  <si>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</si>
  <si>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</si>
  <si>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</si>
  <si>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</si>
  <si>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</si>
  <si>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</si>
  <si>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</si>
  <si>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</si>
  <si>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</si>
  <si>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</si>
  <si>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</si>
  <si>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</si>
  <si>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</si>
  <si>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</si>
  <si>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</si>
  <si>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</si>
  <si>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</si>
  <si>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</si>
  <si>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</si>
  <si>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</si>
  <si>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</si>
  <si>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</si>
  <si>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</si>
  <si>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</si>
  <si>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</si>
  <si>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</si>
  <si>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</si>
  <si>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</si>
  <si>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</si>
  <si>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</si>
  <si>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</si>
  <si>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</si>
  <si>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</si>
  <si>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</si>
  <si>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</si>
  <si>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</si>
  <si>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</si>
  <si>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</si>
  <si>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</si>
  <si>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</si>
  <si>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</si>
  <si>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</si>
  <si>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</si>
  <si>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</si>
  <si>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</si>
  <si>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</si>
  <si>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</si>
  <si>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</si>
  <si>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</si>
  <si>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</si>
  <si>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</si>
  <si>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</si>
  <si>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</si>
  <si>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</si>
  <si>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</si>
  <si>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</si>
  <si>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</si>
  <si>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</si>
  <si>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</si>
  <si>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</si>
  <si>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</si>
  <si>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</si>
  <si>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</si>
  <si>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</si>
  <si>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</si>
  <si>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</si>
  <si>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</si>
  <si>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</si>
  <si>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</si>
  <si>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</si>
  <si>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</si>
  <si>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</si>
  <si>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</si>
  <si>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</si>
  <si>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</si>
  <si>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</si>
  <si>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</si>
  <si>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</si>
  <si>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</si>
  <si>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</si>
  <si>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</si>
  <si>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</si>
  <si>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</si>
  <si>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</si>
  <si>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</si>
  <si>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</si>
  <si>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</si>
  <si>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</si>
  <si>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</si>
  <si>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</si>
  <si>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</si>
  <si>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</si>
  <si>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</si>
  <si>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</si>
  <si>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</si>
  <si>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</si>
  <si>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</si>
  <si>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</si>
  <si>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</si>
  <si>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</si>
  <si>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charset val="134"/>
      </rPr>
      <t>RY1</t>
    </r>
    <r>
      <rPr>
        <sz val="12"/>
        <rFont val="宋体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</si>
  <si>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</si>
  <si>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</si>
  <si>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</si>
  <si>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</si>
  <si>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</si>
  <si>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</si>
  <si>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</si>
  <si>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</si>
  <si>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</si>
  <si>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</si>
  <si>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</si>
  <si>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</si>
  <si>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</si>
  <si>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</si>
  <si>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</si>
  <si>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</si>
  <si>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</si>
  <si>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</si>
  <si>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</si>
  <si>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</si>
  <si>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</si>
  <si>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</si>
  <si>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</si>
  <si>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</si>
  <si>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</si>
  <si>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</si>
  <si>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</si>
  <si>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</si>
  <si>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</si>
  <si>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</si>
  <si>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</si>
  <si>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</si>
  <si>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</si>
  <si>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</si>
  <si>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</si>
  <si>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</si>
  <si>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</si>
  <si>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</si>
  <si>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</si>
  <si>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</si>
  <si>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</si>
  <si>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</si>
  <si>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</si>
  <si>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</si>
  <si>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</si>
  <si>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</si>
  <si>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</si>
  <si>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</si>
  <si>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</si>
  <si>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</si>
  <si>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</si>
  <si>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</si>
  <si>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</si>
  <si>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</si>
  <si>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</si>
  <si>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</si>
  <si>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</si>
  <si>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</si>
  <si>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</si>
  <si>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</si>
  <si>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</si>
  <si>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</si>
  <si>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</si>
  <si>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</si>
  <si>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</si>
  <si>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</si>
  <si>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</si>
  <si>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</si>
  <si>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</si>
  <si>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</si>
  <si>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</si>
  <si>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</si>
  <si>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</si>
  <si>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</si>
  <si>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</si>
  <si>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</si>
  <si>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</si>
  <si>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</si>
  <si>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</si>
  <si>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</si>
  <si>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</si>
  <si>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</si>
  <si>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</si>
  <si>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</si>
  <si>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</si>
  <si>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</si>
  <si>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</si>
  <si>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</si>
  <si>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</si>
  <si>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</si>
  <si>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</si>
  <si>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</si>
  <si>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</si>
  <si>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</si>
  <si>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</si>
  <si>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</si>
  <si>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</si>
  <si>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</si>
  <si>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</si>
  <si>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</si>
  <si>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</si>
  <si>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</si>
  <si>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</si>
  <si>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</si>
  <si>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</si>
  <si>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</si>
  <si>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</si>
  <si>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</si>
  <si>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</si>
  <si>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</si>
  <si>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</si>
  <si>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</si>
  <si>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</si>
  <si>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</si>
  <si>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</si>
  <si>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</si>
  <si>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</si>
  <si>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</si>
  <si>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</si>
  <si>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</si>
  <si>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</si>
  <si>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</si>
  <si>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</si>
  <si>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</si>
  <si>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</si>
  <si>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</si>
  <si>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</si>
  <si>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</si>
  <si>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</si>
  <si>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</si>
  <si>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</si>
  <si>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</si>
  <si>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</si>
  <si>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</si>
  <si>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</si>
  <si>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</si>
  <si>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</si>
  <si>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</si>
  <si>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</si>
  <si>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</si>
  <si>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</si>
  <si>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</si>
  <si>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</si>
  <si>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</si>
  <si>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</si>
  <si>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</si>
  <si>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</si>
  <si>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</si>
  <si>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</si>
  <si>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</si>
  <si>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</si>
  <si>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</si>
  <si>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</si>
  <si>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</si>
  <si>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</si>
  <si>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</si>
  <si>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</si>
  <si>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</si>
  <si>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</si>
  <si>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</si>
  <si>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</si>
  <si>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</si>
  <si>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</si>
  <si>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</si>
  <si>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</si>
  <si>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</si>
  <si>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</si>
  <si>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</si>
  <si>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</si>
  <si>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</si>
  <si>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</si>
  <si>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</si>
  <si>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</si>
  <si>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</si>
  <si>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</si>
  <si>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</si>
  <si>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</si>
  <si>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</si>
  <si>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</si>
  <si>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</si>
  <si>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</si>
  <si>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</si>
  <si>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</si>
  <si>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</si>
  <si>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</si>
  <si>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</si>
  <si>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</si>
  <si>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</si>
  <si>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</si>
  <si>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</si>
  <si>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</si>
  <si>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</si>
  <si>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</si>
  <si>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</si>
  <si>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</si>
  <si>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</si>
  <si>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</si>
  <si>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</si>
  <si>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</si>
  <si>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</si>
  <si>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</si>
  <si>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</si>
  <si>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</si>
  <si>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</si>
  <si>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</si>
  <si>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</si>
  <si>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</si>
  <si>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</si>
  <si>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</si>
  <si>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</si>
  <si>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</si>
  <si>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</si>
  <si>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</si>
  <si>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</si>
  <si>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</si>
  <si>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</si>
  <si>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</si>
  <si>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</si>
  <si>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</si>
  <si>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</si>
  <si>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</si>
  <si>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</si>
  <si>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</si>
  <si>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</si>
  <si>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</si>
  <si>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</si>
  <si>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</si>
  <si>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</si>
  <si>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</si>
  <si>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</si>
  <si>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</si>
  <si>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</si>
  <si>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</si>
  <si>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</si>
  <si>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</si>
  <si>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</si>
  <si>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</si>
  <si>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</si>
  <si>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</si>
  <si>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</si>
  <si>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</si>
  <si>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</si>
  <si>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</si>
  <si>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</si>
  <si>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</si>
  <si>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</si>
  <si>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</si>
  <si>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</si>
  <si>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</si>
  <si>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</si>
  <si>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</si>
  <si>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</si>
  <si>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</si>
  <si>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</si>
  <si>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</si>
  <si>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</si>
  <si>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</si>
  <si>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</si>
  <si>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</si>
  <si>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</si>
  <si>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</si>
  <si>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</si>
  <si>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</si>
  <si>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</si>
  <si>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</si>
  <si>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</si>
  <si>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</si>
  <si>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</si>
  <si>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</si>
  <si>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</si>
  <si>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</si>
  <si>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</si>
  <si>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</si>
  <si>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</si>
  <si>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</si>
  <si>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</si>
  <si>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</si>
  <si>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</si>
  <si>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</si>
  <si>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</si>
  <si>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</si>
  <si>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</si>
  <si>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</si>
  <si>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</si>
  <si>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</si>
  <si>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</si>
  <si>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</si>
  <si>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</si>
  <si>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</si>
  <si>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</si>
  <si>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</si>
  <si>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</si>
  <si>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</si>
  <si>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</si>
  <si>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</si>
  <si>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</si>
  <si>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</si>
  <si>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</si>
  <si>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</si>
  <si>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</si>
  <si>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</si>
  <si>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</si>
  <si>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</si>
  <si>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</si>
  <si>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</si>
  <si>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</si>
  <si>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</si>
  <si>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</si>
  <si>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</si>
  <si>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</si>
  <si>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</si>
  <si>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</si>
  <si>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</si>
  <si>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</si>
  <si>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</si>
  <si>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</si>
  <si>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</si>
  <si>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</si>
  <si>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</si>
  <si>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</si>
  <si>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</si>
  <si>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</si>
  <si>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</si>
  <si>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</si>
  <si>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</si>
  <si>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</si>
  <si>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</si>
  <si>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</si>
  <si>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</si>
  <si>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</si>
  <si>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</si>
  <si>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</si>
  <si>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</si>
  <si>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</si>
  <si>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</si>
  <si>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</si>
  <si>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</si>
  <si>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</si>
  <si>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</si>
  <si>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</si>
  <si>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</si>
  <si>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</si>
  <si>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</si>
  <si>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</si>
  <si>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</si>
  <si>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</si>
  <si>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</si>
  <si>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</si>
  <si>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</si>
  <si>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</si>
  <si>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</si>
  <si>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</si>
  <si>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</si>
  <si>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</si>
  <si>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</si>
  <si>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</si>
  <si>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</si>
  <si>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</si>
  <si>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</si>
  <si>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</si>
  <si>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</si>
  <si>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</si>
  <si>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</si>
  <si>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</si>
  <si>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</si>
  <si>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</si>
  <si>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</si>
  <si>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</si>
  <si>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</si>
  <si>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</si>
  <si>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</si>
  <si>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</si>
  <si>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</si>
  <si>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</si>
  <si>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</si>
  <si>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</si>
  <si>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</si>
  <si>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</si>
  <si>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</si>
  <si>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</si>
  <si>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</si>
  <si>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</si>
  <si>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</si>
  <si>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</si>
  <si>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</si>
  <si>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</si>
  <si>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</si>
  <si>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</si>
  <si>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</si>
  <si>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</si>
  <si>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</si>
  <si>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</si>
  <si>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</si>
  <si>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</si>
  <si>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</si>
  <si>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</si>
  <si>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</si>
  <si>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</si>
  <si>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</si>
  <si>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</si>
  <si>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</si>
  <si>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</si>
  <si>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</si>
  <si>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</si>
  <si>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</si>
  <si>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</si>
  <si>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</si>
  <si>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</si>
  <si>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</si>
  <si>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</si>
  <si>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</si>
  <si>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</si>
  <si>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</si>
  <si>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</si>
  <si>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</si>
  <si>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</si>
  <si>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</si>
  <si>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</si>
  <si>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</si>
  <si>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</si>
  <si>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</si>
  <si>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</si>
  <si>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</si>
  <si>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</si>
  <si>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</si>
  <si>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</si>
  <si>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</si>
  <si>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</si>
  <si>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</si>
  <si>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</si>
  <si>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</si>
  <si>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</si>
  <si>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</si>
  <si>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</si>
  <si>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</si>
  <si>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</si>
  <si>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</si>
  <si>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</si>
  <si>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</si>
  <si>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</si>
  <si>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</si>
  <si>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</si>
  <si>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</si>
  <si>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</si>
  <si>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</si>
  <si>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</si>
  <si>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</si>
  <si>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</si>
  <si>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</si>
  <si>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</si>
  <si>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</si>
  <si>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</si>
  <si>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</si>
  <si>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</si>
  <si>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</si>
  <si>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</si>
  <si>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</si>
  <si>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</si>
  <si>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</si>
  <si>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</si>
  <si>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</si>
  <si>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</si>
  <si>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</si>
  <si>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</si>
  <si>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</si>
  <si>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</si>
  <si>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</si>
  <si>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</si>
  <si>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</si>
  <si>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</si>
  <si>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</si>
  <si>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</si>
  <si>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</si>
  <si>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</si>
  <si>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</si>
  <si>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</si>
  <si>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charset val="134"/>
      </rPr>
      <t>累计答对100次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级</t>
    </r>
  </si>
  <si>
    <t>RY6C</t>
  </si>
  <si>
    <t>学富五车3</t>
  </si>
  <si>
    <r>
      <rPr>
        <sz val="11"/>
        <color theme="1"/>
        <rFont val="宋体"/>
        <charset val="134"/>
      </rPr>
      <t>累计答对150次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级</t>
    </r>
  </si>
  <si>
    <t>RY6D</t>
  </si>
  <si>
    <t>学富五车4</t>
  </si>
  <si>
    <r>
      <rPr>
        <sz val="11"/>
        <color theme="1"/>
        <rFont val="宋体"/>
        <charset val="134"/>
      </rPr>
      <t>累计答对200次&amp;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4</t>
    </r>
    <r>
      <rPr>
        <sz val="11"/>
        <color theme="1"/>
        <rFont val="宋体"/>
        <charset val="134"/>
      </rPr>
      <t>级</t>
    </r>
  </si>
  <si>
    <t>RY6E</t>
  </si>
  <si>
    <t>学富五车5</t>
  </si>
  <si>
    <r>
      <rPr>
        <sz val="11"/>
        <color theme="1"/>
        <rFont val="宋体"/>
        <charset val="134"/>
      </rPr>
      <t>累计答对300次&amp;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5</t>
    </r>
    <r>
      <rPr>
        <sz val="11"/>
        <color theme="1"/>
        <rFont val="宋体"/>
        <charset val="134"/>
      </rPr>
      <t>级</t>
    </r>
  </si>
  <si>
    <t>RY6F</t>
  </si>
  <si>
    <t>学富五车6</t>
  </si>
  <si>
    <r>
      <rPr>
        <sz val="11"/>
        <color theme="1"/>
        <rFont val="宋体"/>
        <charset val="134"/>
      </rPr>
      <t>累计答对400次&amp;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6</t>
    </r>
    <r>
      <rPr>
        <sz val="11"/>
        <color theme="1"/>
        <rFont val="宋体"/>
        <charset val="134"/>
      </rPr>
      <t>级</t>
    </r>
  </si>
  <si>
    <t>RY6G</t>
  </si>
  <si>
    <t>学富五车7</t>
  </si>
  <si>
    <r>
      <rPr>
        <sz val="11"/>
        <color theme="1"/>
        <rFont val="宋体"/>
        <charset val="134"/>
      </rPr>
      <t>累计答对500次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7</t>
    </r>
    <r>
      <rPr>
        <sz val="11"/>
        <color theme="1"/>
        <rFont val="宋体"/>
        <charset val="134"/>
      </rPr>
      <t>级</t>
    </r>
  </si>
  <si>
    <t>RY6H</t>
  </si>
  <si>
    <t>学富五车8</t>
  </si>
  <si>
    <r>
      <rPr>
        <sz val="11"/>
        <color theme="1"/>
        <rFont val="宋体"/>
        <charset val="134"/>
      </rPr>
      <t>累计答对600次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8</t>
    </r>
    <r>
      <rPr>
        <sz val="11"/>
        <color theme="1"/>
        <rFont val="宋体"/>
        <charset val="134"/>
      </rPr>
      <t>级</t>
    </r>
  </si>
  <si>
    <t>RY6I</t>
  </si>
  <si>
    <t>学富五车9</t>
  </si>
  <si>
    <r>
      <rPr>
        <sz val="11"/>
        <color theme="1"/>
        <rFont val="宋体"/>
        <charset val="134"/>
      </rPr>
      <t>累计答对800次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9</t>
    </r>
    <r>
      <rPr>
        <sz val="11"/>
        <color theme="1"/>
        <rFont val="宋体"/>
        <charset val="134"/>
      </rPr>
      <t>级</t>
    </r>
  </si>
  <si>
    <t>RY6J</t>
  </si>
  <si>
    <t>学富五车10</t>
  </si>
  <si>
    <r>
      <rPr>
        <sz val="11"/>
        <color theme="1"/>
        <rFont val="宋体"/>
        <charset val="134"/>
      </rPr>
      <t>累计答对1000次</t>
    </r>
    <r>
      <rPr>
        <sz val="11"/>
        <color theme="1"/>
        <rFont val="宋体"/>
        <charset val="134"/>
      </rPr>
      <t>&amp;</t>
    </r>
    <r>
      <rPr>
        <sz val="11"/>
        <color theme="1"/>
        <rFont val="宋体"/>
        <charset val="134"/>
      </rPr>
      <t>地图</t>
    </r>
    <r>
      <rPr>
        <sz val="11"/>
        <color theme="1"/>
        <rFont val="宋体"/>
        <charset val="134"/>
      </rPr>
      <t>10</t>
    </r>
    <r>
      <rPr>
        <sz val="11"/>
        <color theme="1"/>
        <rFont val="宋体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</si>
  <si>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</si>
  <si>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</si>
  <si>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</si>
  <si>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</si>
  <si>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</si>
  <si>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</si>
  <si>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</si>
  <si>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</si>
  <si>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</si>
  <si>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</si>
  <si>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</si>
  <si>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</si>
  <si>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</si>
  <si>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</si>
  <si>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</si>
  <si>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</si>
  <si>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</si>
  <si>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</si>
  <si>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</si>
  <si>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</si>
  <si>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</si>
  <si>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</si>
  <si>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</si>
  <si>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</si>
  <si>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</si>
  <si>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</si>
  <si>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</si>
  <si>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</si>
  <si>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</si>
  <si>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</si>
  <si>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</si>
  <si>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</si>
  <si>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</si>
  <si>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</si>
  <si>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</si>
  <si>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</si>
  <si>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</si>
  <si>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</si>
  <si>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</si>
  <si>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</si>
  <si>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</si>
  <si>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</si>
  <si>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</si>
  <si>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</si>
  <si>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</si>
  <si>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</si>
  <si>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</si>
  <si>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</si>
  <si>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</si>
  <si>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</si>
  <si>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</si>
  <si>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</si>
  <si>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</si>
  <si>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</si>
  <si>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</si>
  <si>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</si>
  <si>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</si>
  <si>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</si>
  <si>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</si>
  <si>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</si>
  <si>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</si>
  <si>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</si>
  <si>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</si>
  <si>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</si>
  <si>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</si>
  <si>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</si>
  <si>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</si>
  <si>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</si>
  <si>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</si>
  <si>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</si>
  <si>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</si>
  <si>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</si>
  <si>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</si>
  <si>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</si>
  <si>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</si>
  <si>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</si>
  <si>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charset val="134"/>
      </rPr>
      <t>疯狂模式累计通关2次&amp;地图</t>
    </r>
    <r>
      <rPr>
        <sz val="11"/>
        <color theme="1"/>
        <rFont val="宋体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</si>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</sst>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);[Red]\(0\)"/>
  </numFmts>
  <fonts count="34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charset val="134"/>
    </font>
    <font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1"/>
      <name val="宋体"/>
      <charset val="134"/>
      <scheme val="major"/>
    </font>
    <font>
      <sz val="12"/>
      <color theme="1"/>
      <name val="微软雅黑"/>
      <charset val="134"/>
    </font>
    <font>
      <sz val="11"/>
      <color rgb="FF9C6500"/>
      <name val="宋体"/>
      <charset val="134"/>
      <scheme val="minor"/>
    </font>
    <font>
      <b/>
      <sz val="9"/>
      <color theme="1"/>
      <name val="宋体"/>
      <charset val="134"/>
    </font>
    <font>
      <sz val="12"/>
      <name val="宋体"/>
      <charset val="134"/>
    </font>
    <font>
      <sz val="1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134"/>
    </font>
    <font>
      <sz val="11"/>
      <color rgb="FF9C6500"/>
      <name val="宋体"/>
      <charset val="134"/>
    </font>
    <font>
      <sz val="9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9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3" borderId="4" applyNumberFormat="0" applyFont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30" fillId="25" borderId="11" applyNumberFormat="0" applyAlignment="0" applyProtection="0">
      <alignment vertical="center"/>
    </xf>
    <xf numFmtId="0" fontId="22" fillId="25" borderId="5" applyNumberFormat="0" applyAlignment="0" applyProtection="0">
      <alignment vertical="center"/>
    </xf>
    <xf numFmtId="0" fontId="24" fillId="26" borderId="6" applyNumberFormat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2" applyBorder="1" applyAlignment="1"/>
    <xf numFmtId="0" fontId="8" fillId="3" borderId="0" xfId="7" applyAlignment="1"/>
    <xf numFmtId="0" fontId="9" fillId="4" borderId="0" xfId="0" applyFont="1" applyFill="1"/>
    <xf numFmtId="0" fontId="9" fillId="0" borderId="0" xfId="0" applyFont="1"/>
    <xf numFmtId="0" fontId="7" fillId="2" borderId="1" xfId="32" applyBorder="1" applyAlignment="1">
      <alignment horizontal="center"/>
    </xf>
    <xf numFmtId="0" fontId="0" fillId="0" borderId="1" xfId="52" applyFont="1" applyBorder="1"/>
    <xf numFmtId="0" fontId="10" fillId="0" borderId="0" xfId="0" applyFont="1"/>
    <xf numFmtId="0" fontId="9" fillId="4" borderId="0" xfId="52" applyFont="1" applyFill="1" applyBorder="1"/>
    <xf numFmtId="0" fontId="0" fillId="4" borderId="0" xfId="0" applyFont="1" applyFill="1"/>
    <xf numFmtId="0" fontId="0" fillId="4" borderId="1" xfId="52" applyFont="1" applyFill="1" applyBorder="1"/>
    <xf numFmtId="0" fontId="0" fillId="4" borderId="0" xfId="7" applyFont="1" applyFill="1" applyAlignment="1"/>
    <xf numFmtId="0" fontId="8" fillId="3" borderId="0" xfId="7" applyBorder="1" applyAlignment="1"/>
    <xf numFmtId="0" fontId="11" fillId="5" borderId="0" xfId="48" applyAlignment="1"/>
    <xf numFmtId="0" fontId="0" fillId="4" borderId="2" xfId="52" applyFont="1" applyFill="1" applyBorder="1"/>
    <xf numFmtId="0" fontId="0" fillId="4" borderId="0" xfId="52" applyFont="1" applyFill="1" applyBorder="1"/>
    <xf numFmtId="0" fontId="12" fillId="4" borderId="0" xfId="0" applyFont="1" applyFill="1"/>
    <xf numFmtId="0" fontId="7" fillId="2" borderId="0" xfId="32" applyAlignment="1"/>
    <xf numFmtId="0" fontId="0" fillId="0" borderId="0" xfId="52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52" applyFont="1" applyFill="1"/>
    <xf numFmtId="0" fontId="9" fillId="4" borderId="0" xfId="0" applyFont="1" applyFill="1" applyBorder="1"/>
    <xf numFmtId="0" fontId="8" fillId="3" borderId="0" xfId="51" applyAlignment="1"/>
    <xf numFmtId="0" fontId="8" fillId="3" borderId="1" xfId="51" applyBorder="1" applyAlignment="1"/>
    <xf numFmtId="0" fontId="9" fillId="4" borderId="0" xfId="52" applyFont="1" applyFill="1"/>
    <xf numFmtId="0" fontId="0" fillId="4" borderId="1" xfId="0" applyFont="1" applyFill="1" applyBorder="1"/>
    <xf numFmtId="0" fontId="0" fillId="4" borderId="1" xfId="51" applyFont="1" applyFill="1" applyBorder="1" applyAlignment="1"/>
    <xf numFmtId="0" fontId="7" fillId="2" borderId="0" xfId="27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52"/>
    <xf numFmtId="0" fontId="0" fillId="0" borderId="1" xfId="0" applyBorder="1" applyAlignment="1">
      <alignment horizontal="left" vertical="center"/>
    </xf>
    <xf numFmtId="0" fontId="0" fillId="0" borderId="1" xfId="52" applyFont="1" applyFill="1" applyBorder="1"/>
    <xf numFmtId="0" fontId="0" fillId="0" borderId="1" xfId="0" applyBorder="1" applyAlignment="1">
      <alignment horizontal="center" vertical="center"/>
    </xf>
    <xf numFmtId="0" fontId="0" fillId="0" borderId="2" xfId="52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52" applyFont="1" applyFill="1" applyBorder="1"/>
    <xf numFmtId="0" fontId="9" fillId="4" borderId="1" xfId="0" applyFont="1" applyFill="1" applyBorder="1"/>
    <xf numFmtId="0" fontId="6" fillId="0" borderId="1" xfId="52" applyBorder="1"/>
    <xf numFmtId="0" fontId="0" fillId="0" borderId="1" xfId="0" applyFont="1" applyBorder="1"/>
    <xf numFmtId="0" fontId="6" fillId="0" borderId="1" xfId="52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33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52" applyNumberFormat="1" applyFill="1"/>
    <xf numFmtId="0" fontId="11" fillId="5" borderId="0" xfId="33" applyFont="1" applyAlignment="1"/>
    <xf numFmtId="0" fontId="13" fillId="0" borderId="0" xfId="52" applyFont="1" applyFill="1" applyBorder="1" applyAlignment="1"/>
    <xf numFmtId="0" fontId="6" fillId="0" borderId="0" xfId="52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51" applyFont="1" applyFill="1" applyBorder="1" applyAlignment="1"/>
    <xf numFmtId="0" fontId="14" fillId="0" borderId="0" xfId="52" applyFont="1" applyFill="1" applyBorder="1" applyAlignment="1"/>
    <xf numFmtId="0" fontId="0" fillId="0" borderId="0" xfId="52" applyFont="1" applyFill="1" applyBorder="1" applyAlignment="1"/>
    <xf numFmtId="0" fontId="6" fillId="0" borderId="0" xfId="52" applyFont="1"/>
    <xf numFmtId="0" fontId="8" fillId="3" borderId="0" xfId="51" applyFont="1" applyAlignment="1"/>
    <xf numFmtId="0" fontId="8" fillId="3" borderId="0" xfId="7" applyFont="1" applyAlignment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好 2" xfId="27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适中 2" xfId="48"/>
    <cellStyle name="40% - 强调文字颜色 6" xfId="49" builtinId="51"/>
    <cellStyle name="60% - 强调文字颜色 6" xfId="50" builtinId="52"/>
    <cellStyle name="差 2" xfId="51"/>
    <cellStyle name="常规 2" xfId="52"/>
  </cellStyles>
  <tableStyles count="0" defaultTableStyle="TableStyleMedium2"/>
  <colors>
    <mruColors>
      <color rgb="002929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361950</xdr:rowOff>
        </xdr:to>
        <xdr:sp macro="[0]!按钮1_Click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1371600" cy="36195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fanwing\MZRPG\&#23553;&#31070;&#27036;\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O981"/>
  <sheetViews>
    <sheetView tabSelected="1" workbookViewId="0">
      <pane xSplit="3" ySplit="2" topLeftCell="I143" activePane="bottomRight" state="frozen"/>
      <selection/>
      <selection pane="topRight"/>
      <selection pane="bottomLeft"/>
      <selection pane="bottomRight" activeCell="Q150" sqref="Q15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4:116"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27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02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94">
      <c r="A32" s="40" t="s">
        <v>116</v>
      </c>
      <c r="CP32" s="40" t="s">
        <v>117</v>
      </c>
    </row>
    <row r="33" spans="1:103">
      <c r="A33" s="40" t="s">
        <v>118</v>
      </c>
      <c r="CY33" s="40" t="s">
        <v>119</v>
      </c>
    </row>
    <row r="34" spans="1:96">
      <c r="A34" s="40" t="s">
        <v>120</v>
      </c>
      <c r="CR34" s="40" t="s">
        <v>121</v>
      </c>
    </row>
    <row r="35" spans="1:89">
      <c r="A35" s="40" t="s">
        <v>122</v>
      </c>
      <c r="CK35" s="40" t="s">
        <v>123</v>
      </c>
    </row>
    <row r="36" spans="1:88">
      <c r="A36" s="40" t="s">
        <v>124</v>
      </c>
      <c r="CJ36" s="40" t="s">
        <v>125</v>
      </c>
    </row>
    <row r="37" spans="1:85">
      <c r="A37" s="40" t="s">
        <v>126</v>
      </c>
      <c r="CG37" s="40" t="s">
        <v>127</v>
      </c>
    </row>
    <row r="38" spans="1:8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ht="12" customHeight="1" spans="1:145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="40" customFormat="1" ht="16.5" spans="1:145">
      <c r="A114" s="6" t="s">
        <v>207</v>
      </c>
      <c r="B114" s="56" t="s">
        <v>208</v>
      </c>
      <c r="F114" s="40">
        <v>5</v>
      </c>
      <c r="O114" s="32"/>
      <c r="T114" s="32"/>
      <c r="Z114" s="11"/>
      <c r="AA114" s="11"/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ht="16.5" spans="1:14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ht="16.5" spans="1:14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ht="16.5" spans="1:14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ht="16.5" spans="1:14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ht="16.5" spans="1:14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N149" s="40">
        <v>24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|n攻击+100|n业力+300|n生命上限+1000|n魔法上限+100|n生命回复+5|n魔法回复+1|n伤害减免+24%|n暴击+5%|n分裂+15%|n每秒金币+1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>|n伤害减免+24%</v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R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|n攻击+100|n业力+300|n生命上限+1000|n魔法上限+100|n生命回复+5|n魔法回复+1|n攻速+50%|n攻击伤害+-25%|n暴击+5%|n分裂+15%|n每秒金币+1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>|n攻击伤害+-25%</v>
      </c>
      <c r="CM151" s="40" t="str">
        <f t="shared" si="269"/>
        <v/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="54" customFormat="1" spans="1:144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="54" customFormat="1" spans="1:144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="54" customFormat="1" spans="1:144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="54" customFormat="1" spans="1:144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="54" customFormat="1" spans="1:144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="54" customFormat="1" spans="1:144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="54" customFormat="1" spans="1:144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="54" customFormat="1" spans="1:144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="54" customFormat="1" spans="1:144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="54" customFormat="1" spans="1:144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="54" customFormat="1" spans="1:144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="54" customFormat="1" spans="1:144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="54" customFormat="1" spans="1:144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="54" customFormat="1" spans="1:144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="54" customFormat="1" spans="1:54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="54" customFormat="1" spans="1:54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="54" customFormat="1" spans="1:144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="54" customFormat="1" spans="1:144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="54" customFormat="1" spans="1:144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="54" customFormat="1" spans="1:144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="54" customFormat="1" spans="1:144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="54" customFormat="1" spans="1:144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="54" customFormat="1" spans="1:144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="54" customFormat="1" spans="1:144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="54" customFormat="1" spans="1:144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="54" customFormat="1" spans="1:144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="54" customFormat="1" spans="1:144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="54" customFormat="1" spans="1:144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="54" customFormat="1" spans="1:144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="54" customFormat="1" spans="1:12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="54" customFormat="1" spans="1:54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="54" customFormat="1" spans="1:54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76:127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27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27">
      <c r="A255" s="40" t="s">
        <v>430</v>
      </c>
      <c r="B255" s="40" t="s">
        <v>431</v>
      </c>
      <c r="C255" s="40" t="s">
        <v>432</v>
      </c>
      <c r="D255" s="40">
        <v>879</v>
      </c>
      <c r="F255" s="40">
        <v>40</v>
      </c>
      <c r="H255" s="40">
        <v>10562</v>
      </c>
      <c r="BX255" s="40" t="str">
        <f t="shared" si="522"/>
        <v>|n攻击+879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|n生命上限+10562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27">
      <c r="A256" s="40" t="s">
        <v>433</v>
      </c>
      <c r="B256" s="40" t="s">
        <v>428</v>
      </c>
      <c r="C256" s="40" t="s">
        <v>434</v>
      </c>
      <c r="D256" s="40">
        <v>1992</v>
      </c>
      <c r="F256" s="40">
        <v>60</v>
      </c>
      <c r="H256" s="40">
        <v>23296</v>
      </c>
      <c r="BX256" s="40" t="str">
        <f t="shared" si="522"/>
        <v>|n攻击+1992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|n生命上限+23296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27">
      <c r="A257" s="40" t="s">
        <v>435</v>
      </c>
      <c r="B257" s="40" t="s">
        <v>431</v>
      </c>
      <c r="C257" s="40" t="s">
        <v>436</v>
      </c>
      <c r="D257" s="40">
        <v>3049</v>
      </c>
      <c r="F257" s="40">
        <v>80</v>
      </c>
      <c r="H257" s="40">
        <v>32362</v>
      </c>
      <c r="BX257" s="40" t="str">
        <f t="shared" si="522"/>
        <v>|n攻击+3049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|n生命上限+32362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27">
      <c r="A258" s="40" t="s">
        <v>437</v>
      </c>
      <c r="B258" s="40" t="s">
        <v>438</v>
      </c>
      <c r="C258" s="40" t="s">
        <v>439</v>
      </c>
      <c r="D258" s="40">
        <v>6078</v>
      </c>
      <c r="F258" s="40">
        <v>100</v>
      </c>
      <c r="H258" s="40">
        <v>46692</v>
      </c>
      <c r="BX258" s="40" t="str">
        <f t="shared" si="522"/>
        <v>|n攻击+6078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|n生命上限+46692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27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27">
      <c r="A260" s="40" t="s">
        <v>443</v>
      </c>
      <c r="B260" s="40" t="s">
        <v>438</v>
      </c>
      <c r="C260" s="40" t="s">
        <v>444</v>
      </c>
      <c r="D260" s="40">
        <v>14929</v>
      </c>
      <c r="F260" s="40">
        <v>140</v>
      </c>
      <c r="H260" s="40">
        <v>80156</v>
      </c>
      <c r="BX260" s="40" t="str">
        <f t="shared" si="522"/>
        <v>|n攻击+14929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|n生命上限+80156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27">
      <c r="A261" s="40" t="s">
        <v>445</v>
      </c>
      <c r="B261" s="40" t="s">
        <v>441</v>
      </c>
      <c r="C261" s="40" t="s">
        <v>446</v>
      </c>
      <c r="D261" s="40">
        <v>22308</v>
      </c>
      <c r="F261" s="40">
        <v>160</v>
      </c>
      <c r="H261" s="40">
        <v>93065</v>
      </c>
      <c r="BX261" s="40" t="str">
        <f t="shared" si="522"/>
        <v>|n攻击+22308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|n生命上限+93065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33230</v>
      </c>
      <c r="F262" s="40">
        <v>180</v>
      </c>
      <c r="H262" s="40">
        <v>110320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|n攻击+33230|n防御+180|n生命上限+110320</v>
      </c>
      <c r="BX262" s="40" t="str">
        <f t="shared" si="522"/>
        <v>|n攻击+33230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|n生命上限+110320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51089</v>
      </c>
      <c r="F263" s="40">
        <v>200</v>
      </c>
      <c r="H263" s="40">
        <v>137853</v>
      </c>
      <c r="BW263" s="40" t="str">
        <f t="shared" si="574"/>
        <v>|n攻击+51089|n防御+200|n生命上限+137853</v>
      </c>
      <c r="BX263" s="40" t="str">
        <f t="shared" si="522"/>
        <v>|n攻击+51089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|n生命上限+137853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91969</v>
      </c>
      <c r="F264" s="40">
        <v>220</v>
      </c>
      <c r="H264" s="40">
        <v>175847</v>
      </c>
      <c r="BW264" s="40" t="str">
        <f t="shared" si="574"/>
        <v>|n攻击+91969|n防御+220|n生命上限+175847</v>
      </c>
      <c r="BX264" s="40" t="str">
        <f t="shared" si="522"/>
        <v>|n攻击+91969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|n生命上限+175847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151901</v>
      </c>
      <c r="F266" s="40">
        <v>260</v>
      </c>
      <c r="H266" s="40">
        <v>254326</v>
      </c>
      <c r="BW266" s="40" t="str">
        <f t="shared" si="574"/>
        <v>|n攻击+151901|n防御+260|n生命上限+254326</v>
      </c>
      <c r="BX266" s="40" t="str">
        <f t="shared" si="522"/>
        <v>|n攻击+151901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|n生命上限+254326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174992</v>
      </c>
      <c r="F267" s="40">
        <v>280</v>
      </c>
      <c r="H267" s="40">
        <v>284408</v>
      </c>
      <c r="BW267" s="40" t="str">
        <f t="shared" si="574"/>
        <v>|n攻击+174992|n防御+280|n生命上限+284408</v>
      </c>
      <c r="BX267" s="40" t="str">
        <f t="shared" si="522"/>
        <v>|n攻击+174992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|n生命上限+284408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206405</v>
      </c>
      <c r="F268" s="40">
        <v>300</v>
      </c>
      <c r="H268" s="40">
        <v>322262</v>
      </c>
      <c r="BW268" s="40" t="str">
        <f t="shared" si="574"/>
        <v>|n攻击+206405|n防御+300|n生命上限+322262</v>
      </c>
      <c r="BX268" s="40" t="str">
        <f t="shared" si="522"/>
        <v>|n攻击+206405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|n生命上限+322262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256975</v>
      </c>
      <c r="F269" s="40">
        <v>320</v>
      </c>
      <c r="H269" s="40">
        <v>393854</v>
      </c>
      <c r="BW269" s="40" t="str">
        <f t="shared" si="574"/>
        <v>|n攻击+256975|n防御+320|n生命上限+393854</v>
      </c>
      <c r="BX269" s="40" t="str">
        <f t="shared" si="522"/>
        <v>|n攻击+256975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|n生命上限+393854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365298</v>
      </c>
      <c r="F270" s="40">
        <v>340</v>
      </c>
      <c r="H270" s="40">
        <v>489174</v>
      </c>
      <c r="BW270" s="40" t="str">
        <f t="shared" si="574"/>
        <v>|n攻击+365298|n防御+340|n生命上限+489174</v>
      </c>
      <c r="BX270" s="40" t="str">
        <f t="shared" si="522"/>
        <v>|n攻击+365298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|n生命上限+489174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540954</v>
      </c>
      <c r="F272" s="40">
        <v>380</v>
      </c>
      <c r="H272" s="40">
        <v>695377</v>
      </c>
      <c r="BW272" s="40" t="str">
        <f t="shared" si="574"/>
        <v>|n攻击+540954|n防御+380|n生命上限+695377</v>
      </c>
      <c r="BX272" s="40" t="str">
        <f t="shared" si="522"/>
        <v>|n攻击+540954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|n生命上限+695377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630575</v>
      </c>
      <c r="F273" s="40">
        <v>400</v>
      </c>
      <c r="H273" s="40">
        <v>787970</v>
      </c>
      <c r="BW273" s="40" t="str">
        <f t="shared" si="574"/>
        <v>|n攻击+630575|n防御+400|n生命上限+787970</v>
      </c>
      <c r="BX273" s="40" t="str">
        <f t="shared" si="522"/>
        <v>|n攻击+630575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|n生命上限+787970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752467</v>
      </c>
      <c r="F274" s="40">
        <v>420</v>
      </c>
      <c r="H274" s="40">
        <v>903936</v>
      </c>
      <c r="BW274" s="40" t="str">
        <f t="shared" si="574"/>
        <v>|n攻击+752467|n防御+420|n生命上限+903936</v>
      </c>
      <c r="BX274" s="40" t="str">
        <f t="shared" si="522"/>
        <v>|n攻击+752467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|n生命上限+903936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768439</v>
      </c>
      <c r="F275" s="40">
        <v>440</v>
      </c>
      <c r="H275" s="40">
        <v>940072</v>
      </c>
      <c r="BW275" s="40" t="str">
        <f t="shared" si="574"/>
        <v>|n攻击+768439|n防御+440|n生命上限+940072</v>
      </c>
      <c r="BX275" s="40" t="str">
        <f t="shared" si="522"/>
        <v>|n攻击+768439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|n生命上限+940072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787207</v>
      </c>
      <c r="F276" s="40">
        <v>460</v>
      </c>
      <c r="H276" s="40">
        <v>982247</v>
      </c>
      <c r="BW276" s="40" t="str">
        <f t="shared" si="574"/>
        <v>|n攻击+787207|n防御+460|n生命上限+982247</v>
      </c>
      <c r="BX276" s="40" t="str">
        <f t="shared" si="522"/>
        <v>|n攻击+787207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|n生命上限+982247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806670</v>
      </c>
      <c r="F277" s="40">
        <v>480</v>
      </c>
      <c r="H277" s="40">
        <v>1032110</v>
      </c>
      <c r="BW277" s="40" t="str">
        <f t="shared" si="574"/>
        <v>|n攻击+806670|n防御+480|n生命上限+1032110</v>
      </c>
      <c r="BX277" s="40" t="str">
        <f t="shared" si="522"/>
        <v>|n攻击+806670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|n生命上限+1032110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859203</v>
      </c>
      <c r="F278" s="40">
        <v>500</v>
      </c>
      <c r="H278" s="40">
        <v>1126213</v>
      </c>
      <c r="BW278" s="40" t="str">
        <f t="shared" si="574"/>
        <v>|n攻击+859203|n防御+500|n生命上限+1126213</v>
      </c>
      <c r="BX278" s="40" t="str">
        <f t="shared" si="522"/>
        <v>|n攻击+859203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|n生命上限+1126213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902878</v>
      </c>
      <c r="F279" s="40">
        <v>520</v>
      </c>
      <c r="H279" s="40">
        <v>1237883</v>
      </c>
      <c r="BW279" s="40" t="str">
        <f t="shared" si="574"/>
        <v>|n攻击+902878|n防御+520|n生命上限+1237883</v>
      </c>
      <c r="BX279" s="40" t="str">
        <f t="shared" si="522"/>
        <v>|n攻击+902878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|n生命上限+1237883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968272</v>
      </c>
      <c r="F280" s="40">
        <v>540</v>
      </c>
      <c r="H280" s="40">
        <v>1372998</v>
      </c>
      <c r="BW280" s="40" t="str">
        <f t="shared" si="574"/>
        <v>|n攻击+968272|n防御+540|n生命上限+1372998</v>
      </c>
      <c r="BX280" s="40" t="str">
        <f t="shared" si="522"/>
        <v>|n攻击+968272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|n生命上限+1372998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8">
      <c r="A281" s="40" t="s">
        <v>495</v>
      </c>
      <c r="C281" s="40" t="s">
        <v>496</v>
      </c>
      <c r="D281" s="40">
        <v>1003564</v>
      </c>
      <c r="F281" s="40">
        <v>560</v>
      </c>
      <c r="H281" s="40">
        <v>1480289</v>
      </c>
    </row>
    <row r="282" spans="1:8">
      <c r="A282" s="40" t="s">
        <v>497</v>
      </c>
      <c r="C282" s="40" t="s">
        <v>498</v>
      </c>
      <c r="D282" s="40">
        <v>1167845</v>
      </c>
      <c r="F282" s="40">
        <v>580</v>
      </c>
      <c r="H282" s="40">
        <v>1605942</v>
      </c>
    </row>
    <row r="283" spans="1:8">
      <c r="A283" s="40" t="s">
        <v>499</v>
      </c>
      <c r="C283" s="40" t="s">
        <v>500</v>
      </c>
      <c r="D283" s="40">
        <v>1366710</v>
      </c>
      <c r="F283" s="40">
        <v>600</v>
      </c>
      <c r="H283" s="40">
        <v>1755830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8478</v>
      </c>
      <c r="F284" s="40">
        <v>60</v>
      </c>
      <c r="H284" s="40">
        <v>99843</v>
      </c>
      <c r="BW284" s="40" t="str">
        <f t="shared" si="574"/>
        <v>|n攻击+8478|n防御+60|n生命上限+99843</v>
      </c>
      <c r="BX284" s="40" t="str">
        <f t="shared" si="522"/>
        <v>|n攻击+8478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|n生命上限+99843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157408</v>
      </c>
      <c r="F286" s="40">
        <v>180</v>
      </c>
      <c r="H286" s="40">
        <v>472797</v>
      </c>
      <c r="BW286" s="40" t="str">
        <f t="shared" si="574"/>
        <v>|n攻击+157408|n防御+180|n生命上限+472797</v>
      </c>
      <c r="BX286" s="40" t="str">
        <f t="shared" si="522"/>
        <v>|n攻击+157408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|n生命上限+472797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854091</v>
      </c>
      <c r="F288" s="40">
        <v>300</v>
      </c>
      <c r="H288" s="40">
        <v>1381132</v>
      </c>
      <c r="BW288" s="40" t="str">
        <f t="shared" si="574"/>
        <v>|n攻击+854091|n防御+300|n生命上限+1381132</v>
      </c>
      <c r="BX288" s="40" t="str">
        <f t="shared" si="522"/>
        <v>|n攻击+854091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|n生命上限+1381132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3009868</v>
      </c>
      <c r="F290" s="40">
        <v>420</v>
      </c>
      <c r="H290" s="40">
        <v>3874020</v>
      </c>
      <c r="BW290" s="40" t="str">
        <f t="shared" si="574"/>
        <v>|n攻击+3009868|n防御+420|n生命上限+3874020</v>
      </c>
      <c r="BX290" s="40" t="str">
        <f t="shared" si="522"/>
        <v>|n攻击+3009868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|n生命上限+3874020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3122595</v>
      </c>
      <c r="F291" s="40">
        <v>480</v>
      </c>
      <c r="H291" s="40">
        <v>4423321</v>
      </c>
      <c r="BW291" s="40" t="str">
        <f t="shared" si="574"/>
        <v>|n攻击+3122595|n防御+480|n生命上限+4423321</v>
      </c>
      <c r="BX291" s="40" t="str">
        <f t="shared" si="522"/>
        <v>|n攻击+3122595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|n生命上限+4423321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3520990</v>
      </c>
      <c r="F292" s="40">
        <v>540</v>
      </c>
      <c r="H292" s="40">
        <v>5884288</v>
      </c>
      <c r="BW292" s="40" t="str">
        <f t="shared" si="574"/>
        <v>|n攻击+3520990|n防御+540|n生命上限+5884288</v>
      </c>
      <c r="BX292" s="40" t="str">
        <f t="shared" si="522"/>
        <v>|n攻击+3520990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|n生命上限+5884288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8">
      <c r="A293" s="40" t="s">
        <v>520</v>
      </c>
      <c r="B293" s="40" t="s">
        <v>521</v>
      </c>
      <c r="C293" s="40" t="s">
        <v>503</v>
      </c>
      <c r="D293" s="40">
        <v>3416775</v>
      </c>
      <c r="F293" s="40">
        <v>600</v>
      </c>
      <c r="H293" s="40">
        <v>7524975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9117</v>
      </c>
      <c r="F294" s="40">
        <v>60</v>
      </c>
      <c r="H294" s="40">
        <v>998438</v>
      </c>
      <c r="BW294" s="40" t="str">
        <f t="shared" si="574"/>
        <v>|n攻击+9117|n防御+60|n生命上限+998438</v>
      </c>
      <c r="BX294" s="40" t="str">
        <f t="shared" si="522"/>
        <v>|n攻击+9117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|n生命上限+998438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442455</v>
      </c>
      <c r="F296" s="40">
        <v>180</v>
      </c>
      <c r="H296" s="40">
        <v>4727978</v>
      </c>
      <c r="BW296" s="40" t="str">
        <f t="shared" si="574"/>
        <v>|n攻击+442455|n防御+180|n生命上限+4727978</v>
      </c>
      <c r="BX296" s="40" t="str">
        <f t="shared" si="522"/>
        <v>|n攻击+442455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|n生命上限+4727978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2347827</v>
      </c>
      <c r="F298" s="40">
        <v>300</v>
      </c>
      <c r="H298" s="40">
        <v>13811339</v>
      </c>
      <c r="BW298" s="40" t="str">
        <f t="shared" si="574"/>
        <v>|n攻击+2347827|n防御+300|n生命上限+13811339</v>
      </c>
      <c r="BX298" s="40" t="str">
        <f t="shared" si="522"/>
        <v>|n攻击+2347827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|n生命上限+13811339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8181356</v>
      </c>
      <c r="F300" s="40">
        <v>420</v>
      </c>
      <c r="H300" s="40">
        <v>38740193</v>
      </c>
      <c r="BW300" s="40" t="str">
        <f t="shared" si="574"/>
        <v>|n攻击+8181356|n防御+420|n生命上限+38740193</v>
      </c>
      <c r="BX300" s="40" t="str">
        <f t="shared" si="522"/>
        <v>|n攻击+8181356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|n生命上限+38740193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8465296</v>
      </c>
      <c r="F301" s="40">
        <v>480</v>
      </c>
      <c r="H301" s="40">
        <v>44233217</v>
      </c>
      <c r="BW301" s="40" t="str">
        <f t="shared" si="574"/>
        <v>|n攻击+8465296|n防御+480|n生命上限+44233217</v>
      </c>
      <c r="BX301" s="40" t="str">
        <f t="shared" si="522"/>
        <v>|n攻击+8465296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|n生命上限+44233217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8921924</v>
      </c>
      <c r="F302" s="40">
        <v>540</v>
      </c>
      <c r="H302" s="40">
        <v>58842882</v>
      </c>
      <c r="BW302" s="40" t="str">
        <f t="shared" si="574"/>
        <v>|n攻击+8921924|n防御+540|n生命上限+58842882</v>
      </c>
      <c r="BX302" s="40" t="str">
        <f t="shared" si="522"/>
        <v>|n攻击+8921924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|n生命上限+58842882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8">
      <c r="A303" s="40" t="s">
        <v>549</v>
      </c>
      <c r="C303" s="40" t="s">
        <v>550</v>
      </c>
      <c r="D303" s="40">
        <v>13824748</v>
      </c>
      <c r="F303" s="40">
        <v>600</v>
      </c>
      <c r="H303" s="40">
        <v>75249760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122135</v>
      </c>
      <c r="F304" s="40">
        <v>120</v>
      </c>
      <c r="H304" s="40">
        <v>6026999</v>
      </c>
      <c r="BW304" s="40" t="str">
        <f t="shared" si="574"/>
        <v>|n攻击+122135|n防御+120|n生命上限+6026999</v>
      </c>
      <c r="BX304" s="40" t="str">
        <f t="shared" si="522"/>
        <v>|n攻击+122135</v>
      </c>
      <c r="BY304" s="40" t="str">
        <f t="shared" si="523"/>
        <v/>
      </c>
      <c r="BZ304" s="40" t="str">
        <f t="shared" si="524"/>
        <v>|n防御+120</v>
      </c>
      <c r="CA304" s="40" t="str">
        <f t="shared" si="525"/>
        <v/>
      </c>
      <c r="CB304" s="40" t="str">
        <f t="shared" si="526"/>
        <v>|n生命上限+6026999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969977</v>
      </c>
      <c r="F305" s="40">
        <v>240</v>
      </c>
      <c r="H305" s="40">
        <v>5650545</v>
      </c>
      <c r="BW305" s="40" t="str">
        <f t="shared" si="574"/>
        <v>|n攻击+969977|n防御+240|n生命上限+5650545</v>
      </c>
      <c r="BX305" s="40" t="str">
        <f t="shared" si="522"/>
        <v>|n攻击+969977</v>
      </c>
      <c r="BY305" s="40" t="str">
        <f t="shared" si="523"/>
        <v/>
      </c>
      <c r="BZ305" s="40" t="str">
        <f t="shared" si="524"/>
        <v>|n防御+240</v>
      </c>
      <c r="CA305" s="40" t="str">
        <f t="shared" si="525"/>
        <v/>
      </c>
      <c r="CB305" s="40" t="str">
        <f t="shared" si="526"/>
        <v>|n生命上限+5650545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969977</v>
      </c>
      <c r="F306" s="40">
        <v>240</v>
      </c>
      <c r="H306" s="40">
        <v>5650545</v>
      </c>
      <c r="BW306" s="40" t="str">
        <f t="shared" si="574"/>
        <v>|n攻击+969977|n防御+240|n生命上限+5650545</v>
      </c>
      <c r="BX306" s="40" t="str">
        <f t="shared" si="522"/>
        <v>|n攻击+969977</v>
      </c>
      <c r="BY306" s="40" t="str">
        <f t="shared" si="523"/>
        <v/>
      </c>
      <c r="BZ306" s="40" t="str">
        <f t="shared" si="524"/>
        <v>|n防御+240</v>
      </c>
      <c r="CA306" s="40" t="str">
        <f t="shared" si="525"/>
        <v/>
      </c>
      <c r="CB306" s="40" t="str">
        <f t="shared" si="526"/>
        <v>|n生命上限+5650545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969977</v>
      </c>
      <c r="F307" s="40">
        <v>240</v>
      </c>
      <c r="H307" s="40">
        <v>5650545</v>
      </c>
      <c r="BW307" s="40" t="str">
        <f t="shared" si="574"/>
        <v>|n攻击+969977|n防御+240|n生命上限+5650545</v>
      </c>
      <c r="BX307" s="40" t="str">
        <f t="shared" si="522"/>
        <v>|n攻击+969977</v>
      </c>
      <c r="BY307" s="40" t="str">
        <f t="shared" si="523"/>
        <v/>
      </c>
      <c r="BZ307" s="40" t="str">
        <f t="shared" si="524"/>
        <v>|n防御+240</v>
      </c>
      <c r="CA307" s="40" t="str">
        <f t="shared" si="525"/>
        <v/>
      </c>
      <c r="CB307" s="40" t="str">
        <f t="shared" si="526"/>
        <v>|n生命上限+5650545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969977</v>
      </c>
      <c r="F308" s="40">
        <v>240</v>
      </c>
      <c r="H308" s="40">
        <v>5650545</v>
      </c>
      <c r="BW308" s="40" t="str">
        <f t="shared" si="574"/>
        <v>|n攻击+969977|n防御+240|n生命上限+5650545</v>
      </c>
      <c r="BX308" s="40" t="str">
        <f t="shared" si="522"/>
        <v>|n攻击+969977</v>
      </c>
      <c r="BY308" s="40" t="str">
        <f t="shared" si="523"/>
        <v/>
      </c>
      <c r="BZ308" s="40" t="str">
        <f t="shared" si="524"/>
        <v>|n防御+240</v>
      </c>
      <c r="CA308" s="40" t="str">
        <f t="shared" si="525"/>
        <v/>
      </c>
      <c r="CB308" s="40" t="str">
        <f t="shared" si="526"/>
        <v>|n生命上限+5650545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581986</v>
      </c>
      <c r="F309" s="40">
        <v>240</v>
      </c>
      <c r="H309" s="40">
        <v>13140803</v>
      </c>
      <c r="BW309" s="40" t="str">
        <f t="shared" si="574"/>
        <v>|n攻击+581986|n防御+240|n生命上限+13140803</v>
      </c>
      <c r="BX309" s="40" t="str">
        <f t="shared" si="522"/>
        <v>|n攻击+581986</v>
      </c>
      <c r="BY309" s="40" t="str">
        <f t="shared" si="523"/>
        <v/>
      </c>
      <c r="BZ309" s="40" t="str">
        <f t="shared" si="524"/>
        <v>|n防御+240</v>
      </c>
      <c r="CA309" s="40" t="str">
        <f t="shared" si="525"/>
        <v/>
      </c>
      <c r="CB309" s="40" t="str">
        <f t="shared" si="526"/>
        <v>|n生命上限+13140803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533807</v>
      </c>
      <c r="F310" s="40">
        <v>300</v>
      </c>
      <c r="H310" s="40">
        <v>18415119</v>
      </c>
      <c r="BW310" s="40" t="str">
        <f t="shared" si="574"/>
        <v>|n攻击+533807|n防御+300|n生命上限+18415119</v>
      </c>
      <c r="BX310" s="40" t="str">
        <f t="shared" si="522"/>
        <v>|n攻击+533807</v>
      </c>
      <c r="BY310" s="40" t="str">
        <f t="shared" si="523"/>
        <v/>
      </c>
      <c r="BZ310" s="40" t="str">
        <f t="shared" si="524"/>
        <v>|n防御+300</v>
      </c>
      <c r="CA310" s="40" t="str">
        <f t="shared" si="525"/>
        <v/>
      </c>
      <c r="CB310" s="40" t="str">
        <f t="shared" si="526"/>
        <v>|n生命上限+18415119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="22" customFormat="1" spans="1:145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="22" customFormat="1" spans="1:145">
      <c r="A312" s="22" t="s">
        <v>571</v>
      </c>
      <c r="B312" s="22" t="s">
        <v>572</v>
      </c>
      <c r="D312" s="22">
        <v>688</v>
      </c>
      <c r="F312" s="22">
        <v>0</v>
      </c>
      <c r="H312" s="22">
        <v>4435</v>
      </c>
      <c r="O312" s="32"/>
      <c r="T312" s="32"/>
      <c r="Z312" s="11"/>
      <c r="AA312" s="11"/>
      <c r="BW312" s="22" t="str">
        <f t="shared" si="574"/>
        <v>|n攻击+688|n防御+0|n生命上限+4435</v>
      </c>
      <c r="BX312" s="22" t="str">
        <f t="shared" ref="BX312:DW312" si="589">IF(D312="","","|n"&amp;BX$2&amp;"+"&amp;INT(D312)&amp;BX$1)</f>
        <v>|n攻击+688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|n生命上限+4435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="22" customFormat="1" spans="1:145">
      <c r="A313" s="22" t="s">
        <v>573</v>
      </c>
      <c r="B313" s="22" t="s">
        <v>574</v>
      </c>
      <c r="D313" s="22">
        <v>2107</v>
      </c>
      <c r="F313" s="22">
        <v>0</v>
      </c>
      <c r="H313" s="22">
        <v>17476</v>
      </c>
      <c r="O313" s="32"/>
      <c r="T313" s="32"/>
      <c r="Z313" s="11"/>
      <c r="AA313" s="11"/>
      <c r="BW313" s="22" t="str">
        <f t="shared" si="574"/>
        <v>|n攻击+2107|n防御+0|n生命上限+17476</v>
      </c>
      <c r="BX313" s="22" t="str">
        <f t="shared" ref="BX313:DW313" si="591">IF(D313="","","|n"&amp;BX$2&amp;"+"&amp;INT(D313)&amp;BX$1)</f>
        <v>|n攻击+2107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|n生命上限+17476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="22" customFormat="1" spans="1:145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="22" customFormat="1" spans="1:145">
      <c r="A315" s="22" t="s">
        <v>577</v>
      </c>
      <c r="B315" s="22" t="s">
        <v>578</v>
      </c>
      <c r="D315" s="22">
        <v>4342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|n攻击+4342|n防御+0|n生命上限+72592</v>
      </c>
      <c r="BX315" s="22" t="str">
        <f t="shared" ref="BX315:DW315" si="595">IF(D315="","","|n"&amp;BX$2&amp;"+"&amp;INT(D315)&amp;BX$1)</f>
        <v>|n攻击+4342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8976</v>
      </c>
      <c r="F316" s="40">
        <v>32</v>
      </c>
      <c r="H316" s="40">
        <v>442206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|n攻击+8976|n防御+32|n生命上限+442206</v>
      </c>
      <c r="BX316" s="40" t="str">
        <f t="shared" ref="BX316:BX342" si="598">IF(D316="","","|n"&amp;BX$2&amp;"+"&amp;INT(D316)&amp;BX$1)</f>
        <v>|n攻击+8976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|n生命上限+442206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48256</v>
      </c>
      <c r="F317" s="40">
        <v>80</v>
      </c>
      <c r="H317" s="40">
        <v>1849317</v>
      </c>
      <c r="BW317" s="40" t="str">
        <f t="shared" si="597"/>
        <v>|n攻击+48256|n防御+80|n生命上限+1849317</v>
      </c>
      <c r="BX317" s="40" t="str">
        <f t="shared" si="598"/>
        <v>|n攻击+48256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|n生命上限+1849317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194201</v>
      </c>
      <c r="F318" s="40">
        <v>140</v>
      </c>
      <c r="H318" s="40">
        <v>4580325</v>
      </c>
      <c r="BW318" s="40" t="str">
        <f t="shared" si="597"/>
        <v>|n攻击+194201|n防御+140|n生命上限+4580325</v>
      </c>
      <c r="BX318" s="40" t="str">
        <f t="shared" si="598"/>
        <v>|n攻击+194201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|n生命上限+4580325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435465</v>
      </c>
      <c r="F319" s="40">
        <v>200</v>
      </c>
      <c r="H319" s="40">
        <v>7877218</v>
      </c>
      <c r="BW319" s="40" t="str">
        <f t="shared" si="597"/>
        <v>|n攻击+435465|n防御+200|n生命上限+7877218</v>
      </c>
      <c r="BX319" s="40" t="str">
        <f t="shared" si="598"/>
        <v>|n攻击+435465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|n生命上限+7877218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1139263</v>
      </c>
      <c r="F320" s="40">
        <v>260</v>
      </c>
      <c r="H320" s="40">
        <v>14533002</v>
      </c>
      <c r="BW320" s="40" t="str">
        <f t="shared" si="597"/>
        <v>|n攻击+1139263|n防御+260|n生命上限+14533002</v>
      </c>
      <c r="BX320" s="40" t="str">
        <f t="shared" si="598"/>
        <v>|n攻击+1139263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|n生命上限+14533002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1868913</v>
      </c>
      <c r="F321" s="40">
        <v>320</v>
      </c>
      <c r="H321" s="40">
        <v>22505947</v>
      </c>
      <c r="BW321" s="40" t="str">
        <f t="shared" si="597"/>
        <v>|n攻击+1868913|n防御+320|n生命上限+22505947</v>
      </c>
      <c r="BX321" s="40" t="str">
        <f t="shared" si="598"/>
        <v>|n攻击+1868913</v>
      </c>
      <c r="BY321" s="40" t="str">
        <f t="shared" si="599"/>
        <v/>
      </c>
      <c r="BZ321" s="40" t="str">
        <f t="shared" si="600"/>
        <v>|n防御+320</v>
      </c>
      <c r="CA321" s="40" t="str">
        <f t="shared" si="601"/>
        <v/>
      </c>
      <c r="CB321" s="40" t="str">
        <f t="shared" si="602"/>
        <v>|n生命上限+22505947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3763162</v>
      </c>
      <c r="F322" s="40">
        <v>380</v>
      </c>
      <c r="H322" s="40">
        <v>39735797</v>
      </c>
      <c r="BW322" s="40" t="str">
        <f t="shared" si="597"/>
        <v>|n攻击+3763162|n防御+380|n生命上限+39735797</v>
      </c>
      <c r="BX322" s="40" t="str">
        <f t="shared" si="598"/>
        <v>|n攻击+3763162</v>
      </c>
      <c r="BY322" s="40" t="str">
        <f t="shared" si="599"/>
        <v/>
      </c>
      <c r="BZ322" s="40" t="str">
        <f t="shared" si="600"/>
        <v>|n防御+380</v>
      </c>
      <c r="CA322" s="40" t="str">
        <f t="shared" si="601"/>
        <v/>
      </c>
      <c r="CB322" s="40" t="str">
        <f t="shared" si="602"/>
        <v>|n生命上限+39735797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4984470</v>
      </c>
      <c r="F323" s="40">
        <v>440</v>
      </c>
      <c r="H323" s="40">
        <v>53718470</v>
      </c>
      <c r="BW323" s="40" t="str">
        <f t="shared" si="597"/>
        <v>|n攻击+4984470|n防御+440|n生命上限+53718470</v>
      </c>
      <c r="BX323" s="40" t="str">
        <f t="shared" si="598"/>
        <v>|n攻击+4984470</v>
      </c>
      <c r="BY323" s="40" t="str">
        <f t="shared" si="599"/>
        <v/>
      </c>
      <c r="BZ323" s="40" t="str">
        <f t="shared" si="600"/>
        <v>|n防御+440</v>
      </c>
      <c r="CA323" s="40" t="str">
        <f t="shared" si="601"/>
        <v/>
      </c>
      <c r="CB323" s="40" t="str">
        <f t="shared" si="602"/>
        <v>|n生命上限+53718470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4909736</v>
      </c>
      <c r="F324" s="40">
        <v>500</v>
      </c>
      <c r="H324" s="40">
        <v>64355076</v>
      </c>
      <c r="BW324" s="40" t="str">
        <f t="shared" si="597"/>
        <v>|n攻击+4909736|n防御+500|n生命上限+64355076</v>
      </c>
      <c r="BX324" s="40" t="str">
        <f t="shared" si="598"/>
        <v>|n攻击+4909736</v>
      </c>
      <c r="BY324" s="40" t="str">
        <f t="shared" si="599"/>
        <v/>
      </c>
      <c r="BZ324" s="40" t="str">
        <f t="shared" si="600"/>
        <v>|n防御+500</v>
      </c>
      <c r="CA324" s="40" t="str">
        <f t="shared" si="601"/>
        <v/>
      </c>
      <c r="CB324" s="40" t="str">
        <f t="shared" si="602"/>
        <v>|n生命上限+64355076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7526730</v>
      </c>
      <c r="F325" s="40">
        <v>560</v>
      </c>
      <c r="H325" s="40">
        <v>84588118</v>
      </c>
      <c r="BW325" s="40" t="str">
        <f t="shared" si="597"/>
        <v>|n攻击+7526730|n防御+560|n生命上限+84588118</v>
      </c>
      <c r="BX325" s="40" t="str">
        <f t="shared" si="598"/>
        <v>|n攻击+7526730</v>
      </c>
      <c r="BY325" s="40" t="str">
        <f t="shared" si="599"/>
        <v/>
      </c>
      <c r="BZ325" s="40" t="str">
        <f t="shared" si="600"/>
        <v>|n防御+560</v>
      </c>
      <c r="CA325" s="40" t="str">
        <f t="shared" si="601"/>
        <v/>
      </c>
      <c r="CB325" s="40" t="str">
        <f t="shared" si="602"/>
        <v>|n生命上限+84588118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="22" customFormat="1" spans="1:145">
      <c r="A326" s="22" t="s">
        <v>609</v>
      </c>
      <c r="B326" s="22" t="s">
        <v>610</v>
      </c>
      <c r="C326" s="22" t="s">
        <v>611</v>
      </c>
      <c r="D326" s="22">
        <v>11085461</v>
      </c>
      <c r="F326" s="22">
        <v>620</v>
      </c>
      <c r="H326" s="22">
        <v>104196779</v>
      </c>
      <c r="Z326" s="11"/>
      <c r="AA326" s="11"/>
      <c r="BW326" s="22" t="str">
        <f t="shared" si="597"/>
        <v>|n攻击+11085461|n防御+620|n生命上限+104196779</v>
      </c>
      <c r="BX326" s="22" t="str">
        <f t="shared" si="598"/>
        <v>|n攻击+11085461</v>
      </c>
      <c r="BY326" s="22" t="str">
        <f t="shared" si="599"/>
        <v/>
      </c>
      <c r="BZ326" s="22" t="str">
        <f t="shared" si="600"/>
        <v>|n防御+620</v>
      </c>
      <c r="CA326" s="22" t="str">
        <f t="shared" si="601"/>
        <v/>
      </c>
      <c r="CB326" s="22" t="str">
        <f t="shared" si="602"/>
        <v>|n生命上限+104196779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="22" customFormat="1" spans="1:145">
      <c r="A327" s="22" t="s">
        <v>612</v>
      </c>
      <c r="B327" s="22" t="s">
        <v>613</v>
      </c>
      <c r="C327" s="22" t="s">
        <v>614</v>
      </c>
      <c r="D327" s="22">
        <v>13276390</v>
      </c>
      <c r="F327" s="22">
        <v>680</v>
      </c>
      <c r="H327" s="22">
        <v>113290730</v>
      </c>
      <c r="Z327" s="11"/>
      <c r="AA327" s="11"/>
      <c r="BW327" s="22" t="str">
        <f t="shared" si="597"/>
        <v>|n攻击+13276390|n防御+680|n生命上限+113290730</v>
      </c>
      <c r="BX327" s="22" t="str">
        <f t="shared" si="598"/>
        <v>|n攻击+13276390</v>
      </c>
      <c r="BY327" s="22" t="str">
        <f t="shared" si="599"/>
        <v/>
      </c>
      <c r="BZ327" s="22" t="str">
        <f t="shared" si="600"/>
        <v>|n防御+680</v>
      </c>
      <c r="CA327" s="22" t="str">
        <f t="shared" si="601"/>
        <v/>
      </c>
      <c r="CB327" s="22" t="str">
        <f t="shared" si="602"/>
        <v>|n生命上限+113290730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="22" customFormat="1" spans="1:145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="22" customFormat="1" spans="1:145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135734</v>
      </c>
      <c r="F331" s="40">
        <v>96</v>
      </c>
      <c r="H331" s="40">
        <v>1076519</v>
      </c>
      <c r="BW331" s="40" t="str">
        <f t="shared" si="597"/>
        <v>|n攻击+135734|n防御+96|n生命上限+1076519</v>
      </c>
      <c r="BX331" s="40" t="str">
        <f t="shared" si="598"/>
        <v>|n攻击+135734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|n生命上限+1076519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2454270</v>
      </c>
      <c r="F332" s="40">
        <v>224</v>
      </c>
      <c r="H332" s="40">
        <v>4508029</v>
      </c>
      <c r="BW332" s="40" t="str">
        <f t="shared" si="597"/>
        <v>|n攻击+2454270|n防御+224|n生命上限+4508029</v>
      </c>
      <c r="BX332" s="40" t="str">
        <f t="shared" si="598"/>
        <v>|n攻击+2454270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|n生命上限+4508029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16539592</v>
      </c>
      <c r="F333" s="40">
        <v>376</v>
      </c>
      <c r="H333" s="40">
        <v>16724748</v>
      </c>
      <c r="BW333" s="40" t="str">
        <f t="shared" si="597"/>
        <v>|n攻击+16539592|n防御+376|n生命上限+16724748</v>
      </c>
      <c r="BX333" s="40" t="str">
        <f t="shared" si="598"/>
        <v>|n攻击+16539592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|n生命上限+16724748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135734</v>
      </c>
      <c r="F335" s="40">
        <v>96</v>
      </c>
      <c r="H335" s="40">
        <v>1076519</v>
      </c>
      <c r="BW335" s="40" t="str">
        <f t="shared" si="659"/>
        <v>|n攻击+135734|n防御+96|n生命上限+1076519</v>
      </c>
      <c r="BX335" s="40" t="str">
        <f t="shared" si="598"/>
        <v>|n攻击+135734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|n生命上限+1076519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2454270</v>
      </c>
      <c r="F336" s="40">
        <v>224</v>
      </c>
      <c r="H336" s="40">
        <v>4508029</v>
      </c>
      <c r="BW336" s="40" t="str">
        <f t="shared" si="659"/>
        <v>|n攻击+2454270|n防御+224|n生命上限+4508029</v>
      </c>
      <c r="BX336" s="40" t="str">
        <f t="shared" si="598"/>
        <v>|n攻击+2454270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|n生命上限+4508029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16539592</v>
      </c>
      <c r="F337" s="40">
        <v>376</v>
      </c>
      <c r="H337" s="40">
        <v>16724748</v>
      </c>
      <c r="BW337" s="40" t="str">
        <f t="shared" si="659"/>
        <v>|n攻击+16539592|n防御+376|n生命上限+16724748</v>
      </c>
      <c r="BX337" s="40" t="str">
        <f t="shared" si="598"/>
        <v>|n攻击+16539592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|n生命上限+16724748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1801</v>
      </c>
      <c r="F338" s="40">
        <v>44</v>
      </c>
      <c r="H338" s="40">
        <v>12355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|n攻击+1801</v>
      </c>
      <c r="BY338" s="40" t="str">
        <f>IF(H338="","","|n"&amp;BY$2&amp;"+"&amp;INT(H338)&amp;BY$1)</f>
        <v>|n业力+12355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11256</v>
      </c>
      <c r="F339" s="40">
        <v>44</v>
      </c>
      <c r="H339" s="40">
        <v>303616</v>
      </c>
      <c r="BW339" s="40" t="e">
        <f t="shared" si="661"/>
        <v>#REF!</v>
      </c>
      <c r="BX339" s="40" t="str">
        <f t="shared" si="598"/>
        <v>|n攻击+11256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11256</v>
      </c>
      <c r="F340" s="40">
        <v>44</v>
      </c>
      <c r="H340" s="40">
        <v>529563</v>
      </c>
      <c r="BW340" s="40" t="e">
        <f t="shared" si="661"/>
        <v>#REF!</v>
      </c>
      <c r="BX340" s="40" t="str">
        <f t="shared" si="598"/>
        <v>|n攻击+11256</v>
      </c>
      <c r="BY340" s="40" t="str">
        <f>IF(H340="","","|n"&amp;BY$2&amp;"+"&amp;INT(H340)&amp;BY$1)</f>
        <v>|n业力+529563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42646</v>
      </c>
      <c r="F341" s="40">
        <v>72</v>
      </c>
      <c r="H341" s="40">
        <v>703473</v>
      </c>
      <c r="BW341" s="40" t="e">
        <f t="shared" si="661"/>
        <v>#REF!</v>
      </c>
      <c r="BX341" s="40" t="str">
        <f t="shared" si="598"/>
        <v>|n攻击+42646</v>
      </c>
      <c r="BY341" s="40" t="str">
        <f>IF(H341="","","|n"&amp;BY$2&amp;"+"&amp;INT(H341)&amp;BY$1)</f>
        <v>|n业力+703473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42646</v>
      </c>
      <c r="F342" s="40">
        <v>72</v>
      </c>
      <c r="H342" s="40">
        <v>1226989</v>
      </c>
      <c r="BW342" s="40" t="e">
        <f t="shared" si="661"/>
        <v>#REF!</v>
      </c>
      <c r="BX342" s="40" t="str">
        <f t="shared" si="598"/>
        <v>|n攻击+42646</v>
      </c>
      <c r="BY342" s="40" t="str">
        <f>IF(H342="","","|n"&amp;BY$2&amp;"+"&amp;INT(H342)&amp;BY$1)</f>
        <v>|n业力+1226989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111648</v>
      </c>
      <c r="F343" s="40">
        <v>112</v>
      </c>
      <c r="H343" s="40">
        <v>2516910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|n攻击+111648</v>
      </c>
      <c r="BY343" s="40" t="str">
        <f>IF(H343="","","|n"&amp;BY$2&amp;"+"&amp;INT(H343)&amp;BY$1)</f>
        <v>|n业力+2516910</v>
      </c>
      <c r="BZ343" s="40" t="str">
        <f t="shared" ref="BZ343:BZ352" si="666">IF(F343="","","|n"&amp;BZ$2&amp;"+"&amp;INT(F343)&amp;BZ$1)</f>
        <v>|n防御+112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289101</v>
      </c>
      <c r="F344" s="40">
        <v>176</v>
      </c>
      <c r="H344" s="40">
        <v>3014206</v>
      </c>
      <c r="BW344" s="40" t="e">
        <f t="shared" si="664"/>
        <v>#REF!</v>
      </c>
      <c r="BX344" s="40" t="str">
        <f t="shared" si="665"/>
        <v>|n攻击+289101</v>
      </c>
      <c r="BY344" s="40" t="str">
        <f>IF(H344="","","|n"&amp;BY$2&amp;"+"&amp;INT(H344)&amp;BY$1)</f>
        <v>|n业力+3014206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289101</v>
      </c>
      <c r="F345" s="40">
        <v>176</v>
      </c>
      <c r="H345" s="40">
        <v>3014206</v>
      </c>
      <c r="BW345" s="40" t="str">
        <f t="shared" si="664"/>
        <v>|n攻击+289101|n防御+176|n生命上限+3014206</v>
      </c>
      <c r="BX345" s="40" t="str">
        <f t="shared" si="665"/>
        <v>|n攻击+289101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|n生命上限+3014206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90912</v>
      </c>
      <c r="F346" s="40">
        <v>252</v>
      </c>
      <c r="H346" s="40">
        <v>245033</v>
      </c>
      <c r="BW346" s="40" t="str">
        <f t="shared" si="664"/>
        <v>|n攻击+90912|n防御+252|n生命上限+245033</v>
      </c>
      <c r="BX346" s="40" t="str">
        <f t="shared" si="665"/>
        <v>|n攻击+90912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|n生命上限+245033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90912</v>
      </c>
      <c r="F347" s="40">
        <v>252</v>
      </c>
      <c r="H347" s="40">
        <v>245033</v>
      </c>
      <c r="BW347" s="40" t="str">
        <f t="shared" si="664"/>
        <v>|n攻击+90912|n防御+252|n生命上限+245033</v>
      </c>
      <c r="BX347" s="40" t="str">
        <f t="shared" si="665"/>
        <v>|n攻击+90912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|n生命上限+245033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90912</v>
      </c>
      <c r="F348" s="40">
        <v>252</v>
      </c>
      <c r="H348" s="40">
        <v>245033</v>
      </c>
      <c r="BW348" s="40" t="str">
        <f t="shared" si="664"/>
        <v>|n攻击+90912|n防御+252|n生命上限+245033</v>
      </c>
      <c r="BX348" s="40" t="str">
        <f t="shared" si="665"/>
        <v>|n攻击+90912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|n生命上限+245033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909128</v>
      </c>
      <c r="F349" s="40">
        <v>252</v>
      </c>
      <c r="H349" s="40">
        <v>10501516</v>
      </c>
      <c r="BW349" s="40" t="str">
        <f t="shared" si="664"/>
        <v>|n攻击+909128|n防御+252|n生命上限+10501516</v>
      </c>
      <c r="BX349" s="40" t="str">
        <f t="shared" si="665"/>
        <v>|n攻击+909128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|n生命上限+10501516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1726107</v>
      </c>
      <c r="F350" s="40">
        <v>312</v>
      </c>
      <c r="H350" s="40">
        <v>12530834</v>
      </c>
      <c r="BW350" s="40" t="str">
        <f t="shared" si="664"/>
        <v>|n攻击+1726107|n防御+312|n生命上限+12530834</v>
      </c>
      <c r="BX350" s="40" t="str">
        <f t="shared" si="665"/>
        <v>|n攻击+1726107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|n生命上限+12530834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1726107</v>
      </c>
      <c r="F351" s="40">
        <v>312</v>
      </c>
      <c r="H351" s="40">
        <v>12530834</v>
      </c>
      <c r="BW351" s="40" t="str">
        <f t="shared" si="664"/>
        <v>|n攻击+1726107|n防御+312|n生命上限+12530834</v>
      </c>
      <c r="BX351" s="40" t="str">
        <f t="shared" si="665"/>
        <v>|n攻击+1726107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|n生命上限+12530834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2967783</v>
      </c>
      <c r="F352" s="40">
        <v>372</v>
      </c>
      <c r="H352" s="40">
        <v>28555227</v>
      </c>
      <c r="BW352" s="40" t="str">
        <f t="shared" si="664"/>
        <v>|n攻击+2967783|n防御+372|n生命上限+28555227</v>
      </c>
      <c r="BX352" s="40" t="str">
        <f t="shared" si="665"/>
        <v>|n攻击+2967783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|n生命上限+28555227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5445973</v>
      </c>
      <c r="F353" s="40">
        <v>432</v>
      </c>
      <c r="H353" s="40">
        <v>11384946</v>
      </c>
      <c r="BW353" s="40" t="str">
        <f t="shared" si="664"/>
        <v>|n攻击+5445973|n防御+432|n生命上限+11384946</v>
      </c>
      <c r="BX353" s="40" t="str">
        <f t="shared" ref="BX353:BX412" si="726">IF(D353="","","|n"&amp;BX$2&amp;"+"&amp;INT(D353)&amp;BX$1)</f>
        <v>|n攻击+5445973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|n生命上限+11384946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5445973</v>
      </c>
      <c r="F354" s="40">
        <v>432</v>
      </c>
      <c r="H354" s="40">
        <v>11384946</v>
      </c>
      <c r="BW354" s="40" t="str">
        <f t="shared" si="664"/>
        <v>|n攻击+5445973|n防御+432|n生命上限+11384946</v>
      </c>
      <c r="BX354" s="40" t="str">
        <f t="shared" si="726"/>
        <v>|n攻击+5445973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|n生命上限+11384946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5445973</v>
      </c>
      <c r="F355" s="40">
        <v>432</v>
      </c>
      <c r="H355" s="40">
        <v>11384946</v>
      </c>
      <c r="BW355" s="40" t="str">
        <f t="shared" si="664"/>
        <v>|n攻击+5445973|n防御+432|n生命上限+11384946</v>
      </c>
      <c r="BX355" s="40" t="str">
        <f t="shared" si="726"/>
        <v>|n攻击+5445973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|n生命上限+11384946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5445973</v>
      </c>
      <c r="F356" s="40">
        <v>432</v>
      </c>
      <c r="H356" s="40">
        <v>11384946</v>
      </c>
      <c r="BW356" s="40" t="str">
        <f t="shared" si="664"/>
        <v>|n攻击+5445973|n防御+432|n生命上限+11384946</v>
      </c>
      <c r="BX356" s="40" t="str">
        <f t="shared" si="726"/>
        <v>|n攻击+5445973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|n生命上限+11384946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5445973</v>
      </c>
      <c r="F357" s="40">
        <v>432</v>
      </c>
      <c r="H357" s="40">
        <v>11384946</v>
      </c>
      <c r="BW357" s="40" t="str">
        <f t="shared" si="664"/>
        <v>|n攻击+5445973|n防御+432|n生命上限+11384946</v>
      </c>
      <c r="BX357" s="40" t="str">
        <f t="shared" si="726"/>
        <v>|n攻击+5445973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|n生命上限+11384946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5445973</v>
      </c>
      <c r="F358" s="40">
        <v>432</v>
      </c>
      <c r="H358" s="40">
        <v>11384946</v>
      </c>
      <c r="BW358" s="40" t="str">
        <f t="shared" si="664"/>
        <v>|n攻击+5445973|n防御+432|n生命上限+11384946</v>
      </c>
      <c r="BX358" s="40" t="str">
        <f t="shared" si="726"/>
        <v>|n攻击+5445973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|n生命上限+11384946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5445973</v>
      </c>
      <c r="F359" s="40">
        <v>432</v>
      </c>
      <c r="H359" s="40">
        <v>39714922</v>
      </c>
      <c r="BW359" s="40" t="str">
        <f t="shared" si="664"/>
        <v>|n攻击+5445973|n防御+432|n生命上限+39714922</v>
      </c>
      <c r="BX359" s="40" t="str">
        <f t="shared" si="726"/>
        <v>|n攻击+5445973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|n生命上限+39714922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4153725</v>
      </c>
      <c r="F361" s="40">
        <v>440</v>
      </c>
      <c r="H361" s="40">
        <v>40288854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|n攻击+4153725|n防御+440|n生命上限+40288854</v>
      </c>
      <c r="BX361" s="40" t="str">
        <f t="shared" si="779"/>
        <v>|n攻击+4153725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|n防御+440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|n生命上限+40288854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4153725</v>
      </c>
      <c r="F362" s="40">
        <v>440</v>
      </c>
      <c r="H362" s="40">
        <v>40288854</v>
      </c>
      <c r="BW362" s="40" t="str">
        <f t="shared" si="784"/>
        <v>|n攻击+4153725|n防御+440|n生命上限+40288854</v>
      </c>
      <c r="BX362" s="40" t="str">
        <f t="shared" si="779"/>
        <v>|n攻击+4153725</v>
      </c>
      <c r="BY362" s="40" t="str">
        <f t="shared" si="785"/>
        <v/>
      </c>
      <c r="BZ362" s="40" t="str">
        <f t="shared" si="786"/>
        <v>|n防御+440</v>
      </c>
      <c r="CA362" s="40" t="str">
        <f t="shared" si="787"/>
        <v/>
      </c>
      <c r="CB362" s="40" t="str">
        <f t="shared" si="788"/>
        <v>|n生命上限+40288854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4153725</v>
      </c>
      <c r="F363" s="40">
        <v>440</v>
      </c>
      <c r="H363" s="40">
        <v>53718470</v>
      </c>
      <c r="BW363" s="40" t="str">
        <f t="shared" si="784"/>
        <v>|n攻击+4153725|n防御+440|n生命上限+53718470</v>
      </c>
      <c r="BX363" s="40" t="str">
        <f t="shared" si="779"/>
        <v>|n攻击+4153725</v>
      </c>
      <c r="BY363" s="40" t="str">
        <f t="shared" si="785"/>
        <v/>
      </c>
      <c r="BZ363" s="40" t="str">
        <f t="shared" si="786"/>
        <v>|n防御+440</v>
      </c>
      <c r="CA363" s="40" t="str">
        <f t="shared" si="787"/>
        <v/>
      </c>
      <c r="CB363" s="40" t="str">
        <f t="shared" si="788"/>
        <v>|n生命上限+53718470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4153725</v>
      </c>
      <c r="F364" s="40">
        <v>440</v>
      </c>
      <c r="H364" s="40">
        <v>26859235</v>
      </c>
      <c r="BW364" s="40" t="str">
        <f t="shared" si="784"/>
        <v>|n攻击+4153725|n防御+440|n生命上限+26859235</v>
      </c>
      <c r="BX364" s="40" t="str">
        <f t="shared" si="779"/>
        <v>|n攻击+4153725</v>
      </c>
      <c r="BY364" s="40" t="str">
        <f t="shared" si="785"/>
        <v/>
      </c>
      <c r="BZ364" s="40" t="str">
        <f t="shared" si="786"/>
        <v>|n防御+440</v>
      </c>
      <c r="CA364" s="40" t="str">
        <f t="shared" si="787"/>
        <v/>
      </c>
      <c r="CB364" s="40" t="str">
        <f t="shared" si="788"/>
        <v>|n生命上限+26859235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4153725</v>
      </c>
      <c r="F365" s="40">
        <v>440</v>
      </c>
      <c r="H365" s="40">
        <v>26859235</v>
      </c>
      <c r="BW365" s="40" t="str">
        <f t="shared" si="784"/>
        <v>|n攻击+4153725|n防御+440|n生命上限+26859235</v>
      </c>
      <c r="BX365" s="40" t="str">
        <f t="shared" si="779"/>
        <v>|n攻击+4153725</v>
      </c>
      <c r="BY365" s="40" t="str">
        <f t="shared" si="785"/>
        <v/>
      </c>
      <c r="BZ365" s="40" t="str">
        <f t="shared" si="786"/>
        <v>|n防御+440</v>
      </c>
      <c r="CA365" s="40" t="str">
        <f t="shared" si="787"/>
        <v/>
      </c>
      <c r="CB365" s="40" t="str">
        <f t="shared" si="788"/>
        <v>|n生命上限+26859235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4153725</v>
      </c>
      <c r="F366" s="40">
        <v>440</v>
      </c>
      <c r="H366" s="40">
        <v>26859235</v>
      </c>
      <c r="BW366" s="40" t="str">
        <f t="shared" si="784"/>
        <v>|n攻击+4153725|n防御+440|n生命上限+26859235</v>
      </c>
      <c r="BX366" s="40" t="str">
        <f t="shared" si="779"/>
        <v>|n攻击+4153725</v>
      </c>
      <c r="BY366" s="40" t="str">
        <f t="shared" si="785"/>
        <v/>
      </c>
      <c r="BZ366" s="40" t="str">
        <f t="shared" si="786"/>
        <v>|n防御+440</v>
      </c>
      <c r="CA366" s="40" t="str">
        <f t="shared" si="787"/>
        <v/>
      </c>
      <c r="CB366" s="40" t="str">
        <f t="shared" si="788"/>
        <v>|n生命上限+26859235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4153725</v>
      </c>
      <c r="F367" s="40">
        <v>440</v>
      </c>
      <c r="H367" s="40">
        <v>26859235</v>
      </c>
      <c r="BW367" s="40" t="str">
        <f t="shared" si="784"/>
        <v>|n攻击+4153725|n防御+440|n生命上限+26859235</v>
      </c>
      <c r="BX367" s="40" t="str">
        <f t="shared" si="779"/>
        <v>|n攻击+4153725</v>
      </c>
      <c r="BY367" s="40" t="str">
        <f t="shared" si="785"/>
        <v/>
      </c>
      <c r="BZ367" s="40" t="str">
        <f t="shared" si="786"/>
        <v>|n防御+440</v>
      </c>
      <c r="CA367" s="40" t="str">
        <f t="shared" si="787"/>
        <v/>
      </c>
      <c r="CB367" s="40" t="str">
        <f t="shared" si="788"/>
        <v>|n生命上限+26859235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830745</v>
      </c>
      <c r="F368" s="40">
        <v>440</v>
      </c>
      <c r="H368" s="40">
        <v>940072</v>
      </c>
      <c r="BW368" s="40" t="str">
        <f t="shared" si="784"/>
        <v>|n攻击+830745|n防御+440|n生命上限+940072</v>
      </c>
      <c r="BX368" s="40" t="str">
        <f t="shared" si="779"/>
        <v>|n攻击+830745</v>
      </c>
      <c r="BY368" s="40" t="str">
        <f t="shared" si="785"/>
        <v/>
      </c>
      <c r="BZ368" s="40" t="str">
        <f t="shared" si="786"/>
        <v>|n防御+440</v>
      </c>
      <c r="CA368" s="40" t="str">
        <f t="shared" si="787"/>
        <v/>
      </c>
      <c r="CB368" s="40" t="str">
        <f t="shared" si="788"/>
        <v>|n生命上限+940072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830745</v>
      </c>
      <c r="F369" s="40">
        <v>440</v>
      </c>
      <c r="H369" s="40">
        <v>940072</v>
      </c>
      <c r="BW369" s="40" t="str">
        <f t="shared" si="784"/>
        <v>|n攻击+830745|n防御+440|n生命上限+940072</v>
      </c>
      <c r="BX369" s="40" t="str">
        <f t="shared" si="779"/>
        <v>|n攻击+830745</v>
      </c>
      <c r="BY369" s="40" t="str">
        <f t="shared" si="785"/>
        <v/>
      </c>
      <c r="BZ369" s="40" t="str">
        <f t="shared" si="786"/>
        <v>|n防御+440</v>
      </c>
      <c r="CA369" s="40" t="str">
        <f t="shared" si="787"/>
        <v/>
      </c>
      <c r="CB369" s="40" t="str">
        <f t="shared" si="788"/>
        <v>|n生命上限+940072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4153725</v>
      </c>
      <c r="F370" s="40">
        <v>440</v>
      </c>
      <c r="H370" s="40">
        <v>26859235</v>
      </c>
      <c r="BW370" s="40" t="str">
        <f t="shared" si="784"/>
        <v>|n攻击+4153725|n防御+440|n生命上限+26859235</v>
      </c>
      <c r="BX370" s="40" t="str">
        <f t="shared" si="779"/>
        <v>|n攻击+4153725</v>
      </c>
      <c r="BY370" s="40" t="str">
        <f t="shared" si="785"/>
        <v/>
      </c>
      <c r="BZ370" s="40" t="str">
        <f t="shared" si="786"/>
        <v>|n防御+440</v>
      </c>
      <c r="CA370" s="40" t="str">
        <f t="shared" si="787"/>
        <v/>
      </c>
      <c r="CB370" s="40" t="str">
        <f t="shared" si="788"/>
        <v>|n生命上限+26859235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830745</v>
      </c>
      <c r="F371" s="40">
        <v>440</v>
      </c>
      <c r="H371" s="40">
        <v>940072</v>
      </c>
      <c r="BW371" s="40" t="str">
        <f t="shared" si="784"/>
        <v>|n攻击+830745|n防御+440|n生命上限+940072</v>
      </c>
      <c r="BX371" s="40" t="str">
        <f t="shared" si="779"/>
        <v>|n攻击+830745</v>
      </c>
      <c r="BY371" s="40" t="str">
        <f t="shared" si="785"/>
        <v/>
      </c>
      <c r="BZ371" s="40" t="str">
        <f t="shared" si="786"/>
        <v>|n防御+440</v>
      </c>
      <c r="CA371" s="40" t="str">
        <f t="shared" si="787"/>
        <v/>
      </c>
      <c r="CB371" s="40" t="str">
        <f t="shared" si="788"/>
        <v>|n生命上限+940072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4153725</v>
      </c>
      <c r="F372" s="40">
        <v>440</v>
      </c>
      <c r="H372" s="40">
        <v>26859235</v>
      </c>
      <c r="BW372" s="40" t="str">
        <f t="shared" si="784"/>
        <v>|n攻击+4153725|n防御+440|n生命上限+26859235</v>
      </c>
      <c r="BX372" s="40" t="str">
        <f t="shared" si="779"/>
        <v>|n攻击+4153725</v>
      </c>
      <c r="BY372" s="40" t="str">
        <f t="shared" si="785"/>
        <v/>
      </c>
      <c r="BZ372" s="40" t="str">
        <f t="shared" si="786"/>
        <v>|n防御+440</v>
      </c>
      <c r="CA372" s="40" t="str">
        <f t="shared" si="787"/>
        <v/>
      </c>
      <c r="CB372" s="40" t="str">
        <f t="shared" si="788"/>
        <v>|n生命上限+26859235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830745</v>
      </c>
      <c r="F373" s="40">
        <v>440</v>
      </c>
      <c r="H373" s="40">
        <v>940072</v>
      </c>
      <c r="BW373" s="40" t="str">
        <f t="shared" si="784"/>
        <v>|n攻击+830745|n防御+440|n生命上限+940072</v>
      </c>
      <c r="BX373" s="40" t="str">
        <f t="shared" si="779"/>
        <v>|n攻击+830745</v>
      </c>
      <c r="BY373" s="40" t="str">
        <f t="shared" si="785"/>
        <v/>
      </c>
      <c r="BZ373" s="40" t="str">
        <f t="shared" si="786"/>
        <v>|n防御+440</v>
      </c>
      <c r="CA373" s="40" t="str">
        <f t="shared" si="787"/>
        <v/>
      </c>
      <c r="CB373" s="40" t="str">
        <f t="shared" si="788"/>
        <v>|n生命上限+940072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4153725</v>
      </c>
      <c r="F374" s="40">
        <v>440</v>
      </c>
      <c r="H374" s="40">
        <v>26859235</v>
      </c>
      <c r="BW374" s="40" t="str">
        <f t="shared" si="784"/>
        <v>|n攻击+4153725|n防御+440|n生命上限+26859235</v>
      </c>
      <c r="BX374" s="40" t="str">
        <f t="shared" si="779"/>
        <v>|n攻击+4153725</v>
      </c>
      <c r="BY374" s="40" t="str">
        <f t="shared" si="785"/>
        <v/>
      </c>
      <c r="BZ374" s="40" t="str">
        <f t="shared" si="786"/>
        <v>|n防御+440</v>
      </c>
      <c r="CA374" s="40" t="str">
        <f t="shared" si="787"/>
        <v/>
      </c>
      <c r="CB374" s="40" t="str">
        <f t="shared" si="788"/>
        <v>|n生命上限+26859235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830745</v>
      </c>
      <c r="F375" s="40">
        <v>440</v>
      </c>
      <c r="H375" s="40">
        <v>940072</v>
      </c>
      <c r="BW375" s="40" t="str">
        <f t="shared" si="784"/>
        <v>|n攻击+830745|n防御+440|n生命上限+940072</v>
      </c>
      <c r="BX375" s="40" t="str">
        <f t="shared" si="779"/>
        <v>|n攻击+830745</v>
      </c>
      <c r="BY375" s="40" t="str">
        <f t="shared" si="785"/>
        <v/>
      </c>
      <c r="BZ375" s="40" t="str">
        <f t="shared" si="786"/>
        <v>|n防御+440</v>
      </c>
      <c r="CA375" s="40" t="str">
        <f t="shared" si="787"/>
        <v/>
      </c>
      <c r="CB375" s="40" t="str">
        <f t="shared" si="788"/>
        <v>|n生命上限+940072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4153725</v>
      </c>
      <c r="F376" s="40">
        <v>440</v>
      </c>
      <c r="H376" s="40">
        <v>26859235</v>
      </c>
      <c r="BW376" s="40" t="str">
        <f t="shared" si="784"/>
        <v>|n攻击+4153725|n防御+440|n生命上限+26859235</v>
      </c>
      <c r="BX376" s="40" t="str">
        <f t="shared" si="779"/>
        <v>|n攻击+4153725</v>
      </c>
      <c r="BY376" s="40" t="str">
        <f t="shared" si="785"/>
        <v/>
      </c>
      <c r="BZ376" s="40" t="str">
        <f t="shared" si="786"/>
        <v>|n防御+440</v>
      </c>
      <c r="CA376" s="40" t="str">
        <f t="shared" si="787"/>
        <v/>
      </c>
      <c r="CB376" s="40" t="str">
        <f t="shared" si="788"/>
        <v>|n生命上限+26859235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4153725</v>
      </c>
      <c r="F377" s="40">
        <v>440</v>
      </c>
      <c r="H377" s="40">
        <v>53718470</v>
      </c>
      <c r="BW377" s="40" t="str">
        <f t="shared" si="784"/>
        <v>|n攻击+4153725|n防御+440|n生命上限+53718470</v>
      </c>
      <c r="BX377" s="40" t="str">
        <f t="shared" si="779"/>
        <v>|n攻击+4153725</v>
      </c>
      <c r="BY377" s="40" t="str">
        <f t="shared" si="785"/>
        <v/>
      </c>
      <c r="BZ377" s="40" t="str">
        <f t="shared" si="786"/>
        <v>|n防御+440</v>
      </c>
      <c r="CA377" s="40" t="str">
        <f t="shared" si="787"/>
        <v/>
      </c>
      <c r="CB377" s="40" t="str">
        <f t="shared" si="788"/>
        <v>|n生命上限+53718470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4153725</v>
      </c>
      <c r="F378" s="40">
        <v>440</v>
      </c>
      <c r="H378" s="40">
        <v>53718470</v>
      </c>
      <c r="BW378" s="40" t="str">
        <f t="shared" si="784"/>
        <v>|n攻击+4153725|n防御+440|n生命上限+53718470</v>
      </c>
      <c r="BX378" s="40" t="str">
        <f t="shared" si="779"/>
        <v>|n攻击+4153725</v>
      </c>
      <c r="BY378" s="40" t="str">
        <f t="shared" si="785"/>
        <v/>
      </c>
      <c r="BZ378" s="40" t="str">
        <f t="shared" si="786"/>
        <v>|n防御+440</v>
      </c>
      <c r="CA378" s="40" t="str">
        <f t="shared" si="787"/>
        <v/>
      </c>
      <c r="CB378" s="40" t="str">
        <f t="shared" si="788"/>
        <v>|n生命上限+53718470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4153725</v>
      </c>
      <c r="F379" s="40">
        <v>440</v>
      </c>
      <c r="H379" s="40">
        <v>26859235</v>
      </c>
      <c r="BW379" s="40" t="str">
        <f t="shared" si="784"/>
        <v>|n攻击+4153725|n防御+440|n生命上限+26859235</v>
      </c>
      <c r="BX379" s="40" t="str">
        <f t="shared" si="779"/>
        <v>|n攻击+4153725</v>
      </c>
      <c r="BY379" s="40" t="str">
        <f t="shared" si="785"/>
        <v/>
      </c>
      <c r="BZ379" s="40" t="str">
        <f t="shared" si="786"/>
        <v>|n防御+440</v>
      </c>
      <c r="CA379" s="40" t="str">
        <f t="shared" si="787"/>
        <v/>
      </c>
      <c r="CB379" s="40" t="str">
        <f t="shared" si="788"/>
        <v>|n生命上限+26859235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4153725</v>
      </c>
      <c r="F380" s="40">
        <v>440</v>
      </c>
      <c r="H380" s="40">
        <v>26859235</v>
      </c>
      <c r="BW380" s="40" t="str">
        <f t="shared" si="784"/>
        <v>|n攻击+4153725|n防御+440|n生命上限+26859235</v>
      </c>
      <c r="BX380" s="40" t="str">
        <f t="shared" si="779"/>
        <v>|n攻击+4153725</v>
      </c>
      <c r="BY380" s="40" t="str">
        <f t="shared" si="785"/>
        <v/>
      </c>
      <c r="BZ380" s="40" t="str">
        <f t="shared" si="786"/>
        <v>|n防御+440</v>
      </c>
      <c r="CA380" s="40" t="str">
        <f t="shared" si="787"/>
        <v/>
      </c>
      <c r="CB380" s="40" t="str">
        <f t="shared" si="788"/>
        <v>|n生命上限+26859235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4153725</v>
      </c>
      <c r="F381" s="40">
        <v>440</v>
      </c>
      <c r="H381" s="40">
        <v>26859235</v>
      </c>
      <c r="BW381" s="40" t="str">
        <f t="shared" si="784"/>
        <v>|n攻击+4153725|n防御+440|n生命上限+26859235</v>
      </c>
      <c r="BX381" s="40" t="str">
        <f t="shared" si="779"/>
        <v>|n攻击+4153725</v>
      </c>
      <c r="BY381" s="40" t="str">
        <f t="shared" si="785"/>
        <v/>
      </c>
      <c r="BZ381" s="40" t="str">
        <f t="shared" si="786"/>
        <v>|n防御+440</v>
      </c>
      <c r="CA381" s="40" t="str">
        <f t="shared" si="787"/>
        <v/>
      </c>
      <c r="CB381" s="40" t="str">
        <f t="shared" si="788"/>
        <v>|n生命上限+26859235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4153725</v>
      </c>
      <c r="F382" s="40">
        <v>440</v>
      </c>
      <c r="H382" s="40">
        <v>26859235</v>
      </c>
      <c r="BW382" s="40" t="str">
        <f t="shared" si="784"/>
        <v>|n攻击+4153725|n防御+440|n生命上限+26859235</v>
      </c>
      <c r="BX382" s="40" t="str">
        <f t="shared" si="779"/>
        <v>|n攻击+4153725</v>
      </c>
      <c r="BY382" s="40" t="str">
        <f t="shared" si="785"/>
        <v/>
      </c>
      <c r="BZ382" s="40" t="str">
        <f t="shared" si="786"/>
        <v>|n防御+440</v>
      </c>
      <c r="CA382" s="40" t="str">
        <f t="shared" si="787"/>
        <v/>
      </c>
      <c r="CB382" s="40" t="str">
        <f t="shared" si="788"/>
        <v>|n生命上限+26859235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4153725</v>
      </c>
      <c r="F383" s="40">
        <v>440</v>
      </c>
      <c r="H383" s="40">
        <v>53718470</v>
      </c>
      <c r="BW383" s="40" t="str">
        <f t="shared" si="784"/>
        <v>|n攻击+4153725|n防御+440|n生命上限+53718470</v>
      </c>
      <c r="BX383" s="40" t="str">
        <f t="shared" si="779"/>
        <v>|n攻击+4153725</v>
      </c>
      <c r="BY383" s="40" t="str">
        <f t="shared" si="785"/>
        <v/>
      </c>
      <c r="BZ383" s="40" t="str">
        <f t="shared" si="786"/>
        <v>|n防御+440</v>
      </c>
      <c r="CA383" s="40" t="str">
        <f t="shared" si="787"/>
        <v/>
      </c>
      <c r="CB383" s="40" t="str">
        <f t="shared" si="788"/>
        <v>|n生命上限+53718470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4602877</v>
      </c>
      <c r="F384" s="40">
        <v>500</v>
      </c>
      <c r="H384" s="40">
        <v>27672684</v>
      </c>
      <c r="BW384" s="40" t="str">
        <f t="shared" si="664"/>
        <v>|n攻击+4602877|n防御+500|n生命上限+27672684</v>
      </c>
      <c r="BX384" s="40" t="str">
        <f t="shared" si="726"/>
        <v>|n攻击+4602877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|n生命上限+27672684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4602877</v>
      </c>
      <c r="F385" s="40">
        <v>500</v>
      </c>
      <c r="H385" s="40">
        <v>27672684</v>
      </c>
      <c r="BW385" s="40" t="str">
        <f t="shared" si="664"/>
        <v>|n攻击+4602877|n防御+500|n生命上限+27672684</v>
      </c>
      <c r="BX385" s="40" t="str">
        <f t="shared" si="726"/>
        <v>|n攻击+4602877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|n生命上限+27672684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4602877</v>
      </c>
      <c r="F386" s="40">
        <v>500</v>
      </c>
      <c r="H386" s="40">
        <v>27672684</v>
      </c>
      <c r="BW386" s="40" t="str">
        <f t="shared" si="664"/>
        <v>|n攻击+4602877|n防御+500|n生命上限+27672684</v>
      </c>
      <c r="BX386" s="40" t="str">
        <f t="shared" si="726"/>
        <v>|n攻击+4602877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|n生命上限+27672684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4602877</v>
      </c>
      <c r="F387" s="40">
        <v>500</v>
      </c>
      <c r="H387" s="40">
        <v>27672684</v>
      </c>
      <c r="BW387" s="40" t="str">
        <f t="shared" si="664"/>
        <v>|n攻击+4602877|n防御+500|n生命上限+27672684</v>
      </c>
      <c r="BX387" s="40" t="str">
        <f t="shared" si="726"/>
        <v>|n攻击+4602877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|n生命上限+27672684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460287</v>
      </c>
      <c r="F388" s="40">
        <v>500</v>
      </c>
      <c r="H388" s="40">
        <v>3378640</v>
      </c>
      <c r="BW388" s="40" t="str">
        <f t="shared" si="664"/>
        <v>|n攻击+460287|n防御+500|n生命上限+3378640</v>
      </c>
      <c r="BX388" s="40" t="str">
        <f t="shared" si="726"/>
        <v>|n攻击+460287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|n生命上限+3378640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4602877</v>
      </c>
      <c r="F389" s="40">
        <v>500</v>
      </c>
      <c r="H389" s="40">
        <v>64355076</v>
      </c>
      <c r="BW389" s="40" t="str">
        <f t="shared" si="664"/>
        <v>|n攻击+4602877|n防御+500|n生命上限+64355076</v>
      </c>
      <c r="BX389" s="40" t="str">
        <f t="shared" si="726"/>
        <v>|n攻击+4602877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|n生命上限+64355076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7526730</v>
      </c>
      <c r="F390" s="40">
        <v>560</v>
      </c>
      <c r="H390" s="40">
        <v>42294059</v>
      </c>
      <c r="BW390" s="40" t="str">
        <f t="shared" si="664"/>
        <v>|n攻击+7526730|n防御+560|n生命上限+42294059</v>
      </c>
      <c r="BX390" s="40" t="str">
        <f t="shared" si="726"/>
        <v>|n攻击+7526730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|n生命上限+42294059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7526730</v>
      </c>
      <c r="F391" s="40">
        <v>560</v>
      </c>
      <c r="H391" s="40">
        <v>42294059</v>
      </c>
      <c r="BW391" s="40" t="str">
        <f t="shared" si="664"/>
        <v>|n攻击+7526730|n防御+560|n生命上限+42294059</v>
      </c>
      <c r="BX391" s="40" t="str">
        <f t="shared" si="726"/>
        <v>|n攻击+7526730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|n生命上限+42294059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7526730</v>
      </c>
      <c r="F392" s="40">
        <v>560</v>
      </c>
      <c r="H392" s="40">
        <v>42294059</v>
      </c>
      <c r="BW392" s="40" t="str">
        <f t="shared" si="664"/>
        <v>|n攻击+7526730|n防御+560|n生命上限+42294059</v>
      </c>
      <c r="BX392" s="40" t="str">
        <f t="shared" si="726"/>
        <v>|n攻击+7526730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|n生命上限+42294059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7526730</v>
      </c>
      <c r="F393" s="40">
        <v>560</v>
      </c>
      <c r="H393" s="40">
        <v>42294059</v>
      </c>
      <c r="BW393" s="40" t="str">
        <f t="shared" si="664"/>
        <v>|n攻击+7526730|n防御+560|n生命上限+42294059</v>
      </c>
      <c r="BX393" s="40" t="str">
        <f t="shared" si="726"/>
        <v>|n攻击+7526730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|n生命上限+42294059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7526730</v>
      </c>
      <c r="F394" s="40">
        <v>560</v>
      </c>
      <c r="H394" s="40">
        <v>42294059</v>
      </c>
      <c r="BW394" s="40" t="str">
        <f t="shared" si="664"/>
        <v>|n攻击+7526730|n防御+560|n生命上限+42294059</v>
      </c>
      <c r="BX394" s="40" t="str">
        <f t="shared" si="726"/>
        <v>|n攻击+7526730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|n生命上限+42294059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="54" customFormat="1" spans="1:145">
      <c r="A395" s="54" t="s">
        <v>774</v>
      </c>
      <c r="B395" s="54" t="s">
        <v>775</v>
      </c>
      <c r="D395" s="54">
        <v>9408</v>
      </c>
      <c r="F395" s="54">
        <v>36</v>
      </c>
      <c r="H395" s="54">
        <v>258218</v>
      </c>
      <c r="O395" s="32"/>
      <c r="T395" s="32"/>
      <c r="Z395" s="11"/>
      <c r="AA395" s="11"/>
      <c r="BW395" s="54" t="str">
        <f t="shared" si="664"/>
        <v>|n攻击+9408|n防御+36|n生命上限+258218</v>
      </c>
      <c r="BX395" s="54" t="str">
        <f t="shared" si="726"/>
        <v>|n攻击+9408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|n生命上限+258218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="54" customFormat="1" spans="1:145">
      <c r="A396" s="54" t="s">
        <v>776</v>
      </c>
      <c r="B396" s="54" t="s">
        <v>777</v>
      </c>
      <c r="D396" s="54">
        <v>29285</v>
      </c>
      <c r="F396" s="54">
        <v>136</v>
      </c>
      <c r="H396" s="54">
        <v>3352654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|n攻击+29285|n防御+136|n生命上限+3352654</v>
      </c>
      <c r="BX396" s="54" t="str">
        <f t="shared" si="726"/>
        <v>|n攻击+29285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|n生命上限+3352654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="54" customFormat="1" spans="1:145">
      <c r="A397" s="54" t="s">
        <v>778</v>
      </c>
      <c r="B397" s="54" t="s">
        <v>779</v>
      </c>
      <c r="D397" s="54">
        <v>126106</v>
      </c>
      <c r="F397" s="54">
        <v>236</v>
      </c>
      <c r="H397" s="54">
        <v>9205366</v>
      </c>
      <c r="O397" s="32"/>
      <c r="T397" s="32"/>
      <c r="Z397" s="11"/>
      <c r="AA397" s="11"/>
      <c r="BW397" s="54" t="str">
        <f t="shared" si="791"/>
        <v>|n攻击+126106|n防御+236|n生命上限+9205366</v>
      </c>
      <c r="BX397" s="54" t="str">
        <f t="shared" si="726"/>
        <v>|n攻击+126106</v>
      </c>
      <c r="BY397" s="54" t="str">
        <f t="shared" si="727"/>
        <v/>
      </c>
      <c r="BZ397" s="54" t="str">
        <f t="shared" si="777"/>
        <v>|n防御+236</v>
      </c>
      <c r="CA397" s="54" t="str">
        <f t="shared" si="728"/>
        <v/>
      </c>
      <c r="CB397" s="54" t="str">
        <f t="shared" si="729"/>
        <v>|n生命上限+9205366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="54" customFormat="1" spans="1:145">
      <c r="A398" s="54" t="s">
        <v>780</v>
      </c>
      <c r="B398" s="54" t="s">
        <v>781</v>
      </c>
      <c r="D398" s="54">
        <v>161071</v>
      </c>
      <c r="F398" s="54">
        <v>336</v>
      </c>
      <c r="H398" s="54">
        <v>20187502</v>
      </c>
      <c r="O398" s="32"/>
      <c r="T398" s="32"/>
      <c r="Z398" s="11"/>
      <c r="AA398" s="11"/>
      <c r="BW398" s="54" t="str">
        <f t="shared" si="791"/>
        <v>|n攻击+161071|n防御+336|n生命上限+20187502</v>
      </c>
      <c r="BX398" s="54" t="str">
        <f t="shared" si="726"/>
        <v>|n攻击+161071</v>
      </c>
      <c r="BY398" s="54" t="str">
        <f t="shared" si="727"/>
        <v/>
      </c>
      <c r="BZ398" s="54" t="str">
        <f t="shared" si="777"/>
        <v>|n防御+336</v>
      </c>
      <c r="CA398" s="54" t="str">
        <f t="shared" si="728"/>
        <v/>
      </c>
      <c r="CB398" s="54" t="str">
        <f t="shared" si="729"/>
        <v>|n生命上限+20187502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9062</v>
      </c>
      <c r="F400" s="40">
        <v>40</v>
      </c>
      <c r="H400" s="40">
        <v>30180</v>
      </c>
      <c r="BW400" s="40" t="str">
        <f t="shared" si="791"/>
        <v>|n攻击+9062|n防御+40|n生命上限+30180</v>
      </c>
      <c r="BX400" s="40" t="str">
        <f t="shared" si="726"/>
        <v>|n攻击+9062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|n生命上限+30180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21197</v>
      </c>
      <c r="F401" s="40">
        <v>60</v>
      </c>
      <c r="H401" s="40">
        <v>66563</v>
      </c>
      <c r="BW401" s="40" t="str">
        <f t="shared" si="791"/>
        <v>|n攻击+21197|n防御+60|n生命上限+66563</v>
      </c>
      <c r="BX401" s="40" t="str">
        <f t="shared" si="726"/>
        <v>|n攻击+21197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|n生命上限+66563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33511</v>
      </c>
      <c r="F402" s="40">
        <v>80</v>
      </c>
      <c r="H402" s="40">
        <v>92464</v>
      </c>
      <c r="BW402" s="40" t="str">
        <f t="shared" si="791"/>
        <v>|n攻击+33511|n防御+80|n生命上限+92464</v>
      </c>
      <c r="BX402" s="40" t="str">
        <f t="shared" si="726"/>
        <v>|n攻击+33511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|n生命上限+92464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69076</v>
      </c>
      <c r="F403" s="40">
        <v>100</v>
      </c>
      <c r="H403" s="40">
        <v>133404</v>
      </c>
      <c r="BW403" s="40" t="str">
        <f t="shared" si="791"/>
        <v>|n攻击+69076|n防御+100|n生命上限+133404</v>
      </c>
      <c r="BX403" s="40" t="str">
        <f t="shared" si="726"/>
        <v>|n攻击+69076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|n生命上限+133404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151719</v>
      </c>
      <c r="F405" s="40">
        <v>140</v>
      </c>
      <c r="H405" s="40">
        <v>229017</v>
      </c>
      <c r="BW405" s="40" t="str">
        <f t="shared" si="791"/>
        <v>|n攻击+151719|n防御+140|n生命上限+229017</v>
      </c>
      <c r="BX405" s="40" t="str">
        <f t="shared" si="726"/>
        <v>|n攻击+151719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|n生命上限+229017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201706</v>
      </c>
      <c r="F406" s="40">
        <v>160</v>
      </c>
      <c r="H406" s="40">
        <v>265903</v>
      </c>
      <c r="BW406" s="40" t="str">
        <f t="shared" si="791"/>
        <v>|n攻击+201706|n防御+160|n生命上限+265903</v>
      </c>
      <c r="BX406" s="40" t="str">
        <f t="shared" si="726"/>
        <v>|n攻击+201706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|n生命上限+265903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273279</v>
      </c>
      <c r="F407" s="40">
        <v>180</v>
      </c>
      <c r="H407" s="40">
        <v>315197</v>
      </c>
      <c r="BW407" s="40" t="str">
        <f t="shared" si="791"/>
        <v>|n攻击+273279|n防御+180|n生命上限+315197</v>
      </c>
      <c r="BX407" s="40" t="str">
        <f t="shared" si="726"/>
        <v>|n攻击+273279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|n生命上限+315197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388808</v>
      </c>
      <c r="F408" s="40">
        <v>200</v>
      </c>
      <c r="H408" s="40">
        <v>393859</v>
      </c>
      <c r="BW408" s="40" t="str">
        <f t="shared" si="791"/>
        <v>|n攻击+388808|n防御+200|n生命上限+393859</v>
      </c>
      <c r="BX408" s="40" t="str">
        <f t="shared" si="726"/>
        <v>|n攻击+388808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|n生命上限+393859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656922</v>
      </c>
      <c r="F409" s="40">
        <v>220</v>
      </c>
      <c r="H409" s="40">
        <v>502421</v>
      </c>
      <c r="BW409" s="40" t="str">
        <f t="shared" si="791"/>
        <v>|n攻击+656922|n防御+220|n生命上限+502421</v>
      </c>
      <c r="BX409" s="40" t="str">
        <f t="shared" si="726"/>
        <v>|n攻击+656922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|n生命上限+502421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1186732</v>
      </c>
      <c r="F411" s="40">
        <v>260</v>
      </c>
      <c r="H411" s="40">
        <v>726649</v>
      </c>
      <c r="BW411" s="40" t="str">
        <f t="shared" si="791"/>
        <v>|n攻击+1186732|n防御+260|n生命上限+726649</v>
      </c>
      <c r="BX411" s="40" t="str">
        <f t="shared" si="726"/>
        <v>|n攻击+1186732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|n生命上限+726649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1069</v>
      </c>
      <c r="F412" s="40">
        <v>24</v>
      </c>
      <c r="H412" s="40">
        <v>16254</v>
      </c>
      <c r="BW412" s="40" t="str">
        <f t="shared" si="791"/>
        <v>|n攻击+1069|n防御+24|n生命上限+16254</v>
      </c>
      <c r="BX412" s="40" t="str">
        <f t="shared" si="726"/>
        <v>|n攻击+1069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|n生命上限+16254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2938</v>
      </c>
      <c r="F413" s="40">
        <v>44</v>
      </c>
      <c r="H413" s="40">
        <v>35305</v>
      </c>
      <c r="BW413" s="40" t="str">
        <f t="shared" si="791"/>
        <v>|n攻击+2938|n防御+44|n生命上限+35305</v>
      </c>
      <c r="BX413" s="40" t="str">
        <f t="shared" ref="BX413:CM438" si="796">IF(D413="","","|n"&amp;BX$2&amp;"+"&amp;INT(D413)&amp;BX$1)</f>
        <v>|n攻击+2938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|n生命上限+35305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6483</v>
      </c>
      <c r="F414" s="40">
        <v>64</v>
      </c>
      <c r="H414" s="40">
        <v>70637</v>
      </c>
      <c r="BW414" s="40" t="str">
        <f t="shared" si="791"/>
        <v>|n攻击+6483|n防御+64|n生命上限+70637</v>
      </c>
      <c r="BX414" s="40" t="str">
        <f t="shared" si="796"/>
        <v>|n攻击+6483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|n生命上限+70637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10809</v>
      </c>
      <c r="F415" s="40">
        <v>84</v>
      </c>
      <c r="H415" s="40">
        <v>100986</v>
      </c>
      <c r="BW415" s="40" t="str">
        <f t="shared" si="791"/>
        <v>|n攻击+10809|n防御+84|n生命上限+100986</v>
      </c>
      <c r="BX415" s="40" t="str">
        <f t="shared" si="796"/>
        <v>|n攻击+10809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|n生命上限+100986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27">
      <c r="A416" s="40" t="s">
        <v>809</v>
      </c>
      <c r="B416" s="40" t="s">
        <v>810</v>
      </c>
      <c r="C416" s="40" t="s">
        <v>806</v>
      </c>
      <c r="D416" s="40">
        <v>21285</v>
      </c>
      <c r="F416" s="40">
        <v>104</v>
      </c>
      <c r="H416" s="40">
        <v>142222</v>
      </c>
      <c r="BW416" s="40" t="str">
        <f t="shared" si="791"/>
        <v>|n攻击+21285|n防御+104|n生命上限+142222</v>
      </c>
      <c r="BX416" s="40" t="str">
        <f t="shared" si="796"/>
        <v>|n攻击+21285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|n生命上限+142222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30020</v>
      </c>
      <c r="F417" s="40">
        <v>124</v>
      </c>
      <c r="H417" s="40">
        <v>2056214</v>
      </c>
      <c r="BW417" s="40" t="str">
        <f t="shared" si="791"/>
        <v>|n攻击+30020|n防御+124|n生命上限+2056214</v>
      </c>
      <c r="BX417" s="40" t="str">
        <f t="shared" ref="BX417:DW417" si="848">IF(D417="","","|n"&amp;BX$2&amp;"+"&amp;INT(D417)&amp;BX$1)</f>
        <v>|n攻击+30020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|n生命上限+2056214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ht="15" customHeight="1" spans="1:127">
      <c r="A418" s="40" t="s">
        <v>814</v>
      </c>
      <c r="B418" s="40" t="s">
        <v>815</v>
      </c>
      <c r="C418" s="40" t="s">
        <v>806</v>
      </c>
      <c r="D418" s="40">
        <v>46595</v>
      </c>
      <c r="F418" s="40">
        <v>144</v>
      </c>
      <c r="H418" s="40">
        <v>237555</v>
      </c>
      <c r="BW418" s="40" t="str">
        <f t="shared" si="791"/>
        <v>|n攻击+46595|n防御+144|n生命上限+237555</v>
      </c>
      <c r="BX418" s="40" t="str">
        <f t="shared" si="796"/>
        <v>|n攻击+46595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|n生命上限+237555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62121</v>
      </c>
      <c r="F419" s="40">
        <v>164</v>
      </c>
      <c r="H419" s="40">
        <v>272830</v>
      </c>
      <c r="BW419" s="40" t="str">
        <f t="shared" si="791"/>
        <v>|n攻击+62121|n防御+164|n生命上限+272830</v>
      </c>
      <c r="BX419" s="40" t="str">
        <f t="shared" si="796"/>
        <v>|n攻击+62121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|n生命上限+272830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87709</v>
      </c>
      <c r="F420" s="40">
        <v>184</v>
      </c>
      <c r="H420" s="40">
        <v>328345</v>
      </c>
      <c r="BW420" s="40" t="str">
        <f t="shared" si="791"/>
        <v>|n攻击+87709|n防御+184|n生命上限+328345</v>
      </c>
      <c r="BX420" s="40" t="str">
        <f t="shared" si="796"/>
        <v>|n攻击+87709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|n生命上限+328345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130900</v>
      </c>
      <c r="F421" s="40">
        <v>204</v>
      </c>
      <c r="H421" s="40">
        <v>417565</v>
      </c>
      <c r="BW421" s="40" t="str">
        <f t="shared" si="791"/>
        <v>|n攻击+130900|n防御+204|n生命上限+417565</v>
      </c>
      <c r="BX421" s="40" t="str">
        <f t="shared" si="796"/>
        <v>|n攻击+130900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|n生命上限+417565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212950</v>
      </c>
      <c r="F422" s="40">
        <v>224</v>
      </c>
      <c r="H422" s="40">
        <v>524190</v>
      </c>
      <c r="BW422" s="40" t="str">
        <f t="shared" si="791"/>
        <v>|n攻击+212950|n防御+224|n生命上限+524190</v>
      </c>
      <c r="BX422" s="40" t="str">
        <f t="shared" si="796"/>
        <v>|n攻击+212950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|n生命上限+524190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249322</v>
      </c>
      <c r="F423" s="40">
        <v>244</v>
      </c>
      <c r="H423" s="40">
        <v>6691210</v>
      </c>
      <c r="BW423" s="40" t="str">
        <f t="shared" si="791"/>
        <v>|n攻击+249322|n防御+244|n生命上限+6691210</v>
      </c>
      <c r="BX423" s="40" t="str">
        <f t="shared" ref="BX423:DW423" si="851">IF(D423="","","|n"&amp;BX$2&amp;"+"&amp;INT(D423)&amp;BX$1)</f>
        <v>|n攻击+249322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|n生命上限+6691210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368245</v>
      </c>
      <c r="F424" s="40">
        <v>260</v>
      </c>
      <c r="H424" s="40">
        <v>726649</v>
      </c>
      <c r="BW424" s="40" t="str">
        <f t="shared" si="791"/>
        <v>|n攻击+368245|n防御+260|n生命上限+726649</v>
      </c>
      <c r="BX424" s="40" t="str">
        <f t="shared" si="796"/>
        <v>|n攻击+368245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|n生命上限+726649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443182</v>
      </c>
      <c r="F425" s="40">
        <v>276</v>
      </c>
      <c r="H425" s="40">
        <v>797171</v>
      </c>
      <c r="BW425" s="40" t="str">
        <f t="shared" si="791"/>
        <v>|n攻击+443182|n防御+276|n生命上限+797171</v>
      </c>
      <c r="BX425" s="40" t="str">
        <f t="shared" si="796"/>
        <v>|n攻击+443182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|n生命上限+797171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511090</v>
      </c>
      <c r="F426" s="40">
        <v>292</v>
      </c>
      <c r="H426" s="40">
        <v>871304</v>
      </c>
      <c r="BW426" s="40" t="str">
        <f t="shared" si="791"/>
        <v>|n攻击+511090|n防御+292|n生命上限+871304</v>
      </c>
      <c r="BX426" s="40" t="str">
        <f t="shared" si="796"/>
        <v>|n攻击+511090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|n生命上限+871304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618822</v>
      </c>
      <c r="F427" s="40">
        <v>308</v>
      </c>
      <c r="H427" s="40">
        <v>991767</v>
      </c>
      <c r="BW427" s="40" t="str">
        <f t="shared" si="791"/>
        <v>|n攻击+618822|n防御+308|n生命上限+991767</v>
      </c>
      <c r="BX427" s="40" t="str">
        <f t="shared" si="796"/>
        <v>|n攻击+618822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|n生命上限+991767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788940</v>
      </c>
      <c r="F428" s="40">
        <v>324</v>
      </c>
      <c r="H428" s="40">
        <v>1185096</v>
      </c>
      <c r="BW428" s="40" t="str">
        <f t="shared" si="791"/>
        <v>|n攻击+788940|n防御+324|n生命上限+1185096</v>
      </c>
      <c r="BX428" s="40" t="str">
        <f t="shared" si="796"/>
        <v>|n攻击+788940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|n生命上限+1185096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875363</v>
      </c>
      <c r="F429" s="40">
        <v>340</v>
      </c>
      <c r="H429" s="40">
        <v>13976400</v>
      </c>
      <c r="BW429" s="40" t="str">
        <f t="shared" si="791"/>
        <v>|n攻击+875363|n防御+340|n生命上限+13976400</v>
      </c>
      <c r="BX429" s="40" t="str">
        <f t="shared" ref="BX429:DW429" si="857">IF(D429="","","|n"&amp;BX$2&amp;"+"&amp;INT(D429)&amp;BX$1)</f>
        <v>|n攻击+875363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|n生命上限+13976400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1395176</v>
      </c>
      <c r="F430" s="40">
        <v>356</v>
      </c>
      <c r="H430" s="40">
        <v>1668286</v>
      </c>
      <c r="BW430" s="40" t="str">
        <f t="shared" si="791"/>
        <v>|n攻击+1395176|n防御+356|n生命上限+1668286</v>
      </c>
      <c r="BX430" s="40" t="str">
        <f t="shared" si="796"/>
        <v>|n攻击+1395176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|n生命上限+1668286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1735418</v>
      </c>
      <c r="F431" s="40">
        <v>372</v>
      </c>
      <c r="H431" s="40">
        <v>1903683</v>
      </c>
      <c r="BW431" s="40" t="str">
        <f t="shared" si="791"/>
        <v>|n攻击+1735418|n防御+372|n生命上限+1903683</v>
      </c>
      <c r="BX431" s="40" t="str">
        <f t="shared" si="796"/>
        <v>|n攻击+1735418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|n生命上限+1903683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2056949</v>
      </c>
      <c r="F432" s="40">
        <v>388</v>
      </c>
      <c r="H432" s="40">
        <v>2091939</v>
      </c>
      <c r="BW432" s="40" t="str">
        <f t="shared" si="791"/>
        <v>|n攻击+2056949|n防御+388|n生命上限+2091939</v>
      </c>
      <c r="BX432" s="40" t="str">
        <f t="shared" si="796"/>
        <v>|n攻击+2056949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|n生命上限+2091939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2438655</v>
      </c>
      <c r="F433" s="40">
        <v>404</v>
      </c>
      <c r="H433" s="40">
        <v>2300738</v>
      </c>
      <c r="BW433" s="40" t="str">
        <f t="shared" si="791"/>
        <v>|n攻击+2438655|n防御+404|n生命上限+2300738</v>
      </c>
      <c r="BX433" s="40" t="str">
        <f t="shared" si="796"/>
        <v>|n攻击+2438655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|n生命上限+2300738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3014153</v>
      </c>
      <c r="F434" s="40">
        <v>420</v>
      </c>
      <c r="H434" s="40">
        <v>2582680</v>
      </c>
      <c r="BW434" s="40" t="str">
        <f t="shared" si="791"/>
        <v>|n攻击+3014153|n防御+420|n生命上限+2582680</v>
      </c>
      <c r="BX434" s="40" t="str">
        <f t="shared" si="796"/>
        <v>|n攻击+3014153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|n生命上限+2582680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2629173</v>
      </c>
      <c r="F435" s="40">
        <v>436</v>
      </c>
      <c r="H435" s="40">
        <v>26666677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|n攻击+2629173|n防御+436|n生命上限+26666677</v>
      </c>
      <c r="BX435" s="40" t="str">
        <f t="shared" si="796"/>
        <v>|n攻击+2629173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|n生命上限+26666677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="40" customFormat="1" spans="1:145">
      <c r="A438" s="40" t="s">
        <v>857</v>
      </c>
      <c r="B438" s="40" t="s">
        <v>858</v>
      </c>
      <c r="D438" s="40">
        <v>997</v>
      </c>
      <c r="F438" s="40">
        <v>32</v>
      </c>
      <c r="H438" s="40">
        <v>190149</v>
      </c>
      <c r="O438" s="32"/>
      <c r="T438" s="32"/>
      <c r="Z438" s="11"/>
      <c r="AA438" s="11"/>
      <c r="BW438" s="40" t="str">
        <f t="shared" si="864"/>
        <v>|n攻击+997|n防御+32|n生命上限+190149</v>
      </c>
      <c r="BX438" s="40" t="str">
        <f t="shared" si="796"/>
        <v>|n攻击+997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|n生命上限+190149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="40" customFormat="1" spans="1:145">
      <c r="A439" s="40" t="s">
        <v>859</v>
      </c>
      <c r="B439" s="40" t="s">
        <v>860</v>
      </c>
      <c r="C439" s="27"/>
      <c r="D439" s="40">
        <v>5144</v>
      </c>
      <c r="F439" s="40">
        <v>72</v>
      </c>
      <c r="H439" s="40">
        <v>703473</v>
      </c>
      <c r="O439" s="32"/>
      <c r="T439" s="32"/>
      <c r="Z439" s="11"/>
      <c r="AA439" s="11"/>
      <c r="BW439" s="40" t="str">
        <f t="shared" si="864"/>
        <v>|n攻击+5144|n防御+72|n生命上限+703473</v>
      </c>
      <c r="BX439" s="40" t="str">
        <f t="shared" ref="BX439:CM454" si="868">IF(D439="","","|n"&amp;BX$2&amp;"+"&amp;INT(D439)&amp;BX$1)</f>
        <v>|n攻击+5144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|n生命上限+703473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="40" customFormat="1" spans="1:145">
      <c r="A440" s="40" t="s">
        <v>861</v>
      </c>
      <c r="B440" s="40" t="s">
        <v>862</v>
      </c>
      <c r="D440" s="40">
        <v>17015</v>
      </c>
      <c r="F440" s="40">
        <v>112</v>
      </c>
      <c r="H440" s="40">
        <v>1443029</v>
      </c>
      <c r="O440" s="32"/>
      <c r="T440" s="32"/>
      <c r="Z440" s="11"/>
      <c r="AA440" s="11"/>
      <c r="BW440" s="40" t="str">
        <f t="shared" si="864"/>
        <v>|n攻击+17015|n防御+112|n生命上限+1443029</v>
      </c>
      <c r="BX440" s="40" t="str">
        <f t="shared" si="868"/>
        <v>|n攻击+17015</v>
      </c>
      <c r="BY440" s="40" t="str">
        <f t="shared" si="868"/>
        <v/>
      </c>
      <c r="BZ440" s="40" t="str">
        <f t="shared" si="868"/>
        <v>|n防御+112</v>
      </c>
      <c r="CA440" s="40" t="str">
        <f t="shared" si="868"/>
        <v/>
      </c>
      <c r="CB440" s="40" t="str">
        <f t="shared" si="868"/>
        <v>|n生命上限+1443029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="40" customFormat="1" spans="1:145">
      <c r="A441" s="40" t="s">
        <v>863</v>
      </c>
      <c r="B441" s="40" t="s">
        <v>864</v>
      </c>
      <c r="D441" s="40">
        <v>31745</v>
      </c>
      <c r="F441" s="40">
        <v>152</v>
      </c>
      <c r="H441" s="40">
        <v>2147505</v>
      </c>
      <c r="O441" s="32"/>
      <c r="T441" s="32"/>
      <c r="Z441" s="11"/>
      <c r="AA441" s="11"/>
      <c r="BW441" s="40" t="str">
        <f t="shared" si="864"/>
        <v>|n攻击+31745|n防御+152|n生命上限+2147505</v>
      </c>
      <c r="BX441" s="40" t="str">
        <f t="shared" si="868"/>
        <v>|n攻击+31745</v>
      </c>
      <c r="BY441" s="40" t="str">
        <f t="shared" si="868"/>
        <v/>
      </c>
      <c r="BZ441" s="40" t="str">
        <f t="shared" si="868"/>
        <v>|n防御+152</v>
      </c>
      <c r="CA441" s="40" t="str">
        <f t="shared" si="868"/>
        <v/>
      </c>
      <c r="CB441" s="40" t="str">
        <f t="shared" si="868"/>
        <v>|n生命上限+2147505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="40" customFormat="1" spans="1:145">
      <c r="A442" s="40" t="s">
        <v>865</v>
      </c>
      <c r="B442" s="40" t="s">
        <v>866</v>
      </c>
      <c r="D442" s="40">
        <v>62595</v>
      </c>
      <c r="F442" s="40">
        <v>192</v>
      </c>
      <c r="H442" s="40">
        <v>3117670</v>
      </c>
      <c r="O442" s="32"/>
      <c r="T442" s="32"/>
      <c r="Z442" s="11"/>
      <c r="AA442" s="11"/>
      <c r="BW442" s="40" t="str">
        <f t="shared" si="864"/>
        <v>|n攻击+62595|n防御+192|n生命上限+3117670</v>
      </c>
      <c r="BX442" s="40" t="str">
        <f t="shared" si="868"/>
        <v>|n攻击+62595</v>
      </c>
      <c r="BY442" s="40" t="str">
        <f t="shared" si="868"/>
        <v/>
      </c>
      <c r="BZ442" s="40" t="str">
        <f t="shared" si="868"/>
        <v>|n防御+192</v>
      </c>
      <c r="CA442" s="40" t="str">
        <f t="shared" si="868"/>
        <v/>
      </c>
      <c r="CB442" s="40" t="str">
        <f t="shared" si="868"/>
        <v>|n生命上限+3117670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="40" customFormat="1" spans="1:145">
      <c r="A443" s="40" t="s">
        <v>867</v>
      </c>
      <c r="B443" s="40" t="s">
        <v>868</v>
      </c>
      <c r="D443" s="40">
        <v>152628</v>
      </c>
      <c r="F443" s="40">
        <v>232</v>
      </c>
      <c r="H443" s="40">
        <v>5024178</v>
      </c>
      <c r="O443" s="32"/>
      <c r="T443" s="32"/>
      <c r="Z443" s="11"/>
      <c r="AA443" s="11"/>
      <c r="BW443" s="40" t="str">
        <f t="shared" si="864"/>
        <v>|n攻击+152628|n防御+232|n生命上限+5024178</v>
      </c>
      <c r="BX443" s="40" t="str">
        <f t="shared" si="868"/>
        <v>|n攻击+152628</v>
      </c>
      <c r="BY443" s="40" t="str">
        <f t="shared" si="868"/>
        <v/>
      </c>
      <c r="BZ443" s="40" t="str">
        <f t="shared" si="868"/>
        <v>|n防御+232</v>
      </c>
      <c r="CA443" s="40" t="str">
        <f t="shared" si="868"/>
        <v/>
      </c>
      <c r="CB443" s="40" t="str">
        <f t="shared" si="868"/>
        <v>|n生命上限+5024178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="40" customFormat="1" spans="1:145">
      <c r="A444" s="40" t="s">
        <v>869</v>
      </c>
      <c r="B444" s="40" t="s">
        <v>870</v>
      </c>
      <c r="D444" s="40">
        <v>306654</v>
      </c>
      <c r="F444" s="40">
        <v>292</v>
      </c>
      <c r="H444" s="40">
        <v>7493229</v>
      </c>
      <c r="O444" s="32"/>
      <c r="T444" s="32"/>
      <c r="Z444" s="11"/>
      <c r="AA444" s="11"/>
      <c r="BW444" s="40" t="str">
        <f t="shared" si="864"/>
        <v>|n攻击+306654|n防御+292|n生命上限+7493229</v>
      </c>
      <c r="BX444" s="40" t="str">
        <f t="shared" si="868"/>
        <v>|n攻击+306654</v>
      </c>
      <c r="BY444" s="40" t="str">
        <f t="shared" si="868"/>
        <v/>
      </c>
      <c r="BZ444" s="40" t="str">
        <f t="shared" si="868"/>
        <v>|n防御+292</v>
      </c>
      <c r="CA444" s="40" t="str">
        <f t="shared" si="868"/>
        <v/>
      </c>
      <c r="CB444" s="40" t="str">
        <f t="shared" si="868"/>
        <v>|n生命上限+7493229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="40" customFormat="1" spans="1:145">
      <c r="A445" s="40" t="s">
        <v>871</v>
      </c>
      <c r="B445" s="40" t="s">
        <v>872</v>
      </c>
      <c r="D445" s="40">
        <v>789164</v>
      </c>
      <c r="F445" s="40">
        <v>352</v>
      </c>
      <c r="H445" s="40">
        <v>13736205</v>
      </c>
      <c r="O445" s="32"/>
      <c r="T445" s="32"/>
      <c r="Z445" s="11"/>
      <c r="AA445" s="11"/>
      <c r="BW445" s="40" t="str">
        <f t="shared" si="864"/>
        <v>|n攻击+789164|n防御+352|n生命上限+13736205</v>
      </c>
      <c r="BX445" s="40" t="str">
        <f t="shared" si="868"/>
        <v>|n攻击+789164</v>
      </c>
      <c r="BY445" s="40" t="str">
        <f t="shared" si="868"/>
        <v/>
      </c>
      <c r="BZ445" s="40" t="str">
        <f t="shared" si="868"/>
        <v>|n防御+352</v>
      </c>
      <c r="CA445" s="40" t="str">
        <f t="shared" si="868"/>
        <v/>
      </c>
      <c r="CB445" s="40" t="str">
        <f t="shared" si="868"/>
        <v>|n生命上限+13736205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="40" customFormat="1" spans="1:145">
      <c r="A446" s="40" t="s">
        <v>873</v>
      </c>
      <c r="B446" s="40" t="s">
        <v>874</v>
      </c>
      <c r="D446" s="40">
        <v>1619711</v>
      </c>
      <c r="F446" s="40">
        <v>412</v>
      </c>
      <c r="H446" s="40">
        <v>20915418</v>
      </c>
      <c r="O446" s="32"/>
      <c r="T446" s="32"/>
      <c r="Z446" s="11"/>
      <c r="AA446" s="11"/>
      <c r="BW446" s="40" t="str">
        <f t="shared" si="864"/>
        <v>|n攻击+1619711|n防御+412|n生命上限+20915418</v>
      </c>
      <c r="BX446" s="40" t="str">
        <f t="shared" si="868"/>
        <v>|n攻击+1619711</v>
      </c>
      <c r="BY446" s="40" t="str">
        <f t="shared" si="868"/>
        <v/>
      </c>
      <c r="BZ446" s="40" t="str">
        <f t="shared" si="868"/>
        <v>|n防御+412</v>
      </c>
      <c r="CA446" s="40" t="str">
        <f t="shared" si="868"/>
        <v/>
      </c>
      <c r="CB446" s="40" t="str">
        <f t="shared" si="868"/>
        <v>|n生命上限+20915418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="40" customFormat="1" spans="1:145">
      <c r="A447" s="40" t="s">
        <v>875</v>
      </c>
      <c r="B447" s="40" t="s">
        <v>876</v>
      </c>
      <c r="D447" s="40">
        <v>2388090</v>
      </c>
      <c r="F447" s="40">
        <v>472</v>
      </c>
      <c r="H447" s="40">
        <v>24807289</v>
      </c>
      <c r="O447" s="32"/>
      <c r="T447" s="32"/>
      <c r="Z447" s="11"/>
      <c r="AA447" s="11"/>
      <c r="BW447" s="40" t="str">
        <f t="shared" si="864"/>
        <v>|n攻击+2388090|n防御+472|n生命上限+24807289</v>
      </c>
      <c r="BX447" s="40" t="str">
        <f t="shared" si="868"/>
        <v>|n攻击+2388090</v>
      </c>
      <c r="BY447" s="40" t="str">
        <f t="shared" si="868"/>
        <v/>
      </c>
      <c r="BZ447" s="40" t="str">
        <f t="shared" si="868"/>
        <v>|n防御+472</v>
      </c>
      <c r="CA447" s="40" t="str">
        <f t="shared" si="868"/>
        <v/>
      </c>
      <c r="CB447" s="40" t="str">
        <f t="shared" si="868"/>
        <v>|n生命上限+24807289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="40" customFormat="1" spans="1:145">
      <c r="A448" s="40" t="s">
        <v>877</v>
      </c>
      <c r="B448" s="40" t="s">
        <v>878</v>
      </c>
      <c r="D448" s="40">
        <v>3898725</v>
      </c>
      <c r="F448" s="40">
        <v>532</v>
      </c>
      <c r="H448" s="40">
        <v>32242099</v>
      </c>
      <c r="O448" s="32"/>
      <c r="T448" s="32"/>
      <c r="Z448" s="11"/>
      <c r="AA448" s="11"/>
      <c r="BW448" s="40" t="str">
        <f t="shared" si="864"/>
        <v>|n攻击+3898725|n防御+532|n生命上限+32242099</v>
      </c>
      <c r="BX448" s="40" t="str">
        <f t="shared" si="868"/>
        <v>|n攻击+3898725</v>
      </c>
      <c r="BY448" s="40" t="str">
        <f t="shared" si="868"/>
        <v/>
      </c>
      <c r="BZ448" s="40" t="str">
        <f t="shared" si="868"/>
        <v>|n防御+532</v>
      </c>
      <c r="CA448" s="40" t="str">
        <f t="shared" si="868"/>
        <v/>
      </c>
      <c r="CB448" s="40" t="str">
        <f t="shared" si="868"/>
        <v>|n生命上限+32242099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="40" customFormat="1" spans="1:145">
      <c r="A449" s="40" t="s">
        <v>879</v>
      </c>
      <c r="B449" s="40" t="s">
        <v>880</v>
      </c>
      <c r="D449" s="40">
        <v>6228567</v>
      </c>
      <c r="F449" s="40">
        <v>592</v>
      </c>
      <c r="H449" s="40">
        <v>41491911</v>
      </c>
      <c r="O449" s="32"/>
      <c r="T449" s="32"/>
      <c r="Z449" s="11"/>
      <c r="AA449" s="11"/>
      <c r="BW449" s="40" t="str">
        <f t="shared" si="864"/>
        <v>|n攻击+6228567|n防御+592|n生命上限+41491911</v>
      </c>
      <c r="BX449" s="40" t="str">
        <f t="shared" si="868"/>
        <v>|n攻击+6228567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|n生命上限+41491911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="40" customFormat="1" spans="1:145">
      <c r="A450" s="40" t="s">
        <v>881</v>
      </c>
      <c r="B450" s="40" t="s">
        <v>882</v>
      </c>
      <c r="D450" s="40">
        <v>2851</v>
      </c>
      <c r="F450" s="40">
        <v>52</v>
      </c>
      <c r="H450" s="40">
        <v>416344</v>
      </c>
      <c r="O450" s="32"/>
      <c r="T450" s="32"/>
      <c r="Z450" s="11"/>
      <c r="AA450" s="11"/>
      <c r="BW450" s="40" t="str">
        <f t="shared" si="864"/>
        <v>|n攻击+2851|n防御+52|n生命上限+416344</v>
      </c>
      <c r="BX450" s="40" t="str">
        <f t="shared" si="868"/>
        <v>|n攻击+2851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|n生命上限+416344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="40" customFormat="1" spans="1:145">
      <c r="A451" s="40" t="s">
        <v>883</v>
      </c>
      <c r="B451" s="40" t="s">
        <v>884</v>
      </c>
      <c r="C451" s="27"/>
      <c r="D451" s="40">
        <v>8177</v>
      </c>
      <c r="F451" s="40">
        <v>92</v>
      </c>
      <c r="H451" s="40">
        <v>984423</v>
      </c>
      <c r="O451" s="32"/>
      <c r="T451" s="32"/>
      <c r="Z451" s="11"/>
      <c r="AA451" s="11"/>
      <c r="BW451" s="40" t="str">
        <f t="shared" si="864"/>
        <v>|n攻击+8177|n防御+92|n生命上限+984423</v>
      </c>
      <c r="BX451" s="40" t="str">
        <f t="shared" si="868"/>
        <v>|n攻击+8177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|n生命上限+984423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="40" customFormat="1" spans="1:145">
      <c r="A452" s="40" t="s">
        <v>885</v>
      </c>
      <c r="B452" s="40" t="s">
        <v>886</v>
      </c>
      <c r="C452" s="27"/>
      <c r="D452" s="40">
        <v>25919</v>
      </c>
      <c r="F452" s="40">
        <v>132</v>
      </c>
      <c r="H452" s="40">
        <v>1876465</v>
      </c>
      <c r="O452" s="32"/>
      <c r="T452" s="32"/>
      <c r="Z452" s="11"/>
      <c r="AA452" s="11"/>
      <c r="BW452" s="40" t="str">
        <f t="shared" si="864"/>
        <v>|n攻击+25919|n防御+132|n生命上限+1876465</v>
      </c>
      <c r="BX452" s="40" t="str">
        <f t="shared" si="868"/>
        <v>|n攻击+25919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|n生命上限+1876465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="40" customFormat="1" spans="1:145">
      <c r="A453" s="40" t="s">
        <v>887</v>
      </c>
      <c r="B453" s="40" t="s">
        <v>888</v>
      </c>
      <c r="D453" s="40">
        <v>43211</v>
      </c>
      <c r="F453" s="40">
        <v>172</v>
      </c>
      <c r="H453" s="40">
        <v>2513225</v>
      </c>
      <c r="O453" s="32"/>
      <c r="T453" s="32"/>
      <c r="Z453" s="11"/>
      <c r="AA453" s="11"/>
      <c r="BW453" s="40" t="str">
        <f t="shared" si="864"/>
        <v>|n攻击+43211|n防御+172|n生命上限+2513225</v>
      </c>
      <c r="BX453" s="40" t="str">
        <f t="shared" si="868"/>
        <v>|n攻击+43211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|n生命上限+2513225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="40" customFormat="1" spans="1:145">
      <c r="A454" s="40" t="s">
        <v>889</v>
      </c>
      <c r="B454" s="40" t="s">
        <v>890</v>
      </c>
      <c r="D454" s="40">
        <v>90299</v>
      </c>
      <c r="F454" s="40">
        <v>212</v>
      </c>
      <c r="H454" s="40">
        <v>3905122</v>
      </c>
      <c r="O454" s="32"/>
      <c r="T454" s="32"/>
      <c r="Z454" s="11"/>
      <c r="AA454" s="11"/>
      <c r="BW454" s="40" t="str">
        <f t="shared" si="864"/>
        <v>|n攻击+90299|n防御+212|n生命上限+3905122</v>
      </c>
      <c r="BX454" s="40" t="str">
        <f t="shared" si="868"/>
        <v>|n攻击+90299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|n生命上限+3905122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="40" customFormat="1" spans="1:127">
      <c r="A455" s="40" t="s">
        <v>891</v>
      </c>
      <c r="B455" s="40" t="s">
        <v>892</v>
      </c>
      <c r="D455" s="40">
        <v>205415</v>
      </c>
      <c r="F455" s="40">
        <v>252</v>
      </c>
      <c r="H455" s="40">
        <v>6020868</v>
      </c>
      <c r="O455" s="32"/>
      <c r="T455" s="32"/>
      <c r="Z455" s="11"/>
      <c r="AA455" s="11"/>
      <c r="BW455" s="40" t="str">
        <f t="shared" si="864"/>
        <v>|n攻击+205415|n防御+252|n生命上限+6020868</v>
      </c>
      <c r="BX455" s="40" t="str">
        <f t="shared" ref="BX455:CM470" si="876">IF(D455="","","|n"&amp;BX$2&amp;"+"&amp;INT(D455)&amp;BX$1)</f>
        <v>|n攻击+205415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|n生命上限+6020868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="40" customFormat="1" spans="1:145">
      <c r="A456" s="40" t="s">
        <v>893</v>
      </c>
      <c r="B456" s="40" t="s">
        <v>894</v>
      </c>
      <c r="D456" s="40">
        <v>398135</v>
      </c>
      <c r="F456" s="40">
        <v>312</v>
      </c>
      <c r="H456" s="40">
        <v>8980431</v>
      </c>
      <c r="O456" s="32"/>
      <c r="T456" s="32"/>
      <c r="Z456" s="11"/>
      <c r="AA456" s="11"/>
      <c r="BW456" s="40" t="str">
        <f t="shared" si="864"/>
        <v>|n攻击+398135|n防御+312|n生命上限+8980431</v>
      </c>
      <c r="BX456" s="40" t="str">
        <f t="shared" si="876"/>
        <v>|n攻击+398135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|n生命上限+8980431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="40" customFormat="1" ht="15" customHeight="1" spans="1:127">
      <c r="A457" s="40" t="s">
        <v>895</v>
      </c>
      <c r="B457" s="40" t="s">
        <v>896</v>
      </c>
      <c r="D457" s="40">
        <v>1041250</v>
      </c>
      <c r="F457" s="40">
        <v>372</v>
      </c>
      <c r="H457" s="40">
        <v>16371663</v>
      </c>
      <c r="O457" s="32"/>
      <c r="T457" s="32"/>
      <c r="Z457" s="11"/>
      <c r="AA457" s="11"/>
      <c r="BW457" s="40" t="str">
        <f t="shared" si="864"/>
        <v>|n攻击+1041250|n防御+372|n生命上限+16371663</v>
      </c>
      <c r="BX457" s="40" t="str">
        <f t="shared" si="876"/>
        <v>|n攻击+1041250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|n生命上限+16371663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="40" customFormat="1" spans="1:145">
      <c r="A458" s="40" t="s">
        <v>897</v>
      </c>
      <c r="B458" s="40" t="s">
        <v>898</v>
      </c>
      <c r="D458" s="40">
        <v>1933021</v>
      </c>
      <c r="F458" s="40">
        <v>432</v>
      </c>
      <c r="H458" s="40">
        <v>22769889</v>
      </c>
      <c r="O458" s="32"/>
      <c r="T458" s="32"/>
      <c r="Z458" s="11"/>
      <c r="AA458" s="11"/>
      <c r="BW458" s="40" t="str">
        <f t="shared" si="864"/>
        <v>|n攻击+1933021|n防御+432|n生命上限+22769889</v>
      </c>
      <c r="BX458" s="40" t="str">
        <f t="shared" si="876"/>
        <v>|n攻击+1933021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|n生命上限+22769889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="40" customFormat="1" spans="1:145">
      <c r="A459" s="40" t="s">
        <v>899</v>
      </c>
      <c r="B459" s="40" t="s">
        <v>900</v>
      </c>
      <c r="D459" s="40">
        <v>2793441</v>
      </c>
      <c r="F459" s="40">
        <v>492</v>
      </c>
      <c r="H459" s="40">
        <v>26790095</v>
      </c>
      <c r="O459" s="32"/>
      <c r="T459" s="32"/>
      <c r="Z459" s="11"/>
      <c r="AA459" s="11"/>
      <c r="BW459" s="40" t="str">
        <f t="shared" si="864"/>
        <v>|n攻击+2793441|n防御+492|n生命上限+26790095</v>
      </c>
      <c r="BX459" s="40" t="str">
        <f t="shared" si="876"/>
        <v>|n攻击+2793441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|n生命上限+26790095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="40" customFormat="1" spans="1:145">
      <c r="A460" s="40" t="s">
        <v>901</v>
      </c>
      <c r="B460" s="40" t="s">
        <v>902</v>
      </c>
      <c r="D460" s="40">
        <v>4677400</v>
      </c>
      <c r="F460" s="40">
        <v>552</v>
      </c>
      <c r="H460" s="40">
        <v>35370600</v>
      </c>
      <c r="O460" s="32"/>
      <c r="T460" s="32"/>
      <c r="Z460" s="11"/>
      <c r="AA460" s="11"/>
      <c r="BW460" s="40" t="str">
        <f t="shared" si="864"/>
        <v>|n攻击+4677400|n防御+552|n生命上限+35370600</v>
      </c>
      <c r="BX460" s="40" t="str">
        <f t="shared" si="876"/>
        <v>|n攻击+4677400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|n生命上限+35370600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="40" customFormat="1" spans="1:145">
      <c r="A461" s="40" t="s">
        <v>903</v>
      </c>
      <c r="B461" s="40" t="s">
        <v>904</v>
      </c>
      <c r="D461" s="40">
        <v>6989633</v>
      </c>
      <c r="F461" s="40">
        <v>612</v>
      </c>
      <c r="H461" s="40">
        <v>44184931</v>
      </c>
      <c r="O461" s="32"/>
      <c r="T461" s="32"/>
      <c r="Z461" s="11"/>
      <c r="AA461" s="11"/>
      <c r="BW461" s="40" t="str">
        <f t="shared" si="864"/>
        <v>|n攻击+6989633|n防御+612|n生命上限+44184931</v>
      </c>
      <c r="BX461" s="40" t="str">
        <f t="shared" si="876"/>
        <v>|n攻击+6989633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|n生命上限+44184931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="40" customFormat="1" spans="1:145">
      <c r="A462" s="40" t="s">
        <v>905</v>
      </c>
      <c r="B462" s="40" t="s">
        <v>906</v>
      </c>
      <c r="D462" s="40">
        <v>11285</v>
      </c>
      <c r="F462" s="40">
        <v>68</v>
      </c>
      <c r="H462" s="40">
        <v>967579</v>
      </c>
      <c r="O462" s="32"/>
      <c r="T462" s="32"/>
      <c r="Z462" s="11"/>
      <c r="AA462" s="11"/>
      <c r="BW462" s="40" t="str">
        <f t="shared" si="864"/>
        <v>|n攻击+11285|n防御+68|n生命上限+967579</v>
      </c>
      <c r="BX462" s="40" t="str">
        <f t="shared" si="876"/>
        <v>|n攻击+11285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|n生命上限+967579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="40" customFormat="1" spans="1:145">
      <c r="A463" s="40" t="s">
        <v>907</v>
      </c>
      <c r="B463" s="40" t="s">
        <v>908</v>
      </c>
      <c r="D463" s="40">
        <v>57727</v>
      </c>
      <c r="F463" s="40">
        <v>128</v>
      </c>
      <c r="H463" s="40">
        <v>2715646</v>
      </c>
      <c r="O463" s="32"/>
      <c r="T463" s="32"/>
      <c r="Z463" s="11"/>
      <c r="AA463" s="11"/>
      <c r="BW463" s="40" t="str">
        <f t="shared" si="864"/>
        <v>|n攻击+57727|n防御+128|n生命上限+2715646</v>
      </c>
      <c r="BX463" s="40" t="str">
        <f t="shared" si="876"/>
        <v>|n攻击+57727</v>
      </c>
      <c r="BY463" s="40" t="str">
        <f t="shared" si="876"/>
        <v/>
      </c>
      <c r="BZ463" s="40" t="str">
        <f t="shared" si="876"/>
        <v>|n防御+128</v>
      </c>
      <c r="CA463" s="40" t="str">
        <f t="shared" si="876"/>
        <v/>
      </c>
      <c r="CB463" s="40" t="str">
        <f t="shared" si="876"/>
        <v>|n生命上限+2715646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="40" customFormat="1" spans="1:145">
      <c r="A464" s="40" t="s">
        <v>909</v>
      </c>
      <c r="B464" s="40" t="s">
        <v>910</v>
      </c>
      <c r="D464" s="40">
        <v>131342</v>
      </c>
      <c r="F464" s="40">
        <v>188</v>
      </c>
      <c r="H464" s="40">
        <v>4413145</v>
      </c>
      <c r="O464" s="32"/>
      <c r="T464" s="32"/>
      <c r="Z464" s="11"/>
      <c r="AA464" s="11"/>
      <c r="BW464" s="40" t="str">
        <f t="shared" si="864"/>
        <v>|n攻击+131342|n防御+188|n生命上限+4413145</v>
      </c>
      <c r="BX464" s="40" t="str">
        <f t="shared" si="876"/>
        <v>|n攻击+131342</v>
      </c>
      <c r="BY464" s="40" t="str">
        <f t="shared" si="876"/>
        <v/>
      </c>
      <c r="BZ464" s="40" t="str">
        <f t="shared" si="876"/>
        <v>|n防御+188</v>
      </c>
      <c r="CA464" s="40" t="str">
        <f t="shared" si="876"/>
        <v/>
      </c>
      <c r="CB464" s="40" t="str">
        <f t="shared" si="876"/>
        <v>|n生命上限+4413145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="40" customFormat="1" spans="1:145">
      <c r="A465" s="40" t="s">
        <v>911</v>
      </c>
      <c r="B465" s="40" t="s">
        <v>912</v>
      </c>
      <c r="D465" s="40">
        <v>433042</v>
      </c>
      <c r="F465" s="40">
        <v>248</v>
      </c>
      <c r="H465" s="40">
        <v>8791384</v>
      </c>
      <c r="O465" s="32"/>
      <c r="T465" s="32"/>
      <c r="Z465" s="11"/>
      <c r="AA465" s="11"/>
      <c r="BW465" s="40" t="str">
        <f t="shared" si="864"/>
        <v>|n攻击+433042|n防御+248|n生命上限+8791384</v>
      </c>
      <c r="BX465" s="40" t="str">
        <f t="shared" si="876"/>
        <v>|n攻击+433042</v>
      </c>
      <c r="BY465" s="40" t="str">
        <f t="shared" si="876"/>
        <v/>
      </c>
      <c r="BZ465" s="40" t="str">
        <f t="shared" si="876"/>
        <v>|n防御+248</v>
      </c>
      <c r="CA465" s="40" t="str">
        <f t="shared" si="876"/>
        <v/>
      </c>
      <c r="CB465" s="40" t="str">
        <f t="shared" si="876"/>
        <v>|n生命上限+8791384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="40" customFormat="1" spans="1:145">
      <c r="A466" s="40" t="s">
        <v>913</v>
      </c>
      <c r="B466" s="40" t="s">
        <v>914</v>
      </c>
      <c r="D466" s="40">
        <v>808969</v>
      </c>
      <c r="F466" s="40">
        <v>308</v>
      </c>
      <c r="H466" s="40">
        <v>12793810</v>
      </c>
      <c r="O466" s="32"/>
      <c r="T466" s="32"/>
      <c r="Z466" s="11"/>
      <c r="AA466" s="11"/>
      <c r="BW466" s="40" t="str">
        <f t="shared" si="864"/>
        <v>|n攻击+808969|n防御+308|n生命上限+12793810</v>
      </c>
      <c r="BX466" s="40" t="str">
        <f t="shared" si="876"/>
        <v>|n攻击+808969</v>
      </c>
      <c r="BY466" s="40" t="str">
        <f t="shared" si="876"/>
        <v/>
      </c>
      <c r="BZ466" s="40" t="str">
        <f t="shared" si="876"/>
        <v>|n防御+308</v>
      </c>
      <c r="CA466" s="40" t="str">
        <f t="shared" si="876"/>
        <v/>
      </c>
      <c r="CB466" s="40" t="str">
        <f t="shared" si="876"/>
        <v>|n生命上限+12793810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="40" customFormat="1" spans="1:145">
      <c r="A467" s="40" t="s">
        <v>915</v>
      </c>
      <c r="B467" s="40" t="s">
        <v>916</v>
      </c>
      <c r="D467" s="40">
        <v>2112192</v>
      </c>
      <c r="F467" s="40">
        <v>368</v>
      </c>
      <c r="H467" s="40">
        <v>23833990</v>
      </c>
      <c r="O467" s="32"/>
      <c r="T467" s="32"/>
      <c r="Z467" s="11"/>
      <c r="AA467" s="11"/>
      <c r="BW467" s="40" t="str">
        <f t="shared" si="864"/>
        <v>|n攻击+2112192|n防御+368|n生命上限+23833990</v>
      </c>
      <c r="BX467" s="40" t="str">
        <f t="shared" si="876"/>
        <v>|n攻击+2112192</v>
      </c>
      <c r="BY467" s="40" t="str">
        <f t="shared" si="876"/>
        <v/>
      </c>
      <c r="BZ467" s="40" t="str">
        <f t="shared" si="876"/>
        <v>|n防御+368</v>
      </c>
      <c r="CA467" s="40" t="str">
        <f t="shared" si="876"/>
        <v/>
      </c>
      <c r="CB467" s="40" t="str">
        <f t="shared" si="876"/>
        <v>|n生命上限+23833990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="40" customFormat="1" spans="1:145">
      <c r="A468" s="40" t="s">
        <v>917</v>
      </c>
      <c r="B468" s="40" t="s">
        <v>918</v>
      </c>
      <c r="D468" s="40">
        <v>3982943</v>
      </c>
      <c r="F468" s="40">
        <v>428</v>
      </c>
      <c r="H468" s="40">
        <v>33789258</v>
      </c>
      <c r="O468" s="32"/>
      <c r="T468" s="32"/>
      <c r="Z468" s="11"/>
      <c r="AA468" s="11"/>
      <c r="BW468" s="40" t="str">
        <f t="shared" si="864"/>
        <v>|n攻击+3982943|n防御+428|n生命上限+33789258</v>
      </c>
      <c r="BX468" s="40" t="str">
        <f t="shared" si="876"/>
        <v>|n攻击+3982943</v>
      </c>
      <c r="BY468" s="40" t="str">
        <f t="shared" si="876"/>
        <v/>
      </c>
      <c r="BZ468" s="40" t="str">
        <f t="shared" si="876"/>
        <v>|n防御+428</v>
      </c>
      <c r="CA468" s="40" t="str">
        <f t="shared" si="876"/>
        <v/>
      </c>
      <c r="CB468" s="40" t="str">
        <f t="shared" si="876"/>
        <v>|n生命上限+33789258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="40" customFormat="1" spans="1:145">
      <c r="A469" s="40" t="s">
        <v>919</v>
      </c>
      <c r="B469" s="40" t="s">
        <v>920</v>
      </c>
      <c r="D469" s="40">
        <v>5618618</v>
      </c>
      <c r="F469" s="40">
        <v>488</v>
      </c>
      <c r="H469" s="40">
        <v>39285858</v>
      </c>
      <c r="O469" s="32"/>
      <c r="T469" s="32"/>
      <c r="Z469" s="11"/>
      <c r="AA469" s="11"/>
      <c r="BW469" s="40" t="str">
        <f t="shared" si="864"/>
        <v>|n攻击+5618618|n防御+488|n生命上限+39285858</v>
      </c>
      <c r="BX469" s="40" t="str">
        <f t="shared" si="876"/>
        <v>|n攻击+5618618</v>
      </c>
      <c r="BY469" s="40" t="str">
        <f t="shared" si="876"/>
        <v/>
      </c>
      <c r="BZ469" s="40" t="str">
        <f t="shared" si="876"/>
        <v>|n防御+488</v>
      </c>
      <c r="CA469" s="40" t="str">
        <f t="shared" si="876"/>
        <v/>
      </c>
      <c r="CB469" s="40" t="str">
        <f t="shared" si="876"/>
        <v>|n生命上限+39285858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="40" customFormat="1" spans="1:145">
      <c r="A470" s="40" t="s">
        <v>921</v>
      </c>
      <c r="B470" s="40" t="s">
        <v>922</v>
      </c>
      <c r="D470" s="40">
        <v>9389822</v>
      </c>
      <c r="F470" s="40">
        <v>548</v>
      </c>
      <c r="H470" s="40">
        <v>52030505</v>
      </c>
      <c r="O470" s="32"/>
      <c r="T470" s="32"/>
      <c r="Z470" s="11"/>
      <c r="AA470" s="11"/>
      <c r="BW470" s="40" t="str">
        <f t="shared" si="864"/>
        <v>|n攻击+9389822|n防御+548|n生命上限+52030505</v>
      </c>
      <c r="BX470" s="40" t="str">
        <f t="shared" si="876"/>
        <v>|n攻击+9389822</v>
      </c>
      <c r="BY470" s="40" t="str">
        <f t="shared" si="876"/>
        <v/>
      </c>
      <c r="BZ470" s="40" t="str">
        <f t="shared" si="876"/>
        <v>|n防御+548</v>
      </c>
      <c r="CA470" s="40" t="str">
        <f t="shared" si="876"/>
        <v/>
      </c>
      <c r="CB470" s="40" t="str">
        <f t="shared" si="876"/>
        <v>|n生命上限+52030505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="40" customFormat="1" spans="1:145">
      <c r="A471" s="40" t="s">
        <v>923</v>
      </c>
      <c r="B471" s="40" t="s">
        <v>924</v>
      </c>
      <c r="D471" s="40">
        <v>14198479</v>
      </c>
      <c r="F471" s="40">
        <v>608</v>
      </c>
      <c r="H471" s="40">
        <v>65613873</v>
      </c>
      <c r="O471" s="32"/>
      <c r="T471" s="32"/>
      <c r="Z471" s="11"/>
      <c r="AA471" s="11"/>
      <c r="BW471" s="40" t="str">
        <f t="shared" si="864"/>
        <v>|n攻击+14198479|n防御+608|n生命上限+65613873</v>
      </c>
      <c r="BX471" s="40" t="str">
        <f t="shared" ref="BX471:CM486" si="883">IF(D471="","","|n"&amp;BX$2&amp;"+"&amp;INT(D471)&amp;BX$1)</f>
        <v>|n攻击+14198479</v>
      </c>
      <c r="BY471" s="40" t="str">
        <f t="shared" si="883"/>
        <v/>
      </c>
      <c r="BZ471" s="40" t="str">
        <f t="shared" si="883"/>
        <v>|n防御+608</v>
      </c>
      <c r="CA471" s="40" t="str">
        <f t="shared" si="883"/>
        <v/>
      </c>
      <c r="CB471" s="40" t="str">
        <f t="shared" si="883"/>
        <v>|n生命上限+65613873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="40" customFormat="1" spans="1:145">
      <c r="A472" s="40" t="s">
        <v>925</v>
      </c>
      <c r="B472" s="40" t="s">
        <v>926</v>
      </c>
      <c r="D472" s="40">
        <v>1149</v>
      </c>
      <c r="F472" s="40">
        <v>24</v>
      </c>
      <c r="H472" s="40">
        <v>139795</v>
      </c>
      <c r="O472" s="32"/>
      <c r="T472" s="32"/>
      <c r="Z472" s="11"/>
      <c r="AA472" s="11"/>
      <c r="BW472" s="40" t="str">
        <f t="shared" si="864"/>
        <v>|n攻击+1149|n防御+24|n生命上限+139795</v>
      </c>
      <c r="BX472" s="40" t="str">
        <f t="shared" si="883"/>
        <v>|n攻击+1149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|n生命上限+139795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="40" customFormat="1" spans="1:145">
      <c r="A473" s="40" t="s">
        <v>927</v>
      </c>
      <c r="B473" s="40" t="s">
        <v>928</v>
      </c>
      <c r="D473" s="40">
        <v>3376</v>
      </c>
      <c r="F473" s="40">
        <v>44</v>
      </c>
      <c r="H473" s="40">
        <v>303616</v>
      </c>
      <c r="O473" s="32"/>
      <c r="T473" s="32"/>
      <c r="Z473" s="11"/>
      <c r="AA473" s="11"/>
      <c r="BW473" s="40" t="str">
        <f t="shared" si="864"/>
        <v>|n攻击+3376|n防御+44|n生命上限+303616</v>
      </c>
      <c r="BX473" s="40" t="str">
        <f t="shared" si="883"/>
        <v>|n攻击+3376</v>
      </c>
      <c r="BY473" s="40" t="str">
        <f t="shared" si="883"/>
        <v/>
      </c>
      <c r="BZ473" s="40" t="str">
        <f t="shared" si="883"/>
        <v>|n防御+44</v>
      </c>
      <c r="CA473" s="40" t="str">
        <f t="shared" si="883"/>
        <v/>
      </c>
      <c r="CB473" s="40" t="str">
        <f t="shared" si="883"/>
        <v>|n生命上限+303616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="40" customFormat="1" spans="1:145">
      <c r="A474" s="40" t="s">
        <v>929</v>
      </c>
      <c r="B474" s="40" t="s">
        <v>930</v>
      </c>
      <c r="D474" s="40">
        <v>9896</v>
      </c>
      <c r="F474" s="40">
        <v>76</v>
      </c>
      <c r="H474" s="40">
        <v>747753</v>
      </c>
      <c r="O474" s="32"/>
      <c r="T474" s="32"/>
      <c r="Z474" s="11"/>
      <c r="AA474" s="11"/>
      <c r="BW474" s="40" t="str">
        <f t="shared" si="864"/>
        <v>|n攻击+9896|n防御+76|n生命上限+747753</v>
      </c>
      <c r="BX474" s="40" t="str">
        <f t="shared" si="883"/>
        <v>|n攻击+9896</v>
      </c>
      <c r="BY474" s="40" t="str">
        <f t="shared" si="883"/>
        <v/>
      </c>
      <c r="BZ474" s="40" t="str">
        <f t="shared" si="883"/>
        <v>|n防御+76</v>
      </c>
      <c r="CA474" s="40" t="str">
        <f t="shared" si="883"/>
        <v/>
      </c>
      <c r="CB474" s="40" t="str">
        <f t="shared" si="883"/>
        <v>|n生命上限+747753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="40" customFormat="1" spans="1:145">
      <c r="A475" s="40" t="s">
        <v>931</v>
      </c>
      <c r="B475" s="40" t="s">
        <v>932</v>
      </c>
      <c r="D475" s="40">
        <v>36640</v>
      </c>
      <c r="F475" s="40">
        <v>120</v>
      </c>
      <c r="H475" s="40">
        <v>1727741</v>
      </c>
      <c r="O475" s="32"/>
      <c r="T475" s="32"/>
      <c r="Z475" s="11"/>
      <c r="AA475" s="11"/>
      <c r="BW475" s="40" t="str">
        <f t="shared" si="864"/>
        <v>|n攻击+36640|n防御+120|n生命上限+1727741</v>
      </c>
      <c r="BX475" s="40" t="str">
        <f t="shared" si="883"/>
        <v>|n攻击+36640</v>
      </c>
      <c r="BY475" s="40" t="str">
        <f t="shared" si="883"/>
        <v/>
      </c>
      <c r="BZ475" s="40" t="str">
        <f t="shared" si="883"/>
        <v>|n防御+120</v>
      </c>
      <c r="CA475" s="40" t="str">
        <f t="shared" si="883"/>
        <v/>
      </c>
      <c r="CB475" s="40" t="str">
        <f t="shared" si="883"/>
        <v>|n生命上限+1727741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="40" customFormat="1" spans="1:145">
      <c r="A476" s="40" t="s">
        <v>933</v>
      </c>
      <c r="B476" s="40" t="s">
        <v>934</v>
      </c>
      <c r="D476" s="40">
        <v>63888</v>
      </c>
      <c r="F476" s="40">
        <v>164</v>
      </c>
      <c r="H476" s="40">
        <v>2346351</v>
      </c>
      <c r="O476" s="32"/>
      <c r="T476" s="32"/>
      <c r="Z476" s="11"/>
      <c r="AA476" s="11"/>
      <c r="BW476" s="40" t="str">
        <f t="shared" si="864"/>
        <v>|n攻击+63888|n防御+164|n生命上限+2346351</v>
      </c>
      <c r="BX476" s="40" t="str">
        <f t="shared" si="883"/>
        <v>|n攻击+63888</v>
      </c>
      <c r="BY476" s="40" t="str">
        <f t="shared" si="883"/>
        <v/>
      </c>
      <c r="BZ476" s="40" t="str">
        <f t="shared" si="883"/>
        <v>|n防御+164</v>
      </c>
      <c r="CA476" s="40" t="str">
        <f t="shared" si="883"/>
        <v/>
      </c>
      <c r="CB476" s="40" t="str">
        <f t="shared" si="883"/>
        <v>|n生命上限+2346351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="40" customFormat="1" spans="1:145">
      <c r="A477" s="40" t="s">
        <v>935</v>
      </c>
      <c r="B477" s="40" t="s">
        <v>936</v>
      </c>
      <c r="D477" s="40">
        <v>210871</v>
      </c>
      <c r="F477" s="40">
        <v>224</v>
      </c>
      <c r="H477" s="40">
        <v>4508029</v>
      </c>
      <c r="O477" s="32"/>
      <c r="T477" s="32"/>
      <c r="Z477" s="11"/>
      <c r="AA477" s="11"/>
      <c r="BW477" s="40" t="str">
        <f t="shared" si="864"/>
        <v>|n攻击+210871|n防御+224|n生命上限+4508029</v>
      </c>
      <c r="BX477" s="40" t="str">
        <f t="shared" si="883"/>
        <v>|n攻击+210871</v>
      </c>
      <c r="BY477" s="40" t="str">
        <f t="shared" si="883"/>
        <v/>
      </c>
      <c r="BZ477" s="40" t="str">
        <f t="shared" si="883"/>
        <v>|n防御+224</v>
      </c>
      <c r="CA477" s="40" t="str">
        <f t="shared" si="883"/>
        <v/>
      </c>
      <c r="CB477" s="40" t="str">
        <f t="shared" si="883"/>
        <v>|n生命上限+4508029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="40" customFormat="1" spans="1:145">
      <c r="A478" s="40" t="s">
        <v>937</v>
      </c>
      <c r="B478" s="40" t="s">
        <v>938</v>
      </c>
      <c r="D478" s="40">
        <v>489753</v>
      </c>
      <c r="F478" s="40">
        <v>292</v>
      </c>
      <c r="H478" s="40">
        <v>7493229</v>
      </c>
      <c r="O478" s="32"/>
      <c r="T478" s="32"/>
      <c r="Z478" s="11"/>
      <c r="AA478" s="11"/>
      <c r="BW478" s="40" t="str">
        <f t="shared" si="864"/>
        <v>|n攻击+489753|n防御+292|n生命上限+7493229</v>
      </c>
      <c r="BX478" s="40" t="str">
        <f t="shared" si="883"/>
        <v>|n攻击+489753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|n生命上限+7493229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="40" customFormat="1" spans="1:145">
      <c r="A479" s="40" t="s">
        <v>939</v>
      </c>
      <c r="B479" s="40" t="s">
        <v>940</v>
      </c>
      <c r="D479" s="40">
        <v>1326100</v>
      </c>
      <c r="F479" s="40">
        <v>356</v>
      </c>
      <c r="H479" s="40">
        <v>14347250</v>
      </c>
      <c r="O479" s="32"/>
      <c r="T479" s="32"/>
      <c r="Z479" s="11"/>
      <c r="AA479" s="11"/>
      <c r="BW479" s="40" t="str">
        <f t="shared" si="864"/>
        <v>|n攻击+1326100|n防御+356|n生命上限+14347250</v>
      </c>
      <c r="BX479" s="40" t="str">
        <f t="shared" si="883"/>
        <v>|n攻击+1326100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|n生命上限+14347250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="40" customFormat="1" spans="1:145">
      <c r="A480" s="40" t="s">
        <v>941</v>
      </c>
      <c r="B480" s="40" t="s">
        <v>942</v>
      </c>
      <c r="D480" s="40">
        <v>3115294</v>
      </c>
      <c r="F480" s="40">
        <v>440</v>
      </c>
      <c r="H480" s="40">
        <v>23098944</v>
      </c>
      <c r="O480" s="32"/>
      <c r="T480" s="32"/>
      <c r="Z480" s="11"/>
      <c r="AA480" s="11"/>
      <c r="BW480" s="40" t="str">
        <f t="shared" si="864"/>
        <v>|n攻击+3115294|n防御+440|n生命上限+23098944</v>
      </c>
      <c r="BX480" s="40" t="str">
        <f t="shared" si="883"/>
        <v>|n攻击+3115294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|n生命上限+23098944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="40" customFormat="1" spans="1:145">
      <c r="A481" s="40" t="s">
        <v>943</v>
      </c>
      <c r="B481" s="40" t="s">
        <v>944</v>
      </c>
      <c r="D481" s="40">
        <v>3472973</v>
      </c>
      <c r="F481" s="40">
        <v>460</v>
      </c>
      <c r="H481" s="40">
        <v>24135196</v>
      </c>
      <c r="O481" s="32"/>
      <c r="T481" s="32"/>
      <c r="Z481" s="11"/>
      <c r="AA481" s="11"/>
      <c r="BW481" s="40" t="str">
        <f t="shared" si="864"/>
        <v>|n攻击+3472973|n防御+460|n生命上限+24135196</v>
      </c>
      <c r="BX481" s="40" t="str">
        <f t="shared" si="883"/>
        <v>|n攻击+3472973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|n生命上限+24135196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="40" customFormat="1" spans="1:145">
      <c r="A482" s="40" t="s">
        <v>945</v>
      </c>
      <c r="B482" s="40" t="s">
        <v>946</v>
      </c>
      <c r="D482" s="40">
        <v>3903244</v>
      </c>
      <c r="F482" s="40">
        <v>480</v>
      </c>
      <c r="H482" s="40">
        <v>25360377</v>
      </c>
      <c r="O482" s="32"/>
      <c r="T482" s="32"/>
      <c r="Z482" s="11"/>
      <c r="AA482" s="11"/>
      <c r="BW482" s="40" t="str">
        <f t="shared" si="864"/>
        <v>|n攻击+3903244|n防御+480|n生命上限+25360377</v>
      </c>
      <c r="BX482" s="40" t="str">
        <f t="shared" si="883"/>
        <v>|n攻击+3903244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|n生命上限+25360377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="40" customFormat="1" spans="1:145">
      <c r="A483" s="40" t="s">
        <v>947</v>
      </c>
      <c r="B483" s="40" t="s">
        <v>948</v>
      </c>
      <c r="D483" s="40">
        <v>4602877</v>
      </c>
      <c r="F483" s="40">
        <v>500</v>
      </c>
      <c r="H483" s="40">
        <v>27672684</v>
      </c>
      <c r="O483" s="32"/>
      <c r="T483" s="32"/>
      <c r="Z483" s="11"/>
      <c r="AA483" s="11"/>
      <c r="BW483" s="40" t="str">
        <f t="shared" si="864"/>
        <v>|n攻击+4602877|n防御+500|n生命上限+27672684</v>
      </c>
      <c r="BX483" s="40" t="str">
        <f t="shared" si="883"/>
        <v>|n攻击+4602877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|n生命上限+27672684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="40" customFormat="1" spans="1:145">
      <c r="A484" s="40" t="s">
        <v>949</v>
      </c>
      <c r="B484" s="40" t="s">
        <v>950</v>
      </c>
      <c r="D484" s="40">
        <v>5417271</v>
      </c>
      <c r="F484" s="40">
        <v>520</v>
      </c>
      <c r="H484" s="40">
        <v>30416602</v>
      </c>
      <c r="O484" s="32"/>
      <c r="T484" s="32"/>
      <c r="Z484" s="11"/>
      <c r="AA484" s="11"/>
      <c r="BW484" s="40" t="str">
        <f t="shared" si="864"/>
        <v>|n攻击+5417271|n防御+520|n生命上限+30416602</v>
      </c>
      <c r="BX484" s="40" t="str">
        <f t="shared" si="883"/>
        <v>|n攻击+5417271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|n生命上限+30416602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="40" customFormat="1" spans="1:145">
      <c r="A485" s="40" t="s">
        <v>951</v>
      </c>
      <c r="B485" s="40" t="s">
        <v>952</v>
      </c>
      <c r="D485" s="40">
        <v>6601857</v>
      </c>
      <c r="F485" s="40">
        <v>540</v>
      </c>
      <c r="H485" s="40">
        <v>33736585</v>
      </c>
      <c r="O485" s="32"/>
      <c r="T485" s="32"/>
      <c r="Z485" s="11"/>
      <c r="AA485" s="11"/>
      <c r="BW485" s="40" t="str">
        <f t="shared" si="864"/>
        <v>|n攻击+6601857|n防御+540|n生命上限+33736585</v>
      </c>
      <c r="BX485" s="40" t="str">
        <f t="shared" si="883"/>
        <v>|n攻击+6601857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|n生命上限+33736585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="40" customFormat="1" spans="1:145">
      <c r="A486" s="40" t="s">
        <v>953</v>
      </c>
      <c r="B486" s="40" t="s">
        <v>954</v>
      </c>
      <c r="D486" s="40">
        <v>7526730</v>
      </c>
      <c r="F486" s="40">
        <v>560</v>
      </c>
      <c r="H486" s="40">
        <v>36372890</v>
      </c>
      <c r="O486" s="32"/>
      <c r="T486" s="32"/>
      <c r="Z486" s="11"/>
      <c r="AA486" s="11"/>
      <c r="BW486" s="40" t="str">
        <f t="shared" si="864"/>
        <v>|n攻击+7526730|n防御+560|n生命上限+36372890</v>
      </c>
      <c r="BX486" s="40" t="str">
        <f t="shared" si="883"/>
        <v>|n攻击+7526730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|n生命上限+36372890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="40" customFormat="1" spans="1:145">
      <c r="A487" s="40" t="s">
        <v>955</v>
      </c>
      <c r="B487" s="40" t="s">
        <v>956</v>
      </c>
      <c r="D487" s="40">
        <v>8758840</v>
      </c>
      <c r="F487" s="40">
        <v>580</v>
      </c>
      <c r="H487" s="40">
        <v>39460264</v>
      </c>
      <c r="O487" s="32"/>
      <c r="T487" s="32"/>
      <c r="Z487" s="11"/>
      <c r="AA487" s="11"/>
      <c r="BW487" s="40" t="str">
        <f t="shared" si="864"/>
        <v>|n攻击+8758840|n防御+580|n生命上限+39460264</v>
      </c>
      <c r="BX487" s="40" t="str">
        <f t="shared" ref="BX487:CM502" si="889">IF(D487="","","|n"&amp;BX$2&amp;"+"&amp;INT(D487)&amp;BX$1)</f>
        <v>|n攻击+8758840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|n生命上限+39460264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="40" customFormat="1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O488" s="32"/>
      <c r="T488" s="32"/>
      <c r="Z488" s="11"/>
      <c r="AA488" s="11"/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="40" customFormat="1" spans="1:145">
      <c r="A489" s="40" t="s">
        <v>959</v>
      </c>
      <c r="B489" s="40" t="s">
        <v>960</v>
      </c>
      <c r="D489" s="40">
        <v>2166</v>
      </c>
      <c r="F489" s="40">
        <v>24</v>
      </c>
      <c r="H489" s="40">
        <v>139795</v>
      </c>
      <c r="O489" s="32"/>
      <c r="T489" s="32"/>
      <c r="Z489" s="11"/>
      <c r="AA489" s="11"/>
      <c r="BW489" s="40" t="str">
        <f t="shared" si="864"/>
        <v>|n攻击+2166|n防御+24|n生命上限+139795</v>
      </c>
      <c r="BX489" s="40" t="str">
        <f t="shared" si="889"/>
        <v>|n攻击+2166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|n生命上限+139795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="40" customFormat="1" spans="1:145">
      <c r="A490" s="40" t="s">
        <v>961</v>
      </c>
      <c r="B490" s="40" t="s">
        <v>962</v>
      </c>
      <c r="D490" s="40">
        <v>2203</v>
      </c>
      <c r="F490" s="40">
        <v>36</v>
      </c>
      <c r="H490" s="40">
        <v>38731</v>
      </c>
      <c r="O490" s="32"/>
      <c r="T490" s="32"/>
      <c r="Z490" s="11"/>
      <c r="AA490" s="11"/>
      <c r="BW490" s="40" t="str">
        <f t="shared" si="864"/>
        <v>|n攻击+2203|n防御+36|n生命上限+38731</v>
      </c>
      <c r="BX490" s="40" t="str">
        <f t="shared" si="889"/>
        <v>|n攻击+2203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|n生命上限+38731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="40" customFormat="1" spans="1:145">
      <c r="A491" s="40" t="s">
        <v>963</v>
      </c>
      <c r="B491" s="40" t="s">
        <v>964</v>
      </c>
      <c r="D491" s="40">
        <v>4587</v>
      </c>
      <c r="F491" s="40">
        <v>44</v>
      </c>
      <c r="H491" s="40">
        <v>303616</v>
      </c>
      <c r="O491" s="32"/>
      <c r="T491" s="32"/>
      <c r="Z491" s="11"/>
      <c r="AA491" s="11"/>
      <c r="BW491" s="40" t="str">
        <f t="shared" si="864"/>
        <v>|n攻击+4587|n防御+44|n生命上限+303616</v>
      </c>
      <c r="BX491" s="40" t="str">
        <f t="shared" si="889"/>
        <v>|n攻击+4587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|n生命上限+303616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="40" customFormat="1" spans="1:145">
      <c r="A492" s="40" t="s">
        <v>965</v>
      </c>
      <c r="B492" s="40" t="s">
        <v>966</v>
      </c>
      <c r="D492" s="40">
        <v>18235</v>
      </c>
      <c r="F492" s="40">
        <v>96</v>
      </c>
      <c r="H492" s="40">
        <v>1076519</v>
      </c>
      <c r="O492" s="32"/>
      <c r="T492" s="32"/>
      <c r="Z492" s="11"/>
      <c r="AA492" s="11"/>
      <c r="BW492" s="40" t="str">
        <f t="shared" si="864"/>
        <v>|n攻击+18235|n防御+96|n生命上限+1076519</v>
      </c>
      <c r="BX492" s="40" t="str">
        <f t="shared" si="889"/>
        <v>|n攻击+18235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|n生命上限+1076519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="40" customFormat="1" spans="1:145">
      <c r="A493" s="40" t="s">
        <v>967</v>
      </c>
      <c r="B493" s="40" t="s">
        <v>968</v>
      </c>
      <c r="D493" s="40">
        <v>36795</v>
      </c>
      <c r="F493" s="40">
        <v>116</v>
      </c>
      <c r="H493" s="40">
        <v>271326</v>
      </c>
      <c r="O493" s="32"/>
      <c r="T493" s="32"/>
      <c r="Z493" s="11"/>
      <c r="AA493" s="11"/>
      <c r="BW493" s="40" t="str">
        <f t="shared" si="864"/>
        <v>|n攻击+36795|n防御+116|n生命上限+271326</v>
      </c>
      <c r="BX493" s="40" t="str">
        <f t="shared" si="889"/>
        <v>|n攻击+36795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|n生命上限+271326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="40" customFormat="1" spans="1:145">
      <c r="A494" s="40" t="s">
        <v>969</v>
      </c>
      <c r="B494" s="40" t="s">
        <v>970</v>
      </c>
      <c r="D494" s="40">
        <v>52605</v>
      </c>
      <c r="F494" s="40">
        <v>140</v>
      </c>
      <c r="H494" s="40">
        <v>343523</v>
      </c>
      <c r="O494" s="32"/>
      <c r="T494" s="32"/>
      <c r="Z494" s="11"/>
      <c r="AA494" s="11"/>
      <c r="BW494" s="40" t="str">
        <f t="shared" si="864"/>
        <v>|n攻击+52605|n防御+140|n生命上限+343523</v>
      </c>
      <c r="BX494" s="40" t="str">
        <f t="shared" si="889"/>
        <v>|n攻击+52605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|n生命上限+343523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="40" customFormat="1" spans="1:145">
      <c r="A495" s="40" t="s">
        <v>971</v>
      </c>
      <c r="B495" s="40" t="s">
        <v>972</v>
      </c>
      <c r="D495" s="40">
        <v>63888</v>
      </c>
      <c r="F495" s="40">
        <v>164</v>
      </c>
      <c r="H495" s="40">
        <v>2346351</v>
      </c>
      <c r="O495" s="32"/>
      <c r="T495" s="32"/>
      <c r="Z495" s="11"/>
      <c r="AA495" s="11"/>
      <c r="BW495" s="40" t="str">
        <f t="shared" si="864"/>
        <v>|n攻击+63888|n防御+164|n生命上限+2346351</v>
      </c>
      <c r="BX495" s="40" t="str">
        <f t="shared" si="889"/>
        <v>|n攻击+63888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|n生命上限+2346351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="40" customFormat="1" spans="1:145">
      <c r="A496" s="40" t="s">
        <v>973</v>
      </c>
      <c r="B496" s="40" t="s">
        <v>974</v>
      </c>
      <c r="D496" s="40">
        <v>111865</v>
      </c>
      <c r="F496" s="40">
        <v>192</v>
      </c>
      <c r="H496" s="40">
        <v>543780</v>
      </c>
      <c r="O496" s="32"/>
      <c r="T496" s="32"/>
      <c r="Z496" s="11"/>
      <c r="AA496" s="11"/>
      <c r="BW496" s="40" t="str">
        <f t="shared" si="864"/>
        <v>|n攻击+111865|n防御+192|n生命上限+543780</v>
      </c>
      <c r="BX496" s="40" t="str">
        <f t="shared" si="889"/>
        <v>|n攻击+111865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|n生命上限+543780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="40" customFormat="1" spans="1:145">
      <c r="A497" s="40" t="s">
        <v>975</v>
      </c>
      <c r="B497" s="40" t="s">
        <v>976</v>
      </c>
      <c r="D497" s="40">
        <v>267481</v>
      </c>
      <c r="F497" s="40">
        <v>236</v>
      </c>
      <c r="H497" s="40">
        <v>5277742</v>
      </c>
      <c r="O497" s="32"/>
      <c r="T497" s="32"/>
      <c r="Z497" s="11"/>
      <c r="AA497" s="11"/>
      <c r="BW497" s="40" t="str">
        <f t="shared" si="864"/>
        <v>|n攻击+267481|n防御+236|n生命上限+5277742</v>
      </c>
      <c r="BX497" s="40" t="str">
        <f t="shared" si="889"/>
        <v>|n攻击+267481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|n生命上限+5277742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="40" customFormat="1" spans="1:145">
      <c r="A498" s="40" t="s">
        <v>977</v>
      </c>
      <c r="B498" s="40" t="s">
        <v>978</v>
      </c>
      <c r="D498" s="40">
        <v>403292</v>
      </c>
      <c r="F498" s="40">
        <v>272</v>
      </c>
      <c r="H498" s="40">
        <v>6669434</v>
      </c>
      <c r="O498" s="32"/>
      <c r="T498" s="32"/>
      <c r="Z498" s="11"/>
      <c r="AA498" s="11"/>
      <c r="BW498" s="40" t="str">
        <f t="shared" si="864"/>
        <v>|n攻击+403292|n防御+272|n生命上限+6669434</v>
      </c>
      <c r="BX498" s="40" t="str">
        <f t="shared" si="889"/>
        <v>|n攻击+403292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|n生命上限+6669434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="40" customFormat="1" spans="1:145">
      <c r="A499" s="40" t="s">
        <v>979</v>
      </c>
      <c r="B499" s="40" t="s">
        <v>980</v>
      </c>
      <c r="D499" s="40">
        <v>590131</v>
      </c>
      <c r="F499" s="40">
        <v>308</v>
      </c>
      <c r="H499" s="40">
        <v>8529208</v>
      </c>
      <c r="O499" s="32"/>
      <c r="T499" s="32"/>
      <c r="Z499" s="11"/>
      <c r="AA499" s="11"/>
      <c r="BW499" s="40" t="str">
        <f t="shared" si="864"/>
        <v>|n攻击+590131|n防御+308|n生命上限+8529208</v>
      </c>
      <c r="BX499" s="40" t="str">
        <f t="shared" si="889"/>
        <v>|n攻击+590131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|n生命上限+8529208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="40" customFormat="1" spans="1:145">
      <c r="A500" s="40" t="s">
        <v>981</v>
      </c>
      <c r="B500" s="40" t="s">
        <v>982</v>
      </c>
      <c r="D500" s="40">
        <v>1177623</v>
      </c>
      <c r="F500" s="40">
        <v>344</v>
      </c>
      <c r="H500" s="40">
        <v>2177305</v>
      </c>
      <c r="O500" s="32"/>
      <c r="T500" s="32"/>
      <c r="Z500" s="11"/>
      <c r="AA500" s="11"/>
      <c r="BW500" s="40" t="str">
        <f t="shared" si="864"/>
        <v>|n攻击+1177623|n防御+344|n生命上限+2177305</v>
      </c>
      <c r="BX500" s="40" t="str">
        <f t="shared" si="889"/>
        <v>|n攻击+1177623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|n生命上限+2177305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="40" customFormat="1" spans="1:145">
      <c r="A501" s="40" t="s">
        <v>983</v>
      </c>
      <c r="B501" s="40" t="s">
        <v>984</v>
      </c>
      <c r="D501" s="40">
        <v>2017045</v>
      </c>
      <c r="F501" s="40">
        <v>392</v>
      </c>
      <c r="H501" s="40">
        <v>18382638</v>
      </c>
      <c r="O501" s="32"/>
      <c r="T501" s="32"/>
      <c r="Z501" s="11"/>
      <c r="AA501" s="11"/>
      <c r="BW501" s="40" t="str">
        <f t="shared" si="864"/>
        <v>|n攻击+2017045|n防御+392|n生命上限+18382638</v>
      </c>
      <c r="BX501" s="40" t="str">
        <f t="shared" si="889"/>
        <v>|n攻击+2017045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|n生命上限+18382638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="40" customFormat="1" spans="1:145">
      <c r="A502" s="40" t="s">
        <v>985</v>
      </c>
      <c r="B502" s="40" t="s">
        <v>986</v>
      </c>
      <c r="D502" s="40">
        <v>3230214</v>
      </c>
      <c r="F502" s="40">
        <v>440</v>
      </c>
      <c r="H502" s="40">
        <v>4028884</v>
      </c>
      <c r="O502" s="32"/>
      <c r="T502" s="32"/>
      <c r="Z502" s="11"/>
      <c r="AA502" s="11"/>
      <c r="BW502" s="40" t="str">
        <f t="shared" si="864"/>
        <v>|n攻击+3230214|n防御+440|n生命上限+4028884</v>
      </c>
      <c r="BX502" s="40" t="str">
        <f t="shared" si="889"/>
        <v>|n攻击+3230214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|n生命上限+4028884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="40" customFormat="1" spans="1:145">
      <c r="A503" s="40" t="s">
        <v>987</v>
      </c>
      <c r="B503" s="40" t="s">
        <v>988</v>
      </c>
      <c r="D503" s="40">
        <v>4148893</v>
      </c>
      <c r="F503" s="40">
        <v>488</v>
      </c>
      <c r="H503" s="40">
        <v>26190573</v>
      </c>
      <c r="O503" s="32"/>
      <c r="T503" s="32"/>
      <c r="Z503" s="11"/>
      <c r="AA503" s="11"/>
      <c r="BW503" s="40" t="str">
        <f t="shared" si="864"/>
        <v>|n攻击+4148893|n防御+488|n生命上限+26190573</v>
      </c>
      <c r="BX503" s="40" t="str">
        <f t="shared" ref="BX503:DR503" si="895">IF(D503="","","|n"&amp;BX$2&amp;"+"&amp;INT(D503)&amp;BX$1)</f>
        <v>|n攻击+4148893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|n生命上限+26190573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75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ht="15" customHeight="1" spans="1:127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ht="15" customHeight="1" spans="1:127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ht="15" customHeight="1" spans="1:127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ht="15" customHeight="1" spans="1:127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ht="15" customHeight="1" spans="1:127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ht="15" customHeight="1" spans="1:127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ht="15" customHeight="1" spans="1:127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ht="15" customHeight="1" spans="1:127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ht="15" customHeight="1" spans="1:127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ht="15" customHeight="1" spans="1:127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ht="15" customHeight="1" spans="1:127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ht="15" customHeight="1" spans="1:127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ht="15" customHeight="1" spans="1:127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ht="15" customHeight="1" spans="1:127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ht="15" customHeight="1" spans="1:127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ht="15" customHeight="1" spans="1:127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ht="15" customHeight="1" spans="1:127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ht="15" customHeight="1" spans="1:127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ht="15" customHeight="1" spans="1:127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ht="15" customHeight="1" spans="1:127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ht="15" customHeight="1" spans="1:127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ht="15" customHeight="1" spans="1:127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ht="15" customHeight="1" spans="1:127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ht="15" customHeight="1" spans="1:127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ht="15" customHeight="1" spans="1:127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ht="15" customHeight="1" spans="1:127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ht="15" customHeight="1" spans="1:127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ht="15" customHeight="1" spans="1:127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ht="15" customHeight="1" spans="1:127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ht="15" customHeight="1" spans="1:127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ht="15" customHeight="1" spans="1:127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="27" customFormat="1" ht="15" customHeight="1" spans="1:127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="27" customFormat="1" ht="15" customHeight="1" spans="1:127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="27" customFormat="1" ht="15" customHeight="1" spans="1:127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="27" customFormat="1" ht="15" customHeight="1" spans="1:127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="27" customFormat="1" ht="15" customHeight="1" spans="1:127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="27" customFormat="1" ht="15" customHeight="1" spans="1:127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="27" customFormat="1" ht="15" customHeight="1" spans="1:127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="27" customFormat="1" ht="15" customHeight="1" spans="1:127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="27" customFormat="1" ht="15" customHeight="1" spans="1:127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="27" customFormat="1" ht="15" customHeight="1" spans="1:127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="27" customFormat="1" ht="15" customHeight="1" spans="1:127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="27" customFormat="1" ht="15" customHeight="1" spans="1:127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="27" customFormat="1" ht="15" customHeight="1" spans="1:127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="27" customFormat="1" ht="15" customHeight="1" spans="1:127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="27" customFormat="1" ht="15" customHeight="1" spans="1:127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="27" customFormat="1" ht="15" customHeight="1" spans="1:127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="27" customFormat="1" ht="15" customHeight="1" spans="1:127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="27" customFormat="1" ht="15" customHeight="1" spans="1:127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="27" customFormat="1" ht="15" customHeight="1" spans="1:127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="27" customFormat="1" ht="15" customHeight="1" spans="1:127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="27" customFormat="1" ht="15" customHeight="1" spans="1:127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="27" customFormat="1" ht="15.95" customHeight="1" spans="1:127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="27" customFormat="1" ht="15" customHeight="1" spans="1:127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="27" customFormat="1" ht="15" customHeight="1" spans="1:127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="27" customFormat="1" ht="15" customHeight="1" spans="1:127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="27" customFormat="1" ht="15" customHeight="1" spans="1:127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="27" customFormat="1" ht="15" customHeight="1" spans="1:127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="27" customFormat="1" ht="15" customHeight="1" spans="1:127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="27" customFormat="1" ht="15" customHeight="1" spans="1:127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75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="27" customFormat="1" ht="15.95" customHeight="1" spans="1:127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="27" customFormat="1" ht="15.95" customHeight="1" spans="1:127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="27" customFormat="1" ht="15.95" customHeight="1" spans="1:127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="27" customFormat="1" ht="15.95" customHeight="1" spans="1:127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="27" customFormat="1" ht="15.95" customHeight="1" spans="1:127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="27" customFormat="1" ht="15" customHeight="1" spans="1:127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="27" customFormat="1" ht="15" customHeight="1" spans="1:127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="27" customFormat="1" ht="15" customHeight="1" spans="1:127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="27" customFormat="1" ht="15" customHeight="1" spans="1:127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="27" customFormat="1" ht="15" customHeight="1" spans="1:127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="27" customFormat="1" ht="15" customHeight="1" spans="1:127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="27" customFormat="1" ht="15" customHeight="1" spans="1:127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="27" customFormat="1" ht="15" customHeight="1" spans="1:127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="27" customFormat="1" ht="15" customHeight="1" spans="1:127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="27" customFormat="1" ht="15" customHeight="1" spans="1:127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="27" customFormat="1" ht="15" customHeight="1" spans="1:127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="27" customFormat="1" ht="15" customHeight="1" spans="1:127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="27" customFormat="1" ht="15" customHeight="1" spans="1:127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="27" customFormat="1" ht="15" customHeight="1" spans="1:127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="27" customFormat="1" ht="15" customHeight="1" spans="1:127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="27" customFormat="1" ht="15" customHeight="1" spans="1:127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="27" customFormat="1" ht="15" customHeight="1" spans="1:127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="27" customFormat="1" ht="15" customHeight="1" spans="1:127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="27" customFormat="1" ht="15" customHeight="1" spans="1:127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="27" customFormat="1" ht="15" customHeight="1" spans="1:127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="27" customFormat="1" ht="15" customHeight="1" spans="1:127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="27" customFormat="1" ht="15" customHeight="1" spans="1:127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="27" customFormat="1" ht="15" customHeight="1" spans="1:127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="27" customFormat="1" ht="15" customHeight="1" spans="1:127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="27" customFormat="1" ht="15" customHeight="1" spans="1:127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="27" customFormat="1" ht="15" customHeight="1" spans="1:127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="27" customFormat="1" ht="15" customHeight="1" spans="1:127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="27" customFormat="1" ht="15" customHeight="1" spans="1:127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="27" customFormat="1" ht="15" customHeight="1" spans="1:127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="27" customFormat="1" ht="15" customHeight="1" spans="1:127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="27" customFormat="1" ht="15" customHeight="1" spans="1:127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="27" customFormat="1" ht="15" customHeight="1" spans="1:127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="27" customFormat="1" ht="15" customHeight="1" spans="1:127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="27" customFormat="1" ht="15" customHeight="1" spans="1:127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="27" customFormat="1" ht="15" customHeight="1" spans="1:127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75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="40" customFormat="1" spans="1:145">
      <c r="A617" s="40" t="s">
        <v>1216</v>
      </c>
      <c r="C617" s="40" t="s">
        <v>958</v>
      </c>
      <c r="O617" s="32"/>
      <c r="T617" s="32"/>
      <c r="Y617" s="40">
        <v>20</v>
      </c>
      <c r="Z617" s="11"/>
      <c r="AA617" s="11"/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="40" customFormat="1" spans="1:145">
      <c r="A618" s="40" t="s">
        <v>1217</v>
      </c>
      <c r="C618" s="40" t="s">
        <v>960</v>
      </c>
      <c r="O618" s="32"/>
      <c r="T618" s="32"/>
      <c r="X618" s="40">
        <v>5</v>
      </c>
      <c r="Z618" s="11"/>
      <c r="AA618" s="11"/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="40" customFormat="1" spans="1:145">
      <c r="A619" s="40" t="s">
        <v>1218</v>
      </c>
      <c r="C619" s="40" t="s">
        <v>962</v>
      </c>
      <c r="O619" s="32"/>
      <c r="T619" s="32"/>
      <c r="Z619" s="11"/>
      <c r="AA619" s="11"/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="40" customFormat="1" spans="1:145">
      <c r="A620" s="40" t="s">
        <v>1219</v>
      </c>
      <c r="C620" s="40" t="s">
        <v>964</v>
      </c>
      <c r="O620" s="32"/>
      <c r="T620" s="32"/>
      <c r="Z620" s="11"/>
      <c r="AA620" s="11"/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="40" customFormat="1" spans="1:145">
      <c r="A621" s="40" t="s">
        <v>1220</v>
      </c>
      <c r="C621" s="40" t="s">
        <v>966</v>
      </c>
      <c r="L621" s="40">
        <v>40</v>
      </c>
      <c r="O621" s="32"/>
      <c r="T621" s="32"/>
      <c r="Z621" s="11"/>
      <c r="AA621" s="11"/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="40" customFormat="1" spans="1:145">
      <c r="A622" s="40" t="s">
        <v>1221</v>
      </c>
      <c r="C622" s="40" t="s">
        <v>968</v>
      </c>
      <c r="O622" s="32"/>
      <c r="T622" s="32"/>
      <c r="Z622" s="11"/>
      <c r="AA622" s="11"/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="40" customFormat="1" spans="1:145">
      <c r="A623" s="40" t="s">
        <v>1222</v>
      </c>
      <c r="C623" s="40" t="s">
        <v>970</v>
      </c>
      <c r="O623" s="32"/>
      <c r="T623" s="32"/>
      <c r="Z623" s="11"/>
      <c r="AA623" s="11"/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="40" customFormat="1" spans="1:145">
      <c r="A624" s="40" t="s">
        <v>1223</v>
      </c>
      <c r="C624" s="40" t="s">
        <v>972</v>
      </c>
      <c r="O624" s="32"/>
      <c r="T624" s="32"/>
      <c r="Z624" s="11"/>
      <c r="AA624" s="11"/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="40" customFormat="1" spans="1:145">
      <c r="A625" s="40" t="s">
        <v>1224</v>
      </c>
      <c r="C625" s="40" t="s">
        <v>974</v>
      </c>
      <c r="D625" s="40">
        <v>20000</v>
      </c>
      <c r="E625" s="40">
        <v>20000</v>
      </c>
      <c r="O625" s="32"/>
      <c r="T625" s="32"/>
      <c r="Z625" s="11"/>
      <c r="AA625" s="11"/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="40" customFormat="1" spans="1:145">
      <c r="A626" s="40" t="s">
        <v>1225</v>
      </c>
      <c r="C626" s="40" t="s">
        <v>976</v>
      </c>
      <c r="O626" s="32"/>
      <c r="R626" s="40">
        <v>20</v>
      </c>
      <c r="S626" s="40">
        <v>20</v>
      </c>
      <c r="T626" s="32"/>
      <c r="Z626" s="11"/>
      <c r="AA626" s="11"/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75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75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75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75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75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75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75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75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75">
      <c r="BW825" s="40" t="str">
        <f t="shared" si="1254"/>
        <v/>
      </c>
    </row>
    <row r="826" spans="75:75">
      <c r="BW826" s="40" t="str">
        <f t="shared" si="1254"/>
        <v/>
      </c>
    </row>
    <row r="827" spans="75:75">
      <c r="BW827" s="40" t="str">
        <f t="shared" si="1254"/>
        <v/>
      </c>
    </row>
    <row r="828" spans="75:75">
      <c r="BW828" s="40" t="str">
        <f t="shared" si="1254"/>
        <v/>
      </c>
    </row>
    <row r="829" spans="75:75">
      <c r="BW829" s="40" t="str">
        <f t="shared" si="1254"/>
        <v/>
      </c>
    </row>
    <row r="830" spans="75:75">
      <c r="BW830" s="40" t="str">
        <f t="shared" si="1254"/>
        <v/>
      </c>
    </row>
    <row r="831" spans="75:75">
      <c r="BW831" s="40" t="str">
        <f t="shared" si="1254"/>
        <v/>
      </c>
    </row>
    <row r="832" spans="75:7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5">
      <c r="BW929" s="40" t="str">
        <f t="shared" si="1276"/>
        <v/>
      </c>
    </row>
    <row r="930" spans="75:75">
      <c r="BW930" s="40" t="str">
        <f t="shared" si="1276"/>
        <v/>
      </c>
    </row>
    <row r="931" spans="75:75">
      <c r="BW931" s="40" t="str">
        <f t="shared" si="1276"/>
        <v/>
      </c>
    </row>
    <row r="932" spans="75:75">
      <c r="BW932" s="40" t="str">
        <f t="shared" si="1276"/>
        <v/>
      </c>
    </row>
    <row r="933" spans="75:75">
      <c r="BW933" s="40" t="str">
        <f t="shared" si="1276"/>
        <v/>
      </c>
    </row>
    <row r="934" spans="75:75">
      <c r="BW934" s="40" t="str">
        <f t="shared" si="1276"/>
        <v/>
      </c>
    </row>
    <row r="935" spans="75:75">
      <c r="BW935" s="40" t="str">
        <f t="shared" si="1276"/>
        <v/>
      </c>
    </row>
    <row r="936" spans="75:75">
      <c r="BW936" s="40" t="str">
        <f t="shared" si="1276"/>
        <v/>
      </c>
    </row>
    <row r="937" spans="75:75">
      <c r="BW937" s="40" t="str">
        <f t="shared" si="1276"/>
        <v/>
      </c>
    </row>
    <row r="938" spans="75:75">
      <c r="BW938" s="40" t="str">
        <f t="shared" si="1276"/>
        <v/>
      </c>
    </row>
    <row r="939" spans="75:75">
      <c r="BW939" s="40" t="str">
        <f t="shared" si="1276"/>
        <v/>
      </c>
    </row>
    <row r="940" spans="75:75">
      <c r="BW940" s="40" t="str">
        <f t="shared" si="1276"/>
        <v/>
      </c>
    </row>
    <row r="941" spans="75:75">
      <c r="BW941" s="40" t="str">
        <f t="shared" si="1276"/>
        <v/>
      </c>
    </row>
    <row r="942" spans="75:75">
      <c r="BW942" s="40" t="str">
        <f t="shared" si="1276"/>
        <v/>
      </c>
    </row>
    <row r="943" spans="76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5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6:12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7:12">
      <c r="G2" s="12" t="s">
        <v>1236</v>
      </c>
      <c r="H2" s="12" t="s">
        <v>1237</v>
      </c>
      <c r="L2" s="13" t="s">
        <v>1238</v>
      </c>
    </row>
    <row r="3" spans="7:8">
      <c r="G3" s="12" t="s">
        <v>1239</v>
      </c>
      <c r="H3" s="12" t="s">
        <v>1240</v>
      </c>
    </row>
    <row r="4" spans="7:8">
      <c r="G4" s="12" t="s">
        <v>1241</v>
      </c>
      <c r="H4" s="12" t="s">
        <v>1242</v>
      </c>
    </row>
    <row r="5" spans="7:8">
      <c r="G5" s="12" t="s">
        <v>1243</v>
      </c>
      <c r="H5" s="12" t="s">
        <v>1244</v>
      </c>
    </row>
    <row r="6" spans="7:8">
      <c r="G6" s="12" t="s">
        <v>1245</v>
      </c>
      <c r="H6" s="12" t="s">
        <v>1246</v>
      </c>
    </row>
    <row r="7" spans="7:8">
      <c r="G7" s="12" t="s">
        <v>1247</v>
      </c>
      <c r="H7" s="12" t="s">
        <v>1248</v>
      </c>
    </row>
    <row r="8" spans="7:8">
      <c r="G8" s="12" t="s">
        <v>1249</v>
      </c>
      <c r="H8" s="12" t="s">
        <v>1250</v>
      </c>
    </row>
    <row r="11" s="10" customFormat="1" spans="1:20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ht="17.25" spans="5:20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ht="17.25" spans="5:20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="11" customFormat="1" spans="1:19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15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5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15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5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5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="11" customFormat="1" spans="1:19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5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="11" customFormat="1" spans="1:19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="11" customFormat="1" spans="1:19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5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13">
      <c r="A83" s="17"/>
      <c r="B83" s="17"/>
      <c r="C83" s="17"/>
      <c r="D83" s="17"/>
      <c r="F83" s="39"/>
      <c r="G83" s="40"/>
      <c r="H83" s="40"/>
      <c r="I83" s="31"/>
      <c r="M83" s="12"/>
    </row>
    <row r="84" spans="1:13">
      <c r="A84" s="17"/>
      <c r="B84" s="17"/>
      <c r="C84" s="17"/>
      <c r="D84" s="17"/>
      <c r="F84" s="39"/>
      <c r="G84" s="40"/>
      <c r="H84" s="40"/>
      <c r="I84" s="31"/>
      <c r="M84" s="12"/>
    </row>
    <row r="85" spans="1:13">
      <c r="A85" s="17"/>
      <c r="B85" s="17"/>
      <c r="C85" s="17"/>
      <c r="D85" s="17"/>
      <c r="F85" s="39"/>
      <c r="G85" s="40"/>
      <c r="H85" s="40"/>
      <c r="I85" s="31"/>
      <c r="M85" s="12"/>
    </row>
    <row r="86" spans="1:13">
      <c r="A86" s="17"/>
      <c r="B86" s="17"/>
      <c r="C86" s="17"/>
      <c r="D86" s="17"/>
      <c r="F86" s="39"/>
      <c r="G86" s="40"/>
      <c r="H86" s="40"/>
      <c r="I86" s="31"/>
      <c r="M86" s="12"/>
    </row>
    <row r="87" spans="1:13">
      <c r="A87" s="17"/>
      <c r="B87" s="17"/>
      <c r="C87" s="17"/>
      <c r="D87" s="17"/>
      <c r="F87" s="39"/>
      <c r="G87" s="40"/>
      <c r="H87" s="40"/>
      <c r="I87" s="31"/>
      <c r="M87" s="12"/>
    </row>
    <row r="88" spans="1:13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5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0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6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6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20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6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7:7">
      <c r="G175" s="53"/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CJ632"/>
  <sheetViews>
    <sheetView topLeftCell="A7" workbookViewId="0">
      <selection activeCell="CD626" sqref="CD62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ht="33.75" customHeight="1" spans="1:88">
      <c r="A1">
        <f>COUNTA(B:B)+2</f>
        <v>632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4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ht="15.95" customHeight="1" spans="1:87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ht="15.95" customHeight="1" spans="1:87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ht="15.95" customHeight="1" spans="1:87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ht="15.95" customHeight="1" spans="1:87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ht="15.95" customHeight="1" spans="1:87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ht="15.95" customHeight="1" spans="1:87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ht="15.95" customHeight="1" spans="1:87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ht="15.95" customHeight="1" spans="1:87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ht="15.95" customHeight="1" spans="1:87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ht="15.95" customHeight="1" spans="1:87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ht="15.95" customHeight="1" spans="1:87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ht="15.95" customHeight="1" spans="1:87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ht="15.95" customHeight="1" spans="1:87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ht="15.95" customHeight="1" spans="1:87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ht="15.95" customHeight="1" spans="1:87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ht="15.95" customHeight="1" spans="1:87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ht="15.95" customHeight="1" spans="1:87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ht="15.95" customHeight="1" spans="1:87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ht="15.95" customHeight="1" spans="1:87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ht="15.95" customHeight="1" spans="1:87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ht="15.95" customHeight="1" spans="1:87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ht="15.95" customHeight="1" spans="1:87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ht="15.95" customHeight="1" spans="1:87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ht="15.95" customHeight="1" spans="1:87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ht="15.95" customHeight="1" spans="1:87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ht="15.95" customHeight="1" spans="1:87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ht="15.95" customHeight="1" spans="1:87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ht="15.95" customHeight="1" spans="1:87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ht="15.95" customHeight="1" spans="1:87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ht="15.95" customHeight="1" spans="1:87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ht="15.95" customHeight="1" spans="1:87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ht="15.95" customHeight="1" spans="1:87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ht="15.95" customHeight="1" spans="1:87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ht="15.95" customHeight="1" spans="1:87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ht="15.95" customHeight="1" spans="1:87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ht="15.95" customHeight="1" spans="1:87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ht="15.95" customHeight="1" spans="1:87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ht="15.95" customHeight="1" spans="1:87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ht="15.95" customHeight="1" spans="1:87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ht="15.95" customHeight="1" spans="1:87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ht="15.95" customHeight="1" spans="1:87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ht="15.95" customHeight="1" spans="1:87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ht="15.95" customHeight="1" spans="1:87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ht="15.95" customHeight="1" spans="1:87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ht="15.95" customHeight="1" spans="1:87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ht="15.95" customHeight="1" spans="1:87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ht="15.95" customHeight="1" spans="1:87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ht="15.95" customHeight="1" spans="1:87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ht="15.95" customHeight="1" spans="1:87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ht="15.95" customHeight="1" spans="1:87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ht="15.95" customHeight="1" spans="1:87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ht="15.95" customHeight="1" spans="1:87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ht="15.95" customHeight="1" spans="1:87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ht="15.95" customHeight="1" spans="1:87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ht="15.95" customHeight="1" spans="1:87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ht="15.95" customHeight="1" spans="1:87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ht="15.95" customHeight="1" spans="1:87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ht="15.95" customHeight="1" spans="1:87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ht="15.95" customHeight="1" spans="1:87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ht="15.95" customHeight="1" spans="1:87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ht="15.95" customHeight="1" spans="1:87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ht="15.95" customHeight="1" spans="1:87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ht="15.95" customHeight="1" spans="1:87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ht="15.95" customHeight="1" spans="1:87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ht="15.95" customHeight="1" spans="1:87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ht="15.95" customHeight="1" spans="1:87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16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16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16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16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16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16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16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16" si="56">IF(ISERROR(FIND(",0,0,0,0,0,0,0,0,0,0)",N77)),N77,"")</f>
        <v>InitTypeState1('E114',12500,50000,0,0,250000,0,0,0,0,0)</v>
      </c>
      <c r="CD77" t="str">
        <f t="shared" ref="CD77:CD116" si="57">IF(ISERROR(FIND(",0,0,0,0,0,0,0,0,0,0)",Y77)),Y77,"")</f>
        <v>InitTypeState2('E114',0,0,0,0,0,0,0,0,6,0)</v>
      </c>
      <c r="CE77" t="str">
        <f t="shared" ref="CE77:CE116" si="58">IF(ISERROR(FIND(",0,0,0,0,0,0,0,0,0,0)",AJ77)),AJ77,"")</f>
        <v/>
      </c>
      <c r="CF77" t="str">
        <f t="shared" ref="CF77:CF116" si="59">IF(ISERROR(FIND(",0,0,0,0,0,0,0,0,0,0)",AU77)),AU77,"")</f>
        <v/>
      </c>
      <c r="CG77" t="str">
        <f t="shared" ref="CG77:CG116" si="60">IF(ISERROR(FIND(",0,0,0,0,0,0,0,0,0,0)",BF77)),BF77,"")</f>
        <v/>
      </c>
      <c r="CH77" t="str">
        <f t="shared" ref="CH77:CH116" si="61">IF(ISERROR(FIND(",0,0,0,0,0,0,0,0,0,0)",BQ77)),BQ77,"")</f>
        <v/>
      </c>
      <c r="CI77" t="str">
        <f t="shared" ref="CI77:CI116" si="62">IF(ISERROR(FIND(",0,0,0,0,0,0,0,0,0,0)",CB77)),CB77,"")</f>
        <v/>
      </c>
    </row>
    <row r="78" ht="15.95" customHeight="1" spans="1:87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ht="15.95" customHeight="1" spans="1:87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ht="15.95" customHeight="1" spans="1:87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ht="15.95" customHeight="1" spans="1:87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ht="15.95" customHeight="1" spans="1:87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ht="15.95" customHeight="1" spans="1:87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ht="15.95" customHeight="1" spans="1:87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ht="15.95" customHeight="1" spans="1:87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ht="15.95" customHeight="1" spans="1:87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ht="15.95" customHeight="1" spans="1:87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ht="15.95" customHeight="1" spans="1:87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ht="15.95" customHeight="1" spans="1:87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ht="15.95" customHeight="1" spans="1:87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ht="15.95" customHeight="1" spans="1:87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ht="15.95" customHeight="1" spans="1:87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ht="15.95" customHeight="1" spans="1:87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ht="15.95" customHeight="1" spans="1:87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ht="15.95" customHeight="1" spans="1:87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ht="15.95" customHeight="1" spans="1:87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ht="15.95" customHeight="1" spans="1:87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ht="15.95" customHeight="1" spans="1:87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ht="15.95" customHeight="1" spans="1:87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ht="15.95" customHeight="1" spans="1:87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ht="15.95" customHeight="1" spans="1:87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ht="15.95" customHeight="1" spans="1:87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ht="15.95" customHeight="1" spans="1:87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ht="15.95" customHeight="1" spans="1:87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ht="15.95" customHeight="1" spans="1:87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ht="15.95" customHeight="1" spans="1:87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ht="15.95" customHeight="1" spans="1:87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ht="15.95" customHeight="1" spans="1:87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ht="15.95" customHeight="1" spans="1:87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ht="15.95" customHeight="1" spans="1:87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ht="15.95" customHeight="1" spans="1:87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ht="15.95" customHeight="1" spans="1:87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ht="15.95" customHeight="1" spans="1:87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ht="15.95" customHeight="1" spans="1:87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ht="15.95" customHeight="1" spans="1:87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ht="15.95" customHeight="1" spans="1:87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ht="15.95" customHeight="1" spans="1:87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ref="N117:N180" si="63">"InitTypeState1("&amp;$B117&amp;","&amp;D117&amp;","&amp;E117&amp;","&amp;F117&amp;","&amp;G117&amp;","&amp;H117&amp;","&amp;I117&amp;","&amp;J117&amp;","&amp;K117&amp;","&amp;L117&amp;","&amp;M117&amp;")"</f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ref="Y117:Y180" si="64">"InitTypeState2("&amp;$B117&amp;","&amp;O117&amp;","&amp;P117&amp;","&amp;Q117&amp;","&amp;R117&amp;","&amp;S117&amp;","&amp;T117&amp;","&amp;U117&amp;","&amp;V117&amp;","&amp;W117&amp;","&amp;X117&amp;")"</f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ref="AJ117:AJ180" si="65">"InitTypeState3("&amp;$B117&amp;","&amp;Z117&amp;","&amp;AA117&amp;","&amp;AB117&amp;","&amp;AC117&amp;","&amp;AD117&amp;","&amp;AE117&amp;","&amp;AF117&amp;","&amp;AG117&amp;","&amp;AH117&amp;","&amp;AI117&amp;")"</f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ref="AU117:AU180" si="66">"InitTypeState4("&amp;$B117&amp;","&amp;AK117&amp;","&amp;AL117&amp;","&amp;AM117&amp;","&amp;AN117&amp;","&amp;AO117&amp;","&amp;AP117&amp;","&amp;AQ117&amp;","&amp;AR117&amp;","&amp;AS117&amp;","&amp;AT117&amp;")"</f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ref="BF117:BF180" si="67">"InitTypeState5("&amp;$B117&amp;","&amp;AV117&amp;","&amp;AW117&amp;","&amp;AX117&amp;","&amp;AY117&amp;","&amp;AZ117&amp;","&amp;BA117&amp;","&amp;BB117&amp;","&amp;BC117&amp;","&amp;BD117&amp;","&amp;BE117&amp;")"</f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ref="BQ117:BQ180" si="68">"InitTypeState6("&amp;$B117&amp;","&amp;BG117&amp;","&amp;BH117&amp;","&amp;BI117&amp;","&amp;BJ117&amp;","&amp;BK117&amp;","&amp;BL117&amp;","&amp;BM117&amp;","&amp;BN117&amp;","&amp;BO117&amp;","&amp;BP117&amp;")"</f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ref="CB117:CB180" si="69">"InitTypeState7("&amp;$B117&amp;","&amp;BR117&amp;","&amp;BS117&amp;","&amp;BT117&amp;","&amp;BU117&amp;","&amp;BV117&amp;","&amp;BW117&amp;","&amp;BX117&amp;","&amp;BY117&amp;","&amp;BZ117&amp;","&amp;CA117&amp;")"</f>
        <v>InitTypeState7('I013',0,0,0,0,0,0,0,0,0,0)</v>
      </c>
      <c r="CC117" t="str">
        <f t="shared" ref="CC117:CC180" si="70">IF(ISERROR(FIND(",0,0,0,0,0,0,0,0,0,0)",N117)),N117,"")</f>
        <v>InitTypeState1('I013',0,0,30,0,0,0,0,0,0,0)</v>
      </c>
      <c r="CD117" t="str">
        <f t="shared" ref="CD117:CD180" si="71">IF(ISERROR(FIND(",0,0,0,0,0,0,0,0,0,0)",Y117)),Y117,"")</f>
        <v/>
      </c>
      <c r="CE117" t="str">
        <f t="shared" ref="CE117:CE180" si="72">IF(ISERROR(FIND(",0,0,0,0,0,0,0,0,0,0)",AJ117)),AJ117,"")</f>
        <v/>
      </c>
      <c r="CF117" t="str">
        <f t="shared" ref="CF117:CF180" si="73">IF(ISERROR(FIND(",0,0,0,0,0,0,0,0,0,0)",AU117)),AU117,"")</f>
        <v/>
      </c>
      <c r="CG117" t="str">
        <f t="shared" ref="CG117:CG180" si="74">IF(ISERROR(FIND(",0,0,0,0,0,0,0,0,0,0)",BF117)),BF117,"")</f>
        <v>InitTypeState5('I013',25,0,0,0,0,0,0,0,0,0)</v>
      </c>
      <c r="CH117" t="str">
        <f t="shared" ref="CH117:CH180" si="75">IF(ISERROR(FIND(",0,0,0,0,0,0,0,0,0,0)",BQ117)),BQ117,"")</f>
        <v/>
      </c>
      <c r="CI117" t="str">
        <f t="shared" ref="CI117:CI180" si="76">IF(ISERROR(FIND(",0,0,0,0,0,0,0,0,0,0)",CB117)),CB117,"")</f>
        <v/>
      </c>
    </row>
    <row r="118" ht="15.95" customHeight="1" spans="1:87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ht="15.95" customHeight="1" spans="1:87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ht="15.95" customHeight="1" spans="1:87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InitTypeState2('IJ01',0,0,0,0,12,10,0,0,0,0)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ht="15.95" customHeight="1" spans="1:87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InitTypeState2('IJ02',0,0,0,0,12,10,0,0,0,0)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ht="15.95" customHeight="1" spans="1:87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InitTypeState2('IJ03',0,0,0,0,12,10,0,0,0,0)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ht="15.95" customHeight="1" spans="1:87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ht="15.95" customHeight="1" spans="1:87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ht="15.95" customHeight="1" spans="1:87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ht="15.95" customHeight="1" spans="1:87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ht="15.95" customHeight="1" spans="1:87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ht="15.95" customHeight="1" spans="1:87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ht="15.95" customHeight="1" spans="1:87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ht="15.95" customHeight="1" spans="1:87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ht="15.95" customHeight="1" spans="1:87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ht="15.95" customHeight="1" spans="1:87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ht="15.95" customHeight="1" spans="1:87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ht="15.95" customHeight="1" spans="1:87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ht="15.95" customHeight="1" spans="1:87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ht="15.95" customHeight="1" spans="1:87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ht="15.95" customHeight="1" spans="1:87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ht="15.95" customHeight="1" spans="1:87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ht="15.95" customHeight="1" spans="1:87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ht="15.95" customHeight="1" spans="1:87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ht="15.95" customHeight="1" spans="1:87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ht="15.95" customHeight="1" spans="1:87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ht="15.95" customHeight="1" spans="1:87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ht="15.95" customHeight="1" spans="1:87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ht="15.95" customHeight="1" spans="1:87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4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7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InitTypeState7('H016',0,0,0,0,0,0,0,0,0,0)</v>
      </c>
      <c r="CC145" t="str">
        <f t="shared" si="70"/>
        <v>InitTypeState1('H016',100,300,0,0,1000,100,5,1,0,0)</v>
      </c>
      <c r="CD145" t="str">
        <f t="shared" si="71"/>
        <v>InitTypeState2('H016',0,0,0,0,0,0,0,0,5,0)</v>
      </c>
      <c r="CE145" t="str">
        <f t="shared" si="72"/>
        <v>InitTypeState3('H016',0,15,0,0,0,0,0,0,0,0)</v>
      </c>
      <c r="CF145" t="str">
        <f t="shared" si="73"/>
        <v/>
      </c>
      <c r="CG145" t="str">
        <f t="shared" si="74"/>
        <v>InitTypeState5('H016',0,0,0,0,0,0,0,0,0,1)</v>
      </c>
      <c r="CH145" t="str">
        <f t="shared" si="75"/>
        <v/>
      </c>
      <c r="CI145" t="str">
        <f t="shared" si="76"/>
        <v/>
      </c>
    </row>
    <row r="146" ht="15.95" customHeight="1" spans="1:87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4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7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InitTypeState7('H017',0,0,0,0,0,0,0,0,0,0)</v>
      </c>
      <c r="CC146" t="str">
        <f t="shared" si="70"/>
        <v>InitTypeState1('H017',100,300,0,0,1000,100,5,1,0,0)</v>
      </c>
      <c r="CD146" t="str">
        <f t="shared" si="71"/>
        <v>InitTypeState2('H017',0,0,0,0,0,0,0,0,5,0)</v>
      </c>
      <c r="CE146" t="str">
        <f t="shared" si="72"/>
        <v>InitTypeState3('H017',0,15,0,0,0,0,0,0,0,0)</v>
      </c>
      <c r="CF146" t="str">
        <f t="shared" si="73"/>
        <v/>
      </c>
      <c r="CG146" t="str">
        <f t="shared" si="74"/>
        <v>InitTypeState5('H017',0,0,0,0,0,0,0,0,0,1)</v>
      </c>
      <c r="CH146" t="str">
        <f t="shared" si="75"/>
        <v/>
      </c>
      <c r="CI146" t="str">
        <f t="shared" si="76"/>
        <v/>
      </c>
    </row>
    <row r="147" ht="15.95" customHeight="1" spans="1:87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4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7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InitTypeState7('H018',0,0,0,0,0,0,0,0,0,0)</v>
      </c>
      <c r="CC147" t="str">
        <f t="shared" si="70"/>
        <v>InitTypeState1('H018',100,300,0,0,1000,100,5,1,0,0)</v>
      </c>
      <c r="CD147" t="str">
        <f t="shared" si="71"/>
        <v>InitTypeState2('H018',0,0,0,0,0,0,0,0,5,0)</v>
      </c>
      <c r="CE147" t="str">
        <f t="shared" si="72"/>
        <v>InitTypeState3('H018',0,15,0,0,0,0,0,0,0,0)</v>
      </c>
      <c r="CF147" t="str">
        <f t="shared" si="73"/>
        <v/>
      </c>
      <c r="CG147" t="str">
        <f t="shared" si="74"/>
        <v>InitTypeState5('H018',0,0,0,0,0,0,0,0,0,1)</v>
      </c>
      <c r="CH147" t="str">
        <f t="shared" si="75"/>
        <v/>
      </c>
      <c r="CI147" t="str">
        <f t="shared" si="76"/>
        <v/>
      </c>
    </row>
    <row r="148" ht="15.95" customHeight="1" spans="1:87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4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7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InitTypeState7('H019',0,0,0,0,0,0,0,0,0,0)</v>
      </c>
      <c r="CC148" t="str">
        <f t="shared" si="70"/>
        <v>InitTypeState1('H019',100,300,0,0,1000,100,5,1,0,0)</v>
      </c>
      <c r="CD148" t="str">
        <f t="shared" si="71"/>
        <v>InitTypeState2('H019',0,0,0,0,0,0,0,0,5,0)</v>
      </c>
      <c r="CE148" t="str">
        <f t="shared" si="72"/>
        <v>InitTypeState3('H019',0,15,0,0,0,0,0,0,0,0)</v>
      </c>
      <c r="CF148" t="str">
        <f t="shared" si="73"/>
        <v/>
      </c>
      <c r="CG148" t="str">
        <f t="shared" si="74"/>
        <v>InitTypeState5('H019',0,0,0,0,0,0,0,0,0,1)</v>
      </c>
      <c r="CH148" t="str">
        <f t="shared" si="75"/>
        <v/>
      </c>
      <c r="CI148" t="str">
        <f t="shared" si="76"/>
        <v/>
      </c>
    </row>
    <row r="149" ht="15.95" customHeight="1" spans="1:87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InitTypeState1('H020',100,300,0,0,1000,100,5,1,0,0)</v>
      </c>
      <c r="O149">
        <f>ROUND(单位属性!N149,0)</f>
        <v>24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4"/>
        <v>InitTypeState2('H020',24,0,0,0,0,0,0,0,5,0)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7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InitTypeState7('H020',0,0,0,0,0,0,0,0,0,0)</v>
      </c>
      <c r="CC149" t="str">
        <f t="shared" si="70"/>
        <v>InitTypeState1('H020',100,300,0,0,1000,100,5,1,0,0)</v>
      </c>
      <c r="CD149" t="str">
        <f t="shared" si="71"/>
        <v>InitTypeState2('H020',24,0,0,0,0,0,0,0,5,0)</v>
      </c>
      <c r="CE149" t="str">
        <f t="shared" si="72"/>
        <v>InitTypeState3('H020',0,15,0,0,0,0,0,0,0,0)</v>
      </c>
      <c r="CF149" t="str">
        <f t="shared" si="73"/>
        <v/>
      </c>
      <c r="CG149" t="str">
        <f t="shared" si="74"/>
        <v>InitTypeState5('H020',0,0,0,0,0,0,0,0,0,1)</v>
      </c>
      <c r="CH149" t="str">
        <f t="shared" si="75"/>
        <v/>
      </c>
      <c r="CI149" t="str">
        <f t="shared" si="76"/>
        <v/>
      </c>
    </row>
    <row r="150" ht="15.95" customHeight="1" spans="1:87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4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7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InitTypeState7('H021',0,0,0,0,0,0,0,0,0,0)</v>
      </c>
      <c r="CC150" t="str">
        <f t="shared" si="70"/>
        <v>InitTypeState1('H021',100,300,0,0,1000,100,5,1,0,0)</v>
      </c>
      <c r="CD150" t="str">
        <f t="shared" si="71"/>
        <v>InitTypeState2('H021',0,0,0,0,0,0,0,0,5,0)</v>
      </c>
      <c r="CE150" t="str">
        <f t="shared" si="72"/>
        <v>InitTypeState3('H021',0,15,0,0,0,0,0,0,0,0)</v>
      </c>
      <c r="CF150" t="str">
        <f t="shared" si="73"/>
        <v/>
      </c>
      <c r="CG150" t="str">
        <f t="shared" si="74"/>
        <v>InitTypeState5('H021',0,0,0,0,0,0,0,0,0,1)</v>
      </c>
      <c r="CH150" t="str">
        <f t="shared" si="75"/>
        <v/>
      </c>
      <c r="CI150" t="str">
        <f t="shared" si="76"/>
        <v/>
      </c>
    </row>
    <row r="151" ht="15.95" customHeight="1" spans="1:87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3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-25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4"/>
        <v>InitTypeState2('H022',0,0,0,0,-25,0,0,0,5,0)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7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InitTypeState7('H022',0,0,0,0,0,0,0,0,0,0)</v>
      </c>
      <c r="CC151" t="str">
        <f t="shared" si="70"/>
        <v>InitTypeState1('H022',100,300,0,0,1000,100,5,1,50,0)</v>
      </c>
      <c r="CD151" t="str">
        <f t="shared" si="71"/>
        <v>InitTypeState2('H022',0,0,0,0,-25,0,0,0,5,0)</v>
      </c>
      <c r="CE151" t="str">
        <f t="shared" si="72"/>
        <v>InitTypeState3('H022',0,15,0,0,0,0,0,0,0,0)</v>
      </c>
      <c r="CF151" t="str">
        <f t="shared" si="73"/>
        <v/>
      </c>
      <c r="CG151" t="str">
        <f t="shared" si="74"/>
        <v>InitTypeState5('H022',0,0,0,0,0,0,0,0,0,1)</v>
      </c>
      <c r="CH151" t="str">
        <f t="shared" si="75"/>
        <v/>
      </c>
      <c r="CI151" t="str">
        <f t="shared" si="76"/>
        <v/>
      </c>
    </row>
    <row r="152" ht="15.95" customHeight="1" spans="1:87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4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7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InitTypeState7('H023',0,0,0,0,0,0,0,0,0,0)</v>
      </c>
      <c r="CC152" t="str">
        <f t="shared" si="70"/>
        <v>InitTypeState1('H023',100,300,0,0,1000,100,5,1,0,0)</v>
      </c>
      <c r="CD152" t="str">
        <f t="shared" si="71"/>
        <v>InitTypeState2('H023',0,0,0,0,0,0,0,0,5,0)</v>
      </c>
      <c r="CE152" t="str">
        <f t="shared" si="72"/>
        <v>InitTypeState3('H023',0,15,0,0,0,0,0,0,0,0)</v>
      </c>
      <c r="CF152" t="str">
        <f t="shared" si="73"/>
        <v/>
      </c>
      <c r="CG152" t="str">
        <f t="shared" si="74"/>
        <v>InitTypeState5('H023',0,0,0,0,0,0,0,0,0,1)</v>
      </c>
      <c r="CH152" t="str">
        <f t="shared" si="75"/>
        <v/>
      </c>
      <c r="CI152" t="str">
        <f t="shared" si="76"/>
        <v/>
      </c>
    </row>
    <row r="153" ht="15.95" customHeight="1" spans="1:87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4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7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InitTypeState7('H024',0,0,0,0,0,0,0,0,0,0)</v>
      </c>
      <c r="CC153" t="str">
        <f t="shared" si="70"/>
        <v>InitTypeState1('H024',100,300,0,0,1000,100,5,1,0,0)</v>
      </c>
      <c r="CD153" t="str">
        <f t="shared" si="71"/>
        <v>InitTypeState2('H024',0,0,0,0,0,0,0,0,5,0)</v>
      </c>
      <c r="CE153" t="str">
        <f t="shared" si="72"/>
        <v>InitTypeState3('H024',0,15,0,0,0,0,0,0,0,0)</v>
      </c>
      <c r="CF153" t="str">
        <f t="shared" si="73"/>
        <v/>
      </c>
      <c r="CG153" t="str">
        <f t="shared" si="74"/>
        <v>InitTypeState5('H024',0,0,0,0,0,0,0,0,0,1)</v>
      </c>
      <c r="CH153" t="str">
        <f t="shared" si="75"/>
        <v/>
      </c>
      <c r="CI153" t="str">
        <f t="shared" si="76"/>
        <v/>
      </c>
    </row>
    <row r="154" ht="15.95" customHeight="1" spans="1:87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4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7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InitTypeState7('H025',0,0,0,0,0,0,0,0,0,0)</v>
      </c>
      <c r="CC154" t="str">
        <f t="shared" si="70"/>
        <v>InitTypeState1('H025',100,300,0,0,1000,100,5,1,0,0)</v>
      </c>
      <c r="CD154" t="str">
        <f t="shared" si="71"/>
        <v>InitTypeState2('H025',0,0,0,0,0,0,0,0,5,0)</v>
      </c>
      <c r="CE154" t="str">
        <f t="shared" si="72"/>
        <v>InitTypeState3('H025',0,15,0,0,0,0,0,0,0,0)</v>
      </c>
      <c r="CF154" t="str">
        <f t="shared" si="73"/>
        <v/>
      </c>
      <c r="CG154" t="str">
        <f t="shared" si="74"/>
        <v>InitTypeState5('H025',0,0,0,0,0,0,0,0,0,1)</v>
      </c>
      <c r="CH154" t="str">
        <f t="shared" si="75"/>
        <v/>
      </c>
      <c r="CI154" t="str">
        <f t="shared" si="76"/>
        <v/>
      </c>
    </row>
    <row r="155" ht="15.95" customHeight="1" spans="1:87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4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7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InitTypeState7('H026',0,0,0,0,0,0,0,0,0,0)</v>
      </c>
      <c r="CC155" t="str">
        <f t="shared" si="70"/>
        <v>InitTypeState1('H026',100,300,0,0,1000,100,5,1,0,0)</v>
      </c>
      <c r="CD155" t="str">
        <f t="shared" si="71"/>
        <v>InitTypeState2('H026',0,0,0,0,0,0,0,0,5,0)</v>
      </c>
      <c r="CE155" t="str">
        <f t="shared" si="72"/>
        <v>InitTypeState3('H026',0,15,0,0,0,0,0,0,0,0)</v>
      </c>
      <c r="CF155" t="str">
        <f t="shared" si="73"/>
        <v/>
      </c>
      <c r="CG155" t="str">
        <f t="shared" si="74"/>
        <v>InitTypeState5('H026',0,0,0,0,0,0,0,0,0,1)</v>
      </c>
      <c r="CH155" t="str">
        <f t="shared" si="75"/>
        <v/>
      </c>
      <c r="CI155" t="str">
        <f t="shared" si="76"/>
        <v/>
      </c>
    </row>
    <row r="156" ht="15.95" customHeight="1" spans="1:87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4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7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InitTypeState7('H027',0,0,0,0,0,0,0,0,0,0)</v>
      </c>
      <c r="CC156" t="str">
        <f t="shared" si="70"/>
        <v>InitTypeState1('H027',100,300,0,0,1000,100,5,1,0,0)</v>
      </c>
      <c r="CD156" t="str">
        <f t="shared" si="71"/>
        <v>InitTypeState2('H027',0,0,0,0,0,0,0,0,5,0)</v>
      </c>
      <c r="CE156" t="str">
        <f t="shared" si="72"/>
        <v>InitTypeState3('H027',0,15,0,0,0,0,0,0,0,0)</v>
      </c>
      <c r="CF156" t="str">
        <f t="shared" si="73"/>
        <v/>
      </c>
      <c r="CG156" t="str">
        <f t="shared" si="74"/>
        <v>InitTypeState5('H027',0,0,0,0,0,0,0,0,0,1)</v>
      </c>
      <c r="CH156" t="str">
        <f t="shared" si="75"/>
        <v/>
      </c>
      <c r="CI156" t="str">
        <f t="shared" si="76"/>
        <v/>
      </c>
    </row>
    <row r="157" ht="15.95" customHeight="1" spans="1:87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3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4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5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6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7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8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69"/>
        <v>InitTypeState7('H028',0,0,0,0,0,0,0,0,0,0)</v>
      </c>
      <c r="CC157" t="str">
        <f t="shared" si="70"/>
        <v>InitTypeState1('H028',100,300,0,0,1000,100,5,1,0,0)</v>
      </c>
      <c r="CD157" t="str">
        <f t="shared" si="71"/>
        <v>InitTypeState2('H028',0,0,0,0,0,15,0,0,5,0)</v>
      </c>
      <c r="CE157" t="str">
        <f t="shared" si="72"/>
        <v>InitTypeState3('H028',0,15,0,0,0,0,0,0,0,0)</v>
      </c>
      <c r="CF157" t="str">
        <f t="shared" si="73"/>
        <v/>
      </c>
      <c r="CG157" t="str">
        <f t="shared" si="74"/>
        <v>InitTypeState5('H028',0,0,0,0,0,0,0,0,0,1)</v>
      </c>
      <c r="CH157" t="str">
        <f t="shared" si="75"/>
        <v/>
      </c>
      <c r="CI157" t="str">
        <f t="shared" si="76"/>
        <v/>
      </c>
    </row>
    <row r="158" ht="15.95" customHeight="1" spans="1:87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3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4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5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6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7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8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69"/>
        <v>InitTypeState7('H029',0,0,0,0,0,0,0,0,0,0)</v>
      </c>
      <c r="CC158" t="str">
        <f t="shared" si="70"/>
        <v>InitTypeState1('H029',100,300,0,0,1000,100,5,1,0,0)</v>
      </c>
      <c r="CD158" t="str">
        <f t="shared" si="71"/>
        <v>InitTypeState2('H029',0,0,0,0,0,0,0,0,5,0)</v>
      </c>
      <c r="CE158" t="str">
        <f t="shared" si="72"/>
        <v>InitTypeState3('H029',0,15,0,0,0,0,0,0,0,0)</v>
      </c>
      <c r="CF158" t="str">
        <f t="shared" si="73"/>
        <v/>
      </c>
      <c r="CG158" t="str">
        <f t="shared" si="74"/>
        <v>InitTypeState5('H029',0,0,0,0,0,0,0,0,0,1)</v>
      </c>
      <c r="CH158" t="str">
        <f t="shared" si="75"/>
        <v/>
      </c>
      <c r="CI158" t="str">
        <f t="shared" si="76"/>
        <v/>
      </c>
    </row>
    <row r="159" ht="15.95" customHeight="1" spans="1:87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3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4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5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6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7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8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69"/>
        <v>InitTypeState7('H030',0,0,0,0,0,0,0,0,0,0)</v>
      </c>
      <c r="CC159" t="str">
        <f t="shared" si="70"/>
        <v>InitTypeState1('H030',100,300,0,0,1000,100,5,1,0,0)</v>
      </c>
      <c r="CD159" t="str">
        <f t="shared" si="71"/>
        <v>InitTypeState2('H030',0,0,0,0,0,0,0,0,5,0)</v>
      </c>
      <c r="CE159" t="str">
        <f t="shared" si="72"/>
        <v>InitTypeState3('H030',0,15,0,0,0,0,0,0,0,0)</v>
      </c>
      <c r="CF159" t="str">
        <f t="shared" si="73"/>
        <v/>
      </c>
      <c r="CG159" t="str">
        <f t="shared" si="74"/>
        <v>InitTypeState5('H030',0,0,0,0,0,0,0,0,0,1)</v>
      </c>
      <c r="CH159" t="str">
        <f t="shared" si="75"/>
        <v/>
      </c>
      <c r="CI159" t="str">
        <f t="shared" si="76"/>
        <v/>
      </c>
    </row>
    <row r="160" ht="15.95" customHeight="1" spans="1:87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3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4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5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6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7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8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69"/>
        <v>InitTypeState7('H031',0,0,0,0,0,0,0,0,0,0)</v>
      </c>
      <c r="CC160" t="str">
        <f t="shared" si="70"/>
        <v>InitTypeState1('H031',100,300,0,0,1000,100,5,1,0,0)</v>
      </c>
      <c r="CD160" t="str">
        <f t="shared" si="71"/>
        <v>InitTypeState2('H031',0,0,0,0,0,0,0,0,5,0)</v>
      </c>
      <c r="CE160" t="str">
        <f t="shared" si="72"/>
        <v>InitTypeState3('H031',0,15,0,0,0,0,0,0,0,0)</v>
      </c>
      <c r="CF160" t="str">
        <f t="shared" si="73"/>
        <v/>
      </c>
      <c r="CG160" t="str">
        <f t="shared" si="74"/>
        <v>InitTypeState5('H031',0,0,0,0,0,0,0,0,0,1)</v>
      </c>
      <c r="CH160" t="str">
        <f t="shared" si="75"/>
        <v/>
      </c>
      <c r="CI160" t="str">
        <f t="shared" si="76"/>
        <v/>
      </c>
    </row>
    <row r="161" ht="15.95" customHeight="1" spans="1:87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3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4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5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6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7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8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69"/>
        <v>InitTypeState7('FB01',0,0,0,0,0,0,0,0,0,0)</v>
      </c>
      <c r="CC161" t="str">
        <f t="shared" si="70"/>
        <v>InitTypeState1('FB01',24000,0,40,0,480000,0,0,0,0,0)</v>
      </c>
      <c r="CD161" t="str">
        <f t="shared" si="71"/>
        <v>InitTypeState2('FB01',0,0,0,0,48,40,0,0,0,0)</v>
      </c>
      <c r="CE161" t="str">
        <f t="shared" si="72"/>
        <v/>
      </c>
      <c r="CF161" t="str">
        <f t="shared" si="73"/>
        <v/>
      </c>
      <c r="CG161" t="str">
        <f t="shared" si="74"/>
        <v/>
      </c>
      <c r="CH161" t="str">
        <f t="shared" si="75"/>
        <v/>
      </c>
      <c r="CI161" t="str">
        <f t="shared" si="76"/>
        <v/>
      </c>
    </row>
    <row r="162" ht="15.95" customHeight="1" spans="1:87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3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4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5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6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7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8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69"/>
        <v>InitTypeState7('FB02',0,0,0,0,0,0,0,0,0,0)</v>
      </c>
      <c r="CC162" t="str">
        <f t="shared" si="70"/>
        <v>InitTypeState1('FB02',6000,0,0,0,120000,0,0,0,0,0)</v>
      </c>
      <c r="CD162" t="str">
        <f t="shared" si="71"/>
        <v>InitTypeState2('FB02',0,0,50,0,0,0,0,0,0,0)</v>
      </c>
      <c r="CE162" t="str">
        <f t="shared" si="72"/>
        <v/>
      </c>
      <c r="CF162" t="str">
        <f t="shared" si="73"/>
        <v/>
      </c>
      <c r="CG162" t="str">
        <f t="shared" si="74"/>
        <v/>
      </c>
      <c r="CH162" t="str">
        <f t="shared" si="75"/>
        <v/>
      </c>
      <c r="CI162" t="str">
        <f t="shared" si="76"/>
        <v/>
      </c>
    </row>
    <row r="163" ht="15.95" customHeight="1" spans="1:87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3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4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5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6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7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8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69"/>
        <v>InitTypeState7('FB03',0,0,0,0,0,0,0,0,0,0)</v>
      </c>
      <c r="CC163" t="str">
        <f t="shared" si="70"/>
        <v>InitTypeState1('FB03',0,19200,0,0,0,0,9600,0,0,12)</v>
      </c>
      <c r="CD163" t="str">
        <f t="shared" si="71"/>
        <v>InitTypeState2('FB03',0,0,200,0,0,0,0,0,0,0)</v>
      </c>
      <c r="CE163" t="str">
        <f t="shared" si="72"/>
        <v>InitTypeState3('FB03',0,0,0,0,30,0,0,0,0,0)</v>
      </c>
      <c r="CF163" t="str">
        <f t="shared" si="73"/>
        <v/>
      </c>
      <c r="CG163" t="str">
        <f t="shared" si="74"/>
        <v/>
      </c>
      <c r="CH163" t="str">
        <f t="shared" si="75"/>
        <v/>
      </c>
      <c r="CI163" t="str">
        <f t="shared" si="76"/>
        <v/>
      </c>
    </row>
    <row r="164" ht="15.95" customHeight="1" spans="1:87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3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4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5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6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7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8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69"/>
        <v>InitTypeState7('FB04',0,0,0,0,0,0,0,0,0,0)</v>
      </c>
      <c r="CC164" t="str">
        <f t="shared" si="70"/>
        <v>InitTypeState1('FB04',12000,0,0,0,240000,0,0,0,0,0)</v>
      </c>
      <c r="CD164" t="str">
        <f t="shared" si="71"/>
        <v>InitTypeState2('FB04',5,0,0,0,0,0,5,0,0,0)</v>
      </c>
      <c r="CE164" t="str">
        <f t="shared" si="72"/>
        <v/>
      </c>
      <c r="CF164" t="str">
        <f t="shared" si="73"/>
        <v/>
      </c>
      <c r="CG164" t="str">
        <f t="shared" si="74"/>
        <v/>
      </c>
      <c r="CH164" t="str">
        <f t="shared" si="75"/>
        <v/>
      </c>
      <c r="CI164" t="str">
        <f t="shared" si="76"/>
        <v/>
      </c>
    </row>
    <row r="165" ht="15.95" customHeight="1" spans="1:87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3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4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5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6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7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8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69"/>
        <v>InitTypeState7('FB05',0,0,0,0,0,0,0,0,0,0)</v>
      </c>
      <c r="CC165" t="str">
        <f t="shared" si="70"/>
        <v>InitTypeState1('FB05',0,9600,0,0,0,0,4800,0,0,0)</v>
      </c>
      <c r="CD165" t="str">
        <f t="shared" si="71"/>
        <v>InitTypeState2('FB05',0,0,0,0,0,0,5,0,5,24)</v>
      </c>
      <c r="CE165" t="str">
        <f t="shared" si="72"/>
        <v/>
      </c>
      <c r="CF165" t="str">
        <f t="shared" si="73"/>
        <v/>
      </c>
      <c r="CG165" t="str">
        <f t="shared" si="74"/>
        <v>InitTypeState5('FB05',10,0,0,0,0,0,0,0,0,0)</v>
      </c>
      <c r="CH165" t="str">
        <f t="shared" si="75"/>
        <v/>
      </c>
      <c r="CI165" t="str">
        <f t="shared" si="76"/>
        <v/>
      </c>
    </row>
    <row r="166" ht="15.95" customHeight="1" spans="1:87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3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4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5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6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7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8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69"/>
        <v>InitTypeState7('FB06',0,0,0,0,0,0,0,0,0,0)</v>
      </c>
      <c r="CC166" t="str">
        <f t="shared" si="70"/>
        <v>InitTypeState1('FB06',0,9600,0,0,0,0,4800,0,20,0)</v>
      </c>
      <c r="CD166" t="str">
        <f t="shared" si="71"/>
        <v/>
      </c>
      <c r="CE166" t="str">
        <f t="shared" si="72"/>
        <v/>
      </c>
      <c r="CF166" t="str">
        <f t="shared" si="73"/>
        <v/>
      </c>
      <c r="CG166" t="str">
        <f t="shared" si="74"/>
        <v/>
      </c>
      <c r="CH166" t="str">
        <f t="shared" si="75"/>
        <v/>
      </c>
      <c r="CI166" t="str">
        <f t="shared" si="76"/>
        <v/>
      </c>
    </row>
    <row r="167" ht="15.95" customHeight="1" spans="1:87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3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64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5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6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7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8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69"/>
        <v>InitTypeState7('FB07',0,0,0,0,0,0,0,0,0,0)</v>
      </c>
      <c r="CC167" t="str">
        <f t="shared" si="70"/>
        <v>InitTypeState1('FB07',24000,0,0,0,0,0,9600,0,0,0)</v>
      </c>
      <c r="CD167" t="str">
        <f t="shared" si="71"/>
        <v>InitTypeState2('FB07',15,0,200,0,0,0,0,0,0,0)</v>
      </c>
      <c r="CE167" t="str">
        <f t="shared" si="72"/>
        <v/>
      </c>
      <c r="CF167" t="str">
        <f t="shared" si="73"/>
        <v/>
      </c>
      <c r="CG167" t="str">
        <f t="shared" si="74"/>
        <v/>
      </c>
      <c r="CH167" t="str">
        <f t="shared" si="75"/>
        <v/>
      </c>
      <c r="CI167" t="str">
        <f t="shared" si="76"/>
        <v/>
      </c>
    </row>
    <row r="168" ht="15.95" customHeight="1" spans="1:87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3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64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5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6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7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8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69"/>
        <v>InitTypeState7('FB08',0,0,0,0,0,0,0,0,0,0)</v>
      </c>
      <c r="CC168" t="str">
        <f t="shared" si="70"/>
        <v>InitTypeState1('FB08',0,19200,40,0,480000,0,0,0,0,0)</v>
      </c>
      <c r="CD168" t="str">
        <f t="shared" si="71"/>
        <v>InitTypeState2('FB08',0,0,0,0,0,0,0,0,15,48)</v>
      </c>
      <c r="CE168" t="str">
        <f t="shared" si="72"/>
        <v/>
      </c>
      <c r="CF168" t="str">
        <f t="shared" si="73"/>
        <v/>
      </c>
      <c r="CG168" t="str">
        <f t="shared" si="74"/>
        <v/>
      </c>
      <c r="CH168" t="str">
        <f t="shared" si="75"/>
        <v/>
      </c>
      <c r="CI168" t="str">
        <f t="shared" si="76"/>
        <v/>
      </c>
    </row>
    <row r="169" ht="15.95" customHeight="1" spans="1:87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3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4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5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6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7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8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69"/>
        <v>InitTypeState7('FB09',0,0,0,0,0,0,0,0,0,0)</v>
      </c>
      <c r="CC169" t="str">
        <f t="shared" si="70"/>
        <v>InitTypeState1('FB09',12000,0,0,0,0,0,0,0,0,0)</v>
      </c>
      <c r="CD169" t="str">
        <f t="shared" si="71"/>
        <v>InitTypeState2('FB09',0,0,0,0,0,0,0,0,5,24)</v>
      </c>
      <c r="CE169" t="str">
        <f t="shared" si="72"/>
        <v/>
      </c>
      <c r="CF169" t="str">
        <f t="shared" si="73"/>
        <v/>
      </c>
      <c r="CG169" t="str">
        <f t="shared" si="74"/>
        <v/>
      </c>
      <c r="CH169" t="str">
        <f t="shared" si="75"/>
        <v>InitTypeState6('FB09',200,0,0,0,0,0,0,0,0,0)</v>
      </c>
      <c r="CI169" t="str">
        <f t="shared" si="76"/>
        <v/>
      </c>
    </row>
    <row r="170" ht="15.95" customHeight="1" spans="1:87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3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4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5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6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7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8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69"/>
        <v>InitTypeState7('FB10',0,0,0,0,0,0,0,0,0,0)</v>
      </c>
      <c r="CC170" t="str">
        <f t="shared" si="70"/>
        <v>InitTypeState1('FB10',30000,0,60,0,600000,0,0,0,0,0)</v>
      </c>
      <c r="CD170" t="str">
        <f t="shared" si="71"/>
        <v>InitTypeState2('FB10',20,0,0,0,0,0,0,0,0,0)</v>
      </c>
      <c r="CE170" t="str">
        <f t="shared" si="72"/>
        <v/>
      </c>
      <c r="CF170" t="str">
        <f t="shared" si="73"/>
        <v/>
      </c>
      <c r="CG170" t="str">
        <f t="shared" si="74"/>
        <v/>
      </c>
      <c r="CH170" t="str">
        <f t="shared" si="75"/>
        <v/>
      </c>
      <c r="CI170" t="str">
        <f t="shared" si="76"/>
        <v/>
      </c>
    </row>
    <row r="171" ht="15.95" customHeight="1" spans="1:87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3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4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5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6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7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8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69"/>
        <v>InitTypeState7('FB11',0,0,0,0,0,0,0,0,0,0)</v>
      </c>
      <c r="CC171" t="str">
        <f t="shared" si="70"/>
        <v>InitTypeState1('FB11',0,14400,0,0,360000,0,0,0,0,0)</v>
      </c>
      <c r="CD171" t="str">
        <f t="shared" si="71"/>
        <v>InitTypeState2('FB11',0,0,150,0,0,0,0,0,0,0)</v>
      </c>
      <c r="CE171" t="str">
        <f t="shared" si="72"/>
        <v/>
      </c>
      <c r="CF171" t="str">
        <f t="shared" si="73"/>
        <v/>
      </c>
      <c r="CG171" t="str">
        <f t="shared" si="74"/>
        <v/>
      </c>
      <c r="CH171" t="str">
        <f t="shared" si="75"/>
        <v/>
      </c>
      <c r="CI171" t="str">
        <f t="shared" si="76"/>
        <v/>
      </c>
    </row>
    <row r="172" ht="15.95" customHeight="1" spans="1:87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3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4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5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6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7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8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69"/>
        <v>InitTypeState7('FB12',0,0,0,0,0,0,0,0,0,0)</v>
      </c>
      <c r="CC172" t="str">
        <f t="shared" si="70"/>
        <v>InitTypeState1('FB12',18000,0,30,0,0,0,7200,0,0,0)</v>
      </c>
      <c r="CD172" t="str">
        <f t="shared" si="71"/>
        <v/>
      </c>
      <c r="CE172" t="str">
        <f t="shared" si="72"/>
        <v/>
      </c>
      <c r="CF172" t="str">
        <f t="shared" si="73"/>
        <v/>
      </c>
      <c r="CG172" t="str">
        <f t="shared" si="74"/>
        <v/>
      </c>
      <c r="CH172" t="str">
        <f t="shared" si="75"/>
        <v/>
      </c>
      <c r="CI172" t="str">
        <f t="shared" si="76"/>
        <v/>
      </c>
    </row>
    <row r="173" ht="15.95" customHeight="1" spans="1:87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3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4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5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6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7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8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69"/>
        <v>InitTypeState7('FB13',0,0,0,0,0,0,0,0,0,0)</v>
      </c>
      <c r="CC173" t="str">
        <f t="shared" si="70"/>
        <v>InitTypeState1('FB13',7500,3600,0,0,0,0,0,0,0,0)</v>
      </c>
      <c r="CD173" t="str">
        <f t="shared" si="71"/>
        <v>InitTypeState2('FB13',0,0,0,0,12,0,0,0,0,0)</v>
      </c>
      <c r="CE173" t="str">
        <f t="shared" si="72"/>
        <v/>
      </c>
      <c r="CF173" t="str">
        <f t="shared" si="73"/>
        <v/>
      </c>
      <c r="CG173" t="str">
        <f t="shared" si="74"/>
        <v/>
      </c>
      <c r="CH173" t="str">
        <f t="shared" si="75"/>
        <v/>
      </c>
      <c r="CI173" t="str">
        <f t="shared" si="76"/>
        <v/>
      </c>
    </row>
    <row r="174" ht="15.95" customHeight="1" spans="1:87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3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4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5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6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7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8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69"/>
        <v>InitTypeState7('FB14',0,0,0,0,0,0,0,0,0,0)</v>
      </c>
      <c r="CC174" t="str">
        <f t="shared" si="70"/>
        <v>InitTypeState1('FB14',0,0,0,0,360000,0,0,0,0,0)</v>
      </c>
      <c r="CD174" t="str">
        <f t="shared" si="71"/>
        <v>InitTypeState2('FB14',10,0,150,0,0,0,0,0,10,36)</v>
      </c>
      <c r="CE174" t="str">
        <f t="shared" si="72"/>
        <v/>
      </c>
      <c r="CF174" t="str">
        <f t="shared" si="73"/>
        <v/>
      </c>
      <c r="CG174" t="str">
        <f t="shared" si="74"/>
        <v/>
      </c>
      <c r="CH174" t="str">
        <f t="shared" si="75"/>
        <v/>
      </c>
      <c r="CI174" t="str">
        <f t="shared" si="76"/>
        <v/>
      </c>
    </row>
    <row r="175" ht="15.95" customHeight="1" spans="1:87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3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4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5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6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7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8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69"/>
        <v>InitTypeState7('FB15',0,0,0,0,0,0,0,0,0,0)</v>
      </c>
      <c r="CC175" t="str">
        <f t="shared" si="70"/>
        <v>InitTypeState1('FB15',30000,14400,0,0,0,0,0,0,0,0)</v>
      </c>
      <c r="CD175" t="str">
        <f t="shared" si="71"/>
        <v>InitTypeState2('FB15',15,0,0,0,48,0,15,0,0,0)</v>
      </c>
      <c r="CE175" t="str">
        <f t="shared" si="72"/>
        <v/>
      </c>
      <c r="CF175" t="str">
        <f t="shared" si="73"/>
        <v/>
      </c>
      <c r="CG175" t="str">
        <f t="shared" si="74"/>
        <v/>
      </c>
      <c r="CH175" t="str">
        <f t="shared" si="75"/>
        <v/>
      </c>
      <c r="CI175" t="str">
        <f t="shared" si="76"/>
        <v/>
      </c>
    </row>
    <row r="176" ht="15.95" customHeight="1" spans="1:87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3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4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5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6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7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8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69"/>
        <v>InitTypeState7('FB16',0,0,0,0,0,0,0,0,0,0)</v>
      </c>
      <c r="CC176" t="str">
        <f t="shared" si="70"/>
        <v>InitTypeState1('FB16',30000,0,0,0,360000,0,0,0,60,0)</v>
      </c>
      <c r="CD176" t="str">
        <f t="shared" si="71"/>
        <v>InitTypeState2('FB16',0,0,200,0,0,0,0,0,0,0)</v>
      </c>
      <c r="CE176" t="str">
        <f t="shared" si="72"/>
        <v/>
      </c>
      <c r="CF176" t="str">
        <f t="shared" si="73"/>
        <v/>
      </c>
      <c r="CG176" t="str">
        <f t="shared" si="74"/>
        <v/>
      </c>
      <c r="CH176" t="str">
        <f t="shared" si="75"/>
        <v/>
      </c>
      <c r="CI176" t="str">
        <f t="shared" si="76"/>
        <v/>
      </c>
    </row>
    <row r="177" ht="15.95" customHeight="1" spans="1:87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3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4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5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6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7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8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69"/>
        <v>InitTypeState7('FB17',0,0,0,0,0,0,0,0,0,0)</v>
      </c>
      <c r="CC177" t="str">
        <f t="shared" si="70"/>
        <v>InitTypeState1('FB17',22500,10800,0,0,0,0,0,0,40,0)</v>
      </c>
      <c r="CD177" t="str">
        <f t="shared" si="71"/>
        <v>InitTypeState2('FB17',0,0,0,0,36,0,0,0,0,0)</v>
      </c>
      <c r="CE177" t="str">
        <f t="shared" si="72"/>
        <v/>
      </c>
      <c r="CF177" t="str">
        <f t="shared" si="73"/>
        <v/>
      </c>
      <c r="CG177" t="str">
        <f t="shared" si="74"/>
        <v/>
      </c>
      <c r="CH177" t="str">
        <f t="shared" si="75"/>
        <v/>
      </c>
      <c r="CI177" t="str">
        <f t="shared" si="76"/>
        <v/>
      </c>
    </row>
    <row r="178" ht="15.95" customHeight="1" spans="1:87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3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4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5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6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7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8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69"/>
        <v>InitTypeState7('FB18',0,0,0,0,0,0,0,0,0,0)</v>
      </c>
      <c r="CC178" t="str">
        <f t="shared" si="70"/>
        <v>InitTypeState1('FB18',22500,0,0,0,270000,0,0,0,0,0)</v>
      </c>
      <c r="CD178" t="str">
        <f t="shared" si="71"/>
        <v>InitTypeState2('FB18',0,0,150,0,0,0,0,0,0,0)</v>
      </c>
      <c r="CE178" t="str">
        <f t="shared" si="72"/>
        <v/>
      </c>
      <c r="CF178" t="str">
        <f t="shared" si="73"/>
        <v/>
      </c>
      <c r="CG178" t="str">
        <f t="shared" si="74"/>
        <v/>
      </c>
      <c r="CH178" t="str">
        <f t="shared" si="75"/>
        <v/>
      </c>
      <c r="CI178" t="str">
        <f t="shared" si="76"/>
        <v/>
      </c>
    </row>
    <row r="179" ht="15.95" customHeight="1" spans="1:87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3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4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5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6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7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8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69"/>
        <v>InitTypeState7('FB19',0,0,0,0,0,0,0,0,0,0)</v>
      </c>
      <c r="CC179" t="str">
        <f t="shared" si="70"/>
        <v>InitTypeState1('FB19',7500,0,0,0,90000,0,0,0,0,0)</v>
      </c>
      <c r="CD179" t="str">
        <f t="shared" si="71"/>
        <v>InitTypeState2('FB19',0,0,0,0,0,0,0,0,4,20)</v>
      </c>
      <c r="CE179" t="str">
        <f t="shared" si="72"/>
        <v/>
      </c>
      <c r="CF179" t="str">
        <f t="shared" si="73"/>
        <v/>
      </c>
      <c r="CG179" t="str">
        <f t="shared" si="74"/>
        <v/>
      </c>
      <c r="CH179" t="str">
        <f t="shared" si="75"/>
        <v/>
      </c>
      <c r="CI179" t="str">
        <f t="shared" si="76"/>
        <v/>
      </c>
    </row>
    <row r="180" ht="15.95" customHeight="1" spans="1:87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3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4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5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6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7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8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69"/>
        <v>InitTypeState7('FB20',0,0,0,0,0,0,0,0,0,0)</v>
      </c>
      <c r="CC180" t="str">
        <f t="shared" si="70"/>
        <v>InitTypeState1('FB20',30000,0,0,0,0,0,7200,0,0,0)</v>
      </c>
      <c r="CD180" t="str">
        <f t="shared" si="71"/>
        <v>InitTypeState2('FB20',0,0,200,0,48,0,0,0,15,48)</v>
      </c>
      <c r="CE180" t="str">
        <f t="shared" si="72"/>
        <v/>
      </c>
      <c r="CF180" t="str">
        <f t="shared" si="73"/>
        <v/>
      </c>
      <c r="CG180" t="str">
        <f t="shared" si="74"/>
        <v/>
      </c>
      <c r="CH180" t="str">
        <f t="shared" si="75"/>
        <v/>
      </c>
      <c r="CI180" t="str">
        <f t="shared" si="76"/>
        <v/>
      </c>
    </row>
    <row r="181" ht="15.95" customHeight="1" spans="1:87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ref="N181:N244" si="78">"InitTypeState1("&amp;$B181&amp;","&amp;D181&amp;","&amp;E181&amp;","&amp;F181&amp;","&amp;G181&amp;","&amp;H181&amp;","&amp;I181&amp;","&amp;J181&amp;","&amp;K181&amp;","&amp;L181&amp;","&amp;M181&amp;")"</f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ref="Y181:Y244" si="79">"InitTypeState2("&amp;$B181&amp;","&amp;O181&amp;","&amp;P181&amp;","&amp;Q181&amp;","&amp;R181&amp;","&amp;S181&amp;","&amp;T181&amp;","&amp;U181&amp;","&amp;V181&amp;","&amp;W181&amp;","&amp;X181&amp;")"</f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ref="AJ181:AJ244" si="80">"InitTypeState3("&amp;$B181&amp;","&amp;Z181&amp;","&amp;AA181&amp;","&amp;AB181&amp;","&amp;AC181&amp;","&amp;AD181&amp;","&amp;AE181&amp;","&amp;AF181&amp;","&amp;AG181&amp;","&amp;AH181&amp;","&amp;AI181&amp;")"</f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ref="AU181:AU244" si="81">"InitTypeState4("&amp;$B181&amp;","&amp;AK181&amp;","&amp;AL181&amp;","&amp;AM181&amp;","&amp;AN181&amp;","&amp;AO181&amp;","&amp;AP181&amp;","&amp;AQ181&amp;","&amp;AR181&amp;","&amp;AS181&amp;","&amp;AT181&amp;")"</f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ref="BF181:BF244" si="82">"InitTypeState5("&amp;$B181&amp;","&amp;AV181&amp;","&amp;AW181&amp;","&amp;AX181&amp;","&amp;AY181&amp;","&amp;AZ181&amp;","&amp;BA181&amp;","&amp;BB181&amp;","&amp;BC181&amp;","&amp;BD181&amp;","&amp;BE181&amp;")"</f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ref="BQ181:BQ244" si="83">"InitTypeState6("&amp;$B181&amp;","&amp;BG181&amp;","&amp;BH181&amp;","&amp;BI181&amp;","&amp;BJ181&amp;","&amp;BK181&amp;","&amp;BL181&amp;","&amp;BM181&amp;","&amp;BN181&amp;","&amp;BO181&amp;","&amp;BP181&amp;")"</f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ref="CB181:CB244" si="84">"InitTypeState7("&amp;$B181&amp;","&amp;BR181&amp;","&amp;BS181&amp;","&amp;BT181&amp;","&amp;BU181&amp;","&amp;BV181&amp;","&amp;BW181&amp;","&amp;BX181&amp;","&amp;BY181&amp;","&amp;BZ181&amp;","&amp;CA181&amp;")"</f>
        <v>InitTypeState7('FB21',0,0,0,0,0,0,0,0,0,0)</v>
      </c>
      <c r="CC181" t="str">
        <f t="shared" ref="CC181:CC244" si="85">IF(ISERROR(FIND(",0,0,0,0,0,0,0,0,0,0)",N181)),N181,"")</f>
        <v>InitTypeState1('FB21',22500,0,0,0,0,0,5400,0,0,0)</v>
      </c>
      <c r="CD181" t="str">
        <f t="shared" ref="CD181:CD244" si="86">IF(ISERROR(FIND(",0,0,0,0,0,0,0,0,0,0)",Y181)),Y181,"")</f>
        <v>InitTypeState2('FB21',0,0,0,0,0,0,0,0,10,36)</v>
      </c>
      <c r="CE181" t="str">
        <f t="shared" ref="CE181:CE244" si="87">IF(ISERROR(FIND(",0,0,0,0,0,0,0,0,0,0)",AJ181)),AJ181,"")</f>
        <v/>
      </c>
      <c r="CF181" t="str">
        <f t="shared" ref="CF181:CF244" si="88">IF(ISERROR(FIND(",0,0,0,0,0,0,0,0,0,0)",AU181)),AU181,"")</f>
        <v/>
      </c>
      <c r="CG181" t="str">
        <f t="shared" ref="CG181:CG244" si="89">IF(ISERROR(FIND(",0,0,0,0,0,0,0,0,0,0)",BF181)),BF181,"")</f>
        <v/>
      </c>
      <c r="CH181" t="str">
        <f t="shared" ref="CH181:CH244" si="90">IF(ISERROR(FIND(",0,0,0,0,0,0,0,0,0,0)",BQ181)),BQ181,"")</f>
        <v/>
      </c>
      <c r="CI181" t="str">
        <f t="shared" ref="CI181:CI244" si="91">IF(ISERROR(FIND(",0,0,0,0,0,0,0,0,0,0)",CB181)),CB181,"")</f>
        <v/>
      </c>
    </row>
    <row r="182" ht="15.95" customHeight="1" spans="1:87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ht="15.95" customHeight="1" spans="1:87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ht="15.95" customHeight="1" spans="1:87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ht="15.95" customHeight="1" spans="1:87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ht="15.95" customHeight="1" spans="1:87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ht="15.95" customHeight="1" spans="1:87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ht="15.95" customHeight="1" spans="1:87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ht="15.95" customHeight="1" spans="1:87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ht="15.95" customHeight="1" spans="1:87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ht="15.95" customHeight="1" spans="1:87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ht="15.95" customHeight="1" spans="1:87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ht="15.95" customHeight="1" spans="1:87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ht="15.95" customHeight="1" spans="1:87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ht="15.95" customHeight="1" spans="1:87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>InitTypeState5('FB35',10,0,0,0,0,0,0,0,0,0)</v>
      </c>
      <c r="CH195" t="str">
        <f t="shared" si="90"/>
        <v/>
      </c>
      <c r="CI195" t="str">
        <f t="shared" si="91"/>
        <v/>
      </c>
    </row>
    <row r="196" ht="15.95" customHeight="1" spans="1:87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87"/>
        <v/>
      </c>
      <c r="CF196" t="str">
        <f t="shared" si="88"/>
        <v/>
      </c>
      <c r="CG196" t="str">
        <f t="shared" si="89"/>
        <v>InitTypeState5('FB36',5,0,0,0,0,0,0,0,0,0)</v>
      </c>
      <c r="CH196" t="str">
        <f t="shared" si="90"/>
        <v/>
      </c>
      <c r="CI196" t="str">
        <f t="shared" si="91"/>
        <v/>
      </c>
    </row>
    <row r="197" ht="15.95" customHeight="1" spans="1:87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87"/>
        <v>InitTypeState3('FB37',0,0,0,0,10,0,0,0,0,0)</v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ht="15.95" customHeight="1" spans="1:87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ht="15.95" customHeight="1" spans="1:87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InitTypeState2('FB39',15,0,0,0,0,0,15,0,0,0)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ht="15.95" customHeight="1" spans="1:87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ht="15.95" customHeight="1" spans="1:87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ht="15.95" customHeight="1" spans="1:87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87"/>
        <v>InitTypeState3('FB42',0,0,0,0,30,0,0,0,0,0)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ht="15.95" customHeight="1" spans="1:87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InitTypeState2('FB43',5,0,0,0,0,0,5,0,0,0)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ht="15.95" customHeight="1" spans="1:87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ht="15.95" customHeight="1" spans="1:87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ht="15.95" customHeight="1" spans="1:87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ht="15.95" customHeight="1" spans="1:87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87"/>
        <v>InitTypeState3('FB47',0,0,0,0,40,0,0,0,0,0)</v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ht="15.95" customHeight="1" spans="1:87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ht="15.95" customHeight="1" spans="1:87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InitTypeState7('FB49',0,0,0,0,0,0,0,0,0,0)</v>
      </c>
      <c r="CC209" t="str">
        <f t="shared" si="85"/>
        <v>InitTypeState1('FB49',0,24000,0,0,600000,0,0,0,0,0)</v>
      </c>
      <c r="CD209" t="str">
        <f t="shared" si="86"/>
        <v>InitTypeState2('FB49',20,0,0,0,0,0,20,0,0,0)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ht="15.95" customHeight="1" spans="1:87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8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InitTypeState7('FB50',0,0,0,0,0,0,0,0,0,0)</v>
      </c>
      <c r="CC210" t="str">
        <f t="shared" si="85"/>
        <v>InitTypeState1('FB50',9000,0,0,0,300000,0,0,0,0,0)</v>
      </c>
      <c r="CD210" t="str">
        <f t="shared" si="86"/>
        <v>InitTypeState2('FB50',5,0,0,0,0,0,0,0,0,0)</v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ht="15.95" customHeight="1" spans="1:87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8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InitTypeState7('FB51',0,0,0,0,0,0,0,0,0,0)</v>
      </c>
      <c r="CC211" t="str">
        <f t="shared" si="85"/>
        <v>InitTypeState1('FB51',0,7200,0,0,300000,0,0,0,0,5)</v>
      </c>
      <c r="CD211" t="str">
        <f t="shared" si="86"/>
        <v/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ht="15.95" customHeight="1" spans="1:87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8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79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InitTypeState7('FB52',0,0,0,0,0,0,0,0,0,0)</v>
      </c>
      <c r="CC212" t="str">
        <f t="shared" si="85"/>
        <v>InitTypeState1('FB52',0,0,0,0,270000,0,9000,0,0,0)</v>
      </c>
      <c r="CD212" t="str">
        <f t="shared" si="86"/>
        <v>InitTypeState2('FB52',0,0,100,0,0,0,0,0,10,36)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ht="15.95" customHeight="1" spans="1:87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8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InitTypeState7('IF01',0,0,0,0,0,0,0,0,0,0)</v>
      </c>
      <c r="CC213" t="str">
        <f t="shared" si="85"/>
        <v>InitTypeState1('IF01',0,0,0,0,0,0,0,0,0,3)</v>
      </c>
      <c r="CD213" t="str">
        <f t="shared" si="86"/>
        <v/>
      </c>
      <c r="CE213" t="str">
        <f t="shared" si="87"/>
        <v/>
      </c>
      <c r="CF213" t="str">
        <f t="shared" si="88"/>
        <v/>
      </c>
      <c r="CG213" t="str">
        <f t="shared" si="89"/>
        <v/>
      </c>
      <c r="CH213" t="str">
        <f t="shared" si="90"/>
        <v/>
      </c>
      <c r="CI213" t="str">
        <f t="shared" si="91"/>
        <v/>
      </c>
    </row>
    <row r="214" ht="15.95" customHeight="1" spans="1:87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8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InitTypeState7('IF02',0,0,0,0,0,0,0,0,0,0)</v>
      </c>
      <c r="CC214" t="str">
        <f t="shared" si="85"/>
        <v>InitTypeState1('IF02',0,0,0,0,0,0,0,0,0,4)</v>
      </c>
      <c r="CD214" t="str">
        <f t="shared" si="86"/>
        <v/>
      </c>
      <c r="CE214" t="str">
        <f t="shared" si="87"/>
        <v/>
      </c>
      <c r="CF214" t="str">
        <f t="shared" si="88"/>
        <v/>
      </c>
      <c r="CG214" t="str">
        <f t="shared" si="89"/>
        <v/>
      </c>
      <c r="CH214" t="str">
        <f t="shared" si="90"/>
        <v/>
      </c>
      <c r="CI214" t="str">
        <f t="shared" si="91"/>
        <v/>
      </c>
    </row>
    <row r="215" ht="15.95" customHeight="1" spans="1:87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8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InitTypeState7('IF03',0,0,0,0,0,0,0,0,0,0)</v>
      </c>
      <c r="CC215" t="str">
        <f t="shared" si="85"/>
        <v>InitTypeState1('IF03',0,0,0,0,0,0,0,0,20,0)</v>
      </c>
      <c r="CD215" t="str">
        <f t="shared" si="86"/>
        <v/>
      </c>
      <c r="CE215" t="str">
        <f t="shared" si="87"/>
        <v/>
      </c>
      <c r="CF215" t="str">
        <f t="shared" si="88"/>
        <v/>
      </c>
      <c r="CG215" t="str">
        <f t="shared" si="89"/>
        <v/>
      </c>
      <c r="CH215" t="str">
        <f t="shared" si="90"/>
        <v/>
      </c>
      <c r="CI215" t="str">
        <f t="shared" si="91"/>
        <v/>
      </c>
    </row>
    <row r="216" ht="15.95" customHeight="1" spans="1:87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8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79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InitTypeState7('IF04',0,0,0,0,0,0,0,0,0,0)</v>
      </c>
      <c r="CC216" t="str">
        <f t="shared" si="85"/>
        <v>InitTypeState1('IF04',0,0,0,0,0,0,0,0,25,0)</v>
      </c>
      <c r="CD216" t="str">
        <f t="shared" si="86"/>
        <v/>
      </c>
      <c r="CE216" t="str">
        <f t="shared" si="87"/>
        <v/>
      </c>
      <c r="CF216" t="str">
        <f t="shared" si="88"/>
        <v/>
      </c>
      <c r="CG216" t="str">
        <f t="shared" si="89"/>
        <v/>
      </c>
      <c r="CH216" t="str">
        <f t="shared" si="90"/>
        <v/>
      </c>
      <c r="CI216" t="str">
        <f t="shared" si="91"/>
        <v/>
      </c>
    </row>
    <row r="217" ht="15.95" customHeight="1" spans="1:87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InitTypeState7('IF05',0,0,0,0,0,0,0,0,0,0)</v>
      </c>
      <c r="CC217" t="str">
        <f t="shared" si="85"/>
        <v>InitTypeState1('IF05',0,0,100,0,0,0,0,0,0,0)</v>
      </c>
      <c r="CD217" t="str">
        <f t="shared" si="86"/>
        <v/>
      </c>
      <c r="CE217" t="str">
        <f t="shared" si="87"/>
        <v/>
      </c>
      <c r="CF217" t="str">
        <f t="shared" si="88"/>
        <v/>
      </c>
      <c r="CG217" t="str">
        <f t="shared" si="89"/>
        <v/>
      </c>
      <c r="CH217" t="str">
        <f t="shared" si="90"/>
        <v/>
      </c>
      <c r="CI217" t="str">
        <f t="shared" si="91"/>
        <v/>
      </c>
    </row>
    <row r="218" ht="15.95" customHeight="1" spans="1:87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79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InitTypeState7('IF06',0,0,0,0,0,0,0,0,0,0)</v>
      </c>
      <c r="CC218" t="str">
        <f t="shared" si="85"/>
        <v>InitTypeState1('IF06',0,0,200,0,0,0,0,0,0,0)</v>
      </c>
      <c r="CD218" t="str">
        <f t="shared" si="86"/>
        <v/>
      </c>
      <c r="CE218" t="str">
        <f t="shared" si="87"/>
        <v/>
      </c>
      <c r="CF218" t="str">
        <f t="shared" si="88"/>
        <v/>
      </c>
      <c r="CG218" t="str">
        <f t="shared" si="89"/>
        <v/>
      </c>
      <c r="CH218" t="str">
        <f t="shared" si="90"/>
        <v/>
      </c>
      <c r="CI218" t="str">
        <f t="shared" si="91"/>
        <v/>
      </c>
    </row>
    <row r="219" ht="15.95" customHeight="1" spans="1:87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79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InitTypeState7('IF07',0,0,0,0,0,0,0,0,0,0)</v>
      </c>
      <c r="CC219" t="str">
        <f t="shared" si="85"/>
        <v/>
      </c>
      <c r="CD219" t="str">
        <f t="shared" si="86"/>
        <v>InitTypeState2('IF07',0,0,0,0,0,0,0,0,2,0)</v>
      </c>
      <c r="CE219" t="str">
        <f t="shared" si="87"/>
        <v/>
      </c>
      <c r="CF219" t="str">
        <f t="shared" si="88"/>
        <v/>
      </c>
      <c r="CG219" t="str">
        <f t="shared" si="89"/>
        <v/>
      </c>
      <c r="CH219" t="str">
        <f t="shared" si="90"/>
        <v/>
      </c>
      <c r="CI219" t="str">
        <f t="shared" si="91"/>
        <v/>
      </c>
    </row>
    <row r="220" ht="15.95" customHeight="1" spans="1:87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79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InitTypeState7('IF08',0,0,0,0,0,0,0,0,0,0)</v>
      </c>
      <c r="CC220" t="str">
        <f t="shared" si="85"/>
        <v/>
      </c>
      <c r="CD220" t="str">
        <f t="shared" si="86"/>
        <v>InitTypeState2('IF08',0,0,0,0,0,0,0,0,3,0)</v>
      </c>
      <c r="CE220" t="str">
        <f t="shared" si="87"/>
        <v/>
      </c>
      <c r="CF220" t="str">
        <f t="shared" si="88"/>
        <v/>
      </c>
      <c r="CG220" t="str">
        <f t="shared" si="89"/>
        <v/>
      </c>
      <c r="CH220" t="str">
        <f t="shared" si="90"/>
        <v/>
      </c>
      <c r="CI220" t="str">
        <f t="shared" si="91"/>
        <v/>
      </c>
    </row>
    <row r="221" ht="15.95" customHeight="1" spans="1:87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8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79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0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1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2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3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4"/>
        <v>InitTypeState7('IF09',0,0,0,0,0,0,0,0,0,0)</v>
      </c>
      <c r="CC221" t="str">
        <f t="shared" si="85"/>
        <v/>
      </c>
      <c r="CD221" t="str">
        <f t="shared" si="86"/>
        <v>InitTypeState2('IF09',0,0,0,0,0,0,0,0,0,20)</v>
      </c>
      <c r="CE221" t="str">
        <f t="shared" si="87"/>
        <v/>
      </c>
      <c r="CF221" t="str">
        <f t="shared" si="88"/>
        <v/>
      </c>
      <c r="CG221" t="str">
        <f t="shared" si="89"/>
        <v/>
      </c>
      <c r="CH221" t="str">
        <f t="shared" si="90"/>
        <v/>
      </c>
      <c r="CI221" t="str">
        <f t="shared" si="91"/>
        <v/>
      </c>
    </row>
    <row r="222" ht="15.95" customHeight="1" spans="1:87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8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79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0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1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2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3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4"/>
        <v>InitTypeState7('IF10',0,0,0,0,0,0,0,0,0,0)</v>
      </c>
      <c r="CC222" t="str">
        <f t="shared" si="85"/>
        <v/>
      </c>
      <c r="CD222" t="str">
        <f t="shared" si="86"/>
        <v>InitTypeState2('IF10',0,0,0,0,0,0,0,0,0,30)</v>
      </c>
      <c r="CE222" t="str">
        <f t="shared" si="87"/>
        <v/>
      </c>
      <c r="CF222" t="str">
        <f t="shared" si="88"/>
        <v/>
      </c>
      <c r="CG222" t="str">
        <f t="shared" si="89"/>
        <v/>
      </c>
      <c r="CH222" t="str">
        <f t="shared" si="90"/>
        <v/>
      </c>
      <c r="CI222" t="str">
        <f t="shared" si="91"/>
        <v/>
      </c>
    </row>
    <row r="223" ht="15.95" customHeight="1" spans="1:87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8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79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0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1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2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3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4"/>
        <v>InitTypeState7('IF11',0,0,0,0,0,0,0,0,0,0)</v>
      </c>
      <c r="CC223" t="str">
        <f t="shared" si="85"/>
        <v/>
      </c>
      <c r="CD223" t="str">
        <f t="shared" si="86"/>
        <v/>
      </c>
      <c r="CE223" t="str">
        <f t="shared" si="87"/>
        <v>InitTypeState3('IF11',0,5,0,0,0,0,0,0,0,0)</v>
      </c>
      <c r="CF223" t="str">
        <f t="shared" si="88"/>
        <v/>
      </c>
      <c r="CG223" t="str">
        <f t="shared" si="89"/>
        <v/>
      </c>
      <c r="CH223" t="str">
        <f t="shared" si="90"/>
        <v/>
      </c>
      <c r="CI223" t="str">
        <f t="shared" si="91"/>
        <v/>
      </c>
    </row>
    <row r="224" ht="15.95" customHeight="1" spans="1:87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8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79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0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1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2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3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4"/>
        <v>InitTypeState7('IF12',0,0,0,0,0,0,0,0,0,0)</v>
      </c>
      <c r="CC224" t="str">
        <f t="shared" si="85"/>
        <v/>
      </c>
      <c r="CD224" t="str">
        <f t="shared" si="86"/>
        <v/>
      </c>
      <c r="CE224" t="str">
        <f t="shared" si="87"/>
        <v>InitTypeState3('IF12',0,6,0,0,0,0,0,0,0,0)</v>
      </c>
      <c r="CF224" t="str">
        <f t="shared" si="88"/>
        <v/>
      </c>
      <c r="CG224" t="str">
        <f t="shared" si="89"/>
        <v/>
      </c>
      <c r="CH224" t="str">
        <f t="shared" si="90"/>
        <v/>
      </c>
      <c r="CI224" t="str">
        <f t="shared" si="91"/>
        <v/>
      </c>
    </row>
    <row r="225" ht="15.95" customHeight="1" spans="1:87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8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79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0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1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2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3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4"/>
        <v>InitTypeState7('IF13',0,0,0,0,0,0,0,0,0,0)</v>
      </c>
      <c r="CC225" t="str">
        <f t="shared" si="85"/>
        <v/>
      </c>
      <c r="CD225" t="str">
        <f t="shared" si="86"/>
        <v/>
      </c>
      <c r="CE225" t="str">
        <f t="shared" si="87"/>
        <v/>
      </c>
      <c r="CF225" t="str">
        <f t="shared" si="88"/>
        <v/>
      </c>
      <c r="CG225" t="str">
        <f t="shared" si="89"/>
        <v>InitTypeState5('IF13',0,0,0,0,0,15,0,0,0,0)</v>
      </c>
      <c r="CH225" t="str">
        <f t="shared" si="90"/>
        <v/>
      </c>
      <c r="CI225" t="str">
        <f t="shared" si="91"/>
        <v/>
      </c>
    </row>
    <row r="226" ht="15.95" customHeight="1" spans="1:87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8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79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0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1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2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3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4"/>
        <v>InitTypeState7('IF14',0,0,0,0,0,0,0,0,0,0)</v>
      </c>
      <c r="CC226" t="str">
        <f t="shared" si="85"/>
        <v/>
      </c>
      <c r="CD226" t="str">
        <f t="shared" si="86"/>
        <v/>
      </c>
      <c r="CE226" t="str">
        <f t="shared" si="87"/>
        <v/>
      </c>
      <c r="CF226" t="str">
        <f t="shared" si="88"/>
        <v/>
      </c>
      <c r="CG226" t="str">
        <f t="shared" si="89"/>
        <v>InitTypeState5('IF14',0,0,0,0,0,20,0,0,0,0)</v>
      </c>
      <c r="CH226" t="str">
        <f t="shared" si="90"/>
        <v/>
      </c>
      <c r="CI226" t="str">
        <f t="shared" si="91"/>
        <v/>
      </c>
    </row>
    <row r="227" ht="15.95" customHeight="1" spans="1:87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8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79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0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1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2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3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4"/>
        <v>InitTypeState7('IF15',0,0,0,0,0,0,0,0,0,0)</v>
      </c>
      <c r="CC227" t="str">
        <f t="shared" si="85"/>
        <v/>
      </c>
      <c r="CD227" t="str">
        <f t="shared" si="86"/>
        <v/>
      </c>
      <c r="CE227" t="str">
        <f t="shared" si="87"/>
        <v/>
      </c>
      <c r="CF227" t="str">
        <f t="shared" si="88"/>
        <v/>
      </c>
      <c r="CG227" t="str">
        <f t="shared" si="89"/>
        <v/>
      </c>
      <c r="CH227" t="str">
        <f t="shared" si="90"/>
        <v>InitTypeState6('IF15',30,0,0,0,0,0,0,0,0,0)</v>
      </c>
      <c r="CI227" t="str">
        <f t="shared" si="91"/>
        <v/>
      </c>
    </row>
    <row r="228" ht="15.95" customHeight="1" spans="1:87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8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79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0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1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2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3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4"/>
        <v>InitTypeState7('IF16',0,0,0,0,0,0,0,0,0,0)</v>
      </c>
      <c r="CC228" t="str">
        <f t="shared" si="85"/>
        <v/>
      </c>
      <c r="CD228" t="str">
        <f t="shared" si="86"/>
        <v/>
      </c>
      <c r="CE228" t="str">
        <f t="shared" si="87"/>
        <v/>
      </c>
      <c r="CF228" t="str">
        <f t="shared" si="88"/>
        <v/>
      </c>
      <c r="CG228" t="str">
        <f t="shared" si="89"/>
        <v/>
      </c>
      <c r="CH228" t="str">
        <f t="shared" si="90"/>
        <v>InitTypeState6('IF16',40,0,0,0,0,0,0,0,0,0)</v>
      </c>
      <c r="CI228" t="str">
        <f t="shared" si="91"/>
        <v/>
      </c>
    </row>
    <row r="229" ht="15.95" customHeight="1" spans="1:87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8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79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0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1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2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3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4"/>
        <v>InitTypeState7('IF17',0,0,0,0,0,0,0,0,0,0)</v>
      </c>
      <c r="CC229" t="str">
        <f t="shared" si="85"/>
        <v>InitTypeState1('IF17',0,0,0,0,0,0,0,0,0,5)</v>
      </c>
      <c r="CD229" t="str">
        <f t="shared" si="86"/>
        <v/>
      </c>
      <c r="CE229" t="str">
        <f t="shared" si="87"/>
        <v/>
      </c>
      <c r="CF229" t="str">
        <f t="shared" si="88"/>
        <v/>
      </c>
      <c r="CG229" t="str">
        <f t="shared" si="89"/>
        <v/>
      </c>
      <c r="CH229" t="str">
        <f t="shared" si="90"/>
        <v/>
      </c>
      <c r="CI229" t="str">
        <f t="shared" si="91"/>
        <v/>
      </c>
    </row>
    <row r="230" ht="15.95" customHeight="1" spans="1:87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8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79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0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1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2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3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4"/>
        <v>InitTypeState7('IF18',0,0,0,0,0,0,0,0,0,0)</v>
      </c>
      <c r="CC230" t="str">
        <f t="shared" si="85"/>
        <v>InitTypeState1('IF18',0,0,0,0,0,0,0,0,0,6)</v>
      </c>
      <c r="CD230" t="str">
        <f t="shared" si="86"/>
        <v/>
      </c>
      <c r="CE230" t="str">
        <f t="shared" si="87"/>
        <v/>
      </c>
      <c r="CF230" t="str">
        <f t="shared" si="88"/>
        <v/>
      </c>
      <c r="CG230" t="str">
        <f t="shared" si="89"/>
        <v/>
      </c>
      <c r="CH230" t="str">
        <f t="shared" si="90"/>
        <v/>
      </c>
      <c r="CI230" t="str">
        <f t="shared" si="91"/>
        <v/>
      </c>
    </row>
    <row r="231" ht="15.95" customHeight="1" spans="1:87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78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79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0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1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2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3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4"/>
        <v>InitTypeState7('IF19',0,0,0,0,0,0,0,0,0,0)</v>
      </c>
      <c r="CC231" t="str">
        <f t="shared" si="85"/>
        <v>InitTypeState1('IF19',0,0,0,0,0,0,0,0,30,0)</v>
      </c>
      <c r="CD231" t="str">
        <f t="shared" si="86"/>
        <v/>
      </c>
      <c r="CE231" t="str">
        <f t="shared" si="87"/>
        <v/>
      </c>
      <c r="CF231" t="str">
        <f t="shared" si="88"/>
        <v/>
      </c>
      <c r="CG231" t="str">
        <f t="shared" si="89"/>
        <v/>
      </c>
      <c r="CH231" t="str">
        <f t="shared" si="90"/>
        <v/>
      </c>
      <c r="CI231" t="str">
        <f t="shared" si="91"/>
        <v/>
      </c>
    </row>
    <row r="232" ht="15.95" customHeight="1" spans="1:87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78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79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0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1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2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3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4"/>
        <v>InitTypeState7('IF20',0,0,0,0,0,0,0,0,0,0)</v>
      </c>
      <c r="CC232" t="str">
        <f t="shared" si="85"/>
        <v>InitTypeState1('IF20',0,0,0,0,0,0,0,0,35,0)</v>
      </c>
      <c r="CD232" t="str">
        <f t="shared" si="86"/>
        <v/>
      </c>
      <c r="CE232" t="str">
        <f t="shared" si="87"/>
        <v/>
      </c>
      <c r="CF232" t="str">
        <f t="shared" si="88"/>
        <v/>
      </c>
      <c r="CG232" t="str">
        <f t="shared" si="89"/>
        <v/>
      </c>
      <c r="CH232" t="str">
        <f t="shared" si="90"/>
        <v/>
      </c>
      <c r="CI232" t="str">
        <f t="shared" si="91"/>
        <v/>
      </c>
    </row>
    <row r="233" ht="15.95" customHeight="1" spans="1:87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8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79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0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1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2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3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4"/>
        <v>InitTypeState7('IF21',0,0,0,0,0,0,0,0,0,0)</v>
      </c>
      <c r="CC233" t="str">
        <f t="shared" si="85"/>
        <v>InitTypeState1('IF21',0,0,300,0,0,0,0,0,0,0)</v>
      </c>
      <c r="CD233" t="str">
        <f t="shared" si="86"/>
        <v/>
      </c>
      <c r="CE233" t="str">
        <f t="shared" si="87"/>
        <v/>
      </c>
      <c r="CF233" t="str">
        <f t="shared" si="88"/>
        <v/>
      </c>
      <c r="CG233" t="str">
        <f t="shared" si="89"/>
        <v/>
      </c>
      <c r="CH233" t="str">
        <f t="shared" si="90"/>
        <v/>
      </c>
      <c r="CI233" t="str">
        <f t="shared" si="91"/>
        <v/>
      </c>
    </row>
    <row r="234" ht="15.95" customHeight="1" spans="1:87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8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79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0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1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2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3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4"/>
        <v>InitTypeState7('IF22',0,0,0,0,0,0,0,0,0,0)</v>
      </c>
      <c r="CC234" t="str">
        <f t="shared" si="85"/>
        <v>InitTypeState1('IF22',0,0,400,0,0,0,0,0,0,0)</v>
      </c>
      <c r="CD234" t="str">
        <f t="shared" si="86"/>
        <v/>
      </c>
      <c r="CE234" t="str">
        <f t="shared" si="87"/>
        <v/>
      </c>
      <c r="CF234" t="str">
        <f t="shared" si="88"/>
        <v/>
      </c>
      <c r="CG234" t="str">
        <f t="shared" si="89"/>
        <v/>
      </c>
      <c r="CH234" t="str">
        <f t="shared" si="90"/>
        <v/>
      </c>
      <c r="CI234" t="str">
        <f t="shared" si="91"/>
        <v/>
      </c>
    </row>
    <row r="235" ht="15.95" customHeight="1" spans="1:87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8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79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0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1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2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3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4"/>
        <v>InitTypeState7('IF23',0,0,0,0,0,0,0,0,0,0)</v>
      </c>
      <c r="CC235" t="str">
        <f t="shared" si="85"/>
        <v/>
      </c>
      <c r="CD235" t="str">
        <f t="shared" si="86"/>
        <v>InitTypeState2('IF23',0,0,0,0,0,0,0,0,4,0)</v>
      </c>
      <c r="CE235" t="str">
        <f t="shared" si="87"/>
        <v/>
      </c>
      <c r="CF235" t="str">
        <f t="shared" si="88"/>
        <v/>
      </c>
      <c r="CG235" t="str">
        <f t="shared" si="89"/>
        <v/>
      </c>
      <c r="CH235" t="str">
        <f t="shared" si="90"/>
        <v/>
      </c>
      <c r="CI235" t="str">
        <f t="shared" si="91"/>
        <v/>
      </c>
    </row>
    <row r="236" ht="15.95" customHeight="1" spans="1:87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8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79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0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1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2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3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4"/>
        <v>InitTypeState7('IF24',0,0,0,0,0,0,0,0,0,0)</v>
      </c>
      <c r="CC236" t="str">
        <f t="shared" si="85"/>
        <v/>
      </c>
      <c r="CD236" t="str">
        <f t="shared" si="86"/>
        <v>InitTypeState2('IF24',0,0,0,0,0,0,0,0,5,0)</v>
      </c>
      <c r="CE236" t="str">
        <f t="shared" si="87"/>
        <v/>
      </c>
      <c r="CF236" t="str">
        <f t="shared" si="88"/>
        <v/>
      </c>
      <c r="CG236" t="str">
        <f t="shared" si="89"/>
        <v/>
      </c>
      <c r="CH236" t="str">
        <f t="shared" si="90"/>
        <v/>
      </c>
      <c r="CI236" t="str">
        <f t="shared" si="91"/>
        <v/>
      </c>
    </row>
    <row r="237" ht="15.95" customHeight="1" spans="1:87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8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79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0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1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2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3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4"/>
        <v>InitTypeState7('IF25',0,0,0,0,0,0,0,0,0,0)</v>
      </c>
      <c r="CC237" t="str">
        <f t="shared" si="85"/>
        <v/>
      </c>
      <c r="CD237" t="str">
        <f t="shared" si="86"/>
        <v>InitTypeState2('IF25',0,0,0,0,0,0,0,0,0,40)</v>
      </c>
      <c r="CE237" t="str">
        <f t="shared" si="87"/>
        <v/>
      </c>
      <c r="CF237" t="str">
        <f t="shared" si="88"/>
        <v/>
      </c>
      <c r="CG237" t="str">
        <f t="shared" si="89"/>
        <v/>
      </c>
      <c r="CH237" t="str">
        <f t="shared" si="90"/>
        <v/>
      </c>
      <c r="CI237" t="str">
        <f t="shared" si="91"/>
        <v/>
      </c>
    </row>
    <row r="238" ht="15.95" customHeight="1" spans="1:87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8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79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0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1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2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3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4"/>
        <v>InitTypeState7('IF26',0,0,0,0,0,0,0,0,0,0)</v>
      </c>
      <c r="CC238" t="str">
        <f t="shared" si="85"/>
        <v/>
      </c>
      <c r="CD238" t="str">
        <f t="shared" si="86"/>
        <v>InitTypeState2('IF26',0,0,0,0,0,0,0,0,0,50)</v>
      </c>
      <c r="CE238" t="str">
        <f t="shared" si="87"/>
        <v/>
      </c>
      <c r="CF238" t="str">
        <f t="shared" si="88"/>
        <v/>
      </c>
      <c r="CG238" t="str">
        <f t="shared" si="89"/>
        <v/>
      </c>
      <c r="CH238" t="str">
        <f t="shared" si="90"/>
        <v/>
      </c>
      <c r="CI238" t="str">
        <f t="shared" si="91"/>
        <v/>
      </c>
    </row>
    <row r="239" ht="15.95" customHeight="1" spans="1:87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8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79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0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1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2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3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4"/>
        <v>InitTypeState7('IF27',0,0,0,0,0,0,0,0,0,0)</v>
      </c>
      <c r="CC239" t="str">
        <f t="shared" si="85"/>
        <v/>
      </c>
      <c r="CD239" t="str">
        <f t="shared" si="86"/>
        <v/>
      </c>
      <c r="CE239" t="str">
        <f t="shared" si="87"/>
        <v>InitTypeState3('IF27',0,7,0,0,0,0,0,0,0,0)</v>
      </c>
      <c r="CF239" t="str">
        <f t="shared" si="88"/>
        <v/>
      </c>
      <c r="CG239" t="str">
        <f t="shared" si="89"/>
        <v/>
      </c>
      <c r="CH239" t="str">
        <f t="shared" si="90"/>
        <v/>
      </c>
      <c r="CI239" t="str">
        <f t="shared" si="91"/>
        <v/>
      </c>
    </row>
    <row r="240" ht="15.95" customHeight="1" spans="1:87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8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79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0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1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2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3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4"/>
        <v>InitTypeState7('IF28',0,0,0,0,0,0,0,0,0,0)</v>
      </c>
      <c r="CC240" t="str">
        <f t="shared" si="85"/>
        <v/>
      </c>
      <c r="CD240" t="str">
        <f t="shared" si="86"/>
        <v/>
      </c>
      <c r="CE240" t="str">
        <f t="shared" si="87"/>
        <v>InitTypeState3('IF28',0,8,0,0,0,0,0,0,0,0)</v>
      </c>
      <c r="CF240" t="str">
        <f t="shared" si="88"/>
        <v/>
      </c>
      <c r="CG240" t="str">
        <f t="shared" si="89"/>
        <v/>
      </c>
      <c r="CH240" t="str">
        <f t="shared" si="90"/>
        <v/>
      </c>
      <c r="CI240" t="str">
        <f t="shared" si="91"/>
        <v/>
      </c>
    </row>
    <row r="241" ht="15.95" customHeight="1" spans="1:87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8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79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0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1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2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3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4"/>
        <v>InitTypeState7('IF29',0,0,0,0,0,0,0,0,0,0)</v>
      </c>
      <c r="CC241" t="str">
        <f t="shared" si="85"/>
        <v/>
      </c>
      <c r="CD241" t="str">
        <f t="shared" si="86"/>
        <v/>
      </c>
      <c r="CE241" t="str">
        <f t="shared" si="87"/>
        <v/>
      </c>
      <c r="CF241" t="str">
        <f t="shared" si="88"/>
        <v/>
      </c>
      <c r="CG241" t="str">
        <f t="shared" si="89"/>
        <v>InitTypeState5('IF29',0,0,0,0,0,25,0,0,0,0)</v>
      </c>
      <c r="CH241" t="str">
        <f t="shared" si="90"/>
        <v/>
      </c>
      <c r="CI241" t="str">
        <f t="shared" si="91"/>
        <v/>
      </c>
    </row>
    <row r="242" ht="15.95" customHeight="1" spans="1:87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8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79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0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1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2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3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4"/>
        <v>InitTypeState7('IF30',0,0,0,0,0,0,0,0,0,0)</v>
      </c>
      <c r="CC242" t="str">
        <f t="shared" si="85"/>
        <v/>
      </c>
      <c r="CD242" t="str">
        <f t="shared" si="86"/>
        <v/>
      </c>
      <c r="CE242" t="str">
        <f t="shared" si="87"/>
        <v/>
      </c>
      <c r="CF242" t="str">
        <f t="shared" si="88"/>
        <v/>
      </c>
      <c r="CG242" t="str">
        <f t="shared" si="89"/>
        <v>InitTypeState5('IF30',0,0,0,0,0,30,0,0,0,0)</v>
      </c>
      <c r="CH242" t="str">
        <f t="shared" si="90"/>
        <v/>
      </c>
      <c r="CI242" t="str">
        <f t="shared" si="91"/>
        <v/>
      </c>
    </row>
    <row r="243" ht="15.95" customHeight="1" spans="1:87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8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79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0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1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2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3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4"/>
        <v>InitTypeState7('IF31',0,0,0,0,0,0,0,0,0,0)</v>
      </c>
      <c r="CC243" t="str">
        <f t="shared" si="85"/>
        <v/>
      </c>
      <c r="CD243" t="str">
        <f t="shared" si="86"/>
        <v/>
      </c>
      <c r="CE243" t="str">
        <f t="shared" si="87"/>
        <v/>
      </c>
      <c r="CF243" t="str">
        <f t="shared" si="88"/>
        <v/>
      </c>
      <c r="CG243" t="str">
        <f t="shared" si="89"/>
        <v/>
      </c>
      <c r="CH243" t="str">
        <f t="shared" si="90"/>
        <v>InitTypeState6('IF31',50,0,0,0,0,0,0,0,0,0)</v>
      </c>
      <c r="CI243" t="str">
        <f t="shared" si="91"/>
        <v/>
      </c>
    </row>
    <row r="244" ht="15.95" customHeight="1" spans="1:87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8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79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0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1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2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3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4"/>
        <v>InitTypeState7('IF32',0,0,0,0,0,0,0,0,0,0)</v>
      </c>
      <c r="CC244" t="str">
        <f t="shared" si="85"/>
        <v/>
      </c>
      <c r="CD244" t="str">
        <f t="shared" si="86"/>
        <v/>
      </c>
      <c r="CE244" t="str">
        <f t="shared" si="87"/>
        <v/>
      </c>
      <c r="CF244" t="str">
        <f t="shared" si="88"/>
        <v/>
      </c>
      <c r="CG244" t="str">
        <f t="shared" si="89"/>
        <v/>
      </c>
      <c r="CH244" t="str">
        <f t="shared" si="90"/>
        <v>InitTypeState6('IF32',60,0,0,0,0,0,0,0,0,0)</v>
      </c>
      <c r="CI244" t="str">
        <f t="shared" si="91"/>
        <v/>
      </c>
    </row>
    <row r="245" ht="15.95" customHeight="1" spans="1:87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ref="N245:N308" si="93">"InitTypeState1("&amp;$B245&amp;","&amp;D245&amp;","&amp;E245&amp;","&amp;F245&amp;","&amp;G245&amp;","&amp;H245&amp;","&amp;I245&amp;","&amp;J245&amp;","&amp;K245&amp;","&amp;L245&amp;","&amp;M245&amp;")"</f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ref="Y245:Y308" si="94">"InitTypeState2("&amp;$B245&amp;","&amp;O245&amp;","&amp;P245&amp;","&amp;Q245&amp;","&amp;R245&amp;","&amp;S245&amp;","&amp;T245&amp;","&amp;U245&amp;","&amp;V245&amp;","&amp;W245&amp;","&amp;X245&amp;")"</f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ref="AJ245:AJ308" si="95">"InitTypeState3("&amp;$B245&amp;","&amp;Z245&amp;","&amp;AA245&amp;","&amp;AB245&amp;","&amp;AC245&amp;","&amp;AD245&amp;","&amp;AE245&amp;","&amp;AF245&amp;","&amp;AG245&amp;","&amp;AH245&amp;","&amp;AI245&amp;")"</f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ref="AU245:AU308" si="96">"InitTypeState4("&amp;$B245&amp;","&amp;AK245&amp;","&amp;AL245&amp;","&amp;AM245&amp;","&amp;AN245&amp;","&amp;AO245&amp;","&amp;AP245&amp;","&amp;AQ245&amp;","&amp;AR245&amp;","&amp;AS245&amp;","&amp;AT245&amp;")"</f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ref="BF245:BF308" si="97">"InitTypeState5("&amp;$B245&amp;","&amp;AV245&amp;","&amp;AW245&amp;","&amp;AX245&amp;","&amp;AY245&amp;","&amp;AZ245&amp;","&amp;BA245&amp;","&amp;BB245&amp;","&amp;BC245&amp;","&amp;BD245&amp;","&amp;BE245&amp;")"</f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ref="BQ245:BQ308" si="98">"InitTypeState6("&amp;$B245&amp;","&amp;BG245&amp;","&amp;BH245&amp;","&amp;BI245&amp;","&amp;BJ245&amp;","&amp;BK245&amp;","&amp;BL245&amp;","&amp;BM245&amp;","&amp;BN245&amp;","&amp;BO245&amp;","&amp;BP245&amp;")"</f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ref="CB245:CB308" si="99">"InitTypeState7("&amp;$B245&amp;","&amp;BR245&amp;","&amp;BS245&amp;","&amp;BT245&amp;","&amp;BU245&amp;","&amp;BV245&amp;","&amp;BW245&amp;","&amp;BX245&amp;","&amp;BY245&amp;","&amp;BZ245&amp;","&amp;CA245&amp;")"</f>
        <v>InitTypeState7('IH01',0,0,0,0,0,0,0,0,0,0)</v>
      </c>
      <c r="CC245" t="str">
        <f t="shared" ref="CC245:CC308" si="100">IF(ISERROR(FIND(",0,0,0,0,0,0,0,0,0,0)",N245)),N245,"")</f>
        <v/>
      </c>
      <c r="CD245" t="str">
        <f t="shared" ref="CD245:CD308" si="101">IF(ISERROR(FIND(",0,0,0,0,0,0,0,0,0,0)",Y245)),Y245,"")</f>
        <v/>
      </c>
      <c r="CE245" t="str">
        <f t="shared" ref="CE245:CE308" si="102">IF(ISERROR(FIND(",0,0,0,0,0,0,0,0,0,0)",AJ245)),AJ245,"")</f>
        <v/>
      </c>
      <c r="CF245" t="str">
        <f t="shared" ref="CF245:CF308" si="103">IF(ISERROR(FIND(",0,0,0,0,0,0,0,0,0,0)",AU245)),AU245,"")</f>
        <v/>
      </c>
      <c r="CG245" t="str">
        <f t="shared" ref="CG245:CG308" si="104">IF(ISERROR(FIND(",0,0,0,0,0,0,0,0,0,0)",BF245)),BF245,"")</f>
        <v/>
      </c>
      <c r="CH245" t="str">
        <f t="shared" ref="CH245:CH308" si="105">IF(ISERROR(FIND(",0,0,0,0,0,0,0,0,0,0)",BQ245)),BQ245,"")</f>
        <v/>
      </c>
      <c r="CI245" t="str">
        <f t="shared" ref="CI245:CI308" si="106">IF(ISERROR(FIND(",0,0,0,0,0,0,0,0,0,0)",CB245)),CB245,"")</f>
        <v/>
      </c>
    </row>
    <row r="246" ht="15.95" customHeight="1" spans="1:87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ht="15.95" customHeight="1" spans="1:87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ht="15.95" customHeight="1" spans="1:87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ht="15.95" customHeight="1" spans="1:87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ht="15.95" customHeight="1" spans="1:87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ht="15.95" customHeight="1" spans="1:87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ht="15.95" customHeight="1" spans="1:87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ht="15.95" customHeight="1" spans="1:87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ht="15.95" customHeight="1" spans="1:87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ht="15.95" customHeight="1" spans="1:87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879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10562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InitTypeState1('m002',879,0,40,0,10562,0,0,0,0,0)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InitTypeState1('m002',879,0,40,0,10562,0,0,0,0,0)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ht="15.95" customHeight="1" spans="1:87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1992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23296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InitTypeState1('m003',1992,0,60,0,23296,0,0,0,0,0)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InitTypeState1('m003',1992,0,60,0,23296,0,0,0,0,0)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ht="15.95" customHeight="1" spans="1:87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3049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32362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InitTypeState1('m004',3049,0,80,0,32362,0,0,0,0,0)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InitTypeState1('m004',3049,0,80,0,32362,0,0,0,0,0)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ht="15.95" customHeight="1" spans="1:87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6078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46692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InitTypeState1('m005',6078,0,100,0,46692,0,0,0,0,0)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InitTypeState1('m005',6078,0,100,0,46692,0,0,0,0,0)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ht="15.95" customHeight="1" spans="1:87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ht="15.95" customHeight="1" spans="1:87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14929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80156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InitTypeState1('m007',14929,0,140,0,80156,0,0,0,0,0)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InitTypeState1('m007',14929,0,140,0,80156,0,0,0,0,0)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ht="15.95" customHeight="1" spans="1:87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22308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93065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InitTypeState1('m008',22308,0,160,0,93065,0,0,0,0,0)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InitTypeState1('m008',22308,0,160,0,93065,0,0,0,0,0)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ht="15.95" customHeight="1" spans="1:87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33230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110320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InitTypeState1('m009',33230,0,180,0,110320,0,0,0,0,0)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InitTypeState1('m009',33230,0,180,0,110320,0,0,0,0,0)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ht="15.95" customHeight="1" spans="1:87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51089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137853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InitTypeState1('m010',51089,0,200,0,137853,0,0,0,0,0)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InitTypeState1('m010',51089,0,200,0,137853,0,0,0,0,0)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ht="15.95" customHeight="1" spans="1:87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91969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175847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InitTypeState1('m011',91969,0,220,0,175847,0,0,0,0,0)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InitTypeState1('m011',91969,0,220,0,175847,0,0,0,0,0)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ht="15.95" customHeight="1" spans="1:87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ht="15.95" customHeight="1" spans="1:87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151901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254326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InitTypeState1('m013',151901,0,260,0,254326,0,0,0,0,0)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InitTypeState1('m013',151901,0,260,0,254326,0,0,0,0,0)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ht="15.95" customHeight="1" spans="1:87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174992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284408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InitTypeState1('m014',174992,0,280,0,284408,0,0,0,0,0)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InitTypeState1('m014',174992,0,280,0,284408,0,0,0,0,0)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ht="15.95" customHeight="1" spans="1:87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206405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322262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InitTypeState1('m015',206405,0,300,0,322262,0,0,0,0,0)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InitTypeState1('m015',206405,0,300,0,322262,0,0,0,0,0)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ht="15.95" customHeight="1" spans="1:87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256975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393854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InitTypeState1('m016',256975,0,320,0,393854,0,0,0,0,0)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InitTypeState1('m016',256975,0,320,0,393854,0,0,0,0,0)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ht="15.95" customHeight="1" spans="1:87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365298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489174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InitTypeState1('m017',365298,0,340,0,489174,0,0,0,0,0)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InitTypeState1('m017',365298,0,340,0,489174,0,0,0,0,0)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ht="15.95" customHeight="1" spans="1:87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ht="15.95" customHeight="1" spans="1:87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540954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695377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InitTypeState1('m019',540954,0,380,0,695377,0,0,0,0,0)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InitTypeState1('m019',540954,0,380,0,695377,0,0,0,0,0)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ht="15.95" customHeight="1" spans="1:87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630575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787970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InitTypeState1('m020',630575,0,400,0,787970,0,0,0,0,0)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4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InitTypeState7('m020',0,0,0,0,0,0,0,0,0,0)</v>
      </c>
      <c r="CC273" t="str">
        <f t="shared" si="100"/>
        <v>InitTypeState1('m020',630575,0,400,0,787970,0,0,0,0,0)</v>
      </c>
      <c r="CD273" t="str">
        <f t="shared" si="101"/>
        <v/>
      </c>
      <c r="CE273" t="str">
        <f t="shared" si="102"/>
        <v/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ht="15.95" customHeight="1" spans="1:87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752467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903936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InitTypeState1('m021',752467,0,420,0,903936,0,0,0,0,0)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InitTypeState7('m021',0,0,0,0,0,0,0,0,0,0)</v>
      </c>
      <c r="CC274" t="str">
        <f t="shared" si="100"/>
        <v>InitTypeState1('m021',752467,0,420,0,903936,0,0,0,0,0)</v>
      </c>
      <c r="CD274" t="str">
        <f t="shared" si="101"/>
        <v/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ht="15.95" customHeight="1" spans="1:87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768439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940072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InitTypeState1('m022',768439,0,440,0,940072,0,0,0,0,0)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InitTypeState7('m022',0,0,0,0,0,0,0,0,0,0)</v>
      </c>
      <c r="CC275" t="str">
        <f t="shared" si="100"/>
        <v>InitTypeState1('m022',768439,0,440,0,940072,0,0,0,0,0)</v>
      </c>
      <c r="CD275" t="str">
        <f t="shared" si="101"/>
        <v/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ht="15.95" customHeight="1" spans="1:87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787207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982247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InitTypeState1('m023',787207,0,460,0,982247,0,0,0,0,0)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InitTypeState7('m023',0,0,0,0,0,0,0,0,0,0)</v>
      </c>
      <c r="CC276" t="str">
        <f t="shared" si="100"/>
        <v>InitTypeState1('m023',787207,0,460,0,982247,0,0,0,0,0)</v>
      </c>
      <c r="CD276" t="str">
        <f t="shared" si="101"/>
        <v/>
      </c>
      <c r="CE276" t="str">
        <f t="shared" si="102"/>
        <v/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ht="15.95" customHeight="1" spans="1:87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806670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1032110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InitTypeState1('m024',806670,0,480,0,1032110,0,0,0,0,0)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InitTypeState7('m024',0,0,0,0,0,0,0,0,0,0)</v>
      </c>
      <c r="CC277" t="str">
        <f t="shared" si="100"/>
        <v>InitTypeState1('m024',806670,0,480,0,1032110,0,0,0,0,0)</v>
      </c>
      <c r="CD277" t="str">
        <f t="shared" si="101"/>
        <v/>
      </c>
      <c r="CE277" t="str">
        <f t="shared" si="102"/>
        <v/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ht="15.95" customHeight="1" spans="1:87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859203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1126213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InitTypeState1('m025',859203,0,500,0,1126213,0,0,0,0,0)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4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InitTypeState7('m025',0,0,0,0,0,0,0,0,0,0)</v>
      </c>
      <c r="CC278" t="str">
        <f t="shared" si="100"/>
        <v>InitTypeState1('m025',859203,0,500,0,1126213,0,0,0,0,0)</v>
      </c>
      <c r="CD278" t="str">
        <f t="shared" si="101"/>
        <v/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ht="15.95" customHeight="1" spans="1:87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902878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1237883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3"/>
        <v>InitTypeState1('m026',902878,0,520,0,1237883,0,0,0,0,0)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InitTypeState7('m026',0,0,0,0,0,0,0,0,0,0)</v>
      </c>
      <c r="CC279" t="str">
        <f t="shared" si="100"/>
        <v>InitTypeState1('m026',902878,0,520,0,1237883,0,0,0,0,0)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ht="15.95" customHeight="1" spans="1:87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968272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1372998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InitTypeState1('m027',968272,0,540,0,1372998,0,0,0,0,0)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4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InitTypeState7('m027',0,0,0,0,0,0,0,0,0,0)</v>
      </c>
      <c r="CC280" t="str">
        <f t="shared" si="100"/>
        <v>InitTypeState1('m027',968272,0,540,0,1372998,0,0,0,0,0)</v>
      </c>
      <c r="CD280" t="str">
        <f t="shared" si="101"/>
        <v/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ht="15.95" customHeight="1" spans="1:87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1003564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1480289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InitTypeState1('m028',1003564,0,560,0,1480289,0,0,0,0,0)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InitTypeState7('m028',0,0,0,0,0,0,0,0,0,0)</v>
      </c>
      <c r="CC281" t="str">
        <f t="shared" si="100"/>
        <v>InitTypeState1('m028',1003564,0,560,0,1480289,0,0,0,0,0)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ht="15.95" customHeight="1" spans="1:87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1167845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1605942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InitTypeState1('m029',1167845,0,580,0,1605942,0,0,0,0,0)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4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InitTypeState7('m029',0,0,0,0,0,0,0,0,0,0)</v>
      </c>
      <c r="CC282" t="str">
        <f t="shared" si="100"/>
        <v>InitTypeState1('m029',1167845,0,580,0,1605942,0,0,0,0,0)</v>
      </c>
      <c r="CD282" t="str">
        <f t="shared" si="101"/>
        <v/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ht="15.95" customHeight="1" spans="1:87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1366710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1755830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3"/>
        <v>InitTypeState1('m030',1366710,0,600,0,1755830,0,0,0,0,0)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InitTypeState7('m030',0,0,0,0,0,0,0,0,0,0)</v>
      </c>
      <c r="CC283" t="str">
        <f t="shared" si="100"/>
        <v>InitTypeState1('m030',1366710,0,600,0,1755830,0,0,0,0,0)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ht="15.95" customHeight="1" spans="1:87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8478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99843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3"/>
        <v>InitTypeState1('ma11',8478,0,60,0,99843,0,0,0,0,0)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InitTypeState7('ma11',0,0,0,0,0,0,0,0,0,0)</v>
      </c>
      <c r="CC284" t="str">
        <f t="shared" si="100"/>
        <v>InitTypeState1('ma11',8478,0,60,0,99843,0,0,0,0,0)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ht="15.95" customHeight="1" spans="1:87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3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4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5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6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7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8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99"/>
        <v>InitTypeState7('ma12',0,0,0,0,0,0,0,0,0,0)</v>
      </c>
      <c r="CC285" t="str">
        <f t="shared" si="100"/>
        <v>InitTypeState1('ma12',52762,0,120,0,301350,0,0,0,0,0)</v>
      </c>
      <c r="CD285" t="str">
        <f t="shared" si="101"/>
        <v/>
      </c>
      <c r="CE285" t="str">
        <f t="shared" si="102"/>
        <v/>
      </c>
      <c r="CF285" t="str">
        <f t="shared" si="103"/>
        <v/>
      </c>
      <c r="CG285" t="str">
        <f t="shared" si="104"/>
        <v/>
      </c>
      <c r="CH285" t="str">
        <f t="shared" si="105"/>
        <v/>
      </c>
      <c r="CI285" t="str">
        <f t="shared" si="106"/>
        <v/>
      </c>
    </row>
    <row r="286" ht="15.95" customHeight="1" spans="1:87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157408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472797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3"/>
        <v>InitTypeState1('ma13',157408,0,180,0,472797,0,0,0,0,0)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4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5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6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7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8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99"/>
        <v>InitTypeState7('ma13',0,0,0,0,0,0,0,0,0,0)</v>
      </c>
      <c r="CC286" t="str">
        <f t="shared" si="100"/>
        <v>InitTypeState1('ma13',157408,0,180,0,472797,0,0,0,0,0)</v>
      </c>
      <c r="CD286" t="str">
        <f t="shared" si="101"/>
        <v/>
      </c>
      <c r="CE286" t="str">
        <f t="shared" si="102"/>
        <v/>
      </c>
      <c r="CF286" t="str">
        <f t="shared" si="103"/>
        <v/>
      </c>
      <c r="CG286" t="str">
        <f t="shared" si="104"/>
        <v/>
      </c>
      <c r="CH286" t="str">
        <f t="shared" si="105"/>
        <v/>
      </c>
      <c r="CI286" t="str">
        <f t="shared" si="106"/>
        <v/>
      </c>
    </row>
    <row r="287" ht="15.95" customHeight="1" spans="1:87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3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4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5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6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7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8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99"/>
        <v>InitTypeState7('ma14',0,0,0,0,0,0,0,0,0,0)</v>
      </c>
      <c r="CC287" t="str">
        <f t="shared" si="100"/>
        <v>InitTypeState1('ma14',543187,0,240,0,985561,0,0,0,0,0)</v>
      </c>
      <c r="CD287" t="str">
        <f t="shared" si="101"/>
        <v/>
      </c>
      <c r="CE287" t="str">
        <f t="shared" si="102"/>
        <v/>
      </c>
      <c r="CF287" t="str">
        <f t="shared" si="103"/>
        <v/>
      </c>
      <c r="CG287" t="str">
        <f t="shared" si="104"/>
        <v/>
      </c>
      <c r="CH287" t="str">
        <f t="shared" si="105"/>
        <v/>
      </c>
      <c r="CI287" t="str">
        <f t="shared" si="106"/>
        <v/>
      </c>
    </row>
    <row r="288" ht="15.95" customHeight="1" spans="1:87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854091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1381132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3"/>
        <v>InitTypeState1('ma15',854091,0,300,0,1381132,0,0,0,0,0)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4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5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6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7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8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99"/>
        <v>InitTypeState7('ma15',0,0,0,0,0,0,0,0,0,0)</v>
      </c>
      <c r="CC288" t="str">
        <f t="shared" si="100"/>
        <v>InitTypeState1('ma15',854091,0,300,0,1381132,0,0,0,0,0)</v>
      </c>
      <c r="CD288" t="str">
        <f t="shared" si="101"/>
        <v/>
      </c>
      <c r="CE288" t="str">
        <f t="shared" si="102"/>
        <v/>
      </c>
      <c r="CF288" t="str">
        <f t="shared" si="103"/>
        <v/>
      </c>
      <c r="CG288" t="str">
        <f t="shared" si="104"/>
        <v/>
      </c>
      <c r="CH288" t="str">
        <f t="shared" si="105"/>
        <v/>
      </c>
      <c r="CI288" t="str">
        <f t="shared" si="106"/>
        <v/>
      </c>
    </row>
    <row r="289" ht="15.95" customHeight="1" spans="1:87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3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4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5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6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7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8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99"/>
        <v>InitTypeState7('ma16',0,0,0,0,0,0,0,0,0,0)</v>
      </c>
      <c r="CC289" t="str">
        <f t="shared" si="100"/>
        <v>InitTypeState1('ma16',1904502,0,360,0,2656376,0,0,0,0,0)</v>
      </c>
      <c r="CD289" t="str">
        <f t="shared" si="101"/>
        <v/>
      </c>
      <c r="CE289" t="str">
        <f t="shared" si="102"/>
        <v/>
      </c>
      <c r="CF289" t="str">
        <f t="shared" si="103"/>
        <v/>
      </c>
      <c r="CG289" t="str">
        <f t="shared" si="104"/>
        <v/>
      </c>
      <c r="CH289" t="str">
        <f t="shared" si="105"/>
        <v/>
      </c>
      <c r="CI289" t="str">
        <f t="shared" si="106"/>
        <v/>
      </c>
    </row>
    <row r="290" ht="15.95" customHeight="1" spans="1:87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3009868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3874020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3"/>
        <v>InitTypeState1('ma17',3009868,0,420,0,3874020,0,0,0,0,0)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4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5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6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7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8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99"/>
        <v>InitTypeState7('ma17',0,0,0,0,0,0,0,0,0,0)</v>
      </c>
      <c r="CC290" t="str">
        <f t="shared" si="100"/>
        <v>InitTypeState1('ma17',3009868,0,420,0,3874020,0,0,0,0,0)</v>
      </c>
      <c r="CD290" t="str">
        <f t="shared" si="101"/>
        <v/>
      </c>
      <c r="CE290" t="str">
        <f t="shared" si="102"/>
        <v/>
      </c>
      <c r="CF290" t="str">
        <f t="shared" si="103"/>
        <v/>
      </c>
      <c r="CG290" t="str">
        <f t="shared" si="104"/>
        <v/>
      </c>
      <c r="CH290" t="str">
        <f t="shared" si="105"/>
        <v/>
      </c>
      <c r="CI290" t="str">
        <f t="shared" si="106"/>
        <v/>
      </c>
    </row>
    <row r="291" ht="15.95" customHeight="1" spans="1:87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3122595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4423321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3"/>
        <v>InitTypeState1('ma18',3122595,0,480,0,4423321,0,0,0,0,0)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4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5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6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7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8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99"/>
        <v>InitTypeState7('ma18',0,0,0,0,0,0,0,0,0,0)</v>
      </c>
      <c r="CC291" t="str">
        <f t="shared" si="100"/>
        <v>InitTypeState1('ma18',3122595,0,480,0,4423321,0,0,0,0,0)</v>
      </c>
      <c r="CD291" t="str">
        <f t="shared" si="101"/>
        <v/>
      </c>
      <c r="CE291" t="str">
        <f t="shared" si="102"/>
        <v/>
      </c>
      <c r="CF291" t="str">
        <f t="shared" si="103"/>
        <v/>
      </c>
      <c r="CG291" t="str">
        <f t="shared" si="104"/>
        <v/>
      </c>
      <c r="CH291" t="str">
        <f t="shared" si="105"/>
        <v/>
      </c>
      <c r="CI291" t="str">
        <f t="shared" si="106"/>
        <v/>
      </c>
    </row>
    <row r="292" ht="15.95" customHeight="1" spans="1:87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3520990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5884288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3"/>
        <v>InitTypeState1('ma19',3520990,0,540,0,5884288,0,0,0,0,0)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4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5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6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7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8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99"/>
        <v>InitTypeState7('ma19',0,0,0,0,0,0,0,0,0,0)</v>
      </c>
      <c r="CC292" t="str">
        <f t="shared" si="100"/>
        <v>InitTypeState1('ma19',3520990,0,540,0,5884288,0,0,0,0,0)</v>
      </c>
      <c r="CD292" t="str">
        <f t="shared" si="101"/>
        <v/>
      </c>
      <c r="CE292" t="str">
        <f t="shared" si="102"/>
        <v/>
      </c>
      <c r="CF292" t="str">
        <f t="shared" si="103"/>
        <v/>
      </c>
      <c r="CG292" t="str">
        <f t="shared" si="104"/>
        <v/>
      </c>
      <c r="CH292" t="str">
        <f t="shared" si="105"/>
        <v/>
      </c>
      <c r="CI292" t="str">
        <f t="shared" si="106"/>
        <v/>
      </c>
    </row>
    <row r="293" ht="15.95" customHeight="1" spans="1:87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3416775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7524975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3"/>
        <v>InitTypeState1('ma20',3416775,0,600,0,7524975,0,0,0,0,0)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4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5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6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7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8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99"/>
        <v>InitTypeState7('ma20',0,0,0,0,0,0,0,0,0,0)</v>
      </c>
      <c r="CC293" t="str">
        <f t="shared" si="100"/>
        <v>InitTypeState1('ma20',3416775,0,600,0,7524975,0,0,0,0,0)</v>
      </c>
      <c r="CD293" t="str">
        <f t="shared" si="101"/>
        <v/>
      </c>
      <c r="CE293" t="str">
        <f t="shared" si="102"/>
        <v/>
      </c>
      <c r="CF293" t="str">
        <f t="shared" si="103"/>
        <v/>
      </c>
      <c r="CG293" t="str">
        <f t="shared" si="104"/>
        <v/>
      </c>
      <c r="CH293" t="str">
        <f t="shared" si="105"/>
        <v/>
      </c>
      <c r="CI293" t="str">
        <f t="shared" si="106"/>
        <v/>
      </c>
    </row>
    <row r="294" ht="15.95" customHeight="1" spans="1:87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9117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998438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3"/>
        <v>InitTypeState1('mb01',9117,0,60,0,998438,0,0,0,0,0)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4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5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6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7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8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99"/>
        <v>InitTypeState7('mb01',0,0,0,0,0,0,0,0,0,0)</v>
      </c>
      <c r="CC294" t="str">
        <f t="shared" si="100"/>
        <v>InitTypeState1('mb01',9117,0,60,0,998438,0,0,0,0,0)</v>
      </c>
      <c r="CD294" t="str">
        <f t="shared" si="101"/>
        <v/>
      </c>
      <c r="CE294" t="str">
        <f t="shared" si="102"/>
        <v/>
      </c>
      <c r="CF294" t="str">
        <f t="shared" si="103"/>
        <v/>
      </c>
      <c r="CG294" t="str">
        <f t="shared" si="104"/>
        <v/>
      </c>
      <c r="CH294" t="str">
        <f t="shared" si="105"/>
        <v/>
      </c>
      <c r="CI294" t="str">
        <f t="shared" si="106"/>
        <v/>
      </c>
    </row>
    <row r="295" ht="15.95" customHeight="1" spans="1:87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3"/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4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5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6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7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8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99"/>
        <v>InitTypeState7('mb02',0,0,0,0,0,0,0,0,0,0)</v>
      </c>
      <c r="CC295" t="str">
        <f t="shared" si="100"/>
        <v>InitTypeState1('mb02',105525,0,120,0,3013499,0,0,0,0,0)</v>
      </c>
      <c r="CD295" t="str">
        <f t="shared" si="101"/>
        <v/>
      </c>
      <c r="CE295" t="str">
        <f t="shared" si="102"/>
        <v/>
      </c>
      <c r="CF295" t="str">
        <f t="shared" si="103"/>
        <v/>
      </c>
      <c r="CG295" t="str">
        <f t="shared" si="104"/>
        <v/>
      </c>
      <c r="CH295" t="str">
        <f t="shared" si="105"/>
        <v/>
      </c>
      <c r="CI295" t="str">
        <f t="shared" si="106"/>
        <v/>
      </c>
    </row>
    <row r="296" ht="15.95" customHeight="1" spans="1:87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442455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4727978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3"/>
        <v>InitTypeState1('mb03',442455,0,180,0,4727978,0,0,0,0,0)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4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5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6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7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8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99"/>
        <v>InitTypeState7('mb03',0,0,0,0,0,0,0,0,0,0)</v>
      </c>
      <c r="CC296" t="str">
        <f t="shared" si="100"/>
        <v>InitTypeState1('mb03',442455,0,180,0,4727978,0,0,0,0,0)</v>
      </c>
      <c r="CD296" t="str">
        <f t="shared" si="101"/>
        <v/>
      </c>
      <c r="CE296" t="str">
        <f t="shared" si="102"/>
        <v/>
      </c>
      <c r="CF296" t="str">
        <f t="shared" si="103"/>
        <v/>
      </c>
      <c r="CG296" t="str">
        <f t="shared" si="104"/>
        <v/>
      </c>
      <c r="CH296" t="str">
        <f t="shared" si="105"/>
        <v/>
      </c>
      <c r="CI296" t="str">
        <f t="shared" si="106"/>
        <v/>
      </c>
    </row>
    <row r="297" ht="15.95" customHeight="1" spans="1:87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3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4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5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6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7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8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99"/>
        <v>InitTypeState7('mb04',0,0,0,0,0,0,0,0,0,0)</v>
      </c>
      <c r="CC297" t="str">
        <f t="shared" si="100"/>
        <v>InitTypeState1('mb04',1502554,0,240,0,9855603,0,0,0,0,0)</v>
      </c>
      <c r="CD297" t="str">
        <f t="shared" si="101"/>
        <v/>
      </c>
      <c r="CE297" t="str">
        <f t="shared" si="102"/>
        <v/>
      </c>
      <c r="CF297" t="str">
        <f t="shared" si="103"/>
        <v/>
      </c>
      <c r="CG297" t="str">
        <f t="shared" si="104"/>
        <v/>
      </c>
      <c r="CH297" t="str">
        <f t="shared" si="105"/>
        <v/>
      </c>
      <c r="CI297" t="str">
        <f t="shared" si="106"/>
        <v/>
      </c>
    </row>
    <row r="298" ht="15.95" customHeight="1" spans="1:87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2347827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13811339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3"/>
        <v>InitTypeState1('mb05',2347827,0,300,0,13811339,0,0,0,0,0)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4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5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6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7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8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99"/>
        <v>InitTypeState7('mb05',0,0,0,0,0,0,0,0,0,0)</v>
      </c>
      <c r="CC298" t="str">
        <f t="shared" si="100"/>
        <v>InitTypeState1('mb05',2347827,0,300,0,13811339,0,0,0,0,0)</v>
      </c>
      <c r="CD298" t="str">
        <f t="shared" si="101"/>
        <v/>
      </c>
      <c r="CE298" t="str">
        <f t="shared" si="102"/>
        <v/>
      </c>
      <c r="CF298" t="str">
        <f t="shared" si="103"/>
        <v/>
      </c>
      <c r="CG298" t="str">
        <f t="shared" si="104"/>
        <v/>
      </c>
      <c r="CH298" t="str">
        <f t="shared" si="105"/>
        <v/>
      </c>
      <c r="CI298" t="str">
        <f t="shared" si="106"/>
        <v/>
      </c>
    </row>
    <row r="299" ht="15.95" customHeight="1" spans="1:87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3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4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5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6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7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8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99"/>
        <v>InitTypeState7('mb06',0,0,0,0,0,0,0,0,0,0)</v>
      </c>
      <c r="CC299" t="str">
        <f t="shared" si="100"/>
        <v>InitTypeState1('mb06',5204917,0,360,0,26563755,0,0,0,0,0)</v>
      </c>
      <c r="CD299" t="str">
        <f t="shared" si="101"/>
        <v/>
      </c>
      <c r="CE299" t="str">
        <f t="shared" si="102"/>
        <v/>
      </c>
      <c r="CF299" t="str">
        <f t="shared" si="103"/>
        <v/>
      </c>
      <c r="CG299" t="str">
        <f t="shared" si="104"/>
        <v/>
      </c>
      <c r="CH299" t="str">
        <f t="shared" si="105"/>
        <v/>
      </c>
      <c r="CI299" t="str">
        <f t="shared" si="106"/>
        <v/>
      </c>
    </row>
    <row r="300" ht="15.95" customHeight="1" spans="1:87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8181356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38740193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3"/>
        <v>InitTypeState1('mb07',8181356,0,420,0,38740193,0,0,0,0,0)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94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5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6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7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8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99"/>
        <v>InitTypeState7('mb07',0,0,0,0,0,0,0,0,0,0)</v>
      </c>
      <c r="CC300" t="str">
        <f t="shared" si="100"/>
        <v>InitTypeState1('mb07',8181356,0,420,0,38740193,0,0,0,0,0)</v>
      </c>
      <c r="CD300" t="str">
        <f t="shared" si="101"/>
        <v/>
      </c>
      <c r="CE300" t="str">
        <f t="shared" si="102"/>
        <v/>
      </c>
      <c r="CF300" t="str">
        <f t="shared" si="103"/>
        <v/>
      </c>
      <c r="CG300" t="str">
        <f t="shared" si="104"/>
        <v/>
      </c>
      <c r="CH300" t="str">
        <f t="shared" si="105"/>
        <v/>
      </c>
      <c r="CI300" t="str">
        <f t="shared" si="106"/>
        <v/>
      </c>
    </row>
    <row r="301" ht="15.95" customHeight="1" spans="1:87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8465296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44233217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3"/>
        <v>InitTypeState1('mb08',8465296,0,480,0,44233217,0,0,0,0,0)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94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5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6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7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8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99"/>
        <v>InitTypeState7('mb08',0,0,0,0,0,0,0,0,0,0)</v>
      </c>
      <c r="CC301" t="str">
        <f t="shared" si="100"/>
        <v>InitTypeState1('mb08',8465296,0,480,0,44233217,0,0,0,0,0)</v>
      </c>
      <c r="CD301" t="str">
        <f t="shared" si="101"/>
        <v/>
      </c>
      <c r="CE301" t="str">
        <f t="shared" si="102"/>
        <v/>
      </c>
      <c r="CF301" t="str">
        <f t="shared" si="103"/>
        <v/>
      </c>
      <c r="CG301" t="str">
        <f t="shared" si="104"/>
        <v/>
      </c>
      <c r="CH301" t="str">
        <f t="shared" si="105"/>
        <v/>
      </c>
      <c r="CI301" t="str">
        <f t="shared" si="106"/>
        <v/>
      </c>
    </row>
    <row r="302" ht="15.95" customHeight="1" spans="1:87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8921924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58842882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3"/>
        <v>InitTypeState1('mb09',8921924,0,540,0,58842882,0,0,0,0,0)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4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5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6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7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8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99"/>
        <v>InitTypeState7('mb09',0,0,0,0,0,0,0,0,0,0)</v>
      </c>
      <c r="CC302" t="str">
        <f t="shared" si="100"/>
        <v>InitTypeState1('mb09',8921924,0,540,0,58842882,0,0,0,0,0)</v>
      </c>
      <c r="CD302" t="str">
        <f t="shared" si="101"/>
        <v/>
      </c>
      <c r="CE302" t="str">
        <f t="shared" si="102"/>
        <v/>
      </c>
      <c r="CF302" t="str">
        <f t="shared" si="103"/>
        <v/>
      </c>
      <c r="CG302" t="str">
        <f t="shared" si="104"/>
        <v/>
      </c>
      <c r="CH302" t="str">
        <f t="shared" si="105"/>
        <v/>
      </c>
      <c r="CI302" t="str">
        <f t="shared" si="106"/>
        <v/>
      </c>
    </row>
    <row r="303" ht="15.95" customHeight="1" spans="1:87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13824748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75249760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3"/>
        <v>InitTypeState1('mb10',13824748,0,600,0,75249760,0,0,0,0,0)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4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5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6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7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8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99"/>
        <v>InitTypeState7('mb10',0,0,0,0,0,0,0,0,0,0)</v>
      </c>
      <c r="CC303" t="str">
        <f t="shared" si="100"/>
        <v>InitTypeState1('mb10',13824748,0,600,0,75249760,0,0,0,0,0)</v>
      </c>
      <c r="CD303" t="str">
        <f t="shared" si="101"/>
        <v/>
      </c>
      <c r="CE303" t="str">
        <f t="shared" si="102"/>
        <v/>
      </c>
      <c r="CF303" t="str">
        <f t="shared" si="103"/>
        <v/>
      </c>
      <c r="CG303" t="str">
        <f t="shared" si="104"/>
        <v/>
      </c>
      <c r="CH303" t="str">
        <f t="shared" si="105"/>
        <v/>
      </c>
      <c r="CI303" t="str">
        <f t="shared" si="106"/>
        <v/>
      </c>
    </row>
    <row r="304" ht="15.95" customHeight="1" spans="1:87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122135</v>
      </c>
      <c r="E304">
        <f>ROUND(单位属性!E304,0)</f>
        <v>0</v>
      </c>
      <c r="F304">
        <f>ROUND(单位属性!F304,0)</f>
        <v>120</v>
      </c>
      <c r="G304">
        <f>ROUND(单位属性!G304,0)</f>
        <v>0</v>
      </c>
      <c r="H304">
        <f>ROUND(单位属性!H304,0)</f>
        <v>6026999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3"/>
        <v>InitTypeState1('mc01',122135,0,120,0,6026999,0,0,0,0,0)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4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5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6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7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8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99"/>
        <v>InitTypeState7('mc01',0,0,0,0,0,0,0,0,0,0)</v>
      </c>
      <c r="CC304" t="str">
        <f t="shared" si="100"/>
        <v>InitTypeState1('mc01',122135,0,120,0,6026999,0,0,0,0,0)</v>
      </c>
      <c r="CD304" t="str">
        <f t="shared" si="101"/>
        <v/>
      </c>
      <c r="CE304" t="str">
        <f t="shared" si="102"/>
        <v/>
      </c>
      <c r="CF304" t="str">
        <f t="shared" si="103"/>
        <v/>
      </c>
      <c r="CG304" t="str">
        <f t="shared" si="104"/>
        <v/>
      </c>
      <c r="CH304" t="str">
        <f t="shared" si="105"/>
        <v/>
      </c>
      <c r="CI304" t="str">
        <f t="shared" si="106"/>
        <v/>
      </c>
    </row>
    <row r="305" ht="15.95" customHeight="1" spans="1:87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969977</v>
      </c>
      <c r="E305">
        <f>ROUND(单位属性!E305,0)</f>
        <v>0</v>
      </c>
      <c r="F305">
        <f>ROUND(单位属性!F305,0)</f>
        <v>240</v>
      </c>
      <c r="G305">
        <f>ROUND(单位属性!G305,0)</f>
        <v>0</v>
      </c>
      <c r="H305">
        <f>ROUND(单位属性!H305,0)</f>
        <v>5650545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3"/>
        <v>InitTypeState1('mc02',969977,0,240,0,5650545,0,0,0,0,0)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4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5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6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7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8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99"/>
        <v>InitTypeState7('mc02',0,0,0,0,0,0,0,0,0,0)</v>
      </c>
      <c r="CC305" t="str">
        <f t="shared" si="100"/>
        <v>InitTypeState1('mc02',969977,0,240,0,5650545,0,0,0,0,0)</v>
      </c>
      <c r="CD305" t="str">
        <f t="shared" si="101"/>
        <v/>
      </c>
      <c r="CE305" t="str">
        <f t="shared" si="102"/>
        <v/>
      </c>
      <c r="CF305" t="str">
        <f t="shared" si="103"/>
        <v/>
      </c>
      <c r="CG305" t="str">
        <f t="shared" si="104"/>
        <v/>
      </c>
      <c r="CH305" t="str">
        <f t="shared" si="105"/>
        <v/>
      </c>
      <c r="CI305" t="str">
        <f t="shared" si="106"/>
        <v/>
      </c>
    </row>
    <row r="306" ht="15.95" customHeight="1" spans="1:87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969977</v>
      </c>
      <c r="E306">
        <f>ROUND(单位属性!E306,0)</f>
        <v>0</v>
      </c>
      <c r="F306">
        <f>ROUND(单位属性!F306,0)</f>
        <v>240</v>
      </c>
      <c r="G306">
        <f>ROUND(单位属性!G306,0)</f>
        <v>0</v>
      </c>
      <c r="H306">
        <f>ROUND(单位属性!H306,0)</f>
        <v>5650545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3"/>
        <v>InitTypeState1('mc03',969977,0,240,0,5650545,0,0,0,0,0)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4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5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6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7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8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99"/>
        <v>InitTypeState7('mc03',0,0,0,0,0,0,0,0,0,0)</v>
      </c>
      <c r="CC306" t="str">
        <f t="shared" si="100"/>
        <v>InitTypeState1('mc03',969977,0,240,0,5650545,0,0,0,0,0)</v>
      </c>
      <c r="CD306" t="str">
        <f t="shared" si="101"/>
        <v/>
      </c>
      <c r="CE306" t="str">
        <f t="shared" si="102"/>
        <v/>
      </c>
      <c r="CF306" t="str">
        <f t="shared" si="103"/>
        <v/>
      </c>
      <c r="CG306" t="str">
        <f t="shared" si="104"/>
        <v/>
      </c>
      <c r="CH306" t="str">
        <f t="shared" si="105"/>
        <v/>
      </c>
      <c r="CI306" t="str">
        <f t="shared" si="106"/>
        <v/>
      </c>
    </row>
    <row r="307" ht="15.95" customHeight="1" spans="1:87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969977</v>
      </c>
      <c r="E307">
        <f>ROUND(单位属性!E307,0)</f>
        <v>0</v>
      </c>
      <c r="F307">
        <f>ROUND(单位属性!F307,0)</f>
        <v>240</v>
      </c>
      <c r="G307">
        <f>ROUND(单位属性!G307,0)</f>
        <v>0</v>
      </c>
      <c r="H307">
        <f>ROUND(单位属性!H307,0)</f>
        <v>5650545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3"/>
        <v>InitTypeState1('mc04',969977,0,240,0,5650545,0,0,0,0,0)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4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5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6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7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8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99"/>
        <v>InitTypeState7('mc04',0,0,0,0,0,0,0,0,0,0)</v>
      </c>
      <c r="CC307" t="str">
        <f t="shared" si="100"/>
        <v>InitTypeState1('mc04',969977,0,240,0,5650545,0,0,0,0,0)</v>
      </c>
      <c r="CD307" t="str">
        <f t="shared" si="101"/>
        <v/>
      </c>
      <c r="CE307" t="str">
        <f t="shared" si="102"/>
        <v/>
      </c>
      <c r="CF307" t="str">
        <f t="shared" si="103"/>
        <v/>
      </c>
      <c r="CG307" t="str">
        <f t="shared" si="104"/>
        <v/>
      </c>
      <c r="CH307" t="str">
        <f t="shared" si="105"/>
        <v/>
      </c>
      <c r="CI307" t="str">
        <f t="shared" si="106"/>
        <v/>
      </c>
    </row>
    <row r="308" ht="15.95" customHeight="1" spans="1:87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969977</v>
      </c>
      <c r="E308">
        <f>ROUND(单位属性!E308,0)</f>
        <v>0</v>
      </c>
      <c r="F308">
        <f>ROUND(单位属性!F308,0)</f>
        <v>240</v>
      </c>
      <c r="G308">
        <f>ROUND(单位属性!G308,0)</f>
        <v>0</v>
      </c>
      <c r="H308">
        <f>ROUND(单位属性!H308,0)</f>
        <v>5650545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3"/>
        <v>InitTypeState1('mc05',969977,0,240,0,5650545,0,0,0,0,0)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4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5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6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7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8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99"/>
        <v>InitTypeState7('mc05',0,0,0,0,0,0,0,0,0,0)</v>
      </c>
      <c r="CC308" t="str">
        <f t="shared" si="100"/>
        <v>InitTypeState1('mc05',969977,0,240,0,5650545,0,0,0,0,0)</v>
      </c>
      <c r="CD308" t="str">
        <f t="shared" si="101"/>
        <v/>
      </c>
      <c r="CE308" t="str">
        <f t="shared" si="102"/>
        <v/>
      </c>
      <c r="CF308" t="str">
        <f t="shared" si="103"/>
        <v/>
      </c>
      <c r="CG308" t="str">
        <f t="shared" si="104"/>
        <v/>
      </c>
      <c r="CH308" t="str">
        <f t="shared" si="105"/>
        <v/>
      </c>
      <c r="CI308" t="str">
        <f t="shared" si="106"/>
        <v/>
      </c>
    </row>
    <row r="309" ht="15.95" customHeight="1" spans="1:87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581986</v>
      </c>
      <c r="E309">
        <f>ROUND(单位属性!E309,0)</f>
        <v>0</v>
      </c>
      <c r="F309">
        <f>ROUND(单位属性!F309,0)</f>
        <v>240</v>
      </c>
      <c r="G309">
        <f>ROUND(单位属性!G309,0)</f>
        <v>0</v>
      </c>
      <c r="H309">
        <f>ROUND(单位属性!H309,0)</f>
        <v>13140803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ref="N309:N372" si="108">"InitTypeState1("&amp;$B309&amp;","&amp;D309&amp;","&amp;E309&amp;","&amp;F309&amp;","&amp;G309&amp;","&amp;H309&amp;","&amp;I309&amp;","&amp;J309&amp;","&amp;K309&amp;","&amp;L309&amp;","&amp;M309&amp;")"</f>
        <v>InitTypeState1('mc06',581986,0,240,0,13140803,0,0,0,0,0)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ref="Y309:Y372" si="109">"InitTypeState2("&amp;$B309&amp;","&amp;O309&amp;","&amp;P309&amp;","&amp;Q309&amp;","&amp;R309&amp;","&amp;S309&amp;","&amp;T309&amp;","&amp;U309&amp;","&amp;V309&amp;","&amp;W309&amp;","&amp;X309&amp;")"</f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ref="AJ309:AJ372" si="110">"InitTypeState3("&amp;$B309&amp;","&amp;Z309&amp;","&amp;AA309&amp;","&amp;AB309&amp;","&amp;AC309&amp;","&amp;AD309&amp;","&amp;AE309&amp;","&amp;AF309&amp;","&amp;AG309&amp;","&amp;AH309&amp;","&amp;AI309&amp;")"</f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ref="AU309:AU372" si="111">"InitTypeState4("&amp;$B309&amp;","&amp;AK309&amp;","&amp;AL309&amp;","&amp;AM309&amp;","&amp;AN309&amp;","&amp;AO309&amp;","&amp;AP309&amp;","&amp;AQ309&amp;","&amp;AR309&amp;","&amp;AS309&amp;","&amp;AT309&amp;")"</f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ref="BF309:BF372" si="112">"InitTypeState5("&amp;$B309&amp;","&amp;AV309&amp;","&amp;AW309&amp;","&amp;AX309&amp;","&amp;AY309&amp;","&amp;AZ309&amp;","&amp;BA309&amp;","&amp;BB309&amp;","&amp;BC309&amp;","&amp;BD309&amp;","&amp;BE309&amp;")"</f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ref="BQ309:BQ372" si="113">"InitTypeState6("&amp;$B309&amp;","&amp;BG309&amp;","&amp;BH309&amp;","&amp;BI309&amp;","&amp;BJ309&amp;","&amp;BK309&amp;","&amp;BL309&amp;","&amp;BM309&amp;","&amp;BN309&amp;","&amp;BO309&amp;","&amp;BP309&amp;")"</f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ref="CB309:CB372" si="114">"InitTypeState7("&amp;$B309&amp;","&amp;BR309&amp;","&amp;BS309&amp;","&amp;BT309&amp;","&amp;BU309&amp;","&amp;BV309&amp;","&amp;BW309&amp;","&amp;BX309&amp;","&amp;BY309&amp;","&amp;BZ309&amp;","&amp;CA309&amp;")"</f>
        <v>InitTypeState7('mc06',0,0,0,0,0,0,0,0,0,0)</v>
      </c>
      <c r="CC309" t="str">
        <f t="shared" ref="CC309:CC372" si="115">IF(ISERROR(FIND(",0,0,0,0,0,0,0,0,0,0)",N309)),N309,"")</f>
        <v>InitTypeState1('mc06',581986,0,240,0,13140803,0,0,0,0,0)</v>
      </c>
      <c r="CD309" t="str">
        <f t="shared" ref="CD309:CD372" si="116">IF(ISERROR(FIND(",0,0,0,0,0,0,0,0,0,0)",Y309)),Y309,"")</f>
        <v/>
      </c>
      <c r="CE309" t="str">
        <f t="shared" ref="CE309:CE372" si="117">IF(ISERROR(FIND(",0,0,0,0,0,0,0,0,0,0)",AJ309)),AJ309,"")</f>
        <v/>
      </c>
      <c r="CF309" t="str">
        <f t="shared" ref="CF309:CF372" si="118">IF(ISERROR(FIND(",0,0,0,0,0,0,0,0,0,0)",AU309)),AU309,"")</f>
        <v/>
      </c>
      <c r="CG309" t="str">
        <f t="shared" ref="CG309:CG372" si="119">IF(ISERROR(FIND(",0,0,0,0,0,0,0,0,0,0)",BF309)),BF309,"")</f>
        <v/>
      </c>
      <c r="CH309" t="str">
        <f t="shared" ref="CH309:CH372" si="120">IF(ISERROR(FIND(",0,0,0,0,0,0,0,0,0,0)",BQ309)),BQ309,"")</f>
        <v/>
      </c>
      <c r="CI309" t="str">
        <f t="shared" ref="CI309:CI372" si="121">IF(ISERROR(FIND(",0,0,0,0,0,0,0,0,0,0)",CB309)),CB309,"")</f>
        <v/>
      </c>
    </row>
    <row r="310" ht="15.95" customHeight="1" spans="1:87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533807</v>
      </c>
      <c r="E310">
        <f>ROUND(单位属性!E310,0)</f>
        <v>0</v>
      </c>
      <c r="F310">
        <f>ROUND(单位属性!F310,0)</f>
        <v>300</v>
      </c>
      <c r="G310">
        <f>ROUND(单位属性!G310,0)</f>
        <v>0</v>
      </c>
      <c r="H310">
        <f>ROUND(单位属性!H310,0)</f>
        <v>18415119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InitTypeState1('mc07',533807,0,300,0,18415119,0,0,0,0,0)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InitTypeState1('mc07',533807,0,300,0,18415119,0,0,0,0,0)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ht="15.95" customHeight="1" spans="1:87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ht="15.95" customHeight="1" spans="1:87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688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4435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InitTypeState1('g00B',688,0,0,0,4435,0,0,0,0,0)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InitTypeState1('g00B',688,0,0,0,4435,0,0,0,0,0)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ht="15.95" customHeight="1" spans="1:87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2107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17476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InitTypeState1('g00C',2107,0,0,0,17476,0,0,0,0,0)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InitTypeState1('g00C',2107,0,0,0,17476,0,0,0,0,0)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ht="15.95" customHeight="1" spans="1:87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ht="15.95" customHeight="1" spans="1:87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4342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InitTypeState1('g00E',4342,0,0,0,72592,0,0,0,0,0)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InitTypeState1('g00E',4342,0,0,0,72592,0,0,0,0,0)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ht="15.95" customHeight="1" spans="1:87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8976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442206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InitTypeState1('uJ00',8976,0,32,0,442206,0,0,0,0,0)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InitTypeState1('uJ00',8976,0,32,0,442206,0,0,0,0,0)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ht="15.95" customHeight="1" spans="1:87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48256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1849317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InitTypeState1('uJ10',48256,0,80,0,1849317,0,0,0,0,0)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InitTypeState1('uJ10',48256,0,80,0,1849317,0,0,0,0,0)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ht="15.95" customHeight="1" spans="1:87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194201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4580325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InitTypeState1('uJ20',194201,0,140,0,4580325,0,0,0,0,0)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InitTypeState1('uJ20',194201,0,140,0,4580325,0,0,0,0,0)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ht="15.95" customHeight="1" spans="1:87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435465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7877218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InitTypeState1('uJ30',435465,0,200,0,7877218,0,0,0,0,0)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InitTypeState1('uJ30',435465,0,200,0,7877218,0,0,0,0,0)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ht="15.95" customHeight="1" spans="1:87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1139263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14533002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InitTypeState1('uJ40',1139263,0,260,0,14533002,0,0,0,0,0)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InitTypeState1('uJ40',1139263,0,260,0,14533002,0,0,0,0,0)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ht="15.95" customHeight="1" spans="1:87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1868913</v>
      </c>
      <c r="E321">
        <f>ROUND(单位属性!E321,0)</f>
        <v>0</v>
      </c>
      <c r="F321">
        <f>ROUND(单位属性!F321,0)</f>
        <v>320</v>
      </c>
      <c r="G321">
        <f>ROUND(单位属性!G321,0)</f>
        <v>0</v>
      </c>
      <c r="H321">
        <f>ROUND(单位属性!H321,0)</f>
        <v>22505947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InitTypeState1('uJ50',1868913,0,320,0,22505947,0,0,0,0,0)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InitTypeState1('uJ50',1868913,0,320,0,22505947,0,0,0,0,0)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ht="15.95" customHeight="1" spans="1:87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3763162</v>
      </c>
      <c r="E322">
        <f>ROUND(单位属性!E322,0)</f>
        <v>0</v>
      </c>
      <c r="F322">
        <f>ROUND(单位属性!F322,0)</f>
        <v>380</v>
      </c>
      <c r="G322">
        <f>ROUND(单位属性!G322,0)</f>
        <v>0</v>
      </c>
      <c r="H322">
        <f>ROUND(单位属性!H322,0)</f>
        <v>39735797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InitTypeState1('uJ60',3763162,0,380,0,39735797,0,0,0,0,0)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InitTypeState1('uJ60',3763162,0,380,0,39735797,0,0,0,0,0)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ht="15.95" customHeight="1" spans="1:87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4984470</v>
      </c>
      <c r="E323">
        <f>ROUND(单位属性!E323,0)</f>
        <v>0</v>
      </c>
      <c r="F323">
        <f>ROUND(单位属性!F323,0)</f>
        <v>440</v>
      </c>
      <c r="G323">
        <f>ROUND(单位属性!G323,0)</f>
        <v>0</v>
      </c>
      <c r="H323">
        <f>ROUND(单位属性!H323,0)</f>
        <v>53718470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InitTypeState1('uJ70',4984470,0,440,0,53718470,0,0,0,0,0)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InitTypeState1('uJ70',4984470,0,440,0,53718470,0,0,0,0,0)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ht="15.95" customHeight="1" spans="1:87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4909736</v>
      </c>
      <c r="E324">
        <f>ROUND(单位属性!E324,0)</f>
        <v>0</v>
      </c>
      <c r="F324">
        <f>ROUND(单位属性!F324,0)</f>
        <v>500</v>
      </c>
      <c r="G324">
        <f>ROUND(单位属性!G324,0)</f>
        <v>0</v>
      </c>
      <c r="H324">
        <f>ROUND(单位属性!H324,0)</f>
        <v>64355076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InitTypeState1('uJ80',4909736,0,500,0,64355076,0,0,0,0,0)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InitTypeState1('uJ80',4909736,0,500,0,64355076,0,0,0,0,0)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ht="15.95" customHeight="1" spans="1:87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7526730</v>
      </c>
      <c r="E325">
        <f>ROUND(单位属性!E325,0)</f>
        <v>0</v>
      </c>
      <c r="F325">
        <f>ROUND(单位属性!F325,0)</f>
        <v>560</v>
      </c>
      <c r="G325">
        <f>ROUND(单位属性!G325,0)</f>
        <v>0</v>
      </c>
      <c r="H325">
        <f>ROUND(单位属性!H325,0)</f>
        <v>84588118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InitTypeState1('uJ90',7526730,0,560,0,84588118,0,0,0,0,0)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InitTypeState1('uJ90',7526730,0,560,0,84588118,0,0,0,0,0)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ht="15.95" customHeight="1" spans="1:87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11085461</v>
      </c>
      <c r="E326">
        <f>ROUND(单位属性!E326,0)</f>
        <v>0</v>
      </c>
      <c r="F326">
        <f>ROUND(单位属性!F326,0)</f>
        <v>620</v>
      </c>
      <c r="G326">
        <f>ROUND(单位属性!G326,0)</f>
        <v>0</v>
      </c>
      <c r="H326">
        <f>ROUND(单位属性!H326,0)</f>
        <v>104196779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InitTypeState1('uJA0',11085461,0,620,0,104196779,0,0,0,0,0)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InitTypeState1('uJA0',11085461,0,620,0,104196779,0,0,0,0,0)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ht="15.95" customHeight="1" spans="1:87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13276390</v>
      </c>
      <c r="E327">
        <f>ROUND(单位属性!E327,0)</f>
        <v>0</v>
      </c>
      <c r="F327">
        <f>ROUND(单位属性!F327,0)</f>
        <v>680</v>
      </c>
      <c r="G327">
        <f>ROUND(单位属性!G327,0)</f>
        <v>0</v>
      </c>
      <c r="H327">
        <f>ROUND(单位属性!H327,0)</f>
        <v>113290730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InitTypeState1('uJB0',13276390,0,680,0,113290730,0,0,0,0,0)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InitTypeState1('uJB0',13276390,0,680,0,113290730,0,0,0,0,0)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ht="15.95" customHeight="1" spans="1:87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ht="15.95" customHeight="1" spans="1:87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ht="15.95" customHeight="1" spans="1:87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ht="15.95" customHeight="1" spans="1:87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135734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1076519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InitTypeState1('uE02',135734,0,96,0,1076519,0,0,0,0,0)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InitTypeState1('uE02',135734,0,96,0,1076519,0,0,0,0,0)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ht="15.95" customHeight="1" spans="1:87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2454270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4508029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InitTypeState1('uE03',2454270,0,224,0,4508029,0,0,0,0,0)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InitTypeState1('uE03',2454270,0,224,0,4508029,0,0,0,0,0)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ht="15.95" customHeight="1" spans="1:87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16539592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16724748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InitTypeState1('uE04',16539592,0,376,0,16724748,0,0,0,0,0)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InitTypeState1('uE04',16539592,0,376,0,16724748,0,0,0,0,0)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ht="15.95" customHeight="1" spans="1:87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ht="15.95" customHeight="1" spans="1:87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135734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1076519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InitTypeState1('uE22',135734,0,96,0,1076519,0,0,0,0,0)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InitTypeState1('uE22',135734,0,96,0,1076519,0,0,0,0,0)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ht="15.95" customHeight="1" spans="1:87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2454270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4508029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InitTypeState1('uE23',2454270,0,224,0,4508029,0,0,0,0,0)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InitTypeState1('uE23',2454270,0,224,0,4508029,0,0,0,0,0)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ht="15.95" customHeight="1" spans="1:87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16539592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16724748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InitTypeState1('uE24',16539592,0,376,0,16724748,0,0,0,0,0)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09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InitTypeState7('uE24',0,0,0,0,0,0,0,0,0,0)</v>
      </c>
      <c r="CC337" t="str">
        <f t="shared" si="115"/>
        <v>InitTypeState1('uE24',16539592,0,376,0,16724748,0,0,0,0,0)</v>
      </c>
      <c r="CD337" t="str">
        <f t="shared" si="116"/>
        <v/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ht="15.95" customHeight="1" spans="1:87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1801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InitTypeState1('uf10',1801,0,44,0,12355,0,0,0,0,0)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09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InitTypeState7('uf10',0,0,0,0,0,0,0,0,0,0)</v>
      </c>
      <c r="CC338" t="str">
        <f t="shared" si="115"/>
        <v>InitTypeState1('uf10',1801,0,44,0,12355,0,0,0,0,0)</v>
      </c>
      <c r="CD338" t="str">
        <f t="shared" si="116"/>
        <v/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ht="15.95" customHeight="1" spans="1:87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11256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303616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InitTypeState1('uf11',11256,0,44,0,303616,0,0,0,0,0)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09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InitTypeState7('uf11',0,0,0,0,0,0,0,0,0,0)</v>
      </c>
      <c r="CC339" t="str">
        <f t="shared" si="115"/>
        <v>InitTypeState1('uf11',11256,0,44,0,303616,0,0,0,0,0)</v>
      </c>
      <c r="CD339" t="str">
        <f t="shared" si="116"/>
        <v/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ht="15.95" customHeight="1" spans="1:87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11256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529563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InitTypeState1('uf12',11256,0,44,0,529563,0,0,0,0,0)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09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InitTypeState7('uf12',0,0,0,0,0,0,0,0,0,0)</v>
      </c>
      <c r="CC340" t="str">
        <f t="shared" si="115"/>
        <v>InitTypeState1('uf12',11256,0,44,0,529563,0,0,0,0,0)</v>
      </c>
      <c r="CD340" t="str">
        <f t="shared" si="116"/>
        <v/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ht="15.95" customHeight="1" spans="1:87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42646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703473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InitTypeState1('uf20',42646,0,72,0,703473,0,0,0,0,0)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09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InitTypeState7('uf20',0,0,0,0,0,0,0,0,0,0)</v>
      </c>
      <c r="CC341" t="str">
        <f t="shared" si="115"/>
        <v>InitTypeState1('uf20',42646,0,72,0,703473,0,0,0,0,0)</v>
      </c>
      <c r="CD341" t="str">
        <f t="shared" si="116"/>
        <v/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ht="15.95" customHeight="1" spans="1:87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42646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1226989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InitTypeState1('uf21',42646,0,72,0,1226989,0,0,0,0,0)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09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InitTypeState7('uf21',0,0,0,0,0,0,0,0,0,0)</v>
      </c>
      <c r="CC342" t="str">
        <f t="shared" si="115"/>
        <v>InitTypeState1('uf21',42646,0,72,0,1226989,0,0,0,0,0)</v>
      </c>
      <c r="CD342" t="str">
        <f t="shared" si="116"/>
        <v/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ht="15.95" customHeight="1" spans="1:87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111648</v>
      </c>
      <c r="E343">
        <f>ROUND(单位属性!E343,0)</f>
        <v>0</v>
      </c>
      <c r="F343">
        <f>ROUND(单位属性!F343,0)</f>
        <v>112</v>
      </c>
      <c r="G343">
        <f>ROUND(单位属性!G343,0)</f>
        <v>0</v>
      </c>
      <c r="H343">
        <f>ROUND(单位属性!H343,0)</f>
        <v>2516910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InitTypeState1('uf30',111648,0,112,0,2516910,0,0,0,0,0)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09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InitTypeState7('uf30',0,0,0,0,0,0,0,0,0,0)</v>
      </c>
      <c r="CC343" t="str">
        <f t="shared" si="115"/>
        <v>InitTypeState1('uf30',111648,0,112,0,2516910,0,0,0,0,0)</v>
      </c>
      <c r="CD343" t="str">
        <f t="shared" si="116"/>
        <v/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ht="15.95" customHeight="1" spans="1:87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289101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3014206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InitTypeState1('uf40',289101,0,176,0,3014206,0,0,0,0,0)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09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InitTypeState7('uf40',0,0,0,0,0,0,0,0,0,0)</v>
      </c>
      <c r="CC344" t="str">
        <f t="shared" si="115"/>
        <v>InitTypeState1('uf40',289101,0,176,0,3014206,0,0,0,0,0)</v>
      </c>
      <c r="CD344" t="str">
        <f t="shared" si="116"/>
        <v/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ht="15.95" customHeight="1" spans="1:87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289101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3014206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InitTypeState1('uf41',289101,0,176,0,3014206,0,0,0,0,0)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09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InitTypeState7('uf41',0,0,0,0,0,0,0,0,0,0)</v>
      </c>
      <c r="CC345" t="str">
        <f t="shared" si="115"/>
        <v>InitTypeState1('uf41',289101,0,176,0,3014206,0,0,0,0,0)</v>
      </c>
      <c r="CD345" t="str">
        <f t="shared" si="116"/>
        <v/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ht="15.95" customHeight="1" spans="1:87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90912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245033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InitTypeState1('uf51',90912,0,252,0,245033,0,0,0,0,0)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09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InitTypeState7('uf51',0,0,0,0,0,0,0,0,0,0)</v>
      </c>
      <c r="CC346" t="str">
        <f t="shared" si="115"/>
        <v>InitTypeState1('uf51',90912,0,252,0,245033,0,0,0,0,0)</v>
      </c>
      <c r="CD346" t="str">
        <f t="shared" si="116"/>
        <v/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ht="15.95" customHeight="1" spans="1:87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90912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245033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InitTypeState1('uf52',90912,0,252,0,245033,0,0,0,0,0)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09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InitTypeState7('uf52',0,0,0,0,0,0,0,0,0,0)</v>
      </c>
      <c r="CC347" t="str">
        <f t="shared" si="115"/>
        <v>InitTypeState1('uf52',90912,0,252,0,245033,0,0,0,0,0)</v>
      </c>
      <c r="CD347" t="str">
        <f t="shared" si="116"/>
        <v/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ht="15.95" customHeight="1" spans="1:87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90912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245033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InitTypeState1('uf53',90912,0,252,0,245033,0,0,0,0,0)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09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InitTypeState7('uf53',0,0,0,0,0,0,0,0,0,0)</v>
      </c>
      <c r="CC348" t="str">
        <f t="shared" si="115"/>
        <v>InitTypeState1('uf53',90912,0,252,0,245033,0,0,0,0,0)</v>
      </c>
      <c r="CD348" t="str">
        <f t="shared" si="116"/>
        <v/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ht="15.95" customHeight="1" spans="1:87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909128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10501516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8"/>
        <v>InitTypeState1('uf54',909128,0,252,0,10501516,0,0,0,0,0)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09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0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1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2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3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4"/>
        <v>InitTypeState7('uf54',0,0,0,0,0,0,0,0,0,0)</v>
      </c>
      <c r="CC349" t="str">
        <f t="shared" si="115"/>
        <v>InitTypeState1('uf54',909128,0,252,0,10501516,0,0,0,0,0)</v>
      </c>
      <c r="CD349" t="str">
        <f t="shared" si="116"/>
        <v/>
      </c>
      <c r="CE349" t="str">
        <f t="shared" si="117"/>
        <v/>
      </c>
      <c r="CF349" t="str">
        <f t="shared" si="118"/>
        <v/>
      </c>
      <c r="CG349" t="str">
        <f t="shared" si="119"/>
        <v/>
      </c>
      <c r="CH349" t="str">
        <f t="shared" si="120"/>
        <v/>
      </c>
      <c r="CI349" t="str">
        <f t="shared" si="121"/>
        <v/>
      </c>
    </row>
    <row r="350" ht="15.95" customHeight="1" spans="1:87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1726107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12530834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8"/>
        <v>InitTypeState1('uf60',1726107,0,312,0,12530834,0,0,0,0,0)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09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0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1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2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3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4"/>
        <v>InitTypeState7('uf60',0,0,0,0,0,0,0,0,0,0)</v>
      </c>
      <c r="CC350" t="str">
        <f t="shared" si="115"/>
        <v>InitTypeState1('uf60',1726107,0,312,0,12530834,0,0,0,0,0)</v>
      </c>
      <c r="CD350" t="str">
        <f t="shared" si="116"/>
        <v/>
      </c>
      <c r="CE350" t="str">
        <f t="shared" si="117"/>
        <v/>
      </c>
      <c r="CF350" t="str">
        <f t="shared" si="118"/>
        <v/>
      </c>
      <c r="CG350" t="str">
        <f t="shared" si="119"/>
        <v/>
      </c>
      <c r="CH350" t="str">
        <f t="shared" si="120"/>
        <v/>
      </c>
      <c r="CI350" t="str">
        <f t="shared" si="121"/>
        <v/>
      </c>
    </row>
    <row r="351" ht="15.95" customHeight="1" spans="1:87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1726107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12530834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8"/>
        <v>InitTypeState1('uf61',1726107,0,312,0,12530834,0,0,0,0,0)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09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0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1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2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3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4"/>
        <v>InitTypeState7('uf61',0,0,0,0,0,0,0,0,0,0)</v>
      </c>
      <c r="CC351" t="str">
        <f t="shared" si="115"/>
        <v>InitTypeState1('uf61',1726107,0,312,0,12530834,0,0,0,0,0)</v>
      </c>
      <c r="CD351" t="str">
        <f t="shared" si="116"/>
        <v/>
      </c>
      <c r="CE351" t="str">
        <f t="shared" si="117"/>
        <v/>
      </c>
      <c r="CF351" t="str">
        <f t="shared" si="118"/>
        <v/>
      </c>
      <c r="CG351" t="str">
        <f t="shared" si="119"/>
        <v/>
      </c>
      <c r="CH351" t="str">
        <f t="shared" si="120"/>
        <v/>
      </c>
      <c r="CI351" t="str">
        <f t="shared" si="121"/>
        <v/>
      </c>
    </row>
    <row r="352" ht="15.95" customHeight="1" spans="1:87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2967783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28555227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8"/>
        <v>InitTypeState1('uf70',2967783,0,372,0,28555227,0,0,0,0,0)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09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0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1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2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3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4"/>
        <v>InitTypeState7('uf70',0,0,0,0,0,0,0,0,0,0)</v>
      </c>
      <c r="CC352" t="str">
        <f t="shared" si="115"/>
        <v>InitTypeState1('uf70',2967783,0,372,0,28555227,0,0,0,0,0)</v>
      </c>
      <c r="CD352" t="str">
        <f t="shared" si="116"/>
        <v/>
      </c>
      <c r="CE352" t="str">
        <f t="shared" si="117"/>
        <v/>
      </c>
      <c r="CF352" t="str">
        <f t="shared" si="118"/>
        <v/>
      </c>
      <c r="CG352" t="str">
        <f t="shared" si="119"/>
        <v/>
      </c>
      <c r="CH352" t="str">
        <f t="shared" si="120"/>
        <v/>
      </c>
      <c r="CI352" t="str">
        <f t="shared" si="121"/>
        <v/>
      </c>
    </row>
    <row r="353" ht="15.95" customHeight="1" spans="1:87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5445973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11384946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8"/>
        <v>InitTypeState1('uf80',5445973,0,432,0,11384946,0,0,0,0,0)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09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0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1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2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3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4"/>
        <v>InitTypeState7('uf80',0,0,0,0,0,0,0,0,0,0)</v>
      </c>
      <c r="CC353" t="str">
        <f t="shared" si="115"/>
        <v>InitTypeState1('uf80',5445973,0,432,0,11384946,0,0,0,0,0)</v>
      </c>
      <c r="CD353" t="str">
        <f t="shared" si="116"/>
        <v/>
      </c>
      <c r="CE353" t="str">
        <f t="shared" si="117"/>
        <v/>
      </c>
      <c r="CF353" t="str">
        <f t="shared" si="118"/>
        <v/>
      </c>
      <c r="CG353" t="str">
        <f t="shared" si="119"/>
        <v/>
      </c>
      <c r="CH353" t="str">
        <f t="shared" si="120"/>
        <v/>
      </c>
      <c r="CI353" t="str">
        <f t="shared" si="121"/>
        <v/>
      </c>
    </row>
    <row r="354" ht="15.95" customHeight="1" spans="1:87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5445973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11384946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8"/>
        <v>InitTypeState1('uf81',5445973,0,432,0,11384946,0,0,0,0,0)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09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0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1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2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3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4"/>
        <v>InitTypeState7('uf81',0,0,0,0,0,0,0,0,0,0)</v>
      </c>
      <c r="CC354" t="str">
        <f t="shared" si="115"/>
        <v>InitTypeState1('uf81',5445973,0,432,0,11384946,0,0,0,0,0)</v>
      </c>
      <c r="CD354" t="str">
        <f t="shared" si="116"/>
        <v/>
      </c>
      <c r="CE354" t="str">
        <f t="shared" si="117"/>
        <v/>
      </c>
      <c r="CF354" t="str">
        <f t="shared" si="118"/>
        <v/>
      </c>
      <c r="CG354" t="str">
        <f t="shared" si="119"/>
        <v/>
      </c>
      <c r="CH354" t="str">
        <f t="shared" si="120"/>
        <v/>
      </c>
      <c r="CI354" t="str">
        <f t="shared" si="121"/>
        <v/>
      </c>
    </row>
    <row r="355" ht="15.95" customHeight="1" spans="1:87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5445973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11384946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8"/>
        <v>InitTypeState1('uf82',5445973,0,432,0,11384946,0,0,0,0,0)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09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0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1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2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3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4"/>
        <v>InitTypeState7('uf82',0,0,0,0,0,0,0,0,0,0)</v>
      </c>
      <c r="CC355" t="str">
        <f t="shared" si="115"/>
        <v>InitTypeState1('uf82',5445973,0,432,0,11384946,0,0,0,0,0)</v>
      </c>
      <c r="CD355" t="str">
        <f t="shared" si="116"/>
        <v/>
      </c>
      <c r="CE355" t="str">
        <f t="shared" si="117"/>
        <v/>
      </c>
      <c r="CF355" t="str">
        <f t="shared" si="118"/>
        <v/>
      </c>
      <c r="CG355" t="str">
        <f t="shared" si="119"/>
        <v/>
      </c>
      <c r="CH355" t="str">
        <f t="shared" si="120"/>
        <v/>
      </c>
      <c r="CI355" t="str">
        <f t="shared" si="121"/>
        <v/>
      </c>
    </row>
    <row r="356" ht="15.95" customHeight="1" spans="1:87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5445973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11384946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8"/>
        <v>InitTypeState1('uf83',5445973,0,432,0,11384946,0,0,0,0,0)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09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0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1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2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3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4"/>
        <v>InitTypeState7('uf83',0,0,0,0,0,0,0,0,0,0)</v>
      </c>
      <c r="CC356" t="str">
        <f t="shared" si="115"/>
        <v>InitTypeState1('uf83',5445973,0,432,0,11384946,0,0,0,0,0)</v>
      </c>
      <c r="CD356" t="str">
        <f t="shared" si="116"/>
        <v/>
      </c>
      <c r="CE356" t="str">
        <f t="shared" si="117"/>
        <v/>
      </c>
      <c r="CF356" t="str">
        <f t="shared" si="118"/>
        <v/>
      </c>
      <c r="CG356" t="str">
        <f t="shared" si="119"/>
        <v/>
      </c>
      <c r="CH356" t="str">
        <f t="shared" si="120"/>
        <v/>
      </c>
      <c r="CI356" t="str">
        <f t="shared" si="121"/>
        <v/>
      </c>
    </row>
    <row r="357" ht="15.95" customHeight="1" spans="1:87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5445973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11384946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8"/>
        <v>InitTypeState1('uf84',5445973,0,432,0,11384946,0,0,0,0,0)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09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0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1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2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3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4"/>
        <v>InitTypeState7('uf84',0,0,0,0,0,0,0,0,0,0)</v>
      </c>
      <c r="CC357" t="str">
        <f t="shared" si="115"/>
        <v>InitTypeState1('uf84',5445973,0,432,0,11384946,0,0,0,0,0)</v>
      </c>
      <c r="CD357" t="str">
        <f t="shared" si="116"/>
        <v/>
      </c>
      <c r="CE357" t="str">
        <f t="shared" si="117"/>
        <v/>
      </c>
      <c r="CF357" t="str">
        <f t="shared" si="118"/>
        <v/>
      </c>
      <c r="CG357" t="str">
        <f t="shared" si="119"/>
        <v/>
      </c>
      <c r="CH357" t="str">
        <f t="shared" si="120"/>
        <v/>
      </c>
      <c r="CI357" t="str">
        <f t="shared" si="121"/>
        <v/>
      </c>
    </row>
    <row r="358" ht="15.95" customHeight="1" spans="1:87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5445973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11384946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8"/>
        <v>InitTypeState1('uf85',5445973,0,432,0,11384946,0,0,0,0,0)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09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0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1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2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3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4"/>
        <v>InitTypeState7('uf85',0,0,0,0,0,0,0,0,0,0)</v>
      </c>
      <c r="CC358" t="str">
        <f t="shared" si="115"/>
        <v>InitTypeState1('uf85',5445973,0,432,0,11384946,0,0,0,0,0)</v>
      </c>
      <c r="CD358" t="str">
        <f t="shared" si="116"/>
        <v/>
      </c>
      <c r="CE358" t="str">
        <f t="shared" si="117"/>
        <v/>
      </c>
      <c r="CF358" t="str">
        <f t="shared" si="118"/>
        <v/>
      </c>
      <c r="CG358" t="str">
        <f t="shared" si="119"/>
        <v/>
      </c>
      <c r="CH358" t="str">
        <f t="shared" si="120"/>
        <v/>
      </c>
      <c r="CI358" t="str">
        <f t="shared" si="121"/>
        <v/>
      </c>
    </row>
    <row r="359" ht="15.95" customHeight="1" spans="1:87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5445973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39714922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8"/>
        <v>InitTypeState1('uf86',5445973,0,432,0,39714922,0,0,0,0,0)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09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0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1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2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3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4"/>
        <v>InitTypeState7('uf86',0,0,0,0,0,0,0,0,0,0)</v>
      </c>
      <c r="CC359" t="str">
        <f t="shared" si="115"/>
        <v>InitTypeState1('uf86',5445973,0,432,0,39714922,0,0,0,0,0)</v>
      </c>
      <c r="CD359" t="str">
        <f t="shared" si="116"/>
        <v/>
      </c>
      <c r="CE359" t="str">
        <f t="shared" si="117"/>
        <v/>
      </c>
      <c r="CF359" t="str">
        <f t="shared" si="118"/>
        <v/>
      </c>
      <c r="CG359" t="str">
        <f t="shared" si="119"/>
        <v/>
      </c>
      <c r="CH359" t="str">
        <f t="shared" si="120"/>
        <v/>
      </c>
      <c r="CI359" t="str">
        <f t="shared" si="121"/>
        <v/>
      </c>
    </row>
    <row r="360" ht="15.95" customHeight="1" spans="1:87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8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09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0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1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2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3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4"/>
        <v>InitTypeState7('md09',0,0,0,0,0,0,0,0,0,0)</v>
      </c>
      <c r="CC360" t="str">
        <f t="shared" si="115"/>
        <v>InitTypeState1('md09',125,0,20,0,4885,0,0,0,0,0)</v>
      </c>
      <c r="CD360" t="str">
        <f t="shared" si="116"/>
        <v/>
      </c>
      <c r="CE360" t="str">
        <f t="shared" si="117"/>
        <v/>
      </c>
      <c r="CF360" t="str">
        <f t="shared" si="118"/>
        <v/>
      </c>
      <c r="CG360" t="str">
        <f t="shared" si="119"/>
        <v/>
      </c>
      <c r="CH360" t="str">
        <f t="shared" si="120"/>
        <v/>
      </c>
      <c r="CI360" t="str">
        <f t="shared" si="121"/>
        <v/>
      </c>
    </row>
    <row r="361" ht="15.95" customHeight="1" spans="1:87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4153725</v>
      </c>
      <c r="E361">
        <f>ROUND(单位属性!E361,0)</f>
        <v>0</v>
      </c>
      <c r="F361">
        <f>ROUND(单位属性!F361,0)</f>
        <v>440</v>
      </c>
      <c r="G361">
        <f>ROUND(单位属性!G361,0)</f>
        <v>0</v>
      </c>
      <c r="H361">
        <f>ROUND(单位属性!H361,0)</f>
        <v>40288854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8"/>
        <v>InitTypeState1('uf13',4153725,0,440,0,40288854,0,0,0,0,0)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09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0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1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2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3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4"/>
        <v>InitTypeState7('uf13',0,0,0,0,0,0,0,0,0,0)</v>
      </c>
      <c r="CC361" t="str">
        <f t="shared" si="115"/>
        <v>InitTypeState1('uf13',4153725,0,440,0,40288854,0,0,0,0,0)</v>
      </c>
      <c r="CD361" t="str">
        <f t="shared" si="116"/>
        <v/>
      </c>
      <c r="CE361" t="str">
        <f t="shared" si="117"/>
        <v/>
      </c>
      <c r="CF361" t="str">
        <f t="shared" si="118"/>
        <v/>
      </c>
      <c r="CG361" t="str">
        <f t="shared" si="119"/>
        <v/>
      </c>
      <c r="CH361" t="str">
        <f t="shared" si="120"/>
        <v/>
      </c>
      <c r="CI361" t="str">
        <f t="shared" si="121"/>
        <v/>
      </c>
    </row>
    <row r="362" ht="15.95" customHeight="1" spans="1:87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4153725</v>
      </c>
      <c r="E362">
        <f>ROUND(单位属性!E362,0)</f>
        <v>0</v>
      </c>
      <c r="F362">
        <f>ROUND(单位属性!F362,0)</f>
        <v>440</v>
      </c>
      <c r="G362">
        <f>ROUND(单位属性!G362,0)</f>
        <v>0</v>
      </c>
      <c r="H362">
        <f>ROUND(单位属性!H362,0)</f>
        <v>40288854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08"/>
        <v>InitTypeState1('uf14',4153725,0,440,0,40288854,0,0,0,0,0)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09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0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1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2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3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4"/>
        <v>InitTypeState7('uf14',0,0,0,0,0,0,0,0,0,0)</v>
      </c>
      <c r="CC362" t="str">
        <f t="shared" si="115"/>
        <v>InitTypeState1('uf14',4153725,0,440,0,40288854,0,0,0,0,0)</v>
      </c>
      <c r="CD362" t="str">
        <f t="shared" si="116"/>
        <v/>
      </c>
      <c r="CE362" t="str">
        <f t="shared" si="117"/>
        <v/>
      </c>
      <c r="CF362" t="str">
        <f t="shared" si="118"/>
        <v/>
      </c>
      <c r="CG362" t="str">
        <f t="shared" si="119"/>
        <v/>
      </c>
      <c r="CH362" t="str">
        <f t="shared" si="120"/>
        <v/>
      </c>
      <c r="CI362" t="str">
        <f t="shared" si="121"/>
        <v/>
      </c>
    </row>
    <row r="363" ht="15.95" customHeight="1" spans="1:87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4153725</v>
      </c>
      <c r="E363">
        <f>ROUND(单位属性!E363,0)</f>
        <v>0</v>
      </c>
      <c r="F363">
        <f>ROUND(单位属性!F363,0)</f>
        <v>440</v>
      </c>
      <c r="G363">
        <f>ROUND(单位属性!G363,0)</f>
        <v>0</v>
      </c>
      <c r="H363">
        <f>ROUND(单位属性!H363,0)</f>
        <v>53718470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8"/>
        <v>InitTypeState1('uf22',4153725,0,440,0,53718470,0,0,0,0,0)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09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0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1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2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3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4"/>
        <v>InitTypeState7('uf22',0,0,0,0,0,0,0,0,0,0)</v>
      </c>
      <c r="CC363" t="str">
        <f t="shared" si="115"/>
        <v>InitTypeState1('uf22',4153725,0,440,0,53718470,0,0,0,0,0)</v>
      </c>
      <c r="CD363" t="str">
        <f t="shared" si="116"/>
        <v/>
      </c>
      <c r="CE363" t="str">
        <f t="shared" si="117"/>
        <v/>
      </c>
      <c r="CF363" t="str">
        <f t="shared" si="118"/>
        <v/>
      </c>
      <c r="CG363" t="str">
        <f t="shared" si="119"/>
        <v/>
      </c>
      <c r="CH363" t="str">
        <f t="shared" si="120"/>
        <v/>
      </c>
      <c r="CI363" t="str">
        <f t="shared" si="121"/>
        <v/>
      </c>
    </row>
    <row r="364" ht="15.95" customHeight="1" spans="1:87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4153725</v>
      </c>
      <c r="E364">
        <f>ROUND(单位属性!E364,0)</f>
        <v>0</v>
      </c>
      <c r="F364">
        <f>ROUND(单位属性!F364,0)</f>
        <v>440</v>
      </c>
      <c r="G364">
        <f>ROUND(单位属性!G364,0)</f>
        <v>0</v>
      </c>
      <c r="H364">
        <f>ROUND(单位属性!H364,0)</f>
        <v>26859235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8"/>
        <v>InitTypeState1('uf31',4153725,0,440,0,26859235,0,0,0,0,0)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09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0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1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2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3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4"/>
        <v>InitTypeState7('uf31',0,0,0,0,0,0,0,0,0,0)</v>
      </c>
      <c r="CC364" t="str">
        <f t="shared" si="115"/>
        <v>InitTypeState1('uf31',4153725,0,440,0,26859235,0,0,0,0,0)</v>
      </c>
      <c r="CD364" t="str">
        <f t="shared" si="116"/>
        <v/>
      </c>
      <c r="CE364" t="str">
        <f t="shared" si="117"/>
        <v/>
      </c>
      <c r="CF364" t="str">
        <f t="shared" si="118"/>
        <v/>
      </c>
      <c r="CG364" t="str">
        <f t="shared" si="119"/>
        <v/>
      </c>
      <c r="CH364" t="str">
        <f t="shared" si="120"/>
        <v/>
      </c>
      <c r="CI364" t="str">
        <f t="shared" si="121"/>
        <v/>
      </c>
    </row>
    <row r="365" ht="15.95" customHeight="1" spans="1:87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4153725</v>
      </c>
      <c r="E365">
        <f>ROUND(单位属性!E365,0)</f>
        <v>0</v>
      </c>
      <c r="F365">
        <f>ROUND(单位属性!F365,0)</f>
        <v>440</v>
      </c>
      <c r="G365">
        <f>ROUND(单位属性!G365,0)</f>
        <v>0</v>
      </c>
      <c r="H365">
        <f>ROUND(单位属性!H365,0)</f>
        <v>26859235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8"/>
        <v>InitTypeState1('uf32',4153725,0,440,0,26859235,0,0,0,0,0)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09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0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1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2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3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4"/>
        <v>InitTypeState7('uf32',0,0,0,0,0,0,0,0,0,0)</v>
      </c>
      <c r="CC365" t="str">
        <f t="shared" si="115"/>
        <v>InitTypeState1('uf32',4153725,0,440,0,26859235,0,0,0,0,0)</v>
      </c>
      <c r="CD365" t="str">
        <f t="shared" si="116"/>
        <v/>
      </c>
      <c r="CE365" t="str">
        <f t="shared" si="117"/>
        <v/>
      </c>
      <c r="CF365" t="str">
        <f t="shared" si="118"/>
        <v/>
      </c>
      <c r="CG365" t="str">
        <f t="shared" si="119"/>
        <v/>
      </c>
      <c r="CH365" t="str">
        <f t="shared" si="120"/>
        <v/>
      </c>
      <c r="CI365" t="str">
        <f t="shared" si="121"/>
        <v/>
      </c>
    </row>
    <row r="366" ht="15.95" customHeight="1" spans="1:87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4153725</v>
      </c>
      <c r="E366">
        <f>ROUND(单位属性!E366,0)</f>
        <v>0</v>
      </c>
      <c r="F366">
        <f>ROUND(单位属性!F366,0)</f>
        <v>440</v>
      </c>
      <c r="G366">
        <f>ROUND(单位属性!G366,0)</f>
        <v>0</v>
      </c>
      <c r="H366">
        <f>ROUND(单位属性!H366,0)</f>
        <v>26859235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08"/>
        <v>InitTypeState1('uf33',4153725,0,440,0,26859235,0,0,0,0,0)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09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0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1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2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3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4"/>
        <v>InitTypeState7('uf33',0,0,0,0,0,0,0,0,0,0)</v>
      </c>
      <c r="CC366" t="str">
        <f t="shared" si="115"/>
        <v>InitTypeState1('uf33',4153725,0,440,0,26859235,0,0,0,0,0)</v>
      </c>
      <c r="CD366" t="str">
        <f t="shared" si="116"/>
        <v/>
      </c>
      <c r="CE366" t="str">
        <f t="shared" si="117"/>
        <v/>
      </c>
      <c r="CF366" t="str">
        <f t="shared" si="118"/>
        <v/>
      </c>
      <c r="CG366" t="str">
        <f t="shared" si="119"/>
        <v/>
      </c>
      <c r="CH366" t="str">
        <f t="shared" si="120"/>
        <v/>
      </c>
      <c r="CI366" t="str">
        <f t="shared" si="121"/>
        <v/>
      </c>
    </row>
    <row r="367" ht="15.95" customHeight="1" spans="1:87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4153725</v>
      </c>
      <c r="E367">
        <f>ROUND(单位属性!E367,0)</f>
        <v>0</v>
      </c>
      <c r="F367">
        <f>ROUND(单位属性!F367,0)</f>
        <v>440</v>
      </c>
      <c r="G367">
        <f>ROUND(单位属性!G367,0)</f>
        <v>0</v>
      </c>
      <c r="H367">
        <f>ROUND(单位属性!H367,0)</f>
        <v>26859235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8"/>
        <v>InitTypeState1('uf34',4153725,0,440,0,26859235,0,0,0,0,0)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09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0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1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2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3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4"/>
        <v>InitTypeState7('uf34',0,0,0,0,0,0,0,0,0,0)</v>
      </c>
      <c r="CC367" t="str">
        <f t="shared" si="115"/>
        <v>InitTypeState1('uf34',4153725,0,440,0,26859235,0,0,0,0,0)</v>
      </c>
      <c r="CD367" t="str">
        <f t="shared" si="116"/>
        <v/>
      </c>
      <c r="CE367" t="str">
        <f t="shared" si="117"/>
        <v/>
      </c>
      <c r="CF367" t="str">
        <f t="shared" si="118"/>
        <v/>
      </c>
      <c r="CG367" t="str">
        <f t="shared" si="119"/>
        <v/>
      </c>
      <c r="CH367" t="str">
        <f t="shared" si="120"/>
        <v/>
      </c>
      <c r="CI367" t="str">
        <f t="shared" si="121"/>
        <v/>
      </c>
    </row>
    <row r="368" ht="15.95" customHeight="1" spans="1:87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830745</v>
      </c>
      <c r="E368">
        <f>ROUND(单位属性!E368,0)</f>
        <v>0</v>
      </c>
      <c r="F368">
        <f>ROUND(单位属性!F368,0)</f>
        <v>440</v>
      </c>
      <c r="G368">
        <f>ROUND(单位属性!G368,0)</f>
        <v>0</v>
      </c>
      <c r="H368">
        <f>ROUND(单位属性!H368,0)</f>
        <v>940072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8"/>
        <v>InitTypeState1('uf42',830745,0,440,0,940072,0,0,0,0,0)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09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0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1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2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3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4"/>
        <v>InitTypeState7('uf42',0,0,0,0,0,0,0,0,0,0)</v>
      </c>
      <c r="CC368" t="str">
        <f t="shared" si="115"/>
        <v>InitTypeState1('uf42',830745,0,440,0,940072,0,0,0,0,0)</v>
      </c>
      <c r="CD368" t="str">
        <f t="shared" si="116"/>
        <v/>
      </c>
      <c r="CE368" t="str">
        <f t="shared" si="117"/>
        <v/>
      </c>
      <c r="CF368" t="str">
        <f t="shared" si="118"/>
        <v/>
      </c>
      <c r="CG368" t="str">
        <f t="shared" si="119"/>
        <v/>
      </c>
      <c r="CH368" t="str">
        <f t="shared" si="120"/>
        <v/>
      </c>
      <c r="CI368" t="str">
        <f t="shared" si="121"/>
        <v/>
      </c>
    </row>
    <row r="369" ht="15.95" customHeight="1" spans="1:87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830745</v>
      </c>
      <c r="E369">
        <f>ROUND(单位属性!E369,0)</f>
        <v>0</v>
      </c>
      <c r="F369">
        <f>ROUND(单位属性!F369,0)</f>
        <v>440</v>
      </c>
      <c r="G369">
        <f>ROUND(单位属性!G369,0)</f>
        <v>0</v>
      </c>
      <c r="H369">
        <f>ROUND(单位属性!H369,0)</f>
        <v>940072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08"/>
        <v>InitTypeState1('uf43',830745,0,440,0,940072,0,0,0,0,0)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09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0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1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2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3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4"/>
        <v>InitTypeState7('uf43',0,0,0,0,0,0,0,0,0,0)</v>
      </c>
      <c r="CC369" t="str">
        <f t="shared" si="115"/>
        <v>InitTypeState1('uf43',830745,0,440,0,940072,0,0,0,0,0)</v>
      </c>
      <c r="CD369" t="str">
        <f t="shared" si="116"/>
        <v/>
      </c>
      <c r="CE369" t="str">
        <f t="shared" si="117"/>
        <v/>
      </c>
      <c r="CF369" t="str">
        <f t="shared" si="118"/>
        <v/>
      </c>
      <c r="CG369" t="str">
        <f t="shared" si="119"/>
        <v/>
      </c>
      <c r="CH369" t="str">
        <f t="shared" si="120"/>
        <v/>
      </c>
      <c r="CI369" t="str">
        <f t="shared" si="121"/>
        <v/>
      </c>
    </row>
    <row r="370" ht="15.95" customHeight="1" spans="1:87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4153725</v>
      </c>
      <c r="E370">
        <f>ROUND(单位属性!E370,0)</f>
        <v>0</v>
      </c>
      <c r="F370">
        <f>ROUND(单位属性!F370,0)</f>
        <v>440</v>
      </c>
      <c r="G370">
        <f>ROUND(单位属性!G370,0)</f>
        <v>0</v>
      </c>
      <c r="H370">
        <f>ROUND(单位属性!H370,0)</f>
        <v>26859235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08"/>
        <v>InitTypeState1('uf44',4153725,0,440,0,26859235,0,0,0,0,0)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09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0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1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2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3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4"/>
        <v>InitTypeState7('uf44',0,0,0,0,0,0,0,0,0,0)</v>
      </c>
      <c r="CC370" t="str">
        <f t="shared" si="115"/>
        <v>InitTypeState1('uf44',4153725,0,440,0,26859235,0,0,0,0,0)</v>
      </c>
      <c r="CD370" t="str">
        <f t="shared" si="116"/>
        <v/>
      </c>
      <c r="CE370" t="str">
        <f t="shared" si="117"/>
        <v/>
      </c>
      <c r="CF370" t="str">
        <f t="shared" si="118"/>
        <v/>
      </c>
      <c r="CG370" t="str">
        <f t="shared" si="119"/>
        <v/>
      </c>
      <c r="CH370" t="str">
        <f t="shared" si="120"/>
        <v/>
      </c>
      <c r="CI370" t="str">
        <f t="shared" si="121"/>
        <v/>
      </c>
    </row>
    <row r="371" ht="15.95" customHeight="1" spans="1:87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830745</v>
      </c>
      <c r="E371">
        <f>ROUND(单位属性!E371,0)</f>
        <v>0</v>
      </c>
      <c r="F371">
        <f>ROUND(单位属性!F371,0)</f>
        <v>440</v>
      </c>
      <c r="G371">
        <f>ROUND(单位属性!G371,0)</f>
        <v>0</v>
      </c>
      <c r="H371">
        <f>ROUND(单位属性!H371,0)</f>
        <v>940072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08"/>
        <v>InitTypeState1('uf45',830745,0,440,0,940072,0,0,0,0,0)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09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0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1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2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3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4"/>
        <v>InitTypeState7('uf45',0,0,0,0,0,0,0,0,0,0)</v>
      </c>
      <c r="CC371" t="str">
        <f t="shared" si="115"/>
        <v>InitTypeState1('uf45',830745,0,440,0,940072,0,0,0,0,0)</v>
      </c>
      <c r="CD371" t="str">
        <f t="shared" si="116"/>
        <v/>
      </c>
      <c r="CE371" t="str">
        <f t="shared" si="117"/>
        <v/>
      </c>
      <c r="CF371" t="str">
        <f t="shared" si="118"/>
        <v/>
      </c>
      <c r="CG371" t="str">
        <f t="shared" si="119"/>
        <v/>
      </c>
      <c r="CH371" t="str">
        <f t="shared" si="120"/>
        <v/>
      </c>
      <c r="CI371" t="str">
        <f t="shared" si="121"/>
        <v/>
      </c>
    </row>
    <row r="372" ht="15.95" customHeight="1" spans="1:87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4153725</v>
      </c>
      <c r="E372">
        <f>ROUND(单位属性!E372,0)</f>
        <v>0</v>
      </c>
      <c r="F372">
        <f>ROUND(单位属性!F372,0)</f>
        <v>440</v>
      </c>
      <c r="G372">
        <f>ROUND(单位属性!G372,0)</f>
        <v>0</v>
      </c>
      <c r="H372">
        <f>ROUND(单位属性!H372,0)</f>
        <v>26859235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08"/>
        <v>InitTypeState1('uf46',4153725,0,440,0,26859235,0,0,0,0,0)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09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0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1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2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3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4"/>
        <v>InitTypeState7('uf46',0,0,0,0,0,0,0,0,0,0)</v>
      </c>
      <c r="CC372" t="str">
        <f t="shared" si="115"/>
        <v>InitTypeState1('uf46',4153725,0,440,0,26859235,0,0,0,0,0)</v>
      </c>
      <c r="CD372" t="str">
        <f t="shared" si="116"/>
        <v/>
      </c>
      <c r="CE372" t="str">
        <f t="shared" si="117"/>
        <v/>
      </c>
      <c r="CF372" t="str">
        <f t="shared" si="118"/>
        <v/>
      </c>
      <c r="CG372" t="str">
        <f t="shared" si="119"/>
        <v/>
      </c>
      <c r="CH372" t="str">
        <f t="shared" si="120"/>
        <v/>
      </c>
      <c r="CI372" t="str">
        <f t="shared" si="121"/>
        <v/>
      </c>
    </row>
    <row r="373" ht="15.95" customHeight="1" spans="1:87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830745</v>
      </c>
      <c r="E373">
        <f>ROUND(单位属性!E373,0)</f>
        <v>0</v>
      </c>
      <c r="F373">
        <f>ROUND(单位属性!F373,0)</f>
        <v>440</v>
      </c>
      <c r="G373">
        <f>ROUND(单位属性!G373,0)</f>
        <v>0</v>
      </c>
      <c r="H373">
        <f>ROUND(单位属性!H373,0)</f>
        <v>940072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ref="N373:N436" si="123">"InitTypeState1("&amp;$B373&amp;","&amp;D373&amp;","&amp;E373&amp;","&amp;F373&amp;","&amp;G373&amp;","&amp;H373&amp;","&amp;I373&amp;","&amp;J373&amp;","&amp;K373&amp;","&amp;L373&amp;","&amp;M373&amp;")"</f>
        <v>InitTypeState1('uf47',830745,0,440,0,940072,0,0,0,0,0)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ref="Y373:Y436" si="124">"InitTypeState2("&amp;$B373&amp;","&amp;O373&amp;","&amp;P373&amp;","&amp;Q373&amp;","&amp;R373&amp;","&amp;S373&amp;","&amp;T373&amp;","&amp;U373&amp;","&amp;V373&amp;","&amp;W373&amp;","&amp;X373&amp;")"</f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ref="AJ373:AJ436" si="125">"InitTypeState3("&amp;$B373&amp;","&amp;Z373&amp;","&amp;AA373&amp;","&amp;AB373&amp;","&amp;AC373&amp;","&amp;AD373&amp;","&amp;AE373&amp;","&amp;AF373&amp;","&amp;AG373&amp;","&amp;AH373&amp;","&amp;AI373&amp;")"</f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ref="AU373:AU436" si="126">"InitTypeState4("&amp;$B373&amp;","&amp;AK373&amp;","&amp;AL373&amp;","&amp;AM373&amp;","&amp;AN373&amp;","&amp;AO373&amp;","&amp;AP373&amp;","&amp;AQ373&amp;","&amp;AR373&amp;","&amp;AS373&amp;","&amp;AT373&amp;")"</f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ref="BF373:BF436" si="127">"InitTypeState5("&amp;$B373&amp;","&amp;AV373&amp;","&amp;AW373&amp;","&amp;AX373&amp;","&amp;AY373&amp;","&amp;AZ373&amp;","&amp;BA373&amp;","&amp;BB373&amp;","&amp;BC373&amp;","&amp;BD373&amp;","&amp;BE373&amp;")"</f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ref="BQ373:BQ436" si="128">"InitTypeState6("&amp;$B373&amp;","&amp;BG373&amp;","&amp;BH373&amp;","&amp;BI373&amp;","&amp;BJ373&amp;","&amp;BK373&amp;","&amp;BL373&amp;","&amp;BM373&amp;","&amp;BN373&amp;","&amp;BO373&amp;","&amp;BP373&amp;")"</f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ref="CB373:CB436" si="129">"InitTypeState7("&amp;$B373&amp;","&amp;BR373&amp;","&amp;BS373&amp;","&amp;BT373&amp;","&amp;BU373&amp;","&amp;BV373&amp;","&amp;BW373&amp;","&amp;BX373&amp;","&amp;BY373&amp;","&amp;BZ373&amp;","&amp;CA373&amp;")"</f>
        <v>InitTypeState7('uf47',0,0,0,0,0,0,0,0,0,0)</v>
      </c>
      <c r="CC373" t="str">
        <f t="shared" ref="CC373:CC436" si="130">IF(ISERROR(FIND(",0,0,0,0,0,0,0,0,0,0)",N373)),N373,"")</f>
        <v>InitTypeState1('uf47',830745,0,440,0,940072,0,0,0,0,0)</v>
      </c>
      <c r="CD373" t="str">
        <f t="shared" ref="CD373:CD436" si="131">IF(ISERROR(FIND(",0,0,0,0,0,0,0,0,0,0)",Y373)),Y373,"")</f>
        <v/>
      </c>
      <c r="CE373" t="str">
        <f t="shared" ref="CE373:CE436" si="132">IF(ISERROR(FIND(",0,0,0,0,0,0,0,0,0,0)",AJ373)),AJ373,"")</f>
        <v/>
      </c>
      <c r="CF373" t="str">
        <f t="shared" ref="CF373:CF436" si="133">IF(ISERROR(FIND(",0,0,0,0,0,0,0,0,0,0)",AU373)),AU373,"")</f>
        <v/>
      </c>
      <c r="CG373" t="str">
        <f t="shared" ref="CG373:CG436" si="134">IF(ISERROR(FIND(",0,0,0,0,0,0,0,0,0,0)",BF373)),BF373,"")</f>
        <v/>
      </c>
      <c r="CH373" t="str">
        <f t="shared" ref="CH373:CH436" si="135">IF(ISERROR(FIND(",0,0,0,0,0,0,0,0,0,0)",BQ373)),BQ373,"")</f>
        <v/>
      </c>
      <c r="CI373" t="str">
        <f t="shared" ref="CI373:CI436" si="136">IF(ISERROR(FIND(",0,0,0,0,0,0,0,0,0,0)",CB373)),CB373,"")</f>
        <v/>
      </c>
    </row>
    <row r="374" ht="15.95" customHeight="1" spans="1:87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4153725</v>
      </c>
      <c r="E374">
        <f>ROUND(单位属性!E374,0)</f>
        <v>0</v>
      </c>
      <c r="F374">
        <f>ROUND(单位属性!F374,0)</f>
        <v>440</v>
      </c>
      <c r="G374">
        <f>ROUND(单位属性!G374,0)</f>
        <v>0</v>
      </c>
      <c r="H374">
        <f>ROUND(单位属性!H374,0)</f>
        <v>26859235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InitTypeState1('uf48',4153725,0,440,0,26859235,0,0,0,0,0)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InitTypeState1('uf48',4153725,0,440,0,26859235,0,0,0,0,0)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ht="15.95" customHeight="1" spans="1:87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830745</v>
      </c>
      <c r="E375">
        <f>ROUND(单位属性!E375,0)</f>
        <v>0</v>
      </c>
      <c r="F375">
        <f>ROUND(单位属性!F375,0)</f>
        <v>440</v>
      </c>
      <c r="G375">
        <f>ROUND(单位属性!G375,0)</f>
        <v>0</v>
      </c>
      <c r="H375">
        <f>ROUND(单位属性!H375,0)</f>
        <v>940072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InitTypeState1('uf49',830745,0,440,0,940072,0,0,0,0,0)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InitTypeState1('uf49',830745,0,440,0,940072,0,0,0,0,0)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ht="15.95" customHeight="1" spans="1:87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4153725</v>
      </c>
      <c r="E376">
        <f>ROUND(单位属性!E376,0)</f>
        <v>0</v>
      </c>
      <c r="F376">
        <f>ROUND(单位属性!F376,0)</f>
        <v>440</v>
      </c>
      <c r="G376">
        <f>ROUND(单位属性!G376,0)</f>
        <v>0</v>
      </c>
      <c r="H376">
        <f>ROUND(单位属性!H376,0)</f>
        <v>26859235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InitTypeState1('uf50',4153725,0,440,0,26859235,0,0,0,0,0)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InitTypeState1('uf50',4153725,0,440,0,26859235,0,0,0,0,0)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ht="15.95" customHeight="1" spans="1:87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4153725</v>
      </c>
      <c r="E377">
        <f>ROUND(单位属性!E377,0)</f>
        <v>0</v>
      </c>
      <c r="F377">
        <f>ROUND(单位属性!F377,0)</f>
        <v>440</v>
      </c>
      <c r="G377">
        <f>ROUND(单位属性!G377,0)</f>
        <v>0</v>
      </c>
      <c r="H377">
        <f>ROUND(单位属性!H377,0)</f>
        <v>53718470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InitTypeState1('uf55',4153725,0,440,0,53718470,0,0,0,0,0)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InitTypeState1('uf55',4153725,0,440,0,53718470,0,0,0,0,0)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ht="15.95" customHeight="1" spans="1:87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4153725</v>
      </c>
      <c r="E378">
        <f>ROUND(单位属性!E378,0)</f>
        <v>0</v>
      </c>
      <c r="F378">
        <f>ROUND(单位属性!F378,0)</f>
        <v>440</v>
      </c>
      <c r="G378">
        <f>ROUND(单位属性!G378,0)</f>
        <v>0</v>
      </c>
      <c r="H378">
        <f>ROUND(单位属性!H378,0)</f>
        <v>53718470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InitTypeState1('uf62',4153725,0,440,0,53718470,0,0,0,0,0)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InitTypeState1('uf62',4153725,0,440,0,53718470,0,0,0,0,0)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ht="15.95" customHeight="1" spans="1:87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4153725</v>
      </c>
      <c r="E379">
        <f>ROUND(单位属性!E379,0)</f>
        <v>0</v>
      </c>
      <c r="F379">
        <f>ROUND(单位属性!F379,0)</f>
        <v>440</v>
      </c>
      <c r="G379">
        <f>ROUND(单位属性!G379,0)</f>
        <v>0</v>
      </c>
      <c r="H379">
        <f>ROUND(单位属性!H379,0)</f>
        <v>26859235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InitTypeState1('uf71',4153725,0,440,0,26859235,0,0,0,0,0)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InitTypeState1('uf71',4153725,0,440,0,26859235,0,0,0,0,0)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ht="15.95" customHeight="1" spans="1:87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4153725</v>
      </c>
      <c r="E380">
        <f>ROUND(单位属性!E380,0)</f>
        <v>0</v>
      </c>
      <c r="F380">
        <f>ROUND(单位属性!F380,0)</f>
        <v>440</v>
      </c>
      <c r="G380">
        <f>ROUND(单位属性!G380,0)</f>
        <v>0</v>
      </c>
      <c r="H380">
        <f>ROUND(单位属性!H380,0)</f>
        <v>26859235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InitTypeState1('uf72',4153725,0,440,0,26859235,0,0,0,0,0)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InitTypeState1('uf72',4153725,0,440,0,26859235,0,0,0,0,0)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ht="15.95" customHeight="1" spans="1:87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4153725</v>
      </c>
      <c r="E381">
        <f>ROUND(单位属性!E381,0)</f>
        <v>0</v>
      </c>
      <c r="F381">
        <f>ROUND(单位属性!F381,0)</f>
        <v>440</v>
      </c>
      <c r="G381">
        <f>ROUND(单位属性!G381,0)</f>
        <v>0</v>
      </c>
      <c r="H381">
        <f>ROUND(单位属性!H381,0)</f>
        <v>26859235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InitTypeState1('uf73',4153725,0,440,0,26859235,0,0,0,0,0)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InitTypeState1('uf73',4153725,0,440,0,26859235,0,0,0,0,0)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ht="15.95" customHeight="1" spans="1:87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4153725</v>
      </c>
      <c r="E382">
        <f>ROUND(单位属性!E382,0)</f>
        <v>0</v>
      </c>
      <c r="F382">
        <f>ROUND(单位属性!F382,0)</f>
        <v>440</v>
      </c>
      <c r="G382">
        <f>ROUND(单位属性!G382,0)</f>
        <v>0</v>
      </c>
      <c r="H382">
        <f>ROUND(单位属性!H382,0)</f>
        <v>26859235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InitTypeState1('uf74',4153725,0,440,0,26859235,0,0,0,0,0)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InitTypeState1('uf74',4153725,0,440,0,26859235,0,0,0,0,0)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ht="15.95" customHeight="1" spans="1:87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4153725</v>
      </c>
      <c r="E383">
        <f>ROUND(单位属性!E383,0)</f>
        <v>0</v>
      </c>
      <c r="F383">
        <f>ROUND(单位属性!F383,0)</f>
        <v>440</v>
      </c>
      <c r="G383">
        <f>ROUND(单位属性!G383,0)</f>
        <v>0</v>
      </c>
      <c r="H383">
        <f>ROUND(单位属性!H383,0)</f>
        <v>53718470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InitTypeState1('uf87',4153725,0,440,0,53718470,0,0,0,0,0)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InitTypeState1('uf87',4153725,0,440,0,53718470,0,0,0,0,0)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ht="15.95" customHeight="1" spans="1:87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4602877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27672684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InitTypeState1('ut00',4602877,0,500,0,27672684,0,0,0,0,0)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InitTypeState1('ut00',4602877,0,500,0,27672684,0,0,0,0,0)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ht="15.95" customHeight="1" spans="1:87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4602877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27672684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InitTypeState1('ut01',4602877,0,500,0,27672684,0,0,0,0,0)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InitTypeState1('ut01',4602877,0,500,0,27672684,0,0,0,0,0)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ht="15.95" customHeight="1" spans="1:87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4602877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27672684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InitTypeState1('ut02',4602877,0,500,0,27672684,0,0,0,0,0)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InitTypeState1('ut02',4602877,0,500,0,27672684,0,0,0,0,0)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ht="15.95" customHeight="1" spans="1:87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4602877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27672684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InitTypeState1('ut03',4602877,0,500,0,27672684,0,0,0,0,0)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InitTypeState1('ut03',4602877,0,500,0,27672684,0,0,0,0,0)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ht="15.95" customHeight="1" spans="1:87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460287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3378640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InitTypeState1('ut04',460287,0,500,0,3378640,0,0,0,0,0)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InitTypeState1('ut04',460287,0,500,0,3378640,0,0,0,0,0)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ht="15.95" customHeight="1" spans="1:87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4602877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64355076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InitTypeState1('ut05',4602877,0,500,0,64355076,0,0,0,0,0)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InitTypeState1('ut05',4602877,0,500,0,64355076,0,0,0,0,0)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ht="15.95" customHeight="1" spans="1:87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7526730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42294059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InitTypeState1('ut10',7526730,0,560,0,42294059,0,0,0,0,0)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InitTypeState1('ut10',7526730,0,560,0,42294059,0,0,0,0,0)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ht="15.95" customHeight="1" spans="1:87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7526730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42294059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InitTypeState1('ut11',7526730,0,560,0,42294059,0,0,0,0,0)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InitTypeState1('ut11',7526730,0,560,0,42294059,0,0,0,0,0)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ht="15.95" customHeight="1" spans="1:87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7526730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42294059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InitTypeState1('ut12',7526730,0,560,0,42294059,0,0,0,0,0)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InitTypeState1('ut12',7526730,0,560,0,42294059,0,0,0,0,0)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ht="15.95" customHeight="1" spans="1:87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7526730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42294059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InitTypeState1('ut13',7526730,0,560,0,42294059,0,0,0,0,0)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InitTypeState1('ut13',7526730,0,560,0,42294059,0,0,0,0,0)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ht="15.95" customHeight="1" spans="1:87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7526730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42294059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InitTypeState1('ut14',7526730,0,560,0,42294059,0,0,0,0,0)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InitTypeState1('ut14',7526730,0,560,0,42294059,0,0,0,0,0)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ht="15.95" customHeight="1" spans="1:87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258218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InitTypeState1('u001',9408,0,36,0,258218,0,0,0,0,0)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InitTypeState1('u001',9408,0,36,0,258218,0,0,0,0,0)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ht="15.95" customHeight="1" spans="1:87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29285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3352654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InitTypeState1('u002',29285,0,136,0,3352654,0,0,0,0,0)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InitTypeState1('u002',29285,0,136,0,3352654,0,0,0,0,0)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ht="15.95" customHeight="1" spans="1:87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126106</v>
      </c>
      <c r="E397">
        <f>ROUND(单位属性!E397,0)</f>
        <v>0</v>
      </c>
      <c r="F397">
        <f>ROUND(单位属性!F397,0)</f>
        <v>236</v>
      </c>
      <c r="G397">
        <f>ROUND(单位属性!G397,0)</f>
        <v>0</v>
      </c>
      <c r="H397">
        <f>ROUND(单位属性!H397,0)</f>
        <v>9205366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InitTypeState1('u003',126106,0,236,0,9205366,0,0,0,0,0)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InitTypeState1('u003',126106,0,236,0,9205366,0,0,0,0,0)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ht="15.95" customHeight="1" spans="1:87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161071</v>
      </c>
      <c r="E398">
        <f>ROUND(单位属性!E398,0)</f>
        <v>0</v>
      </c>
      <c r="F398">
        <f>ROUND(单位属性!F398,0)</f>
        <v>336</v>
      </c>
      <c r="G398">
        <f>ROUND(单位属性!G398,0)</f>
        <v>0</v>
      </c>
      <c r="H398">
        <f>ROUND(单位属性!H398,0)</f>
        <v>20187502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InitTypeState1('u004',161071,0,336,0,20187502,0,0,0,0,0)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InitTypeState1('u004',161071,0,336,0,20187502,0,0,0,0,0)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ht="15.95" customHeight="1" spans="1:87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ht="15.95" customHeight="1" spans="1:87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9062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30180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InitTypeState1('u0CB',9062,0,40,0,30180,0,0,0,0,0)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InitTypeState1('u0CB',9062,0,40,0,30180,0,0,0,0,0)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ht="15.95" customHeight="1" spans="1:87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21197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66563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3"/>
        <v>InitTypeState1('u0CC',21197,0,60,0,66563,0,0,0,0,0)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4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InitTypeState7('u0CC',0,0,0,0,0,0,0,0,0,0)</v>
      </c>
      <c r="CC401" t="str">
        <f t="shared" si="130"/>
        <v>InitTypeState1('u0CC',21197,0,60,0,66563,0,0,0,0,0)</v>
      </c>
      <c r="CD401" t="str">
        <f t="shared" si="131"/>
        <v/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ht="15.95" customHeight="1" spans="1:87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33511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92464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3"/>
        <v>InitTypeState1('u0CD',33511,0,80,0,92464,0,0,0,0,0)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4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InitTypeState7('u0CD',0,0,0,0,0,0,0,0,0,0)</v>
      </c>
      <c r="CC402" t="str">
        <f t="shared" si="130"/>
        <v>InitTypeState1('u0CD',33511,0,80,0,92464,0,0,0,0,0)</v>
      </c>
      <c r="CD402" t="str">
        <f t="shared" si="131"/>
        <v/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ht="15.95" customHeight="1" spans="1:87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69076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133404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3"/>
        <v>InitTypeState1('u0CE',69076,0,100,0,133404,0,0,0,0,0)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4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InitTypeState7('u0CE',0,0,0,0,0,0,0,0,0,0)</v>
      </c>
      <c r="CC403" t="str">
        <f t="shared" si="130"/>
        <v>InitTypeState1('u0CE',69076,0,100,0,133404,0,0,0,0,0)</v>
      </c>
      <c r="CD403" t="str">
        <f t="shared" si="131"/>
        <v/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ht="15.95" customHeight="1" spans="1:87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3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4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InitTypeState7('u0CF',0,0,0,0,0,0,0,0,0,0)</v>
      </c>
      <c r="CC404" t="str">
        <f t="shared" si="130"/>
        <v>InitTypeState1('u0CF',122135,0,120,0,200899,0,0,0,0,0)</v>
      </c>
      <c r="CD404" t="str">
        <f t="shared" si="131"/>
        <v/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ht="15.95" customHeight="1" spans="1:87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151719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229017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3"/>
        <v>InitTypeState1('u0CG',151719,0,140,0,229017,0,0,0,0,0)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4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InitTypeState7('u0CG',0,0,0,0,0,0,0,0,0,0)</v>
      </c>
      <c r="CC405" t="str">
        <f t="shared" si="130"/>
        <v>InitTypeState1('u0CG',151719,0,140,0,229017,0,0,0,0,0)</v>
      </c>
      <c r="CD405" t="str">
        <f t="shared" si="131"/>
        <v/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ht="15.95" customHeight="1" spans="1:87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201706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265903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3"/>
        <v>InitTypeState1('u0CH',201706,0,160,0,265903,0,0,0,0,0)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4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InitTypeState7('u0CH',0,0,0,0,0,0,0,0,0,0)</v>
      </c>
      <c r="CC406" t="str">
        <f t="shared" si="130"/>
        <v>InitTypeState1('u0CH',201706,0,160,0,265903,0,0,0,0,0)</v>
      </c>
      <c r="CD406" t="str">
        <f t="shared" si="131"/>
        <v/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ht="15.95" customHeight="1" spans="1:87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273279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315197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3"/>
        <v>InitTypeState1('u0CI',273279,0,180,0,315197,0,0,0,0,0)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4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InitTypeState7('u0CI',0,0,0,0,0,0,0,0,0,0)</v>
      </c>
      <c r="CC407" t="str">
        <f t="shared" si="130"/>
        <v>InitTypeState1('u0CI',273279,0,180,0,315197,0,0,0,0,0)</v>
      </c>
      <c r="CD407" t="str">
        <f t="shared" si="131"/>
        <v/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ht="15.95" customHeight="1" spans="1:87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388808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393859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3"/>
        <v>InitTypeState1('u0CJ',388808,0,200,0,393859,0,0,0,0,0)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4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InitTypeState7('u0CJ',0,0,0,0,0,0,0,0,0,0)</v>
      </c>
      <c r="CC408" t="str">
        <f t="shared" si="130"/>
        <v>InitTypeState1('u0CJ',388808,0,200,0,393859,0,0,0,0,0)</v>
      </c>
      <c r="CD408" t="str">
        <f t="shared" si="131"/>
        <v/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ht="15.95" customHeight="1" spans="1:87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656922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502421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3"/>
        <v>InitTypeState1('u0CK',656922,0,220,0,502421,0,0,0,0,0)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4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InitTypeState7('u0CK',0,0,0,0,0,0,0,0,0,0)</v>
      </c>
      <c r="CC409" t="str">
        <f t="shared" si="130"/>
        <v>InitTypeState1('u0CK',656922,0,220,0,502421,0,0,0,0,0)</v>
      </c>
      <c r="CD409" t="str">
        <f t="shared" si="131"/>
        <v/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ht="15.95" customHeight="1" spans="1:87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3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4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InitTypeState7('u0CL',0,0,0,0,0,0,0,0,0,0)</v>
      </c>
      <c r="CC410" t="str">
        <f t="shared" si="130"/>
        <v>InitTypeState1('u0CL',969977,0,240,0,657040,0,0,0,0,0)</v>
      </c>
      <c r="CD410" t="str">
        <f t="shared" si="131"/>
        <v/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ht="15.95" customHeight="1" spans="1:87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1186732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726649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3"/>
        <v>InitTypeState1('u0CM',1186732,0,260,0,726649,0,0,0,0,0)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4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InitTypeState7('u0CM',0,0,0,0,0,0,0,0,0,0)</v>
      </c>
      <c r="CC411" t="str">
        <f t="shared" si="130"/>
        <v>InitTypeState1('u0CM',1186732,0,260,0,726649,0,0,0,0,0)</v>
      </c>
      <c r="CD411" t="str">
        <f t="shared" si="131"/>
        <v/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ht="15.95" customHeight="1" spans="1:87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1069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16254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3"/>
        <v>InitTypeState1('u0DA',1069,0,24,0,16254,0,0,0,0,0)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4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InitTypeState7('u0DA',0,0,0,0,0,0,0,0,0,0)</v>
      </c>
      <c r="CC412" t="str">
        <f t="shared" si="130"/>
        <v>InitTypeState1('u0DA',1069,0,24,0,16254,0,0,0,0,0)</v>
      </c>
      <c r="CD412" t="str">
        <f t="shared" si="131"/>
        <v/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ht="15.95" customHeight="1" spans="1:87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2938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35305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3"/>
        <v>InitTypeState1('u0DB',2938,0,44,0,35305,0,0,0,0,0)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4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5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6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7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8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29"/>
        <v>InitTypeState7('u0DB',0,0,0,0,0,0,0,0,0,0)</v>
      </c>
      <c r="CC413" t="str">
        <f t="shared" si="130"/>
        <v>InitTypeState1('u0DB',2938,0,44,0,35305,0,0,0,0,0)</v>
      </c>
      <c r="CD413" t="str">
        <f t="shared" si="131"/>
        <v/>
      </c>
      <c r="CE413" t="str">
        <f t="shared" si="132"/>
        <v/>
      </c>
      <c r="CF413" t="str">
        <f t="shared" si="133"/>
        <v/>
      </c>
      <c r="CG413" t="str">
        <f t="shared" si="134"/>
        <v/>
      </c>
      <c r="CH413" t="str">
        <f t="shared" si="135"/>
        <v/>
      </c>
      <c r="CI413" t="str">
        <f t="shared" si="136"/>
        <v/>
      </c>
    </row>
    <row r="414" ht="15.95" customHeight="1" spans="1:87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6483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70637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3"/>
        <v>InitTypeState1('u0DC',6483,0,64,0,70637,0,0,0,0,0)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4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5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6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7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8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29"/>
        <v>InitTypeState7('u0DC',0,0,0,0,0,0,0,0,0,0)</v>
      </c>
      <c r="CC414" t="str">
        <f t="shared" si="130"/>
        <v>InitTypeState1('u0DC',6483,0,64,0,70637,0,0,0,0,0)</v>
      </c>
      <c r="CD414" t="str">
        <f t="shared" si="131"/>
        <v/>
      </c>
      <c r="CE414" t="str">
        <f t="shared" si="132"/>
        <v/>
      </c>
      <c r="CF414" t="str">
        <f t="shared" si="133"/>
        <v/>
      </c>
      <c r="CG414" t="str">
        <f t="shared" si="134"/>
        <v/>
      </c>
      <c r="CH414" t="str">
        <f t="shared" si="135"/>
        <v/>
      </c>
      <c r="CI414" t="str">
        <f t="shared" si="136"/>
        <v/>
      </c>
    </row>
    <row r="415" ht="15.95" customHeight="1" spans="1:87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10809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100986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3"/>
        <v>InitTypeState1('u0DD',10809,0,84,0,100986,0,0,0,0,0)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4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5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6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7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8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29"/>
        <v>InitTypeState7('u0DD',0,0,0,0,0,0,0,0,0,0)</v>
      </c>
      <c r="CC415" t="str">
        <f t="shared" si="130"/>
        <v>InitTypeState1('u0DD',10809,0,84,0,100986,0,0,0,0,0)</v>
      </c>
      <c r="CD415" t="str">
        <f t="shared" si="131"/>
        <v/>
      </c>
      <c r="CE415" t="str">
        <f t="shared" si="132"/>
        <v/>
      </c>
      <c r="CF415" t="str">
        <f t="shared" si="133"/>
        <v/>
      </c>
      <c r="CG415" t="str">
        <f t="shared" si="134"/>
        <v/>
      </c>
      <c r="CH415" t="str">
        <f t="shared" si="135"/>
        <v/>
      </c>
      <c r="CI415" t="str">
        <f t="shared" si="136"/>
        <v/>
      </c>
    </row>
    <row r="416" ht="15.95" customHeight="1" spans="1:87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21285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142222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3"/>
        <v>InitTypeState1('u0DE',21285,0,104,0,142222,0,0,0,0,0)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4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5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6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7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8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29"/>
        <v>InitTypeState7('u0DE',0,0,0,0,0,0,0,0,0,0)</v>
      </c>
      <c r="CC416" t="str">
        <f t="shared" si="130"/>
        <v>InitTypeState1('u0DE',21285,0,104,0,142222,0,0,0,0,0)</v>
      </c>
      <c r="CD416" t="str">
        <f t="shared" si="131"/>
        <v/>
      </c>
      <c r="CE416" t="str">
        <f t="shared" si="132"/>
        <v/>
      </c>
      <c r="CF416" t="str">
        <f t="shared" si="133"/>
        <v/>
      </c>
      <c r="CG416" t="str">
        <f t="shared" si="134"/>
        <v/>
      </c>
      <c r="CH416" t="str">
        <f t="shared" si="135"/>
        <v/>
      </c>
      <c r="CI416" t="str">
        <f t="shared" si="136"/>
        <v/>
      </c>
    </row>
    <row r="417" ht="15.95" customHeight="1" spans="1:87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30020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2056214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3"/>
        <v>InitTypeState1('u0DF',30020,0,124,0,2056214,0,0,0,0,0)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4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5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6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7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8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29"/>
        <v>InitTypeState7('u0DF',0,0,0,0,0,0,0,0,0,0)</v>
      </c>
      <c r="CC417" t="str">
        <f t="shared" si="130"/>
        <v>InitTypeState1('u0DF',30020,0,124,0,2056214,0,0,0,0,0)</v>
      </c>
      <c r="CD417" t="str">
        <f t="shared" si="131"/>
        <v/>
      </c>
      <c r="CE417" t="str">
        <f t="shared" si="132"/>
        <v/>
      </c>
      <c r="CF417" t="str">
        <f t="shared" si="133"/>
        <v/>
      </c>
      <c r="CG417" t="str">
        <f t="shared" si="134"/>
        <v/>
      </c>
      <c r="CH417" t="str">
        <f t="shared" si="135"/>
        <v/>
      </c>
      <c r="CI417" t="str">
        <f t="shared" si="136"/>
        <v/>
      </c>
    </row>
    <row r="418" ht="15.95" customHeight="1" spans="1:87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46595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237555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3"/>
        <v>InitTypeState1('u0DG',46595,0,144,0,237555,0,0,0,0,0)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4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5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6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7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8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29"/>
        <v>InitTypeState7('u0DG',0,0,0,0,0,0,0,0,0,0)</v>
      </c>
      <c r="CC418" t="str">
        <f t="shared" si="130"/>
        <v>InitTypeState1('u0DG',46595,0,144,0,237555,0,0,0,0,0)</v>
      </c>
      <c r="CD418" t="str">
        <f t="shared" si="131"/>
        <v/>
      </c>
      <c r="CE418" t="str">
        <f t="shared" si="132"/>
        <v/>
      </c>
      <c r="CF418" t="str">
        <f t="shared" si="133"/>
        <v/>
      </c>
      <c r="CG418" t="str">
        <f t="shared" si="134"/>
        <v/>
      </c>
      <c r="CH418" t="str">
        <f t="shared" si="135"/>
        <v/>
      </c>
      <c r="CI418" t="str">
        <f t="shared" si="136"/>
        <v/>
      </c>
    </row>
    <row r="419" ht="15.95" customHeight="1" spans="1:87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62121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272830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3"/>
        <v>InitTypeState1('u0DH',62121,0,164,0,272830,0,0,0,0,0)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4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5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6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7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8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29"/>
        <v>InitTypeState7('u0DH',0,0,0,0,0,0,0,0,0,0)</v>
      </c>
      <c r="CC419" t="str">
        <f t="shared" si="130"/>
        <v>InitTypeState1('u0DH',62121,0,164,0,272830,0,0,0,0,0)</v>
      </c>
      <c r="CD419" t="str">
        <f t="shared" si="131"/>
        <v/>
      </c>
      <c r="CE419" t="str">
        <f t="shared" si="132"/>
        <v/>
      </c>
      <c r="CF419" t="str">
        <f t="shared" si="133"/>
        <v/>
      </c>
      <c r="CG419" t="str">
        <f t="shared" si="134"/>
        <v/>
      </c>
      <c r="CH419" t="str">
        <f t="shared" si="135"/>
        <v/>
      </c>
      <c r="CI419" t="str">
        <f t="shared" si="136"/>
        <v/>
      </c>
    </row>
    <row r="420" ht="15.95" customHeight="1" spans="1:87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87709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328345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3"/>
        <v>InitTypeState1('u0DI',87709,0,184,0,328345,0,0,0,0,0)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4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5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6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7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8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29"/>
        <v>InitTypeState7('u0DI',0,0,0,0,0,0,0,0,0,0)</v>
      </c>
      <c r="CC420" t="str">
        <f t="shared" si="130"/>
        <v>InitTypeState1('u0DI',87709,0,184,0,328345,0,0,0,0,0)</v>
      </c>
      <c r="CD420" t="str">
        <f t="shared" si="131"/>
        <v/>
      </c>
      <c r="CE420" t="str">
        <f t="shared" si="132"/>
        <v/>
      </c>
      <c r="CF420" t="str">
        <f t="shared" si="133"/>
        <v/>
      </c>
      <c r="CG420" t="str">
        <f t="shared" si="134"/>
        <v/>
      </c>
      <c r="CH420" t="str">
        <f t="shared" si="135"/>
        <v/>
      </c>
      <c r="CI420" t="str">
        <f t="shared" si="136"/>
        <v/>
      </c>
    </row>
    <row r="421" ht="15.95" customHeight="1" spans="1:87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130900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417565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3"/>
        <v>InitTypeState1('u0DJ',130900,0,204,0,417565,0,0,0,0,0)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4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5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6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7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8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29"/>
        <v>InitTypeState7('u0DJ',0,0,0,0,0,0,0,0,0,0)</v>
      </c>
      <c r="CC421" t="str">
        <f t="shared" si="130"/>
        <v>InitTypeState1('u0DJ',130900,0,204,0,417565,0,0,0,0,0)</v>
      </c>
      <c r="CD421" t="str">
        <f t="shared" si="131"/>
        <v/>
      </c>
      <c r="CE421" t="str">
        <f t="shared" si="132"/>
        <v/>
      </c>
      <c r="CF421" t="str">
        <f t="shared" si="133"/>
        <v/>
      </c>
      <c r="CG421" t="str">
        <f t="shared" si="134"/>
        <v/>
      </c>
      <c r="CH421" t="str">
        <f t="shared" si="135"/>
        <v/>
      </c>
      <c r="CI421" t="str">
        <f t="shared" si="136"/>
        <v/>
      </c>
    </row>
    <row r="422" ht="15.95" customHeight="1" spans="1:87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212950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524190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3"/>
        <v>InitTypeState1('u0DK',212950,0,224,0,524190,0,0,0,0,0)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4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5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6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7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8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29"/>
        <v>InitTypeState7('u0DK',0,0,0,0,0,0,0,0,0,0)</v>
      </c>
      <c r="CC422" t="str">
        <f t="shared" si="130"/>
        <v>InitTypeState1('u0DK',212950,0,224,0,524190,0,0,0,0,0)</v>
      </c>
      <c r="CD422" t="str">
        <f t="shared" si="131"/>
        <v/>
      </c>
      <c r="CE422" t="str">
        <f t="shared" si="132"/>
        <v/>
      </c>
      <c r="CF422" t="str">
        <f t="shared" si="133"/>
        <v/>
      </c>
      <c r="CG422" t="str">
        <f t="shared" si="134"/>
        <v/>
      </c>
      <c r="CH422" t="str">
        <f t="shared" si="135"/>
        <v/>
      </c>
      <c r="CI422" t="str">
        <f t="shared" si="136"/>
        <v/>
      </c>
    </row>
    <row r="423" ht="15.95" customHeight="1" spans="1:87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249322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6691210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23"/>
        <v>InitTypeState1('u0DL',249322,0,244,0,6691210,0,0,0,0,0)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24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5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6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7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8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29"/>
        <v>InitTypeState7('u0DL',0,0,0,0,0,0,0,0,0,0)</v>
      </c>
      <c r="CC423" t="str">
        <f t="shared" si="130"/>
        <v>InitTypeState1('u0DL',249322,0,244,0,6691210,0,0,0,0,0)</v>
      </c>
      <c r="CD423" t="str">
        <f t="shared" si="131"/>
        <v/>
      </c>
      <c r="CE423" t="str">
        <f t="shared" si="132"/>
        <v/>
      </c>
      <c r="CF423" t="str">
        <f t="shared" si="133"/>
        <v/>
      </c>
      <c r="CG423" t="str">
        <f t="shared" si="134"/>
        <v/>
      </c>
      <c r="CH423" t="str">
        <f t="shared" si="135"/>
        <v/>
      </c>
      <c r="CI423" t="str">
        <f t="shared" si="136"/>
        <v/>
      </c>
    </row>
    <row r="424" ht="15.95" customHeight="1" spans="1:87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368245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726649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23"/>
        <v>InitTypeState1('u0DM',368245,0,260,0,726649,0,0,0,0,0)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24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5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6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7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8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29"/>
        <v>InitTypeState7('u0DM',0,0,0,0,0,0,0,0,0,0)</v>
      </c>
      <c r="CC424" t="str">
        <f t="shared" si="130"/>
        <v>InitTypeState1('u0DM',368245,0,260,0,726649,0,0,0,0,0)</v>
      </c>
      <c r="CD424" t="str">
        <f t="shared" si="131"/>
        <v/>
      </c>
      <c r="CE424" t="str">
        <f t="shared" si="132"/>
        <v/>
      </c>
      <c r="CF424" t="str">
        <f t="shared" si="133"/>
        <v/>
      </c>
      <c r="CG424" t="str">
        <f t="shared" si="134"/>
        <v/>
      </c>
      <c r="CH424" t="str">
        <f t="shared" si="135"/>
        <v/>
      </c>
      <c r="CI424" t="str">
        <f t="shared" si="136"/>
        <v/>
      </c>
    </row>
    <row r="425" ht="15.95" customHeight="1" spans="1:87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443182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797171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23"/>
        <v>InitTypeState1('u0DN',443182,0,276,0,797171,0,0,0,0,0)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24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5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6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7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8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29"/>
        <v>InitTypeState7('u0DN',0,0,0,0,0,0,0,0,0,0)</v>
      </c>
      <c r="CC425" t="str">
        <f t="shared" si="130"/>
        <v>InitTypeState1('u0DN',443182,0,276,0,797171,0,0,0,0,0)</v>
      </c>
      <c r="CD425" t="str">
        <f t="shared" si="131"/>
        <v/>
      </c>
      <c r="CE425" t="str">
        <f t="shared" si="132"/>
        <v/>
      </c>
      <c r="CF425" t="str">
        <f t="shared" si="133"/>
        <v/>
      </c>
      <c r="CG425" t="str">
        <f t="shared" si="134"/>
        <v/>
      </c>
      <c r="CH425" t="str">
        <f t="shared" si="135"/>
        <v/>
      </c>
      <c r="CI425" t="str">
        <f t="shared" si="136"/>
        <v/>
      </c>
    </row>
    <row r="426" ht="15.95" customHeight="1" spans="1:87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511090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871304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23"/>
        <v>InitTypeState1('u0DO',511090,0,292,0,871304,0,0,0,0,0)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24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5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6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7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8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29"/>
        <v>InitTypeState7('u0DO',0,0,0,0,0,0,0,0,0,0)</v>
      </c>
      <c r="CC426" t="str">
        <f t="shared" si="130"/>
        <v>InitTypeState1('u0DO',511090,0,292,0,871304,0,0,0,0,0)</v>
      </c>
      <c r="CD426" t="str">
        <f t="shared" si="131"/>
        <v/>
      </c>
      <c r="CE426" t="str">
        <f t="shared" si="132"/>
        <v/>
      </c>
      <c r="CF426" t="str">
        <f t="shared" si="133"/>
        <v/>
      </c>
      <c r="CG426" t="str">
        <f t="shared" si="134"/>
        <v/>
      </c>
      <c r="CH426" t="str">
        <f t="shared" si="135"/>
        <v/>
      </c>
      <c r="CI426" t="str">
        <f t="shared" si="136"/>
        <v/>
      </c>
    </row>
    <row r="427" ht="15.95" customHeight="1" spans="1:87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618822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991767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23"/>
        <v>InitTypeState1('u0DP',618822,0,308,0,991767,0,0,0,0,0)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24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5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6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7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8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29"/>
        <v>InitTypeState7('u0DP',0,0,0,0,0,0,0,0,0,0)</v>
      </c>
      <c r="CC427" t="str">
        <f t="shared" si="130"/>
        <v>InitTypeState1('u0DP',618822,0,308,0,991767,0,0,0,0,0)</v>
      </c>
      <c r="CD427" t="str">
        <f t="shared" si="131"/>
        <v/>
      </c>
      <c r="CE427" t="str">
        <f t="shared" si="132"/>
        <v/>
      </c>
      <c r="CF427" t="str">
        <f t="shared" si="133"/>
        <v/>
      </c>
      <c r="CG427" t="str">
        <f t="shared" si="134"/>
        <v/>
      </c>
      <c r="CH427" t="str">
        <f t="shared" si="135"/>
        <v/>
      </c>
      <c r="CI427" t="str">
        <f t="shared" si="136"/>
        <v/>
      </c>
    </row>
    <row r="428" ht="15.95" customHeight="1" spans="1:87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788940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1185096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23"/>
        <v>InitTypeState1('u0DQ',788940,0,324,0,1185096,0,0,0,0,0)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24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5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6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7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8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29"/>
        <v>InitTypeState7('u0DQ',0,0,0,0,0,0,0,0,0,0)</v>
      </c>
      <c r="CC428" t="str">
        <f t="shared" si="130"/>
        <v>InitTypeState1('u0DQ',788940,0,324,0,1185096,0,0,0,0,0)</v>
      </c>
      <c r="CD428" t="str">
        <f t="shared" si="131"/>
        <v/>
      </c>
      <c r="CE428" t="str">
        <f t="shared" si="132"/>
        <v/>
      </c>
      <c r="CF428" t="str">
        <f t="shared" si="133"/>
        <v/>
      </c>
      <c r="CG428" t="str">
        <f t="shared" si="134"/>
        <v/>
      </c>
      <c r="CH428" t="str">
        <f t="shared" si="135"/>
        <v/>
      </c>
      <c r="CI428" t="str">
        <f t="shared" si="136"/>
        <v/>
      </c>
    </row>
    <row r="429" ht="15.95" customHeight="1" spans="1:87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875363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13976400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3"/>
        <v>InitTypeState1('u0DR',875363,0,340,0,13976400,0,0,0,0,0)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24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5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6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7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8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29"/>
        <v>InitTypeState7('u0DR',0,0,0,0,0,0,0,0,0,0)</v>
      </c>
      <c r="CC429" t="str">
        <f t="shared" si="130"/>
        <v>InitTypeState1('u0DR',875363,0,340,0,13976400,0,0,0,0,0)</v>
      </c>
      <c r="CD429" t="str">
        <f t="shared" si="131"/>
        <v/>
      </c>
      <c r="CE429" t="str">
        <f t="shared" si="132"/>
        <v/>
      </c>
      <c r="CF429" t="str">
        <f t="shared" si="133"/>
        <v/>
      </c>
      <c r="CG429" t="str">
        <f t="shared" si="134"/>
        <v/>
      </c>
      <c r="CH429" t="str">
        <f t="shared" si="135"/>
        <v/>
      </c>
      <c r="CI429" t="str">
        <f t="shared" si="136"/>
        <v/>
      </c>
    </row>
    <row r="430" ht="15.95" customHeight="1" spans="1:87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1395176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1668286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3"/>
        <v>InitTypeState1('u0DS',1395176,0,356,0,1668286,0,0,0,0,0)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24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5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6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7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8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29"/>
        <v>InitTypeState7('u0DS',0,0,0,0,0,0,0,0,0,0)</v>
      </c>
      <c r="CC430" t="str">
        <f t="shared" si="130"/>
        <v>InitTypeState1('u0DS',1395176,0,356,0,1668286,0,0,0,0,0)</v>
      </c>
      <c r="CD430" t="str">
        <f t="shared" si="131"/>
        <v/>
      </c>
      <c r="CE430" t="str">
        <f t="shared" si="132"/>
        <v/>
      </c>
      <c r="CF430" t="str">
        <f t="shared" si="133"/>
        <v/>
      </c>
      <c r="CG430" t="str">
        <f t="shared" si="134"/>
        <v/>
      </c>
      <c r="CH430" t="str">
        <f t="shared" si="135"/>
        <v/>
      </c>
      <c r="CI430" t="str">
        <f t="shared" si="136"/>
        <v/>
      </c>
    </row>
    <row r="431" ht="15.95" customHeight="1" spans="1:87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1735418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1903683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3"/>
        <v>InitTypeState1('u0DT',1735418,0,372,0,1903683,0,0,0,0,0)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24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5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6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7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8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29"/>
        <v>InitTypeState7('u0DT',0,0,0,0,0,0,0,0,0,0)</v>
      </c>
      <c r="CC431" t="str">
        <f t="shared" si="130"/>
        <v>InitTypeState1('u0DT',1735418,0,372,0,1903683,0,0,0,0,0)</v>
      </c>
      <c r="CD431" t="str">
        <f t="shared" si="131"/>
        <v/>
      </c>
      <c r="CE431" t="str">
        <f t="shared" si="132"/>
        <v/>
      </c>
      <c r="CF431" t="str">
        <f t="shared" si="133"/>
        <v/>
      </c>
      <c r="CG431" t="str">
        <f t="shared" si="134"/>
        <v/>
      </c>
      <c r="CH431" t="str">
        <f t="shared" si="135"/>
        <v/>
      </c>
      <c r="CI431" t="str">
        <f t="shared" si="136"/>
        <v/>
      </c>
    </row>
    <row r="432" ht="15.95" customHeight="1" spans="1:87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2056949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2091939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3"/>
        <v>InitTypeState1('u0DU',2056949,0,388,0,2091939,0,0,0,0,0)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24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5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6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7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8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29"/>
        <v>InitTypeState7('u0DU',0,0,0,0,0,0,0,0,0,0)</v>
      </c>
      <c r="CC432" t="str">
        <f t="shared" si="130"/>
        <v>InitTypeState1('u0DU',2056949,0,388,0,2091939,0,0,0,0,0)</v>
      </c>
      <c r="CD432" t="str">
        <f t="shared" si="131"/>
        <v/>
      </c>
      <c r="CE432" t="str">
        <f t="shared" si="132"/>
        <v/>
      </c>
      <c r="CF432" t="str">
        <f t="shared" si="133"/>
        <v/>
      </c>
      <c r="CG432" t="str">
        <f t="shared" si="134"/>
        <v/>
      </c>
      <c r="CH432" t="str">
        <f t="shared" si="135"/>
        <v/>
      </c>
      <c r="CI432" t="str">
        <f t="shared" si="136"/>
        <v/>
      </c>
    </row>
    <row r="433" ht="15.95" customHeight="1" spans="1:87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2438655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2300738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3"/>
        <v>InitTypeState1('u0DV',2438655,0,404,0,2300738,0,0,0,0,0)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24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5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6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7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8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29"/>
        <v>InitTypeState7('u0DV',0,0,0,0,0,0,0,0,0,0)</v>
      </c>
      <c r="CC433" t="str">
        <f t="shared" si="130"/>
        <v>InitTypeState1('u0DV',2438655,0,404,0,2300738,0,0,0,0,0)</v>
      </c>
      <c r="CD433" t="str">
        <f t="shared" si="131"/>
        <v/>
      </c>
      <c r="CE433" t="str">
        <f t="shared" si="132"/>
        <v/>
      </c>
      <c r="CF433" t="str">
        <f t="shared" si="133"/>
        <v/>
      </c>
      <c r="CG433" t="str">
        <f t="shared" si="134"/>
        <v/>
      </c>
      <c r="CH433" t="str">
        <f t="shared" si="135"/>
        <v/>
      </c>
      <c r="CI433" t="str">
        <f t="shared" si="136"/>
        <v/>
      </c>
    </row>
    <row r="434" ht="15.95" customHeight="1" spans="1:87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3014153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2582680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23"/>
        <v>InitTypeState1('u0DW',3014153,0,420,0,2582680,0,0,0,0,0)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24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5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6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7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8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29"/>
        <v>InitTypeState7('u0DW',0,0,0,0,0,0,0,0,0,0)</v>
      </c>
      <c r="CC434" t="str">
        <f t="shared" si="130"/>
        <v>InitTypeState1('u0DW',3014153,0,420,0,2582680,0,0,0,0,0)</v>
      </c>
      <c r="CD434" t="str">
        <f t="shared" si="131"/>
        <v/>
      </c>
      <c r="CE434" t="str">
        <f t="shared" si="132"/>
        <v/>
      </c>
      <c r="CF434" t="str">
        <f t="shared" si="133"/>
        <v/>
      </c>
      <c r="CG434" t="str">
        <f t="shared" si="134"/>
        <v/>
      </c>
      <c r="CH434" t="str">
        <f t="shared" si="135"/>
        <v/>
      </c>
      <c r="CI434" t="str">
        <f t="shared" si="136"/>
        <v/>
      </c>
    </row>
    <row r="435" ht="15.95" customHeight="1" spans="1:87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2629173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26666677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3"/>
        <v>InitTypeState1('u0DX',2629173,0,436,0,26666677,0,0,0,0,0)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24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5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6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7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8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29"/>
        <v>InitTypeState7('u0DX',0,0,0,0,0,0,0,0,0,0)</v>
      </c>
      <c r="CC435" t="str">
        <f t="shared" si="130"/>
        <v>InitTypeState1('u0DX',2629173,0,436,0,26666677,0,0,0,0,0)</v>
      </c>
      <c r="CD435" t="str">
        <f t="shared" si="131"/>
        <v/>
      </c>
      <c r="CE435" t="str">
        <f t="shared" si="132"/>
        <v/>
      </c>
      <c r="CF435" t="str">
        <f t="shared" si="133"/>
        <v/>
      </c>
      <c r="CG435" t="str">
        <f t="shared" si="134"/>
        <v/>
      </c>
      <c r="CH435" t="str">
        <f t="shared" si="135"/>
        <v/>
      </c>
      <c r="CI435" t="str">
        <f t="shared" si="136"/>
        <v/>
      </c>
    </row>
    <row r="436" ht="15.95" customHeight="1" spans="1:87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3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24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5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6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7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8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29"/>
        <v>InitTypeState7('u020',0,0,0,0,0,0,0,0,0,0)</v>
      </c>
      <c r="CC436" t="str">
        <f t="shared" si="130"/>
        <v>InitTypeState1('u020',2,0,0,0,91,0,0,0,0,0)</v>
      </c>
      <c r="CD436" t="str">
        <f t="shared" si="131"/>
        <v/>
      </c>
      <c r="CE436" t="str">
        <f t="shared" si="132"/>
        <v/>
      </c>
      <c r="CF436" t="str">
        <f t="shared" si="133"/>
        <v/>
      </c>
      <c r="CG436" t="str">
        <f t="shared" si="134"/>
        <v/>
      </c>
      <c r="CH436" t="str">
        <f t="shared" si="135"/>
        <v/>
      </c>
      <c r="CI436" t="str">
        <f t="shared" si="136"/>
        <v/>
      </c>
    </row>
    <row r="437" ht="15.95" customHeight="1" spans="1:87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ref="N437:N500" si="138">"InitTypeState1("&amp;$B437&amp;","&amp;D437&amp;","&amp;E437&amp;","&amp;F437&amp;","&amp;G437&amp;","&amp;H437&amp;","&amp;I437&amp;","&amp;J437&amp;","&amp;K437&amp;","&amp;L437&amp;","&amp;M437&amp;")"</f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ref="Y437:Y500" si="139">"InitTypeState2("&amp;$B437&amp;","&amp;O437&amp;","&amp;P437&amp;","&amp;Q437&amp;","&amp;R437&amp;","&amp;S437&amp;","&amp;T437&amp;","&amp;U437&amp;","&amp;V437&amp;","&amp;W437&amp;","&amp;X437&amp;")"</f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ref="AJ437:AJ500" si="140">"InitTypeState3("&amp;$B437&amp;","&amp;Z437&amp;","&amp;AA437&amp;","&amp;AB437&amp;","&amp;AC437&amp;","&amp;AD437&amp;","&amp;AE437&amp;","&amp;AF437&amp;","&amp;AG437&amp;","&amp;AH437&amp;","&amp;AI437&amp;")"</f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ref="AU437:AU500" si="141">"InitTypeState4("&amp;$B437&amp;","&amp;AK437&amp;","&amp;AL437&amp;","&amp;AM437&amp;","&amp;AN437&amp;","&amp;AO437&amp;","&amp;AP437&amp;","&amp;AQ437&amp;","&amp;AR437&amp;","&amp;AS437&amp;","&amp;AT437&amp;")"</f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ref="BF437:BF500" si="142">"InitTypeState5("&amp;$B437&amp;","&amp;AV437&amp;","&amp;AW437&amp;","&amp;AX437&amp;","&amp;AY437&amp;","&amp;AZ437&amp;","&amp;BA437&amp;","&amp;BB437&amp;","&amp;BC437&amp;","&amp;BD437&amp;","&amp;BE437&amp;")"</f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ref="BQ437:BQ500" si="143">"InitTypeState6("&amp;$B437&amp;","&amp;BG437&amp;","&amp;BH437&amp;","&amp;BI437&amp;","&amp;BJ437&amp;","&amp;BK437&amp;","&amp;BL437&amp;","&amp;BM437&amp;","&amp;BN437&amp;","&amp;BO437&amp;","&amp;BP437&amp;")"</f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ref="CB437:CB500" si="144">"InitTypeState7("&amp;$B437&amp;","&amp;BR437&amp;","&amp;BS437&amp;","&amp;BT437&amp;","&amp;BU437&amp;","&amp;BV437&amp;","&amp;BW437&amp;","&amp;BX437&amp;","&amp;BY437&amp;","&amp;BZ437&amp;","&amp;CA437&amp;")"</f>
        <v>InitTypeState7('u021',0,0,0,0,0,0,0,0,0,0)</v>
      </c>
      <c r="CC437" t="str">
        <f t="shared" ref="CC437:CC500" si="145">IF(ISERROR(FIND(",0,0,0,0,0,0,0,0,0,0)",N437)),N437,"")</f>
        <v>InitTypeState1('u021',93,0,4,0,3772,0,0,0,0,0)</v>
      </c>
      <c r="CD437" t="str">
        <f t="shared" ref="CD437:CD500" si="146">IF(ISERROR(FIND(",0,0,0,0,0,0,0,0,0,0)",Y437)),Y437,"")</f>
        <v/>
      </c>
      <c r="CE437" t="str">
        <f t="shared" ref="CE437:CE500" si="147">IF(ISERROR(FIND(",0,0,0,0,0,0,0,0,0,0)",AJ437)),AJ437,"")</f>
        <v/>
      </c>
      <c r="CF437" t="str">
        <f t="shared" ref="CF437:CF500" si="148">IF(ISERROR(FIND(",0,0,0,0,0,0,0,0,0,0)",AU437)),AU437,"")</f>
        <v/>
      </c>
      <c r="CG437" t="str">
        <f t="shared" ref="CG437:CG500" si="149">IF(ISERROR(FIND(",0,0,0,0,0,0,0,0,0,0)",BF437)),BF437,"")</f>
        <v/>
      </c>
      <c r="CH437" t="str">
        <f t="shared" ref="CH437:CH500" si="150">IF(ISERROR(FIND(",0,0,0,0,0,0,0,0,0,0)",BQ437)),BQ437,"")</f>
        <v/>
      </c>
      <c r="CI437" t="str">
        <f t="shared" ref="CI437:CI500" si="151">IF(ISERROR(FIND(",0,0,0,0,0,0,0,0,0,0)",CB437)),CB437,"")</f>
        <v/>
      </c>
    </row>
    <row r="438" ht="15.95" customHeight="1" spans="1:87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997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190149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InitTypeState1('uT0A',997,0,32,0,190149,0,0,0,0,0)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InitTypeState1('uT0A',997,0,32,0,190149,0,0,0,0,0)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ht="15.95" customHeight="1" spans="1:87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5144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703473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InitTypeState1('uT0B',5144,0,72,0,703473,0,0,0,0,0)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InitTypeState1('uT0B',5144,0,72,0,703473,0,0,0,0,0)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ht="15.95" customHeight="1" spans="1:87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17015</v>
      </c>
      <c r="E440">
        <f>ROUND(单位属性!E440,0)</f>
        <v>0</v>
      </c>
      <c r="F440">
        <f>ROUND(单位属性!F440,0)</f>
        <v>112</v>
      </c>
      <c r="G440">
        <f>ROUND(单位属性!G440,0)</f>
        <v>0</v>
      </c>
      <c r="H440">
        <f>ROUND(单位属性!H440,0)</f>
        <v>1443029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InitTypeState1('uT0C',17015,0,112,0,1443029,0,0,0,0,0)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InitTypeState1('uT0C',17015,0,112,0,1443029,0,0,0,0,0)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ht="15.95" customHeight="1" spans="1:87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31745</v>
      </c>
      <c r="E441">
        <f>ROUND(单位属性!E441,0)</f>
        <v>0</v>
      </c>
      <c r="F441">
        <f>ROUND(单位属性!F441,0)</f>
        <v>152</v>
      </c>
      <c r="G441">
        <f>ROUND(单位属性!G441,0)</f>
        <v>0</v>
      </c>
      <c r="H441">
        <f>ROUND(单位属性!H441,0)</f>
        <v>2147505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InitTypeState1('uT0D',31745,0,152,0,2147505,0,0,0,0,0)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InitTypeState1('uT0D',31745,0,152,0,2147505,0,0,0,0,0)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ht="15.95" customHeight="1" spans="1:87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62595</v>
      </c>
      <c r="E442">
        <f>ROUND(单位属性!E442,0)</f>
        <v>0</v>
      </c>
      <c r="F442">
        <f>ROUND(单位属性!F442,0)</f>
        <v>192</v>
      </c>
      <c r="G442">
        <f>ROUND(单位属性!G442,0)</f>
        <v>0</v>
      </c>
      <c r="H442">
        <f>ROUND(单位属性!H442,0)</f>
        <v>3117670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InitTypeState1('uT0E',62595,0,192,0,3117670,0,0,0,0,0)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InitTypeState1('uT0E',62595,0,192,0,3117670,0,0,0,0,0)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ht="15.95" customHeight="1" spans="1:87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152628</v>
      </c>
      <c r="E443">
        <f>ROUND(单位属性!E443,0)</f>
        <v>0</v>
      </c>
      <c r="F443">
        <f>ROUND(单位属性!F443,0)</f>
        <v>232</v>
      </c>
      <c r="G443">
        <f>ROUND(单位属性!G443,0)</f>
        <v>0</v>
      </c>
      <c r="H443">
        <f>ROUND(单位属性!H443,0)</f>
        <v>5024178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InitTypeState1('uT0F',152628,0,232,0,5024178,0,0,0,0,0)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InitTypeState1('uT0F',152628,0,232,0,5024178,0,0,0,0,0)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ht="15.95" customHeight="1" spans="1:87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306654</v>
      </c>
      <c r="E444">
        <f>ROUND(单位属性!E444,0)</f>
        <v>0</v>
      </c>
      <c r="F444">
        <f>ROUND(单位属性!F444,0)</f>
        <v>292</v>
      </c>
      <c r="G444">
        <f>ROUND(单位属性!G444,0)</f>
        <v>0</v>
      </c>
      <c r="H444">
        <f>ROUND(单位属性!H444,0)</f>
        <v>7493229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InitTypeState1('uT0G',306654,0,292,0,7493229,0,0,0,0,0)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InitTypeState1('uT0G',306654,0,292,0,7493229,0,0,0,0,0)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ht="15.95" customHeight="1" spans="1:87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789164</v>
      </c>
      <c r="E445">
        <f>ROUND(单位属性!E445,0)</f>
        <v>0</v>
      </c>
      <c r="F445">
        <f>ROUND(单位属性!F445,0)</f>
        <v>352</v>
      </c>
      <c r="G445">
        <f>ROUND(单位属性!G445,0)</f>
        <v>0</v>
      </c>
      <c r="H445">
        <f>ROUND(单位属性!H445,0)</f>
        <v>13736205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InitTypeState1('uT0H',789164,0,352,0,13736205,0,0,0,0,0)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InitTypeState1('uT0H',789164,0,352,0,13736205,0,0,0,0,0)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ht="15.95" customHeight="1" spans="1:87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1619711</v>
      </c>
      <c r="E446">
        <f>ROUND(单位属性!E446,0)</f>
        <v>0</v>
      </c>
      <c r="F446">
        <f>ROUND(单位属性!F446,0)</f>
        <v>412</v>
      </c>
      <c r="G446">
        <f>ROUND(单位属性!G446,0)</f>
        <v>0</v>
      </c>
      <c r="H446">
        <f>ROUND(单位属性!H446,0)</f>
        <v>20915418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InitTypeState1('uT0I',1619711,0,412,0,20915418,0,0,0,0,0)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InitTypeState1('uT0I',1619711,0,412,0,20915418,0,0,0,0,0)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ht="15.95" customHeight="1" spans="1:87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2388090</v>
      </c>
      <c r="E447">
        <f>ROUND(单位属性!E447,0)</f>
        <v>0</v>
      </c>
      <c r="F447">
        <f>ROUND(单位属性!F447,0)</f>
        <v>472</v>
      </c>
      <c r="G447">
        <f>ROUND(单位属性!G447,0)</f>
        <v>0</v>
      </c>
      <c r="H447">
        <f>ROUND(单位属性!H447,0)</f>
        <v>24807289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InitTypeState1('uT0J',2388090,0,472,0,24807289,0,0,0,0,0)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InitTypeState1('uT0J',2388090,0,472,0,24807289,0,0,0,0,0)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ht="15.95" customHeight="1" spans="1:87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3898725</v>
      </c>
      <c r="E448">
        <f>ROUND(单位属性!E448,0)</f>
        <v>0</v>
      </c>
      <c r="F448">
        <f>ROUND(单位属性!F448,0)</f>
        <v>532</v>
      </c>
      <c r="G448">
        <f>ROUND(单位属性!G448,0)</f>
        <v>0</v>
      </c>
      <c r="H448">
        <f>ROUND(单位属性!H448,0)</f>
        <v>32242099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InitTypeState1('uT0K',3898725,0,532,0,32242099,0,0,0,0,0)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InitTypeState1('uT0K',3898725,0,532,0,32242099,0,0,0,0,0)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ht="15.95" customHeight="1" spans="1:87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6228567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41491911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InitTypeState1('uT0L',6228567,0,592,0,41491911,0,0,0,0,0)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InitTypeState1('uT0L',6228567,0,592,0,41491911,0,0,0,0,0)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ht="15.95" customHeight="1" spans="1:87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2851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416344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InitTypeState1('uT5A',2851,0,52,0,416344,0,0,0,0,0)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InitTypeState1('uT5A',2851,0,52,0,416344,0,0,0,0,0)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ht="15.95" customHeight="1" spans="1:87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8177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984423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InitTypeState1('uT5B',8177,0,92,0,984423,0,0,0,0,0)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InitTypeState1('uT5B',8177,0,92,0,984423,0,0,0,0,0)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ht="15.95" customHeight="1" spans="1:87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25919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1876465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InitTypeState1('uT5C',25919,0,132,0,1876465,0,0,0,0,0)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InitTypeState1('uT5C',25919,0,132,0,1876465,0,0,0,0,0)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ht="15.95" customHeight="1" spans="1:87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43211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2513225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InitTypeState1('uT5D',43211,0,172,0,2513225,0,0,0,0,0)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InitTypeState1('uT5D',43211,0,172,0,2513225,0,0,0,0,0)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ht="15.95" customHeight="1" spans="1:87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90299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3905122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InitTypeState1('uT5E',90299,0,212,0,3905122,0,0,0,0,0)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InitTypeState1('uT5E',90299,0,212,0,3905122,0,0,0,0,0)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ht="15.95" customHeight="1" spans="1:87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205415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6020868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InitTypeState1('uT5F',205415,0,252,0,6020868,0,0,0,0,0)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InitTypeState1('uT5F',205415,0,252,0,6020868,0,0,0,0,0)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ht="15.95" customHeight="1" spans="1:87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398135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8980431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InitTypeState1('uT5G',398135,0,312,0,8980431,0,0,0,0,0)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InitTypeState1('uT5G',398135,0,312,0,8980431,0,0,0,0,0)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ht="15.95" customHeight="1" spans="1:87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1041250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16371663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InitTypeState1('uT5H',1041250,0,372,0,16371663,0,0,0,0,0)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InitTypeState1('uT5H',1041250,0,372,0,16371663,0,0,0,0,0)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ht="15.95" customHeight="1" spans="1:87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1933021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22769889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InitTypeState1('uT5I',1933021,0,432,0,22769889,0,0,0,0,0)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InitTypeState1('uT5I',1933021,0,432,0,22769889,0,0,0,0,0)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ht="15.95" customHeight="1" spans="1:87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2793441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26790095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InitTypeState1('uT5J',2793441,0,492,0,26790095,0,0,0,0,0)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InitTypeState1('uT5J',2793441,0,492,0,26790095,0,0,0,0,0)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ht="15.95" customHeight="1" spans="1:87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4677400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35370600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InitTypeState1('uT5K',4677400,0,552,0,35370600,0,0,0,0,0)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InitTypeState1('uT5K',4677400,0,552,0,35370600,0,0,0,0,0)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ht="15.95" customHeight="1" spans="1:87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6989633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44184931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InitTypeState1('uT5L',6989633,0,612,0,44184931,0,0,0,0,0)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InitTypeState1('uT5L',6989633,0,612,0,44184931,0,0,0,0,0)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ht="15.95" customHeight="1" spans="1:87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11285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967579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InitTypeState1('uT1A',11285,0,68,0,967579,0,0,0,0,0)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InitTypeState1('uT1A',11285,0,68,0,967579,0,0,0,0,0)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ht="15.95" customHeight="1" spans="1:87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57727</v>
      </c>
      <c r="E463">
        <f>ROUND(单位属性!E463,0)</f>
        <v>0</v>
      </c>
      <c r="F463">
        <f>ROUND(单位属性!F463,0)</f>
        <v>128</v>
      </c>
      <c r="G463">
        <f>ROUND(单位属性!G463,0)</f>
        <v>0</v>
      </c>
      <c r="H463">
        <f>ROUND(单位属性!H463,0)</f>
        <v>2715646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InitTypeState1('uT1B',57727,0,128,0,2715646,0,0,0,0,0)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InitTypeState1('uT1B',57727,0,128,0,2715646,0,0,0,0,0)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ht="15.95" customHeight="1" spans="1:87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131342</v>
      </c>
      <c r="E464">
        <f>ROUND(单位属性!E464,0)</f>
        <v>0</v>
      </c>
      <c r="F464">
        <f>ROUND(单位属性!F464,0)</f>
        <v>188</v>
      </c>
      <c r="G464">
        <f>ROUND(单位属性!G464,0)</f>
        <v>0</v>
      </c>
      <c r="H464">
        <f>ROUND(单位属性!H464,0)</f>
        <v>4413145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InitTypeState1('uT1C',131342,0,188,0,4413145,0,0,0,0,0)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InitTypeState1('uT1C',131342,0,188,0,4413145,0,0,0,0,0)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ht="15.95" customHeight="1" spans="1:87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433042</v>
      </c>
      <c r="E465">
        <f>ROUND(单位属性!E465,0)</f>
        <v>0</v>
      </c>
      <c r="F465">
        <f>ROUND(单位属性!F465,0)</f>
        <v>248</v>
      </c>
      <c r="G465">
        <f>ROUND(单位属性!G465,0)</f>
        <v>0</v>
      </c>
      <c r="H465">
        <f>ROUND(单位属性!H465,0)</f>
        <v>8791384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InitTypeState1('uT1D',433042,0,248,0,8791384,0,0,0,0,0)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39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InitTypeState7('uT1D',0,0,0,0,0,0,0,0,0,0)</v>
      </c>
      <c r="CC465" t="str">
        <f t="shared" si="145"/>
        <v>InitTypeState1('uT1D',433042,0,248,0,8791384,0,0,0,0,0)</v>
      </c>
      <c r="CD465" t="str">
        <f t="shared" si="146"/>
        <v/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ht="15.95" customHeight="1" spans="1:87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808969</v>
      </c>
      <c r="E466">
        <f>ROUND(单位属性!E466,0)</f>
        <v>0</v>
      </c>
      <c r="F466">
        <f>ROUND(单位属性!F466,0)</f>
        <v>308</v>
      </c>
      <c r="G466">
        <f>ROUND(单位属性!G466,0)</f>
        <v>0</v>
      </c>
      <c r="H466">
        <f>ROUND(单位属性!H466,0)</f>
        <v>12793810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8"/>
        <v>InitTypeState1('uT1E',808969,0,308,0,12793810,0,0,0,0,0)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39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InitTypeState7('uT1E',0,0,0,0,0,0,0,0,0,0)</v>
      </c>
      <c r="CC466" t="str">
        <f t="shared" si="145"/>
        <v>InitTypeState1('uT1E',808969,0,308,0,12793810,0,0,0,0,0)</v>
      </c>
      <c r="CD466" t="str">
        <f t="shared" si="146"/>
        <v/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ht="15.95" customHeight="1" spans="1:87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2112192</v>
      </c>
      <c r="E467">
        <f>ROUND(单位属性!E467,0)</f>
        <v>0</v>
      </c>
      <c r="F467">
        <f>ROUND(单位属性!F467,0)</f>
        <v>368</v>
      </c>
      <c r="G467">
        <f>ROUND(单位属性!G467,0)</f>
        <v>0</v>
      </c>
      <c r="H467">
        <f>ROUND(单位属性!H467,0)</f>
        <v>23833990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8"/>
        <v>InitTypeState1('uT1F',2112192,0,368,0,23833990,0,0,0,0,0)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39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InitTypeState7('uT1F',0,0,0,0,0,0,0,0,0,0)</v>
      </c>
      <c r="CC467" t="str">
        <f t="shared" si="145"/>
        <v>InitTypeState1('uT1F',2112192,0,368,0,23833990,0,0,0,0,0)</v>
      </c>
      <c r="CD467" t="str">
        <f t="shared" si="146"/>
        <v/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ht="15.95" customHeight="1" spans="1:87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3982943</v>
      </c>
      <c r="E468">
        <f>ROUND(单位属性!E468,0)</f>
        <v>0</v>
      </c>
      <c r="F468">
        <f>ROUND(单位属性!F468,0)</f>
        <v>428</v>
      </c>
      <c r="G468">
        <f>ROUND(单位属性!G468,0)</f>
        <v>0</v>
      </c>
      <c r="H468">
        <f>ROUND(单位属性!H468,0)</f>
        <v>33789258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8"/>
        <v>InitTypeState1('uT1G',3982943,0,428,0,33789258,0,0,0,0,0)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39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InitTypeState7('uT1G',0,0,0,0,0,0,0,0,0,0)</v>
      </c>
      <c r="CC468" t="str">
        <f t="shared" si="145"/>
        <v>InitTypeState1('uT1G',3982943,0,428,0,33789258,0,0,0,0,0)</v>
      </c>
      <c r="CD468" t="str">
        <f t="shared" si="146"/>
        <v/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ht="15.95" customHeight="1" spans="1:87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5618618</v>
      </c>
      <c r="E469">
        <f>ROUND(单位属性!E469,0)</f>
        <v>0</v>
      </c>
      <c r="F469">
        <f>ROUND(单位属性!F469,0)</f>
        <v>488</v>
      </c>
      <c r="G469">
        <f>ROUND(单位属性!G469,0)</f>
        <v>0</v>
      </c>
      <c r="H469">
        <f>ROUND(单位属性!H469,0)</f>
        <v>39285858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8"/>
        <v>InitTypeState1('uT1H',5618618,0,488,0,39285858,0,0,0,0,0)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39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InitTypeState7('uT1H',0,0,0,0,0,0,0,0,0,0)</v>
      </c>
      <c r="CC469" t="str">
        <f t="shared" si="145"/>
        <v>InitTypeState1('uT1H',5618618,0,488,0,39285858,0,0,0,0,0)</v>
      </c>
      <c r="CD469" t="str">
        <f t="shared" si="146"/>
        <v/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ht="15.95" customHeight="1" spans="1:87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9389822</v>
      </c>
      <c r="E470">
        <f>ROUND(单位属性!E470,0)</f>
        <v>0</v>
      </c>
      <c r="F470">
        <f>ROUND(单位属性!F470,0)</f>
        <v>548</v>
      </c>
      <c r="G470">
        <f>ROUND(单位属性!G470,0)</f>
        <v>0</v>
      </c>
      <c r="H470">
        <f>ROUND(单位属性!H470,0)</f>
        <v>52030505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8"/>
        <v>InitTypeState1('uT1I',9389822,0,548,0,52030505,0,0,0,0,0)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39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InitTypeState7('uT1I',0,0,0,0,0,0,0,0,0,0)</v>
      </c>
      <c r="CC470" t="str">
        <f t="shared" si="145"/>
        <v>InitTypeState1('uT1I',9389822,0,548,0,52030505,0,0,0,0,0)</v>
      </c>
      <c r="CD470" t="str">
        <f t="shared" si="146"/>
        <v/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ht="15.95" customHeight="1" spans="1:87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14198479</v>
      </c>
      <c r="E471">
        <f>ROUND(单位属性!E471,0)</f>
        <v>0</v>
      </c>
      <c r="F471">
        <f>ROUND(单位属性!F471,0)</f>
        <v>608</v>
      </c>
      <c r="G471">
        <f>ROUND(单位属性!G471,0)</f>
        <v>0</v>
      </c>
      <c r="H471">
        <f>ROUND(单位属性!H471,0)</f>
        <v>65613873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8"/>
        <v>InitTypeState1('uT1J',14198479,0,608,0,65613873,0,0,0,0,0)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39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InitTypeState7('uT1J',0,0,0,0,0,0,0,0,0,0)</v>
      </c>
      <c r="CC471" t="str">
        <f t="shared" si="145"/>
        <v>InitTypeState1('uT1J',14198479,0,608,0,65613873,0,0,0,0,0)</v>
      </c>
      <c r="CD471" t="str">
        <f t="shared" si="146"/>
        <v/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ht="15.95" customHeight="1" spans="1:87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1149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139795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8"/>
        <v>InitTypeState1('uT2A',1149,0,24,0,139795,0,0,0,0,0)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39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InitTypeState7('uT2A',0,0,0,0,0,0,0,0,0,0)</v>
      </c>
      <c r="CC472" t="str">
        <f t="shared" si="145"/>
        <v>InitTypeState1('uT2A',1149,0,24,0,139795,0,0,0,0,0)</v>
      </c>
      <c r="CD472" t="str">
        <f t="shared" si="146"/>
        <v/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ht="15.95" customHeight="1" spans="1:87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3376</v>
      </c>
      <c r="E473">
        <f>ROUND(单位属性!E473,0)</f>
        <v>0</v>
      </c>
      <c r="F473">
        <f>ROUND(单位属性!F473,0)</f>
        <v>44</v>
      </c>
      <c r="G473">
        <f>ROUND(单位属性!G473,0)</f>
        <v>0</v>
      </c>
      <c r="H473">
        <f>ROUND(单位属性!H473,0)</f>
        <v>303616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8"/>
        <v>InitTypeState1('uT2B',3376,0,44,0,303616,0,0,0,0,0)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39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InitTypeState7('uT2B',0,0,0,0,0,0,0,0,0,0)</v>
      </c>
      <c r="CC473" t="str">
        <f t="shared" si="145"/>
        <v>InitTypeState1('uT2B',3376,0,44,0,303616,0,0,0,0,0)</v>
      </c>
      <c r="CD473" t="str">
        <f t="shared" si="146"/>
        <v/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ht="15.95" customHeight="1" spans="1:87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9896</v>
      </c>
      <c r="E474">
        <f>ROUND(单位属性!E474,0)</f>
        <v>0</v>
      </c>
      <c r="F474">
        <f>ROUND(单位属性!F474,0)</f>
        <v>76</v>
      </c>
      <c r="G474">
        <f>ROUND(单位属性!G474,0)</f>
        <v>0</v>
      </c>
      <c r="H474">
        <f>ROUND(单位属性!H474,0)</f>
        <v>747753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8"/>
        <v>InitTypeState1('uT2C',9896,0,76,0,747753,0,0,0,0,0)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39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InitTypeState7('uT2C',0,0,0,0,0,0,0,0,0,0)</v>
      </c>
      <c r="CC474" t="str">
        <f t="shared" si="145"/>
        <v>InitTypeState1('uT2C',9896,0,76,0,747753,0,0,0,0,0)</v>
      </c>
      <c r="CD474" t="str">
        <f t="shared" si="146"/>
        <v/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ht="15.95" customHeight="1" spans="1:87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36640</v>
      </c>
      <c r="E475">
        <f>ROUND(单位属性!E475,0)</f>
        <v>0</v>
      </c>
      <c r="F475">
        <f>ROUND(单位属性!F475,0)</f>
        <v>120</v>
      </c>
      <c r="G475">
        <f>ROUND(单位属性!G475,0)</f>
        <v>0</v>
      </c>
      <c r="H475">
        <f>ROUND(单位属性!H475,0)</f>
        <v>1727741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8"/>
        <v>InitTypeState1('uT2D',36640,0,120,0,1727741,0,0,0,0,0)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39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InitTypeState7('uT2D',0,0,0,0,0,0,0,0,0,0)</v>
      </c>
      <c r="CC475" t="str">
        <f t="shared" si="145"/>
        <v>InitTypeState1('uT2D',36640,0,120,0,1727741,0,0,0,0,0)</v>
      </c>
      <c r="CD475" t="str">
        <f t="shared" si="146"/>
        <v/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ht="15.95" customHeight="1" spans="1:87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63888</v>
      </c>
      <c r="E476">
        <f>ROUND(单位属性!E476,0)</f>
        <v>0</v>
      </c>
      <c r="F476">
        <f>ROUND(单位属性!F476,0)</f>
        <v>164</v>
      </c>
      <c r="G476">
        <f>ROUND(单位属性!G476,0)</f>
        <v>0</v>
      </c>
      <c r="H476">
        <f>ROUND(单位属性!H476,0)</f>
        <v>2346351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8"/>
        <v>InitTypeState1('uT2E',63888,0,164,0,2346351,0,0,0,0,0)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39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InitTypeState7('uT2E',0,0,0,0,0,0,0,0,0,0)</v>
      </c>
      <c r="CC476" t="str">
        <f t="shared" si="145"/>
        <v>InitTypeState1('uT2E',63888,0,164,0,2346351,0,0,0,0,0)</v>
      </c>
      <c r="CD476" t="str">
        <f t="shared" si="146"/>
        <v/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ht="15.95" customHeight="1" spans="1:87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210871</v>
      </c>
      <c r="E477">
        <f>ROUND(单位属性!E477,0)</f>
        <v>0</v>
      </c>
      <c r="F477">
        <f>ROUND(单位属性!F477,0)</f>
        <v>224</v>
      </c>
      <c r="G477">
        <f>ROUND(单位属性!G477,0)</f>
        <v>0</v>
      </c>
      <c r="H477">
        <f>ROUND(单位属性!H477,0)</f>
        <v>4508029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8"/>
        <v>InitTypeState1('uT2F',210871,0,224,0,4508029,0,0,0,0,0)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39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0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1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2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3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4"/>
        <v>InitTypeState7('uT2F',0,0,0,0,0,0,0,0,0,0)</v>
      </c>
      <c r="CC477" t="str">
        <f t="shared" si="145"/>
        <v>InitTypeState1('uT2F',210871,0,224,0,4508029,0,0,0,0,0)</v>
      </c>
      <c r="CD477" t="str">
        <f t="shared" si="146"/>
        <v/>
      </c>
      <c r="CE477" t="str">
        <f t="shared" si="147"/>
        <v/>
      </c>
      <c r="CF477" t="str">
        <f t="shared" si="148"/>
        <v/>
      </c>
      <c r="CG477" t="str">
        <f t="shared" si="149"/>
        <v/>
      </c>
      <c r="CH477" t="str">
        <f t="shared" si="150"/>
        <v/>
      </c>
      <c r="CI477" t="str">
        <f t="shared" si="151"/>
        <v/>
      </c>
    </row>
    <row r="478" ht="15.95" customHeight="1" spans="1:87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489753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7493229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8"/>
        <v>InitTypeState1('uT2G',489753,0,292,0,7493229,0,0,0,0,0)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39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0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1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2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3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4"/>
        <v>InitTypeState7('uT2G',0,0,0,0,0,0,0,0,0,0)</v>
      </c>
      <c r="CC478" t="str">
        <f t="shared" si="145"/>
        <v>InitTypeState1('uT2G',489753,0,292,0,7493229,0,0,0,0,0)</v>
      </c>
      <c r="CD478" t="str">
        <f t="shared" si="146"/>
        <v/>
      </c>
      <c r="CE478" t="str">
        <f t="shared" si="147"/>
        <v/>
      </c>
      <c r="CF478" t="str">
        <f t="shared" si="148"/>
        <v/>
      </c>
      <c r="CG478" t="str">
        <f t="shared" si="149"/>
        <v/>
      </c>
      <c r="CH478" t="str">
        <f t="shared" si="150"/>
        <v/>
      </c>
      <c r="CI478" t="str">
        <f t="shared" si="151"/>
        <v/>
      </c>
    </row>
    <row r="479" ht="15.95" customHeight="1" spans="1:87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1326100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14347250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8"/>
        <v>InitTypeState1('uT2H',1326100,0,356,0,14347250,0,0,0,0,0)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39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0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1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2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3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4"/>
        <v>InitTypeState7('uT2H',0,0,0,0,0,0,0,0,0,0)</v>
      </c>
      <c r="CC479" t="str">
        <f t="shared" si="145"/>
        <v>InitTypeState1('uT2H',1326100,0,356,0,14347250,0,0,0,0,0)</v>
      </c>
      <c r="CD479" t="str">
        <f t="shared" si="146"/>
        <v/>
      </c>
      <c r="CE479" t="str">
        <f t="shared" si="147"/>
        <v/>
      </c>
      <c r="CF479" t="str">
        <f t="shared" si="148"/>
        <v/>
      </c>
      <c r="CG479" t="str">
        <f t="shared" si="149"/>
        <v/>
      </c>
      <c r="CH479" t="str">
        <f t="shared" si="150"/>
        <v/>
      </c>
      <c r="CI479" t="str">
        <f t="shared" si="151"/>
        <v/>
      </c>
    </row>
    <row r="480" ht="15.95" customHeight="1" spans="1:87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3115294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23098944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8"/>
        <v>InitTypeState1('uT3A',3115294,0,440,0,23098944,0,0,0,0,0)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39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0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1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2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3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4"/>
        <v>InitTypeState7('uT3A',0,0,0,0,0,0,0,0,0,0)</v>
      </c>
      <c r="CC480" t="str">
        <f t="shared" si="145"/>
        <v>InitTypeState1('uT3A',3115294,0,440,0,23098944,0,0,0,0,0)</v>
      </c>
      <c r="CD480" t="str">
        <f t="shared" si="146"/>
        <v/>
      </c>
      <c r="CE480" t="str">
        <f t="shared" si="147"/>
        <v/>
      </c>
      <c r="CF480" t="str">
        <f t="shared" si="148"/>
        <v/>
      </c>
      <c r="CG480" t="str">
        <f t="shared" si="149"/>
        <v/>
      </c>
      <c r="CH480" t="str">
        <f t="shared" si="150"/>
        <v/>
      </c>
      <c r="CI480" t="str">
        <f t="shared" si="151"/>
        <v/>
      </c>
    </row>
    <row r="481" ht="15.95" customHeight="1" spans="1:87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3472973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24135196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8"/>
        <v>InitTypeState1('uT3B',3472973,0,460,0,24135196,0,0,0,0,0)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39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0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1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2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3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4"/>
        <v>InitTypeState7('uT3B',0,0,0,0,0,0,0,0,0,0)</v>
      </c>
      <c r="CC481" t="str">
        <f t="shared" si="145"/>
        <v>InitTypeState1('uT3B',3472973,0,460,0,24135196,0,0,0,0,0)</v>
      </c>
      <c r="CD481" t="str">
        <f t="shared" si="146"/>
        <v/>
      </c>
      <c r="CE481" t="str">
        <f t="shared" si="147"/>
        <v/>
      </c>
      <c r="CF481" t="str">
        <f t="shared" si="148"/>
        <v/>
      </c>
      <c r="CG481" t="str">
        <f t="shared" si="149"/>
        <v/>
      </c>
      <c r="CH481" t="str">
        <f t="shared" si="150"/>
        <v/>
      </c>
      <c r="CI481" t="str">
        <f t="shared" si="151"/>
        <v/>
      </c>
    </row>
    <row r="482" ht="15.95" customHeight="1" spans="1:87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3903244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25360377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8"/>
        <v>InitTypeState1('uT3C',3903244,0,480,0,25360377,0,0,0,0,0)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39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0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1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2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3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4"/>
        <v>InitTypeState7('uT3C',0,0,0,0,0,0,0,0,0,0)</v>
      </c>
      <c r="CC482" t="str">
        <f t="shared" si="145"/>
        <v>InitTypeState1('uT3C',3903244,0,480,0,25360377,0,0,0,0,0)</v>
      </c>
      <c r="CD482" t="str">
        <f t="shared" si="146"/>
        <v/>
      </c>
      <c r="CE482" t="str">
        <f t="shared" si="147"/>
        <v/>
      </c>
      <c r="CF482" t="str">
        <f t="shared" si="148"/>
        <v/>
      </c>
      <c r="CG482" t="str">
        <f t="shared" si="149"/>
        <v/>
      </c>
      <c r="CH482" t="str">
        <f t="shared" si="150"/>
        <v/>
      </c>
      <c r="CI482" t="str">
        <f t="shared" si="151"/>
        <v/>
      </c>
    </row>
    <row r="483" ht="15.95" customHeight="1" spans="1:87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4602877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27672684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8"/>
        <v>InitTypeState1('uT3D',4602877,0,500,0,27672684,0,0,0,0,0)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39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0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1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2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3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4"/>
        <v>InitTypeState7('uT3D',0,0,0,0,0,0,0,0,0,0)</v>
      </c>
      <c r="CC483" t="str">
        <f t="shared" si="145"/>
        <v>InitTypeState1('uT3D',4602877,0,500,0,27672684,0,0,0,0,0)</v>
      </c>
      <c r="CD483" t="str">
        <f t="shared" si="146"/>
        <v/>
      </c>
      <c r="CE483" t="str">
        <f t="shared" si="147"/>
        <v/>
      </c>
      <c r="CF483" t="str">
        <f t="shared" si="148"/>
        <v/>
      </c>
      <c r="CG483" t="str">
        <f t="shared" si="149"/>
        <v/>
      </c>
      <c r="CH483" t="str">
        <f t="shared" si="150"/>
        <v/>
      </c>
      <c r="CI483" t="str">
        <f t="shared" si="151"/>
        <v/>
      </c>
    </row>
    <row r="484" ht="15.95" customHeight="1" spans="1:87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5417271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30416602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8"/>
        <v>InitTypeState1('uT3E',5417271,0,520,0,30416602,0,0,0,0,0)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39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0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1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2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3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4"/>
        <v>InitTypeState7('uT3E',0,0,0,0,0,0,0,0,0,0)</v>
      </c>
      <c r="CC484" t="str">
        <f t="shared" si="145"/>
        <v>InitTypeState1('uT3E',5417271,0,520,0,30416602,0,0,0,0,0)</v>
      </c>
      <c r="CD484" t="str">
        <f t="shared" si="146"/>
        <v/>
      </c>
      <c r="CE484" t="str">
        <f t="shared" si="147"/>
        <v/>
      </c>
      <c r="CF484" t="str">
        <f t="shared" si="148"/>
        <v/>
      </c>
      <c r="CG484" t="str">
        <f t="shared" si="149"/>
        <v/>
      </c>
      <c r="CH484" t="str">
        <f t="shared" si="150"/>
        <v/>
      </c>
      <c r="CI484" t="str">
        <f t="shared" si="151"/>
        <v/>
      </c>
    </row>
    <row r="485" ht="15.95" customHeight="1" spans="1:87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6601857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33736585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8"/>
        <v>InitTypeState1('uT3F',6601857,0,540,0,33736585,0,0,0,0,0)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39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0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1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2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3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4"/>
        <v>InitTypeState7('uT3F',0,0,0,0,0,0,0,0,0,0)</v>
      </c>
      <c r="CC485" t="str">
        <f t="shared" si="145"/>
        <v>InitTypeState1('uT3F',6601857,0,540,0,33736585,0,0,0,0,0)</v>
      </c>
      <c r="CD485" t="str">
        <f t="shared" si="146"/>
        <v/>
      </c>
      <c r="CE485" t="str">
        <f t="shared" si="147"/>
        <v/>
      </c>
      <c r="CF485" t="str">
        <f t="shared" si="148"/>
        <v/>
      </c>
      <c r="CG485" t="str">
        <f t="shared" si="149"/>
        <v/>
      </c>
      <c r="CH485" t="str">
        <f t="shared" si="150"/>
        <v/>
      </c>
      <c r="CI485" t="str">
        <f t="shared" si="151"/>
        <v/>
      </c>
    </row>
    <row r="486" ht="15.95" customHeight="1" spans="1:87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7526730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36372890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8"/>
        <v>InitTypeState1('uT3G',7526730,0,560,0,36372890,0,0,0,0,0)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39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0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1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2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3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4"/>
        <v>InitTypeState7('uT3G',0,0,0,0,0,0,0,0,0,0)</v>
      </c>
      <c r="CC486" t="str">
        <f t="shared" si="145"/>
        <v>InitTypeState1('uT3G',7526730,0,560,0,36372890,0,0,0,0,0)</v>
      </c>
      <c r="CD486" t="str">
        <f t="shared" si="146"/>
        <v/>
      </c>
      <c r="CE486" t="str">
        <f t="shared" si="147"/>
        <v/>
      </c>
      <c r="CF486" t="str">
        <f t="shared" si="148"/>
        <v/>
      </c>
      <c r="CG486" t="str">
        <f t="shared" si="149"/>
        <v/>
      </c>
      <c r="CH486" t="str">
        <f t="shared" si="150"/>
        <v/>
      </c>
      <c r="CI486" t="str">
        <f t="shared" si="151"/>
        <v/>
      </c>
    </row>
    <row r="487" ht="15.95" customHeight="1" spans="1:87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8758840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39460264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38"/>
        <v>InitTypeState1('uT3H',8758840,0,580,0,39460264,0,0,0,0,0)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39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0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1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2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3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4"/>
        <v>InitTypeState7('uT3H',0,0,0,0,0,0,0,0,0,0)</v>
      </c>
      <c r="CC487" t="str">
        <f t="shared" si="145"/>
        <v>InitTypeState1('uT3H',8758840,0,580,0,39460264,0,0,0,0,0)</v>
      </c>
      <c r="CD487" t="str">
        <f t="shared" si="146"/>
        <v/>
      </c>
      <c r="CE487" t="str">
        <f t="shared" si="147"/>
        <v/>
      </c>
      <c r="CF487" t="str">
        <f t="shared" si="148"/>
        <v/>
      </c>
      <c r="CG487" t="str">
        <f t="shared" si="149"/>
        <v/>
      </c>
      <c r="CH487" t="str">
        <f t="shared" si="150"/>
        <v/>
      </c>
      <c r="CI487" t="str">
        <f t="shared" si="151"/>
        <v/>
      </c>
    </row>
    <row r="488" ht="15.95" customHeight="1" spans="1:87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38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39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0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1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2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3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4"/>
        <v>InitTypeState7('uTAA',0,0,0,0,0,0,0,0,0,0)</v>
      </c>
      <c r="CC488" t="str">
        <f t="shared" si="145"/>
        <v>InitTypeState1('uTAA',210,0,16,0,12057,0,0,0,0,0)</v>
      </c>
      <c r="CD488" t="str">
        <f t="shared" si="146"/>
        <v/>
      </c>
      <c r="CE488" t="str">
        <f t="shared" si="147"/>
        <v/>
      </c>
      <c r="CF488" t="str">
        <f t="shared" si="148"/>
        <v/>
      </c>
      <c r="CG488" t="str">
        <f t="shared" si="149"/>
        <v/>
      </c>
      <c r="CH488" t="str">
        <f t="shared" si="150"/>
        <v/>
      </c>
      <c r="CI488" t="str">
        <f t="shared" si="151"/>
        <v/>
      </c>
    </row>
    <row r="489" ht="15.95" customHeight="1" spans="1:87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2166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139795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38"/>
        <v>InitTypeState1('uTAB',2166,0,24,0,139795,0,0,0,0,0)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39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0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1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2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3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4"/>
        <v>InitTypeState7('uTAB',0,0,0,0,0,0,0,0,0,0)</v>
      </c>
      <c r="CC489" t="str">
        <f t="shared" si="145"/>
        <v>InitTypeState1('uTAB',2166,0,24,0,139795,0,0,0,0,0)</v>
      </c>
      <c r="CD489" t="str">
        <f t="shared" si="146"/>
        <v/>
      </c>
      <c r="CE489" t="str">
        <f t="shared" si="147"/>
        <v/>
      </c>
      <c r="CF489" t="str">
        <f t="shared" si="148"/>
        <v/>
      </c>
      <c r="CG489" t="str">
        <f t="shared" si="149"/>
        <v/>
      </c>
      <c r="CH489" t="str">
        <f t="shared" si="150"/>
        <v/>
      </c>
      <c r="CI489" t="str">
        <f t="shared" si="151"/>
        <v/>
      </c>
    </row>
    <row r="490" ht="15.95" customHeight="1" spans="1:87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2203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38731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38"/>
        <v>InitTypeState1('uTAC',2203,0,36,0,38731,0,0,0,0,0)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39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0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1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2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3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4"/>
        <v>InitTypeState7('uTAC',0,0,0,0,0,0,0,0,0,0)</v>
      </c>
      <c r="CC490" t="str">
        <f t="shared" si="145"/>
        <v>InitTypeState1('uTAC',2203,0,36,0,38731,0,0,0,0,0)</v>
      </c>
      <c r="CD490" t="str">
        <f t="shared" si="146"/>
        <v/>
      </c>
      <c r="CE490" t="str">
        <f t="shared" si="147"/>
        <v/>
      </c>
      <c r="CF490" t="str">
        <f t="shared" si="148"/>
        <v/>
      </c>
      <c r="CG490" t="str">
        <f t="shared" si="149"/>
        <v/>
      </c>
      <c r="CH490" t="str">
        <f t="shared" si="150"/>
        <v/>
      </c>
      <c r="CI490" t="str">
        <f t="shared" si="151"/>
        <v/>
      </c>
    </row>
    <row r="491" ht="15.95" customHeight="1" spans="1:87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4587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303616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38"/>
        <v>InitTypeState1('uTAD',4587,0,44,0,303616,0,0,0,0,0)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39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0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1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2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3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4"/>
        <v>InitTypeState7('uTAD',0,0,0,0,0,0,0,0,0,0)</v>
      </c>
      <c r="CC491" t="str">
        <f t="shared" si="145"/>
        <v>InitTypeState1('uTAD',4587,0,44,0,303616,0,0,0,0,0)</v>
      </c>
      <c r="CD491" t="str">
        <f t="shared" si="146"/>
        <v/>
      </c>
      <c r="CE491" t="str">
        <f t="shared" si="147"/>
        <v/>
      </c>
      <c r="CF491" t="str">
        <f t="shared" si="148"/>
        <v/>
      </c>
      <c r="CG491" t="str">
        <f t="shared" si="149"/>
        <v/>
      </c>
      <c r="CH491" t="str">
        <f t="shared" si="150"/>
        <v/>
      </c>
      <c r="CI491" t="str">
        <f t="shared" si="151"/>
        <v/>
      </c>
    </row>
    <row r="492" ht="15.95" customHeight="1" spans="1:87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18235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1076519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38"/>
        <v>InitTypeState1('uTAE',18235,0,96,0,1076519,0,0,0,0,0)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39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0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1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2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3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4"/>
        <v>InitTypeState7('uTAE',0,0,0,0,0,0,0,0,0,0)</v>
      </c>
      <c r="CC492" t="str">
        <f t="shared" si="145"/>
        <v>InitTypeState1('uTAE',18235,0,96,0,1076519,0,0,0,0,0)</v>
      </c>
      <c r="CD492" t="str">
        <f t="shared" si="146"/>
        <v/>
      </c>
      <c r="CE492" t="str">
        <f t="shared" si="147"/>
        <v/>
      </c>
      <c r="CF492" t="str">
        <f t="shared" si="148"/>
        <v/>
      </c>
      <c r="CG492" t="str">
        <f t="shared" si="149"/>
        <v/>
      </c>
      <c r="CH492" t="str">
        <f t="shared" si="150"/>
        <v/>
      </c>
      <c r="CI492" t="str">
        <f t="shared" si="151"/>
        <v/>
      </c>
    </row>
    <row r="493" ht="15.95" customHeight="1" spans="1:87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36795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271326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8"/>
        <v>InitTypeState1('uTAF',36795,0,116,0,271326,0,0,0,0,0)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39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0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1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2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3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4"/>
        <v>InitTypeState7('uTAF',0,0,0,0,0,0,0,0,0,0)</v>
      </c>
      <c r="CC493" t="str">
        <f t="shared" si="145"/>
        <v>InitTypeState1('uTAF',36795,0,116,0,271326,0,0,0,0,0)</v>
      </c>
      <c r="CD493" t="str">
        <f t="shared" si="146"/>
        <v/>
      </c>
      <c r="CE493" t="str">
        <f t="shared" si="147"/>
        <v/>
      </c>
      <c r="CF493" t="str">
        <f t="shared" si="148"/>
        <v/>
      </c>
      <c r="CG493" t="str">
        <f t="shared" si="149"/>
        <v/>
      </c>
      <c r="CH493" t="str">
        <f t="shared" si="150"/>
        <v/>
      </c>
      <c r="CI493" t="str">
        <f t="shared" si="151"/>
        <v/>
      </c>
    </row>
    <row r="494" ht="15.95" customHeight="1" spans="1:87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52605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343523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8"/>
        <v>InitTypeState1('uTAG',52605,0,140,0,343523,0,0,0,0,0)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39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0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1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2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3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4"/>
        <v>InitTypeState7('uTAG',0,0,0,0,0,0,0,0,0,0)</v>
      </c>
      <c r="CC494" t="str">
        <f t="shared" si="145"/>
        <v>InitTypeState1('uTAG',52605,0,140,0,343523,0,0,0,0,0)</v>
      </c>
      <c r="CD494" t="str">
        <f t="shared" si="146"/>
        <v/>
      </c>
      <c r="CE494" t="str">
        <f t="shared" si="147"/>
        <v/>
      </c>
      <c r="CF494" t="str">
        <f t="shared" si="148"/>
        <v/>
      </c>
      <c r="CG494" t="str">
        <f t="shared" si="149"/>
        <v/>
      </c>
      <c r="CH494" t="str">
        <f t="shared" si="150"/>
        <v/>
      </c>
      <c r="CI494" t="str">
        <f t="shared" si="151"/>
        <v/>
      </c>
    </row>
    <row r="495" ht="15.95" customHeight="1" spans="1:87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63888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2346351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8"/>
        <v>InitTypeState1('uTAH',63888,0,164,0,2346351,0,0,0,0,0)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39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0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1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2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3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4"/>
        <v>InitTypeState7('uTAH',0,0,0,0,0,0,0,0,0,0)</v>
      </c>
      <c r="CC495" t="str">
        <f t="shared" si="145"/>
        <v>InitTypeState1('uTAH',63888,0,164,0,2346351,0,0,0,0,0)</v>
      </c>
      <c r="CD495" t="str">
        <f t="shared" si="146"/>
        <v/>
      </c>
      <c r="CE495" t="str">
        <f t="shared" si="147"/>
        <v/>
      </c>
      <c r="CF495" t="str">
        <f t="shared" si="148"/>
        <v/>
      </c>
      <c r="CG495" t="str">
        <f t="shared" si="149"/>
        <v/>
      </c>
      <c r="CH495" t="str">
        <f t="shared" si="150"/>
        <v/>
      </c>
      <c r="CI495" t="str">
        <f t="shared" si="151"/>
        <v/>
      </c>
    </row>
    <row r="496" ht="15.95" customHeight="1" spans="1:87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111865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543780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8"/>
        <v>InitTypeState1('uTAI',111865,0,192,0,543780,0,0,0,0,0)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39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0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1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2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3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4"/>
        <v>InitTypeState7('uTAI',0,0,0,0,0,0,0,0,0,0)</v>
      </c>
      <c r="CC496" t="str">
        <f t="shared" si="145"/>
        <v>InitTypeState1('uTAI',111865,0,192,0,543780,0,0,0,0,0)</v>
      </c>
      <c r="CD496" t="str">
        <f t="shared" si="146"/>
        <v/>
      </c>
      <c r="CE496" t="str">
        <f t="shared" si="147"/>
        <v/>
      </c>
      <c r="CF496" t="str">
        <f t="shared" si="148"/>
        <v/>
      </c>
      <c r="CG496" t="str">
        <f t="shared" si="149"/>
        <v/>
      </c>
      <c r="CH496" t="str">
        <f t="shared" si="150"/>
        <v/>
      </c>
      <c r="CI496" t="str">
        <f t="shared" si="151"/>
        <v/>
      </c>
    </row>
    <row r="497" ht="15.95" customHeight="1" spans="1:87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267481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5277742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8"/>
        <v>InitTypeState1('uTAJ',267481,0,236,0,5277742,0,0,0,0,0)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39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0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1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2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3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4"/>
        <v>InitTypeState7('uTAJ',0,0,0,0,0,0,0,0,0,0)</v>
      </c>
      <c r="CC497" t="str">
        <f t="shared" si="145"/>
        <v>InitTypeState1('uTAJ',267481,0,236,0,5277742,0,0,0,0,0)</v>
      </c>
      <c r="CD497" t="str">
        <f t="shared" si="146"/>
        <v/>
      </c>
      <c r="CE497" t="str">
        <f t="shared" si="147"/>
        <v/>
      </c>
      <c r="CF497" t="str">
        <f t="shared" si="148"/>
        <v/>
      </c>
      <c r="CG497" t="str">
        <f t="shared" si="149"/>
        <v/>
      </c>
      <c r="CH497" t="str">
        <f t="shared" si="150"/>
        <v/>
      </c>
      <c r="CI497" t="str">
        <f t="shared" si="151"/>
        <v/>
      </c>
    </row>
    <row r="498" ht="15.95" customHeight="1" spans="1:87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403292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6669434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38"/>
        <v>InitTypeState1('uTAK',403292,0,272,0,6669434,0,0,0,0,0)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39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0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1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2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3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4"/>
        <v>InitTypeState7('uTAK',0,0,0,0,0,0,0,0,0,0)</v>
      </c>
      <c r="CC498" t="str">
        <f t="shared" si="145"/>
        <v>InitTypeState1('uTAK',403292,0,272,0,6669434,0,0,0,0,0)</v>
      </c>
      <c r="CD498" t="str">
        <f t="shared" si="146"/>
        <v/>
      </c>
      <c r="CE498" t="str">
        <f t="shared" si="147"/>
        <v/>
      </c>
      <c r="CF498" t="str">
        <f t="shared" si="148"/>
        <v/>
      </c>
      <c r="CG498" t="str">
        <f t="shared" si="149"/>
        <v/>
      </c>
      <c r="CH498" t="str">
        <f t="shared" si="150"/>
        <v/>
      </c>
      <c r="CI498" t="str">
        <f t="shared" si="151"/>
        <v/>
      </c>
    </row>
    <row r="499" ht="15.95" customHeight="1" spans="1:87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590131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8529208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8"/>
        <v>InitTypeState1('uTAL',590131,0,308,0,8529208,0,0,0,0,0)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39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0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1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2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3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4"/>
        <v>InitTypeState7('uTAL',0,0,0,0,0,0,0,0,0,0)</v>
      </c>
      <c r="CC499" t="str">
        <f t="shared" si="145"/>
        <v>InitTypeState1('uTAL',590131,0,308,0,8529208,0,0,0,0,0)</v>
      </c>
      <c r="CD499" t="str">
        <f t="shared" si="146"/>
        <v/>
      </c>
      <c r="CE499" t="str">
        <f t="shared" si="147"/>
        <v/>
      </c>
      <c r="CF499" t="str">
        <f t="shared" si="148"/>
        <v/>
      </c>
      <c r="CG499" t="str">
        <f t="shared" si="149"/>
        <v/>
      </c>
      <c r="CH499" t="str">
        <f t="shared" si="150"/>
        <v/>
      </c>
      <c r="CI499" t="str">
        <f t="shared" si="151"/>
        <v/>
      </c>
    </row>
    <row r="500" ht="15.95" customHeight="1" spans="1:87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1177623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2177305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38"/>
        <v>InitTypeState1('uTAM',1177623,0,344,0,2177305,0,0,0,0,0)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39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0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1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2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3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4"/>
        <v>InitTypeState7('uTAM',0,0,0,0,0,0,0,0,0,0)</v>
      </c>
      <c r="CC500" t="str">
        <f t="shared" si="145"/>
        <v>InitTypeState1('uTAM',1177623,0,344,0,2177305,0,0,0,0,0)</v>
      </c>
      <c r="CD500" t="str">
        <f t="shared" si="146"/>
        <v/>
      </c>
      <c r="CE500" t="str">
        <f t="shared" si="147"/>
        <v/>
      </c>
      <c r="CF500" t="str">
        <f t="shared" si="148"/>
        <v/>
      </c>
      <c r="CG500" t="str">
        <f t="shared" si="149"/>
        <v/>
      </c>
      <c r="CH500" t="str">
        <f t="shared" si="150"/>
        <v/>
      </c>
      <c r="CI500" t="str">
        <f t="shared" si="151"/>
        <v/>
      </c>
    </row>
    <row r="501" ht="15.95" customHeight="1" spans="1:87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2017045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18382638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ref="N501:N564" si="153">"InitTypeState1("&amp;$B501&amp;","&amp;D501&amp;","&amp;E501&amp;","&amp;F501&amp;","&amp;G501&amp;","&amp;H501&amp;","&amp;I501&amp;","&amp;J501&amp;","&amp;K501&amp;","&amp;L501&amp;","&amp;M501&amp;")"</f>
        <v>InitTypeState1('uTAN',2017045,0,392,0,18382638,0,0,0,0,0)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ref="Y501:Y564" si="154">"InitTypeState2("&amp;$B501&amp;","&amp;O501&amp;","&amp;P501&amp;","&amp;Q501&amp;","&amp;R501&amp;","&amp;S501&amp;","&amp;T501&amp;","&amp;U501&amp;","&amp;V501&amp;","&amp;W501&amp;","&amp;X501&amp;")"</f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ref="AJ501:AJ564" si="155">"InitTypeState3("&amp;$B501&amp;","&amp;Z501&amp;","&amp;AA501&amp;","&amp;AB501&amp;","&amp;AC501&amp;","&amp;AD501&amp;","&amp;AE501&amp;","&amp;AF501&amp;","&amp;AG501&amp;","&amp;AH501&amp;","&amp;AI501&amp;")"</f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ref="AU501:AU564" si="156">"InitTypeState4("&amp;$B501&amp;","&amp;AK501&amp;","&amp;AL501&amp;","&amp;AM501&amp;","&amp;AN501&amp;","&amp;AO501&amp;","&amp;AP501&amp;","&amp;AQ501&amp;","&amp;AR501&amp;","&amp;AS501&amp;","&amp;AT501&amp;")"</f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ref="BF501:BF564" si="157">"InitTypeState5("&amp;$B501&amp;","&amp;AV501&amp;","&amp;AW501&amp;","&amp;AX501&amp;","&amp;AY501&amp;","&amp;AZ501&amp;","&amp;BA501&amp;","&amp;BB501&amp;","&amp;BC501&amp;","&amp;BD501&amp;","&amp;BE501&amp;")"</f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ref="BQ501:BQ564" si="158">"InitTypeState6("&amp;$B501&amp;","&amp;BG501&amp;","&amp;BH501&amp;","&amp;BI501&amp;","&amp;BJ501&amp;","&amp;BK501&amp;","&amp;BL501&amp;","&amp;BM501&amp;","&amp;BN501&amp;","&amp;BO501&amp;","&amp;BP501&amp;")"</f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ref="CB501:CB564" si="159">"InitTypeState7("&amp;$B501&amp;","&amp;BR501&amp;","&amp;BS501&amp;","&amp;BT501&amp;","&amp;BU501&amp;","&amp;BV501&amp;","&amp;BW501&amp;","&amp;BX501&amp;","&amp;BY501&amp;","&amp;BZ501&amp;","&amp;CA501&amp;")"</f>
        <v>InitTypeState7('uTAN',0,0,0,0,0,0,0,0,0,0)</v>
      </c>
      <c r="CC501" t="str">
        <f t="shared" ref="CC501:CC564" si="160">IF(ISERROR(FIND(",0,0,0,0,0,0,0,0,0,0)",N501)),N501,"")</f>
        <v>InitTypeState1('uTAN',2017045,0,392,0,18382638,0,0,0,0,0)</v>
      </c>
      <c r="CD501" t="str">
        <f t="shared" ref="CD501:CD564" si="161">IF(ISERROR(FIND(",0,0,0,0,0,0,0,0,0,0)",Y501)),Y501,"")</f>
        <v/>
      </c>
      <c r="CE501" t="str">
        <f t="shared" ref="CE501:CE564" si="162">IF(ISERROR(FIND(",0,0,0,0,0,0,0,0,0,0)",AJ501)),AJ501,"")</f>
        <v/>
      </c>
      <c r="CF501" t="str">
        <f t="shared" ref="CF501:CF564" si="163">IF(ISERROR(FIND(",0,0,0,0,0,0,0,0,0,0)",AU501)),AU501,"")</f>
        <v/>
      </c>
      <c r="CG501" t="str">
        <f t="shared" ref="CG501:CG564" si="164">IF(ISERROR(FIND(",0,0,0,0,0,0,0,0,0,0)",BF501)),BF501,"")</f>
        <v/>
      </c>
      <c r="CH501" t="str">
        <f t="shared" ref="CH501:CH564" si="165">IF(ISERROR(FIND(",0,0,0,0,0,0,0,0,0,0)",BQ501)),BQ501,"")</f>
        <v/>
      </c>
      <c r="CI501" t="str">
        <f t="shared" ref="CI501:CI564" si="166">IF(ISERROR(FIND(",0,0,0,0,0,0,0,0,0,0)",CB501)),CB501,"")</f>
        <v/>
      </c>
    </row>
    <row r="502" ht="15.95" customHeight="1" spans="1:87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3230214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4028884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InitTypeState1('uTAO',3230214,0,440,0,4028884,0,0,0,0,0)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InitTypeState1('uTAO',3230214,0,440,0,4028884,0,0,0,0,0)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ht="15.95" customHeight="1" spans="1:87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4148893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26190573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InitTypeState1('uTAP',4148893,0,488,0,26190573,0,0,0,0,0)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InitTypeState1('uTAP',4148893,0,488,0,26190573,0,0,0,0,0)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ht="15.95" customHeight="1" spans="1:87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ht="15.95" customHeight="1" spans="1:87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ht="15.95" customHeight="1" spans="1:87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ht="15.95" customHeight="1" spans="1:87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ht="15.95" customHeight="1" spans="1:87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ht="15.95" customHeight="1" spans="1:87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ht="15.95" customHeight="1" spans="1:87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ht="15.95" customHeight="1" spans="1:87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ht="15.95" customHeight="1" spans="1:87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ht="15.95" customHeight="1" spans="1:87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ht="15.95" customHeight="1" spans="1:87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ht="15.95" customHeight="1" spans="1:87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ht="15.95" customHeight="1" spans="1:87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ht="15.95" customHeight="1" spans="1:87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ht="15.95" customHeight="1" spans="1:87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ht="15.95" customHeight="1" spans="1:87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ht="15.95" customHeight="1" spans="1:87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ht="15.95" customHeight="1" spans="1:87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ht="15.95" customHeight="1" spans="1:87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ht="15.95" customHeight="1" spans="1:87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ht="15.95" customHeight="1" spans="1:87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ht="15.95" customHeight="1" spans="1:87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ht="15.95" customHeight="1" spans="1:87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ht="15.95" customHeight="1" spans="1:87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ht="15.95" customHeight="1" spans="1:87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ht="15.95" customHeight="1" spans="1:87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3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4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InitTypeState7('RJ1A',0,0,0,0,0,0,0,0,0,0)</v>
      </c>
      <c r="CC529" t="str">
        <f t="shared" si="160"/>
        <v/>
      </c>
      <c r="CD529" t="str">
        <f t="shared" si="161"/>
        <v/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ht="15.95" customHeight="1" spans="1:87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3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4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InitTypeState7('RJ1B',0,0,0,0,0,0,0,0,0,0)</v>
      </c>
      <c r="CC530" t="str">
        <f t="shared" si="160"/>
        <v/>
      </c>
      <c r="CD530" t="str">
        <f t="shared" si="161"/>
        <v/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ht="15.95" customHeight="1" spans="1:87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3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4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InitTypeState7('RJ1C',0,0,0,0,0,0,0,0,0,0)</v>
      </c>
      <c r="CC531" t="str">
        <f t="shared" si="160"/>
        <v/>
      </c>
      <c r="CD531" t="str">
        <f t="shared" si="161"/>
        <v/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ht="15.95" customHeight="1" spans="1:87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3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4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InitTypeState7('RJ1D',0,0,0,0,0,0,0,0,0,0)</v>
      </c>
      <c r="CC532" t="str">
        <f t="shared" si="160"/>
        <v/>
      </c>
      <c r="CD532" t="str">
        <f t="shared" si="161"/>
        <v/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ht="15.95" customHeight="1" spans="1:87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3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4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InitTypeState7('RJ1E',0,0,0,0,0,0,0,0,0,0)</v>
      </c>
      <c r="CC533" t="str">
        <f t="shared" si="160"/>
        <v/>
      </c>
      <c r="CD533" t="str">
        <f t="shared" si="161"/>
        <v/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ht="15.95" customHeight="1" spans="1:87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3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54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InitTypeState7('RJ1F',0,0,0,0,0,0,0,0,0,0)</v>
      </c>
      <c r="CC534" t="str">
        <f t="shared" si="160"/>
        <v/>
      </c>
      <c r="CD534" t="str">
        <f t="shared" si="161"/>
        <v/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ht="15.95" customHeight="1" spans="1:87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3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54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InitTypeState7('RJ1G',0,0,0,0,0,0,0,0,0,0)</v>
      </c>
      <c r="CC535" t="str">
        <f t="shared" si="160"/>
        <v/>
      </c>
      <c r="CD535" t="str">
        <f t="shared" si="161"/>
        <v/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ht="15.95" customHeight="1" spans="1:87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3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4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InitTypeState7('RJ1U',0,0,0,0,0,0,0,0,0,0)</v>
      </c>
      <c r="CC536" t="str">
        <f t="shared" si="160"/>
        <v/>
      </c>
      <c r="CD536" t="str">
        <f t="shared" si="161"/>
        <v/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ht="15.95" customHeight="1" spans="1:87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3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4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InitTypeState7('RK1A',0,0,0,0,0,0,0,0,0,0)</v>
      </c>
      <c r="CC537" t="str">
        <f t="shared" si="160"/>
        <v/>
      </c>
      <c r="CD537" t="str">
        <f t="shared" si="161"/>
        <v/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ht="15.95" customHeight="1" spans="1:87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3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4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InitTypeState7('RS01',0,0,0,0,0,0,0,0,0,0)</v>
      </c>
      <c r="CC538" t="str">
        <f t="shared" si="160"/>
        <v/>
      </c>
      <c r="CD538" t="str">
        <f t="shared" si="161"/>
        <v/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ht="15.95" customHeight="1" spans="1:87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3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4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InitTypeState7('RS03',0,0,0,0,0,0,0,0,0,0)</v>
      </c>
      <c r="CC539" t="str">
        <f t="shared" si="160"/>
        <v/>
      </c>
      <c r="CD539" t="str">
        <f t="shared" si="161"/>
        <v/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ht="15.95" customHeight="1" spans="1:87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3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4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InitTypeState7('RS04',0,0,0,0,0,0,0,0,0,0)</v>
      </c>
      <c r="CC540" t="str">
        <f t="shared" si="160"/>
        <v/>
      </c>
      <c r="CD540" t="str">
        <f t="shared" si="161"/>
        <v/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ht="15.95" customHeight="1" spans="1:87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3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4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5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6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7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8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59"/>
        <v>InitTypeState7('RS05',0,0,0,0,0,0,0,0,0,0)</v>
      </c>
      <c r="CC541" t="str">
        <f t="shared" si="160"/>
        <v/>
      </c>
      <c r="CD541" t="str">
        <f t="shared" si="161"/>
        <v/>
      </c>
      <c r="CE541" t="str">
        <f t="shared" si="162"/>
        <v/>
      </c>
      <c r="CF541" t="str">
        <f t="shared" si="163"/>
        <v/>
      </c>
      <c r="CG541" t="str">
        <f t="shared" si="164"/>
        <v/>
      </c>
      <c r="CH541" t="str">
        <f t="shared" si="165"/>
        <v/>
      </c>
      <c r="CI541" t="str">
        <f t="shared" si="166"/>
        <v/>
      </c>
    </row>
    <row r="542" ht="15.95" customHeight="1" spans="1:87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3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4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5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6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7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8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59"/>
        <v>InitTypeState7('RS06',0,0,0,0,0,0,0,0,0,0)</v>
      </c>
      <c r="CC542" t="str">
        <f t="shared" si="160"/>
        <v/>
      </c>
      <c r="CD542" t="str">
        <f t="shared" si="161"/>
        <v/>
      </c>
      <c r="CE542" t="str">
        <f t="shared" si="162"/>
        <v/>
      </c>
      <c r="CF542" t="str">
        <f t="shared" si="163"/>
        <v/>
      </c>
      <c r="CG542" t="str">
        <f t="shared" si="164"/>
        <v/>
      </c>
      <c r="CH542" t="str">
        <f t="shared" si="165"/>
        <v/>
      </c>
      <c r="CI542" t="str">
        <f t="shared" si="166"/>
        <v/>
      </c>
    </row>
    <row r="543" ht="15.95" customHeight="1" spans="1:87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3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4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5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6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7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8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59"/>
        <v>InitTypeState7('RS07',0,0,0,0,0,0,0,0,0,0)</v>
      </c>
      <c r="CC543" t="str">
        <f t="shared" si="160"/>
        <v/>
      </c>
      <c r="CD543" t="str">
        <f t="shared" si="161"/>
        <v/>
      </c>
      <c r="CE543" t="str">
        <f t="shared" si="162"/>
        <v/>
      </c>
      <c r="CF543" t="str">
        <f t="shared" si="163"/>
        <v/>
      </c>
      <c r="CG543" t="str">
        <f t="shared" si="164"/>
        <v/>
      </c>
      <c r="CH543" t="str">
        <f t="shared" si="165"/>
        <v/>
      </c>
      <c r="CI543" t="str">
        <f t="shared" si="166"/>
        <v/>
      </c>
    </row>
    <row r="544" ht="15.95" customHeight="1" spans="1:87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3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4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5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6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7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8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59"/>
        <v>InitTypeState7('RS09',0,0,0,0,0,0,0,0,0,0)</v>
      </c>
      <c r="CC544" t="str">
        <f t="shared" si="160"/>
        <v/>
      </c>
      <c r="CD544" t="str">
        <f t="shared" si="161"/>
        <v/>
      </c>
      <c r="CE544" t="str">
        <f t="shared" si="162"/>
        <v/>
      </c>
      <c r="CF544" t="str">
        <f t="shared" si="163"/>
        <v/>
      </c>
      <c r="CG544" t="str">
        <f t="shared" si="164"/>
        <v/>
      </c>
      <c r="CH544" t="str">
        <f t="shared" si="165"/>
        <v/>
      </c>
      <c r="CI544" t="str">
        <f t="shared" si="166"/>
        <v/>
      </c>
    </row>
    <row r="545" ht="15.95" customHeight="1" spans="1:87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3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4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5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6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7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8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59"/>
        <v>InitTypeState7('RS10',0,0,0,0,0,0,0,0,0,0)</v>
      </c>
      <c r="CC545" t="str">
        <f t="shared" si="160"/>
        <v/>
      </c>
      <c r="CD545" t="str">
        <f t="shared" si="161"/>
        <v/>
      </c>
      <c r="CE545" t="str">
        <f t="shared" si="162"/>
        <v/>
      </c>
      <c r="CF545" t="str">
        <f t="shared" si="163"/>
        <v/>
      </c>
      <c r="CG545" t="str">
        <f t="shared" si="164"/>
        <v/>
      </c>
      <c r="CH545" t="str">
        <f t="shared" si="165"/>
        <v/>
      </c>
      <c r="CI545" t="str">
        <f t="shared" si="166"/>
        <v/>
      </c>
    </row>
    <row r="546" ht="15.95" customHeight="1" spans="1:87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3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4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5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6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7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8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59"/>
        <v>InitTypeState7('RS12',0,0,0,0,0,0,0,0,0,0)</v>
      </c>
      <c r="CC546" t="str">
        <f t="shared" si="160"/>
        <v/>
      </c>
      <c r="CD546" t="str">
        <f t="shared" si="161"/>
        <v/>
      </c>
      <c r="CE546" t="str">
        <f t="shared" si="162"/>
        <v/>
      </c>
      <c r="CF546" t="str">
        <f t="shared" si="163"/>
        <v/>
      </c>
      <c r="CG546" t="str">
        <f t="shared" si="164"/>
        <v/>
      </c>
      <c r="CH546" t="str">
        <f t="shared" si="165"/>
        <v/>
      </c>
      <c r="CI546" t="str">
        <f t="shared" si="166"/>
        <v/>
      </c>
    </row>
    <row r="547" ht="15.95" customHeight="1" spans="1:87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3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4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5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6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7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8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59"/>
        <v>InitTypeState7('RS16',0,0,0,0,0,0,0,0,0,0)</v>
      </c>
      <c r="CC547" t="str">
        <f t="shared" si="160"/>
        <v/>
      </c>
      <c r="CD547" t="str">
        <f t="shared" si="161"/>
        <v/>
      </c>
      <c r="CE547" t="str">
        <f t="shared" si="162"/>
        <v/>
      </c>
      <c r="CF547" t="str">
        <f t="shared" si="163"/>
        <v/>
      </c>
      <c r="CG547" t="str">
        <f t="shared" si="164"/>
        <v/>
      </c>
      <c r="CH547" t="str">
        <f t="shared" si="165"/>
        <v/>
      </c>
      <c r="CI547" t="str">
        <f t="shared" si="166"/>
        <v/>
      </c>
    </row>
    <row r="548" ht="15.95" customHeight="1" spans="1:87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3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4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5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6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7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8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59"/>
        <v>InitTypeState7('RS18',0,0,0,0,0,0,0,0,0,0)</v>
      </c>
      <c r="CC548" t="str">
        <f t="shared" si="160"/>
        <v/>
      </c>
      <c r="CD548" t="str">
        <f t="shared" si="161"/>
        <v/>
      </c>
      <c r="CE548" t="str">
        <f t="shared" si="162"/>
        <v/>
      </c>
      <c r="CF548" t="str">
        <f t="shared" si="163"/>
        <v/>
      </c>
      <c r="CG548" t="str">
        <f t="shared" si="164"/>
        <v/>
      </c>
      <c r="CH548" t="str">
        <f t="shared" si="165"/>
        <v/>
      </c>
      <c r="CI548" t="str">
        <f t="shared" si="166"/>
        <v/>
      </c>
    </row>
    <row r="549" ht="15.95" customHeight="1" spans="1:87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3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4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5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6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7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8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59"/>
        <v>InitTypeState7('RT01',0,0,0,0,0,0,0,0,0,0)</v>
      </c>
      <c r="CC549" t="str">
        <f t="shared" si="160"/>
        <v/>
      </c>
      <c r="CD549" t="str">
        <f t="shared" si="161"/>
        <v/>
      </c>
      <c r="CE549" t="str">
        <f t="shared" si="162"/>
        <v/>
      </c>
      <c r="CF549" t="str">
        <f t="shared" si="163"/>
        <v/>
      </c>
      <c r="CG549" t="str">
        <f t="shared" si="164"/>
        <v/>
      </c>
      <c r="CH549" t="str">
        <f t="shared" si="165"/>
        <v/>
      </c>
      <c r="CI549" t="str">
        <f t="shared" si="166"/>
        <v/>
      </c>
    </row>
    <row r="550" ht="15.95" customHeight="1" spans="1:87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3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4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5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6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7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8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59"/>
        <v>InitTypeState7('RT03',0,0,0,0,0,0,0,0,0,0)</v>
      </c>
      <c r="CC550" t="str">
        <f t="shared" si="160"/>
        <v/>
      </c>
      <c r="CD550" t="str">
        <f t="shared" si="161"/>
        <v/>
      </c>
      <c r="CE550" t="str">
        <f t="shared" si="162"/>
        <v/>
      </c>
      <c r="CF550" t="str">
        <f t="shared" si="163"/>
        <v/>
      </c>
      <c r="CG550" t="str">
        <f t="shared" si="164"/>
        <v/>
      </c>
      <c r="CH550" t="str">
        <f t="shared" si="165"/>
        <v/>
      </c>
      <c r="CI550" t="str">
        <f t="shared" si="166"/>
        <v/>
      </c>
    </row>
    <row r="551" ht="15.95" customHeight="1" spans="1:87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3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4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5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6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7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8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59"/>
        <v>InitTypeState7('RT04',0,0,0,0,0,0,0,0,0,0)</v>
      </c>
      <c r="CC551" t="str">
        <f t="shared" si="160"/>
        <v/>
      </c>
      <c r="CD551" t="str">
        <f t="shared" si="161"/>
        <v/>
      </c>
      <c r="CE551" t="str">
        <f t="shared" si="162"/>
        <v/>
      </c>
      <c r="CF551" t="str">
        <f t="shared" si="163"/>
        <v/>
      </c>
      <c r="CG551" t="str">
        <f t="shared" si="164"/>
        <v/>
      </c>
      <c r="CH551" t="str">
        <f t="shared" si="165"/>
        <v/>
      </c>
      <c r="CI551" t="str">
        <f t="shared" si="166"/>
        <v/>
      </c>
    </row>
    <row r="552" ht="15.95" customHeight="1" spans="1:87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3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4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5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6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7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8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59"/>
        <v>InitTypeState7('RT05',0,0,0,0,0,0,0,0,0,0)</v>
      </c>
      <c r="CC552" t="str">
        <f t="shared" si="160"/>
        <v/>
      </c>
      <c r="CD552" t="str">
        <f t="shared" si="161"/>
        <v/>
      </c>
      <c r="CE552" t="str">
        <f t="shared" si="162"/>
        <v/>
      </c>
      <c r="CF552" t="str">
        <f t="shared" si="163"/>
        <v/>
      </c>
      <c r="CG552" t="str">
        <f t="shared" si="164"/>
        <v/>
      </c>
      <c r="CH552" t="str">
        <f t="shared" si="165"/>
        <v/>
      </c>
      <c r="CI552" t="str">
        <f t="shared" si="166"/>
        <v/>
      </c>
    </row>
    <row r="553" ht="15.95" customHeight="1" spans="1:87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3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4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5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6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7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8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59"/>
        <v>InitTypeState7('RT06',0,0,0,0,0,0,0,0,0,0)</v>
      </c>
      <c r="CC553" t="str">
        <f t="shared" si="160"/>
        <v/>
      </c>
      <c r="CD553" t="str">
        <f t="shared" si="161"/>
        <v/>
      </c>
      <c r="CE553" t="str">
        <f t="shared" si="162"/>
        <v/>
      </c>
      <c r="CF553" t="str">
        <f t="shared" si="163"/>
        <v/>
      </c>
      <c r="CG553" t="str">
        <f t="shared" si="164"/>
        <v/>
      </c>
      <c r="CH553" t="str">
        <f t="shared" si="165"/>
        <v/>
      </c>
      <c r="CI553" t="str">
        <f t="shared" si="166"/>
        <v/>
      </c>
    </row>
    <row r="554" ht="15.95" customHeight="1" spans="1:87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3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4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5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6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7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8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59"/>
        <v>InitTypeState7('RT07',0,0,0,0,0,0,0,0,0,0)</v>
      </c>
      <c r="CC554" t="str">
        <f t="shared" si="160"/>
        <v/>
      </c>
      <c r="CD554" t="str">
        <f t="shared" si="161"/>
        <v/>
      </c>
      <c r="CE554" t="str">
        <f t="shared" si="162"/>
        <v/>
      </c>
      <c r="CF554" t="str">
        <f t="shared" si="163"/>
        <v/>
      </c>
      <c r="CG554" t="str">
        <f t="shared" si="164"/>
        <v/>
      </c>
      <c r="CH554" t="str">
        <f t="shared" si="165"/>
        <v/>
      </c>
      <c r="CI554" t="str">
        <f t="shared" si="166"/>
        <v/>
      </c>
    </row>
    <row r="555" ht="15.95" customHeight="1" spans="1:87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3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4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5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6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7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8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59"/>
        <v>InitTypeState7('RT09',0,0,0,0,0,0,0,0,0,0)</v>
      </c>
      <c r="CC555" t="str">
        <f t="shared" si="160"/>
        <v/>
      </c>
      <c r="CD555" t="str">
        <f t="shared" si="161"/>
        <v/>
      </c>
      <c r="CE555" t="str">
        <f t="shared" si="162"/>
        <v/>
      </c>
      <c r="CF555" t="str">
        <f t="shared" si="163"/>
        <v/>
      </c>
      <c r="CG555" t="str">
        <f t="shared" si="164"/>
        <v/>
      </c>
      <c r="CH555" t="str">
        <f t="shared" si="165"/>
        <v/>
      </c>
      <c r="CI555" t="str">
        <f t="shared" si="166"/>
        <v/>
      </c>
    </row>
    <row r="556" ht="15.95" customHeight="1" spans="1:87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3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4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5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6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7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8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59"/>
        <v>InitTypeState7('RT10',0,0,0,0,0,0,0,0,0,0)</v>
      </c>
      <c r="CC556" t="str">
        <f t="shared" si="160"/>
        <v/>
      </c>
      <c r="CD556" t="str">
        <f t="shared" si="161"/>
        <v/>
      </c>
      <c r="CE556" t="str">
        <f t="shared" si="162"/>
        <v/>
      </c>
      <c r="CF556" t="str">
        <f t="shared" si="163"/>
        <v/>
      </c>
      <c r="CG556" t="str">
        <f t="shared" si="164"/>
        <v/>
      </c>
      <c r="CH556" t="str">
        <f t="shared" si="165"/>
        <v/>
      </c>
      <c r="CI556" t="str">
        <f t="shared" si="166"/>
        <v/>
      </c>
    </row>
    <row r="557" ht="15.95" customHeight="1" spans="1:87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3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4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5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6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7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8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59"/>
        <v>InitTypeState7('RT11',0,0,0,0,0,0,0,0,0,0)</v>
      </c>
      <c r="CC557" t="str">
        <f t="shared" si="160"/>
        <v/>
      </c>
      <c r="CD557" t="str">
        <f t="shared" si="161"/>
        <v/>
      </c>
      <c r="CE557" t="str">
        <f t="shared" si="162"/>
        <v/>
      </c>
      <c r="CF557" t="str">
        <f t="shared" si="163"/>
        <v/>
      </c>
      <c r="CG557" t="str">
        <f t="shared" si="164"/>
        <v/>
      </c>
      <c r="CH557" t="str">
        <f t="shared" si="165"/>
        <v/>
      </c>
      <c r="CI557" t="str">
        <f t="shared" si="166"/>
        <v/>
      </c>
    </row>
    <row r="558" ht="15.95" customHeight="1" spans="1:87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3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4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5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6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7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8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59"/>
        <v>InitTypeState7('RT12',0,0,0,0,0,0,0,0,0,0)</v>
      </c>
      <c r="CC558" t="str">
        <f t="shared" si="160"/>
        <v/>
      </c>
      <c r="CD558" t="str">
        <f t="shared" si="161"/>
        <v/>
      </c>
      <c r="CE558" t="str">
        <f t="shared" si="162"/>
        <v/>
      </c>
      <c r="CF558" t="str">
        <f t="shared" si="163"/>
        <v/>
      </c>
      <c r="CG558" t="str">
        <f t="shared" si="164"/>
        <v/>
      </c>
      <c r="CH558" t="str">
        <f t="shared" si="165"/>
        <v/>
      </c>
      <c r="CI558" t="str">
        <f t="shared" si="166"/>
        <v/>
      </c>
    </row>
    <row r="559" ht="15.95" customHeight="1" spans="1:87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3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4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5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6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7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8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59"/>
        <v>InitTypeState7('RT13',0,0,0,0,0,0,0,0,0,0)</v>
      </c>
      <c r="CC559" t="str">
        <f t="shared" si="160"/>
        <v/>
      </c>
      <c r="CD559" t="str">
        <f t="shared" si="161"/>
        <v/>
      </c>
      <c r="CE559" t="str">
        <f t="shared" si="162"/>
        <v/>
      </c>
      <c r="CF559" t="str">
        <f t="shared" si="163"/>
        <v/>
      </c>
      <c r="CG559" t="str">
        <f t="shared" si="164"/>
        <v/>
      </c>
      <c r="CH559" t="str">
        <f t="shared" si="165"/>
        <v/>
      </c>
      <c r="CI559" t="str">
        <f t="shared" si="166"/>
        <v/>
      </c>
    </row>
    <row r="560" ht="15.95" customHeight="1" spans="1:87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3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54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5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6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7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8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59"/>
        <v>InitTypeState7('RT15',0,0,0,0,0,0,0,0,0,0)</v>
      </c>
      <c r="CC560" t="str">
        <f t="shared" si="160"/>
        <v/>
      </c>
      <c r="CD560" t="str">
        <f t="shared" si="161"/>
        <v/>
      </c>
      <c r="CE560" t="str">
        <f t="shared" si="162"/>
        <v/>
      </c>
      <c r="CF560" t="str">
        <f t="shared" si="163"/>
        <v/>
      </c>
      <c r="CG560" t="str">
        <f t="shared" si="164"/>
        <v/>
      </c>
      <c r="CH560" t="str">
        <f t="shared" si="165"/>
        <v/>
      </c>
      <c r="CI560" t="str">
        <f t="shared" si="166"/>
        <v/>
      </c>
    </row>
    <row r="561" ht="15.95" customHeight="1" spans="1:87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3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4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5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6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7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8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59"/>
        <v>InitTypeState7('RT16',0,0,0,0,0,0,0,0,0,0)</v>
      </c>
      <c r="CC561" t="str">
        <f t="shared" si="160"/>
        <v/>
      </c>
      <c r="CD561" t="str">
        <f t="shared" si="161"/>
        <v/>
      </c>
      <c r="CE561" t="str">
        <f t="shared" si="162"/>
        <v/>
      </c>
      <c r="CF561" t="str">
        <f t="shared" si="163"/>
        <v/>
      </c>
      <c r="CG561" t="str">
        <f t="shared" si="164"/>
        <v/>
      </c>
      <c r="CH561" t="str">
        <f t="shared" si="165"/>
        <v/>
      </c>
      <c r="CI561" t="str">
        <f t="shared" si="166"/>
        <v/>
      </c>
    </row>
    <row r="562" ht="15.95" customHeight="1" spans="1:87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3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4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5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6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7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8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59"/>
        <v>InitTypeState7('RT17',0,0,0,0,0,0,0,0,0,0)</v>
      </c>
      <c r="CC562" t="str">
        <f t="shared" si="160"/>
        <v/>
      </c>
      <c r="CD562" t="str">
        <f t="shared" si="161"/>
        <v/>
      </c>
      <c r="CE562" t="str">
        <f t="shared" si="162"/>
        <v/>
      </c>
      <c r="CF562" t="str">
        <f t="shared" si="163"/>
        <v/>
      </c>
      <c r="CG562" t="str">
        <f t="shared" si="164"/>
        <v/>
      </c>
      <c r="CH562" t="str">
        <f t="shared" si="165"/>
        <v/>
      </c>
      <c r="CI562" t="str">
        <f t="shared" si="166"/>
        <v/>
      </c>
    </row>
    <row r="563" ht="15.95" customHeight="1" spans="1:87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3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4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5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6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7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8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59"/>
        <v>InitTypeState7('RT18',0,0,0,0,0,0,0,0,0,0)</v>
      </c>
      <c r="CC563" t="str">
        <f t="shared" si="160"/>
        <v/>
      </c>
      <c r="CD563" t="str">
        <f t="shared" si="161"/>
        <v/>
      </c>
      <c r="CE563" t="str">
        <f t="shared" si="162"/>
        <v/>
      </c>
      <c r="CF563" t="str">
        <f t="shared" si="163"/>
        <v/>
      </c>
      <c r="CG563" t="str">
        <f t="shared" si="164"/>
        <v/>
      </c>
      <c r="CH563" t="str">
        <f t="shared" si="165"/>
        <v/>
      </c>
      <c r="CI563" t="str">
        <f t="shared" si="166"/>
        <v/>
      </c>
    </row>
    <row r="564" ht="15.95" customHeight="1" spans="1:87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3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4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5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6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7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8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59"/>
        <v>InitTypeState7('RT19',0,0,0,0,0,0,0,0,0,0)</v>
      </c>
      <c r="CC564" t="str">
        <f t="shared" si="160"/>
        <v/>
      </c>
      <c r="CD564" t="str">
        <f t="shared" si="161"/>
        <v/>
      </c>
      <c r="CE564" t="str">
        <f t="shared" si="162"/>
        <v/>
      </c>
      <c r="CF564" t="str">
        <f t="shared" si="163"/>
        <v/>
      </c>
      <c r="CG564" t="str">
        <f t="shared" si="164"/>
        <v/>
      </c>
      <c r="CH564" t="str">
        <f t="shared" si="165"/>
        <v/>
      </c>
      <c r="CI564" t="str">
        <f t="shared" si="166"/>
        <v/>
      </c>
    </row>
    <row r="565" ht="15.95" customHeight="1" spans="1:87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ref="N565:N628" si="168">"InitTypeState1("&amp;$B565&amp;","&amp;D565&amp;","&amp;E565&amp;","&amp;F565&amp;","&amp;G565&amp;","&amp;H565&amp;","&amp;I565&amp;","&amp;J565&amp;","&amp;K565&amp;","&amp;L565&amp;","&amp;M565&amp;")"</f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ref="Y565:Y628" si="169">"InitTypeState2("&amp;$B565&amp;","&amp;O565&amp;","&amp;P565&amp;","&amp;Q565&amp;","&amp;R565&amp;","&amp;S565&amp;","&amp;T565&amp;","&amp;U565&amp;","&amp;V565&amp;","&amp;W565&amp;","&amp;X565&amp;")"</f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ref="AJ565:AJ628" si="170">"InitTypeState3("&amp;$B565&amp;","&amp;Z565&amp;","&amp;AA565&amp;","&amp;AB565&amp;","&amp;AC565&amp;","&amp;AD565&amp;","&amp;AE565&amp;","&amp;AF565&amp;","&amp;AG565&amp;","&amp;AH565&amp;","&amp;AI565&amp;")"</f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ref="AU565:AU628" si="171">"InitTypeState4("&amp;$B565&amp;","&amp;AK565&amp;","&amp;AL565&amp;","&amp;AM565&amp;","&amp;AN565&amp;","&amp;AO565&amp;","&amp;AP565&amp;","&amp;AQ565&amp;","&amp;AR565&amp;","&amp;AS565&amp;","&amp;AT565&amp;")"</f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ref="BF565:BF628" si="172">"InitTypeState5("&amp;$B565&amp;","&amp;AV565&amp;","&amp;AW565&amp;","&amp;AX565&amp;","&amp;AY565&amp;","&amp;AZ565&amp;","&amp;BA565&amp;","&amp;BB565&amp;","&amp;BC565&amp;","&amp;BD565&amp;","&amp;BE565&amp;")"</f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ref="BQ565:BQ628" si="173">"InitTypeState6("&amp;$B565&amp;","&amp;BG565&amp;","&amp;BH565&amp;","&amp;BI565&amp;","&amp;BJ565&amp;","&amp;BK565&amp;","&amp;BL565&amp;","&amp;BM565&amp;","&amp;BN565&amp;","&amp;BO565&amp;","&amp;BP565&amp;")"</f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ref="CB565:CB628" si="174">"InitTypeState7("&amp;$B565&amp;","&amp;BR565&amp;","&amp;BS565&amp;","&amp;BT565&amp;","&amp;BU565&amp;","&amp;BV565&amp;","&amp;BW565&amp;","&amp;BX565&amp;","&amp;BY565&amp;","&amp;BZ565&amp;","&amp;CA565&amp;")"</f>
        <v>InitTypeState7('0',0,0,0,0,0,0,0,0,0,0)</v>
      </c>
      <c r="CC565" t="str">
        <f t="shared" ref="CC565:CC628" si="175">IF(ISERROR(FIND(",0,0,0,0,0,0,0,0,0,0)",N565)),N565,"")</f>
        <v/>
      </c>
      <c r="CD565" t="str">
        <f t="shared" ref="CD565:CD628" si="176">IF(ISERROR(FIND(",0,0,0,0,0,0,0,0,0,0)",Y565)),Y565,"")</f>
        <v/>
      </c>
      <c r="CE565" t="str">
        <f t="shared" ref="CE565:CE628" si="177">IF(ISERROR(FIND(",0,0,0,0,0,0,0,0,0,0)",AJ565)),AJ565,"")</f>
        <v/>
      </c>
      <c r="CF565" t="str">
        <f t="shared" ref="CF565:CF628" si="178">IF(ISERROR(FIND(",0,0,0,0,0,0,0,0,0,0)",AU565)),AU565,"")</f>
        <v/>
      </c>
      <c r="CG565" t="str">
        <f t="shared" ref="CG565:CG628" si="179">IF(ISERROR(FIND(",0,0,0,0,0,0,0,0,0,0)",BF565)),BF565,"")</f>
        <v/>
      </c>
      <c r="CH565" t="str">
        <f t="shared" ref="CH565:CH628" si="180">IF(ISERROR(FIND(",0,0,0,0,0,0,0,0,0,0)",BQ565)),BQ565,"")</f>
        <v/>
      </c>
      <c r="CI565" t="str">
        <f t="shared" ref="CI565:CI628" si="181">IF(ISERROR(FIND(",0,0,0,0,0,0,0,0,0,0)",CB565)),CB565,"")</f>
        <v/>
      </c>
    </row>
    <row r="566" ht="15.95" customHeight="1" spans="1:87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ht="15.95" customHeight="1" spans="1:87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ht="15.95" customHeight="1" spans="1:87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ht="15.95" customHeight="1" spans="1:87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ht="15.95" customHeight="1" spans="1:87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ht="15.95" customHeight="1" spans="1:87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ht="15.95" customHeight="1" spans="1:87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ht="15.95" customHeight="1" spans="1:87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ht="15.95" customHeight="1" spans="1:87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ht="15.95" customHeight="1" spans="1:87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ht="15.95" customHeight="1" spans="1:87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ht="15.95" customHeight="1" spans="1:87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ht="15.95" customHeight="1" spans="1:87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ht="15.95" customHeight="1" spans="1:87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ht="15.95" customHeight="1" spans="1:87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ht="15.95" customHeight="1" spans="1:87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ht="15.95" customHeight="1" spans="1:87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ht="15.95" customHeight="1" spans="1:87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ht="15.95" customHeight="1" spans="1:87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ht="15.95" customHeight="1" spans="1:87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ht="15.95" customHeight="1" spans="1:87">
      <c r="A586" t="str">
        <f>单位属性!A586</f>
        <v>RM5A</v>
      </c>
      <c r="B586" t="str">
        <f t="shared" ref="B586:B632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ht="15.95" customHeight="1" spans="1:87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ht="15.95" customHeight="1" spans="1:87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ht="15.95" customHeight="1" spans="1:87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ht="15.95" customHeight="1" spans="1:87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ht="15.95" customHeight="1" spans="1:87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ht="15.95" customHeight="1" spans="1:87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ht="15.95" customHeight="1" spans="1:87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8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69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InitTypeState7('RM6C',0,0,0,0,0,0,0,0,0,0)</v>
      </c>
      <c r="CC593" t="str">
        <f t="shared" si="175"/>
        <v/>
      </c>
      <c r="CD593" t="str">
        <f t="shared" si="176"/>
        <v/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ht="15.95" customHeight="1" spans="1:87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8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69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InitTypeState7('RM6D',0,0,0,0,0,0,0,0,0,0)</v>
      </c>
      <c r="CC594" t="str">
        <f t="shared" si="175"/>
        <v/>
      </c>
      <c r="CD594" t="str">
        <f t="shared" si="176"/>
        <v/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ht="15.95" customHeight="1" spans="1:87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8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69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InitTypeState7('RM6E',0,0,0,0,0,0,0,0,0,0)</v>
      </c>
      <c r="CC595" t="str">
        <f t="shared" si="175"/>
        <v/>
      </c>
      <c r="CD595" t="str">
        <f t="shared" si="176"/>
        <v/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ht="15.95" customHeight="1" spans="1:87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8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69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InitTypeState7('RM7A',0,0,0,0,0,0,0,0,0,0)</v>
      </c>
      <c r="CC596" t="str">
        <f t="shared" si="175"/>
        <v/>
      </c>
      <c r="CD596" t="str">
        <f t="shared" si="176"/>
        <v/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ht="15.95" customHeight="1" spans="1:87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8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69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InitTypeState7('RM7B',0,0,0,0,0,0,0,0,0,0)</v>
      </c>
      <c r="CC597" t="str">
        <f t="shared" si="175"/>
        <v/>
      </c>
      <c r="CD597" t="str">
        <f t="shared" si="176"/>
        <v/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ht="15.95" customHeight="1" spans="1:87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8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69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InitTypeState7('RM7C',0,0,0,0,0,0,0,0,0,0)</v>
      </c>
      <c r="CC598" t="str">
        <f t="shared" si="175"/>
        <v/>
      </c>
      <c r="CD598" t="str">
        <f t="shared" si="176"/>
        <v/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ht="15.95" customHeight="1" spans="1:87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8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69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InitTypeState7('RM7D',0,0,0,0,0,0,0,0,0,0)</v>
      </c>
      <c r="CC599" t="str">
        <f t="shared" si="175"/>
        <v/>
      </c>
      <c r="CD599" t="str">
        <f t="shared" si="176"/>
        <v/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ht="15.95" customHeight="1" spans="1:87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69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InitTypeState7('RM7E',0,0,0,0,0,0,0,0,0,0)</v>
      </c>
      <c r="CC600" t="str">
        <f t="shared" si="175"/>
        <v/>
      </c>
      <c r="CD600" t="str">
        <f t="shared" si="176"/>
        <v/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ht="15.95" customHeight="1" spans="1:87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8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69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InitTypeState7('RM8A',0,0,0,0,0,0,0,0,0,0)</v>
      </c>
      <c r="CC601" t="str">
        <f t="shared" si="175"/>
        <v/>
      </c>
      <c r="CD601" t="str">
        <f t="shared" si="176"/>
        <v/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ht="15.95" customHeight="1" spans="1:87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8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69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InitTypeState7('RM8B',0,0,0,0,0,0,0,0,0,0)</v>
      </c>
      <c r="CC602" t="str">
        <f t="shared" si="175"/>
        <v/>
      </c>
      <c r="CD602" t="str">
        <f t="shared" si="176"/>
        <v/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ht="15.95" customHeight="1" spans="1:87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InitTypeState7('RM8C',0,0,0,0,0,0,0,0,0,0)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ht="15.95" customHeight="1" spans="1:87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2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InitTypeState7('RM8D',0,0,0,0,0,0,0,0,0,0)</v>
      </c>
      <c r="CC604" t="str">
        <f t="shared" si="175"/>
        <v/>
      </c>
      <c r="CD604" t="str">
        <f t="shared" si="176"/>
        <v/>
      </c>
      <c r="CE604" t="str">
        <f t="shared" si="177"/>
        <v/>
      </c>
      <c r="CF604" t="str">
        <f t="shared" si="178"/>
        <v/>
      </c>
      <c r="CG604" t="str">
        <f t="shared" si="179"/>
        <v/>
      </c>
      <c r="CH604" t="str">
        <f t="shared" si="180"/>
        <v/>
      </c>
      <c r="CI604" t="str">
        <f t="shared" si="181"/>
        <v/>
      </c>
    </row>
    <row r="605" ht="15.95" customHeight="1" spans="1:87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8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69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0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1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2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3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4"/>
        <v>InitTypeState7('RM8E',0,0,0,0,0,0,0,0,0,0)</v>
      </c>
      <c r="CC605" t="str">
        <f t="shared" si="175"/>
        <v/>
      </c>
      <c r="CD605" t="str">
        <f t="shared" si="176"/>
        <v/>
      </c>
      <c r="CE605" t="str">
        <f t="shared" si="177"/>
        <v/>
      </c>
      <c r="CF605" t="str">
        <f t="shared" si="178"/>
        <v/>
      </c>
      <c r="CG605" t="str">
        <f t="shared" si="179"/>
        <v/>
      </c>
      <c r="CH605" t="str">
        <f t="shared" si="180"/>
        <v/>
      </c>
      <c r="CI605" t="str">
        <f t="shared" si="181"/>
        <v/>
      </c>
    </row>
    <row r="606" ht="15.95" customHeight="1" spans="1:87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8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69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0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1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2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3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4"/>
        <v>InitTypeState7('0',0,0,0,0,0,0,0,0,0,0)</v>
      </c>
      <c r="CC606" t="str">
        <f t="shared" si="175"/>
        <v/>
      </c>
      <c r="CD606" t="str">
        <f t="shared" si="176"/>
        <v/>
      </c>
      <c r="CE606" t="str">
        <f t="shared" si="177"/>
        <v/>
      </c>
      <c r="CF606" t="str">
        <f t="shared" si="178"/>
        <v/>
      </c>
      <c r="CG606" t="str">
        <f t="shared" si="179"/>
        <v/>
      </c>
      <c r="CH606" t="str">
        <f t="shared" si="180"/>
        <v/>
      </c>
      <c r="CI606" t="str">
        <f t="shared" si="181"/>
        <v/>
      </c>
    </row>
    <row r="607" ht="15.95" customHeight="1" spans="1:87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8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69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0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1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2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3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4"/>
        <v>InitTypeState7('KT1A',0,0,25,0,0,0,0,0,0,0)</v>
      </c>
      <c r="CC607" t="str">
        <f t="shared" si="175"/>
        <v/>
      </c>
      <c r="CD607" t="str">
        <f t="shared" si="176"/>
        <v/>
      </c>
      <c r="CE607" t="str">
        <f t="shared" si="177"/>
        <v/>
      </c>
      <c r="CF607" t="str">
        <f t="shared" si="178"/>
        <v/>
      </c>
      <c r="CG607" t="str">
        <f t="shared" si="179"/>
        <v/>
      </c>
      <c r="CH607" t="str">
        <f t="shared" si="180"/>
        <v/>
      </c>
      <c r="CI607" t="str">
        <f t="shared" si="181"/>
        <v>InitTypeState7('KT1A',0,0,25,0,0,0,0,0,0,0)</v>
      </c>
    </row>
    <row r="608" ht="15.95" customHeight="1" spans="1:87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8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69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0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1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2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3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4"/>
        <v>InitTypeState7('KT1B',0,0,31,0,0,0,0,0,0,0)</v>
      </c>
      <c r="CC608" t="str">
        <f t="shared" si="175"/>
        <v/>
      </c>
      <c r="CD608" t="str">
        <f t="shared" si="176"/>
        <v/>
      </c>
      <c r="CE608" t="str">
        <f t="shared" si="177"/>
        <v/>
      </c>
      <c r="CF608" t="str">
        <f t="shared" si="178"/>
        <v/>
      </c>
      <c r="CG608" t="str">
        <f t="shared" si="179"/>
        <v/>
      </c>
      <c r="CH608" t="str">
        <f t="shared" si="180"/>
        <v/>
      </c>
      <c r="CI608" t="str">
        <f t="shared" si="181"/>
        <v>InitTypeState7('KT1B',0,0,31,0,0,0,0,0,0,0)</v>
      </c>
    </row>
    <row r="609" ht="15.95" customHeight="1" spans="1:87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8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69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0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1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2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3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4"/>
        <v>InitTypeState7('KT1C',0,0,39,0,0,0,0,0,0,0)</v>
      </c>
      <c r="CC609" t="str">
        <f t="shared" si="175"/>
        <v/>
      </c>
      <c r="CD609" t="str">
        <f t="shared" si="176"/>
        <v/>
      </c>
      <c r="CE609" t="str">
        <f t="shared" si="177"/>
        <v/>
      </c>
      <c r="CF609" t="str">
        <f t="shared" si="178"/>
        <v/>
      </c>
      <c r="CG609" t="str">
        <f t="shared" si="179"/>
        <v/>
      </c>
      <c r="CH609" t="str">
        <f t="shared" si="180"/>
        <v/>
      </c>
      <c r="CI609" t="str">
        <f t="shared" si="181"/>
        <v>InitTypeState7('KT1C',0,0,39,0,0,0,0,0,0,0)</v>
      </c>
    </row>
    <row r="610" ht="15.95" customHeight="1" spans="1:87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8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69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0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1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2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3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4"/>
        <v>InitTypeState7('KT1D',0,0,49,0,0,0,0,0,0,0)</v>
      </c>
      <c r="CC610" t="str">
        <f t="shared" si="175"/>
        <v/>
      </c>
      <c r="CD610" t="str">
        <f t="shared" si="176"/>
        <v/>
      </c>
      <c r="CE610" t="str">
        <f t="shared" si="177"/>
        <v/>
      </c>
      <c r="CF610" t="str">
        <f t="shared" si="178"/>
        <v/>
      </c>
      <c r="CG610" t="str">
        <f t="shared" si="179"/>
        <v/>
      </c>
      <c r="CH610" t="str">
        <f t="shared" si="180"/>
        <v/>
      </c>
      <c r="CI610" t="str">
        <f t="shared" si="181"/>
        <v>InitTypeState7('KT1D',0,0,49,0,0,0,0,0,0,0)</v>
      </c>
    </row>
    <row r="611" ht="15.95" customHeight="1" spans="1:87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8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69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0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1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2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3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4"/>
        <v>InitTypeState7('KT1E',0,0,61,0,0,0,0,0,0,0)</v>
      </c>
      <c r="CC611" t="str">
        <f t="shared" si="175"/>
        <v/>
      </c>
      <c r="CD611" t="str">
        <f t="shared" si="176"/>
        <v/>
      </c>
      <c r="CE611" t="str">
        <f t="shared" si="177"/>
        <v/>
      </c>
      <c r="CF611" t="str">
        <f t="shared" si="178"/>
        <v/>
      </c>
      <c r="CG611" t="str">
        <f t="shared" si="179"/>
        <v/>
      </c>
      <c r="CH611" t="str">
        <f t="shared" si="180"/>
        <v/>
      </c>
      <c r="CI611" t="str">
        <f t="shared" si="181"/>
        <v>InitTypeState7('KT1E',0,0,61,0,0,0,0,0,0,0)</v>
      </c>
    </row>
    <row r="612" ht="15.95" customHeight="1" spans="1:87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8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69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0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1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2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3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4"/>
        <v>InitTypeState7('KT1F',0,0,76,0,0,0,0,0,0,0)</v>
      </c>
      <c r="CC612" t="str">
        <f t="shared" si="175"/>
        <v/>
      </c>
      <c r="CD612" t="str">
        <f t="shared" si="176"/>
        <v/>
      </c>
      <c r="CE612" t="str">
        <f t="shared" si="177"/>
        <v/>
      </c>
      <c r="CF612" t="str">
        <f t="shared" si="178"/>
        <v/>
      </c>
      <c r="CG612" t="str">
        <f t="shared" si="179"/>
        <v/>
      </c>
      <c r="CH612" t="str">
        <f t="shared" si="180"/>
        <v/>
      </c>
      <c r="CI612" t="str">
        <f t="shared" si="181"/>
        <v>InitTypeState7('KT1F',0,0,76,0,0,0,0,0,0,0)</v>
      </c>
    </row>
    <row r="613" ht="15.95" customHeight="1" spans="1:87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8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69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0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1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2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3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4"/>
        <v>InitTypeState7('KT1G',0,0,95,0,0,0,0,0,0,0)</v>
      </c>
      <c r="CC613" t="str">
        <f t="shared" si="175"/>
        <v/>
      </c>
      <c r="CD613" t="str">
        <f t="shared" si="176"/>
        <v/>
      </c>
      <c r="CE613" t="str">
        <f t="shared" si="177"/>
        <v/>
      </c>
      <c r="CF613" t="str">
        <f t="shared" si="178"/>
        <v/>
      </c>
      <c r="CG613" t="str">
        <f t="shared" si="179"/>
        <v/>
      </c>
      <c r="CH613" t="str">
        <f t="shared" si="180"/>
        <v/>
      </c>
      <c r="CI613" t="str">
        <f t="shared" si="181"/>
        <v>InitTypeState7('KT1G',0,0,95,0,0,0,0,0,0,0)</v>
      </c>
    </row>
    <row r="614" ht="15.95" customHeight="1" spans="1:87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8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69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0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1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2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3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4"/>
        <v>InitTypeState7('KT1H',0,0,119,0,0,0,0,0,0,0)</v>
      </c>
      <c r="CC614" t="str">
        <f t="shared" si="175"/>
        <v/>
      </c>
      <c r="CD614" t="str">
        <f t="shared" si="176"/>
        <v/>
      </c>
      <c r="CE614" t="str">
        <f t="shared" si="177"/>
        <v/>
      </c>
      <c r="CF614" t="str">
        <f t="shared" si="178"/>
        <v/>
      </c>
      <c r="CG614" t="str">
        <f t="shared" si="179"/>
        <v/>
      </c>
      <c r="CH614" t="str">
        <f t="shared" si="180"/>
        <v/>
      </c>
      <c r="CI614" t="str">
        <f t="shared" si="181"/>
        <v>InitTypeState7('KT1H',0,0,119,0,0,0,0,0,0,0)</v>
      </c>
    </row>
    <row r="615" ht="15.95" customHeight="1" spans="1:87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8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69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0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1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2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3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4"/>
        <v>InitTypeState7('KT1I',0,0,149,0,0,0,0,0,0,0)</v>
      </c>
      <c r="CC615" t="str">
        <f t="shared" si="175"/>
        <v/>
      </c>
      <c r="CD615" t="str">
        <f t="shared" si="176"/>
        <v/>
      </c>
      <c r="CE615" t="str">
        <f t="shared" si="177"/>
        <v/>
      </c>
      <c r="CF615" t="str">
        <f t="shared" si="178"/>
        <v/>
      </c>
      <c r="CG615" t="str">
        <f t="shared" si="179"/>
        <v/>
      </c>
      <c r="CH615" t="str">
        <f t="shared" si="180"/>
        <v/>
      </c>
      <c r="CI615" t="str">
        <f t="shared" si="181"/>
        <v>InitTypeState7('KT1I',0,0,149,0,0,0,0,0,0,0)</v>
      </c>
    </row>
    <row r="616" ht="15.95" customHeight="1" spans="1:87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8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69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0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1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2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3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4"/>
        <v>InitTypeState7('KT1J',0,0,186,0,0,0,0,0,0,0)</v>
      </c>
      <c r="CC616" t="str">
        <f t="shared" si="175"/>
        <v/>
      </c>
      <c r="CD616" t="str">
        <f t="shared" si="176"/>
        <v/>
      </c>
      <c r="CE616" t="str">
        <f t="shared" si="177"/>
        <v/>
      </c>
      <c r="CF616" t="str">
        <f t="shared" si="178"/>
        <v/>
      </c>
      <c r="CG616" t="str">
        <f t="shared" si="179"/>
        <v/>
      </c>
      <c r="CH616" t="str">
        <f t="shared" si="180"/>
        <v/>
      </c>
      <c r="CI616" t="str">
        <f t="shared" si="181"/>
        <v>InitTypeState7('KT1J',0,0,186,0,0,0,0,0,0,0)</v>
      </c>
    </row>
    <row r="617" ht="15.95" customHeight="1" spans="1:87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8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69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0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1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2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3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4"/>
        <v>InitTypeState7('KTAA',0,0,0,0,0,0,0,0,0,0)</v>
      </c>
      <c r="CC617" t="str">
        <f t="shared" si="175"/>
        <v/>
      </c>
      <c r="CD617" t="str">
        <f t="shared" si="176"/>
        <v/>
      </c>
      <c r="CE617" t="str">
        <f t="shared" si="177"/>
        <v>InitTypeState3('KTAA',0,20,0,0,0,0,0,0,0,0)</v>
      </c>
      <c r="CF617" t="str">
        <f t="shared" si="178"/>
        <v/>
      </c>
      <c r="CG617" t="str">
        <f t="shared" si="179"/>
        <v>InitTypeState5('KTAA',0,0,0,0,0,3,0,0,0,0)</v>
      </c>
      <c r="CH617" t="str">
        <f t="shared" si="180"/>
        <v/>
      </c>
      <c r="CI617" t="str">
        <f t="shared" si="181"/>
        <v/>
      </c>
    </row>
    <row r="618" ht="15.95" customHeight="1" spans="1:87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8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69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0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1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2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3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4"/>
        <v>InitTypeState7('KTAB',2,0,0,0,0,0,0,0,0,0)</v>
      </c>
      <c r="CC618" t="str">
        <f t="shared" si="175"/>
        <v/>
      </c>
      <c r="CD618" t="str">
        <f t="shared" si="176"/>
        <v/>
      </c>
      <c r="CE618" t="str">
        <f t="shared" si="177"/>
        <v>InitTypeState3('KTAB',5,0,0,0,0,0,0,0,0,0)</v>
      </c>
      <c r="CF618" t="str">
        <f t="shared" si="178"/>
        <v/>
      </c>
      <c r="CG618" t="str">
        <f t="shared" si="179"/>
        <v/>
      </c>
      <c r="CH618" t="str">
        <f t="shared" si="180"/>
        <v/>
      </c>
      <c r="CI618" t="str">
        <f t="shared" si="181"/>
        <v>InitTypeState7('KTAB',2,0,0,0,0,0,0,0,0,0)</v>
      </c>
    </row>
    <row r="619" ht="15.95" customHeight="1" spans="1:87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8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69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0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1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2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3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4"/>
        <v>InitTypeState7('KTAC',0,0,0,0,0,0,0,0,0,0)</v>
      </c>
      <c r="CC619" t="str">
        <f t="shared" si="175"/>
        <v/>
      </c>
      <c r="CD619" t="str">
        <f t="shared" si="176"/>
        <v/>
      </c>
      <c r="CE619" t="str">
        <f t="shared" si="177"/>
        <v/>
      </c>
      <c r="CF619" t="str">
        <f t="shared" si="178"/>
        <v/>
      </c>
      <c r="CG619" t="str">
        <f t="shared" si="179"/>
        <v>InitTypeState5('KTAC',20,0,0,0,0,0,0,0,0,0)</v>
      </c>
      <c r="CH619" t="str">
        <f t="shared" si="180"/>
        <v/>
      </c>
      <c r="CI619" t="str">
        <f t="shared" si="181"/>
        <v/>
      </c>
    </row>
    <row r="620" ht="15.95" customHeight="1" spans="1:87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8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69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0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1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2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3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4"/>
        <v>InitTypeState7('KTAD',0,0,0,0,0,0,0,0,0,0)</v>
      </c>
      <c r="CC620" t="str">
        <f t="shared" si="175"/>
        <v/>
      </c>
      <c r="CD620" t="str">
        <f t="shared" si="176"/>
        <v/>
      </c>
      <c r="CE620" t="str">
        <f t="shared" si="177"/>
        <v/>
      </c>
      <c r="CF620" t="str">
        <f t="shared" si="178"/>
        <v/>
      </c>
      <c r="CG620" t="str">
        <f t="shared" si="179"/>
        <v/>
      </c>
      <c r="CH620" t="str">
        <f t="shared" si="180"/>
        <v/>
      </c>
      <c r="CI620" t="str">
        <f t="shared" si="181"/>
        <v/>
      </c>
    </row>
    <row r="621" ht="15.95" customHeight="1" spans="1:87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68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69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0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1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2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3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4"/>
        <v>InitTypeState7('KTAE',0,0,0,0,0,0,0,0,0,0)</v>
      </c>
      <c r="CC621" t="str">
        <f t="shared" si="175"/>
        <v>InitTypeState1('KTAE',0,0,0,0,0,0,0,0,40,0)</v>
      </c>
      <c r="CD621" t="str">
        <f t="shared" si="176"/>
        <v/>
      </c>
      <c r="CE621" t="str">
        <f t="shared" si="177"/>
        <v/>
      </c>
      <c r="CF621" t="str">
        <f t="shared" si="178"/>
        <v/>
      </c>
      <c r="CG621" t="str">
        <f t="shared" si="179"/>
        <v/>
      </c>
      <c r="CH621" t="str">
        <f t="shared" si="180"/>
        <v/>
      </c>
      <c r="CI621" t="str">
        <f t="shared" si="181"/>
        <v/>
      </c>
    </row>
    <row r="622" ht="15.95" customHeight="1" spans="1:87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8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69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0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1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2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3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4"/>
        <v>InitTypeState7('KTAF',0,0,0,0,0,0,0,0,0,0)</v>
      </c>
      <c r="CC622" t="str">
        <f t="shared" si="175"/>
        <v/>
      </c>
      <c r="CD622" t="str">
        <f t="shared" si="176"/>
        <v/>
      </c>
      <c r="CE622" t="str">
        <f t="shared" si="177"/>
        <v/>
      </c>
      <c r="CF622" t="str">
        <f t="shared" si="178"/>
        <v/>
      </c>
      <c r="CG622" t="str">
        <f t="shared" si="179"/>
        <v/>
      </c>
      <c r="CH622" t="str">
        <f t="shared" si="180"/>
        <v/>
      </c>
      <c r="CI622" t="str">
        <f t="shared" si="181"/>
        <v/>
      </c>
    </row>
    <row r="623" ht="15.95" customHeight="1" spans="1:87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8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69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0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1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2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3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4"/>
        <v>InitTypeState7('KTAG',0,0,0,0,0,0,0,0,0,0)</v>
      </c>
      <c r="CC623" t="str">
        <f t="shared" si="175"/>
        <v/>
      </c>
      <c r="CD623" t="str">
        <f t="shared" si="176"/>
        <v/>
      </c>
      <c r="CE623" t="str">
        <f t="shared" si="177"/>
        <v/>
      </c>
      <c r="CF623" t="str">
        <f t="shared" si="178"/>
        <v/>
      </c>
      <c r="CG623" t="str">
        <f t="shared" si="179"/>
        <v/>
      </c>
      <c r="CH623" t="str">
        <f t="shared" si="180"/>
        <v/>
      </c>
      <c r="CI623" t="str">
        <f t="shared" si="181"/>
        <v/>
      </c>
    </row>
    <row r="624" ht="15.95" customHeight="1" spans="1:87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8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69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0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1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2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3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4"/>
        <v>InitTypeState7('KTAH',0,0,0,0,0,0,0,0,0,0)</v>
      </c>
      <c r="CC624" t="str">
        <f t="shared" si="175"/>
        <v/>
      </c>
      <c r="CD624" t="str">
        <f t="shared" si="176"/>
        <v/>
      </c>
      <c r="CE624" t="str">
        <f t="shared" si="177"/>
        <v/>
      </c>
      <c r="CF624" t="str">
        <f t="shared" si="178"/>
        <v/>
      </c>
      <c r="CG624" t="str">
        <f t="shared" si="179"/>
        <v/>
      </c>
      <c r="CH624" t="str">
        <f t="shared" si="180"/>
        <v/>
      </c>
      <c r="CI624" t="str">
        <f t="shared" si="181"/>
        <v/>
      </c>
    </row>
    <row r="625" ht="15.95" customHeight="1" spans="1:87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8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69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0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1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2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3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4"/>
        <v>InitTypeState7('KTAI',0,0,0,0,0,0,0,0,0,0)</v>
      </c>
      <c r="CC625" t="str">
        <f t="shared" si="175"/>
        <v>InitTypeState1('KTAI',20000,20000,0,0,0,0,0,0,0,0)</v>
      </c>
      <c r="CD625" t="str">
        <f t="shared" si="176"/>
        <v/>
      </c>
      <c r="CE625" t="str">
        <f t="shared" si="177"/>
        <v/>
      </c>
      <c r="CF625" t="str">
        <f t="shared" si="178"/>
        <v/>
      </c>
      <c r="CG625" t="str">
        <f t="shared" si="179"/>
        <v/>
      </c>
      <c r="CH625" t="str">
        <f t="shared" si="180"/>
        <v/>
      </c>
      <c r="CI625" t="str">
        <f t="shared" si="181"/>
        <v/>
      </c>
    </row>
    <row r="626" ht="15.95" customHeight="1" spans="1:87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8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69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0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1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2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3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4"/>
        <v>InitTypeState7('KTAJ',0,0,0,0,0,0,0,0,0,0)</v>
      </c>
      <c r="CC626" t="str">
        <f t="shared" si="175"/>
        <v/>
      </c>
      <c r="CD626" t="str">
        <f t="shared" si="176"/>
        <v>InitTypeState2('KTAJ',0,0,0,0,20,20,0,0,0,0)</v>
      </c>
      <c r="CE626" t="str">
        <f t="shared" si="177"/>
        <v/>
      </c>
      <c r="CF626" t="str">
        <f t="shared" si="178"/>
        <v/>
      </c>
      <c r="CG626" t="str">
        <f t="shared" si="179"/>
        <v/>
      </c>
      <c r="CH626" t="str">
        <f t="shared" si="180"/>
        <v/>
      </c>
      <c r="CI626" t="str">
        <f t="shared" si="181"/>
        <v/>
      </c>
    </row>
    <row r="627" ht="15.95" customHeight="1" spans="1:87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8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69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0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1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2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3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4"/>
        <v>InitTypeState7('KTAK',0,0,0,0,0,0,0,0,0,0)</v>
      </c>
      <c r="CC627" t="str">
        <f t="shared" si="175"/>
        <v>InitTypeState1('KTAK',0,0,50,0,500000,0,0,0,0,0)</v>
      </c>
      <c r="CD627" t="str">
        <f t="shared" si="176"/>
        <v/>
      </c>
      <c r="CE627" t="str">
        <f t="shared" si="177"/>
        <v/>
      </c>
      <c r="CF627" t="str">
        <f t="shared" si="178"/>
        <v/>
      </c>
      <c r="CG627" t="str">
        <f t="shared" si="179"/>
        <v/>
      </c>
      <c r="CH627" t="str">
        <f t="shared" si="180"/>
        <v/>
      </c>
      <c r="CI627" t="str">
        <f t="shared" si="181"/>
        <v/>
      </c>
    </row>
    <row r="628" ht="15.95" customHeight="1" spans="1:87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8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69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0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1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2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3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4"/>
        <v>InitTypeState7('KTAL',0,0,0,0,0,0,0,0,0,0)</v>
      </c>
      <c r="CC628" t="str">
        <f t="shared" si="175"/>
        <v/>
      </c>
      <c r="CD628" t="str">
        <f t="shared" si="176"/>
        <v/>
      </c>
      <c r="CE628" t="str">
        <f t="shared" si="177"/>
        <v/>
      </c>
      <c r="CF628" t="str">
        <f t="shared" si="178"/>
        <v/>
      </c>
      <c r="CG628" t="str">
        <f t="shared" si="179"/>
        <v/>
      </c>
      <c r="CH628" t="str">
        <f t="shared" si="180"/>
        <v/>
      </c>
      <c r="CI628" t="str">
        <f t="shared" si="181"/>
        <v/>
      </c>
    </row>
    <row r="629" ht="15.95" customHeight="1" spans="1:87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ref="N629:N631" si="183">"InitTypeState1("&amp;$B629&amp;","&amp;D629&amp;","&amp;E629&amp;","&amp;F629&amp;","&amp;G629&amp;","&amp;H629&amp;","&amp;I629&amp;","&amp;J629&amp;","&amp;K629&amp;","&amp;L629&amp;","&amp;M629&amp;")"</f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ref="Y629:Y631" si="184">"InitTypeState2("&amp;$B629&amp;","&amp;O629&amp;","&amp;P629&amp;","&amp;Q629&amp;","&amp;R629&amp;","&amp;S629&amp;","&amp;T629&amp;","&amp;U629&amp;","&amp;V629&amp;","&amp;W629&amp;","&amp;X629&amp;")"</f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ref="AJ629:AJ631" si="185">"InitTypeState3("&amp;$B629&amp;","&amp;Z629&amp;","&amp;AA629&amp;","&amp;AB629&amp;","&amp;AC629&amp;","&amp;AD629&amp;","&amp;AE629&amp;","&amp;AF629&amp;","&amp;AG629&amp;","&amp;AH629&amp;","&amp;AI629&amp;")"</f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ref="AU629:AU631" si="186">"InitTypeState4("&amp;$B629&amp;","&amp;AK629&amp;","&amp;AL629&amp;","&amp;AM629&amp;","&amp;AN629&amp;","&amp;AO629&amp;","&amp;AP629&amp;","&amp;AQ629&amp;","&amp;AR629&amp;","&amp;AS629&amp;","&amp;AT629&amp;")"</f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ref="BF629:BF631" si="187">"InitTypeState5("&amp;$B629&amp;","&amp;AV629&amp;","&amp;AW629&amp;","&amp;AX629&amp;","&amp;AY629&amp;","&amp;AZ629&amp;","&amp;BA629&amp;","&amp;BB629&amp;","&amp;BC629&amp;","&amp;BD629&amp;","&amp;BE629&amp;")"</f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ref="BQ629:BQ631" si="188">"InitTypeState6("&amp;$B629&amp;","&amp;BG629&amp;","&amp;BH629&amp;","&amp;BI629&amp;","&amp;BJ629&amp;","&amp;BK629&amp;","&amp;BL629&amp;","&amp;BM629&amp;","&amp;BN629&amp;","&amp;BO629&amp;","&amp;BP629&amp;")"</f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ref="CB629:CB631" si="189">"InitTypeState7("&amp;$B629&amp;","&amp;BR629&amp;","&amp;BS629&amp;","&amp;BT629&amp;","&amp;BU629&amp;","&amp;BV629&amp;","&amp;BW629&amp;","&amp;BX629&amp;","&amp;BY629&amp;","&amp;BZ629&amp;","&amp;CA629&amp;")"</f>
        <v>InitTypeState7('KTAM',0,0,0,0,0,0,0,0,0,0)</v>
      </c>
      <c r="CC629" t="str">
        <f t="shared" ref="CC629:CC631" si="190">IF(ISERROR(FIND(",0,0,0,0,0,0,0,0,0,0)",N629)),N629,"")</f>
        <v>InitTypeState1('KTAM',0,0,0,0,0,0,0,0,60,0)</v>
      </c>
      <c r="CD629" t="str">
        <f t="shared" ref="CD629:CD631" si="191">IF(ISERROR(FIND(",0,0,0,0,0,0,0,0,0,0)",Y629)),Y629,"")</f>
        <v/>
      </c>
      <c r="CE629" t="str">
        <f t="shared" ref="CE629:CE631" si="192">IF(ISERROR(FIND(",0,0,0,0,0,0,0,0,0,0)",AJ629)),AJ629,"")</f>
        <v/>
      </c>
      <c r="CF629" t="str">
        <f t="shared" ref="CF629:CF631" si="193">IF(ISERROR(FIND(",0,0,0,0,0,0,0,0,0,0)",AU629)),AU629,"")</f>
        <v/>
      </c>
      <c r="CG629" t="str">
        <f t="shared" ref="CG629:CG631" si="194">IF(ISERROR(FIND(",0,0,0,0,0,0,0,0,0,0)",BF629)),BF629,"")</f>
        <v/>
      </c>
      <c r="CH629" t="str">
        <f t="shared" ref="CH629:CH631" si="195">IF(ISERROR(FIND(",0,0,0,0,0,0,0,0,0,0)",BQ629)),BQ629,"")</f>
        <v/>
      </c>
      <c r="CI629" t="str">
        <f t="shared" ref="CI629:CI631" si="196">IF(ISERROR(FIND(",0,0,0,0,0,0,0,0,0,0)",CB629)),CB629,"")</f>
        <v/>
      </c>
    </row>
    <row r="630" ht="15.95" customHeight="1" spans="1:87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ht="15.95" customHeight="1" spans="1:87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ht="15.95" customHeight="1" spans="1:87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ref="N632" si="197">"InitTypeState1("&amp;$B632&amp;","&amp;D632&amp;","&amp;E632&amp;","&amp;F632&amp;","&amp;G632&amp;","&amp;H632&amp;","&amp;I632&amp;","&amp;J632&amp;","&amp;K632&amp;","&amp;L632&amp;","&amp;M632&amp;")"</f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ref="Y632" si="198">"InitTypeState2("&amp;$B632&amp;","&amp;O632&amp;","&amp;P632&amp;","&amp;Q632&amp;","&amp;R632&amp;","&amp;S632&amp;","&amp;T632&amp;","&amp;U632&amp;","&amp;V632&amp;","&amp;W632&amp;","&amp;X632&amp;")"</f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ref="AJ632" si="199">"InitTypeState3("&amp;$B632&amp;","&amp;Z632&amp;","&amp;AA632&amp;","&amp;AB632&amp;","&amp;AC632&amp;","&amp;AD632&amp;","&amp;AE632&amp;","&amp;AF632&amp;","&amp;AG632&amp;","&amp;AH632&amp;","&amp;AI632&amp;")"</f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ref="AU632" si="200">"InitTypeState4("&amp;$B632&amp;","&amp;AK632&amp;","&amp;AL632&amp;","&amp;AM632&amp;","&amp;AN632&amp;","&amp;AO632&amp;","&amp;AP632&amp;","&amp;AQ632&amp;","&amp;AR632&amp;","&amp;AS632&amp;","&amp;AT632&amp;")"</f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ref="BF632" si="201">"InitTypeState5("&amp;$B632&amp;","&amp;AV632&amp;","&amp;AW632&amp;","&amp;AX632&amp;","&amp;AY632&amp;","&amp;AZ632&amp;","&amp;BA632&amp;","&amp;BB632&amp;","&amp;BC632&amp;","&amp;BD632&amp;","&amp;BE632&amp;")"</f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ref="BQ632" si="202">"InitTypeState6("&amp;$B632&amp;","&amp;BG632&amp;","&amp;BH632&amp;","&amp;BI632&amp;","&amp;BJ632&amp;","&amp;BK632&amp;","&amp;BL632&amp;","&amp;BM632&amp;","&amp;BN632&amp;","&amp;BO632&amp;","&amp;BP632&amp;")"</f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ref="CB632" si="203">"InitTypeState7("&amp;$B632&amp;","&amp;BR632&amp;","&amp;BS632&amp;","&amp;BT632&amp;","&amp;BU632&amp;","&amp;BV632&amp;","&amp;BW632&amp;","&amp;BX632&amp;","&amp;BY632&amp;","&amp;BZ632&amp;","&amp;CA632&amp;")"</f>
        <v>InitTypeState7('KTAP',0,0,0,0,0,0,0,0,0,0)</v>
      </c>
      <c r="CC632" t="str">
        <f t="shared" ref="CC632" si="204">IF(ISERROR(FIND(",0,0,0,0,0,0,0,0,0,0)",N632)),N632,"")</f>
        <v>InitTypeState1('KTAP',0,0,100,0,0,0,0,0,0,0)</v>
      </c>
      <c r="CD632" t="str">
        <f t="shared" ref="CD632" si="205">IF(ISERROR(FIND(",0,0,0,0,0,0,0,0,0,0)",Y632)),Y632,"")</f>
        <v/>
      </c>
      <c r="CE632" t="str">
        <f t="shared" ref="CE632" si="206">IF(ISERROR(FIND(",0,0,0,0,0,0,0,0,0,0)",AJ632)),AJ632,"")</f>
        <v/>
      </c>
      <c r="CF632" t="str">
        <f t="shared" ref="CF632" si="207">IF(ISERROR(FIND(",0,0,0,0,0,0,0,0,0,0)",AU632)),AU632,"")</f>
        <v>InitTypeState4('KTAP',20,0,0,0,0,0,0,0,0,0)</v>
      </c>
      <c r="CG632" t="str">
        <f t="shared" ref="CG632" si="208">IF(ISERROR(FIND(",0,0,0,0,0,0,0,0,0,0)",BF632)),BF632,"")</f>
        <v/>
      </c>
      <c r="CH632" t="str">
        <f t="shared" ref="CH632" si="209">IF(ISERROR(FIND(",0,0,0,0,0,0,0,0,0,0)",BQ632)),BQ632,"")</f>
        <v/>
      </c>
      <c r="CI632" t="str">
        <f t="shared" ref="CI632" si="210">IF(ISERROR(FIND(",0,0,0,0,0,0,0,0,0,0)",CB632)),CB632,"")</f>
        <v/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ht="16.5" spans="1:73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ht="16.5" spans="1:73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2">
      <c r="A3" s="2"/>
      <c r="B3" s="3" t="s">
        <v>182</v>
      </c>
    </row>
    <row r="4" spans="1:2">
      <c r="A4" s="2"/>
      <c r="B4" s="4" t="s">
        <v>1613</v>
      </c>
    </row>
    <row r="5" spans="1:2">
      <c r="A5" s="2"/>
      <c r="B5" s="3" t="s">
        <v>1614</v>
      </c>
    </row>
    <row r="6" spans="1:2">
      <c r="A6" s="2"/>
      <c r="B6" s="3" t="s">
        <v>1615</v>
      </c>
    </row>
    <row r="7" spans="1:2">
      <c r="A7" s="2"/>
      <c r="B7" s="5" t="s">
        <v>10</v>
      </c>
    </row>
    <row r="8" spans="1:2">
      <c r="A8" s="2"/>
      <c r="B8" s="4" t="s">
        <v>11</v>
      </c>
    </row>
    <row r="9" spans="1:2">
      <c r="A9" s="5" t="s">
        <v>0</v>
      </c>
      <c r="B9" s="3" t="s">
        <v>12</v>
      </c>
    </row>
    <row r="10" spans="1:2">
      <c r="A10" s="5" t="s">
        <v>0</v>
      </c>
      <c r="B10" s="3" t="s">
        <v>13</v>
      </c>
    </row>
    <row r="11" ht="16.5" spans="1:2">
      <c r="A11" s="6" t="s">
        <v>0</v>
      </c>
      <c r="B11" s="6" t="s">
        <v>1616</v>
      </c>
    </row>
    <row r="12" spans="1:2">
      <c r="A12" s="5" t="s">
        <v>0</v>
      </c>
      <c r="B12" s="5" t="s">
        <v>15</v>
      </c>
    </row>
    <row r="13" spans="1:2">
      <c r="A13" s="5" t="s">
        <v>0</v>
      </c>
      <c r="B13" s="3" t="s">
        <v>1617</v>
      </c>
    </row>
    <row r="14" spans="1:2">
      <c r="A14" s="5" t="s">
        <v>0</v>
      </c>
      <c r="B14" s="3" t="s">
        <v>1618</v>
      </c>
    </row>
    <row r="15" ht="16.5" spans="1:2">
      <c r="A15" s="5" t="s">
        <v>0</v>
      </c>
      <c r="B15" s="6" t="s">
        <v>1619</v>
      </c>
    </row>
    <row r="16" spans="1:2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ht="16.5" spans="1:2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ht="16.5" spans="1:2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ht="16.5" spans="1:2">
      <c r="A34" s="7"/>
      <c r="B34" s="7"/>
    </row>
    <row r="35" ht="16.5" spans="1:2">
      <c r="A35" s="7"/>
      <c r="B35" s="7"/>
    </row>
    <row r="36" ht="16.5" spans="1:2">
      <c r="A36" s="7"/>
      <c r="B36" s="7"/>
    </row>
    <row r="37" ht="16.5" spans="1:2">
      <c r="A37" s="7"/>
      <c r="B37" s="7"/>
    </row>
    <row r="38" ht="16.5" spans="1:2">
      <c r="A38" s="7"/>
      <c r="B38" s="7"/>
    </row>
    <row r="39" ht="16.5" spans="1:2">
      <c r="A39" s="7"/>
      <c r="B39" s="7"/>
    </row>
    <row r="40" ht="16.5" spans="1:2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ht="16.5" spans="1:2">
      <c r="A48" s="2"/>
      <c r="B48" s="6"/>
    </row>
    <row r="49" ht="16.5" spans="1:2">
      <c r="A49" s="2"/>
      <c r="B49" s="6"/>
    </row>
    <row r="50" ht="16.5" spans="1:2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ht="16.5" spans="1:2">
      <c r="A56" s="6"/>
      <c r="B56" s="8"/>
    </row>
    <row r="57" ht="16.5" spans="1:2">
      <c r="A57" s="6"/>
      <c r="B57" s="8"/>
    </row>
    <row r="58" ht="16.5" spans="1:2">
      <c r="A58" s="6"/>
      <c r="B58" s="8"/>
    </row>
    <row r="59" ht="16.5" spans="1:2">
      <c r="A59" s="6"/>
      <c r="B59" s="8"/>
    </row>
    <row r="60" ht="16.5" spans="1:2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2">
      <c r="A8" s="1" t="s">
        <v>1627</v>
      </c>
      <c r="B8" s="1">
        <v>500</v>
      </c>
    </row>
    <row r="9" spans="1:2">
      <c r="A9" s="1" t="s">
        <v>12</v>
      </c>
      <c r="B9" s="1">
        <v>200</v>
      </c>
    </row>
    <row r="10" spans="1:2">
      <c r="A10" s="1" t="s">
        <v>1628</v>
      </c>
      <c r="B10" s="1">
        <v>10</v>
      </c>
    </row>
    <row r="11" spans="1:2">
      <c r="A11" s="1" t="s">
        <v>1629</v>
      </c>
      <c r="B11" s="1">
        <v>30</v>
      </c>
    </row>
    <row r="12" spans="1:2">
      <c r="A12" s="1" t="s">
        <v>1630</v>
      </c>
      <c r="B12" s="1">
        <v>30</v>
      </c>
    </row>
    <row r="13" spans="1:2">
      <c r="A13" s="1" t="s">
        <v>21</v>
      </c>
      <c r="B13" s="1">
        <v>20</v>
      </c>
    </row>
    <row r="14" spans="1:2">
      <c r="A14" s="1" t="s">
        <v>7</v>
      </c>
      <c r="B14" s="1">
        <v>20</v>
      </c>
    </row>
    <row r="15" spans="1:2">
      <c r="A15" s="1" t="s">
        <v>1631</v>
      </c>
      <c r="B15" s="1">
        <v>20</v>
      </c>
    </row>
    <row r="16" spans="1:2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Dee1401258958</cp:lastModifiedBy>
  <dcterms:created xsi:type="dcterms:W3CDTF">2006-09-16T00:00:00Z</dcterms:created>
  <dcterms:modified xsi:type="dcterms:W3CDTF">2020-02-28T08:50:44Z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