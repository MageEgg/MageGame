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P000!$A$1:$AP$714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<sst xmlns="http://schemas.openxmlformats.org/spreadsheetml/2006/main" count="869">
  <si>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</si>
  <si>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</si>
  <si>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</si>
  <si>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</si>
  <si>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</si>
  <si>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</si>
  <si>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</si>
  <si>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</si>
  <si>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</si>
  <si>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</si>
  <si>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</si>
  <si>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</si>
  <si>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</si>
  <si>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</si>
  <si>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</si>
  <si>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</si>
  <si>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</si>
  <si>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</si>
  <si>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</si>
  <si>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</si>
  <si>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</si>
  <si>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</si>
  <si>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</si>
  <si>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</si>
  <si>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</si>
  <si>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</si>
  <si>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</si>
  <si>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</si>
  <si>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</si>
  <si>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</si>
  <si>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</si>
  <si>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</si>
  <si>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</si>
  <si>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</si>
  <si>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</si>
  <si>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</si>
  <si>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</si>
  <si>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</si>
  <si>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</si>
  <si>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</si>
  <si>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</si>
  <si>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</si>
  <si>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</si>
  <si>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</si>
  <si>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</si>
  <si>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</si>
  <si>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</si>
  <si>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</si>
  <si>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</si>
  <si>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</si>
  <si>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</si>
  <si>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</si>
  <si>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</si>
  <si>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</si>
  <si>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</si>
  <si>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</si>
  <si>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</si>
  <si>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</si>
  <si>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</si>
  <si>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</si>
  <si>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</si>
  <si>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</si>
  <si>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</si>
  <si>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</si>
  <si>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</si>
  <si>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</si>
  <si>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</si>
  <si>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</si>
  <si>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</si>
  <si>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</si>
  <si>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</si>
  <si>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</si>
  <si>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</si>
  <si>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</si>
  <si>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</si>
  <si>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</si>
  <si>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</si>
  <si>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</si>
  <si>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</si>
  <si>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</si>
  <si>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</si>
  <si>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</si>
  <si>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</si>
  <si>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</si>
  <si>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</si>
  <si>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</si>
  <si>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</si>
  <si>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</si>
  <si>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</si>
  <si>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</si>
  <si>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</si>
  <si>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</si>
  <si>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</si>
  <si>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</si>
  <si>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</si>
  <si>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</si>
  <si>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</si>
  <si>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</si>
  <si>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</si>
  <si>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</si>
  <si>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</si>
  <si>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</si>
  <si>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</si>
  <si>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</si>
  <si>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</si>
  <si>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</si>
  <si>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</si>
  <si>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</si>
  <si>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</si>
  <si>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</si>
  <si>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</si>
  <si>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</si>
  <si>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</si>
  <si>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</si>
  <si>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</si>
  <si>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</si>
  <si>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</si>
  <si>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</si>
  <si>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</si>
  <si>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</si>
  <si>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</si>
  <si>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</si>
  <si>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</si>
  <si>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</si>
  <si>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</si>
  <si>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</si>
  <si>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</si>
  <si>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</si>
  <si>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</si>
  <si>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</si>
  <si>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</si>
  <si>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</si>
  <si>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</si>
  <si>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</si>
  <si>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</si>
  <si>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</si>
  <si>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</si>
  <si>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</si>
  <si>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</si>
  <si>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</si>
  <si>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</si>
  <si>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</si>
  <si>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</si>
  <si>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</si>
  <si>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</si>
  <si>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</si>
  <si>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</si>
  <si>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</si>
  <si>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</si>
  <si>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</si>
  <si>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</si>
  <si>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</si>
  <si>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</si>
  <si>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</si>
  <si>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</si>
  <si>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</si>
  <si>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</si>
  <si>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</si>
  <si>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</si>
  <si>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</si>
  <si>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</si>
  <si>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</si>
  <si>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</si>
  <si>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</si>
  <si>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</si>
  <si>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</si>
  <si>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</si>
  <si>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</si>
  <si>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</si>
  <si>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</si>
  <si>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</si>
  <si>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</si>
  <si>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</si>
  <si>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</si>
  <si>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</si>
  <si>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</si>
  <si>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</si>
  <si>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</si>
  <si>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</si>
  <si>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</si>
  <si>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</si>
  <si>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</si>
  <si>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</si>
  <si>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</si>
  <si>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</si>
  <si>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</si>
  <si>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</si>
  <si>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</si>
  <si>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</si>
  <si>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</si>
  <si>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</si>
  <si>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</si>
  <si>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</si>
  <si>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</si>
  <si>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</si>
  <si>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</si>
  <si>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</si>
  <si>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</si>
  <si>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</si>
  <si>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</si>
  <si>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</si>
  <si>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</si>
  <si>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</si>
  <si>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</si>
  <si>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</si>
  <si>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</si>
  <si>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</si>
  <si>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</si>
  <si>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</si>
  <si>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</si>
  <si>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</si>
  <si>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</si>
  <si>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</si>
  <si>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</si>
  <si>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</si>
  <si>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</si>
  <si>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</si>
  <si>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</si>
  <si>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</si>
  <si>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</si>
  <si>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</si>
  <si>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</si>
  <si>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</si>
  <si>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</si>
  <si>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</si>
  <si>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</si>
  <si>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</si>
  <si>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</si>
  <si>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</si>
  <si>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</si>
  <si>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</si>
  <si>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</si>
  <si>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</si>
  <si>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</si>
  <si>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</si>
  <si>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</si>
  <si>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</si>
  <si>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</si>
  <si>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</si>
  <si>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</si>
  <si>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</si>
  <si>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</si>
  <si>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</si>
  <si>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</si>
  <si>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</si>
  <si>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</si>
  <si>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</si>
  <si>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</si>
  <si>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</si>
  <si>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</si>
  <si>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</si>
  <si>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</si>
  <si>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</si>
  <si>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</si>
  <si>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</si>
  <si>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</si>
  <si>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</si>
  <si>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</si>
  <si>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</si>
  <si>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</si>
  <si>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</si>
  <si>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</si>
  <si>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</si>
  <si>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</si>
  <si>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</si>
  <si>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</si>
  <si>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</si>
  <si>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</si>
  <si>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</si>
  <si>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</si>
  <si>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</si>
  <si>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</si>
  <si>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</si>
  <si>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</si>
  <si>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</si>
  <si>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</si>
  <si>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</si>
  <si>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</si>
  <si>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</si>
  <si>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</si>
  <si>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</si>
  <si>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</si>
  <si>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</si>
  <si>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</si>
  <si>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</si>
  <si>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</si>
  <si>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</si>
  <si>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</si>
  <si>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</si>
  <si>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</si>
  <si>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</si>
  <si>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</si>
  <si>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</si>
  <si>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</si>
  <si>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</si>
  <si>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</si>
  <si>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</si>
  <si>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</si>
  <si>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</si>
  <si>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</si>
  <si>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</si>
  <si>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</si>
  <si>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</si>
  <si>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</si>
  <si>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</si>
  <si>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</si>
  <si>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</si>
  <si>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</si>
  <si>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</si>
  <si>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</si>
  <si>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</si>
  <si>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</si>
  <si>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</si>
  <si>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</si>
  <si>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</si>
  <si>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</si>
  <si>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</si>
  <si>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</si>
  <si>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</si>
  <si>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</si>
  <si>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</si>
  <si>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</si>
  <si>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</si>
  <si>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</si>
  <si>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</si>
  <si>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</si>
  <si>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</si>
  <si>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</si>
  <si>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</si>
  <si>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</si>
  <si>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</si>
  <si>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</si>
  <si>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</si>
  <si>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</si>
  <si>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</si>
  <si>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</si>
  <si>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</si>
  <si>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</si>
  <si>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</si>
  <si>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</si>
  <si>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</si>
  <si>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</si>
  <si>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</si>
  <si>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</si>
  <si>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</si>
  <si>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</si>
  <si>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</si>
  <si>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</si>
  <si>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</si>
  <si>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</si>
  <si>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</si>
  <si>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</si>
  <si>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</si>
  <si>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</si>
  <si>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</si>
  <si>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</si>
  <si>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</si>
  <si>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</si>
  <si>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</si>
  <si>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</si>
  <si>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</si>
  <si>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</si>
  <si>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</si>
  <si>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</si>
  <si>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</si>
  <si>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</si>
  <si>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</si>
  <si>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</si>
  <si>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</si>
  <si>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</si>
  <si>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</si>
  <si>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</si>
  <si>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</si>
  <si>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</si>
  <si>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</si>
  <si>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</si>
  <si>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</si>
  <si>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</si>
  <si>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</si>
  <si>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</si>
  <si>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</si>
  <si>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</si>
  <si>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</si>
  <si>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</si>
  <si>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</si>
  <si>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</si>
  <si>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</si>
  <si>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</si>
  <si>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</si>
  <si>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</si>
  <si>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</si>
  <si>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</si>
  <si>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</si>
  <si>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</si>
  <si>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</si>
  <si>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</si>
  <si>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</si>
  <si>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</si>
  <si>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</si>
  <si>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</si>
  <si>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</si>
  <si>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</si>
  <si>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</si>
  <si>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</si>
  <si>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</si>
  <si>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</si>
  <si>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</si>
  <si>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</si>
  <si>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</si>
  <si>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</si>
  <si>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</si>
  <si>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</si>
  <si>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</si>
  <si>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</si>
  <si>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</si>
  <si>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</si>
  <si>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</si>
  <si>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</si>
  <si>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</si>
  <si>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</si>
  <si>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</si>
  <si>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</si>
  <si>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</si>
  <si>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</si>
  <si>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</si>
  <si>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</si>
  <si>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</si>
  <si>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</si>
  <si>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</si>
  <si>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</si>
  <si>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</si>
  <si>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</si>
  <si>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</si>
  <si>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</si>
  <si>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</si>
  <si>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</si>
  <si>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</si>
  <si>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</si>
  <si>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|Cff00BFFF技能进阶石【完美】|r</t>
  </si>
  <si>
    <t>升品质</t>
  </si>
  <si>
    <t>ReplaceableTextures\\CommandButtons\\BTN008.blp</t>
  </si>
  <si>
    <t>CS22</t>
  </si>
  <si>
    <t>|CffFF0000技能进化石【完美】|r</t>
  </si>
  <si>
    <t>升S品质</t>
  </si>
  <si>
    <t>ReplaceableTextures\\CommandButtons\\BTN012.blp</t>
  </si>
  <si>
    <t>CS23</t>
  </si>
  <si>
    <t>|Cff00FF7F技能进阶石【残缺】|r</t>
  </si>
  <si>
    <t>劣质升品质</t>
  </si>
  <si>
    <t>CS24</t>
  </si>
  <si>
    <t>|CffFFD24D技能进化石【残缺】|r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</si>
  <si>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</si>
  <si>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</si>
  <si>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</si>
  <si>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</si>
  <si>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</si>
  <si>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</si>
  <si>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</si>
  <si>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</si>
  <si>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</si>
  <si>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</si>
  <si>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</si>
  <si>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</si>
  <si>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</si>
  <si>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</si>
  <si>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</si>
  <si>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</si>
  <si>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</si>
  <si>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</si>
  <si>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</si>
  <si>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</si>
  <si>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</si>
  <si>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护甲|Cffffd24d+10|r|n金币加成|Cffffd24d+10%|n|r|n击杀1000个敌人后奖励：|n|CffFFD24D7000~12000|r金币|n|CffCC99FF2000-5000|r业力|n|n|Cff00FF7F同时只能携带一个招魂幡|r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</si>
  <si>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</si>
  <si>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</si>
  <si>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</si>
  <si>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</si>
  <si>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</si>
  <si>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</si>
  <si>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</si>
  <si>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</si>
  <si>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</si>
  <si>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</si>
  <si>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</si>
  <si>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</si>
  <si>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</si>
  <si>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</si>
  <si>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</si>
  <si>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</si>
  <si>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</si>
  <si>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</si>
  <si>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</si>
  <si>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</si>
  <si>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</si>
  <si>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</si>
  <si>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开启后获得|Cffffd24d随机奖励|r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</si>
  <si>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</si>
  <si>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</si>
  <si>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</si>
  <si>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</si>
  <si>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</si>
  <si>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</si>
  <si>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</si>
  <si>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开启后随机获得一张|Cffffd24d锦囊卡|r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</si>
  <si>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</si>
  <si>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</si>
  <si>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</si>
  <si>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</si>
  <si>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</si>
  <si>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</si>
  <si>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</si>
  <si>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</si>
  <si>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</si>
  <si>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</si>
  <si>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</si>
  <si>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</si>
  <si>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</si>
  <si>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</si>
  <si>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</si>
  <si>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</si>
  <si>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</si>
  <si>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</si>
  <si>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</si>
  <si>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</si>
  <si>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</si>
  <si>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</si>
  <si>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</si>
  <si>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</si>
  <si>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</si>
  <si>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</si>
  <si>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</si>
  <si>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</si>
  <si>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</si>
  <si>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</si>
  <si>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</si>
  <si>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</si>
  <si>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</si>
  <si>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</si>
  <si>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</si>
  <si>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</si>
  <si>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</si>
  <si>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</si>
  <si>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</si>
  <si>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</si>
  <si>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</si>
  <si>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</si>
  <si>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</si>
  <si>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</si>
  <si>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</si>
  <si>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</si>
  <si>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</si>
  <si>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</si>
  <si>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</si>
  <si>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</si>
  <si>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</si>
  <si>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</si>
  <si>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</si>
  <si>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</si>
  <si>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</si>
  <si>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</si>
  <si>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</si>
  <si>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</si>
  <si>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</si>
  <si>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</si>
  <si>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</si>
  <si>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</si>
  <si>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</si>
  <si>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</si>
  <si>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</si>
  <si>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</si>
  <si>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</si>
  <si>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</si>
  <si>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</si>
  <si>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</si>
  <si>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</si>
  <si>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</si>
  <si>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</si>
  <si>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</si>
  <si>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</si>
  <si>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</si>
  <si>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</si>
  <si>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</si>
  <si>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</si>
  <si>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</si>
  <si>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</si>
  <si>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</si>
  <si>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</si>
  <si>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</si>
  <si>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</si>
  <si>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</si>
  <si>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</si>
  <si>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</si>
  <si>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</si>
  <si>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IN26</t>
  </si>
  <si>
    <t>|CffFFD24D后天道果箱|r</t>
  </si>
  <si>
    <t>IN27</t>
  </si>
  <si>
    <t>|CffFF0000先天道果箱|r</t>
  </si>
  <si>
    <t>IN28</t>
  </si>
  <si>
    <t>|CffFFD24D技能宝箱|r</t>
  </si>
  <si>
    <t>IN29</t>
  </si>
  <si>
    <t>|CffFFD24D附魔宝箱|r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</si>
  <si>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</si>
  <si>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</si>
  <si>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</si>
  <si>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</si>
  <si>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</si>
  <si>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</si>
  <si>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</si>
  <si>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</si>
  <si>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</si>
  <si>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</si>
  <si>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</si>
  <si>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</si>
  <si>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</si>
  <si>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</si>
  <si>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</si>
  <si>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</si>
  <si>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</si>
  <si>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</si>
  <si>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</si>
  <si>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</si>
  <si>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</si>
  <si>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</si>
  <si>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</si>
  <si>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</si>
  <si>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IP09</t>
  </si>
  <si>
    <t>|Cff00FF7F特级大补丸|r</t>
  </si>
  <si>
    <t>使用后增加|Cffffd24d700点|r境界经验。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</si>
  <si>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</si>
  <si>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</si>
  <si>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</si>
  <si>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</si>
  <si>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</si>
  <si>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</si>
  <si>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</si>
  <si>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</si>
  <si>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</si>
  <si>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</si>
  <si>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</si>
  <si>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</si>
  <si>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</si>
  <si>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</si>
  <si>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</si>
  <si>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</si>
  <si>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</si>
  <si>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</si>
  <si>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</si>
  <si>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</si>
  <si>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</si>
  <si>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</si>
  <si>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</si>
  <si>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</si>
  <si>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</si>
  <si>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</si>
  <si>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</si>
  <si>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</si>
  <si>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</si>
  <si>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</si>
  <si>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</si>
  <si>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</si>
  <si>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</si>
  <si>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</si>
  <si>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</si>
  <si>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</si>
  <si>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</si>
  <si>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</si>
  <si>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</si>
  <si>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</si>
  <si>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</si>
  <si>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</si>
  <si>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</si>
  <si>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</si>
  <si>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</si>
  <si>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</si>
  <si>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</si>
  <si>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</si>
  <si>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</si>
  <si>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</si>
  <si>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</si>
  <si>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</si>
  <si>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</si>
  <si>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</si>
  <si>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</si>
  <si>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</si>
  <si>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</si>
  <si>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</si>
  <si>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</si>
  <si>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</si>
  <si>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</si>
  <si>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</si>
  <si>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</si>
  <si>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</si>
  <si>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</si>
  <si>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</si>
  <si>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</si>
  <si>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IS24</t>
  </si>
  <si>
    <t>|CffFFD24DQ强力附魔卷|r</t>
  </si>
  <si>
    <t>IS25</t>
  </si>
  <si>
    <t>|CffFFD24DW强力附魔卷|r</t>
  </si>
  <si>
    <t>IS26</t>
  </si>
  <si>
    <t>|CffFFD24DE强力附魔卷|r</t>
  </si>
  <si>
    <t>IS11</t>
  </si>
  <si>
    <t>|CffFF0000占星|r</t>
  </si>
  <si>
    <t>IS12</t>
  </si>
  <si>
    <t>|CffFFD24D兽魂抽奖|r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</si>
  <si>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</si>
  <si>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</si>
  <si>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</si>
  <si>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</si>
  <si>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</si>
  <si>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</si>
  <si>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</si>
  <si>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</si>
  <si>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</si>
  <si>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</si>
  <si>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</si>
  <si>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</rPr>
      <t>每秒攻击</t>
    </r>
    <r>
      <rPr>
        <sz val="11"/>
        <color theme="1"/>
        <rFont val="等线"/>
        <charset val="134"/>
      </rPr>
      <t>+2|n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</si>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</sst>
</file>

<file path=xl/styles.xml><?xml version="1.0" encoding="utf-8"?>
<styleSheet xmlns="http://schemas.openxmlformats.org/spreadsheetml/2006/main">
  <numFmts count="5">
    <numFmt numFmtId="176" formatCode="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rgb="FF999999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6" fillId="15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6" borderId="18" applyNumberFormat="0" applyFont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35" fillId="0" borderId="17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4" fillId="22" borderId="20" applyNumberFormat="0" applyAlignment="0" applyProtection="0">
      <alignment vertical="center"/>
    </xf>
    <xf numFmtId="0" fontId="30" fillId="22" borderId="16" applyNumberFormat="0" applyAlignment="0" applyProtection="0">
      <alignment vertical="center"/>
    </xf>
    <xf numFmtId="0" fontId="22" fillId="14" borderId="14" applyNumberFormat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2" fillId="0" borderId="19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</cellStyleXfs>
  <cellXfs count="148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2" fillId="0" borderId="0" xfId="0" applyFont="1"/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3" fillId="0" borderId="0" xfId="0" applyFont="1" applyAlignment="1">
      <alignment horizontal="left" vertical="center" wrapText="1"/>
    </xf>
    <xf numFmtId="0" fontId="9" fillId="0" borderId="0" xfId="0" applyFont="1"/>
    <xf numFmtId="0" fontId="14" fillId="0" borderId="0" xfId="0" applyFont="1" applyAlignment="1">
      <alignment horizontal="left" vertical="center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1" fillId="11" borderId="0" xfId="0" applyFont="1" applyFill="1" applyAlignment="1">
      <alignment horizontal="left" vertical="center"/>
    </xf>
    <xf numFmtId="0" fontId="0" fillId="11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0" fillId="11" borderId="0" xfId="0" applyFont="1" applyFill="1" applyAlignment="1">
      <alignment vertical="center"/>
    </xf>
    <xf numFmtId="0" fontId="15" fillId="11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7" fillId="0" borderId="0" xfId="0" applyFont="1"/>
    <xf numFmtId="0" fontId="11" fillId="0" borderId="0" xfId="0" applyFont="1" applyAlignment="1">
      <alignment wrapText="1"/>
    </xf>
    <xf numFmtId="0" fontId="4" fillId="5" borderId="0" xfId="7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6" fillId="0" borderId="0" xfId="0" applyFont="1" applyAlignment="1">
      <alignment horizontal="left" vertical="center"/>
    </xf>
    <xf numFmtId="0" fontId="18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2" borderId="9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13" fillId="3" borderId="9" xfId="0" applyFont="1" applyFill="1" applyBorder="1" applyAlignment="1"/>
    <xf numFmtId="0" fontId="13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3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32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48740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6"/>
  <sheetViews>
    <sheetView tabSelected="1" workbookViewId="0">
      <pane xSplit="8" ySplit="2" topLeftCell="X191" activePane="bottomRight" state="frozen"/>
      <selection/>
      <selection pane="topRight"/>
      <selection pane="bottomLeft"/>
      <selection pane="bottomRight" activeCell="AA213" sqref="AA213"/>
    </sheetView>
  </sheetViews>
  <sheetFormatPr defaultColWidth="9" defaultRowHeight="13.8"/>
  <cols>
    <col min="1" max="1" width="22.3333333333333" style="3" customWidth="1"/>
    <col min="2" max="2" width="9" style="3"/>
    <col min="3" max="3" width="7.62962962962963" style="3" customWidth="1"/>
    <col min="4" max="4" width="7.37962962962963" style="3" customWidth="1"/>
    <col min="5" max="5" width="11.6296296296296" style="3" customWidth="1"/>
    <col min="6" max="6" width="11" style="3" customWidth="1"/>
    <col min="7" max="7" width="8.87962962962963" style="3" customWidth="1"/>
    <col min="8" max="8" width="26.25" style="3" customWidth="1"/>
    <col min="9" max="9" width="28.1296296296296" style="124" customWidth="1"/>
    <col min="10" max="10" width="18.6296296296296" customWidth="1"/>
    <col min="11" max="11" width="41" customWidth="1"/>
    <col min="12" max="12" width="9" style="3" customWidth="1"/>
    <col min="13" max="13" width="47.3796296296296" style="128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96296296296" style="3" customWidth="1"/>
    <col min="27" max="27" width="10" style="3" customWidth="1"/>
    <col min="28" max="28" width="10.3796296296296" style="124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96296296296" style="3" customWidth="1"/>
    <col min="35" max="35" width="12.3796296296296" style="3" customWidth="1"/>
    <col min="36" max="39" width="9" style="3"/>
    <col min="40" max="40" width="9" style="124"/>
    <col min="41" max="16384" width="9" style="3"/>
  </cols>
  <sheetData>
    <row r="1" s="124" customFormat="1" spans="1:42">
      <c r="A1" s="128"/>
      <c r="B1" s="124" t="s">
        <v>0</v>
      </c>
      <c r="C1" s="124" t="s">
        <v>1</v>
      </c>
      <c r="D1" s="124" t="s">
        <v>2</v>
      </c>
      <c r="E1" s="148" t="s">
        <v>3</v>
      </c>
      <c r="F1" s="124" t="s">
        <v>4</v>
      </c>
      <c r="G1" s="124" t="s">
        <v>5</v>
      </c>
      <c r="H1" s="124" t="s">
        <v>6</v>
      </c>
      <c r="I1" s="124" t="s">
        <v>7</v>
      </c>
      <c r="J1" s="125" t="s">
        <v>8</v>
      </c>
      <c r="K1" s="125" t="s">
        <v>9</v>
      </c>
      <c r="L1" s="124" t="s">
        <v>10</v>
      </c>
      <c r="M1" s="124" t="s">
        <v>11</v>
      </c>
      <c r="N1" s="124" t="s">
        <v>12</v>
      </c>
      <c r="O1" s="124" t="s">
        <v>13</v>
      </c>
      <c r="P1" s="124" t="s">
        <v>14</v>
      </c>
      <c r="Q1" s="124" t="s">
        <v>15</v>
      </c>
      <c r="R1" s="124" t="s">
        <v>16</v>
      </c>
      <c r="S1" s="124" t="s">
        <v>17</v>
      </c>
      <c r="T1" s="124" t="s">
        <v>18</v>
      </c>
      <c r="U1" s="124" t="s">
        <v>19</v>
      </c>
      <c r="V1" s="124" t="s">
        <v>20</v>
      </c>
      <c r="W1" s="124" t="s">
        <v>21</v>
      </c>
      <c r="X1" s="124" t="s">
        <v>22</v>
      </c>
      <c r="Y1" s="124" t="s">
        <v>23</v>
      </c>
      <c r="Z1" s="124" t="s">
        <v>24</v>
      </c>
      <c r="AA1" s="124" t="s">
        <v>25</v>
      </c>
      <c r="AB1" s="124" t="s">
        <v>26</v>
      </c>
      <c r="AC1" s="124" t="s">
        <v>27</v>
      </c>
      <c r="AD1" s="124" t="s">
        <v>28</v>
      </c>
      <c r="AE1" s="124" t="s">
        <v>29</v>
      </c>
      <c r="AF1" s="124" t="s">
        <v>30</v>
      </c>
      <c r="AG1" s="124" t="s">
        <v>31</v>
      </c>
      <c r="AH1" s="124" t="s">
        <v>32</v>
      </c>
      <c r="AI1" s="124" t="s">
        <v>33</v>
      </c>
      <c r="AJ1" s="125" t="s">
        <v>34</v>
      </c>
      <c r="AK1" s="124" t="s">
        <v>35</v>
      </c>
      <c r="AL1" s="124" t="s">
        <v>36</v>
      </c>
      <c r="AM1" s="124" t="s">
        <v>37</v>
      </c>
      <c r="AN1" s="124" t="s">
        <v>38</v>
      </c>
      <c r="AO1" s="124" t="s">
        <v>39</v>
      </c>
      <c r="AP1" s="125" t="s">
        <v>40</v>
      </c>
    </row>
    <row r="2" s="125" customFormat="1" ht="12.75" customHeight="1" spans="1:42">
      <c r="A2" s="129">
        <f>COUNTA(B:B)+1</f>
        <v>260</v>
      </c>
      <c r="C2" s="125" t="s">
        <v>41</v>
      </c>
      <c r="D2" s="125" t="s">
        <v>42</v>
      </c>
      <c r="E2" s="125" t="s">
        <v>43</v>
      </c>
      <c r="F2" s="125" t="s">
        <v>44</v>
      </c>
      <c r="G2" s="125" t="s">
        <v>45</v>
      </c>
      <c r="H2" s="125" t="s">
        <v>46</v>
      </c>
      <c r="I2" s="125" t="s">
        <v>47</v>
      </c>
      <c r="J2" s="125" t="s">
        <v>48</v>
      </c>
      <c r="K2" s="125" t="s">
        <v>49</v>
      </c>
      <c r="L2" s="125" t="s">
        <v>50</v>
      </c>
      <c r="M2" s="125" t="s">
        <v>51</v>
      </c>
      <c r="N2" s="125" t="s">
        <v>52</v>
      </c>
      <c r="O2" s="125" t="s">
        <v>53</v>
      </c>
      <c r="P2" s="125" t="s">
        <v>54</v>
      </c>
      <c r="Q2" s="125" t="s">
        <v>55</v>
      </c>
      <c r="R2" s="125" t="s">
        <v>56</v>
      </c>
      <c r="S2" s="125" t="s">
        <v>57</v>
      </c>
      <c r="T2" s="125" t="s">
        <v>58</v>
      </c>
      <c r="U2" s="125" t="s">
        <v>59</v>
      </c>
      <c r="V2" s="125" t="s">
        <v>60</v>
      </c>
      <c r="W2" s="125" t="s">
        <v>61</v>
      </c>
      <c r="X2" s="125" t="s">
        <v>62</v>
      </c>
      <c r="Y2" s="125" t="s">
        <v>63</v>
      </c>
      <c r="Z2" s="125" t="s">
        <v>64</v>
      </c>
      <c r="AA2" s="125" t="s">
        <v>65</v>
      </c>
      <c r="AB2" s="125" t="s">
        <v>66</v>
      </c>
      <c r="AC2" s="125" t="s">
        <v>67</v>
      </c>
      <c r="AD2" s="125" t="s">
        <v>68</v>
      </c>
      <c r="AE2" s="125" t="s">
        <v>69</v>
      </c>
      <c r="AF2" s="125" t="s">
        <v>70</v>
      </c>
      <c r="AG2" s="125" t="s">
        <v>71</v>
      </c>
      <c r="AH2" s="125" t="s">
        <v>72</v>
      </c>
      <c r="AI2" s="125" t="s">
        <v>73</v>
      </c>
      <c r="AJ2" s="125" t="s">
        <v>74</v>
      </c>
      <c r="AK2" s="125" t="s">
        <v>75</v>
      </c>
      <c r="AL2" s="125" t="s">
        <v>76</v>
      </c>
      <c r="AM2" s="125" t="s">
        <v>77</v>
      </c>
      <c r="AN2" s="125" t="s">
        <v>78</v>
      </c>
      <c r="AO2" s="125" t="s">
        <v>79</v>
      </c>
      <c r="AP2" s="125" t="s">
        <v>80</v>
      </c>
    </row>
    <row r="3" spans="1:42">
      <c r="A3" s="128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30" t="str">
        <f t="shared" ref="J3" si="0">H3</f>
        <v>[武器]古纹剑lv1</v>
      </c>
      <c r="K3" s="130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31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8">
        <v>0</v>
      </c>
      <c r="Q3" s="8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8">
        <v>1</v>
      </c>
      <c r="W3" s="8" t="s">
        <v>85</v>
      </c>
      <c r="X3" s="8">
        <v>0</v>
      </c>
      <c r="Y3" s="148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8"/>
      <c r="AJ3" s="8"/>
      <c r="AK3" s="8">
        <v>0</v>
      </c>
      <c r="AL3" s="8">
        <v>0</v>
      </c>
      <c r="AM3" s="148" t="s">
        <v>83</v>
      </c>
      <c r="AN3" s="8"/>
      <c r="AO3" s="8"/>
      <c r="AP3" s="8">
        <v>1</v>
      </c>
    </row>
    <row r="4" spans="1:42">
      <c r="A4" s="128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30" t="str">
        <f t="shared" ref="J4:J7" si="2">H4</f>
        <v>[武器]古纹剑lv2</v>
      </c>
      <c r="K4" s="130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31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8">
        <v>0</v>
      </c>
      <c r="Q4" s="8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8">
        <v>1</v>
      </c>
      <c r="W4" s="8" t="s">
        <v>85</v>
      </c>
      <c r="X4" s="8">
        <v>0</v>
      </c>
      <c r="Y4" s="148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8"/>
      <c r="AJ4" s="8"/>
      <c r="AK4" s="8">
        <v>0</v>
      </c>
      <c r="AL4" s="8">
        <v>0</v>
      </c>
      <c r="AM4" s="148" t="s">
        <v>83</v>
      </c>
      <c r="AN4" s="8"/>
      <c r="AO4" s="8"/>
      <c r="AP4" s="8">
        <v>1</v>
      </c>
    </row>
    <row r="5" spans="1:42">
      <c r="A5" s="128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30" t="str">
        <f t="shared" si="2"/>
        <v>[武器]古纹剑lv3</v>
      </c>
      <c r="K5" s="130" t="str">
        <f t="shared" si="3"/>
        <v>|Cffbbbbbb属性：|r|n攻击+4000|n|n攻击10%概率附加|cffff4646业力*1|r魔法伤害|n|n|Cff00ff7f点击消耗800金币进行强化|n成功率100%</v>
      </c>
      <c r="L5" s="8"/>
      <c r="M5" s="131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8">
        <v>0</v>
      </c>
      <c r="Q5" s="8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8">
        <v>1</v>
      </c>
      <c r="W5" s="8" t="s">
        <v>85</v>
      </c>
      <c r="X5" s="8">
        <v>0</v>
      </c>
      <c r="Y5" s="148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8"/>
      <c r="AJ5" s="8"/>
      <c r="AK5" s="8">
        <v>0</v>
      </c>
      <c r="AL5" s="8">
        <v>0</v>
      </c>
      <c r="AM5" s="148" t="s">
        <v>83</v>
      </c>
      <c r="AN5" s="8"/>
      <c r="AO5" s="8"/>
      <c r="AP5" s="8">
        <v>1</v>
      </c>
    </row>
    <row r="6" spans="1:42">
      <c r="A6" s="128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30" t="str">
        <f t="shared" si="2"/>
        <v>[武器]古纹剑lv4</v>
      </c>
      <c r="K6" s="130" t="str">
        <f t="shared" si="3"/>
        <v>|Cffbbbbbb属性：|r|n攻击+6000|n|n攻击10%概率附加|cffff4646业力*1|r魔法伤害|n|n|Cff00ff7f点击消耗800金币进行强化|n成功率100%</v>
      </c>
      <c r="L6" s="8"/>
      <c r="M6" s="131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8">
        <v>0</v>
      </c>
      <c r="Q6" s="8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8">
        <v>1</v>
      </c>
      <c r="W6" s="8" t="s">
        <v>85</v>
      </c>
      <c r="X6" s="8">
        <v>0</v>
      </c>
      <c r="Y6" s="148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8"/>
      <c r="AJ6" s="8"/>
      <c r="AK6" s="8">
        <v>0</v>
      </c>
      <c r="AL6" s="8">
        <v>0</v>
      </c>
      <c r="AM6" s="148" t="s">
        <v>83</v>
      </c>
      <c r="AN6" s="8"/>
      <c r="AO6" s="8"/>
      <c r="AP6" s="8">
        <v>1</v>
      </c>
    </row>
    <row r="7" spans="1:42">
      <c r="A7" s="128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30" t="str">
        <f t="shared" si="2"/>
        <v>[武器]古纹剑lv5</v>
      </c>
      <c r="K7" s="130" t="str">
        <f t="shared" si="3"/>
        <v>|Cffbbbbbb属性：|r|n攻击+8000|n|n攻击10%概率附加|cffff4646业力*1|r魔法伤害|n|n|Cff00ff7f点击消耗2500金币进行晋阶挑战</v>
      </c>
      <c r="L7" s="8"/>
      <c r="M7" s="131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8">
        <v>0</v>
      </c>
      <c r="Q7" s="8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8">
        <v>1</v>
      </c>
      <c r="W7" s="8" t="s">
        <v>85</v>
      </c>
      <c r="X7" s="8">
        <v>0</v>
      </c>
      <c r="Y7" s="148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8"/>
      <c r="AJ7" s="8"/>
      <c r="AK7" s="8">
        <v>0</v>
      </c>
      <c r="AL7" s="8">
        <v>0</v>
      </c>
      <c r="AM7" s="148" t="s">
        <v>83</v>
      </c>
      <c r="AN7" s="8"/>
      <c r="AO7" s="8"/>
      <c r="AP7" s="8">
        <v>1</v>
      </c>
    </row>
    <row r="8" spans="1:42">
      <c r="A8" s="128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0" t="str">
        <f t="shared" ref="J8:J18" si="4">H8</f>
        <v>|Cff00FF7F[武器]鱼肠剑lv1|r</v>
      </c>
      <c r="K8" s="130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31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8">
        <v>0</v>
      </c>
      <c r="Q8" s="8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8">
        <v>1</v>
      </c>
      <c r="W8" s="8" t="s">
        <v>85</v>
      </c>
      <c r="X8" s="8">
        <v>0</v>
      </c>
      <c r="Y8" s="148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8"/>
      <c r="AJ8" s="8"/>
      <c r="AK8" s="8">
        <v>0</v>
      </c>
      <c r="AL8" s="8">
        <v>0</v>
      </c>
      <c r="AM8" s="148" t="s">
        <v>83</v>
      </c>
      <c r="AN8" s="8"/>
      <c r="AO8" s="8"/>
      <c r="AP8" s="8">
        <v>1</v>
      </c>
    </row>
    <row r="9" spans="1:42">
      <c r="A9" s="128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0" t="str">
        <f t="shared" si="4"/>
        <v>|Cff00FF7F[武器]鱼肠剑lv2|r</v>
      </c>
      <c r="K9" s="130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31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8">
        <v>0</v>
      </c>
      <c r="Q9" s="8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8">
        <v>1</v>
      </c>
      <c r="W9" s="8" t="s">
        <v>85</v>
      </c>
      <c r="X9" s="8">
        <v>0</v>
      </c>
      <c r="Y9" s="148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8"/>
      <c r="AJ9" s="8"/>
      <c r="AK9" s="8">
        <v>0</v>
      </c>
      <c r="AL9" s="8">
        <v>0</v>
      </c>
      <c r="AM9" s="148" t="s">
        <v>83</v>
      </c>
      <c r="AN9" s="8"/>
      <c r="AO9" s="8"/>
      <c r="AP9" s="8">
        <v>1</v>
      </c>
    </row>
    <row r="10" spans="1:42">
      <c r="A10" s="128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0" t="str">
        <f t="shared" si="4"/>
        <v>|Cff00FF7F[武器]鱼肠剑lv3|r</v>
      </c>
      <c r="K10" s="130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31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8">
        <v>0</v>
      </c>
      <c r="Q10" s="8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8">
        <v>1</v>
      </c>
      <c r="W10" s="8" t="s">
        <v>85</v>
      </c>
      <c r="X10" s="8">
        <v>0</v>
      </c>
      <c r="Y10" s="148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8"/>
      <c r="AJ10" s="8"/>
      <c r="AK10" s="8">
        <v>0</v>
      </c>
      <c r="AL10" s="8">
        <v>0</v>
      </c>
      <c r="AM10" s="148" t="s">
        <v>83</v>
      </c>
      <c r="AN10" s="8"/>
      <c r="AO10" s="8"/>
      <c r="AP10" s="8">
        <v>1</v>
      </c>
    </row>
    <row r="11" spans="1:42">
      <c r="A11" s="128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0" t="str">
        <f t="shared" si="4"/>
        <v>|Cff00FF7F[武器]鱼肠剑lv4|r</v>
      </c>
      <c r="K11" s="130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31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8">
        <v>0</v>
      </c>
      <c r="Q11" s="8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8">
        <v>1</v>
      </c>
      <c r="W11" s="8" t="s">
        <v>85</v>
      </c>
      <c r="X11" s="8">
        <v>0</v>
      </c>
      <c r="Y11" s="148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8"/>
      <c r="AJ11" s="8"/>
      <c r="AK11" s="8">
        <v>0</v>
      </c>
      <c r="AL11" s="8">
        <v>0</v>
      </c>
      <c r="AM11" s="148" t="s">
        <v>83</v>
      </c>
      <c r="AN11" s="8"/>
      <c r="AO11" s="8"/>
      <c r="AP11" s="8">
        <v>1</v>
      </c>
    </row>
    <row r="12" spans="1:42">
      <c r="A12" s="128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0" t="str">
        <f t="shared" si="4"/>
        <v>|Cff00FF7F[武器]鱼肠剑lv5|r</v>
      </c>
      <c r="K12" s="130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31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8">
        <v>0</v>
      </c>
      <c r="Q12" s="8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8">
        <v>1</v>
      </c>
      <c r="W12" s="8" t="s">
        <v>85</v>
      </c>
      <c r="X12" s="8">
        <v>0</v>
      </c>
      <c r="Y12" s="148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8"/>
      <c r="AJ12" s="8"/>
      <c r="AK12" s="8">
        <v>0</v>
      </c>
      <c r="AL12" s="8">
        <v>0</v>
      </c>
      <c r="AM12" s="148" t="s">
        <v>83</v>
      </c>
      <c r="AN12" s="8"/>
      <c r="AO12" s="8"/>
      <c r="AP12" s="8">
        <v>1</v>
      </c>
    </row>
    <row r="13" spans="1:42">
      <c r="A13" s="128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0" t="str">
        <f t="shared" si="4"/>
        <v>|Cff00BFFF[武器]太阿剑lv1|r</v>
      </c>
      <c r="K13" s="130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31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8">
        <v>0</v>
      </c>
      <c r="Q13" s="8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8">
        <v>1</v>
      </c>
      <c r="W13" s="8" t="s">
        <v>85</v>
      </c>
      <c r="X13" s="8">
        <v>0</v>
      </c>
      <c r="Y13" s="148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8"/>
      <c r="AJ13" s="8"/>
      <c r="AK13" s="8">
        <v>0</v>
      </c>
      <c r="AL13" s="8">
        <v>0</v>
      </c>
      <c r="AM13" s="148" t="s">
        <v>83</v>
      </c>
      <c r="AN13" s="8"/>
      <c r="AO13" s="8"/>
      <c r="AP13" s="8">
        <v>1</v>
      </c>
    </row>
    <row r="14" spans="1:42">
      <c r="A14" s="128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0" t="str">
        <f t="shared" si="4"/>
        <v>|Cff00BFFF[武器]太阿剑lv2|r</v>
      </c>
      <c r="K14" s="130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31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8">
        <v>0</v>
      </c>
      <c r="Q14" s="8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8">
        <v>1</v>
      </c>
      <c r="W14" s="8" t="s">
        <v>85</v>
      </c>
      <c r="X14" s="8">
        <v>0</v>
      </c>
      <c r="Y14" s="148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8"/>
      <c r="AJ14" s="8"/>
      <c r="AK14" s="8">
        <v>0</v>
      </c>
      <c r="AL14" s="8">
        <v>0</v>
      </c>
      <c r="AM14" s="148" t="s">
        <v>83</v>
      </c>
      <c r="AN14" s="8"/>
      <c r="AO14" s="8"/>
      <c r="AP14" s="8">
        <v>1</v>
      </c>
    </row>
    <row r="15" spans="1:42">
      <c r="A15" s="128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0" t="str">
        <f t="shared" si="4"/>
        <v>|Cff00BFFF[武器]太阿剑lv3|r</v>
      </c>
      <c r="K15" s="130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31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8">
        <v>0</v>
      </c>
      <c r="Q15" s="8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8">
        <v>1</v>
      </c>
      <c r="W15" s="8" t="s">
        <v>85</v>
      </c>
      <c r="X15" s="8">
        <v>0</v>
      </c>
      <c r="Y15" s="148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8"/>
      <c r="AJ15" s="8"/>
      <c r="AK15" s="8">
        <v>0</v>
      </c>
      <c r="AL15" s="8">
        <v>0</v>
      </c>
      <c r="AM15" s="148" t="s">
        <v>83</v>
      </c>
      <c r="AN15" s="8"/>
      <c r="AO15" s="8"/>
      <c r="AP15" s="8">
        <v>1</v>
      </c>
    </row>
    <row r="16" spans="1:42">
      <c r="A16" s="128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0" t="str">
        <f t="shared" si="4"/>
        <v>|Cff00BFFF[武器]太阿剑lv4|r</v>
      </c>
      <c r="K16" s="130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31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8">
        <v>0</v>
      </c>
      <c r="Q16" s="8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8">
        <v>1</v>
      </c>
      <c r="W16" s="8" t="s">
        <v>85</v>
      </c>
      <c r="X16" s="8">
        <v>0</v>
      </c>
      <c r="Y16" s="148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8"/>
      <c r="AJ16" s="8"/>
      <c r="AK16" s="8">
        <v>0</v>
      </c>
      <c r="AL16" s="8">
        <v>0</v>
      </c>
      <c r="AM16" s="148" t="s">
        <v>83</v>
      </c>
      <c r="AN16" s="8"/>
      <c r="AO16" s="8"/>
      <c r="AP16" s="8">
        <v>1</v>
      </c>
    </row>
    <row r="17" spans="1:42">
      <c r="A17" s="128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0" t="str">
        <f t="shared" si="4"/>
        <v>|Cff00BFFF[武器]太阿剑lv5|r</v>
      </c>
      <c r="K17" s="130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31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8">
        <v>0</v>
      </c>
      <c r="Q17" s="8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8">
        <v>1</v>
      </c>
      <c r="W17" s="8" t="s">
        <v>85</v>
      </c>
      <c r="X17" s="8">
        <v>0</v>
      </c>
      <c r="Y17" s="148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8"/>
      <c r="AJ17" s="8"/>
      <c r="AK17" s="8">
        <v>0</v>
      </c>
      <c r="AL17" s="8">
        <v>0</v>
      </c>
      <c r="AM17" s="148" t="s">
        <v>83</v>
      </c>
      <c r="AN17" s="8"/>
      <c r="AO17" s="8"/>
      <c r="AP17" s="8">
        <v>1</v>
      </c>
    </row>
    <row r="18" spans="1:42">
      <c r="A18" s="128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0" t="str">
        <f t="shared" si="4"/>
        <v>|CffFFC926[武器]轩辕剑lv1|r</v>
      </c>
      <c r="K18" s="130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31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8">
        <v>0</v>
      </c>
      <c r="Q18" s="8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8">
        <v>1</v>
      </c>
      <c r="W18" s="8" t="s">
        <v>85</v>
      </c>
      <c r="X18" s="8">
        <v>0</v>
      </c>
      <c r="Y18" s="148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8"/>
      <c r="AJ18" s="8"/>
      <c r="AK18" s="8">
        <v>0</v>
      </c>
      <c r="AL18" s="8">
        <v>0</v>
      </c>
      <c r="AM18" s="148" t="s">
        <v>83</v>
      </c>
      <c r="AN18" s="8"/>
      <c r="AO18" s="8"/>
      <c r="AP18" s="8">
        <v>1</v>
      </c>
    </row>
    <row r="19" spans="1:42">
      <c r="A19" s="128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0" t="str">
        <f t="shared" ref="J19:J35" si="6">H19</f>
        <v>|CffFFC926[武器]轩辕剑lv2|r</v>
      </c>
      <c r="K19" s="130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31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8">
        <v>0</v>
      </c>
      <c r="Q19" s="8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8">
        <v>1</v>
      </c>
      <c r="W19" s="8" t="s">
        <v>85</v>
      </c>
      <c r="X19" s="8">
        <v>0</v>
      </c>
      <c r="Y19" s="148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8"/>
      <c r="AJ19" s="8"/>
      <c r="AK19" s="8">
        <v>0</v>
      </c>
      <c r="AL19" s="8">
        <v>0</v>
      </c>
      <c r="AM19" s="148" t="s">
        <v>83</v>
      </c>
      <c r="AN19" s="8"/>
      <c r="AO19" s="8"/>
      <c r="AP19" s="8">
        <v>1</v>
      </c>
    </row>
    <row r="20" spans="1:42">
      <c r="A20" s="128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0" t="str">
        <f t="shared" si="6"/>
        <v>|CffFFC926[武器]轩辕剑lv3|r</v>
      </c>
      <c r="K20" s="130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31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8">
        <v>0</v>
      </c>
      <c r="Q20" s="8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8">
        <v>1</v>
      </c>
      <c r="W20" s="8" t="s">
        <v>85</v>
      </c>
      <c r="X20" s="8">
        <v>0</v>
      </c>
      <c r="Y20" s="148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8"/>
      <c r="AJ20" s="8"/>
      <c r="AK20" s="8">
        <v>0</v>
      </c>
      <c r="AL20" s="8">
        <v>0</v>
      </c>
      <c r="AM20" s="148" t="s">
        <v>83</v>
      </c>
      <c r="AN20" s="8"/>
      <c r="AO20" s="8"/>
      <c r="AP20" s="8">
        <v>1</v>
      </c>
    </row>
    <row r="21" spans="1:42">
      <c r="A21" s="128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0" t="str">
        <f t="shared" si="6"/>
        <v>|CffFFC926[武器]轩辕剑lv4|r</v>
      </c>
      <c r="K21" s="130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31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8">
        <v>0</v>
      </c>
      <c r="Q21" s="8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8">
        <v>1</v>
      </c>
      <c r="W21" s="8" t="s">
        <v>85</v>
      </c>
      <c r="X21" s="8">
        <v>0</v>
      </c>
      <c r="Y21" s="148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8"/>
      <c r="AJ21" s="8"/>
      <c r="AK21" s="8">
        <v>0</v>
      </c>
      <c r="AL21" s="8">
        <v>0</v>
      </c>
      <c r="AM21" s="148" t="s">
        <v>83</v>
      </c>
      <c r="AN21" s="8"/>
      <c r="AO21" s="8"/>
      <c r="AP21" s="8">
        <v>1</v>
      </c>
    </row>
    <row r="22" spans="1:42">
      <c r="A22" s="128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0" t="str">
        <f t="shared" si="6"/>
        <v>|CffFFC926[武器]轩辕剑lv5|r</v>
      </c>
      <c r="K22" s="130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31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8">
        <v>0</v>
      </c>
      <c r="Q22" s="8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8">
        <v>1</v>
      </c>
      <c r="W22" s="8" t="s">
        <v>85</v>
      </c>
      <c r="X22" s="8">
        <v>0</v>
      </c>
      <c r="Y22" s="148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8"/>
      <c r="AJ22" s="8"/>
      <c r="AK22" s="8">
        <v>0</v>
      </c>
      <c r="AL22" s="8">
        <v>0</v>
      </c>
      <c r="AM22" s="148" t="s">
        <v>83</v>
      </c>
      <c r="AN22" s="8"/>
      <c r="AO22" s="8"/>
      <c r="AP22" s="8">
        <v>1</v>
      </c>
    </row>
    <row r="23" spans="1:42">
      <c r="A23" s="128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0" t="str">
        <f t="shared" si="6"/>
        <v>|CffFF0000[武器]太极八卦剑lv1|r</v>
      </c>
      <c r="K23" s="130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31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8">
        <v>0</v>
      </c>
      <c r="Q23" s="8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8">
        <v>1</v>
      </c>
      <c r="W23" s="8" t="s">
        <v>85</v>
      </c>
      <c r="X23" s="8">
        <v>0</v>
      </c>
      <c r="Y23" s="148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8"/>
      <c r="AJ23" s="8"/>
      <c r="AK23" s="8">
        <v>0</v>
      </c>
      <c r="AL23" s="8">
        <v>0</v>
      </c>
      <c r="AM23" s="148" t="s">
        <v>83</v>
      </c>
      <c r="AN23" s="8"/>
      <c r="AO23" s="8"/>
      <c r="AP23" s="8">
        <v>1</v>
      </c>
    </row>
    <row r="24" spans="1:42">
      <c r="A24" s="128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0" t="str">
        <f t="shared" si="6"/>
        <v>|CffFF0000[武器]太极八卦剑lv2|r</v>
      </c>
      <c r="K24" s="130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31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8">
        <v>0</v>
      </c>
      <c r="Q24" s="8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8">
        <v>1</v>
      </c>
      <c r="W24" s="8" t="s">
        <v>85</v>
      </c>
      <c r="X24" s="8">
        <v>0</v>
      </c>
      <c r="Y24" s="148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8"/>
      <c r="AJ24" s="8"/>
      <c r="AK24" s="8">
        <v>0</v>
      </c>
      <c r="AL24" s="8">
        <v>0</v>
      </c>
      <c r="AM24" s="148" t="s">
        <v>83</v>
      </c>
      <c r="AN24" s="8"/>
      <c r="AO24" s="8"/>
      <c r="AP24" s="8">
        <v>1</v>
      </c>
    </row>
    <row r="25" spans="1:42">
      <c r="A25" s="128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0" t="str">
        <f t="shared" si="6"/>
        <v>|CffFF0000[武器]太极八卦剑lv3|r</v>
      </c>
      <c r="K25" s="130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31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8">
        <v>0</v>
      </c>
      <c r="Q25" s="8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8">
        <v>1</v>
      </c>
      <c r="W25" s="8" t="s">
        <v>85</v>
      </c>
      <c r="X25" s="8">
        <v>0</v>
      </c>
      <c r="Y25" s="148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8"/>
      <c r="AJ25" s="8"/>
      <c r="AK25" s="8">
        <v>0</v>
      </c>
      <c r="AL25" s="8">
        <v>0</v>
      </c>
      <c r="AM25" s="148" t="s">
        <v>83</v>
      </c>
      <c r="AN25" s="8"/>
      <c r="AO25" s="8"/>
      <c r="AP25" s="8">
        <v>1</v>
      </c>
    </row>
    <row r="26" spans="1:42">
      <c r="A26" s="128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0" t="str">
        <f t="shared" si="6"/>
        <v>|CffFF0000[武器]太极八卦剑lv4|r</v>
      </c>
      <c r="K26" s="130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31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8">
        <v>0</v>
      </c>
      <c r="Q26" s="8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8">
        <v>1</v>
      </c>
      <c r="W26" s="8" t="s">
        <v>85</v>
      </c>
      <c r="X26" s="8">
        <v>0</v>
      </c>
      <c r="Y26" s="148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8"/>
      <c r="AJ26" s="8"/>
      <c r="AK26" s="8">
        <v>0</v>
      </c>
      <c r="AL26" s="8">
        <v>0</v>
      </c>
      <c r="AM26" s="148" t="s">
        <v>83</v>
      </c>
      <c r="AN26" s="8"/>
      <c r="AO26" s="8"/>
      <c r="AP26" s="8">
        <v>1</v>
      </c>
    </row>
    <row r="27" spans="1:42">
      <c r="A27" s="128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0" t="str">
        <f t="shared" si="6"/>
        <v>|CffFF0000[武器]太极八卦剑lv5|r</v>
      </c>
      <c r="K27" s="130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31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8">
        <v>0</v>
      </c>
      <c r="Q27" s="8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8">
        <v>1</v>
      </c>
      <c r="W27" s="8" t="s">
        <v>85</v>
      </c>
      <c r="X27" s="8">
        <v>0</v>
      </c>
      <c r="Y27" s="148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8"/>
      <c r="AJ27" s="8"/>
      <c r="AK27" s="8">
        <v>0</v>
      </c>
      <c r="AL27" s="8">
        <v>0</v>
      </c>
      <c r="AM27" s="148" t="s">
        <v>83</v>
      </c>
      <c r="AN27" s="8"/>
      <c r="AO27" s="8"/>
      <c r="AP27" s="8"/>
    </row>
    <row r="28" spans="1:42">
      <c r="A28" s="128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0" t="str">
        <f t="shared" si="6"/>
        <v>[饰品]青珑挂珠lv1</v>
      </c>
      <c r="K28" s="130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31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8">
        <v>0</v>
      </c>
      <c r="Q28" s="8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8">
        <v>2</v>
      </c>
      <c r="W28" s="8" t="s">
        <v>85</v>
      </c>
      <c r="X28" s="8">
        <v>0</v>
      </c>
      <c r="Y28" s="148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8"/>
      <c r="AJ28" s="8"/>
      <c r="AK28" s="8">
        <v>0</v>
      </c>
      <c r="AL28" s="8">
        <v>0</v>
      </c>
      <c r="AM28" s="148" t="s">
        <v>83</v>
      </c>
      <c r="AN28" s="8">
        <v>150</v>
      </c>
      <c r="AO28" s="8"/>
      <c r="AP28" s="8"/>
    </row>
    <row r="29" spans="1:42">
      <c r="A29" s="128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0" t="str">
        <f t="shared" si="6"/>
        <v>[饰品]青珑挂珠lv2</v>
      </c>
      <c r="K29" s="130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31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8">
        <v>0</v>
      </c>
      <c r="Q29" s="8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8">
        <v>2</v>
      </c>
      <c r="W29" s="8" t="s">
        <v>85</v>
      </c>
      <c r="X29" s="8">
        <v>0</v>
      </c>
      <c r="Y29" s="148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8"/>
      <c r="AJ29" s="8"/>
      <c r="AK29" s="8">
        <v>0</v>
      </c>
      <c r="AL29" s="8">
        <v>0</v>
      </c>
      <c r="AM29" s="148" t="s">
        <v>83</v>
      </c>
      <c r="AN29" s="8">
        <v>150</v>
      </c>
      <c r="AO29" s="8"/>
      <c r="AP29" s="8"/>
    </row>
    <row r="30" spans="1:42">
      <c r="A30" s="128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0" t="str">
        <f t="shared" si="6"/>
        <v>[饰品]青珑挂珠lv3</v>
      </c>
      <c r="K30" s="130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31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8">
        <v>0</v>
      </c>
      <c r="Q30" s="8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8">
        <v>2</v>
      </c>
      <c r="W30" s="8" t="s">
        <v>85</v>
      </c>
      <c r="X30" s="8">
        <v>0</v>
      </c>
      <c r="Y30" s="148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8"/>
      <c r="AJ30" s="8"/>
      <c r="AK30" s="8">
        <v>0</v>
      </c>
      <c r="AL30" s="8">
        <v>0</v>
      </c>
      <c r="AM30" s="148" t="s">
        <v>83</v>
      </c>
      <c r="AN30" s="8">
        <v>150</v>
      </c>
      <c r="AO30" s="8"/>
      <c r="AP30" s="8"/>
    </row>
    <row r="31" spans="1:42">
      <c r="A31" s="128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0" t="str">
        <f t="shared" si="6"/>
        <v>[饰品]青珑挂珠lv4</v>
      </c>
      <c r="K31" s="130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31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8">
        <v>0</v>
      </c>
      <c r="Q31" s="8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8">
        <v>2</v>
      </c>
      <c r="W31" s="8" t="s">
        <v>85</v>
      </c>
      <c r="X31" s="8">
        <v>0</v>
      </c>
      <c r="Y31" s="148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8"/>
      <c r="AJ31" s="8"/>
      <c r="AK31" s="8">
        <v>0</v>
      </c>
      <c r="AL31" s="8">
        <v>0</v>
      </c>
      <c r="AM31" s="148" t="s">
        <v>83</v>
      </c>
      <c r="AN31" s="8">
        <v>150</v>
      </c>
      <c r="AO31" s="8"/>
      <c r="AP31" s="8"/>
    </row>
    <row r="32" spans="1:42">
      <c r="A32" s="128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0" t="str">
        <f t="shared" si="6"/>
        <v>[饰品]青珑挂珠lv5</v>
      </c>
      <c r="K32" s="130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31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8">
        <v>0</v>
      </c>
      <c r="Q32" s="8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8">
        <v>2</v>
      </c>
      <c r="W32" s="8" t="s">
        <v>85</v>
      </c>
      <c r="X32" s="8">
        <v>0</v>
      </c>
      <c r="Y32" s="148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8"/>
      <c r="AJ32" s="8"/>
      <c r="AK32" s="8">
        <v>0</v>
      </c>
      <c r="AL32" s="8">
        <v>0</v>
      </c>
      <c r="AM32" s="148" t="s">
        <v>83</v>
      </c>
      <c r="AN32" s="8">
        <v>150</v>
      </c>
      <c r="AO32" s="8"/>
      <c r="AP32" s="8"/>
    </row>
    <row r="33" spans="1:42">
      <c r="A33" s="128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0" t="str">
        <f t="shared" si="6"/>
        <v>|Cff00FF7F[饰品]紫晶坠子lv1|r</v>
      </c>
      <c r="K33" s="130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31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8">
        <v>0</v>
      </c>
      <c r="Q33" s="8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8">
        <v>2</v>
      </c>
      <c r="W33" s="8" t="s">
        <v>85</v>
      </c>
      <c r="X33" s="8">
        <v>0</v>
      </c>
      <c r="Y33" s="148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8"/>
      <c r="AJ33" s="8"/>
      <c r="AK33" s="8">
        <v>0</v>
      </c>
      <c r="AL33" s="8">
        <v>0</v>
      </c>
      <c r="AM33" s="148" t="s">
        <v>83</v>
      </c>
      <c r="AN33" s="8">
        <v>200</v>
      </c>
      <c r="AO33" s="8"/>
      <c r="AP33" s="8"/>
    </row>
    <row r="34" spans="1:42">
      <c r="A34" s="128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0" t="str">
        <f t="shared" si="6"/>
        <v>|Cff00FF7F[饰品]紫晶坠子lv2|r</v>
      </c>
      <c r="K34" s="130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31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8">
        <v>0</v>
      </c>
      <c r="Q34" s="8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8">
        <v>2</v>
      </c>
      <c r="W34" s="8" t="s">
        <v>85</v>
      </c>
      <c r="X34" s="8">
        <v>0</v>
      </c>
      <c r="Y34" s="148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8"/>
      <c r="AJ34" s="8"/>
      <c r="AK34" s="8">
        <v>0</v>
      </c>
      <c r="AL34" s="8">
        <v>0</v>
      </c>
      <c r="AM34" s="148" t="s">
        <v>83</v>
      </c>
      <c r="AN34" s="8">
        <v>200</v>
      </c>
      <c r="AO34" s="8"/>
      <c r="AP34" s="8"/>
    </row>
    <row r="35" spans="1:42">
      <c r="A35" s="128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0" t="str">
        <f t="shared" si="6"/>
        <v>|Cff00FF7F[饰品]紫晶坠子lv3|r</v>
      </c>
      <c r="K35" s="130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31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8">
        <v>0</v>
      </c>
      <c r="Q35" s="8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8">
        <v>2</v>
      </c>
      <c r="W35" s="8" t="s">
        <v>85</v>
      </c>
      <c r="X35" s="8">
        <v>0</v>
      </c>
      <c r="Y35" s="148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8"/>
      <c r="AJ35" s="8"/>
      <c r="AK35" s="8">
        <v>0</v>
      </c>
      <c r="AL35" s="8">
        <v>0</v>
      </c>
      <c r="AM35" s="148" t="s">
        <v>83</v>
      </c>
      <c r="AN35" s="8">
        <v>200</v>
      </c>
      <c r="AO35" s="8"/>
      <c r="AP35" s="8"/>
    </row>
    <row r="36" spans="1:42">
      <c r="A36" s="128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0" t="str">
        <f t="shared" ref="J36:J53" si="8">H36</f>
        <v>|Cff00FF7F[饰品]紫晶坠子lv4|r</v>
      </c>
      <c r="K36" s="130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31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8">
        <v>0</v>
      </c>
      <c r="Q36" s="8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8">
        <v>2</v>
      </c>
      <c r="W36" s="8" t="s">
        <v>85</v>
      </c>
      <c r="X36" s="8">
        <v>0</v>
      </c>
      <c r="Y36" s="148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8"/>
      <c r="AJ36" s="8"/>
      <c r="AK36" s="8">
        <v>0</v>
      </c>
      <c r="AL36" s="8">
        <v>0</v>
      </c>
      <c r="AM36" s="148" t="s">
        <v>83</v>
      </c>
      <c r="AN36" s="8">
        <v>200</v>
      </c>
      <c r="AO36" s="8"/>
      <c r="AP36" s="8"/>
    </row>
    <row r="37" spans="1:42">
      <c r="A37" s="128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0" t="str">
        <f t="shared" si="8"/>
        <v>|Cff00FF7F[饰品]紫晶坠子lv5|r</v>
      </c>
      <c r="K37" s="130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31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8">
        <v>0</v>
      </c>
      <c r="Q37" s="8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8">
        <v>2</v>
      </c>
      <c r="W37" s="8" t="s">
        <v>85</v>
      </c>
      <c r="X37" s="8">
        <v>0</v>
      </c>
      <c r="Y37" s="148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8"/>
      <c r="AJ37" s="8"/>
      <c r="AK37" s="8">
        <v>0</v>
      </c>
      <c r="AL37" s="8">
        <v>0</v>
      </c>
      <c r="AM37" s="148" t="s">
        <v>83</v>
      </c>
      <c r="AN37" s="8">
        <v>200</v>
      </c>
      <c r="AO37" s="8"/>
      <c r="AP37" s="8"/>
    </row>
    <row r="38" spans="1:42">
      <c r="A38" s="128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0" t="str">
        <f t="shared" si="8"/>
        <v>|Cff00BFFF[饰品]三才项圈lv1|r</v>
      </c>
      <c r="K38" s="130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31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8">
        <v>0</v>
      </c>
      <c r="Q38" s="8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8">
        <v>2</v>
      </c>
      <c r="W38" s="8" t="s">
        <v>85</v>
      </c>
      <c r="X38" s="8">
        <v>0</v>
      </c>
      <c r="Y38" s="148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8"/>
      <c r="AJ38" s="8"/>
      <c r="AK38" s="8">
        <v>0</v>
      </c>
      <c r="AL38" s="8">
        <v>0</v>
      </c>
      <c r="AM38" s="148" t="s">
        <v>83</v>
      </c>
      <c r="AN38" s="8">
        <v>300</v>
      </c>
      <c r="AO38" s="8"/>
      <c r="AP38" s="8"/>
    </row>
    <row r="39" spans="1:42">
      <c r="A39" s="128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0" t="str">
        <f t="shared" si="8"/>
        <v>|Cff00BFFF[饰品]三才项圈lv2|r</v>
      </c>
      <c r="K39" s="130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31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8">
        <v>0</v>
      </c>
      <c r="Q39" s="8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8">
        <v>2</v>
      </c>
      <c r="W39" s="8" t="s">
        <v>85</v>
      </c>
      <c r="X39" s="8">
        <v>0</v>
      </c>
      <c r="Y39" s="148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8"/>
      <c r="AJ39" s="8"/>
      <c r="AK39" s="8">
        <v>0</v>
      </c>
      <c r="AL39" s="8">
        <v>0</v>
      </c>
      <c r="AM39" s="148" t="s">
        <v>83</v>
      </c>
      <c r="AN39" s="8">
        <v>300</v>
      </c>
      <c r="AO39" s="8"/>
      <c r="AP39" s="8"/>
    </row>
    <row r="40" spans="1:42">
      <c r="A40" s="128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0" t="str">
        <f t="shared" si="8"/>
        <v>|Cff00BFFF[饰品]三才项圈lv3|r</v>
      </c>
      <c r="K40" s="130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31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8">
        <v>0</v>
      </c>
      <c r="Q40" s="8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8">
        <v>2</v>
      </c>
      <c r="W40" s="8" t="s">
        <v>85</v>
      </c>
      <c r="X40" s="8">
        <v>0</v>
      </c>
      <c r="Y40" s="148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8"/>
      <c r="AJ40" s="8"/>
      <c r="AK40" s="8">
        <v>0</v>
      </c>
      <c r="AL40" s="8">
        <v>0</v>
      </c>
      <c r="AM40" s="148" t="s">
        <v>83</v>
      </c>
      <c r="AN40" s="8">
        <v>300</v>
      </c>
      <c r="AO40" s="8"/>
      <c r="AP40" s="8"/>
    </row>
    <row r="41" spans="1:42">
      <c r="A41" s="128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0" t="str">
        <f t="shared" si="8"/>
        <v>|Cff00BFFF[饰品]三才项圈lv4|r</v>
      </c>
      <c r="K41" s="130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31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8">
        <v>0</v>
      </c>
      <c r="Q41" s="8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8">
        <v>2</v>
      </c>
      <c r="W41" s="8" t="s">
        <v>85</v>
      </c>
      <c r="X41" s="8">
        <v>0</v>
      </c>
      <c r="Y41" s="148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8"/>
      <c r="AJ41" s="8"/>
      <c r="AK41" s="8">
        <v>0</v>
      </c>
      <c r="AL41" s="8">
        <v>0</v>
      </c>
      <c r="AM41" s="148" t="s">
        <v>83</v>
      </c>
      <c r="AN41" s="8">
        <v>300</v>
      </c>
      <c r="AO41" s="8"/>
      <c r="AP41" s="8"/>
    </row>
    <row r="42" spans="1:42">
      <c r="A42" s="128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0" t="str">
        <f t="shared" si="8"/>
        <v>|Cff00BFFF[饰品]三才项圈lv5|r</v>
      </c>
      <c r="K42" s="130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31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8">
        <v>0</v>
      </c>
      <c r="Q42" s="8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8">
        <v>2</v>
      </c>
      <c r="W42" s="8" t="s">
        <v>85</v>
      </c>
      <c r="X42" s="8">
        <v>0</v>
      </c>
      <c r="Y42" s="148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8"/>
      <c r="AJ42" s="8"/>
      <c r="AK42" s="8">
        <v>0</v>
      </c>
      <c r="AL42" s="8">
        <v>0</v>
      </c>
      <c r="AM42" s="148" t="s">
        <v>83</v>
      </c>
      <c r="AN42" s="8">
        <v>300</v>
      </c>
      <c r="AO42" s="8"/>
      <c r="AP42" s="8"/>
    </row>
    <row r="43" spans="1:42">
      <c r="A43" s="128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0" t="str">
        <f t="shared" si="8"/>
        <v>|CffFFC926[饰品]秘魔灵珠lv1|r</v>
      </c>
      <c r="K43" s="130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31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8">
        <v>0</v>
      </c>
      <c r="Q43" s="8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8">
        <v>2</v>
      </c>
      <c r="W43" s="8" t="s">
        <v>85</v>
      </c>
      <c r="X43" s="8">
        <v>0</v>
      </c>
      <c r="Y43" s="148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8"/>
      <c r="AJ43" s="8"/>
      <c r="AK43" s="8">
        <v>0</v>
      </c>
      <c r="AL43" s="8">
        <v>0</v>
      </c>
      <c r="AM43" s="148" t="s">
        <v>83</v>
      </c>
      <c r="AN43" s="8">
        <v>400</v>
      </c>
      <c r="AO43" s="8"/>
      <c r="AP43" s="8"/>
    </row>
    <row r="44" spans="1:42">
      <c r="A44" s="128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0" t="str">
        <f t="shared" si="8"/>
        <v>|CffFFC926[饰品]秘魔灵珠lv2|r</v>
      </c>
      <c r="K44" s="130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31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8">
        <v>0</v>
      </c>
      <c r="Q44" s="8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8">
        <v>2</v>
      </c>
      <c r="W44" s="8" t="s">
        <v>85</v>
      </c>
      <c r="X44" s="8">
        <v>0</v>
      </c>
      <c r="Y44" s="148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8"/>
      <c r="AJ44" s="8"/>
      <c r="AK44" s="8">
        <v>0</v>
      </c>
      <c r="AL44" s="8">
        <v>0</v>
      </c>
      <c r="AM44" s="148" t="s">
        <v>83</v>
      </c>
      <c r="AN44" s="8">
        <v>400</v>
      </c>
      <c r="AO44" s="8"/>
      <c r="AP44" s="8"/>
    </row>
    <row r="45" spans="1:42">
      <c r="A45" s="128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0" t="str">
        <f t="shared" si="8"/>
        <v>|CffFFC926[饰品]秘魔灵珠lv3|r</v>
      </c>
      <c r="K45" s="130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31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8">
        <v>0</v>
      </c>
      <c r="Q45" s="8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8">
        <v>2</v>
      </c>
      <c r="W45" s="8" t="s">
        <v>85</v>
      </c>
      <c r="X45" s="8">
        <v>0</v>
      </c>
      <c r="Y45" s="148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8"/>
      <c r="AJ45" s="8"/>
      <c r="AK45" s="8">
        <v>0</v>
      </c>
      <c r="AL45" s="8">
        <v>0</v>
      </c>
      <c r="AM45" s="148" t="s">
        <v>83</v>
      </c>
      <c r="AN45" s="8">
        <v>400</v>
      </c>
      <c r="AO45" s="8"/>
      <c r="AP45" s="8"/>
    </row>
    <row r="46" spans="1:42">
      <c r="A46" s="128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0" t="str">
        <f t="shared" si="8"/>
        <v>|CffFFC926[饰品]秘魔灵珠lv4|r</v>
      </c>
      <c r="K46" s="130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31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8">
        <v>0</v>
      </c>
      <c r="Q46" s="8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8">
        <v>2</v>
      </c>
      <c r="W46" s="8" t="s">
        <v>85</v>
      </c>
      <c r="X46" s="8">
        <v>0</v>
      </c>
      <c r="Y46" s="148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8"/>
      <c r="AJ46" s="8"/>
      <c r="AK46" s="8">
        <v>0</v>
      </c>
      <c r="AL46" s="8">
        <v>0</v>
      </c>
      <c r="AM46" s="148" t="s">
        <v>83</v>
      </c>
      <c r="AN46" s="8">
        <v>400</v>
      </c>
      <c r="AO46" s="8"/>
      <c r="AP46" s="8"/>
    </row>
    <row r="47" spans="1:42">
      <c r="A47" s="128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0" t="str">
        <f t="shared" si="8"/>
        <v>|CffFFC926[饰品]秘魔灵珠lv5|r</v>
      </c>
      <c r="K47" s="130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31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8">
        <v>0</v>
      </c>
      <c r="Q47" s="8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8">
        <v>2</v>
      </c>
      <c r="W47" s="8" t="s">
        <v>85</v>
      </c>
      <c r="X47" s="8">
        <v>0</v>
      </c>
      <c r="Y47" s="148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8"/>
      <c r="AJ47" s="8"/>
      <c r="AK47" s="8">
        <v>0</v>
      </c>
      <c r="AL47" s="8">
        <v>0</v>
      </c>
      <c r="AM47" s="148" t="s">
        <v>83</v>
      </c>
      <c r="AN47" s="8">
        <v>400</v>
      </c>
      <c r="AO47" s="8"/>
      <c r="AP47" s="8"/>
    </row>
    <row r="48" spans="1:42">
      <c r="A48" s="128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0" t="str">
        <f t="shared" si="8"/>
        <v>|CffFF0000[饰品]流光绝影lv1|r</v>
      </c>
      <c r="K48" s="130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31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8">
        <v>0</v>
      </c>
      <c r="Q48" s="8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8">
        <v>2</v>
      </c>
      <c r="W48" s="8" t="s">
        <v>85</v>
      </c>
      <c r="X48" s="8">
        <v>0</v>
      </c>
      <c r="Y48" s="148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8"/>
      <c r="AJ48" s="8"/>
      <c r="AK48" s="8">
        <v>0</v>
      </c>
      <c r="AL48" s="8">
        <v>0</v>
      </c>
      <c r="AM48" s="148" t="s">
        <v>83</v>
      </c>
      <c r="AN48" s="8">
        <v>500</v>
      </c>
      <c r="AO48" s="8"/>
      <c r="AP48" s="8"/>
    </row>
    <row r="49" spans="1:42">
      <c r="A49" s="128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0" t="str">
        <f t="shared" si="8"/>
        <v>|CffFF0000[饰品]流光绝影lv2|r</v>
      </c>
      <c r="K49" s="130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31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8">
        <v>0</v>
      </c>
      <c r="Q49" s="8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8">
        <v>2</v>
      </c>
      <c r="W49" s="8" t="s">
        <v>85</v>
      </c>
      <c r="X49" s="8">
        <v>0</v>
      </c>
      <c r="Y49" s="148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8"/>
      <c r="AJ49" s="8"/>
      <c r="AK49" s="8">
        <v>0</v>
      </c>
      <c r="AL49" s="8">
        <v>0</v>
      </c>
      <c r="AM49" s="148" t="s">
        <v>83</v>
      </c>
      <c r="AN49" s="8">
        <v>500</v>
      </c>
      <c r="AO49" s="8"/>
      <c r="AP49" s="8"/>
    </row>
    <row r="50" spans="1:42">
      <c r="A50" s="128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0" t="str">
        <f t="shared" si="8"/>
        <v>|CffFF0000[饰品]流光绝影lv3|r</v>
      </c>
      <c r="K50" s="130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31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8">
        <v>0</v>
      </c>
      <c r="Q50" s="8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8">
        <v>2</v>
      </c>
      <c r="W50" s="8" t="s">
        <v>85</v>
      </c>
      <c r="X50" s="8">
        <v>0</v>
      </c>
      <c r="Y50" s="148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8"/>
      <c r="AJ50" s="8"/>
      <c r="AK50" s="8">
        <v>0</v>
      </c>
      <c r="AL50" s="8">
        <v>0</v>
      </c>
      <c r="AM50" s="148" t="s">
        <v>83</v>
      </c>
      <c r="AN50" s="8">
        <v>500</v>
      </c>
      <c r="AO50" s="8"/>
      <c r="AP50" s="8"/>
    </row>
    <row r="51" spans="1:42">
      <c r="A51" s="128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0" t="str">
        <f t="shared" si="8"/>
        <v>|CffFF0000[饰品]流光绝影lv4|r</v>
      </c>
      <c r="K51" s="130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31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8">
        <v>0</v>
      </c>
      <c r="Q51" s="8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8">
        <v>2</v>
      </c>
      <c r="W51" s="8" t="s">
        <v>85</v>
      </c>
      <c r="X51" s="8">
        <v>0</v>
      </c>
      <c r="Y51" s="148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8"/>
      <c r="AJ51" s="8"/>
      <c r="AK51" s="8">
        <v>0</v>
      </c>
      <c r="AL51" s="8">
        <v>0</v>
      </c>
      <c r="AM51" s="148" t="s">
        <v>83</v>
      </c>
      <c r="AN51" s="8">
        <v>500</v>
      </c>
      <c r="AO51" s="8"/>
      <c r="AP51" s="8"/>
    </row>
    <row r="52" spans="1:42">
      <c r="A52" s="128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0" t="str">
        <f t="shared" si="8"/>
        <v>|CffFF0000[饰品]流光绝影lv5|r</v>
      </c>
      <c r="K52" s="130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31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8">
        <v>0</v>
      </c>
      <c r="Q52" s="8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8">
        <v>2</v>
      </c>
      <c r="W52" s="8" t="s">
        <v>85</v>
      </c>
      <c r="X52" s="8">
        <v>0</v>
      </c>
      <c r="Y52" s="148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8"/>
      <c r="AJ52" s="8"/>
      <c r="AK52" s="8">
        <v>0</v>
      </c>
      <c r="AL52" s="8">
        <v>0</v>
      </c>
      <c r="AM52" s="148" t="s">
        <v>83</v>
      </c>
      <c r="AN52" s="8"/>
      <c r="AO52" s="8"/>
      <c r="AP52" s="8"/>
    </row>
    <row r="53" spans="1:42">
      <c r="A53" s="128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30" t="str">
        <f t="shared" si="8"/>
        <v>[防具]贤者道袍lv1</v>
      </c>
      <c r="K53" s="130" t="str">
        <f t="shared" si="9"/>
        <v>|Cffbbbbbb属性：|r|n护甲+30|n生命值+750|n生命回复+15|n|n|Cff00ff7f点击消耗800金币进行强化|n成功率100%</v>
      </c>
      <c r="L53" s="8"/>
      <c r="M53" s="131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8">
        <v>0</v>
      </c>
      <c r="Q53" s="8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8">
        <v>3</v>
      </c>
      <c r="W53" s="8" t="s">
        <v>85</v>
      </c>
      <c r="X53" s="8">
        <v>0</v>
      </c>
      <c r="Y53" s="148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8"/>
      <c r="AJ53" s="8"/>
      <c r="AK53" s="8">
        <v>0</v>
      </c>
      <c r="AL53" s="8">
        <v>0</v>
      </c>
      <c r="AM53" s="148" t="s">
        <v>83</v>
      </c>
      <c r="AN53" s="8"/>
      <c r="AO53" s="8"/>
      <c r="AP53" s="8">
        <v>1</v>
      </c>
    </row>
    <row r="54" spans="1:42">
      <c r="A54" s="128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30" t="str">
        <f t="shared" ref="J54:J58" si="10">H54</f>
        <v>[防具]贤者道袍lv2</v>
      </c>
      <c r="K54" s="130" t="str">
        <f t="shared" ref="K54:K58" si="11">I54</f>
        <v>|Cffbbbbbb属性：|r|n护甲+60|n生命值+1500|n生命回复+30|n|n|Cff00ff7f点击消耗800金币进行强化|n成功率100%</v>
      </c>
      <c r="L54" s="8"/>
      <c r="M54" s="131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8">
        <v>0</v>
      </c>
      <c r="Q54" s="8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8">
        <v>3</v>
      </c>
      <c r="W54" s="8" t="s">
        <v>85</v>
      </c>
      <c r="X54" s="8">
        <v>0</v>
      </c>
      <c r="Y54" s="148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8"/>
      <c r="AJ54" s="8"/>
      <c r="AK54" s="8">
        <v>0</v>
      </c>
      <c r="AL54" s="8">
        <v>0</v>
      </c>
      <c r="AM54" s="148" t="s">
        <v>83</v>
      </c>
      <c r="AN54" s="8"/>
      <c r="AO54" s="8"/>
      <c r="AP54" s="8">
        <v>1</v>
      </c>
    </row>
    <row r="55" spans="1:42">
      <c r="A55" s="128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30" t="str">
        <f t="shared" si="10"/>
        <v>[防具]贤者道袍lv3</v>
      </c>
      <c r="K55" s="130" t="str">
        <f t="shared" si="11"/>
        <v>|Cffbbbbbb属性：|r|n护甲+90|n生命值+2250|n生命回复+45|n|n|Cff00ff7f点击消耗800金币进行强化|n成功率100%</v>
      </c>
      <c r="L55" s="8"/>
      <c r="M55" s="131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8">
        <v>0</v>
      </c>
      <c r="Q55" s="8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8">
        <v>3</v>
      </c>
      <c r="W55" s="8" t="s">
        <v>85</v>
      </c>
      <c r="X55" s="8">
        <v>0</v>
      </c>
      <c r="Y55" s="148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8"/>
      <c r="AJ55" s="8"/>
      <c r="AK55" s="8">
        <v>0</v>
      </c>
      <c r="AL55" s="8">
        <v>0</v>
      </c>
      <c r="AM55" s="148" t="s">
        <v>83</v>
      </c>
      <c r="AN55" s="8"/>
      <c r="AO55" s="8"/>
      <c r="AP55" s="8">
        <v>1</v>
      </c>
    </row>
    <row r="56" spans="1:42">
      <c r="A56" s="128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30" t="str">
        <f t="shared" si="10"/>
        <v>[防具]贤者道袍lv4</v>
      </c>
      <c r="K56" s="130" t="str">
        <f t="shared" si="11"/>
        <v>|Cffbbbbbb属性：|r|n护甲+120|n生命值+3750|n生命回复+75|n|n|Cff00ff7f点击消耗800金币进行强化|n成功率100%</v>
      </c>
      <c r="L56" s="8"/>
      <c r="M56" s="131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8">
        <v>0</v>
      </c>
      <c r="Q56" s="8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8">
        <v>3</v>
      </c>
      <c r="W56" s="8" t="s">
        <v>85</v>
      </c>
      <c r="X56" s="8">
        <v>0</v>
      </c>
      <c r="Y56" s="148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8"/>
      <c r="AJ56" s="8"/>
      <c r="AK56" s="8">
        <v>0</v>
      </c>
      <c r="AL56" s="8">
        <v>0</v>
      </c>
      <c r="AM56" s="148" t="s">
        <v>83</v>
      </c>
      <c r="AN56" s="8"/>
      <c r="AO56" s="8"/>
      <c r="AP56" s="8">
        <v>1</v>
      </c>
    </row>
    <row r="57" spans="1:42">
      <c r="A57" s="128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30" t="str">
        <f t="shared" si="10"/>
        <v>[防具]贤者道袍lv5</v>
      </c>
      <c r="K57" s="130" t="str">
        <f t="shared" si="11"/>
        <v>|Cffbbbbbb属性：|r|n护甲+150|n生命值+5250|n生命回复+105|n|n|Cff00ff7f点击消耗2500金币进行晋阶挑战</v>
      </c>
      <c r="L57" s="8"/>
      <c r="M57" s="131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8">
        <v>0</v>
      </c>
      <c r="Q57" s="8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8">
        <v>3</v>
      </c>
      <c r="W57" s="8" t="s">
        <v>85</v>
      </c>
      <c r="X57" s="8">
        <v>0</v>
      </c>
      <c r="Y57" s="148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8"/>
      <c r="AJ57" s="8"/>
      <c r="AK57" s="8">
        <v>0</v>
      </c>
      <c r="AL57" s="8">
        <v>0</v>
      </c>
      <c r="AM57" s="148" t="s">
        <v>83</v>
      </c>
      <c r="AN57" s="8"/>
      <c r="AO57" s="8"/>
      <c r="AP57" s="8">
        <v>1</v>
      </c>
    </row>
    <row r="58" spans="1:42">
      <c r="A58" s="128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30" t="str">
        <f t="shared" si="10"/>
        <v>|Cff00FF7F[防具]珊瑚玉衣lv1|r</v>
      </c>
      <c r="K58" s="130" t="str">
        <f t="shared" si="11"/>
        <v>|Cffbbbbbb属性：|r|n护甲+200|n生命值+7500|n生命回复+150|n生命恢复%+1|n|n|Cff00ff7f点击消耗2500金币进行强化|n成功率85%</v>
      </c>
      <c r="L58" s="8"/>
      <c r="M58" s="131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8">
        <v>0</v>
      </c>
      <c r="Q58" s="8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8">
        <v>3</v>
      </c>
      <c r="W58" s="8" t="s">
        <v>85</v>
      </c>
      <c r="X58" s="8">
        <v>0</v>
      </c>
      <c r="Y58" s="148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8"/>
      <c r="AJ58" s="8"/>
      <c r="AK58" s="8">
        <v>0</v>
      </c>
      <c r="AL58" s="8">
        <v>0</v>
      </c>
      <c r="AM58" s="148" t="s">
        <v>83</v>
      </c>
      <c r="AN58" s="8"/>
      <c r="AO58" s="8"/>
      <c r="AP58" s="8">
        <v>1</v>
      </c>
    </row>
    <row r="59" spans="1:42">
      <c r="A59" s="128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30" t="str">
        <f t="shared" ref="J59:J62" si="12">H59</f>
        <v>|Cff00FF7F[防具]珊瑚玉衣lv2|r</v>
      </c>
      <c r="K59" s="130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31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8">
        <v>0</v>
      </c>
      <c r="Q59" s="8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8">
        <v>3</v>
      </c>
      <c r="W59" s="8" t="s">
        <v>85</v>
      </c>
      <c r="X59" s="8">
        <v>0</v>
      </c>
      <c r="Y59" s="148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8"/>
      <c r="AJ59" s="8"/>
      <c r="AK59" s="8">
        <v>0</v>
      </c>
      <c r="AL59" s="8">
        <v>0</v>
      </c>
      <c r="AM59" s="148" t="s">
        <v>83</v>
      </c>
      <c r="AN59" s="8"/>
      <c r="AO59" s="8"/>
      <c r="AP59" s="8">
        <v>1</v>
      </c>
    </row>
    <row r="60" spans="1:42">
      <c r="A60" s="128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30" t="str">
        <f t="shared" si="12"/>
        <v>|Cff00FF7F[防具]珊瑚玉衣lv3|r</v>
      </c>
      <c r="K60" s="130" t="str">
        <f t="shared" si="13"/>
        <v>|Cffbbbbbb属性：|r|n护甲+320|n生命值+16500|n生命回复+330|n生命恢复%+1|n|n|Cff00ff7f点击消耗2500金币进行强化|n成功率85%</v>
      </c>
      <c r="L60" s="8"/>
      <c r="M60" s="131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8">
        <v>0</v>
      </c>
      <c r="Q60" s="8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8">
        <v>3</v>
      </c>
      <c r="W60" s="8" t="s">
        <v>85</v>
      </c>
      <c r="X60" s="8">
        <v>0</v>
      </c>
      <c r="Y60" s="148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8"/>
      <c r="AJ60" s="8"/>
      <c r="AK60" s="8">
        <v>0</v>
      </c>
      <c r="AL60" s="8">
        <v>0</v>
      </c>
      <c r="AM60" s="148" t="s">
        <v>83</v>
      </c>
      <c r="AN60" s="8"/>
      <c r="AO60" s="8"/>
      <c r="AP60" s="8">
        <v>1</v>
      </c>
    </row>
    <row r="61" spans="1:42">
      <c r="A61" s="128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30" t="str">
        <f t="shared" si="12"/>
        <v>|Cff00FF7F[防具]珊瑚玉衣lv4|r</v>
      </c>
      <c r="K61" s="130" t="str">
        <f t="shared" si="13"/>
        <v>|Cffbbbbbb属性：|r|n护甲+380|n生命值+21000|n生命回复+420|n生命恢复%+1|n|n|Cff00ff7f点击消耗2500金币进行强化|n成功率85%</v>
      </c>
      <c r="L61" s="8"/>
      <c r="M61" s="131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8">
        <v>0</v>
      </c>
      <c r="Q61" s="8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8">
        <v>3</v>
      </c>
      <c r="W61" s="8" t="s">
        <v>85</v>
      </c>
      <c r="X61" s="8">
        <v>0</v>
      </c>
      <c r="Y61" s="148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8"/>
      <c r="AJ61" s="8"/>
      <c r="AK61" s="8">
        <v>0</v>
      </c>
      <c r="AL61" s="8">
        <v>0</v>
      </c>
      <c r="AM61" s="148" t="s">
        <v>83</v>
      </c>
      <c r="AN61" s="8"/>
      <c r="AO61" s="8"/>
      <c r="AP61" s="8">
        <v>1</v>
      </c>
    </row>
    <row r="62" spans="1:42">
      <c r="A62" s="128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30" t="str">
        <f t="shared" si="12"/>
        <v>|Cff00FF7F[防具]珊瑚玉衣lv5|r</v>
      </c>
      <c r="K62" s="130" t="str">
        <f t="shared" si="13"/>
        <v>|Cffbbbbbb属性：|r|n护甲+440|n生命值+25500|n生命回复+510|n生命恢复%+1|n|n|Cff00ff7f点击消耗10000金币进行晋阶挑战</v>
      </c>
      <c r="L62" s="8"/>
      <c r="M62" s="131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8">
        <v>0</v>
      </c>
      <c r="Q62" s="8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8">
        <v>3</v>
      </c>
      <c r="W62" s="8" t="s">
        <v>85</v>
      </c>
      <c r="X62" s="8">
        <v>0</v>
      </c>
      <c r="Y62" s="148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8"/>
      <c r="AJ62" s="8"/>
      <c r="AK62" s="8">
        <v>0</v>
      </c>
      <c r="AL62" s="8">
        <v>0</v>
      </c>
      <c r="AM62" s="148" t="s">
        <v>83</v>
      </c>
      <c r="AN62" s="8"/>
      <c r="AO62" s="8"/>
      <c r="AP62" s="8">
        <v>1</v>
      </c>
    </row>
    <row r="63" spans="1:42">
      <c r="A63" s="128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30" t="str">
        <f t="shared" ref="J63:J77" si="14">H63</f>
        <v>|Cff00BFFF[防具]圣谕披风lv1|r</v>
      </c>
      <c r="K63" s="130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31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8">
        <v>0</v>
      </c>
      <c r="Q63" s="8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8">
        <v>3</v>
      </c>
      <c r="W63" s="8" t="s">
        <v>85</v>
      </c>
      <c r="X63" s="8">
        <v>0</v>
      </c>
      <c r="Y63" s="148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8"/>
      <c r="AJ63" s="8"/>
      <c r="AK63" s="8">
        <v>0</v>
      </c>
      <c r="AL63" s="8">
        <v>0</v>
      </c>
      <c r="AM63" s="148" t="s">
        <v>83</v>
      </c>
      <c r="AN63" s="8"/>
      <c r="AO63" s="8"/>
      <c r="AP63" s="8">
        <v>1</v>
      </c>
    </row>
    <row r="64" spans="1:42">
      <c r="A64" s="128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30" t="str">
        <f t="shared" si="14"/>
        <v>|Cff00BFFF[防具]圣谕披风lv2|r</v>
      </c>
      <c r="K64" s="130" t="str">
        <f t="shared" si="15"/>
        <v>|Cffbbbbbb属性：|r|n护甲+580|n生命值+52500|n生命回复+1050|n生命恢复%+1|n|n|Cff00ff7f点击消耗8000金币进行强化|n成功率70%</v>
      </c>
      <c r="L64" s="8"/>
      <c r="M64" s="131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8">
        <v>0</v>
      </c>
      <c r="Q64" s="8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8">
        <v>3</v>
      </c>
      <c r="W64" s="8" t="s">
        <v>85</v>
      </c>
      <c r="X64" s="8">
        <v>0</v>
      </c>
      <c r="Y64" s="148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8"/>
      <c r="AJ64" s="8"/>
      <c r="AK64" s="8">
        <v>0</v>
      </c>
      <c r="AL64" s="8">
        <v>0</v>
      </c>
      <c r="AM64" s="148" t="s">
        <v>83</v>
      </c>
      <c r="AN64" s="8"/>
      <c r="AO64" s="8"/>
      <c r="AP64" s="8">
        <v>1</v>
      </c>
    </row>
    <row r="65" spans="1:42">
      <c r="A65" s="128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30" t="str">
        <f t="shared" si="14"/>
        <v>|Cff00BFFF[防具]圣谕披风lv3|r</v>
      </c>
      <c r="K65" s="130" t="str">
        <f t="shared" si="15"/>
        <v>|Cffbbbbbb属性：|r|n护甲+660|n生命值+67500|n生命回复+1350|n生命恢复%+1|n|n|Cff00ff7f点击消耗8000金币进行强化|n成功率70%</v>
      </c>
      <c r="L65" s="8"/>
      <c r="M65" s="131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8">
        <v>0</v>
      </c>
      <c r="Q65" s="8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8">
        <v>3</v>
      </c>
      <c r="W65" s="8" t="s">
        <v>85</v>
      </c>
      <c r="X65" s="8">
        <v>0</v>
      </c>
      <c r="Y65" s="148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8"/>
      <c r="AJ65" s="8"/>
      <c r="AK65" s="8">
        <v>0</v>
      </c>
      <c r="AL65" s="8">
        <v>0</v>
      </c>
      <c r="AM65" s="148" t="s">
        <v>83</v>
      </c>
      <c r="AN65" s="8"/>
      <c r="AO65" s="8"/>
      <c r="AP65" s="8">
        <v>1</v>
      </c>
    </row>
    <row r="66" spans="1:42">
      <c r="A66" s="128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30" t="str">
        <f t="shared" si="14"/>
        <v>|Cff00BFFF[防具]圣谕披风lv4|r</v>
      </c>
      <c r="K66" s="130" t="str">
        <f t="shared" si="15"/>
        <v>|Cffbbbbbb属性：|r|n护甲+740|n生命值+82500|n生命回复+1650|n生命恢复%+1|n|n|Cff00ff7f点击消耗8000金币进行强化|n成功率70%</v>
      </c>
      <c r="L66" s="8"/>
      <c r="M66" s="131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8">
        <v>0</v>
      </c>
      <c r="Q66" s="8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8">
        <v>3</v>
      </c>
      <c r="W66" s="8" t="s">
        <v>85</v>
      </c>
      <c r="X66" s="8">
        <v>0</v>
      </c>
      <c r="Y66" s="148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8"/>
      <c r="AJ66" s="8"/>
      <c r="AK66" s="8">
        <v>0</v>
      </c>
      <c r="AL66" s="8">
        <v>0</v>
      </c>
      <c r="AM66" s="148" t="s">
        <v>83</v>
      </c>
      <c r="AN66" s="8"/>
      <c r="AO66" s="8"/>
      <c r="AP66" s="8">
        <v>1</v>
      </c>
    </row>
    <row r="67" spans="1:42">
      <c r="A67" s="128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30" t="str">
        <f t="shared" si="14"/>
        <v>|Cff00BFFF[防具]圣谕披风lv5|r</v>
      </c>
      <c r="K67" s="130" t="str">
        <f t="shared" si="15"/>
        <v>|Cffbbbbbb属性：|r|n护甲+820|n生命值+97500|n生命回复+1950|n生命恢复%+1|n|n|Cff00ff7f点击消耗30000金币进行晋阶挑战</v>
      </c>
      <c r="L67" s="8"/>
      <c r="M67" s="131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8">
        <v>0</v>
      </c>
      <c r="Q67" s="8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8">
        <v>3</v>
      </c>
      <c r="W67" s="8" t="s">
        <v>85</v>
      </c>
      <c r="X67" s="8">
        <v>0</v>
      </c>
      <c r="Y67" s="148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8"/>
      <c r="AJ67" s="8"/>
      <c r="AK67" s="8">
        <v>0</v>
      </c>
      <c r="AL67" s="8">
        <v>0</v>
      </c>
      <c r="AM67" s="148" t="s">
        <v>83</v>
      </c>
      <c r="AN67" s="8"/>
      <c r="AO67" s="8"/>
      <c r="AP67" s="8">
        <v>1</v>
      </c>
    </row>
    <row r="68" spans="1:42">
      <c r="A68" s="128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30" t="str">
        <f t="shared" si="14"/>
        <v>|CffFFC926[防具]乾坤护心甲lv1|r</v>
      </c>
      <c r="K68" s="130" t="str">
        <f t="shared" si="15"/>
        <v>|Cffbbbbbb属性：|r|n护甲+1000|n生命值+150000|n生命回复+3000|n生命恢复%+2|n|n|Cff00ff7f点击消耗20000金币进行强化|n成功率60%</v>
      </c>
      <c r="L68" s="8"/>
      <c r="M68" s="131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8">
        <v>0</v>
      </c>
      <c r="Q68" s="8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8">
        <v>3</v>
      </c>
      <c r="W68" s="8" t="s">
        <v>85</v>
      </c>
      <c r="X68" s="8">
        <v>0</v>
      </c>
      <c r="Y68" s="148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8"/>
      <c r="AJ68" s="8"/>
      <c r="AK68" s="8">
        <v>0</v>
      </c>
      <c r="AL68" s="8">
        <v>0</v>
      </c>
      <c r="AM68" s="148" t="s">
        <v>83</v>
      </c>
      <c r="AN68" s="8"/>
      <c r="AO68" s="8"/>
      <c r="AP68" s="8">
        <v>1</v>
      </c>
    </row>
    <row r="69" spans="1:42">
      <c r="A69" s="128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30" t="str">
        <f t="shared" si="14"/>
        <v>|CffFFC926[防具]乾坤护心甲lv2|r</v>
      </c>
      <c r="K69" s="130" t="str">
        <f t="shared" si="15"/>
        <v>|Cffbbbbbb属性：|r|n护甲+1100|n生命值+225000|n生命回复+4500|n生命恢复%+2|n|n|Cff00ff7f点击消耗20000金币进行强化|n成功率60%</v>
      </c>
      <c r="L69" s="8"/>
      <c r="M69" s="131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8">
        <v>0</v>
      </c>
      <c r="Q69" s="8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8">
        <v>3</v>
      </c>
      <c r="W69" s="8" t="s">
        <v>85</v>
      </c>
      <c r="X69" s="8">
        <v>0</v>
      </c>
      <c r="Y69" s="148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8"/>
      <c r="AJ69" s="8"/>
      <c r="AK69" s="8">
        <v>0</v>
      </c>
      <c r="AL69" s="8">
        <v>0</v>
      </c>
      <c r="AM69" s="148" t="s">
        <v>83</v>
      </c>
      <c r="AN69" s="8"/>
      <c r="AO69" s="8"/>
      <c r="AP69" s="8">
        <v>1</v>
      </c>
    </row>
    <row r="70" spans="1:42">
      <c r="A70" s="128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30" t="str">
        <f t="shared" si="14"/>
        <v>|CffFFC926[防具]乾坤护心甲lv3|r</v>
      </c>
      <c r="K70" s="130" t="str">
        <f t="shared" si="15"/>
        <v>|Cffbbbbbb属性：|r|n护甲+1200|n生命值+300000|n生命回复+6000|n生命恢复%+2|n|n|Cff00ff7f点击消耗20000金币进行强化|n成功率60%</v>
      </c>
      <c r="L70" s="8"/>
      <c r="M70" s="131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8">
        <v>0</v>
      </c>
      <c r="Q70" s="8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8">
        <v>3</v>
      </c>
      <c r="W70" s="8" t="s">
        <v>85</v>
      </c>
      <c r="X70" s="8">
        <v>0</v>
      </c>
      <c r="Y70" s="148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8"/>
      <c r="AJ70" s="8"/>
      <c r="AK70" s="8">
        <v>0</v>
      </c>
      <c r="AL70" s="8">
        <v>0</v>
      </c>
      <c r="AM70" s="148" t="s">
        <v>83</v>
      </c>
      <c r="AN70" s="8"/>
      <c r="AO70" s="8"/>
      <c r="AP70" s="8">
        <v>1</v>
      </c>
    </row>
    <row r="71" spans="1:42">
      <c r="A71" s="128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30" t="str">
        <f t="shared" si="14"/>
        <v>|CffFFC926[防具]乾坤护心甲lv4|r</v>
      </c>
      <c r="K71" s="130" t="str">
        <f t="shared" si="15"/>
        <v>|Cffbbbbbb属性：|r|n护甲+1300|n生命值+375000|n生命回复+7500|n生命恢复%+2|n|n|Cff00ff7f点击消耗20000金币进行强化|n成功率60%</v>
      </c>
      <c r="L71" s="8"/>
      <c r="M71" s="131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8">
        <v>0</v>
      </c>
      <c r="Q71" s="8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8">
        <v>3</v>
      </c>
      <c r="W71" s="8" t="s">
        <v>85</v>
      </c>
      <c r="X71" s="8">
        <v>0</v>
      </c>
      <c r="Y71" s="148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8"/>
      <c r="AJ71" s="8"/>
      <c r="AK71" s="8">
        <v>0</v>
      </c>
      <c r="AL71" s="8">
        <v>0</v>
      </c>
      <c r="AM71" s="148" t="s">
        <v>83</v>
      </c>
      <c r="AN71" s="8"/>
      <c r="AO71" s="8"/>
      <c r="AP71" s="8">
        <v>1</v>
      </c>
    </row>
    <row r="72" spans="1:42">
      <c r="A72" s="128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30" t="str">
        <f t="shared" si="14"/>
        <v>|CffFFC926[防具]乾坤护心甲lv5|r</v>
      </c>
      <c r="K72" s="130" t="str">
        <f t="shared" si="15"/>
        <v>|Cffbbbbbb属性：|r|n护甲+1400|n生命值+450000|n生命回复+9000|n生命恢复%+2|n|n|Cff00ff7f点击消耗35000金币进行晋阶挑战</v>
      </c>
      <c r="L72" s="8"/>
      <c r="M72" s="131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8">
        <v>0</v>
      </c>
      <c r="Q72" s="8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8">
        <v>3</v>
      </c>
      <c r="W72" s="8" t="s">
        <v>85</v>
      </c>
      <c r="X72" s="8">
        <v>0</v>
      </c>
      <c r="Y72" s="148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8"/>
      <c r="AJ72" s="8"/>
      <c r="AK72" s="8">
        <v>0</v>
      </c>
      <c r="AL72" s="8">
        <v>0</v>
      </c>
      <c r="AM72" s="148" t="s">
        <v>83</v>
      </c>
      <c r="AN72" s="8"/>
      <c r="AO72" s="8"/>
      <c r="AP72" s="8">
        <v>1</v>
      </c>
    </row>
    <row r="73" spans="1:42">
      <c r="A73" s="128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30" t="str">
        <f t="shared" si="14"/>
        <v>|CffFF0000[防具]九龙黄金甲lv1|r</v>
      </c>
      <c r="K73" s="130" t="str">
        <f t="shared" si="15"/>
        <v>|Cffbbbbbb属性：|r|n护甲+2000|n生命值+750000|n生命回复+15000|n生命恢复%+3|n|n|Cff00ff7f点击消耗35000金币进行强化|n成功率50%</v>
      </c>
      <c r="L73" s="8"/>
      <c r="M73" s="131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8">
        <v>0</v>
      </c>
      <c r="Q73" s="8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8">
        <v>3</v>
      </c>
      <c r="W73" s="8" t="s">
        <v>85</v>
      </c>
      <c r="X73" s="8">
        <v>0</v>
      </c>
      <c r="Y73" s="148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8"/>
      <c r="AJ73" s="8"/>
      <c r="AK73" s="8">
        <v>0</v>
      </c>
      <c r="AL73" s="8">
        <v>0</v>
      </c>
      <c r="AM73" s="148" t="s">
        <v>83</v>
      </c>
      <c r="AN73" s="8"/>
      <c r="AO73" s="8"/>
      <c r="AP73" s="8">
        <v>1</v>
      </c>
    </row>
    <row r="74" spans="1:42">
      <c r="A74" s="128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30" t="str">
        <f t="shared" si="14"/>
        <v>|CffFF0000[防具]九龙黄金甲lv2|r</v>
      </c>
      <c r="K74" s="130" t="str">
        <f t="shared" si="15"/>
        <v>|Cffbbbbbb属性：|r|n护甲+2200|n生命值+1200000|n生命回复+24000|n生命恢复%+3|n|n|Cff00ff7f点击消耗35000金币进行强化|n成功率50%</v>
      </c>
      <c r="L74" s="8"/>
      <c r="M74" s="131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8">
        <v>0</v>
      </c>
      <c r="Q74" s="8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8">
        <v>3</v>
      </c>
      <c r="W74" s="8" t="s">
        <v>85</v>
      </c>
      <c r="X74" s="8">
        <v>0</v>
      </c>
      <c r="Y74" s="148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8"/>
      <c r="AJ74" s="8"/>
      <c r="AK74" s="8">
        <v>0</v>
      </c>
      <c r="AL74" s="8">
        <v>0</v>
      </c>
      <c r="AM74" s="148" t="s">
        <v>83</v>
      </c>
      <c r="AN74" s="8"/>
      <c r="AO74" s="8"/>
      <c r="AP74" s="8">
        <v>1</v>
      </c>
    </row>
    <row r="75" spans="1:42">
      <c r="A75" s="128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30" t="str">
        <f t="shared" si="14"/>
        <v>|CffFF0000[防具]九龙黄金甲lv3|r</v>
      </c>
      <c r="K75" s="130" t="str">
        <f t="shared" si="15"/>
        <v>|Cffbbbbbb属性：|r|n护甲+2400|n生命值+1650000|n生命回复+33000|n生命恢复%+3|n|n|Cff00ff7f点击消耗35000金币进行强化|n成功率50%</v>
      </c>
      <c r="L75" s="8"/>
      <c r="M75" s="131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8">
        <v>0</v>
      </c>
      <c r="Q75" s="8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8">
        <v>3</v>
      </c>
      <c r="W75" s="8" t="s">
        <v>85</v>
      </c>
      <c r="X75" s="8">
        <v>0</v>
      </c>
      <c r="Y75" s="148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8"/>
      <c r="AJ75" s="8"/>
      <c r="AK75" s="8">
        <v>0</v>
      </c>
      <c r="AL75" s="8">
        <v>0</v>
      </c>
      <c r="AM75" s="148" t="s">
        <v>83</v>
      </c>
      <c r="AN75" s="8"/>
      <c r="AO75" s="8"/>
      <c r="AP75" s="8">
        <v>1</v>
      </c>
    </row>
    <row r="76" spans="1:42">
      <c r="A76" s="128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30" t="str">
        <f t="shared" si="14"/>
        <v>|CffFF0000[防具]九龙黄金甲lv4|r</v>
      </c>
      <c r="K76" s="130" t="str">
        <f t="shared" si="15"/>
        <v>|Cffbbbbbb属性：|r|n护甲+2600|n生命值+2100000|n生命回复+42000|n生命恢复%+3|n|n|Cff00ff7f点击消耗35000金币进行强化|n成功率50%</v>
      </c>
      <c r="L76" s="8"/>
      <c r="M76" s="131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8">
        <v>0</v>
      </c>
      <c r="Q76" s="8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8">
        <v>3</v>
      </c>
      <c r="W76" s="8" t="s">
        <v>85</v>
      </c>
      <c r="X76" s="8">
        <v>0</v>
      </c>
      <c r="Y76" s="148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8"/>
      <c r="AJ76" s="8"/>
      <c r="AK76" s="8">
        <v>0</v>
      </c>
      <c r="AL76" s="8">
        <v>0</v>
      </c>
      <c r="AM76" s="148" t="s">
        <v>83</v>
      </c>
      <c r="AN76" s="8"/>
      <c r="AO76" s="8"/>
      <c r="AP76" s="8">
        <v>1</v>
      </c>
    </row>
    <row r="77" spans="1:42">
      <c r="A77" s="128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30" t="str">
        <f t="shared" si="14"/>
        <v>|CffFF0000[防具]九龙黄金甲lv5|r</v>
      </c>
      <c r="K77" s="130" t="str">
        <f t="shared" si="15"/>
        <v>|Cffbbbbbb属性：|r|n护甲+2800|n生命值+3000000|n生命回复+60000|n生命恢复%+5|n|Cff999999装备进化：未开放|r</v>
      </c>
      <c r="L77" s="8"/>
      <c r="M77" s="131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8">
        <v>0</v>
      </c>
      <c r="Q77" s="8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8">
        <v>3</v>
      </c>
      <c r="W77" s="8" t="s">
        <v>85</v>
      </c>
      <c r="X77" s="8">
        <v>0</v>
      </c>
      <c r="Y77" s="148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8"/>
      <c r="AJ77" s="8"/>
      <c r="AK77" s="8">
        <v>0</v>
      </c>
      <c r="AL77" s="8">
        <v>0</v>
      </c>
      <c r="AM77" s="148" t="s">
        <v>83</v>
      </c>
      <c r="AN77" s="8"/>
      <c r="AO77" s="8"/>
      <c r="AP77" s="8"/>
    </row>
    <row r="78" spans="1:42">
      <c r="A78" s="128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30" t="str">
        <f t="shared" ref="J78" si="16">H78</f>
        <v>低级道果【1】</v>
      </c>
      <c r="K78" s="130" t="str">
        <f t="shared" ref="K78" si="17">I78</f>
        <v>|Cffbbbbbb属性：|r|n攻击+7500|n生命值+30000|n物理伤害+15%|n法术伤害+15%|n杀敌攻击+8|n杀敌业力+1|n杀敌生命+30|n</v>
      </c>
      <c r="L78" s="8"/>
      <c r="M78" s="131" t="str">
        <f>VLOOKUP(LEFT(RIGHT(B78,5),4),物品!B:CU,20,FALSE)</f>
        <v>ReplaceableTextures\\CommandButtons\\BTNOrbOfFrost.blp</v>
      </c>
      <c r="N78" s="148" t="s">
        <v>83</v>
      </c>
      <c r="O78" s="149" t="s">
        <v>84</v>
      </c>
      <c r="P78" s="8">
        <v>0</v>
      </c>
      <c r="Q78" s="8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8"/>
      <c r="W78" s="8" t="s">
        <v>87</v>
      </c>
      <c r="X78" s="8">
        <v>0</v>
      </c>
      <c r="Y78" s="148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8">
        <v>1</v>
      </c>
      <c r="AJ78" s="8"/>
      <c r="AK78" s="8">
        <v>1</v>
      </c>
      <c r="AL78" s="8">
        <v>1</v>
      </c>
      <c r="AM78" s="148" t="s">
        <v>83</v>
      </c>
      <c r="AN78" s="8">
        <v>1</v>
      </c>
      <c r="AO78" s="8">
        <v>1</v>
      </c>
      <c r="AP78" s="8">
        <v>1</v>
      </c>
    </row>
    <row r="79" spans="1:42">
      <c r="A79" s="128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30" t="str">
        <f t="shared" ref="J79:J82" si="18">H79</f>
        <v>中级道果【2】</v>
      </c>
      <c r="K79" s="130" t="str">
        <f t="shared" ref="K79:K82" si="19">I79</f>
        <v>|Cffbbbbbb属性：|r|n攻击+18000|n生命值+72000|n物理伤害+15%|n法术伤害+15%|n杀敌攻击+8|n杀敌业力+1|n杀敌生命+30|n</v>
      </c>
      <c r="L79" s="8"/>
      <c r="M79" s="131" t="str">
        <f>VLOOKUP(LEFT(RIGHT(B79,5),4),物品!B:CU,20,FALSE)</f>
        <v>ReplaceableTextures\\CommandButtons\\BTNOrbOfVenom.blp</v>
      </c>
      <c r="N79" s="148" t="s">
        <v>83</v>
      </c>
      <c r="O79" s="149" t="s">
        <v>84</v>
      </c>
      <c r="P79" s="8">
        <v>0</v>
      </c>
      <c r="Q79" s="8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8"/>
      <c r="W79" s="8" t="s">
        <v>87</v>
      </c>
      <c r="X79" s="8">
        <v>0</v>
      </c>
      <c r="Y79" s="148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8">
        <v>1</v>
      </c>
      <c r="AJ79" s="8"/>
      <c r="AK79" s="8">
        <v>1</v>
      </c>
      <c r="AL79" s="8">
        <v>1</v>
      </c>
      <c r="AM79" s="148" t="s">
        <v>83</v>
      </c>
      <c r="AN79" s="8">
        <v>1</v>
      </c>
      <c r="AO79" s="8">
        <v>1</v>
      </c>
      <c r="AP79" s="8">
        <v>1</v>
      </c>
    </row>
    <row r="80" spans="1:42">
      <c r="A80" s="128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30" t="str">
        <f t="shared" si="18"/>
        <v>|Cff00FF7F高级道果【3】|r</v>
      </c>
      <c r="K80" s="130" t="str">
        <f t="shared" si="19"/>
        <v>|Cffbbbbbb属性：|r|n攻击+37500|n生命值+150000|n物理伤害+15%|n法术伤害+15%|n杀敌攻击+8|n杀敌业力+1|n杀敌生命+30|n</v>
      </c>
      <c r="L80" s="8"/>
      <c r="M80" s="131" t="str">
        <f>VLOOKUP(LEFT(RIGHT(B80,5),4),物品!B:CU,20,FALSE)</f>
        <v>ReplaceableTextures\\CommandButtons\\BTNOrbOfCorruption.blp</v>
      </c>
      <c r="N80" s="148" t="s">
        <v>83</v>
      </c>
      <c r="O80" s="149" t="s">
        <v>84</v>
      </c>
      <c r="P80" s="8">
        <v>0</v>
      </c>
      <c r="Q80" s="8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8"/>
      <c r="W80" s="8" t="s">
        <v>87</v>
      </c>
      <c r="X80" s="8">
        <v>0</v>
      </c>
      <c r="Y80" s="148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8">
        <v>1</v>
      </c>
      <c r="AJ80" s="8"/>
      <c r="AK80" s="8">
        <v>1</v>
      </c>
      <c r="AL80" s="8">
        <v>1</v>
      </c>
      <c r="AM80" s="148" t="s">
        <v>83</v>
      </c>
      <c r="AN80" s="8">
        <v>1</v>
      </c>
      <c r="AO80" s="8">
        <v>1</v>
      </c>
      <c r="AP80" s="8">
        <v>1</v>
      </c>
    </row>
    <row r="81" spans="1:42">
      <c r="A81" s="128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30" t="str">
        <f t="shared" si="18"/>
        <v>|Cff00FF7F黄级道果【4】|r</v>
      </c>
      <c r="K81" s="130" t="str">
        <f t="shared" si="19"/>
        <v>|Cffbbbbbb属性：|r|n攻击+60000|n生命值+240000|n物理伤害+20%|n法术伤害+20%|n杀敌攻击+8|n杀敌业力+1|n杀敌生命+30|n</v>
      </c>
      <c r="L81" s="8"/>
      <c r="M81" s="131" t="str">
        <f>VLOOKUP(LEFT(RIGHT(B81,5),4),物品!B:CU,20,FALSE)</f>
        <v>ReplaceableTextures\\CommandButtons\\BTNOrbOfFire.blp</v>
      </c>
      <c r="N81" s="148" t="s">
        <v>83</v>
      </c>
      <c r="O81" s="149" t="s">
        <v>84</v>
      </c>
      <c r="P81" s="8">
        <v>0</v>
      </c>
      <c r="Q81" s="8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8"/>
      <c r="W81" s="8" t="s">
        <v>87</v>
      </c>
      <c r="X81" s="8">
        <v>0</v>
      </c>
      <c r="Y81" s="148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8">
        <v>1</v>
      </c>
      <c r="AJ81" s="8"/>
      <c r="AK81" s="8">
        <v>1</v>
      </c>
      <c r="AL81" s="8">
        <v>1</v>
      </c>
      <c r="AM81" s="148" t="s">
        <v>83</v>
      </c>
      <c r="AN81" s="8">
        <v>1</v>
      </c>
      <c r="AO81" s="8">
        <v>1</v>
      </c>
      <c r="AP81" s="8">
        <v>1</v>
      </c>
    </row>
    <row r="82" spans="1:42">
      <c r="A82" s="128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30" t="str">
        <f t="shared" si="18"/>
        <v>|Cff00BFFF玄级道果【5】|r</v>
      </c>
      <c r="K82" s="130" t="str">
        <f t="shared" si="19"/>
        <v>|Cffbbbbbb属性：|r|n攻击+82500|n生命值+330000|n物理伤害+20%|n法术伤害+20%|n杀敌攻击+8|n杀敌业力+1|n杀敌生命+30|n</v>
      </c>
      <c r="L82" s="8"/>
      <c r="M82" s="131" t="str">
        <f>VLOOKUP(LEFT(RIGHT(B82,5),4),物品!B:CU,20,FALSE)</f>
        <v>ReplaceableTextures\\CommandButtons\\BTNUsedSoulGem.blp</v>
      </c>
      <c r="N82" s="148" t="s">
        <v>83</v>
      </c>
      <c r="O82" s="149" t="s">
        <v>84</v>
      </c>
      <c r="P82" s="8">
        <v>0</v>
      </c>
      <c r="Q82" s="8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8"/>
      <c r="W82" s="8" t="s">
        <v>87</v>
      </c>
      <c r="X82" s="8">
        <v>0</v>
      </c>
      <c r="Y82" s="148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8">
        <v>1</v>
      </c>
      <c r="AJ82" s="8"/>
      <c r="AK82" s="8">
        <v>1</v>
      </c>
      <c r="AL82" s="8">
        <v>1</v>
      </c>
      <c r="AM82" s="148" t="s">
        <v>83</v>
      </c>
      <c r="AN82" s="8">
        <v>1</v>
      </c>
      <c r="AO82" s="8">
        <v>1</v>
      </c>
      <c r="AP82" s="8">
        <v>1</v>
      </c>
    </row>
    <row r="83" spans="1:42">
      <c r="A83" s="128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30" t="str">
        <f t="shared" ref="J83:J108" si="20">H83</f>
        <v>|Cff00BFFF地级道果【6】|r</v>
      </c>
      <c r="K83" s="130" t="str">
        <f t="shared" ref="K83:K108" si="21">I83</f>
        <v>|Cffbbbbbb属性：|r|n攻击+120000|n生命值+480000|n物理伤害+20%|n法术伤害+20%|n杀敌攻击+8|n杀敌业力+1|n杀敌生命+30|n</v>
      </c>
      <c r="L83" s="8"/>
      <c r="M83" s="131" t="str">
        <f>VLOOKUP(LEFT(RIGHT(B83,5),4),物品!B:CU,20,FALSE)</f>
        <v>ReplaceableTextures\\CommandButtons\\BTNOrbofSlowness.blp</v>
      </c>
      <c r="N83" s="148" t="s">
        <v>83</v>
      </c>
      <c r="O83" s="149" t="s">
        <v>84</v>
      </c>
      <c r="P83" s="8">
        <v>0</v>
      </c>
      <c r="Q83" s="8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8"/>
      <c r="W83" s="8" t="s">
        <v>87</v>
      </c>
      <c r="X83" s="8">
        <v>0</v>
      </c>
      <c r="Y83" s="148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8">
        <v>1</v>
      </c>
      <c r="AJ83" s="8"/>
      <c r="AK83" s="8">
        <v>1</v>
      </c>
      <c r="AL83" s="8">
        <v>1</v>
      </c>
      <c r="AM83" s="148" t="s">
        <v>83</v>
      </c>
      <c r="AN83" s="8">
        <v>1</v>
      </c>
      <c r="AO83" s="8">
        <v>1</v>
      </c>
      <c r="AP83" s="8">
        <v>1</v>
      </c>
    </row>
    <row r="84" spans="1:42">
      <c r="A84" s="128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30" t="str">
        <f t="shared" si="20"/>
        <v>|CffFFC926天级道果【7】|r</v>
      </c>
      <c r="K84" s="130" t="str">
        <f t="shared" si="21"/>
        <v>|Cffbbbbbb属性：|r|n攻击+180000|n生命值+720000|n物理伤害+25%|n法术伤害+25%|n杀敌攻击+8|n杀敌业力+1|n杀敌生命+30|n</v>
      </c>
      <c r="L84" s="8"/>
      <c r="M84" s="131" t="str">
        <f>VLOOKUP(LEFT(RIGHT(B84,5),4),物品!B:CU,20,FALSE)</f>
        <v>ReplaceableTextures\\CommandButtons\\BTNOrbOfLightning.blp</v>
      </c>
      <c r="N84" s="148" t="s">
        <v>83</v>
      </c>
      <c r="O84" s="149" t="s">
        <v>84</v>
      </c>
      <c r="P84" s="8">
        <v>0</v>
      </c>
      <c r="Q84" s="8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8"/>
      <c r="W84" s="8" t="s">
        <v>87</v>
      </c>
      <c r="X84" s="8">
        <v>0</v>
      </c>
      <c r="Y84" s="148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8">
        <v>1</v>
      </c>
      <c r="AJ84" s="8"/>
      <c r="AK84" s="8">
        <v>1</v>
      </c>
      <c r="AL84" s="8">
        <v>1</v>
      </c>
      <c r="AM84" s="148" t="s">
        <v>83</v>
      </c>
      <c r="AN84" s="8">
        <v>1</v>
      </c>
      <c r="AO84" s="8">
        <v>1</v>
      </c>
      <c r="AP84" s="8">
        <v>1</v>
      </c>
    </row>
    <row r="85" spans="1:42">
      <c r="A85" s="128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30" t="str">
        <f t="shared" si="20"/>
        <v>|CffFFC926仙品道果【8】|r</v>
      </c>
      <c r="K85" s="130" t="str">
        <f t="shared" si="21"/>
        <v>|Cffbbbbbb属性：|r|n攻击+300000|n生命值+1200000|n物理伤害+25%|n法术伤害+25%|n杀敌攻击+8|n杀敌业力+1|n杀敌生命+30|n</v>
      </c>
      <c r="L85" s="8"/>
      <c r="M85" s="131" t="str">
        <f>VLOOKUP(LEFT(RIGHT(B85,5),4),物品!B:CU,20,FALSE)</f>
        <v>ReplaceableTextures\\CommandButtons\\BTNHeartOfAszune.blp</v>
      </c>
      <c r="N85" s="148" t="s">
        <v>83</v>
      </c>
      <c r="O85" s="149" t="s">
        <v>84</v>
      </c>
      <c r="P85" s="8">
        <v>0</v>
      </c>
      <c r="Q85" s="8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8"/>
      <c r="W85" s="8" t="s">
        <v>87</v>
      </c>
      <c r="X85" s="8">
        <v>0</v>
      </c>
      <c r="Y85" s="148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8">
        <v>1</v>
      </c>
      <c r="AJ85" s="8"/>
      <c r="AK85" s="8">
        <v>1</v>
      </c>
      <c r="AL85" s="8">
        <v>1</v>
      </c>
      <c r="AM85" s="148" t="s">
        <v>83</v>
      </c>
      <c r="AN85" s="8">
        <v>1</v>
      </c>
      <c r="AO85" s="8">
        <v>1</v>
      </c>
      <c r="AP85" s="8">
        <v>1</v>
      </c>
    </row>
    <row r="86" spans="1:42">
      <c r="A86" s="128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30" t="str">
        <f t="shared" si="20"/>
        <v>|CffFF0000至圣道果【9】|r</v>
      </c>
      <c r="K86" s="130" t="str">
        <f t="shared" si="21"/>
        <v>|Cffbbbbbb属性：|r|n攻击+450000|n生命值+1800000|n物理伤害+25%|n法术伤害+25%|n杀敌攻击+8|n杀敌业力+1|n杀敌生命+30|n</v>
      </c>
      <c r="L86" s="8"/>
      <c r="M86" s="131" t="str">
        <f>VLOOKUP(LEFT(RIGHT(B86,5),4),物品!B:CU,20,FALSE)</f>
        <v>ReplaceableTextures\\CommandButtons\\BTNPhilosophersStone.blp</v>
      </c>
      <c r="N86" s="148" t="s">
        <v>83</v>
      </c>
      <c r="O86" s="149" t="s">
        <v>84</v>
      </c>
      <c r="P86" s="8">
        <v>0</v>
      </c>
      <c r="Q86" s="8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8"/>
      <c r="W86" s="8" t="s">
        <v>87</v>
      </c>
      <c r="X86" s="8">
        <v>0</v>
      </c>
      <c r="Y86" s="148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8">
        <v>1</v>
      </c>
      <c r="AJ86" s="8"/>
      <c r="AK86" s="8">
        <v>1</v>
      </c>
      <c r="AL86" s="8">
        <v>1</v>
      </c>
      <c r="AM86" s="148" t="s">
        <v>83</v>
      </c>
      <c r="AN86" s="8">
        <v>1</v>
      </c>
      <c r="AO86" s="8">
        <v>1</v>
      </c>
      <c r="AP86" s="8">
        <v>1</v>
      </c>
    </row>
    <row r="87" spans="1:42">
      <c r="A87" s="128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30" t="str">
        <f t="shared" si="20"/>
        <v>|CffFF0000混沌道果【10】|r</v>
      </c>
      <c r="K87" s="130" t="str">
        <f t="shared" si="21"/>
        <v>|Cffbbbbbb属性：|r|n攻击+750000|n生命值+3000000|n物理伤害+30%|n法术伤害+30%|n杀敌攻击+8|n杀敌业力+1|n杀敌生命+30|n</v>
      </c>
      <c r="L87" s="8"/>
      <c r="M87" s="131" t="str">
        <f>VLOOKUP(LEFT(RIGHT(B87,5),4),物品!B:CU,20,FALSE)</f>
        <v>ReplaceableTextures\\CommandButtons\\BTNOrbOfDarkness.blp</v>
      </c>
      <c r="N87" s="148" t="s">
        <v>83</v>
      </c>
      <c r="O87" s="149" t="s">
        <v>84</v>
      </c>
      <c r="P87" s="8">
        <v>0</v>
      </c>
      <c r="Q87" s="8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8"/>
      <c r="W87" s="8" t="s">
        <v>87</v>
      </c>
      <c r="X87" s="8">
        <v>0</v>
      </c>
      <c r="Y87" s="148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8">
        <v>1</v>
      </c>
      <c r="AJ87" s="8"/>
      <c r="AK87" s="8">
        <v>1</v>
      </c>
      <c r="AL87" s="8">
        <v>1</v>
      </c>
      <c r="AM87" s="148" t="s">
        <v>83</v>
      </c>
      <c r="AN87" s="8">
        <v>1</v>
      </c>
      <c r="AO87" s="8">
        <v>1</v>
      </c>
      <c r="AP87" s="8">
        <v>1</v>
      </c>
    </row>
    <row r="88" spans="1:42">
      <c r="A88" s="128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30" t="str">
        <f t="shared" ref="J88:J97" si="22">H88</f>
        <v>完美的低级道果【1】</v>
      </c>
      <c r="K88" s="130" t="str">
        <f t="shared" ref="K88:K97" si="23">I88</f>
        <v>强行突破境界|n攻击+7500|n生命值+30000|n物理伤害+15%|n法术伤害+15%|n杀敌攻击+8|n杀敌业力+1|n杀敌生命+30|n</v>
      </c>
      <c r="L88" s="8"/>
      <c r="M88" s="131" t="str">
        <f>VLOOKUP(LEFT(RIGHT(B88,5),4),物品!B:CU,20,FALSE)</f>
        <v>ReplaceableTextures\\CommandButtons\\BTNDG11.blp</v>
      </c>
      <c r="N88" s="148" t="s">
        <v>83</v>
      </c>
      <c r="O88" s="131" t="s">
        <v>88</v>
      </c>
      <c r="P88" s="8">
        <v>0</v>
      </c>
      <c r="Q88" s="8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8"/>
      <c r="W88" s="8" t="s">
        <v>89</v>
      </c>
      <c r="X88" s="8">
        <v>0</v>
      </c>
      <c r="Y88" s="148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8"/>
      <c r="AJ88" s="8"/>
      <c r="AK88" s="8">
        <v>1</v>
      </c>
      <c r="AL88" s="8">
        <v>1</v>
      </c>
      <c r="AM88" s="148" t="s">
        <v>83</v>
      </c>
      <c r="AN88" s="8">
        <v>1</v>
      </c>
      <c r="AO88" s="8">
        <v>1</v>
      </c>
      <c r="AP88" s="8">
        <v>1</v>
      </c>
    </row>
    <row r="89" spans="1:42">
      <c r="A89" s="128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30" t="str">
        <f t="shared" si="22"/>
        <v>完美的中级道果【2】</v>
      </c>
      <c r="K89" s="130" t="str">
        <f t="shared" si="23"/>
        <v>强行突破境界|n攻击+18000|n生命值+72000|n物理伤害+15%|n法术伤害+15%|n杀敌攻击+8|n杀敌业力+1|n杀敌生命+30|n</v>
      </c>
      <c r="L89" s="8"/>
      <c r="M89" s="131" t="str">
        <f>VLOOKUP(LEFT(RIGHT(B89,5),4),物品!B:CU,20,FALSE)</f>
        <v>ReplaceableTextures\\CommandButtons\\BTNDG12.blp</v>
      </c>
      <c r="N89" s="148" t="s">
        <v>83</v>
      </c>
      <c r="O89" s="131" t="s">
        <v>88</v>
      </c>
      <c r="P89" s="8">
        <v>0</v>
      </c>
      <c r="Q89" s="8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8"/>
      <c r="W89" s="8" t="s">
        <v>89</v>
      </c>
      <c r="X89" s="8">
        <v>0</v>
      </c>
      <c r="Y89" s="148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8"/>
      <c r="AJ89" s="8"/>
      <c r="AK89" s="8">
        <v>0</v>
      </c>
      <c r="AL89" s="8">
        <v>1</v>
      </c>
      <c r="AM89" s="148" t="s">
        <v>83</v>
      </c>
      <c r="AN89" s="8">
        <v>1</v>
      </c>
      <c r="AO89" s="8">
        <v>1</v>
      </c>
      <c r="AP89" s="8">
        <v>1</v>
      </c>
    </row>
    <row r="90" spans="1:42">
      <c r="A90" s="128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30" t="str">
        <f t="shared" si="22"/>
        <v>|Cff00FF7F完美的高级道果【3】|r</v>
      </c>
      <c r="K90" s="130" t="str">
        <f t="shared" si="23"/>
        <v>强行突破境界|n攻击+37500|n生命值+150000|n物理伤害+15%|n法术伤害+15%|n杀敌攻击+8|n杀敌业力+1|n杀敌生命+30|n</v>
      </c>
      <c r="L90" s="8"/>
      <c r="M90" s="131" t="str">
        <f>VLOOKUP(LEFT(RIGHT(B90,5),4),物品!B:CU,20,FALSE)</f>
        <v>ReplaceableTextures\\CommandButtons\\BTNDG13.blp</v>
      </c>
      <c r="N90" s="148" t="s">
        <v>83</v>
      </c>
      <c r="O90" s="131" t="s">
        <v>88</v>
      </c>
      <c r="P90" s="8">
        <v>0</v>
      </c>
      <c r="Q90" s="8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8"/>
      <c r="W90" s="8" t="s">
        <v>89</v>
      </c>
      <c r="X90" s="8">
        <v>0</v>
      </c>
      <c r="Y90" s="148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8"/>
      <c r="AJ90" s="8"/>
      <c r="AK90" s="8">
        <v>1</v>
      </c>
      <c r="AL90" s="8">
        <v>1</v>
      </c>
      <c r="AM90" s="148" t="s">
        <v>83</v>
      </c>
      <c r="AN90" s="8">
        <v>1</v>
      </c>
      <c r="AO90" s="8">
        <v>1</v>
      </c>
      <c r="AP90" s="8">
        <v>1</v>
      </c>
    </row>
    <row r="91" spans="1:42">
      <c r="A91" s="128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30" t="str">
        <f t="shared" si="22"/>
        <v>|Cff00FF7F完美的黄级道果【4】|r</v>
      </c>
      <c r="K91" s="130" t="str">
        <f t="shared" si="23"/>
        <v>强行突破境界|n攻击+60000|n生命值+240000|n物理伤害+20%|n法术伤害+20%|n杀敌攻击+8|n杀敌业力+1|n杀敌生命+30|n</v>
      </c>
      <c r="L91" s="8"/>
      <c r="M91" s="131" t="str">
        <f>VLOOKUP(LEFT(RIGHT(B91,5),4),物品!B:CU,20,FALSE)</f>
        <v>ReplaceableTextures\\CommandButtons\\BTNDG14.blp</v>
      </c>
      <c r="N91" s="148" t="s">
        <v>83</v>
      </c>
      <c r="O91" s="131" t="s">
        <v>88</v>
      </c>
      <c r="P91" s="8">
        <v>0</v>
      </c>
      <c r="Q91" s="8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8"/>
      <c r="W91" s="8" t="s">
        <v>89</v>
      </c>
      <c r="X91" s="8">
        <v>0</v>
      </c>
      <c r="Y91" s="148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8"/>
      <c r="AJ91" s="8"/>
      <c r="AK91" s="8">
        <v>0</v>
      </c>
      <c r="AL91" s="8">
        <v>1</v>
      </c>
      <c r="AM91" s="148" t="s">
        <v>83</v>
      </c>
      <c r="AN91" s="8">
        <v>1</v>
      </c>
      <c r="AO91" s="8">
        <v>1</v>
      </c>
      <c r="AP91" s="8">
        <v>1</v>
      </c>
    </row>
    <row r="92" spans="1:42">
      <c r="A92" s="128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30" t="str">
        <f t="shared" si="22"/>
        <v>|Cff00BFFF完美的玄级道果【5】|r</v>
      </c>
      <c r="K92" s="130" t="str">
        <f t="shared" si="23"/>
        <v>强行突破境界|n攻击+82500|n生命值+330000|n物理伤害+20%|n法术伤害+20%|n杀敌攻击+8|n杀敌业力+1|n杀敌生命+30|n</v>
      </c>
      <c r="L92" s="8"/>
      <c r="M92" s="131" t="str">
        <f>VLOOKUP(LEFT(RIGHT(B92,5),4),物品!B:CU,20,FALSE)</f>
        <v>ReplaceableTextures\\CommandButtons\\BTNDG15.blp</v>
      </c>
      <c r="N92" s="148" t="s">
        <v>83</v>
      </c>
      <c r="O92" s="131" t="s">
        <v>88</v>
      </c>
      <c r="P92" s="8">
        <v>0</v>
      </c>
      <c r="Q92" s="8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8"/>
      <c r="W92" s="8" t="s">
        <v>89</v>
      </c>
      <c r="X92" s="8">
        <v>0</v>
      </c>
      <c r="Y92" s="148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8"/>
      <c r="AJ92" s="8"/>
      <c r="AK92" s="8">
        <v>0</v>
      </c>
      <c r="AL92" s="8">
        <v>1</v>
      </c>
      <c r="AM92" s="148" t="s">
        <v>83</v>
      </c>
      <c r="AN92" s="8">
        <v>1</v>
      </c>
      <c r="AO92" s="8">
        <v>1</v>
      </c>
      <c r="AP92" s="8">
        <v>1</v>
      </c>
    </row>
    <row r="93" spans="1:42">
      <c r="A93" s="128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30" t="str">
        <f t="shared" si="22"/>
        <v>|Cff00BFFF完美的地级道果【6】|r</v>
      </c>
      <c r="K93" s="130" t="str">
        <f t="shared" si="23"/>
        <v>强行突破境界|n攻击+120000|n生命值+480000|n物理伤害+20%|n法术伤害+20%|n杀敌攻击+8|n杀敌业力+1|n杀敌生命+30|n</v>
      </c>
      <c r="L93" s="8"/>
      <c r="M93" s="131" t="str">
        <f>VLOOKUP(LEFT(RIGHT(B93,5),4),物品!B:CU,20,FALSE)</f>
        <v>ReplaceableTextures\\CommandButtons\\BTNDG16.blp</v>
      </c>
      <c r="N93" s="148" t="s">
        <v>83</v>
      </c>
      <c r="O93" s="131" t="s">
        <v>88</v>
      </c>
      <c r="P93" s="8">
        <v>0</v>
      </c>
      <c r="Q93" s="8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8"/>
      <c r="W93" s="8" t="s">
        <v>89</v>
      </c>
      <c r="X93" s="8">
        <v>0</v>
      </c>
      <c r="Y93" s="148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8"/>
      <c r="AJ93" s="8"/>
      <c r="AK93" s="8">
        <v>0</v>
      </c>
      <c r="AL93" s="8">
        <v>1</v>
      </c>
      <c r="AM93" s="148" t="s">
        <v>83</v>
      </c>
      <c r="AN93" s="8">
        <v>1</v>
      </c>
      <c r="AO93" s="8">
        <v>1</v>
      </c>
      <c r="AP93" s="8">
        <v>1</v>
      </c>
    </row>
    <row r="94" spans="1:42">
      <c r="A94" s="128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30" t="str">
        <f t="shared" si="22"/>
        <v>|CffFFC926完美的天级道果【7】|r</v>
      </c>
      <c r="K94" s="130" t="str">
        <f t="shared" si="23"/>
        <v>强行突破境界|n攻击+180000|n生命值+720000|n物理伤害+25%|n法术伤害+25%|n杀敌攻击+8|n杀敌业力+1|n杀敌生命+30|n</v>
      </c>
      <c r="L94" s="8"/>
      <c r="M94" s="131" t="str">
        <f>VLOOKUP(LEFT(RIGHT(B94,5),4),物品!B:CU,20,FALSE)</f>
        <v>ReplaceableTextures\\CommandButtons\\BTNDG17.blp</v>
      </c>
      <c r="N94" s="148" t="s">
        <v>83</v>
      </c>
      <c r="O94" s="131" t="s">
        <v>88</v>
      </c>
      <c r="P94" s="8">
        <v>0</v>
      </c>
      <c r="Q94" s="8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8"/>
      <c r="W94" s="8" t="s">
        <v>89</v>
      </c>
      <c r="X94" s="8">
        <v>0</v>
      </c>
      <c r="Y94" s="148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8"/>
      <c r="AJ94" s="8"/>
      <c r="AK94" s="8">
        <v>1</v>
      </c>
      <c r="AL94" s="8">
        <v>1</v>
      </c>
      <c r="AM94" s="148" t="s">
        <v>83</v>
      </c>
      <c r="AN94" s="8">
        <v>1</v>
      </c>
      <c r="AO94" s="8">
        <v>1</v>
      </c>
      <c r="AP94" s="8">
        <v>1</v>
      </c>
    </row>
    <row r="95" spans="1:42">
      <c r="A95" s="128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30" t="str">
        <f t="shared" si="22"/>
        <v>|CffFFC926完美的仙品道果【8】|r</v>
      </c>
      <c r="K95" s="130" t="str">
        <f t="shared" si="23"/>
        <v>强行突破境界|n攻击+300000|n生命值+1200000|n物理伤害+25%|n法术伤害+25%|n杀敌攻击+8|n杀敌业力+1|n杀敌生命+30|n</v>
      </c>
      <c r="L95" s="8"/>
      <c r="M95" s="131" t="str">
        <f>VLOOKUP(LEFT(RIGHT(B95,5),4),物品!B:CU,20,FALSE)</f>
        <v>ReplaceableTextures\\CommandButtons\\BTNDG18.blp</v>
      </c>
      <c r="N95" s="148" t="s">
        <v>83</v>
      </c>
      <c r="O95" s="131" t="s">
        <v>88</v>
      </c>
      <c r="P95" s="8">
        <v>0</v>
      </c>
      <c r="Q95" s="8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8"/>
      <c r="W95" s="8" t="s">
        <v>89</v>
      </c>
      <c r="X95" s="8">
        <v>0</v>
      </c>
      <c r="Y95" s="148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8"/>
      <c r="AJ95" s="8"/>
      <c r="AK95" s="8">
        <v>0</v>
      </c>
      <c r="AL95" s="8">
        <v>1</v>
      </c>
      <c r="AM95" s="148" t="s">
        <v>83</v>
      </c>
      <c r="AN95" s="8">
        <v>1</v>
      </c>
      <c r="AO95" s="8">
        <v>1</v>
      </c>
      <c r="AP95" s="8">
        <v>1</v>
      </c>
    </row>
    <row r="96" spans="1:42">
      <c r="A96" s="128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30" t="str">
        <f t="shared" si="22"/>
        <v>|CffFF0000完美的至圣道果【9】|r</v>
      </c>
      <c r="K96" s="130" t="str">
        <f t="shared" si="23"/>
        <v>强行突破境界|n攻击+450000|n生命值+1800000|n物理伤害+25%|n法术伤害+25%|n杀敌攻击+8|n杀敌业力+1|n杀敌生命+30|n</v>
      </c>
      <c r="L96" s="8"/>
      <c r="M96" s="131" t="str">
        <f>VLOOKUP(LEFT(RIGHT(B96,5),4),物品!B:CU,20,FALSE)</f>
        <v>ReplaceableTextures\\CommandButtons\\BTNDG19.blp</v>
      </c>
      <c r="N96" s="148" t="s">
        <v>83</v>
      </c>
      <c r="O96" s="131" t="s">
        <v>88</v>
      </c>
      <c r="P96" s="8">
        <v>0</v>
      </c>
      <c r="Q96" s="8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8"/>
      <c r="W96" s="8" t="s">
        <v>89</v>
      </c>
      <c r="X96" s="8">
        <v>0</v>
      </c>
      <c r="Y96" s="148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8"/>
      <c r="AJ96" s="8"/>
      <c r="AK96" s="8">
        <v>0</v>
      </c>
      <c r="AL96" s="8">
        <v>1</v>
      </c>
      <c r="AM96" s="148" t="s">
        <v>83</v>
      </c>
      <c r="AN96" s="8">
        <v>1</v>
      </c>
      <c r="AO96" s="8">
        <v>1</v>
      </c>
      <c r="AP96" s="8">
        <v>1</v>
      </c>
    </row>
    <row r="97" spans="1:42">
      <c r="A97" s="128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30" t="str">
        <f t="shared" si="22"/>
        <v>|CffFF0000完美的混沌道果【10】|r</v>
      </c>
      <c r="K97" s="130" t="str">
        <f t="shared" si="23"/>
        <v>强行突破境界|n攻击+750000|n生命值+3000000|n物理伤害+30%|n法术伤害+30%|n杀敌攻击+8|n杀敌业力+1|n杀敌生命+30|n</v>
      </c>
      <c r="L97" s="8"/>
      <c r="M97" s="131" t="str">
        <f>VLOOKUP(LEFT(RIGHT(B97,5),4),物品!B:CU,20,FALSE)</f>
        <v>ReplaceableTextures\\CommandButtons\\BTNDG20.blp</v>
      </c>
      <c r="N97" s="148" t="s">
        <v>83</v>
      </c>
      <c r="O97" s="131" t="s">
        <v>88</v>
      </c>
      <c r="P97" s="8">
        <v>0</v>
      </c>
      <c r="Q97" s="8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8"/>
      <c r="W97" s="8" t="s">
        <v>89</v>
      </c>
      <c r="X97" s="8">
        <v>0</v>
      </c>
      <c r="Y97" s="148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8"/>
      <c r="AJ97" s="8"/>
      <c r="AK97" s="8">
        <v>0</v>
      </c>
      <c r="AL97" s="8">
        <v>1</v>
      </c>
      <c r="AM97" s="148" t="s">
        <v>83</v>
      </c>
      <c r="AN97" s="8">
        <v>1</v>
      </c>
      <c r="AO97" s="8">
        <v>1</v>
      </c>
      <c r="AP97" s="8">
        <v>1</v>
      </c>
    </row>
    <row r="98" spans="1:42">
      <c r="A98" s="128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突破境界|n攻击+7500|n生命值+30000|n物理伤害+15%|n法术伤害+15%|n杀敌攻击+8|n杀敌业力+1|n杀敌生命+30|n</v>
      </c>
      <c r="J98" s="130" t="str">
        <f t="shared" si="20"/>
        <v>残缺的低级道果【1】</v>
      </c>
      <c r="K98" s="130" t="str">
        <f t="shared" si="21"/>
        <v>突破境界|n攻击+7500|n生命值+30000|n物理伤害+15%|n法术伤害+15%|n杀敌攻击+8|n杀敌业力+1|n杀敌生命+30|n</v>
      </c>
      <c r="L98" s="8"/>
      <c r="M98" s="131" t="str">
        <f>VLOOKUP(LEFT(RIGHT(B98,5),4),物品!B:CU,20,FALSE)</f>
        <v>ReplaceableTextures\\CommandButtons\\BTNDG01.blp</v>
      </c>
      <c r="N98" s="148" t="s">
        <v>83</v>
      </c>
      <c r="O98" s="131" t="s">
        <v>88</v>
      </c>
      <c r="P98" s="8">
        <v>0</v>
      </c>
      <c r="Q98" s="8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8"/>
      <c r="W98" s="8" t="s">
        <v>89</v>
      </c>
      <c r="X98" s="8">
        <v>0</v>
      </c>
      <c r="Y98" s="148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8"/>
      <c r="AJ98" s="8"/>
      <c r="AK98" s="8">
        <v>1</v>
      </c>
      <c r="AL98" s="8">
        <v>1</v>
      </c>
      <c r="AM98" s="148" t="s">
        <v>83</v>
      </c>
      <c r="AN98" s="8">
        <v>1</v>
      </c>
      <c r="AO98" s="8">
        <v>1</v>
      </c>
      <c r="AP98" s="8">
        <v>1</v>
      </c>
    </row>
    <row r="99" spans="1:42">
      <c r="A99" s="128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突破境界|n攻击+18000|n生命值+72000|n物理伤害+15%|n法术伤害+15%|n杀敌攻击+8|n杀敌业力+1|n杀敌生命+30|n</v>
      </c>
      <c r="J99" s="130" t="str">
        <f t="shared" si="20"/>
        <v>残缺的中级道果【2】</v>
      </c>
      <c r="K99" s="130" t="str">
        <f t="shared" si="21"/>
        <v>突破境界|n攻击+18000|n生命值+72000|n物理伤害+15%|n法术伤害+15%|n杀敌攻击+8|n杀敌业力+1|n杀敌生命+30|n</v>
      </c>
      <c r="L99" s="8"/>
      <c r="M99" s="131" t="str">
        <f>VLOOKUP(LEFT(RIGHT(B99,5),4),物品!B:CU,20,FALSE)</f>
        <v>ReplaceableTextures\\CommandButtons\\BTNDG02.blp</v>
      </c>
      <c r="N99" s="148" t="s">
        <v>83</v>
      </c>
      <c r="O99" s="131" t="s">
        <v>88</v>
      </c>
      <c r="P99" s="8">
        <v>0</v>
      </c>
      <c r="Q99" s="8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8"/>
      <c r="W99" s="8" t="s">
        <v>89</v>
      </c>
      <c r="X99" s="8">
        <v>0</v>
      </c>
      <c r="Y99" s="148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8"/>
      <c r="AJ99" s="8"/>
      <c r="AK99" s="8">
        <v>0</v>
      </c>
      <c r="AL99" s="8">
        <v>1</v>
      </c>
      <c r="AM99" s="148" t="s">
        <v>83</v>
      </c>
      <c r="AN99" s="8">
        <v>1</v>
      </c>
      <c r="AO99" s="8">
        <v>1</v>
      </c>
      <c r="AP99" s="8">
        <v>1</v>
      </c>
    </row>
    <row r="100" spans="1:42">
      <c r="A100" s="128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30" t="str">
        <f t="shared" ref="J100:J103" si="24">H100</f>
        <v>|Cff00FF7F残缺的高级道果【3】|r</v>
      </c>
      <c r="K100" s="130" t="str">
        <f t="shared" ref="K100:K103" si="25">I100</f>
        <v>突破境界|n攻击+37500|n生命值+150000|n物理伤害+15%|n法术伤害+15%|n杀敌攻击+8|n杀敌业力+1|n杀敌生命+30|n</v>
      </c>
      <c r="L100" s="8"/>
      <c r="M100" s="131" t="str">
        <f>VLOOKUP(LEFT(RIGHT(B100,5),4),物品!B:CU,20,FALSE)</f>
        <v>ReplaceableTextures\\CommandButtons\\BTNDG03.blp</v>
      </c>
      <c r="N100" s="148" t="s">
        <v>83</v>
      </c>
      <c r="O100" s="131" t="s">
        <v>88</v>
      </c>
      <c r="P100" s="8">
        <v>0</v>
      </c>
      <c r="Q100" s="8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8"/>
      <c r="W100" s="8" t="s">
        <v>89</v>
      </c>
      <c r="X100" s="8">
        <v>0</v>
      </c>
      <c r="Y100" s="148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8"/>
      <c r="AJ100" s="8"/>
      <c r="AK100" s="8">
        <v>1</v>
      </c>
      <c r="AL100" s="8">
        <v>1</v>
      </c>
      <c r="AM100" s="148" t="s">
        <v>83</v>
      </c>
      <c r="AN100" s="8">
        <v>1</v>
      </c>
      <c r="AO100" s="8">
        <v>1</v>
      </c>
      <c r="AP100" s="8">
        <v>1</v>
      </c>
    </row>
    <row r="101" spans="1:42">
      <c r="A101" s="128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30" t="str">
        <f t="shared" si="24"/>
        <v>|Cff00FF7F残缺的黄级道果【4】|r</v>
      </c>
      <c r="K101" s="130" t="str">
        <f t="shared" si="25"/>
        <v>突破境界|n攻击+60000|n生命值+240000|n物理伤害+20%|n法术伤害+20%|n杀敌攻击+8|n杀敌业力+1|n杀敌生命+30|n</v>
      </c>
      <c r="L101" s="8"/>
      <c r="M101" s="131" t="str">
        <f>VLOOKUP(LEFT(RIGHT(B101,5),4),物品!B:CU,20,FALSE)</f>
        <v>ReplaceableTextures\\CommandButtons\\BTNDG04.blp</v>
      </c>
      <c r="N101" s="148" t="s">
        <v>83</v>
      </c>
      <c r="O101" s="131" t="s">
        <v>88</v>
      </c>
      <c r="P101" s="8">
        <v>0</v>
      </c>
      <c r="Q101" s="8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8"/>
      <c r="W101" s="8" t="s">
        <v>89</v>
      </c>
      <c r="X101" s="8">
        <v>0</v>
      </c>
      <c r="Y101" s="148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8"/>
      <c r="AJ101" s="8"/>
      <c r="AK101" s="8">
        <v>0</v>
      </c>
      <c r="AL101" s="8">
        <v>1</v>
      </c>
      <c r="AM101" s="148" t="s">
        <v>83</v>
      </c>
      <c r="AN101" s="8">
        <v>1</v>
      </c>
      <c r="AO101" s="8">
        <v>1</v>
      </c>
      <c r="AP101" s="8">
        <v>1</v>
      </c>
    </row>
    <row r="102" spans="1:42">
      <c r="A102" s="128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30" t="str">
        <f t="shared" si="24"/>
        <v>|Cff00BFFF残缺的玄级道果【5】|r</v>
      </c>
      <c r="K102" s="130" t="str">
        <f t="shared" si="25"/>
        <v>突破境界|n攻击+82500|n生命值+330000|n物理伤害+20%|n法术伤害+20%|n杀敌攻击+8|n杀敌业力+1|n杀敌生命+30|n</v>
      </c>
      <c r="L102" s="8"/>
      <c r="M102" s="131" t="str">
        <f>VLOOKUP(LEFT(RIGHT(B102,5),4),物品!B:CU,20,FALSE)</f>
        <v>ReplaceableTextures\\CommandButtons\\BTNDG05.blp</v>
      </c>
      <c r="N102" s="148" t="s">
        <v>83</v>
      </c>
      <c r="O102" s="131" t="s">
        <v>88</v>
      </c>
      <c r="P102" s="8">
        <v>0</v>
      </c>
      <c r="Q102" s="8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8"/>
      <c r="W102" s="8" t="s">
        <v>89</v>
      </c>
      <c r="X102" s="8">
        <v>0</v>
      </c>
      <c r="Y102" s="148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8"/>
      <c r="AJ102" s="8"/>
      <c r="AK102" s="8">
        <v>0</v>
      </c>
      <c r="AL102" s="8">
        <v>1</v>
      </c>
      <c r="AM102" s="148" t="s">
        <v>83</v>
      </c>
      <c r="AN102" s="8">
        <v>1</v>
      </c>
      <c r="AO102" s="8">
        <v>1</v>
      </c>
      <c r="AP102" s="8">
        <v>1</v>
      </c>
    </row>
    <row r="103" spans="1:42">
      <c r="A103" s="128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30" t="str">
        <f t="shared" si="24"/>
        <v>|Cff00BFFF残缺的地级道果【6】|r</v>
      </c>
      <c r="K103" s="130" t="str">
        <f t="shared" si="25"/>
        <v>突破境界|n攻击+120000|n生命值+480000|n物理伤害+20%|n法术伤害+20%|n杀敌攻击+8|n杀敌业力+1|n杀敌生命+30|n</v>
      </c>
      <c r="L103" s="8"/>
      <c r="M103" s="131" t="str">
        <f>VLOOKUP(LEFT(RIGHT(B103,5),4),物品!B:CU,20,FALSE)</f>
        <v>ReplaceableTextures\\CommandButtons\\BTNDG06.blp</v>
      </c>
      <c r="N103" s="148" t="s">
        <v>83</v>
      </c>
      <c r="O103" s="131" t="s">
        <v>88</v>
      </c>
      <c r="P103" s="8">
        <v>0</v>
      </c>
      <c r="Q103" s="8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8"/>
      <c r="W103" s="8" t="s">
        <v>89</v>
      </c>
      <c r="X103" s="8">
        <v>0</v>
      </c>
      <c r="Y103" s="148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8"/>
      <c r="AJ103" s="8"/>
      <c r="AK103" s="8">
        <v>0</v>
      </c>
      <c r="AL103" s="8">
        <v>1</v>
      </c>
      <c r="AM103" s="148" t="s">
        <v>83</v>
      </c>
      <c r="AN103" s="8">
        <v>1</v>
      </c>
      <c r="AO103" s="8">
        <v>1</v>
      </c>
      <c r="AP103" s="8">
        <v>1</v>
      </c>
    </row>
    <row r="104" spans="1:42">
      <c r="A104" s="128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30" t="str">
        <f t="shared" si="20"/>
        <v>|CffFFC926残缺的天级道果【7】|r</v>
      </c>
      <c r="K104" s="130" t="str">
        <f t="shared" si="21"/>
        <v>突破境界|n攻击+180000|n生命值+720000|n物理伤害+25%|n法术伤害+25%|n杀敌攻击+8|n杀敌业力+1|n杀敌生命+30|n</v>
      </c>
      <c r="L104" s="8"/>
      <c r="M104" s="131" t="str">
        <f>VLOOKUP(LEFT(RIGHT(B104,5),4),物品!B:CU,20,FALSE)</f>
        <v>ReplaceableTextures\\CommandButtons\\BTNDG07.blp</v>
      </c>
      <c r="N104" s="148" t="s">
        <v>83</v>
      </c>
      <c r="O104" s="131" t="s">
        <v>88</v>
      </c>
      <c r="P104" s="8">
        <v>0</v>
      </c>
      <c r="Q104" s="8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8"/>
      <c r="W104" s="8" t="s">
        <v>89</v>
      </c>
      <c r="X104" s="8">
        <v>0</v>
      </c>
      <c r="Y104" s="148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8"/>
      <c r="AJ104" s="8"/>
      <c r="AK104" s="8">
        <v>1</v>
      </c>
      <c r="AL104" s="8">
        <v>1</v>
      </c>
      <c r="AM104" s="148" t="s">
        <v>83</v>
      </c>
      <c r="AN104" s="8">
        <v>1</v>
      </c>
      <c r="AO104" s="8">
        <v>1</v>
      </c>
      <c r="AP104" s="8">
        <v>1</v>
      </c>
    </row>
    <row r="105" spans="1:42">
      <c r="A105" s="128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30" t="str">
        <f t="shared" si="20"/>
        <v>|CffFFC926残缺的仙品道果【8】|r</v>
      </c>
      <c r="K105" s="130" t="str">
        <f t="shared" si="21"/>
        <v>突破境界|n攻击+300000|n生命值+1200000|n物理伤害+25%|n法术伤害+25%|n杀敌攻击+8|n杀敌业力+1|n杀敌生命+30|n</v>
      </c>
      <c r="L105" s="8"/>
      <c r="M105" s="131" t="str">
        <f>VLOOKUP(LEFT(RIGHT(B105,5),4),物品!B:CU,20,FALSE)</f>
        <v>ReplaceableTextures\\CommandButtons\\BTNDG08.blp</v>
      </c>
      <c r="N105" s="148" t="s">
        <v>83</v>
      </c>
      <c r="O105" s="131" t="s">
        <v>88</v>
      </c>
      <c r="P105" s="8">
        <v>0</v>
      </c>
      <c r="Q105" s="8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8"/>
      <c r="W105" s="8" t="s">
        <v>89</v>
      </c>
      <c r="X105" s="8">
        <v>0</v>
      </c>
      <c r="Y105" s="148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8"/>
      <c r="AJ105" s="8"/>
      <c r="AK105" s="8">
        <v>0</v>
      </c>
      <c r="AL105" s="8">
        <v>1</v>
      </c>
      <c r="AM105" s="148" t="s">
        <v>83</v>
      </c>
      <c r="AN105" s="8">
        <v>1</v>
      </c>
      <c r="AO105" s="8">
        <v>1</v>
      </c>
      <c r="AP105" s="8">
        <v>1</v>
      </c>
    </row>
    <row r="106" spans="1:42">
      <c r="A106" s="128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30" t="str">
        <f t="shared" si="20"/>
        <v>|CffFF0000残缺的至圣道果【9】|r</v>
      </c>
      <c r="K106" s="130" t="str">
        <f t="shared" si="21"/>
        <v>突破境界|n攻击+450000|n生命值+1800000|n物理伤害+25%|n法术伤害+25%|n杀敌攻击+8|n杀敌业力+1|n杀敌生命+30|n</v>
      </c>
      <c r="L106" s="8"/>
      <c r="M106" s="131" t="str">
        <f>VLOOKUP(LEFT(RIGHT(B106,5),4),物品!B:CU,20,FALSE)</f>
        <v>ReplaceableTextures\\CommandButtons\\BTNDG09.blp</v>
      </c>
      <c r="N106" s="148" t="s">
        <v>83</v>
      </c>
      <c r="O106" s="131" t="s">
        <v>88</v>
      </c>
      <c r="P106" s="8">
        <v>0</v>
      </c>
      <c r="Q106" s="8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8"/>
      <c r="W106" s="8" t="s">
        <v>89</v>
      </c>
      <c r="X106" s="8">
        <v>0</v>
      </c>
      <c r="Y106" s="148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8"/>
      <c r="AJ106" s="8"/>
      <c r="AK106" s="8">
        <v>0</v>
      </c>
      <c r="AL106" s="8">
        <v>1</v>
      </c>
      <c r="AM106" s="148" t="s">
        <v>83</v>
      </c>
      <c r="AN106" s="8">
        <v>1</v>
      </c>
      <c r="AO106" s="8">
        <v>1</v>
      </c>
      <c r="AP106" s="8">
        <v>1</v>
      </c>
    </row>
    <row r="107" spans="1:42">
      <c r="A107" s="128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30" t="str">
        <f t="shared" si="20"/>
        <v>|CffFF0000残缺的混沌道果【10】|r</v>
      </c>
      <c r="K107" s="130" t="str">
        <f t="shared" si="21"/>
        <v>突破境界|n攻击+750000|n生命值+3000000|n物理伤害+30%|n法术伤害+30%|n杀敌攻击+8|n杀敌业力+1|n杀敌生命+30|n</v>
      </c>
      <c r="L107" s="8"/>
      <c r="M107" s="131" t="str">
        <f>VLOOKUP(LEFT(RIGHT(B107,5),4),物品!B:CU,20,FALSE)</f>
        <v>ReplaceableTextures\\CommandButtons\\BTNDG10.blp</v>
      </c>
      <c r="N107" s="148" t="s">
        <v>83</v>
      </c>
      <c r="O107" s="131" t="s">
        <v>88</v>
      </c>
      <c r="P107" s="8">
        <v>0</v>
      </c>
      <c r="Q107" s="8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8"/>
      <c r="W107" s="8" t="s">
        <v>89</v>
      </c>
      <c r="X107" s="8">
        <v>0</v>
      </c>
      <c r="Y107" s="148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8"/>
      <c r="AJ107" s="8"/>
      <c r="AK107" s="8">
        <v>0</v>
      </c>
      <c r="AL107" s="8">
        <v>1</v>
      </c>
      <c r="AM107" s="148" t="s">
        <v>83</v>
      </c>
      <c r="AN107" s="8">
        <v>1</v>
      </c>
      <c r="AO107" s="8">
        <v>1</v>
      </c>
      <c r="AP107" s="8">
        <v>1</v>
      </c>
    </row>
    <row r="108" spans="1:42">
      <c r="A108" s="128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30" t="str">
        <f t="shared" si="20"/>
        <v>抽取Q技能</v>
      </c>
      <c r="K108" s="130" t="str">
        <f t="shared" si="21"/>
        <v>抽取Q技能</v>
      </c>
      <c r="L108" s="8"/>
      <c r="M108" s="131" t="str">
        <f>VLOOKUP(LEFT(RIGHT(B108,5),4),物品!B:CU,20,FALSE)</f>
        <v>ReplaceableTextures\\CommandButtons\\BTN001.blp</v>
      </c>
      <c r="N108" s="148" t="s">
        <v>83</v>
      </c>
      <c r="O108" s="131" t="s">
        <v>88</v>
      </c>
      <c r="P108" s="8">
        <v>0</v>
      </c>
      <c r="Q108" s="8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8"/>
      <c r="W108" s="8" t="s">
        <v>89</v>
      </c>
      <c r="X108" s="8">
        <v>0</v>
      </c>
      <c r="Y108" s="148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8"/>
      <c r="AJ108" s="8"/>
      <c r="AK108" s="8">
        <v>1</v>
      </c>
      <c r="AL108" s="8">
        <v>1</v>
      </c>
      <c r="AM108" s="148" t="s">
        <v>83</v>
      </c>
      <c r="AN108" s="8">
        <v>1</v>
      </c>
      <c r="AO108" s="8">
        <v>1</v>
      </c>
      <c r="AP108" s="8">
        <v>1</v>
      </c>
    </row>
    <row r="109" spans="1:42">
      <c r="A109" s="128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升品质</v>
      </c>
      <c r="J109" s="130" t="str">
        <f t="shared" ref="J109:J110" si="26">H109</f>
        <v>|Cff00BFFF技能进阶石【完美】|r</v>
      </c>
      <c r="K109" s="130" t="str">
        <f t="shared" ref="K109:K110" si="27">I109</f>
        <v>升品质</v>
      </c>
      <c r="L109" s="8"/>
      <c r="M109" s="131" t="str">
        <f>VLOOKUP(LEFT(RIGHT(B109,5),4),物品!B:CU,20,FALSE)</f>
        <v>ReplaceableTextures\\CommandButtons\\BTN008.blp</v>
      </c>
      <c r="N109" s="148" t="s">
        <v>83</v>
      </c>
      <c r="O109" s="131" t="s">
        <v>88</v>
      </c>
      <c r="P109" s="8">
        <v>0</v>
      </c>
      <c r="Q109" s="8">
        <v>0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8"/>
      <c r="W109" s="8" t="s">
        <v>89</v>
      </c>
      <c r="X109" s="8">
        <v>0</v>
      </c>
      <c r="Y109" s="148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8"/>
      <c r="AJ109" s="8"/>
      <c r="AK109" s="8">
        <v>1</v>
      </c>
      <c r="AL109" s="8">
        <v>1</v>
      </c>
      <c r="AM109" s="148" t="s">
        <v>83</v>
      </c>
      <c r="AN109" s="8">
        <v>1</v>
      </c>
      <c r="AO109" s="8">
        <v>1</v>
      </c>
      <c r="AP109" s="8">
        <v>1</v>
      </c>
    </row>
    <row r="110" spans="1:42">
      <c r="A110" s="128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升S品质</v>
      </c>
      <c r="J110" s="130" t="str">
        <f t="shared" si="26"/>
        <v>|CffFF0000技能进化石【完美】|r</v>
      </c>
      <c r="K110" s="130" t="str">
        <f t="shared" si="27"/>
        <v>升S品质</v>
      </c>
      <c r="L110" s="8"/>
      <c r="M110" s="131" t="str">
        <f>VLOOKUP(LEFT(RIGHT(B110,5),4),物品!B:CU,20,FALSE)</f>
        <v>ReplaceableTextures\\CommandButtons\\BTN012.blp</v>
      </c>
      <c r="N110" s="148" t="s">
        <v>83</v>
      </c>
      <c r="O110" s="131" t="s">
        <v>88</v>
      </c>
      <c r="P110" s="8">
        <v>0</v>
      </c>
      <c r="Q110" s="8">
        <v>0</v>
      </c>
      <c r="R110" s="148" t="s">
        <v>83</v>
      </c>
      <c r="S110" s="148" t="s">
        <v>83</v>
      </c>
      <c r="T110" s="148" t="s">
        <v>83</v>
      </c>
      <c r="U110" s="148" t="s">
        <v>83</v>
      </c>
      <c r="V110" s="8"/>
      <c r="W110" s="8" t="s">
        <v>89</v>
      </c>
      <c r="X110" s="8">
        <v>0</v>
      </c>
      <c r="Y110" s="148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8"/>
      <c r="AJ110" s="8"/>
      <c r="AK110" s="8">
        <v>0</v>
      </c>
      <c r="AL110" s="8">
        <v>1</v>
      </c>
      <c r="AM110" s="148" t="s">
        <v>83</v>
      </c>
      <c r="AN110" s="8">
        <v>1</v>
      </c>
      <c r="AO110" s="8">
        <v>1</v>
      </c>
      <c r="AP110" s="8">
        <v>1</v>
      </c>
    </row>
    <row r="111" spans="1:42">
      <c r="A111" s="128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劣质升品质</v>
      </c>
      <c r="J111" s="130" t="str">
        <f t="shared" ref="J111" si="28">H111</f>
        <v>|Cff00FF7F技能进阶石【残缺】|r</v>
      </c>
      <c r="K111" s="130" t="str">
        <f t="shared" ref="K111" si="29">I111</f>
        <v>劣质升品质</v>
      </c>
      <c r="L111" s="8"/>
      <c r="M111" s="131" t="str">
        <f>VLOOKUP(LEFT(RIGHT(B111,5),4),物品!B:CU,20,FALSE)</f>
        <v>ReplaceableTextures\\CommandButtons\\BTN008.blp</v>
      </c>
      <c r="N111" s="148" t="s">
        <v>83</v>
      </c>
      <c r="O111" s="131" t="s">
        <v>88</v>
      </c>
      <c r="P111" s="8">
        <v>0</v>
      </c>
      <c r="Q111" s="8">
        <v>0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8"/>
      <c r="W111" s="8" t="s">
        <v>89</v>
      </c>
      <c r="X111" s="8">
        <v>0</v>
      </c>
      <c r="Y111" s="148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8"/>
      <c r="AJ111" s="8"/>
      <c r="AK111" s="8">
        <v>0</v>
      </c>
      <c r="AL111" s="8">
        <v>1</v>
      </c>
      <c r="AM111" s="148" t="s">
        <v>83</v>
      </c>
      <c r="AN111" s="8">
        <v>1</v>
      </c>
      <c r="AO111" s="8">
        <v>1</v>
      </c>
      <c r="AP111" s="8">
        <v>1</v>
      </c>
    </row>
    <row r="112" spans="1:42">
      <c r="A112" s="128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劣质升S品质</v>
      </c>
      <c r="J112" s="130" t="str">
        <f t="shared" ref="J112" si="30">H112</f>
        <v>|CffFFD24D技能进化石【残缺】|r</v>
      </c>
      <c r="K112" s="130" t="str">
        <f t="shared" ref="K112" si="31">I112</f>
        <v>劣质升S品质</v>
      </c>
      <c r="L112" s="8"/>
      <c r="M112" s="131" t="str">
        <f>VLOOKUP(LEFT(RIGHT(B112,5),4),物品!B:CU,20,FALSE)</f>
        <v>ReplaceableTextures\\CommandButtons\\BTN008.blp</v>
      </c>
      <c r="N112" s="148" t="s">
        <v>83</v>
      </c>
      <c r="O112" s="131" t="s">
        <v>88</v>
      </c>
      <c r="P112" s="8">
        <v>0</v>
      </c>
      <c r="Q112" s="8">
        <v>0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8"/>
      <c r="W112" s="8" t="s">
        <v>89</v>
      </c>
      <c r="X112" s="8">
        <v>0</v>
      </c>
      <c r="Y112" s="148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8"/>
      <c r="AJ112" s="8"/>
      <c r="AK112" s="8">
        <v>0</v>
      </c>
      <c r="AL112" s="8">
        <v>1</v>
      </c>
      <c r="AM112" s="148" t="s">
        <v>83</v>
      </c>
      <c r="AN112" s="8">
        <v>1</v>
      </c>
      <c r="AO112" s="8">
        <v>1</v>
      </c>
      <c r="AP112" s="8">
        <v>1</v>
      </c>
    </row>
    <row r="113" ht="15" customHeight="1" spans="1:42">
      <c r="A113" s="128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30" t="str">
        <f t="shared" ref="J113" si="32">H113</f>
        <v>随机法宝</v>
      </c>
      <c r="K113" s="130" t="str">
        <f t="shared" ref="K113" si="33">I113</f>
        <v>获得一个随机品质的法宝。|n|n|Cff00ff7f副本难度影响法宝品质稀有度。|r</v>
      </c>
      <c r="L113" s="8"/>
      <c r="M113" s="131" t="str">
        <f>VLOOKUP(LEFT(RIGHT(B113,5),4),物品!B:CU,20,FALSE)</f>
        <v>ReplaceableTextures\\CommandButtons\\BTNCF01.blp</v>
      </c>
      <c r="N113" s="148" t="s">
        <v>83</v>
      </c>
      <c r="O113" s="131" t="s">
        <v>90</v>
      </c>
      <c r="P113" s="8">
        <v>0</v>
      </c>
      <c r="Q113" s="8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8"/>
      <c r="W113" s="8" t="s">
        <v>87</v>
      </c>
      <c r="X113" s="8">
        <v>0</v>
      </c>
      <c r="Y113" s="148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8">
        <v>1</v>
      </c>
      <c r="AJ113" s="8"/>
      <c r="AK113" s="8">
        <v>1</v>
      </c>
      <c r="AL113" s="8">
        <v>1</v>
      </c>
      <c r="AM113" s="148" t="s">
        <v>83</v>
      </c>
      <c r="AN113" s="8">
        <v>1</v>
      </c>
      <c r="AO113" s="8">
        <v>1</v>
      </c>
      <c r="AP113" s="8">
        <v>1</v>
      </c>
    </row>
    <row r="114" spans="1:42">
      <c r="A114" s="128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30" t="str">
        <f t="shared" ref="J114:J117" si="34">H114</f>
        <v>蛋黄月饼</v>
      </c>
      <c r="K114" s="130" t="str">
        <f t="shared" ref="K114:K117" si="35">I114</f>
        <v>回复|Cffffd24d80%|r生命，|Cff00ff7f解除|r异常状态</v>
      </c>
      <c r="L114" s="8"/>
      <c r="M114" s="131" t="str">
        <f>VLOOKUP(LEFT(RIGHT(B114,5),4),物品!B:CU,20,FALSE)</f>
        <v>ReplaceableTextures\\CommandButtons\\BTNI001.blp</v>
      </c>
      <c r="N114" s="148" t="s">
        <v>83</v>
      </c>
      <c r="O114" s="131" t="s">
        <v>88</v>
      </c>
      <c r="P114" s="8">
        <v>0</v>
      </c>
      <c r="Q114" s="8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8"/>
      <c r="W114" s="8" t="s">
        <v>89</v>
      </c>
      <c r="X114" s="8">
        <v>0</v>
      </c>
      <c r="Y114" s="148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8"/>
      <c r="AJ114" s="8"/>
      <c r="AK114" s="8">
        <v>1</v>
      </c>
      <c r="AL114" s="8">
        <v>1</v>
      </c>
      <c r="AM114" s="148" t="s">
        <v>83</v>
      </c>
      <c r="AN114" s="8">
        <v>1</v>
      </c>
      <c r="AO114" s="8">
        <v>1</v>
      </c>
      <c r="AP114" s="8">
        <v>1</v>
      </c>
    </row>
    <row r="115" spans="1:42">
      <c r="A115" s="128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30" t="str">
        <f t="shared" si="34"/>
        <v>豆沙月饼</v>
      </c>
      <c r="K115" s="130" t="str">
        <f t="shared" si="35"/>
        <v>回复|Cff00bfff70%|r蓝量</v>
      </c>
      <c r="L115" s="8"/>
      <c r="M115" s="131" t="str">
        <f>VLOOKUP(LEFT(RIGHT(B115,5),4),物品!B:CU,20,FALSE)</f>
        <v>ReplaceableTextures\\CommandButtons\\BTNI002.blp</v>
      </c>
      <c r="N115" s="148" t="s">
        <v>83</v>
      </c>
      <c r="O115" s="131" t="s">
        <v>88</v>
      </c>
      <c r="P115" s="8">
        <v>0</v>
      </c>
      <c r="Q115" s="8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8"/>
      <c r="W115" s="8" t="s">
        <v>89</v>
      </c>
      <c r="X115" s="8">
        <v>0</v>
      </c>
      <c r="Y115" s="148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8"/>
      <c r="AJ115" s="8"/>
      <c r="AK115" s="8">
        <v>1</v>
      </c>
      <c r="AL115" s="8">
        <v>1</v>
      </c>
      <c r="AM115" s="148" t="s">
        <v>83</v>
      </c>
      <c r="AN115" s="8">
        <v>1</v>
      </c>
      <c r="AO115" s="8">
        <v>1</v>
      </c>
      <c r="AP115" s="8">
        <v>1</v>
      </c>
    </row>
    <row r="116" spans="1:42">
      <c r="A116" s="128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30" t="str">
        <f t="shared" si="34"/>
        <v>冰皮月饼</v>
      </c>
      <c r="K116" s="130" t="str">
        <f t="shared" si="35"/>
        <v>攻击速度|Cffff8000+60%|r，持续15秒。</v>
      </c>
      <c r="L116" s="8"/>
      <c r="M116" s="131" t="str">
        <f>VLOOKUP(LEFT(RIGHT(B116,5),4),物品!B:CU,20,FALSE)</f>
        <v>ReplaceableTextures\\CommandButtons\\BTNI003.blp</v>
      </c>
      <c r="N116" s="148" t="s">
        <v>83</v>
      </c>
      <c r="O116" s="131" t="s">
        <v>88</v>
      </c>
      <c r="P116" s="8">
        <v>0</v>
      </c>
      <c r="Q116" s="8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8"/>
      <c r="W116" s="8" t="s">
        <v>89</v>
      </c>
      <c r="X116" s="8">
        <v>0</v>
      </c>
      <c r="Y116" s="148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8"/>
      <c r="AJ116" s="8"/>
      <c r="AK116" s="8">
        <v>1</v>
      </c>
      <c r="AL116" s="8">
        <v>1</v>
      </c>
      <c r="AM116" s="148" t="s">
        <v>83</v>
      </c>
      <c r="AN116" s="8">
        <v>1</v>
      </c>
      <c r="AO116" s="8">
        <v>1</v>
      </c>
      <c r="AP116" s="8">
        <v>1</v>
      </c>
    </row>
    <row r="117" spans="1:42">
      <c r="A117" s="128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30" t="str">
        <f t="shared" si="34"/>
        <v>果蔬月饼</v>
      </c>
      <c r="K117" s="130" t="str">
        <f t="shared" si="35"/>
        <v>法术伤害提高|Cff00bfff40%|r，持续15秒。</v>
      </c>
      <c r="L117" s="8"/>
      <c r="M117" s="131" t="str">
        <f>VLOOKUP(LEFT(RIGHT(B117,5),4),物品!B:CU,20,FALSE)</f>
        <v>ReplaceableTextures\\CommandButtons\\BTNI004.blp</v>
      </c>
      <c r="N117" s="148" t="s">
        <v>83</v>
      </c>
      <c r="O117" s="131" t="s">
        <v>88</v>
      </c>
      <c r="P117" s="8">
        <v>0</v>
      </c>
      <c r="Q117" s="8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8"/>
      <c r="W117" s="8" t="s">
        <v>89</v>
      </c>
      <c r="X117" s="8">
        <v>0</v>
      </c>
      <c r="Y117" s="148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8"/>
      <c r="AJ117" s="8"/>
      <c r="AK117" s="8">
        <v>1</v>
      </c>
      <c r="AL117" s="8">
        <v>1</v>
      </c>
      <c r="AM117" s="148" t="s">
        <v>83</v>
      </c>
      <c r="AN117" s="8">
        <v>1</v>
      </c>
      <c r="AO117" s="8">
        <v>1</v>
      </c>
      <c r="AP117" s="8">
        <v>1</v>
      </c>
    </row>
    <row r="118" spans="1:42">
      <c r="A118" s="128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30" t="str">
        <f t="shared" ref="J118:J119" si="36">H118</f>
        <v>鲜肉月饼</v>
      </c>
      <c r="K118" s="130" t="str">
        <f t="shared" ref="K118:K119" si="37">I118</f>
        <v>物理伤害提高|Cffff800040%|r，持续15秒。</v>
      </c>
      <c r="L118" s="8"/>
      <c r="M118" s="131" t="str">
        <f>VLOOKUP(LEFT(RIGHT(B118,5),4),物品!B:CU,20,FALSE)</f>
        <v>ReplaceableTextures\\CommandButtons\\BTNI005.blp</v>
      </c>
      <c r="N118" s="148" t="s">
        <v>83</v>
      </c>
      <c r="O118" s="131" t="s">
        <v>88</v>
      </c>
      <c r="P118" s="8">
        <v>0</v>
      </c>
      <c r="Q118" s="8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8"/>
      <c r="W118" s="8" t="s">
        <v>89</v>
      </c>
      <c r="X118" s="8">
        <v>0</v>
      </c>
      <c r="Y118" s="148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8"/>
      <c r="AJ118" s="8"/>
      <c r="AK118" s="8">
        <v>1</v>
      </c>
      <c r="AL118" s="8">
        <v>1</v>
      </c>
      <c r="AM118" s="148" t="s">
        <v>83</v>
      </c>
      <c r="AN118" s="8">
        <v>1</v>
      </c>
      <c r="AO118" s="8">
        <v>1</v>
      </c>
      <c r="AP118" s="8">
        <v>1</v>
      </c>
    </row>
    <row r="119" spans="1:42">
      <c r="A119" s="128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护甲|Cffffd24d+10|r|n金币加成|Cffffd24d+10%|n|r|n击杀1000个敌人后奖励：|n|CffFFD24D7000~12000|r金币|n|CffCC99FF2000-5000|r业力|n|n|Cff00FF7F同时只能携带一个招魂幡|r</v>
      </c>
      <c r="J119" s="130" t="str">
        <f t="shared" si="36"/>
        <v>招魂幡Lv1</v>
      </c>
      <c r="K119" s="130" t="str">
        <f t="shared" si="37"/>
        <v>护甲|Cffffd24d+10|r|n金币加成|Cffffd24d+10%|n|r|n击杀1000个敌人后奖励：|n|CffFFD24D7000~12000|r金币|n|CffCC99FF2000-5000|r业力|n|n|Cff00FF7F同时只能携带一个招魂幡|r</v>
      </c>
      <c r="L119" s="8"/>
      <c r="M119" s="131" t="str">
        <f>VLOOKUP(LEFT(RIGHT(B119,5),4),物品!B:CU,20,FALSE)</f>
        <v>ReplaceableTextures\\CommandButtons\\BTNI011.blp</v>
      </c>
      <c r="N119" s="8">
        <v>0.5</v>
      </c>
      <c r="O119" s="131" t="s">
        <v>91</v>
      </c>
      <c r="P119" s="8">
        <v>0</v>
      </c>
      <c r="Q119" s="8">
        <v>1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8">
        <v>4</v>
      </c>
      <c r="W119" s="8" t="s">
        <v>85</v>
      </c>
      <c r="X119" s="8">
        <v>0</v>
      </c>
      <c r="Y119" s="148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8"/>
      <c r="AJ119" s="8"/>
      <c r="AK119" s="8">
        <v>1</v>
      </c>
      <c r="AL119" s="8">
        <v>1</v>
      </c>
      <c r="AM119" s="148" t="s">
        <v>83</v>
      </c>
      <c r="AN119" s="8">
        <v>1000</v>
      </c>
      <c r="AO119" s="8"/>
      <c r="AP119" s="8"/>
    </row>
    <row r="120" spans="1:42">
      <c r="A120" s="128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30" t="str">
        <f t="shared" ref="J120:J121" si="38">H120</f>
        <v>|Cff00FF7F招魂幡Lv2|r</v>
      </c>
      <c r="K120" s="130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31" t="str">
        <f>VLOOKUP(LEFT(RIGHT(B120,5),4),物品!B:CU,20,FALSE)</f>
        <v>ReplaceableTextures\\CommandButtons\\BTNI012.blp</v>
      </c>
      <c r="N120" s="8">
        <v>0.5</v>
      </c>
      <c r="O120" s="131" t="s">
        <v>91</v>
      </c>
      <c r="P120" s="8">
        <v>1</v>
      </c>
      <c r="Q120" s="8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8">
        <v>4</v>
      </c>
      <c r="W120" s="8" t="s">
        <v>85</v>
      </c>
      <c r="X120" s="8">
        <v>0</v>
      </c>
      <c r="Y120" s="148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8"/>
      <c r="AJ120" s="8"/>
      <c r="AK120" s="8">
        <v>1</v>
      </c>
      <c r="AL120" s="8">
        <v>1</v>
      </c>
      <c r="AM120" s="148" t="s">
        <v>83</v>
      </c>
      <c r="AN120" s="8">
        <v>1000</v>
      </c>
      <c r="AO120" s="8"/>
      <c r="AP120" s="8"/>
    </row>
    <row r="121" spans="1:42">
      <c r="A121" s="128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30" t="str">
        <f t="shared" si="38"/>
        <v>|Cff00BFFF招魂幡Lv3|r</v>
      </c>
      <c r="K121" s="130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31" t="str">
        <f>VLOOKUP(LEFT(RIGHT(B121,5),4),物品!B:CU,20,FALSE)</f>
        <v>ReplaceableTextures\\CommandButtons\\BTNI013.blp</v>
      </c>
      <c r="N121" s="8">
        <v>0.5</v>
      </c>
      <c r="O121" s="131" t="s">
        <v>91</v>
      </c>
      <c r="P121" s="8">
        <v>2</v>
      </c>
      <c r="Q121" s="8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8">
        <v>4</v>
      </c>
      <c r="W121" s="8" t="s">
        <v>85</v>
      </c>
      <c r="X121" s="8">
        <v>0</v>
      </c>
      <c r="Y121" s="148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8"/>
      <c r="AJ121" s="8"/>
      <c r="AK121" s="8">
        <v>1</v>
      </c>
      <c r="AL121" s="8">
        <v>1</v>
      </c>
      <c r="AM121" s="148" t="s">
        <v>83</v>
      </c>
      <c r="AN121" s="8">
        <v>1000</v>
      </c>
      <c r="AO121" s="8"/>
      <c r="AP121" s="8"/>
    </row>
    <row r="122" spans="1:42">
      <c r="A122" s="128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30" t="str">
        <f t="shared" ref="J122:J150" si="40">H122</f>
        <v>|CffFFD24D招魂幡Lv4|r</v>
      </c>
      <c r="K122" s="130" t="str">
        <f t="shared" ref="K122:K150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31" t="str">
        <f>VLOOKUP(LEFT(RIGHT(B122,5),4),物品!B:CU,20,FALSE)</f>
        <v>ReplaceableTextures\\CommandButtons\\BTNI014.blp</v>
      </c>
      <c r="N122" s="8">
        <v>0.5</v>
      </c>
      <c r="O122" s="131" t="s">
        <v>91</v>
      </c>
      <c r="P122" s="8">
        <v>3</v>
      </c>
      <c r="Q122" s="8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8">
        <v>4</v>
      </c>
      <c r="W122" s="8" t="s">
        <v>85</v>
      </c>
      <c r="X122" s="8">
        <v>0</v>
      </c>
      <c r="Y122" s="148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8"/>
      <c r="AJ122" s="8"/>
      <c r="AK122" s="8">
        <v>1</v>
      </c>
      <c r="AL122" s="8">
        <v>1</v>
      </c>
      <c r="AM122" s="148" t="s">
        <v>83</v>
      </c>
      <c r="AN122" s="8">
        <v>1000</v>
      </c>
      <c r="AO122" s="8"/>
      <c r="AP122" s="8"/>
    </row>
    <row r="123" spans="1:42">
      <c r="A123" s="128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30" t="str">
        <f t="shared" ref="J123" si="42">H123</f>
        <v>|CffFF0000招魂幡Lv5|r</v>
      </c>
      <c r="K123" s="130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31" t="str">
        <f>VLOOKUP(LEFT(RIGHT(B123,5),4),物品!B:CU,20,FALSE)</f>
        <v>ReplaceableTextures\\CommandButtons\\BTNI015.blp</v>
      </c>
      <c r="N123" s="8">
        <v>0.5</v>
      </c>
      <c r="O123" s="131" t="s">
        <v>91</v>
      </c>
      <c r="P123" s="8">
        <v>0</v>
      </c>
      <c r="Q123" s="8">
        <v>0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8">
        <v>4</v>
      </c>
      <c r="W123" s="8" t="s">
        <v>85</v>
      </c>
      <c r="X123" s="8">
        <v>0</v>
      </c>
      <c r="Y123" s="148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8"/>
      <c r="AJ123" s="8"/>
      <c r="AK123" s="8">
        <v>1</v>
      </c>
      <c r="AL123" s="8">
        <v>1</v>
      </c>
      <c r="AM123" s="148" t="s">
        <v>83</v>
      </c>
      <c r="AN123" s="8">
        <v>1000</v>
      </c>
      <c r="AO123" s="8"/>
      <c r="AP123" s="8"/>
    </row>
    <row r="124" spans="1:42">
      <c r="A124" s="128"/>
      <c r="B124" s="8" t="str">
        <f>物品!B124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幸运星盒</v>
      </c>
      <c r="I124" s="8" t="str">
        <f>VLOOKUP(B124,物品!B:CV,99,FALSE)</f>
        <v>开启后获得|Cffffd24d42~700木头|r或|Cffffd24d随机锦囊卡|r。|n|n|Cff00ff7f掉落时激活的星宿越多，人品越好 |r     </v>
      </c>
      <c r="J124" s="130" t="str">
        <f t="shared" si="40"/>
        <v>幸运星盒</v>
      </c>
      <c r="K124" s="130" t="str">
        <f t="shared" si="41"/>
        <v>开启后获得|Cffffd24d42~700木头|r或|Cffffd24d随机锦囊卡|r。|n|n|Cff00ff7f掉落时激活的星宿越多，人品越好 |r     </v>
      </c>
      <c r="L124" s="8"/>
      <c r="M124" s="131" t="str">
        <f>VLOOKUP(LEFT(RIGHT(B124,5),4),物品!B:CU,20,FALSE)</f>
        <v>ReplaceableTextures\\CommandButtons\\BTNIND1.blp</v>
      </c>
      <c r="N124" s="148" t="s">
        <v>83</v>
      </c>
      <c r="O124" s="131" t="s">
        <v>88</v>
      </c>
      <c r="P124" s="8">
        <v>0</v>
      </c>
      <c r="Q124" s="8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8"/>
      <c r="W124" s="8" t="s">
        <v>89</v>
      </c>
      <c r="X124" s="8">
        <v>0</v>
      </c>
      <c r="Y124" s="148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8"/>
      <c r="AJ124" s="8"/>
      <c r="AK124" s="8">
        <v>1</v>
      </c>
      <c r="AL124" s="8">
        <v>1</v>
      </c>
      <c r="AM124" s="148" t="s">
        <v>83</v>
      </c>
      <c r="AN124" s="8">
        <v>1</v>
      </c>
      <c r="AO124" s="8">
        <v>1</v>
      </c>
      <c r="AP124" s="8">
        <v>1</v>
      </c>
    </row>
    <row r="125" spans="1:42">
      <c r="A125" s="128"/>
      <c r="B125" s="8" t="str">
        <f>物品!B125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幸运星盒</v>
      </c>
      <c r="I125" s="8" t="str">
        <f>VLOOKUP(B125,物品!B:CV,99,FALSE)</f>
        <v>开启后获得|Cffffd24d42~700木头|r或|Cffffd24d随机锦囊卡|r。|n|n|Cff00ff7f掉落时激活的星宿越多，人品越好 |r     </v>
      </c>
      <c r="J125" s="130" t="str">
        <f t="shared" si="40"/>
        <v>幸运星盒</v>
      </c>
      <c r="K125" s="130" t="str">
        <f t="shared" si="41"/>
        <v>开启后获得|Cffffd24d42~700木头|r或|Cffffd24d随机锦囊卡|r。|n|n|Cff00ff7f掉落时激活的星宿越多，人品越好 |r     </v>
      </c>
      <c r="L125" s="8"/>
      <c r="M125" s="131" t="str">
        <f>VLOOKUP(LEFT(RIGHT(B125,5),4),物品!B:CU,20,FALSE)</f>
        <v>ReplaceableTextures\\CommandButtons\\BTNIND1.blp</v>
      </c>
      <c r="N125" s="148" t="s">
        <v>83</v>
      </c>
      <c r="O125" s="131" t="s">
        <v>88</v>
      </c>
      <c r="P125" s="8">
        <v>0</v>
      </c>
      <c r="Q125" s="8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8"/>
      <c r="W125" s="8" t="s">
        <v>89</v>
      </c>
      <c r="X125" s="8">
        <v>0</v>
      </c>
      <c r="Y125" s="148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8"/>
      <c r="AJ125" s="8"/>
      <c r="AK125" s="8">
        <v>1</v>
      </c>
      <c r="AL125" s="8">
        <v>1</v>
      </c>
      <c r="AM125" s="148" t="s">
        <v>83</v>
      </c>
      <c r="AN125" s="8">
        <v>1</v>
      </c>
      <c r="AO125" s="8">
        <v>1</v>
      </c>
      <c r="AP125" s="8">
        <v>1</v>
      </c>
    </row>
    <row r="126" spans="1:42">
      <c r="A126" s="128"/>
      <c r="B126" s="8" t="str">
        <f>物品!B126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幸运星盒</v>
      </c>
      <c r="I126" s="8" t="str">
        <f>VLOOKUP(B126,物品!B:CV,99,FALSE)</f>
        <v>开启后获得|Cffffd24d42~700木头|r或|Cffffd24d随机锦囊卡|r。|n|n|Cff00ff7f掉落时激活的星宿越多，人品越好 |r     </v>
      </c>
      <c r="J126" s="130" t="str">
        <f t="shared" si="40"/>
        <v>幸运星盒</v>
      </c>
      <c r="K126" s="130" t="str">
        <f t="shared" si="41"/>
        <v>开启后获得|Cffffd24d42~700木头|r或|Cffffd24d随机锦囊卡|r。|n|n|Cff00ff7f掉落时激活的星宿越多，人品越好 |r     </v>
      </c>
      <c r="L126" s="8"/>
      <c r="M126" s="131" t="str">
        <f>VLOOKUP(LEFT(RIGHT(B126,5),4),物品!B:CU,20,FALSE)</f>
        <v>ReplaceableTextures\\CommandButtons\\BTNIND1.blp</v>
      </c>
      <c r="N126" s="148" t="s">
        <v>83</v>
      </c>
      <c r="O126" s="131" t="s">
        <v>88</v>
      </c>
      <c r="P126" s="8">
        <v>0</v>
      </c>
      <c r="Q126" s="8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8"/>
      <c r="W126" s="8" t="s">
        <v>89</v>
      </c>
      <c r="X126" s="8">
        <v>0</v>
      </c>
      <c r="Y126" s="148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8"/>
      <c r="AJ126" s="8"/>
      <c r="AK126" s="8">
        <v>1</v>
      </c>
      <c r="AL126" s="8">
        <v>1</v>
      </c>
      <c r="AM126" s="148" t="s">
        <v>83</v>
      </c>
      <c r="AN126" s="8">
        <v>1</v>
      </c>
      <c r="AO126" s="8">
        <v>1</v>
      </c>
      <c r="AP126" s="8">
        <v>1</v>
      </c>
    </row>
    <row r="127" spans="1:42">
      <c r="A127" s="128"/>
      <c r="B127" s="8" t="str">
        <f>物品!B127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幸运星盒</v>
      </c>
      <c r="I127" s="8" t="str">
        <f>VLOOKUP(B127,物品!B:CV,99,FALSE)</f>
        <v>开启后获得|Cffffd24d42~700木头|r或|Cffffd24d随机锦囊卡|r。|n|n|Cff00ff7f掉落时激活的星宿越多，人品越好 |r     </v>
      </c>
      <c r="J127" s="130" t="str">
        <f t="shared" si="40"/>
        <v>幸运星盒</v>
      </c>
      <c r="K127" s="130" t="str">
        <f t="shared" si="41"/>
        <v>开启后获得|Cffffd24d42~700木头|r或|Cffffd24d随机锦囊卡|r。|n|n|Cff00ff7f掉落时激活的星宿越多，人品越好 |r     </v>
      </c>
      <c r="L127" s="8"/>
      <c r="M127" s="131" t="str">
        <f>VLOOKUP(LEFT(RIGHT(B127,5),4),物品!B:CU,20,FALSE)</f>
        <v>ReplaceableTextures\\CommandButtons\\BTNIND1.blp</v>
      </c>
      <c r="N127" s="148" t="s">
        <v>83</v>
      </c>
      <c r="O127" s="131" t="s">
        <v>88</v>
      </c>
      <c r="P127" s="8">
        <v>0</v>
      </c>
      <c r="Q127" s="8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8"/>
      <c r="W127" s="8" t="s">
        <v>89</v>
      </c>
      <c r="X127" s="8">
        <v>0</v>
      </c>
      <c r="Y127" s="148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8"/>
      <c r="AJ127" s="8"/>
      <c r="AK127" s="8">
        <v>1</v>
      </c>
      <c r="AL127" s="8">
        <v>1</v>
      </c>
      <c r="AM127" s="148" t="s">
        <v>83</v>
      </c>
      <c r="AN127" s="8">
        <v>1</v>
      </c>
      <c r="AO127" s="8">
        <v>1</v>
      </c>
      <c r="AP127" s="8">
        <v>1</v>
      </c>
    </row>
    <row r="128" spans="1:42">
      <c r="A128" s="128"/>
      <c r="B128" s="8" t="str">
        <f>物品!B128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幸运星盒</v>
      </c>
      <c r="I128" s="8" t="str">
        <f>VLOOKUP(B128,物品!B:CV,99,FALSE)</f>
        <v>开启后获得|Cffffd24d42~700木头|r或|Cffffd24d随机锦囊卡|r。|n|n|Cff00ff7f掉落时激活的星宿越多，人品越好 |r     </v>
      </c>
      <c r="J128" s="130" t="str">
        <f t="shared" si="40"/>
        <v>幸运星盒</v>
      </c>
      <c r="K128" s="130" t="str">
        <f t="shared" si="41"/>
        <v>开启后获得|Cffffd24d42~700木头|r或|Cffffd24d随机锦囊卡|r。|n|n|Cff00ff7f掉落时激活的星宿越多，人品越好 |r     </v>
      </c>
      <c r="L128" s="8"/>
      <c r="M128" s="131" t="str">
        <f>VLOOKUP(LEFT(RIGHT(B128,5),4),物品!B:CU,20,FALSE)</f>
        <v>ReplaceableTextures\\CommandButtons\\BTNIND1.blp</v>
      </c>
      <c r="N128" s="148" t="s">
        <v>83</v>
      </c>
      <c r="O128" s="131" t="s">
        <v>88</v>
      </c>
      <c r="P128" s="8">
        <v>0</v>
      </c>
      <c r="Q128" s="8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8"/>
      <c r="W128" s="8" t="s">
        <v>89</v>
      </c>
      <c r="X128" s="8">
        <v>0</v>
      </c>
      <c r="Y128" s="148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8"/>
      <c r="AJ128" s="8"/>
      <c r="AK128" s="8">
        <v>1</v>
      </c>
      <c r="AL128" s="8">
        <v>1</v>
      </c>
      <c r="AM128" s="148" t="s">
        <v>83</v>
      </c>
      <c r="AN128" s="8">
        <v>1</v>
      </c>
      <c r="AO128" s="8">
        <v>1</v>
      </c>
      <c r="AP128" s="8">
        <v>1</v>
      </c>
    </row>
    <row r="129" spans="1:42">
      <c r="A129" s="128"/>
      <c r="B129" s="8" t="str">
        <f>物品!B129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炽星魔盒</v>
      </c>
      <c r="I129" s="8" t="str">
        <f>VLOOKUP(B129,物品!B:CV,99,FALSE)</f>
        <v>开启后获得|Cffffd24d随机奖励|r</v>
      </c>
      <c r="J129" s="130" t="str">
        <f t="shared" si="40"/>
        <v>炽星魔盒</v>
      </c>
      <c r="K129" s="130" t="str">
        <f t="shared" si="41"/>
        <v>开启后获得|Cffffd24d随机奖励|r</v>
      </c>
      <c r="L129" s="8"/>
      <c r="M129" s="131" t="str">
        <f>VLOOKUP(LEFT(RIGHT(B129,5),4),物品!B:CU,20,FALSE)</f>
        <v>ReplaceableTextures\\CommandButtons\\BTNIND2.blp</v>
      </c>
      <c r="N129" s="148" t="s">
        <v>83</v>
      </c>
      <c r="O129" s="131" t="s">
        <v>88</v>
      </c>
      <c r="P129" s="8">
        <v>0</v>
      </c>
      <c r="Q129" s="8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8"/>
      <c r="W129" s="8" t="s">
        <v>89</v>
      </c>
      <c r="X129" s="8">
        <v>0</v>
      </c>
      <c r="Y129" s="148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8" t="s">
        <v>83</v>
      </c>
      <c r="AF129" s="148" t="s">
        <v>83</v>
      </c>
      <c r="AG129" s="148" t="s">
        <v>83</v>
      </c>
      <c r="AH129" s="148" t="s">
        <v>83</v>
      </c>
      <c r="AI129" s="8"/>
      <c r="AJ129" s="8"/>
      <c r="AK129" s="8">
        <v>1</v>
      </c>
      <c r="AL129" s="8">
        <v>1</v>
      </c>
      <c r="AM129" s="148" t="s">
        <v>83</v>
      </c>
      <c r="AN129" s="8">
        <v>1</v>
      </c>
      <c r="AO129" s="8">
        <v>1</v>
      </c>
      <c r="AP129" s="8">
        <v>1</v>
      </c>
    </row>
    <row r="130" spans="1:42">
      <c r="A130" s="128"/>
      <c r="B130" s="8" t="str">
        <f>物品!B130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幸运星盒</v>
      </c>
      <c r="I130" s="8" t="str">
        <f>VLOOKUP(B130,物品!B:CV,99,FALSE)</f>
        <v>开启后获得|Cffffd24d42~700木头|r或|Cffffd24d随机锦囊卡|r。|n|n|Cff00ff7f掉落时激活的星宿越多，人品越好 |r     </v>
      </c>
      <c r="J130" s="130" t="str">
        <f t="shared" si="40"/>
        <v>幸运星盒</v>
      </c>
      <c r="K130" s="130" t="str">
        <f t="shared" si="41"/>
        <v>开启后获得|Cffffd24d42~700木头|r或|Cffffd24d随机锦囊卡|r。|n|n|Cff00ff7f掉落时激活的星宿越多，人品越好 |r     </v>
      </c>
      <c r="L130" s="8"/>
      <c r="M130" s="131" t="str">
        <f>VLOOKUP(LEFT(RIGHT(B130,5),4),物品!B:CU,20,FALSE)</f>
        <v>ReplaceableTextures\\CommandButtons\\BTNIND1.blp</v>
      </c>
      <c r="N130" s="148" t="s">
        <v>83</v>
      </c>
      <c r="O130" s="131" t="s">
        <v>88</v>
      </c>
      <c r="P130" s="8">
        <v>0</v>
      </c>
      <c r="Q130" s="8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8"/>
      <c r="W130" s="8" t="s">
        <v>89</v>
      </c>
      <c r="X130" s="8">
        <v>0</v>
      </c>
      <c r="Y130" s="148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8"/>
      <c r="AJ130" s="8"/>
      <c r="AK130" s="8">
        <v>1</v>
      </c>
      <c r="AL130" s="8">
        <v>1</v>
      </c>
      <c r="AM130" s="148" t="s">
        <v>83</v>
      </c>
      <c r="AN130" s="8">
        <v>1</v>
      </c>
      <c r="AO130" s="8">
        <v>1</v>
      </c>
      <c r="AP130" s="8">
        <v>1</v>
      </c>
    </row>
    <row r="131" spans="1:42">
      <c r="A131" s="128"/>
      <c r="B131" s="8" t="str">
        <f>物品!B131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幸运星盒</v>
      </c>
      <c r="I131" s="8" t="str">
        <f>VLOOKUP(B131,物品!B:CV,99,FALSE)</f>
        <v>开启后获得|Cffffd24d42~700木头|r或|Cffffd24d随机锦囊卡|r。|n|n|Cff00ff7f掉落时激活的星宿越多，人品越好 |r     </v>
      </c>
      <c r="J131" s="130" t="str">
        <f t="shared" si="40"/>
        <v>幸运星盒</v>
      </c>
      <c r="K131" s="130" t="str">
        <f t="shared" si="41"/>
        <v>开启后获得|Cffffd24d42~700木头|r或|Cffffd24d随机锦囊卡|r。|n|n|Cff00ff7f掉落时激活的星宿越多，人品越好 |r     </v>
      </c>
      <c r="L131" s="8"/>
      <c r="M131" s="131" t="str">
        <f>VLOOKUP(LEFT(RIGHT(B131,5),4),物品!B:CU,20,FALSE)</f>
        <v>ReplaceableTextures\\CommandButtons\\BTNIND1.blp</v>
      </c>
      <c r="N131" s="148" t="s">
        <v>83</v>
      </c>
      <c r="O131" s="131" t="s">
        <v>88</v>
      </c>
      <c r="P131" s="8">
        <v>0</v>
      </c>
      <c r="Q131" s="8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8"/>
      <c r="W131" s="8" t="s">
        <v>89</v>
      </c>
      <c r="X131" s="8">
        <v>0</v>
      </c>
      <c r="Y131" s="148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8"/>
      <c r="AJ131" s="8"/>
      <c r="AK131" s="8">
        <v>1</v>
      </c>
      <c r="AL131" s="8">
        <v>1</v>
      </c>
      <c r="AM131" s="148" t="s">
        <v>83</v>
      </c>
      <c r="AN131" s="8">
        <v>1</v>
      </c>
      <c r="AO131" s="8">
        <v>1</v>
      </c>
      <c r="AP131" s="8">
        <v>1</v>
      </c>
    </row>
    <row r="132" spans="1:42">
      <c r="A132" s="128"/>
      <c r="B132" s="8" t="str">
        <f>物品!B132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幸运星盒</v>
      </c>
      <c r="I132" s="8" t="str">
        <f>VLOOKUP(B132,物品!B:CV,99,FALSE)</f>
        <v>开启后获得|Cffffd24d42~700木头|r或|Cffffd24d随机锦囊卡|r。|n|n|Cff00ff7f掉落时激活的星宿越多，人品越好 |r     </v>
      </c>
      <c r="J132" s="130" t="str">
        <f t="shared" ref="J132:J139" si="44">H132</f>
        <v>幸运星盒</v>
      </c>
      <c r="K132" s="130" t="str">
        <f t="shared" ref="K132:K139" si="45">I132</f>
        <v>开启后获得|Cffffd24d42~700木头|r或|Cffffd24d随机锦囊卡|r。|n|n|Cff00ff7f掉落时激活的星宿越多，人品越好 |r     </v>
      </c>
      <c r="L132" s="8"/>
      <c r="M132" s="131" t="str">
        <f>VLOOKUP(LEFT(RIGHT(B132,5),4),物品!B:CU,20,FALSE)</f>
        <v>ReplaceableTextures\\CommandButtons\\BTNIND1.blp</v>
      </c>
      <c r="N132" s="148" t="s">
        <v>83</v>
      </c>
      <c r="O132" s="131" t="s">
        <v>88</v>
      </c>
      <c r="P132" s="8">
        <v>0</v>
      </c>
      <c r="Q132" s="8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8"/>
      <c r="W132" s="8" t="s">
        <v>89</v>
      </c>
      <c r="X132" s="8">
        <v>0</v>
      </c>
      <c r="Y132" s="148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8"/>
      <c r="AJ132" s="8"/>
      <c r="AK132" s="8">
        <v>1</v>
      </c>
      <c r="AL132" s="8">
        <v>1</v>
      </c>
      <c r="AM132" s="148" t="s">
        <v>83</v>
      </c>
      <c r="AN132" s="8">
        <v>1</v>
      </c>
      <c r="AO132" s="8">
        <v>1</v>
      </c>
      <c r="AP132" s="8">
        <v>1</v>
      </c>
    </row>
    <row r="133" spans="1:42">
      <c r="A133" s="128"/>
      <c r="B133" s="8" t="str">
        <f>物品!B133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幸运星盒</v>
      </c>
      <c r="I133" s="8" t="str">
        <f>VLOOKUP(B133,物品!B:CV,99,FALSE)</f>
        <v>开启后获得|Cffffd24d42~700木头|r或|Cffffd24d随机锦囊卡|r。|n|n|Cff00ff7f掉落时激活的星宿越多，人品越好 |r     </v>
      </c>
      <c r="J133" s="130" t="str">
        <f t="shared" si="44"/>
        <v>幸运星盒</v>
      </c>
      <c r="K133" s="130" t="str">
        <f t="shared" si="45"/>
        <v>开启后获得|Cffffd24d42~700木头|r或|Cffffd24d随机锦囊卡|r。|n|n|Cff00ff7f掉落时激活的星宿越多，人品越好 |r     </v>
      </c>
      <c r="L133" s="8"/>
      <c r="M133" s="131" t="str">
        <f>VLOOKUP(LEFT(RIGHT(B133,5),4),物品!B:CU,20,FALSE)</f>
        <v>ReplaceableTextures\\CommandButtons\\BTNIND1.blp</v>
      </c>
      <c r="N133" s="148" t="s">
        <v>83</v>
      </c>
      <c r="O133" s="131" t="s">
        <v>88</v>
      </c>
      <c r="P133" s="8">
        <v>0</v>
      </c>
      <c r="Q133" s="8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8"/>
      <c r="W133" s="8" t="s">
        <v>89</v>
      </c>
      <c r="X133" s="8">
        <v>0</v>
      </c>
      <c r="Y133" s="148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8"/>
      <c r="AJ133" s="8"/>
      <c r="AK133" s="8">
        <v>1</v>
      </c>
      <c r="AL133" s="8">
        <v>1</v>
      </c>
      <c r="AM133" s="148" t="s">
        <v>83</v>
      </c>
      <c r="AN133" s="8">
        <v>1</v>
      </c>
      <c r="AO133" s="8">
        <v>1</v>
      </c>
      <c r="AP133" s="8">
        <v>1</v>
      </c>
    </row>
    <row r="134" spans="1:42">
      <c r="A134" s="128"/>
      <c r="B134" s="8" t="str">
        <f>物品!B134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幸运星盒</v>
      </c>
      <c r="I134" s="8" t="str">
        <f>VLOOKUP(B134,物品!B:CV,99,FALSE)</f>
        <v>开启后获得|Cffffd24d42~700木头|r或|Cffffd24d随机锦囊卡|r。|n|n|Cff00ff7f掉落时激活的星宿越多，人品越好 |r     </v>
      </c>
      <c r="J134" s="130" t="str">
        <f t="shared" si="44"/>
        <v>幸运星盒</v>
      </c>
      <c r="K134" s="130" t="str">
        <f t="shared" si="45"/>
        <v>开启后获得|Cffffd24d42~700木头|r或|Cffffd24d随机锦囊卡|r。|n|n|Cff00ff7f掉落时激活的星宿越多，人品越好 |r     </v>
      </c>
      <c r="L134" s="8"/>
      <c r="M134" s="131" t="str">
        <f>VLOOKUP(LEFT(RIGHT(B134,5),4),物品!B:CU,20,FALSE)</f>
        <v>ReplaceableTextures\\CommandButtons\\BTNIND1.blp</v>
      </c>
      <c r="N134" s="148" t="s">
        <v>83</v>
      </c>
      <c r="O134" s="131" t="s">
        <v>88</v>
      </c>
      <c r="P134" s="8">
        <v>0</v>
      </c>
      <c r="Q134" s="8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8"/>
      <c r="W134" s="8" t="s">
        <v>89</v>
      </c>
      <c r="X134" s="8">
        <v>0</v>
      </c>
      <c r="Y134" s="148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8"/>
      <c r="AJ134" s="8"/>
      <c r="AK134" s="8">
        <v>1</v>
      </c>
      <c r="AL134" s="8">
        <v>1</v>
      </c>
      <c r="AM134" s="148" t="s">
        <v>83</v>
      </c>
      <c r="AN134" s="8">
        <v>1</v>
      </c>
      <c r="AO134" s="8">
        <v>1</v>
      </c>
      <c r="AP134" s="8">
        <v>1</v>
      </c>
    </row>
    <row r="135" spans="1:42">
      <c r="A135" s="128"/>
      <c r="B135" s="8" t="str">
        <f>物品!B135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炽星魔盒</v>
      </c>
      <c r="I135" s="8" t="str">
        <f>VLOOKUP(B135,物品!B:CV,99,FALSE)</f>
        <v>开启后随机获得一张|Cffffd24d锦囊卡|r</v>
      </c>
      <c r="J135" s="130" t="str">
        <f t="shared" si="44"/>
        <v>炽星魔盒</v>
      </c>
      <c r="K135" s="130" t="str">
        <f t="shared" si="45"/>
        <v>开启后随机获得一张|Cffffd24d锦囊卡|r</v>
      </c>
      <c r="L135" s="8"/>
      <c r="M135" s="131" t="str">
        <f>VLOOKUP(LEFT(RIGHT(B135,5),4),物品!B:CU,20,FALSE)</f>
        <v>ReplaceableTextures\\CommandButtons\\BTNIND2.blp</v>
      </c>
      <c r="N135" s="148" t="s">
        <v>83</v>
      </c>
      <c r="O135" s="131" t="s">
        <v>88</v>
      </c>
      <c r="P135" s="8">
        <v>0</v>
      </c>
      <c r="Q135" s="8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8"/>
      <c r="W135" s="8" t="s">
        <v>89</v>
      </c>
      <c r="X135" s="8">
        <v>0</v>
      </c>
      <c r="Y135" s="148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8"/>
      <c r="AJ135" s="8"/>
      <c r="AK135" s="8">
        <v>1</v>
      </c>
      <c r="AL135" s="8">
        <v>1</v>
      </c>
      <c r="AM135" s="148" t="s">
        <v>83</v>
      </c>
      <c r="AN135" s="8">
        <v>1</v>
      </c>
      <c r="AO135" s="8">
        <v>1</v>
      </c>
      <c r="AP135" s="8">
        <v>1</v>
      </c>
    </row>
    <row r="136" spans="1:42">
      <c r="A136" s="128"/>
      <c r="B136" s="8" t="str">
        <f>物品!B136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幸运星盒</v>
      </c>
      <c r="I136" s="8" t="str">
        <f>VLOOKUP(B136,物品!B:CV,99,FALSE)</f>
        <v>开启后获得|Cffffd24d42~700木头|r或|Cffffd24d随机锦囊卡|r。|n|n|Cff00ff7f掉落时激活的星宿越多，人品越好 |r     </v>
      </c>
      <c r="J136" s="130" t="str">
        <f t="shared" si="44"/>
        <v>幸运星盒</v>
      </c>
      <c r="K136" s="130" t="str">
        <f t="shared" si="45"/>
        <v>开启后获得|Cffffd24d42~700木头|r或|Cffffd24d随机锦囊卡|r。|n|n|Cff00ff7f掉落时激活的星宿越多，人品越好 |r     </v>
      </c>
      <c r="L136" s="8"/>
      <c r="M136" s="131" t="str">
        <f>VLOOKUP(LEFT(RIGHT(B136,5),4),物品!B:CU,20,FALSE)</f>
        <v>ReplaceableTextures\\CommandButtons\\BTNIND1.blp</v>
      </c>
      <c r="N136" s="148" t="s">
        <v>83</v>
      </c>
      <c r="O136" s="131" t="s">
        <v>88</v>
      </c>
      <c r="P136" s="8">
        <v>0</v>
      </c>
      <c r="Q136" s="8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8"/>
      <c r="W136" s="8" t="s">
        <v>89</v>
      </c>
      <c r="X136" s="8">
        <v>0</v>
      </c>
      <c r="Y136" s="148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8"/>
      <c r="AJ136" s="8"/>
      <c r="AK136" s="8">
        <v>1</v>
      </c>
      <c r="AL136" s="8">
        <v>1</v>
      </c>
      <c r="AM136" s="148" t="s">
        <v>83</v>
      </c>
      <c r="AN136" s="8">
        <v>1</v>
      </c>
      <c r="AO136" s="8">
        <v>1</v>
      </c>
      <c r="AP136" s="8">
        <v>1</v>
      </c>
    </row>
    <row r="137" spans="1:42">
      <c r="A137" s="128"/>
      <c r="B137" s="8" t="str">
        <f>物品!B137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幸运星盒</v>
      </c>
      <c r="I137" s="8" t="str">
        <f>VLOOKUP(B137,物品!B:CV,99,FALSE)</f>
        <v>开启后获得|Cffffd24d42~700木头|r或|Cffffd24d随机锦囊卡|r。|n|n|Cff00ff7f掉落时激活的星宿越多，人品越好 |r     </v>
      </c>
      <c r="J137" s="130" t="str">
        <f t="shared" si="44"/>
        <v>幸运星盒</v>
      </c>
      <c r="K137" s="130" t="str">
        <f t="shared" si="45"/>
        <v>开启后获得|Cffffd24d42~700木头|r或|Cffffd24d随机锦囊卡|r。|n|n|Cff00ff7f掉落时激活的星宿越多，人品越好 |r     </v>
      </c>
      <c r="L137" s="8"/>
      <c r="M137" s="131" t="str">
        <f>VLOOKUP(LEFT(RIGHT(B137,5),4),物品!B:CU,20,FALSE)</f>
        <v>ReplaceableTextures\\CommandButtons\\BTNIND1.blp</v>
      </c>
      <c r="N137" s="148" t="s">
        <v>83</v>
      </c>
      <c r="O137" s="131" t="s">
        <v>88</v>
      </c>
      <c r="P137" s="8">
        <v>0</v>
      </c>
      <c r="Q137" s="8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8"/>
      <c r="W137" s="8" t="s">
        <v>89</v>
      </c>
      <c r="X137" s="8">
        <v>0</v>
      </c>
      <c r="Y137" s="148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8"/>
      <c r="AJ137" s="8"/>
      <c r="AK137" s="8">
        <v>1</v>
      </c>
      <c r="AL137" s="8">
        <v>1</v>
      </c>
      <c r="AM137" s="148" t="s">
        <v>83</v>
      </c>
      <c r="AN137" s="8">
        <v>1</v>
      </c>
      <c r="AO137" s="8">
        <v>1</v>
      </c>
      <c r="AP137" s="8">
        <v>1</v>
      </c>
    </row>
    <row r="138" spans="1:42">
      <c r="A138" s="128"/>
      <c r="B138" s="8" t="str">
        <f>物品!B138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幸运星盒</v>
      </c>
      <c r="I138" s="8" t="str">
        <f>VLOOKUP(B138,物品!B:CV,99,FALSE)</f>
        <v>开启后获得|Cffffd24d42~700木头|r或|Cffffd24d随机锦囊卡|r。|n|n|Cff00ff7f掉落时激活的星宿越多，人品越好 |r     </v>
      </c>
      <c r="J138" s="130" t="str">
        <f t="shared" si="44"/>
        <v>幸运星盒</v>
      </c>
      <c r="K138" s="130" t="str">
        <f t="shared" si="45"/>
        <v>开启后获得|Cffffd24d42~700木头|r或|Cffffd24d随机锦囊卡|r。|n|n|Cff00ff7f掉落时激活的星宿越多，人品越好 |r     </v>
      </c>
      <c r="L138" s="8"/>
      <c r="M138" s="131" t="str">
        <f>VLOOKUP(LEFT(RIGHT(B138,5),4),物品!B:CU,20,FALSE)</f>
        <v>ReplaceableTextures\\CommandButtons\\BTNIND1.blp</v>
      </c>
      <c r="N138" s="148" t="s">
        <v>83</v>
      </c>
      <c r="O138" s="131" t="s">
        <v>88</v>
      </c>
      <c r="P138" s="8">
        <v>0</v>
      </c>
      <c r="Q138" s="8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8"/>
      <c r="W138" s="8" t="s">
        <v>89</v>
      </c>
      <c r="X138" s="8">
        <v>0</v>
      </c>
      <c r="Y138" s="148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8"/>
      <c r="AJ138" s="8"/>
      <c r="AK138" s="8">
        <v>1</v>
      </c>
      <c r="AL138" s="8">
        <v>1</v>
      </c>
      <c r="AM138" s="148" t="s">
        <v>83</v>
      </c>
      <c r="AN138" s="8">
        <v>1</v>
      </c>
      <c r="AO138" s="8">
        <v>1</v>
      </c>
      <c r="AP138" s="8">
        <v>1</v>
      </c>
    </row>
    <row r="139" spans="1:42">
      <c r="A139" s="128"/>
      <c r="B139" s="8" t="str">
        <f>物品!B139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幸运星盒</v>
      </c>
      <c r="I139" s="8" t="str">
        <f>VLOOKUP(B139,物品!B:CV,99,FALSE)</f>
        <v>开启后获得|Cffffd24d42~700木头|r或|Cffffd24d随机锦囊卡|r。|n|n|Cff00ff7f掉落时激活的星宿越多，人品越好 |r     </v>
      </c>
      <c r="J139" s="130" t="str">
        <f t="shared" si="44"/>
        <v>幸运星盒</v>
      </c>
      <c r="K139" s="130" t="str">
        <f t="shared" si="45"/>
        <v>开启后获得|Cffffd24d42~700木头|r或|Cffffd24d随机锦囊卡|r。|n|n|Cff00ff7f掉落时激活的星宿越多，人品越好 |r     </v>
      </c>
      <c r="L139" s="8"/>
      <c r="M139" s="131" t="str">
        <f>VLOOKUP(LEFT(RIGHT(B139,5),4),物品!B:CU,20,FALSE)</f>
        <v>ReplaceableTextures\\CommandButtons\\BTNIND1.blp</v>
      </c>
      <c r="N139" s="148" t="s">
        <v>83</v>
      </c>
      <c r="O139" s="131" t="s">
        <v>88</v>
      </c>
      <c r="P139" s="8">
        <v>0</v>
      </c>
      <c r="Q139" s="8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8"/>
      <c r="W139" s="8" t="s">
        <v>89</v>
      </c>
      <c r="X139" s="8">
        <v>0</v>
      </c>
      <c r="Y139" s="148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8"/>
      <c r="AJ139" s="8"/>
      <c r="AK139" s="8">
        <v>1</v>
      </c>
      <c r="AL139" s="8">
        <v>1</v>
      </c>
      <c r="AM139" s="148" t="s">
        <v>83</v>
      </c>
      <c r="AN139" s="8">
        <v>1</v>
      </c>
      <c r="AO139" s="8">
        <v>1</v>
      </c>
      <c r="AP139" s="8">
        <v>1</v>
      </c>
    </row>
    <row r="140" spans="1:42">
      <c r="A140" s="128"/>
      <c r="B140" s="8" t="str">
        <f>物品!B140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幸运星盒</v>
      </c>
      <c r="I140" s="8" t="str">
        <f>VLOOKUP(B140,物品!B:CV,99,FALSE)</f>
        <v>开启后获得|Cffffd24d42~700木头|r或|Cffffd24d随机锦囊卡|r。|n|n|Cff00ff7f掉落时激活的星宿越多，人品越好 |r     </v>
      </c>
      <c r="J140" s="130" t="str">
        <f t="shared" si="40"/>
        <v>幸运星盒</v>
      </c>
      <c r="K140" s="130" t="str">
        <f t="shared" si="41"/>
        <v>开启后获得|Cffffd24d42~700木头|r或|Cffffd24d随机锦囊卡|r。|n|n|Cff00ff7f掉落时激活的星宿越多，人品越好 |r     </v>
      </c>
      <c r="L140" s="8"/>
      <c r="M140" s="131" t="str">
        <f>VLOOKUP(LEFT(RIGHT(B140,5),4),物品!B:CU,20,FALSE)</f>
        <v>ReplaceableTextures\\CommandButtons\\BTNIND1.blp</v>
      </c>
      <c r="N140" s="148" t="s">
        <v>83</v>
      </c>
      <c r="O140" s="131" t="s">
        <v>88</v>
      </c>
      <c r="P140" s="8">
        <v>0</v>
      </c>
      <c r="Q140" s="8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8"/>
      <c r="W140" s="8" t="s">
        <v>89</v>
      </c>
      <c r="X140" s="8">
        <v>0</v>
      </c>
      <c r="Y140" s="148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8"/>
      <c r="AJ140" s="8"/>
      <c r="AK140" s="8">
        <v>1</v>
      </c>
      <c r="AL140" s="8">
        <v>1</v>
      </c>
      <c r="AM140" s="148" t="s">
        <v>83</v>
      </c>
      <c r="AN140" s="8">
        <v>1</v>
      </c>
      <c r="AO140" s="8">
        <v>1</v>
      </c>
      <c r="AP140" s="8">
        <v>1</v>
      </c>
    </row>
    <row r="141" spans="1:42">
      <c r="A141" s="128"/>
      <c r="B141" s="8" t="str">
        <f>物品!B141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炽星魔盒</v>
      </c>
      <c r="I141" s="8" t="str">
        <f>VLOOKUP(B141,物品!B:CV,99,FALSE)</f>
        <v>开启后随机获得一张|Cffffd24d锦囊卡|r</v>
      </c>
      <c r="J141" s="130" t="str">
        <f t="shared" si="40"/>
        <v>炽星魔盒</v>
      </c>
      <c r="K141" s="130" t="str">
        <f t="shared" si="41"/>
        <v>开启后随机获得一张|Cffffd24d锦囊卡|r</v>
      </c>
      <c r="L141" s="8"/>
      <c r="M141" s="131" t="str">
        <f>VLOOKUP(LEFT(RIGHT(B141,5),4),物品!B:CU,20,FALSE)</f>
        <v>ReplaceableTextures\\CommandButtons\\BTNIND2.blp</v>
      </c>
      <c r="N141" s="148" t="s">
        <v>83</v>
      </c>
      <c r="O141" s="131" t="s">
        <v>88</v>
      </c>
      <c r="P141" s="8">
        <v>0</v>
      </c>
      <c r="Q141" s="8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8"/>
      <c r="W141" s="8" t="s">
        <v>89</v>
      </c>
      <c r="X141" s="8">
        <v>0</v>
      </c>
      <c r="Y141" s="148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8"/>
      <c r="AJ141" s="8"/>
      <c r="AK141" s="8">
        <v>1</v>
      </c>
      <c r="AL141" s="8">
        <v>1</v>
      </c>
      <c r="AM141" s="148" t="s">
        <v>83</v>
      </c>
      <c r="AN141" s="8">
        <v>1</v>
      </c>
      <c r="AO141" s="8">
        <v>1</v>
      </c>
      <c r="AP141" s="8">
        <v>1</v>
      </c>
    </row>
    <row r="142" spans="1:42">
      <c r="A142" s="128"/>
      <c r="B142" s="8" t="str">
        <f>物品!B142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幸运星盒</v>
      </c>
      <c r="I142" s="8" t="str">
        <f>VLOOKUP(B142,物品!B:CV,99,FALSE)</f>
        <v>开启后获得|Cffffd24d42~700木头|r或|Cffffd24d随机锦囊卡|r。|n|n|Cff00ff7f掉落时激活的星宿越多，人品越好 |r     </v>
      </c>
      <c r="J142" s="130" t="str">
        <f t="shared" ref="J142:J143" si="46">H142</f>
        <v>幸运星盒</v>
      </c>
      <c r="K142" s="130" t="str">
        <f t="shared" ref="K142:K143" si="47">I142</f>
        <v>开启后获得|Cffffd24d42~700木头|r或|Cffffd24d随机锦囊卡|r。|n|n|Cff00ff7f掉落时激活的星宿越多，人品越好 |r     </v>
      </c>
      <c r="L142" s="8"/>
      <c r="M142" s="131" t="str">
        <f>VLOOKUP(LEFT(RIGHT(B142,5),4),物品!B:CU,20,FALSE)</f>
        <v>ReplaceableTextures\\CommandButtons\\BTNIND1.blp</v>
      </c>
      <c r="N142" s="148" t="s">
        <v>83</v>
      </c>
      <c r="O142" s="131" t="s">
        <v>88</v>
      </c>
      <c r="P142" s="8">
        <v>0</v>
      </c>
      <c r="Q142" s="8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8"/>
      <c r="W142" s="8" t="s">
        <v>89</v>
      </c>
      <c r="X142" s="8">
        <v>0</v>
      </c>
      <c r="Y142" s="148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8"/>
      <c r="AJ142" s="8"/>
      <c r="AK142" s="8">
        <v>1</v>
      </c>
      <c r="AL142" s="8">
        <v>1</v>
      </c>
      <c r="AM142" s="148" t="s">
        <v>83</v>
      </c>
      <c r="AN142" s="8">
        <v>1</v>
      </c>
      <c r="AO142" s="8">
        <v>1</v>
      </c>
      <c r="AP142" s="8">
        <v>1</v>
      </c>
    </row>
    <row r="143" spans="1:42">
      <c r="A143" s="128"/>
      <c r="B143" s="8" t="str">
        <f>物品!B143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幸运星盒</v>
      </c>
      <c r="I143" s="8" t="str">
        <f>VLOOKUP(B143,物品!B:CV,99,FALSE)</f>
        <v>开启后获得|Cffffd24d42~700木头|r或|Cffffd24d随机锦囊卡|r。|n|n|Cff00ff7f掉落时激活的星宿越多，人品越好 |r     </v>
      </c>
      <c r="J143" s="130" t="str">
        <f t="shared" si="46"/>
        <v>幸运星盒</v>
      </c>
      <c r="K143" s="130" t="str">
        <f t="shared" si="47"/>
        <v>开启后获得|Cffffd24d42~700木头|r或|Cffffd24d随机锦囊卡|r。|n|n|Cff00ff7f掉落时激活的星宿越多，人品越好 |r     </v>
      </c>
      <c r="L143" s="8"/>
      <c r="M143" s="131" t="str">
        <f>VLOOKUP(LEFT(RIGHT(B143,5),4),物品!B:CU,20,FALSE)</f>
        <v>ReplaceableTextures\\CommandButtons\\BTNIND1.blp</v>
      </c>
      <c r="N143" s="148" t="s">
        <v>83</v>
      </c>
      <c r="O143" s="131" t="s">
        <v>88</v>
      </c>
      <c r="P143" s="8">
        <v>0</v>
      </c>
      <c r="Q143" s="8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8"/>
      <c r="W143" s="8" t="s">
        <v>89</v>
      </c>
      <c r="X143" s="8">
        <v>0</v>
      </c>
      <c r="Y143" s="148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8"/>
      <c r="AJ143" s="8"/>
      <c r="AK143" s="8">
        <v>1</v>
      </c>
      <c r="AL143" s="8">
        <v>1</v>
      </c>
      <c r="AM143" s="148" t="s">
        <v>83</v>
      </c>
      <c r="AN143" s="8">
        <v>1</v>
      </c>
      <c r="AO143" s="8">
        <v>1</v>
      </c>
      <c r="AP143" s="8">
        <v>1</v>
      </c>
    </row>
    <row r="144" spans="1:42">
      <c r="A144" s="128"/>
      <c r="B144" s="8" t="str">
        <f>物品!B144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幸运星盒</v>
      </c>
      <c r="I144" s="8" t="str">
        <f>VLOOKUP(B144,物品!B:CV,99,FALSE)</f>
        <v>开启后获得|Cffffd24d42~700木头|r或|Cffffd24d随机锦囊卡|r。|n|n|Cff00ff7f掉落时激活的星宿越多，人品越好 |r     </v>
      </c>
      <c r="J144" s="130" t="str">
        <f t="shared" ref="J144:J145" si="48">H144</f>
        <v>幸运星盒</v>
      </c>
      <c r="K144" s="130" t="str">
        <f t="shared" ref="K144:K145" si="49">I144</f>
        <v>开启后获得|Cffffd24d42~700木头|r或|Cffffd24d随机锦囊卡|r。|n|n|Cff00ff7f掉落时激活的星宿越多，人品越好 |r     </v>
      </c>
      <c r="L144" s="8"/>
      <c r="M144" s="131" t="str">
        <f>VLOOKUP(LEFT(RIGHT(B144,5),4),物品!B:CU,20,FALSE)</f>
        <v>ReplaceableTextures\\CommandButtons\\BTNIND1.blp</v>
      </c>
      <c r="N144" s="148" t="s">
        <v>83</v>
      </c>
      <c r="O144" s="131" t="s">
        <v>88</v>
      </c>
      <c r="P144" s="8">
        <v>0</v>
      </c>
      <c r="Q144" s="8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8"/>
      <c r="W144" s="8" t="s">
        <v>89</v>
      </c>
      <c r="X144" s="8">
        <v>0</v>
      </c>
      <c r="Y144" s="148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8"/>
      <c r="AJ144" s="8"/>
      <c r="AK144" s="8">
        <v>1</v>
      </c>
      <c r="AL144" s="8">
        <v>1</v>
      </c>
      <c r="AM144" s="148" t="s">
        <v>83</v>
      </c>
      <c r="AN144" s="8">
        <v>1</v>
      </c>
      <c r="AO144" s="8">
        <v>1</v>
      </c>
      <c r="AP144" s="8">
        <v>1</v>
      </c>
    </row>
    <row r="145" spans="1:42">
      <c r="A145" s="128"/>
      <c r="B145" s="8" t="str">
        <f>物品!B145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幸运星盒</v>
      </c>
      <c r="I145" s="8" t="str">
        <f>VLOOKUP(B145,物品!B:CV,99,FALSE)</f>
        <v>开启后获得|Cffffd24d42~700木头|r或|Cffffd24d随机锦囊卡|r。|n|n|Cff00ff7f掉落时激活的星宿越多，人品越好 |r     </v>
      </c>
      <c r="J145" s="130" t="str">
        <f t="shared" si="48"/>
        <v>幸运星盒</v>
      </c>
      <c r="K145" s="130" t="str">
        <f t="shared" si="49"/>
        <v>开启后获得|Cffffd24d42~700木头|r或|Cffffd24d随机锦囊卡|r。|n|n|Cff00ff7f掉落时激活的星宿越多，人品越好 |r     </v>
      </c>
      <c r="L145" s="8"/>
      <c r="M145" s="131" t="str">
        <f>VLOOKUP(LEFT(RIGHT(B145,5),4),物品!B:CU,20,FALSE)</f>
        <v>ReplaceableTextures\\CommandButtons\\BTNIND1.blp</v>
      </c>
      <c r="N145" s="148" t="s">
        <v>83</v>
      </c>
      <c r="O145" s="131" t="s">
        <v>88</v>
      </c>
      <c r="P145" s="8">
        <v>0</v>
      </c>
      <c r="Q145" s="8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8"/>
      <c r="W145" s="8" t="s">
        <v>89</v>
      </c>
      <c r="X145" s="8">
        <v>0</v>
      </c>
      <c r="Y145" s="148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8"/>
      <c r="AJ145" s="8"/>
      <c r="AK145" s="8">
        <v>1</v>
      </c>
      <c r="AL145" s="8">
        <v>1</v>
      </c>
      <c r="AM145" s="148" t="s">
        <v>83</v>
      </c>
      <c r="AN145" s="8">
        <v>1</v>
      </c>
      <c r="AO145" s="8">
        <v>1</v>
      </c>
      <c r="AP145" s="8">
        <v>1</v>
      </c>
    </row>
    <row r="146" spans="1:42">
      <c r="A146" s="128"/>
      <c r="B146" s="8" t="str">
        <f>物品!B146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幸运星盒</v>
      </c>
      <c r="I146" s="8" t="str">
        <f>VLOOKUP(B146,物品!B:CV,99,FALSE)</f>
        <v>开启后获得|Cffffd24d42~700木头|r或|Cffffd24d随机锦囊卡|r。|n|n|Cff00ff7f掉落时激活的星宿越多，人品越好 |r     </v>
      </c>
      <c r="J146" s="130" t="str">
        <f t="shared" si="40"/>
        <v>幸运星盒</v>
      </c>
      <c r="K146" s="130" t="str">
        <f t="shared" si="41"/>
        <v>开启后获得|Cffffd24d42~700木头|r或|Cffffd24d随机锦囊卡|r。|n|n|Cff00ff7f掉落时激活的星宿越多，人品越好 |r     </v>
      </c>
      <c r="L146" s="8"/>
      <c r="M146" s="131" t="str">
        <f>VLOOKUP(LEFT(RIGHT(B146,5),4),物品!B:CU,20,FALSE)</f>
        <v>ReplaceableTextures\\CommandButtons\\BTNIND1.blp</v>
      </c>
      <c r="N146" s="148" t="s">
        <v>83</v>
      </c>
      <c r="O146" s="131" t="s">
        <v>88</v>
      </c>
      <c r="P146" s="8">
        <v>0</v>
      </c>
      <c r="Q146" s="8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8"/>
      <c r="W146" s="8" t="s">
        <v>89</v>
      </c>
      <c r="X146" s="8">
        <v>0</v>
      </c>
      <c r="Y146" s="148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8"/>
      <c r="AJ146" s="8"/>
      <c r="AK146" s="8">
        <v>1</v>
      </c>
      <c r="AL146" s="8">
        <v>1</v>
      </c>
      <c r="AM146" s="148" t="s">
        <v>83</v>
      </c>
      <c r="AN146" s="8">
        <v>1</v>
      </c>
      <c r="AO146" s="8">
        <v>1</v>
      </c>
      <c r="AP146" s="8">
        <v>1</v>
      </c>
    </row>
    <row r="147" spans="1:42">
      <c r="A147" s="128"/>
      <c r="B147" s="8" t="str">
        <f>物品!B147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炽星魔盒</v>
      </c>
      <c r="I147" s="8" t="str">
        <f>VLOOKUP(B147,物品!B:CV,99,FALSE)</f>
        <v>开启后随机获得一张|Cffffd24d锦囊卡|r</v>
      </c>
      <c r="J147" s="130" t="str">
        <f t="shared" ref="J147" si="50">H147</f>
        <v>炽星魔盒</v>
      </c>
      <c r="K147" s="130" t="str">
        <f t="shared" ref="K147" si="51">I147</f>
        <v>开启后随机获得一张|Cffffd24d锦囊卡|r</v>
      </c>
      <c r="L147" s="8"/>
      <c r="M147" s="131" t="str">
        <f>VLOOKUP(LEFT(RIGHT(B147,5),4),物品!B:CU,20,FALSE)</f>
        <v>ReplaceableTextures\\CommandButtons\\BTNIND2.blp</v>
      </c>
      <c r="N147" s="148" t="s">
        <v>83</v>
      </c>
      <c r="O147" s="131" t="s">
        <v>88</v>
      </c>
      <c r="P147" s="8">
        <v>0</v>
      </c>
      <c r="Q147" s="8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8"/>
      <c r="W147" s="8" t="s">
        <v>89</v>
      </c>
      <c r="X147" s="8">
        <v>0</v>
      </c>
      <c r="Y147" s="148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8"/>
      <c r="AJ147" s="8"/>
      <c r="AK147" s="8">
        <v>1</v>
      </c>
      <c r="AL147" s="8">
        <v>1</v>
      </c>
      <c r="AM147" s="148" t="s">
        <v>83</v>
      </c>
      <c r="AN147" s="8">
        <v>1</v>
      </c>
      <c r="AO147" s="8">
        <v>1</v>
      </c>
      <c r="AP147" s="8">
        <v>1</v>
      </c>
    </row>
    <row r="148" spans="1:42">
      <c r="A148" s="128"/>
      <c r="B148" s="8" t="str">
        <f>物品!B148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锦囊</v>
      </c>
      <c r="I148" s="8" t="str">
        <f>VLOOKUP(B148,物品!B:CV,99,FALSE)</f>
        <v>开出一个随机锦囊</v>
      </c>
      <c r="J148" s="130" t="str">
        <f t="shared" si="40"/>
        <v>锦囊</v>
      </c>
      <c r="K148" s="130" t="str">
        <f t="shared" si="41"/>
        <v>开出一个随机锦囊</v>
      </c>
      <c r="L148" s="8"/>
      <c r="M148" s="131" t="str">
        <f>VLOOKUP(LEFT(RIGHT(B148,5),4),物品!B:CU,20,FALSE)</f>
        <v>ReplaceableTextures\\CommandButtons\\BTNIN00.blp</v>
      </c>
      <c r="N148" s="148" t="s">
        <v>83</v>
      </c>
      <c r="O148" s="131" t="s">
        <v>88</v>
      </c>
      <c r="P148" s="8">
        <v>0</v>
      </c>
      <c r="Q148" s="8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8"/>
      <c r="W148" s="8" t="s">
        <v>89</v>
      </c>
      <c r="X148" s="8">
        <v>0</v>
      </c>
      <c r="Y148" s="148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8"/>
      <c r="AJ148" s="8"/>
      <c r="AK148" s="8">
        <v>1</v>
      </c>
      <c r="AL148" s="8">
        <v>1</v>
      </c>
      <c r="AM148" s="148" t="s">
        <v>83</v>
      </c>
      <c r="AN148" s="8">
        <v>1</v>
      </c>
      <c r="AO148" s="8">
        <v>1</v>
      </c>
      <c r="AP148" s="8">
        <v>1</v>
      </c>
    </row>
    <row r="149" spans="1:42">
      <c r="A149" s="128"/>
      <c r="B149" s="8" t="str">
        <f>物品!B149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快乐刷Q</v>
      </c>
      <c r="I149" s="8" t="str">
        <f>VLOOKUP(B149,物品!B:CV,99,FALSE)</f>
        <v>为|Cffffd24d当前的Q技能|r附魔随机效果。|n|n|Cff00ff7f替换技能后，附魔效果消失。|r</v>
      </c>
      <c r="J149" s="130" t="str">
        <f t="shared" si="40"/>
        <v>快乐刷Q</v>
      </c>
      <c r="K149" s="130" t="str">
        <f t="shared" si="41"/>
        <v>为|Cffffd24d当前的Q技能|r附魔随机效果。|n|n|Cff00ff7f替换技能后，附魔效果消失。|r</v>
      </c>
      <c r="L149" s="8"/>
      <c r="M149" s="131" t="str">
        <f>VLOOKUP(LEFT(RIGHT(B149,5),4),物品!B:CU,20,FALSE)</f>
        <v>ReplaceableTextures\\CommandButtons\\BTNIN01.blp</v>
      </c>
      <c r="N149" s="148" t="s">
        <v>83</v>
      </c>
      <c r="O149" s="131" t="s">
        <v>88</v>
      </c>
      <c r="P149" s="8">
        <v>0</v>
      </c>
      <c r="Q149" s="8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8"/>
      <c r="W149" s="8" t="s">
        <v>89</v>
      </c>
      <c r="X149" s="8">
        <v>0</v>
      </c>
      <c r="Y149" s="148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8"/>
      <c r="AJ149" s="8"/>
      <c r="AK149" s="8">
        <v>1</v>
      </c>
      <c r="AL149" s="8">
        <v>1</v>
      </c>
      <c r="AM149" s="148" t="s">
        <v>83</v>
      </c>
      <c r="AN149" s="8">
        <v>1</v>
      </c>
      <c r="AO149" s="8">
        <v>1</v>
      </c>
      <c r="AP149" s="8">
        <v>1</v>
      </c>
    </row>
    <row r="150" spans="1:42">
      <c r="A150" s="128"/>
      <c r="B150" s="8" t="str">
        <f>物品!B150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快乐刷W</v>
      </c>
      <c r="I150" s="8" t="str">
        <f>VLOOKUP(B150,物品!B:CV,99,FALSE)</f>
        <v>为|Cffffd24d当前的W技能|r附魔随机效果。|n|n|Cff00ff7f替换技能后，附魔效果消失。|r</v>
      </c>
      <c r="J150" s="130" t="str">
        <f t="shared" si="40"/>
        <v>快乐刷W</v>
      </c>
      <c r="K150" s="130" t="str">
        <f t="shared" si="41"/>
        <v>为|Cffffd24d当前的W技能|r附魔随机效果。|n|n|Cff00ff7f替换技能后，附魔效果消失。|r</v>
      </c>
      <c r="L150" s="8"/>
      <c r="M150" s="131" t="str">
        <f>VLOOKUP(LEFT(RIGHT(B150,5),4),物品!B:CU,20,FALSE)</f>
        <v>ReplaceableTextures\\CommandButtons\\BTNIN02.blp</v>
      </c>
      <c r="N150" s="148" t="s">
        <v>83</v>
      </c>
      <c r="O150" s="131" t="s">
        <v>88</v>
      </c>
      <c r="P150" s="8">
        <v>0</v>
      </c>
      <c r="Q150" s="8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8"/>
      <c r="W150" s="8" t="s">
        <v>89</v>
      </c>
      <c r="X150" s="8">
        <v>0</v>
      </c>
      <c r="Y150" s="148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8"/>
      <c r="AJ150" s="8"/>
      <c r="AK150" s="8">
        <v>1</v>
      </c>
      <c r="AL150" s="8">
        <v>1</v>
      </c>
      <c r="AM150" s="148" t="s">
        <v>83</v>
      </c>
      <c r="AN150" s="8">
        <v>1</v>
      </c>
      <c r="AO150" s="8">
        <v>1</v>
      </c>
      <c r="AP150" s="8">
        <v>1</v>
      </c>
    </row>
    <row r="151" spans="1:42">
      <c r="A151" s="128"/>
      <c r="B151" s="8" t="str">
        <f>物品!B151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VLOOKUP(LEFT(RIGHT(B151,5),4),物品!B:CU,2,FALSE)</f>
        <v>快乐刷E</v>
      </c>
      <c r="I151" s="8" t="str">
        <f>VLOOKUP(B151,物品!B:CV,99,FALSE)</f>
        <v>为|Cffffd24d当前的E技能|r附魔随机效果。|n|n|Cff00ff7f替换技能后，附魔效果消失。|r</v>
      </c>
      <c r="J151" s="130" t="str">
        <f t="shared" ref="J151:J158" si="52">H151</f>
        <v>快乐刷E</v>
      </c>
      <c r="K151" s="130" t="str">
        <f t="shared" ref="K151:K158" si="53">I151</f>
        <v>为|Cffffd24d当前的E技能|r附魔随机效果。|n|n|Cff00ff7f替换技能后，附魔效果消失。|r</v>
      </c>
      <c r="L151" s="8"/>
      <c r="M151" s="131" t="str">
        <f>VLOOKUP(LEFT(RIGHT(B151,5),4),物品!B:CU,20,FALSE)</f>
        <v>ReplaceableTextures\\CommandButtons\\BTNIN03.blp</v>
      </c>
      <c r="N151" s="148" t="s">
        <v>83</v>
      </c>
      <c r="O151" s="131" t="s">
        <v>88</v>
      </c>
      <c r="P151" s="8">
        <v>0</v>
      </c>
      <c r="Q151" s="8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8"/>
      <c r="W151" s="8" t="s">
        <v>89</v>
      </c>
      <c r="X151" s="8">
        <v>0</v>
      </c>
      <c r="Y151" s="148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8"/>
      <c r="AJ151" s="8"/>
      <c r="AK151" s="8">
        <v>1</v>
      </c>
      <c r="AL151" s="8">
        <v>1</v>
      </c>
      <c r="AM151" s="148" t="s">
        <v>83</v>
      </c>
      <c r="AN151" s="8">
        <v>1</v>
      </c>
      <c r="AO151" s="8">
        <v>1</v>
      </c>
      <c r="AP151" s="8">
        <v>1</v>
      </c>
    </row>
    <row r="152" spans="1:42">
      <c r="A152" s="128"/>
      <c r="B152" s="8" t="str">
        <f>物品!B152</f>
        <v>IN04</v>
      </c>
      <c r="C152" s="8" t="s">
        <v>41</v>
      </c>
      <c r="D152" s="8" t="s">
        <v>81</v>
      </c>
      <c r="E152" s="8" t="s">
        <v>92</v>
      </c>
      <c r="F152" s="8"/>
      <c r="G152" s="8"/>
      <c r="H152" s="8" t="str">
        <f>VLOOKUP(LEFT(RIGHT(B152,5),4),物品!B:CU,2,FALSE)</f>
        <v>九重锻神丹</v>
      </c>
      <c r="I152" s="8" t="str">
        <f>VLOOKUP(B152,物品!B:CV,99,FALSE)</f>
        <v>秒杀|Cffffc926雷神化身|n|n|r|Cff00ff7f雷神化身：|n|r渡劫NPC-九重锻神劫Boss</v>
      </c>
      <c r="J152" s="130" t="str">
        <f t="shared" ref="J152:J155" si="54">H152</f>
        <v>九重锻神丹</v>
      </c>
      <c r="K152" s="130" t="str">
        <f t="shared" ref="K152:K155" si="55">I152</f>
        <v>秒杀|Cffffc926雷神化身|n|n|r|Cff00ff7f雷神化身：|n|r渡劫NPC-九重锻神劫Boss</v>
      </c>
      <c r="L152" s="8"/>
      <c r="M152" s="131" t="str">
        <f>VLOOKUP(LEFT(RIGHT(B152,5),4),物品!B:CU,20,FALSE)</f>
        <v>ReplaceableTextures\\CommandButtons\\BTNIN04.blp</v>
      </c>
      <c r="N152" s="148" t="s">
        <v>83</v>
      </c>
      <c r="O152" s="131" t="s">
        <v>88</v>
      </c>
      <c r="P152" s="8">
        <v>0</v>
      </c>
      <c r="Q152" s="8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8"/>
      <c r="W152" s="8" t="s">
        <v>89</v>
      </c>
      <c r="X152" s="8">
        <v>0</v>
      </c>
      <c r="Y152" s="148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8"/>
      <c r="AJ152" s="8"/>
      <c r="AK152" s="8">
        <v>1</v>
      </c>
      <c r="AL152" s="8">
        <v>1</v>
      </c>
      <c r="AM152" s="148" t="s">
        <v>83</v>
      </c>
      <c r="AN152" s="8">
        <v>1</v>
      </c>
      <c r="AO152" s="8">
        <v>1</v>
      </c>
      <c r="AP152" s="8">
        <v>1</v>
      </c>
    </row>
    <row r="153" spans="1:42">
      <c r="A153" s="128"/>
      <c r="B153" s="8" t="str">
        <f>物品!B153</f>
        <v>IN05</v>
      </c>
      <c r="C153" s="8" t="s">
        <v>41</v>
      </c>
      <c r="D153" s="8" t="s">
        <v>81</v>
      </c>
      <c r="E153" s="8" t="s">
        <v>93</v>
      </c>
      <c r="F153" s="8"/>
      <c r="G153" s="8"/>
      <c r="H153" s="8" t="str">
        <f>VLOOKUP(LEFT(RIGHT(B153,5),4),物品!B:CU,2,FALSE)</f>
        <v>灭魄血煞丹</v>
      </c>
      <c r="I153" s="8" t="str">
        <f>VLOOKUP(B153,物品!B:CV,99,FALSE)</f>
        <v>秒杀|Cffffc926灾厄|n|n|r|Cff00ff7f灾厄：|n|r渡劫NPC-灭魄血煞劫Boss</v>
      </c>
      <c r="J153" s="130" t="str">
        <f t="shared" si="54"/>
        <v>灭魄血煞丹</v>
      </c>
      <c r="K153" s="130" t="str">
        <f t="shared" si="55"/>
        <v>秒杀|Cffffc926灾厄|n|n|r|Cff00ff7f灾厄：|n|r渡劫NPC-灭魄血煞劫Boss</v>
      </c>
      <c r="L153" s="8"/>
      <c r="M153" s="131" t="str">
        <f>VLOOKUP(LEFT(RIGHT(B153,5),4),物品!B:CU,20,FALSE)</f>
        <v>ReplaceableTextures\\CommandButtons\\BTNIN05.blp</v>
      </c>
      <c r="N153" s="148" t="s">
        <v>83</v>
      </c>
      <c r="O153" s="131" t="s">
        <v>88</v>
      </c>
      <c r="P153" s="8">
        <v>0</v>
      </c>
      <c r="Q153" s="8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8"/>
      <c r="W153" s="8" t="s">
        <v>89</v>
      </c>
      <c r="X153" s="8">
        <v>0</v>
      </c>
      <c r="Y153" s="148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8"/>
      <c r="AJ153" s="8"/>
      <c r="AK153" s="8">
        <v>1</v>
      </c>
      <c r="AL153" s="8">
        <v>1</v>
      </c>
      <c r="AM153" s="148" t="s">
        <v>83</v>
      </c>
      <c r="AN153" s="8">
        <v>1</v>
      </c>
      <c r="AO153" s="8">
        <v>1</v>
      </c>
      <c r="AP153" s="8">
        <v>1</v>
      </c>
    </row>
    <row r="154" spans="1:42">
      <c r="A154" s="128"/>
      <c r="B154" s="8" t="str">
        <f>物品!B154</f>
        <v>IN06</v>
      </c>
      <c r="C154" s="8" t="s">
        <v>41</v>
      </c>
      <c r="D154" s="8" t="s">
        <v>81</v>
      </c>
      <c r="E154" s="8" t="s">
        <v>94</v>
      </c>
      <c r="F154" s="8"/>
      <c r="G154" s="8"/>
      <c r="H154" s="8" t="str">
        <f>VLOOKUP(LEFT(RIGHT(B154,5),4),物品!B:CU,2,FALSE)</f>
        <v>入微洞虚丹</v>
      </c>
      <c r="I154" s="8" t="str">
        <f>VLOOKUP(B154,物品!B:CV,99,FALSE)</f>
        <v>秒杀|Cffffc926芥子魔|n|n|r|Cff00ff7f芥子魔：|n|r渡劫NPC-入微洞虚劫Boss</v>
      </c>
      <c r="J154" s="130" t="str">
        <f t="shared" si="54"/>
        <v>入微洞虚丹</v>
      </c>
      <c r="K154" s="130" t="str">
        <f t="shared" si="55"/>
        <v>秒杀|Cffffc926芥子魔|n|n|r|Cff00ff7f芥子魔：|n|r渡劫NPC-入微洞虚劫Boss</v>
      </c>
      <c r="L154" s="8"/>
      <c r="M154" s="131" t="str">
        <f>VLOOKUP(LEFT(RIGHT(B154,5),4),物品!B:CU,20,FALSE)</f>
        <v>ReplaceableTextures\\CommandButtons\\BTNIN06.blp</v>
      </c>
      <c r="N154" s="148" t="s">
        <v>83</v>
      </c>
      <c r="O154" s="131" t="s">
        <v>88</v>
      </c>
      <c r="P154" s="8">
        <v>0</v>
      </c>
      <c r="Q154" s="8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8"/>
      <c r="W154" s="8" t="s">
        <v>89</v>
      </c>
      <c r="X154" s="8">
        <v>0</v>
      </c>
      <c r="Y154" s="148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8"/>
      <c r="AJ154" s="8"/>
      <c r="AK154" s="8">
        <v>1</v>
      </c>
      <c r="AL154" s="8">
        <v>1</v>
      </c>
      <c r="AM154" s="148" t="s">
        <v>83</v>
      </c>
      <c r="AN154" s="8">
        <v>1</v>
      </c>
      <c r="AO154" s="8">
        <v>1</v>
      </c>
      <c r="AP154" s="8">
        <v>1</v>
      </c>
    </row>
    <row r="155" spans="1:42">
      <c r="A155" s="128"/>
      <c r="B155" s="8" t="str">
        <f>物品!B155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来份快餐</v>
      </c>
      <c r="I155" s="8" t="str">
        <f>VLOOKUP(B155,物品!B:CV,99,FALSE)</f>
        <v>每秒回复|Cffffd24d10%|r生命值，持续|Cffffd24d10|r秒</v>
      </c>
      <c r="J155" s="130" t="str">
        <f t="shared" si="54"/>
        <v>来份快餐</v>
      </c>
      <c r="K155" s="130" t="str">
        <f t="shared" si="55"/>
        <v>每秒回复|Cffffd24d10%|r生命值，持续|Cffffd24d10|r秒</v>
      </c>
      <c r="L155" s="8"/>
      <c r="M155" s="131" t="str">
        <f>VLOOKUP(LEFT(RIGHT(B155,5),4),物品!B:CU,20,FALSE)</f>
        <v>ReplaceableTextures\\CommandButtons\\BTNIN07.blp</v>
      </c>
      <c r="N155" s="148" t="s">
        <v>83</v>
      </c>
      <c r="O155" s="131" t="s">
        <v>88</v>
      </c>
      <c r="P155" s="8">
        <v>0</v>
      </c>
      <c r="Q155" s="8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8"/>
      <c r="W155" s="8" t="s">
        <v>89</v>
      </c>
      <c r="X155" s="8">
        <v>0</v>
      </c>
      <c r="Y155" s="148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8"/>
      <c r="AJ155" s="8"/>
      <c r="AK155" s="8">
        <v>1</v>
      </c>
      <c r="AL155" s="8">
        <v>1</v>
      </c>
      <c r="AM155" s="148" t="s">
        <v>83</v>
      </c>
      <c r="AN155" s="8">
        <v>1</v>
      </c>
      <c r="AO155" s="8">
        <v>1</v>
      </c>
      <c r="AP155" s="8">
        <v>1</v>
      </c>
    </row>
    <row r="156" spans="1:42">
      <c r="A156" s="128"/>
      <c r="B156" s="8" t="str">
        <f>物品!B156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抬你一手</v>
      </c>
      <c r="I156" s="8" t="str">
        <f>VLOOKUP(B156,物品!B:CV,99,FALSE)</f>
        <v>|CffFFC926击杀|r当前存在的|Cffffc926进攻怪|r和|Cffffc926Boss|r。|n|n|Cff00ff7f无法在大决战时使用|r</v>
      </c>
      <c r="J156" s="130" t="str">
        <f t="shared" si="52"/>
        <v>抬你一手</v>
      </c>
      <c r="K156" s="130" t="str">
        <f t="shared" si="53"/>
        <v>|CffFFC926击杀|r当前存在的|Cffffc926进攻怪|r和|Cffffc926Boss|r。|n|n|Cff00ff7f无法在大决战时使用|r</v>
      </c>
      <c r="L156" s="8"/>
      <c r="M156" s="131" t="str">
        <f>VLOOKUP(LEFT(RIGHT(B156,5),4),物品!B:CU,20,FALSE)</f>
        <v>ReplaceableTextures\\CommandButtons\\BTNIN08.blp</v>
      </c>
      <c r="N156" s="148" t="s">
        <v>83</v>
      </c>
      <c r="O156" s="131" t="s">
        <v>88</v>
      </c>
      <c r="P156" s="8">
        <v>0</v>
      </c>
      <c r="Q156" s="8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8"/>
      <c r="W156" s="8" t="s">
        <v>89</v>
      </c>
      <c r="X156" s="8">
        <v>0</v>
      </c>
      <c r="Y156" s="148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8"/>
      <c r="AJ156" s="8"/>
      <c r="AK156" s="8">
        <v>1</v>
      </c>
      <c r="AL156" s="8">
        <v>1</v>
      </c>
      <c r="AM156" s="148" t="s">
        <v>83</v>
      </c>
      <c r="AN156" s="8">
        <v>1</v>
      </c>
      <c r="AO156" s="8">
        <v>1</v>
      </c>
      <c r="AP156" s="8">
        <v>1</v>
      </c>
    </row>
    <row r="157" spans="1:42">
      <c r="A157" s="128"/>
      <c r="B157" s="8" t="str">
        <f>物品!B157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死者苏生</v>
      </c>
      <c r="I157" s="8" t="str">
        <f>VLOOKUP(B157,物品!B:CV,99,FALSE)</f>
        <v>死亡时复活。</v>
      </c>
      <c r="J157" s="130" t="str">
        <f t="shared" si="52"/>
        <v>死者苏生</v>
      </c>
      <c r="K157" s="130" t="str">
        <f t="shared" si="53"/>
        <v>死亡时复活。</v>
      </c>
      <c r="L157" s="8"/>
      <c r="M157" s="131" t="str">
        <f>VLOOKUP(LEFT(RIGHT(B157,5),4),物品!B:CU,20,FALSE)</f>
        <v>ReplaceableTextures\\CommandButtons\\BTNIN09.blp</v>
      </c>
      <c r="N157" s="148" t="s">
        <v>83</v>
      </c>
      <c r="O157" s="131" t="s">
        <v>88</v>
      </c>
      <c r="P157" s="8">
        <v>0</v>
      </c>
      <c r="Q157" s="8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8"/>
      <c r="W157" s="8" t="s">
        <v>89</v>
      </c>
      <c r="X157" s="8">
        <v>0</v>
      </c>
      <c r="Y157" s="148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8"/>
      <c r="AJ157" s="8"/>
      <c r="AK157" s="8">
        <v>1</v>
      </c>
      <c r="AL157" s="8">
        <v>1</v>
      </c>
      <c r="AM157" s="148" t="s">
        <v>83</v>
      </c>
      <c r="AN157" s="8">
        <v>1</v>
      </c>
      <c r="AO157" s="8">
        <v>1</v>
      </c>
      <c r="AP157" s="8">
        <v>1</v>
      </c>
    </row>
    <row r="158" spans="1:42">
      <c r="A158" s="128"/>
      <c r="B158" s="8" t="str">
        <f>物品!B158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福娃这么可爱..</v>
      </c>
      <c r="I158" s="8" t="str">
        <f>VLOOKUP(B158,物品!B:CV,99,FALSE)</f>
        <v>点金一个|Cffffd24d练功房福娃|r，获得|Cffffd24d100|r倍金币奖励</v>
      </c>
      <c r="J158" s="130" t="str">
        <f t="shared" si="52"/>
        <v>福娃这么可爱..</v>
      </c>
      <c r="K158" s="130" t="str">
        <f t="shared" si="53"/>
        <v>点金一个|Cffffd24d练功房福娃|r，获得|Cffffd24d100|r倍金币奖励</v>
      </c>
      <c r="L158" s="8"/>
      <c r="M158" s="131" t="str">
        <f>VLOOKUP(LEFT(RIGHT(B158,5),4),物品!B:CU,20,FALSE)</f>
        <v>ReplaceableTextures\\CommandButtons\\BTNIN10.blp</v>
      </c>
      <c r="N158" s="148" t="s">
        <v>83</v>
      </c>
      <c r="O158" s="131" t="s">
        <v>88</v>
      </c>
      <c r="P158" s="8">
        <v>0</v>
      </c>
      <c r="Q158" s="8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8"/>
      <c r="W158" s="8" t="s">
        <v>89</v>
      </c>
      <c r="X158" s="8">
        <v>0</v>
      </c>
      <c r="Y158" s="148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8"/>
      <c r="AJ158" s="8"/>
      <c r="AK158" s="8">
        <v>1</v>
      </c>
      <c r="AL158" s="8">
        <v>1</v>
      </c>
      <c r="AM158" s="148" t="s">
        <v>83</v>
      </c>
      <c r="AN158" s="8">
        <v>1</v>
      </c>
      <c r="AO158" s="8">
        <v>1</v>
      </c>
      <c r="AP158" s="8">
        <v>1</v>
      </c>
    </row>
    <row r="159" spans="1:42">
      <c r="A159" s="128"/>
      <c r="B159" s="8" t="str">
        <f>物品!B159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奥里给Lo他</v>
      </c>
      <c r="I159" s="8" t="str">
        <f>VLOOKUP(B159,物品!B:CV,99,FALSE)</f>
        <v>|CffFFD24D5|r秒内提高|Cffffd24d100%|r物理伤害</v>
      </c>
      <c r="J159" s="130" t="str">
        <f t="shared" ref="J159:J165" si="56">H159</f>
        <v>奥里给Lo他</v>
      </c>
      <c r="K159" s="130" t="str">
        <f t="shared" ref="K159:K165" si="57">I159</f>
        <v>|CffFFD24D5|r秒内提高|Cffffd24d100%|r物理伤害</v>
      </c>
      <c r="L159" s="8"/>
      <c r="M159" s="131" t="str">
        <f>VLOOKUP(LEFT(RIGHT(B159,5),4),物品!B:CU,20,FALSE)</f>
        <v>ReplaceableTextures\\CommandButtons\\BTNIN11.blp</v>
      </c>
      <c r="N159" s="148" t="s">
        <v>83</v>
      </c>
      <c r="O159" s="131" t="s">
        <v>88</v>
      </c>
      <c r="P159" s="8">
        <v>0</v>
      </c>
      <c r="Q159" s="8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8"/>
      <c r="W159" s="8" t="s">
        <v>89</v>
      </c>
      <c r="X159" s="8">
        <v>0</v>
      </c>
      <c r="Y159" s="148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8"/>
      <c r="AJ159" s="8"/>
      <c r="AK159" s="8">
        <v>1</v>
      </c>
      <c r="AL159" s="8">
        <v>1</v>
      </c>
      <c r="AM159" s="148" t="s">
        <v>83</v>
      </c>
      <c r="AN159" s="8">
        <v>1</v>
      </c>
      <c r="AO159" s="8">
        <v>1</v>
      </c>
      <c r="AP159" s="8">
        <v>1</v>
      </c>
    </row>
    <row r="160" spans="1:42">
      <c r="A160" s="128"/>
      <c r="B160" s="8" t="str">
        <f>物品!B160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VLOOKUP(LEFT(RIGHT(B160,5),4),物品!B:CU,2,FALSE)</f>
        <v>以逸待劳</v>
      </c>
      <c r="I160" s="8" t="str">
        <f>VLOOKUP(B160,物品!B:CV,99,FALSE)</f>
        <v>在|Cffffd24d基地-周文王|r附近召唤|Cffffd24d1|r个|Cffffd24d黑市商店|r，仅存在|Cffffd24d30|r秒。</v>
      </c>
      <c r="J160" s="130" t="str">
        <f t="shared" si="56"/>
        <v>以逸待劳</v>
      </c>
      <c r="K160" s="130" t="str">
        <f t="shared" si="57"/>
        <v>在|Cffffd24d基地-周文王|r附近召唤|Cffffd24d1|r个|Cffffd24d黑市商店|r，仅存在|Cffffd24d30|r秒。</v>
      </c>
      <c r="L160" s="8"/>
      <c r="M160" s="131" t="str">
        <f>VLOOKUP(LEFT(RIGHT(B160,5),4),物品!B:CU,20,FALSE)</f>
        <v>ReplaceableTextures\\CommandButtons\\BTNIN12.blp</v>
      </c>
      <c r="N160" s="148" t="s">
        <v>83</v>
      </c>
      <c r="O160" s="131" t="s">
        <v>88</v>
      </c>
      <c r="P160" s="8">
        <v>0</v>
      </c>
      <c r="Q160" s="8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8"/>
      <c r="W160" s="8" t="s">
        <v>89</v>
      </c>
      <c r="X160" s="8">
        <v>0</v>
      </c>
      <c r="Y160" s="148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8"/>
      <c r="AJ160" s="8"/>
      <c r="AK160" s="8">
        <v>1</v>
      </c>
      <c r="AL160" s="8">
        <v>1</v>
      </c>
      <c r="AM160" s="148" t="s">
        <v>83</v>
      </c>
      <c r="AN160" s="8">
        <v>1</v>
      </c>
      <c r="AO160" s="8">
        <v>1</v>
      </c>
      <c r="AP160" s="8">
        <v>1</v>
      </c>
    </row>
    <row r="161" spans="1:42">
      <c r="A161" s="128"/>
      <c r="B161" s="8" t="str">
        <f>物品!B161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VLOOKUP(LEFT(RIGHT(B161,5),4),物品!B:CU,2,FALSE)</f>
        <v>全军出击</v>
      </c>
      <c r="I161" s="8" t="str">
        <f>VLOOKUP(B161,物品!B:CV,99,FALSE)</f>
        <v>场上存活的队友|Cffffd24d10|r秒内提高|Cffffd24d30%|r法术伤害</v>
      </c>
      <c r="J161" s="130" t="str">
        <f t="shared" si="56"/>
        <v>全军出击</v>
      </c>
      <c r="K161" s="130" t="str">
        <f t="shared" si="57"/>
        <v>场上存活的队友|Cffffd24d10|r秒内提高|Cffffd24d30%|r法术伤害</v>
      </c>
      <c r="L161" s="8"/>
      <c r="M161" s="131" t="str">
        <f>VLOOKUP(LEFT(RIGHT(B161,5),4),物品!B:CU,20,FALSE)</f>
        <v>ReplaceableTextures\\CommandButtons\\BTNIN13.blp</v>
      </c>
      <c r="N161" s="148" t="s">
        <v>83</v>
      </c>
      <c r="O161" s="131" t="s">
        <v>88</v>
      </c>
      <c r="P161" s="8">
        <v>0</v>
      </c>
      <c r="Q161" s="8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8"/>
      <c r="W161" s="8" t="s">
        <v>89</v>
      </c>
      <c r="X161" s="8">
        <v>0</v>
      </c>
      <c r="Y161" s="148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8"/>
      <c r="AJ161" s="8"/>
      <c r="AK161" s="8">
        <v>1</v>
      </c>
      <c r="AL161" s="8">
        <v>1</v>
      </c>
      <c r="AM161" s="148" t="s">
        <v>83</v>
      </c>
      <c r="AN161" s="8">
        <v>1</v>
      </c>
      <c r="AO161" s="8">
        <v>1</v>
      </c>
      <c r="AP161" s="8">
        <v>1</v>
      </c>
    </row>
    <row r="162" spans="1:42">
      <c r="A162" s="128"/>
      <c r="B162" s="8" t="str">
        <f>物品!B162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VLOOKUP(LEFT(RIGHT(B162,5),4),物品!B:CU,2,FALSE)</f>
        <v>心跳时刻</v>
      </c>
      <c r="I162" s="8" t="str">
        <f>VLOOKUP(B162,物品!B:CV,99,FALSE)</f>
        <v>使用后基地无敌|Cffffd24d5|r秒。</v>
      </c>
      <c r="J162" s="130" t="str">
        <f t="shared" si="56"/>
        <v>心跳时刻</v>
      </c>
      <c r="K162" s="130" t="str">
        <f t="shared" si="57"/>
        <v>使用后基地无敌|Cffffd24d5|r秒。</v>
      </c>
      <c r="L162" s="8"/>
      <c r="M162" s="131" t="str">
        <f>VLOOKUP(LEFT(RIGHT(B162,5),4),物品!B:CU,20,FALSE)</f>
        <v>ReplaceableTextures\\CommandButtons\\BTNIN14.blp</v>
      </c>
      <c r="N162" s="148" t="s">
        <v>83</v>
      </c>
      <c r="O162" s="131" t="s">
        <v>88</v>
      </c>
      <c r="P162" s="8">
        <v>0</v>
      </c>
      <c r="Q162" s="8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8"/>
      <c r="W162" s="8" t="s">
        <v>89</v>
      </c>
      <c r="X162" s="8">
        <v>0</v>
      </c>
      <c r="Y162" s="148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8"/>
      <c r="AJ162" s="8"/>
      <c r="AK162" s="8">
        <v>1</v>
      </c>
      <c r="AL162" s="8">
        <v>1</v>
      </c>
      <c r="AM162" s="148" t="s">
        <v>83</v>
      </c>
      <c r="AN162" s="8">
        <v>1</v>
      </c>
      <c r="AO162" s="8">
        <v>1</v>
      </c>
      <c r="AP162" s="8">
        <v>1</v>
      </c>
    </row>
    <row r="163" spans="1:42">
      <c r="A163" s="128"/>
      <c r="B163" s="8" t="str">
        <f>物品!B163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VLOOKUP(LEFT(RIGHT(B163,5),4),物品!B:CU,2,FALSE)</f>
        <v>据守</v>
      </c>
      <c r="I163" s="8" t="str">
        <f>VLOOKUP(B163,物品!B:CV,99,FALSE)</f>
        <v>场上存活的队友|Cffffd24d10|r秒内减少|Cffffd24d20%|r承受伤害</v>
      </c>
      <c r="J163" s="130" t="str">
        <f t="shared" si="56"/>
        <v>据守</v>
      </c>
      <c r="K163" s="130" t="str">
        <f t="shared" si="57"/>
        <v>场上存活的队友|Cffffd24d10|r秒内减少|Cffffd24d20%|r承受伤害</v>
      </c>
      <c r="L163" s="8"/>
      <c r="M163" s="131" t="str">
        <f>VLOOKUP(LEFT(RIGHT(B163,5),4),物品!B:CU,20,FALSE)</f>
        <v>ReplaceableTextures\\CommandButtons\\BTNIN15.blp</v>
      </c>
      <c r="N163" s="148" t="s">
        <v>83</v>
      </c>
      <c r="O163" s="131" t="s">
        <v>88</v>
      </c>
      <c r="P163" s="8">
        <v>0</v>
      </c>
      <c r="Q163" s="8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8"/>
      <c r="W163" s="8" t="s">
        <v>89</v>
      </c>
      <c r="X163" s="8">
        <v>0</v>
      </c>
      <c r="Y163" s="148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8"/>
      <c r="AJ163" s="8"/>
      <c r="AK163" s="8">
        <v>1</v>
      </c>
      <c r="AL163" s="8">
        <v>1</v>
      </c>
      <c r="AM163" s="148" t="s">
        <v>83</v>
      </c>
      <c r="AN163" s="8">
        <v>1</v>
      </c>
      <c r="AO163" s="8">
        <v>1</v>
      </c>
      <c r="AP163" s="8">
        <v>1</v>
      </c>
    </row>
    <row r="164" spans="1:42">
      <c r="A164" s="128"/>
      <c r="B164" s="8" t="str">
        <f>物品!B164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VLOOKUP(LEFT(RIGHT(B164,5),4),物品!B:CU,2,FALSE)</f>
        <v>赌输可退</v>
      </c>
      <c r="I164" s="8" t="str">
        <f>VLOOKUP(B164,物品!B:CV,99,FALSE)</f>
        <v>使|Cffffd24d1|r个|Cffffd24d道果品质|r提高|Cffffd24d-1~+2|r。|n|n|Cff00ff7f只能对天级【7】或以下的道果使用|r</v>
      </c>
      <c r="J164" s="130" t="str">
        <f t="shared" si="56"/>
        <v>赌输可退</v>
      </c>
      <c r="K164" s="130" t="str">
        <f t="shared" si="57"/>
        <v>使|Cffffd24d1|r个|Cffffd24d道果品质|r提高|Cffffd24d-1~+2|r。|n|n|Cff00ff7f只能对天级【7】或以下的道果使用|r</v>
      </c>
      <c r="L164" s="8"/>
      <c r="M164" s="131" t="str">
        <f>VLOOKUP(LEFT(RIGHT(B164,5),4),物品!B:CU,20,FALSE)</f>
        <v>ReplaceableTextures\\CommandButtons\\BTNIN16.blp</v>
      </c>
      <c r="N164" s="148" t="s">
        <v>83</v>
      </c>
      <c r="O164" s="131" t="s">
        <v>88</v>
      </c>
      <c r="P164" s="8">
        <v>0</v>
      </c>
      <c r="Q164" s="8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8"/>
      <c r="W164" s="8" t="s">
        <v>89</v>
      </c>
      <c r="X164" s="8">
        <v>0</v>
      </c>
      <c r="Y164" s="148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8"/>
      <c r="AJ164" s="8"/>
      <c r="AK164" s="8">
        <v>1</v>
      </c>
      <c r="AL164" s="8">
        <v>1</v>
      </c>
      <c r="AM164" s="148" t="s">
        <v>83</v>
      </c>
      <c r="AN164" s="8">
        <v>1</v>
      </c>
      <c r="AO164" s="8">
        <v>1</v>
      </c>
      <c r="AP164" s="8">
        <v>1</v>
      </c>
    </row>
    <row r="165" spans="1:42">
      <c r="A165" s="128"/>
      <c r="B165" s="8" t="str">
        <f>物品!B165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VLOOKUP(LEFT(RIGHT(B165,5),4),物品!B:CU,2,FALSE)</f>
        <v>来点玄铁</v>
      </c>
      <c r="I165" s="8" t="str">
        <f>VLOOKUP(B165,物品!B:CV,99,FALSE)</f>
        <v>玄铁|Cffffd24d+5~50|r</v>
      </c>
      <c r="J165" s="130" t="str">
        <f t="shared" si="56"/>
        <v>来点玄铁</v>
      </c>
      <c r="K165" s="130" t="str">
        <f t="shared" si="57"/>
        <v>玄铁|Cffffd24d+5~50|r</v>
      </c>
      <c r="L165" s="8"/>
      <c r="M165" s="131" t="str">
        <f>VLOOKUP(LEFT(RIGHT(B165,5),4),物品!B:CU,20,FALSE)</f>
        <v>ReplaceableTextures\\CommandButtons\\BTNIN17.blp</v>
      </c>
      <c r="N165" s="148" t="s">
        <v>83</v>
      </c>
      <c r="O165" s="131" t="s">
        <v>88</v>
      </c>
      <c r="P165" s="8">
        <v>0</v>
      </c>
      <c r="Q165" s="8">
        <v>0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8"/>
      <c r="W165" s="8" t="s">
        <v>89</v>
      </c>
      <c r="X165" s="8">
        <v>0</v>
      </c>
      <c r="Y165" s="148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8"/>
      <c r="AJ165" s="8"/>
      <c r="AK165" s="8">
        <v>1</v>
      </c>
      <c r="AL165" s="8">
        <v>1</v>
      </c>
      <c r="AM165" s="148" t="s">
        <v>83</v>
      </c>
      <c r="AN165" s="8">
        <v>1</v>
      </c>
      <c r="AO165" s="8">
        <v>1</v>
      </c>
      <c r="AP165" s="8">
        <v>1</v>
      </c>
    </row>
    <row r="166" spans="1:42">
      <c r="A166" s="128"/>
      <c r="B166" s="8" t="str">
        <f>物品!B166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VLOOKUP(LEFT(RIGHT(B166,5),4),物品!B:CU,2,FALSE)</f>
        <v>恭喜发财</v>
      </c>
      <c r="I166" s="8" t="str">
        <f>VLOOKUP(B166,物品!B:CV,99,FALSE)</f>
        <v>|CffFFD24D30|r秒内增加|Cffffd24d30%|r金币加成</v>
      </c>
      <c r="J166" s="130" t="str">
        <f t="shared" ref="J166" si="58">H166</f>
        <v>恭喜发财</v>
      </c>
      <c r="K166" s="130" t="str">
        <f t="shared" ref="K166" si="59">I166</f>
        <v>|CffFFD24D30|r秒内增加|Cffffd24d30%|r金币加成</v>
      </c>
      <c r="L166" s="8"/>
      <c r="M166" s="131" t="str">
        <f>VLOOKUP(LEFT(RIGHT(B166,5),4),物品!B:CU,20,FALSE)</f>
        <v>ReplaceableTextures\\CommandButtons\\BTNIN18.blp</v>
      </c>
      <c r="N166" s="148" t="s">
        <v>83</v>
      </c>
      <c r="O166" s="131" t="s">
        <v>88</v>
      </c>
      <c r="P166" s="8">
        <v>0</v>
      </c>
      <c r="Q166" s="8">
        <v>0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8"/>
      <c r="W166" s="8" t="s">
        <v>89</v>
      </c>
      <c r="X166" s="8">
        <v>0</v>
      </c>
      <c r="Y166" s="148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8"/>
      <c r="AJ166" s="8"/>
      <c r="AK166" s="8">
        <v>1</v>
      </c>
      <c r="AL166" s="8">
        <v>1</v>
      </c>
      <c r="AM166" s="148" t="s">
        <v>83</v>
      </c>
      <c r="AN166" s="8">
        <v>1</v>
      </c>
      <c r="AO166" s="8">
        <v>1</v>
      </c>
      <c r="AP166" s="8">
        <v>1</v>
      </c>
    </row>
    <row r="167" spans="1:42">
      <c r="A167" s="128"/>
      <c r="B167" s="8" t="str">
        <f>物品!B167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VLOOKUP(LEFT(RIGHT(B167,5),4),物品!B:CU,2,FALSE)</f>
        <v>附魔宝箱</v>
      </c>
      <c r="I167" s="8" t="str">
        <f>VLOOKUP(B167,物品!B:CV,99,FALSE)</f>
        <v>使用后获得|Cffffc926随机类型技能附魔卷|r</v>
      </c>
      <c r="J167" s="130" t="str">
        <f t="shared" ref="J167:J175" si="60">H167</f>
        <v>附魔宝箱</v>
      </c>
      <c r="K167" s="130" t="str">
        <f t="shared" ref="K167:K175" si="61">I167</f>
        <v>使用后获得|Cffffc926随机类型技能附魔卷|r</v>
      </c>
      <c r="L167" s="8"/>
      <c r="M167" s="131" t="str">
        <f>VLOOKUP(LEFT(RIGHT(B167,5),4),物品!B:CU,20,FALSE)</f>
        <v>ReplaceableTextures\\CommandButtons\\BTNIN19.blp</v>
      </c>
      <c r="N167" s="148" t="s">
        <v>83</v>
      </c>
      <c r="O167" s="131" t="s">
        <v>88</v>
      </c>
      <c r="P167" s="8">
        <v>0</v>
      </c>
      <c r="Q167" s="8">
        <v>0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8"/>
      <c r="W167" s="8" t="s">
        <v>89</v>
      </c>
      <c r="X167" s="8">
        <v>0</v>
      </c>
      <c r="Y167" s="148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8"/>
      <c r="AJ167" s="8"/>
      <c r="AK167" s="8">
        <v>1</v>
      </c>
      <c r="AL167" s="8">
        <v>1</v>
      </c>
      <c r="AM167" s="148" t="s">
        <v>83</v>
      </c>
      <c r="AN167" s="8">
        <v>1</v>
      </c>
      <c r="AO167" s="8">
        <v>1</v>
      </c>
      <c r="AP167" s="8">
        <v>1</v>
      </c>
    </row>
    <row r="168" spans="1:42">
      <c r="A168" s="128"/>
      <c r="B168" s="8" t="str">
        <f>物品!B168</f>
        <v>IN20</v>
      </c>
      <c r="C168" s="8" t="s">
        <v>41</v>
      </c>
      <c r="D168" s="8" t="s">
        <v>81</v>
      </c>
      <c r="E168" s="8" t="s">
        <v>82</v>
      </c>
      <c r="F168" s="8"/>
      <c r="G168" s="8"/>
      <c r="H168" s="8" t="str">
        <f>VLOOKUP(LEFT(RIGHT(B168,5),4),物品!B:CU,2,FALSE)</f>
        <v>鼠年大吉</v>
      </c>
      <c r="I168" s="8" t="str">
        <f>VLOOKUP(B168,物品!B:CV,99,FALSE)</f>
        <v>|CffFFD24D30|r秒内杀敌金币|Cffffd24d+10|r</v>
      </c>
      <c r="J168" s="130" t="str">
        <f t="shared" si="60"/>
        <v>鼠年大吉</v>
      </c>
      <c r="K168" s="130" t="str">
        <f t="shared" si="61"/>
        <v>|CffFFD24D30|r秒内杀敌金币|Cffffd24d+10|r</v>
      </c>
      <c r="L168" s="8"/>
      <c r="M168" s="131" t="str">
        <f>VLOOKUP(LEFT(RIGHT(B168,5),4),物品!B:CU,20,FALSE)</f>
        <v>ReplaceableTextures\\CommandButtons\\BTNIN20.blp</v>
      </c>
      <c r="N168" s="148" t="s">
        <v>83</v>
      </c>
      <c r="O168" s="131" t="s">
        <v>88</v>
      </c>
      <c r="P168" s="8">
        <v>0</v>
      </c>
      <c r="Q168" s="8">
        <v>0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8"/>
      <c r="W168" s="8" t="s">
        <v>89</v>
      </c>
      <c r="X168" s="8">
        <v>0</v>
      </c>
      <c r="Y168" s="148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8"/>
      <c r="AJ168" s="8"/>
      <c r="AK168" s="8">
        <v>1</v>
      </c>
      <c r="AL168" s="8">
        <v>1</v>
      </c>
      <c r="AM168" s="148" t="s">
        <v>83</v>
      </c>
      <c r="AN168" s="8">
        <v>1</v>
      </c>
      <c r="AO168" s="8">
        <v>1</v>
      </c>
      <c r="AP168" s="8">
        <v>1</v>
      </c>
    </row>
    <row r="169" spans="1:42">
      <c r="A169" s="128"/>
      <c r="B169" s="8" t="str">
        <f>物品!B169</f>
        <v>IN21</v>
      </c>
      <c r="C169" s="8" t="s">
        <v>41</v>
      </c>
      <c r="D169" s="8" t="s">
        <v>81</v>
      </c>
      <c r="E169" s="8" t="s">
        <v>82</v>
      </c>
      <c r="F169" s="8"/>
      <c r="G169" s="8"/>
      <c r="H169" s="8" t="str">
        <f>VLOOKUP(LEFT(RIGHT(B169,5),4),物品!B:CU,2,FALSE)</f>
        <v>兄弟们拼了</v>
      </c>
      <c r="I169" s="8" t="str">
        <f>VLOOKUP(B169,物品!B:CV,99,FALSE)</f>
        <v>全体队友|Cffffd24d10|r秒内提高|Cffffd24d30%|r生命恢复，|Cffffd24d物理及法术伤害提高50%|r。|n|Cff00ff7f效果结束时，所有队友当前生命值降低至20%|r|r</v>
      </c>
      <c r="J169" s="130" t="str">
        <f t="shared" si="60"/>
        <v>兄弟们拼了</v>
      </c>
      <c r="K169" s="130" t="str">
        <f t="shared" si="61"/>
        <v>全体队友|Cffffd24d10|r秒内提高|Cffffd24d30%|r生命恢复，|Cffffd24d物理及法术伤害提高50%|r。|n|Cff00ff7f效果结束时，所有队友当前生命值降低至20%|r|r</v>
      </c>
      <c r="L169" s="8"/>
      <c r="M169" s="131" t="str">
        <f>VLOOKUP(LEFT(RIGHT(B169,5),4),物品!B:CU,20,FALSE)</f>
        <v>ReplaceableTextures\\CommandButtons\\BTNIN21.blp</v>
      </c>
      <c r="N169" s="148" t="s">
        <v>83</v>
      </c>
      <c r="O169" s="131" t="s">
        <v>88</v>
      </c>
      <c r="P169" s="8">
        <v>0</v>
      </c>
      <c r="Q169" s="8">
        <v>0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8"/>
      <c r="W169" s="8" t="s">
        <v>89</v>
      </c>
      <c r="X169" s="8">
        <v>0</v>
      </c>
      <c r="Y169" s="148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8"/>
      <c r="AJ169" s="8"/>
      <c r="AK169" s="8">
        <v>1</v>
      </c>
      <c r="AL169" s="8">
        <v>1</v>
      </c>
      <c r="AM169" s="148" t="s">
        <v>83</v>
      </c>
      <c r="AN169" s="8">
        <v>1</v>
      </c>
      <c r="AO169" s="8">
        <v>1</v>
      </c>
      <c r="AP169" s="8">
        <v>1</v>
      </c>
    </row>
    <row r="170" spans="1:42">
      <c r="A170" s="128"/>
      <c r="B170" s="8" t="str">
        <f>物品!B170</f>
        <v>IN22</v>
      </c>
      <c r="C170" s="8" t="s">
        <v>41</v>
      </c>
      <c r="D170" s="8" t="s">
        <v>81</v>
      </c>
      <c r="E170" s="8" t="s">
        <v>82</v>
      </c>
      <c r="F170" s="8"/>
      <c r="G170" s="8"/>
      <c r="H170" s="8" t="str">
        <f>VLOOKUP(LEFT(RIGHT(B170,5),4),物品!B:CU,2,FALSE)</f>
        <v>老铁忍住啊</v>
      </c>
      <c r="I170" s="8" t="str">
        <f>VLOOKUP(B170,物品!B:CV,99,FALSE)</f>
        <v>使用后|Cffffd24d5|r分钟内|Cffffd24d不使用任何主动技能/药水|r，获得|Cffffd24d1|r个|Cffff0000附魔宝箱|r</v>
      </c>
      <c r="J170" s="130" t="str">
        <f t="shared" si="60"/>
        <v>老铁忍住啊</v>
      </c>
      <c r="K170" s="130" t="str">
        <f t="shared" si="61"/>
        <v>使用后|Cffffd24d5|r分钟内|Cffffd24d不使用任何主动技能/药水|r，获得|Cffffd24d1|r个|Cffff0000附魔宝箱|r</v>
      </c>
      <c r="L170" s="8"/>
      <c r="M170" s="131" t="str">
        <f>VLOOKUP(LEFT(RIGHT(B170,5),4),物品!B:CU,20,FALSE)</f>
        <v>ReplaceableTextures\\CommandButtons\\BTNIN22.blp</v>
      </c>
      <c r="N170" s="148" t="s">
        <v>83</v>
      </c>
      <c r="O170" s="131" t="s">
        <v>88</v>
      </c>
      <c r="P170" s="8">
        <v>0</v>
      </c>
      <c r="Q170" s="8">
        <v>0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8"/>
      <c r="W170" s="8" t="s">
        <v>89</v>
      </c>
      <c r="X170" s="8">
        <v>0</v>
      </c>
      <c r="Y170" s="148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8"/>
      <c r="AJ170" s="8"/>
      <c r="AK170" s="8">
        <v>1</v>
      </c>
      <c r="AL170" s="8">
        <v>1</v>
      </c>
      <c r="AM170" s="148" t="s">
        <v>83</v>
      </c>
      <c r="AN170" s="8">
        <v>1</v>
      </c>
      <c r="AO170" s="8">
        <v>1</v>
      </c>
      <c r="AP170" s="8">
        <v>1</v>
      </c>
    </row>
    <row r="171" spans="1:42">
      <c r="A171" s="128"/>
      <c r="B171" s="8" t="str">
        <f>物品!B171</f>
        <v>IN23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VLOOKUP(LEFT(RIGHT(B171,5),4),物品!B:CU,2,FALSE)</f>
        <v>老铁忍住呀</v>
      </c>
      <c r="I171" s="8" t="str">
        <f>VLOOKUP(B171,物品!B:CV,99,FALSE)</f>
        <v>使用后|Cffffd24d5|r分钟内|Cffffd24d不进行任何挑战|r，获得|Cffffd24d1|r个|Cffff0000附魔宝箱|r</v>
      </c>
      <c r="J171" s="130" t="str">
        <f t="shared" si="60"/>
        <v>老铁忍住呀</v>
      </c>
      <c r="K171" s="130" t="str">
        <f t="shared" si="61"/>
        <v>使用后|Cffffd24d5|r分钟内|Cffffd24d不进行任何挑战|r，获得|Cffffd24d1|r个|Cffff0000附魔宝箱|r</v>
      </c>
      <c r="L171" s="8"/>
      <c r="M171" s="131" t="str">
        <f>VLOOKUP(LEFT(RIGHT(B171,5),4),物品!B:CU,20,FALSE)</f>
        <v>ReplaceableTextures\\CommandButtons\\BTNIN23.blp</v>
      </c>
      <c r="N171" s="148" t="s">
        <v>83</v>
      </c>
      <c r="O171" s="131" t="s">
        <v>88</v>
      </c>
      <c r="P171" s="8">
        <v>0</v>
      </c>
      <c r="Q171" s="8">
        <v>0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8"/>
      <c r="W171" s="8" t="s">
        <v>89</v>
      </c>
      <c r="X171" s="8">
        <v>0</v>
      </c>
      <c r="Y171" s="148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8"/>
      <c r="AJ171" s="8"/>
      <c r="AK171" s="8">
        <v>1</v>
      </c>
      <c r="AL171" s="8">
        <v>1</v>
      </c>
      <c r="AM171" s="148" t="s">
        <v>83</v>
      </c>
      <c r="AN171" s="8">
        <v>1</v>
      </c>
      <c r="AO171" s="8">
        <v>1</v>
      </c>
      <c r="AP171" s="8">
        <v>1</v>
      </c>
    </row>
    <row r="172" spans="1:42">
      <c r="A172" s="128"/>
      <c r="B172" s="8" t="str">
        <f>物品!B172</f>
        <v>IN24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VLOOKUP(LEFT(RIGHT(B172,5),4),物品!B:CU,2,FALSE)</f>
        <v>跳不动了</v>
      </c>
      <c r="I172" s="8" t="str">
        <f>VLOOKUP(B172,物品!B:CV,99,FALSE)</f>
        <v>使用后|Cffffd24d5|r分钟内|Cffffd24d不使用轻功|r，获得|Cffffd24d1|r个|Cffff0000附魔宝箱|r</v>
      </c>
      <c r="J172" s="130" t="str">
        <f t="shared" si="60"/>
        <v>跳不动了</v>
      </c>
      <c r="K172" s="130" t="str">
        <f t="shared" si="61"/>
        <v>使用后|Cffffd24d5|r分钟内|Cffffd24d不使用轻功|r，获得|Cffffd24d1|r个|Cffff0000附魔宝箱|r</v>
      </c>
      <c r="L172" s="8"/>
      <c r="M172" s="131" t="str">
        <f>VLOOKUP(LEFT(RIGHT(B172,5),4),物品!B:CU,20,FALSE)</f>
        <v>ReplaceableTextures\\CommandButtons\\BTNIN24.blp</v>
      </c>
      <c r="N172" s="148" t="s">
        <v>83</v>
      </c>
      <c r="O172" s="131" t="s">
        <v>88</v>
      </c>
      <c r="P172" s="8">
        <v>0</v>
      </c>
      <c r="Q172" s="8">
        <v>0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8"/>
      <c r="W172" s="8" t="s">
        <v>89</v>
      </c>
      <c r="X172" s="8">
        <v>0</v>
      </c>
      <c r="Y172" s="148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8"/>
      <c r="AJ172" s="8"/>
      <c r="AK172" s="8">
        <v>1</v>
      </c>
      <c r="AL172" s="8">
        <v>1</v>
      </c>
      <c r="AM172" s="148" t="s">
        <v>83</v>
      </c>
      <c r="AN172" s="8">
        <v>1</v>
      </c>
      <c r="AO172" s="8">
        <v>1</v>
      </c>
      <c r="AP172" s="8">
        <v>1</v>
      </c>
    </row>
    <row r="173" spans="1:42">
      <c r="A173" s="128"/>
      <c r="B173" s="8" t="str">
        <f>物品!B173</f>
        <v>IN25</v>
      </c>
      <c r="C173" s="8" t="s">
        <v>41</v>
      </c>
      <c r="D173" s="8" t="s">
        <v>81</v>
      </c>
      <c r="E173" s="8" t="s">
        <v>82</v>
      </c>
      <c r="F173" s="8"/>
      <c r="G173" s="8"/>
      <c r="H173" s="8" t="str">
        <f>VLOOKUP(LEFT(RIGHT(B173,5),4),物品!B:CU,2,FALSE)</f>
        <v>|Cff00BFFF入门道果箱|r</v>
      </c>
      <c r="I173" s="8" t="str">
        <f>VLOOKUP(B173,物品!B:CV,99,FALSE)</f>
        <v>|CffFFD24D30|r秒内增加|Cffffd24d30%|r金币加成</v>
      </c>
      <c r="J173" s="130" t="str">
        <f t="shared" si="60"/>
        <v>|Cff00BFFF入门道果箱|r</v>
      </c>
      <c r="K173" s="130" t="str">
        <f t="shared" si="61"/>
        <v>|CffFFD24D30|r秒内增加|Cffffd24d30%|r金币加成</v>
      </c>
      <c r="L173" s="8"/>
      <c r="M173" s="131" t="str">
        <f>VLOOKUP(LEFT(RIGHT(B173,5),4),物品!B:CU,20,FALSE)</f>
        <v>ReplaceableTextures\\CommandButtons\\BTNIN25.blp</v>
      </c>
      <c r="N173" s="148" t="s">
        <v>83</v>
      </c>
      <c r="O173" s="131" t="s">
        <v>88</v>
      </c>
      <c r="P173" s="8">
        <v>0</v>
      </c>
      <c r="Q173" s="8">
        <v>0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8"/>
      <c r="W173" s="8" t="s">
        <v>89</v>
      </c>
      <c r="X173" s="8">
        <v>0</v>
      </c>
      <c r="Y173" s="148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8"/>
      <c r="AJ173" s="8"/>
      <c r="AK173" s="8">
        <v>1</v>
      </c>
      <c r="AL173" s="8">
        <v>1</v>
      </c>
      <c r="AM173" s="148" t="s">
        <v>83</v>
      </c>
      <c r="AN173" s="8">
        <v>1</v>
      </c>
      <c r="AO173" s="8">
        <v>1</v>
      </c>
      <c r="AP173" s="8">
        <v>1</v>
      </c>
    </row>
    <row r="174" spans="1:42">
      <c r="A174" s="128"/>
      <c r="B174" s="8" t="str">
        <f>物品!B174</f>
        <v>IN26</v>
      </c>
      <c r="C174" s="8" t="s">
        <v>41</v>
      </c>
      <c r="D174" s="8" t="s">
        <v>81</v>
      </c>
      <c r="E174" s="8" t="s">
        <v>82</v>
      </c>
      <c r="F174" s="8"/>
      <c r="G174" s="8"/>
      <c r="H174" s="8" t="str">
        <f>VLOOKUP(LEFT(RIGHT(B174,5),4),物品!B:CU,2,FALSE)</f>
        <v>|CffFFD24D后天道果箱|r</v>
      </c>
      <c r="I174" s="8" t="str">
        <f>VLOOKUP(B174,物品!B:CV,99,FALSE)</f>
        <v>使用后获得|Cffffc926随机类型技能附魔卷|r</v>
      </c>
      <c r="J174" s="130" t="str">
        <f t="shared" si="60"/>
        <v>|CffFFD24D后天道果箱|r</v>
      </c>
      <c r="K174" s="130" t="str">
        <f t="shared" si="61"/>
        <v>使用后获得|Cffffc926随机类型技能附魔卷|r</v>
      </c>
      <c r="L174" s="8"/>
      <c r="M174" s="131" t="str">
        <f>VLOOKUP(LEFT(RIGHT(B174,5),4),物品!B:CU,20,FALSE)</f>
        <v>ReplaceableTextures\\CommandButtons\\BTNIN26.blp</v>
      </c>
      <c r="N174" s="148" t="s">
        <v>83</v>
      </c>
      <c r="O174" s="131" t="s">
        <v>88</v>
      </c>
      <c r="P174" s="8">
        <v>0</v>
      </c>
      <c r="Q174" s="8">
        <v>0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8"/>
      <c r="W174" s="8" t="s">
        <v>89</v>
      </c>
      <c r="X174" s="8">
        <v>0</v>
      </c>
      <c r="Y174" s="148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8"/>
      <c r="AJ174" s="8"/>
      <c r="AK174" s="8">
        <v>1</v>
      </c>
      <c r="AL174" s="8">
        <v>1</v>
      </c>
      <c r="AM174" s="148" t="s">
        <v>83</v>
      </c>
      <c r="AN174" s="8">
        <v>1</v>
      </c>
      <c r="AO174" s="8">
        <v>1</v>
      </c>
      <c r="AP174" s="8">
        <v>1</v>
      </c>
    </row>
    <row r="175" spans="1:42">
      <c r="A175" s="128"/>
      <c r="B175" s="8" t="str">
        <f>物品!B175</f>
        <v>IN27</v>
      </c>
      <c r="C175" s="8" t="s">
        <v>41</v>
      </c>
      <c r="D175" s="8" t="s">
        <v>81</v>
      </c>
      <c r="E175" s="8" t="s">
        <v>82</v>
      </c>
      <c r="F175" s="8"/>
      <c r="G175" s="8"/>
      <c r="H175" s="8" t="str">
        <f>VLOOKUP(LEFT(RIGHT(B175,5),4),物品!B:CU,2,FALSE)</f>
        <v>|CffFF0000先天道果箱|r</v>
      </c>
      <c r="I175" s="8" t="str">
        <f>VLOOKUP(B175,物品!B:CV,99,FALSE)</f>
        <v>|CffFFD24D30|r秒内增加|Cffffd24d30%|r金币加成</v>
      </c>
      <c r="J175" s="130" t="str">
        <f t="shared" si="60"/>
        <v>|CffFF0000先天道果箱|r</v>
      </c>
      <c r="K175" s="130" t="str">
        <f t="shared" si="61"/>
        <v>|CffFFD24D30|r秒内增加|Cffffd24d30%|r金币加成</v>
      </c>
      <c r="L175" s="8"/>
      <c r="M175" s="131" t="str">
        <f>VLOOKUP(LEFT(RIGHT(B175,5),4),物品!B:CU,20,FALSE)</f>
        <v>ReplaceableTextures\\CommandButtons\\BTNIN27.blp</v>
      </c>
      <c r="N175" s="148" t="s">
        <v>83</v>
      </c>
      <c r="O175" s="131" t="s">
        <v>88</v>
      </c>
      <c r="P175" s="8">
        <v>0</v>
      </c>
      <c r="Q175" s="8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8"/>
      <c r="W175" s="8" t="s">
        <v>89</v>
      </c>
      <c r="X175" s="8">
        <v>0</v>
      </c>
      <c r="Y175" s="148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8"/>
      <c r="AJ175" s="8"/>
      <c r="AK175" s="8">
        <v>1</v>
      </c>
      <c r="AL175" s="8">
        <v>1</v>
      </c>
      <c r="AM175" s="148" t="s">
        <v>83</v>
      </c>
      <c r="AN175" s="8">
        <v>1</v>
      </c>
      <c r="AO175" s="8">
        <v>1</v>
      </c>
      <c r="AP175" s="8">
        <v>1</v>
      </c>
    </row>
    <row r="176" spans="1:42">
      <c r="A176" s="128"/>
      <c r="B176" s="8" t="str">
        <f>物品!B176</f>
        <v>IN28</v>
      </c>
      <c r="C176" s="8" t="s">
        <v>41</v>
      </c>
      <c r="D176" s="8" t="s">
        <v>81</v>
      </c>
      <c r="E176" s="8" t="s">
        <v>82</v>
      </c>
      <c r="F176" s="8"/>
      <c r="G176" s="8"/>
      <c r="H176" s="8" t="str">
        <f>VLOOKUP(LEFT(RIGHT(B176,5),4),物品!B:CU,2,FALSE)</f>
        <v>|CffFFD24D技能宝箱|r</v>
      </c>
      <c r="I176" s="8" t="str">
        <f>VLOOKUP(B176,物品!B:CV,99,FALSE)</f>
        <v>使用后获得|Cffffc926随机类型技能附魔卷|r</v>
      </c>
      <c r="J176" s="130" t="str">
        <f t="shared" ref="J176:J177" si="62">H176</f>
        <v>|CffFFD24D技能宝箱|r</v>
      </c>
      <c r="K176" s="130" t="str">
        <f t="shared" ref="K176:K177" si="63">I176</f>
        <v>使用后获得|Cffffc926随机类型技能附魔卷|r</v>
      </c>
      <c r="L176" s="8"/>
      <c r="M176" s="131" t="str">
        <f>VLOOKUP(LEFT(RIGHT(B176,5),4),物品!B:CU,20,FALSE)</f>
        <v>ReplaceableTextures\\CommandButtons\\BTNIN28.blp</v>
      </c>
      <c r="N176" s="148" t="s">
        <v>83</v>
      </c>
      <c r="O176" s="131" t="s">
        <v>88</v>
      </c>
      <c r="P176" s="8">
        <v>0</v>
      </c>
      <c r="Q176" s="8">
        <v>0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8"/>
      <c r="W176" s="8" t="s">
        <v>89</v>
      </c>
      <c r="X176" s="8">
        <v>0</v>
      </c>
      <c r="Y176" s="148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8"/>
      <c r="AJ176" s="8"/>
      <c r="AK176" s="8">
        <v>1</v>
      </c>
      <c r="AL176" s="8">
        <v>1</v>
      </c>
      <c r="AM176" s="148" t="s">
        <v>83</v>
      </c>
      <c r="AN176" s="8">
        <v>1</v>
      </c>
      <c r="AO176" s="8">
        <v>1</v>
      </c>
      <c r="AP176" s="8">
        <v>1</v>
      </c>
    </row>
    <row r="177" s="3" customFormat="1" spans="1:42">
      <c r="A177" s="128"/>
      <c r="B177" s="8" t="str">
        <f>物品!B177</f>
        <v>IN29</v>
      </c>
      <c r="C177" s="8" t="s">
        <v>41</v>
      </c>
      <c r="D177" s="8" t="s">
        <v>81</v>
      </c>
      <c r="E177" s="8" t="s">
        <v>82</v>
      </c>
      <c r="F177" s="8"/>
      <c r="G177" s="8"/>
      <c r="H177" s="8" t="str">
        <f>VLOOKUP(LEFT(RIGHT(B177,5),4),物品!B:CU,2,FALSE)</f>
        <v>|CffFFD24D附魔宝箱|r</v>
      </c>
      <c r="I177" s="8" t="str">
        <f>VLOOKUP(B177,物品!B:CV,99,FALSE)</f>
        <v>使用后获得|Cffffc926随机类型技能附魔卷|r</v>
      </c>
      <c r="J177" s="130" t="str">
        <f t="shared" si="62"/>
        <v>|CffFFD24D附魔宝箱|r</v>
      </c>
      <c r="K177" s="130" t="str">
        <f t="shared" si="63"/>
        <v>使用后获得|Cffffc926随机类型技能附魔卷|r</v>
      </c>
      <c r="L177" s="8"/>
      <c r="M177" s="131" t="str">
        <f>VLOOKUP(LEFT(RIGHT(B177,5),4),物品!B:CU,20,FALSE)</f>
        <v>ReplaceableTextures\\CommandButtons\\BTNIN29.blp</v>
      </c>
      <c r="N177" s="148" t="s">
        <v>83</v>
      </c>
      <c r="O177" s="131" t="s">
        <v>88</v>
      </c>
      <c r="P177" s="8">
        <v>0</v>
      </c>
      <c r="Q177" s="8">
        <v>0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8"/>
      <c r="W177" s="8" t="s">
        <v>89</v>
      </c>
      <c r="X177" s="8">
        <v>0</v>
      </c>
      <c r="Y177" s="148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8"/>
      <c r="AJ177" s="8"/>
      <c r="AK177" s="8">
        <v>1</v>
      </c>
      <c r="AL177" s="8">
        <v>1</v>
      </c>
      <c r="AM177" s="148" t="s">
        <v>83</v>
      </c>
      <c r="AN177" s="8">
        <v>1</v>
      </c>
      <c r="AO177" s="8">
        <v>1</v>
      </c>
      <c r="AP177" s="8">
        <v>1</v>
      </c>
    </row>
    <row r="178" spans="1:42">
      <c r="A178" s="128"/>
      <c r="B178" s="8" t="str">
        <f>物品!B178</f>
        <v>IP01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|CffFF0000时渊碎片|r</v>
      </c>
      <c r="I178" s="8" t="str">
        <f>VLOOKUP(B178,物品!B:CV,99,FALSE)</f>
        <v>每次|Cffffd24d完成|r时渊副本将消耗|Cffffd24d1|r个|Cffffd24d时渊碎片|r</v>
      </c>
      <c r="J178" s="130" t="str">
        <f t="shared" ref="J178" si="64">H178</f>
        <v>|CffFF0000时渊碎片|r</v>
      </c>
      <c r="K178" s="130" t="str">
        <f t="shared" ref="K178" si="65">I178</f>
        <v>每次|Cffffd24d完成|r时渊副本将消耗|Cffffd24d1|r个|Cffffd24d时渊碎片|r</v>
      </c>
      <c r="L178" s="8"/>
      <c r="M178" s="131" t="str">
        <f>VLOOKUP(LEFT(RIGHT(B178,5),4),物品!B:CU,20,FALSE)</f>
        <v>ReplaceableTextures\\CommandButtons\\BTNIP01.blp</v>
      </c>
      <c r="N178" s="148" t="s">
        <v>83</v>
      </c>
      <c r="O178" s="131" t="s">
        <v>90</v>
      </c>
      <c r="P178" s="8">
        <v>0</v>
      </c>
      <c r="Q178" s="8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8"/>
      <c r="W178" s="8" t="s">
        <v>87</v>
      </c>
      <c r="X178" s="8">
        <v>0</v>
      </c>
      <c r="Y178" s="148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8">
        <v>1</v>
      </c>
      <c r="AJ178" s="8"/>
      <c r="AK178" s="8">
        <v>1</v>
      </c>
      <c r="AL178" s="8">
        <v>1</v>
      </c>
      <c r="AM178" s="148" t="s">
        <v>83</v>
      </c>
      <c r="AN178" s="8">
        <v>1</v>
      </c>
      <c r="AO178" s="8">
        <v>1</v>
      </c>
      <c r="AP178" s="8">
        <v>1</v>
      </c>
    </row>
    <row r="179" spans="1:42">
      <c r="A179" s="128"/>
      <c r="B179" s="8" t="str">
        <f>物品!B179</f>
        <v>IP02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|CffFFD24D补天石|r</v>
      </c>
      <c r="I179" s="8" t="str">
        <f>VLOOKUP(B179,物品!B:CV,99,FALSE)</f>
        <v>点击|Cffffc926选中指定法宝|r后，再点击|Cffffc926重铸|r，可|Cffffc926重置|r指定法宝，|Cffffc926品质不变|r。|n|n|Cff00ff7f每次重铸消耗1个补天石|r</v>
      </c>
      <c r="J179" s="130" t="str">
        <f t="shared" ref="J179:J187" si="66">H179</f>
        <v>|CffFFD24D补天石|r</v>
      </c>
      <c r="K179" s="130" t="str">
        <f t="shared" ref="K179:K187" si="67">I179</f>
        <v>点击|Cffffc926选中指定法宝|r后，再点击|Cffffc926重铸|r，可|Cffffc926重置|r指定法宝，|Cffffc926品质不变|r。|n|n|Cff00ff7f每次重铸消耗1个补天石|r</v>
      </c>
      <c r="L179" s="8"/>
      <c r="M179" s="131" t="str">
        <f>VLOOKUP(LEFT(RIGHT(B179,5),4),物品!B:CU,20,FALSE)</f>
        <v>ReplaceableTextures\\CommandButtons\\BTNIP02.blp</v>
      </c>
      <c r="N179" s="148" t="s">
        <v>83</v>
      </c>
      <c r="O179" s="131" t="s">
        <v>90</v>
      </c>
      <c r="P179" s="8">
        <v>0</v>
      </c>
      <c r="Q179" s="8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8"/>
      <c r="W179" s="8" t="s">
        <v>87</v>
      </c>
      <c r="X179" s="8">
        <v>0</v>
      </c>
      <c r="Y179" s="148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8">
        <v>1</v>
      </c>
      <c r="AJ179" s="8"/>
      <c r="AK179" s="8">
        <v>1</v>
      </c>
      <c r="AL179" s="8">
        <v>1</v>
      </c>
      <c r="AM179" s="148" t="s">
        <v>83</v>
      </c>
      <c r="AN179" s="8">
        <v>1</v>
      </c>
      <c r="AO179" s="8">
        <v>1</v>
      </c>
      <c r="AP179" s="8">
        <v>1</v>
      </c>
    </row>
    <row r="180" spans="1:42">
      <c r="A180" s="128"/>
      <c r="B180" s="8" t="str">
        <f>物品!B180</f>
        <v>IP03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|CffFF0000鸿蒙结晶|r</v>
      </c>
      <c r="I180" s="8" t="str">
        <f>VLOOKUP(B180,物品!B:CV,99,FALSE)</f>
        <v>点击|Cffffc926选中指定法宝|r后，再点击|Cffffc926锻造|r，可|Cffffc926重置|r指定法宝，|Cffffc926品质提升一级|r。|n|n|Cff00ff7f每次重铸消耗1个鸿蒙结晶|r</v>
      </c>
      <c r="J180" s="130" t="str">
        <f t="shared" si="66"/>
        <v>|CffFF0000鸿蒙结晶|r</v>
      </c>
      <c r="K180" s="130" t="str">
        <f t="shared" si="67"/>
        <v>点击|Cffffc926选中指定法宝|r后，再点击|Cffffc926锻造|r，可|Cffffc926重置|r指定法宝，|Cffffc926品质提升一级|r。|n|n|Cff00ff7f每次重铸消耗1个鸿蒙结晶|r</v>
      </c>
      <c r="L180" s="8"/>
      <c r="M180" s="131" t="str">
        <f>VLOOKUP(LEFT(RIGHT(B180,5),4),物品!B:CU,20,FALSE)</f>
        <v>ReplaceableTextures\\CommandButtons\\BTNIP03.blp</v>
      </c>
      <c r="N180" s="148" t="s">
        <v>83</v>
      </c>
      <c r="O180" s="131" t="s">
        <v>90</v>
      </c>
      <c r="P180" s="8">
        <v>0</v>
      </c>
      <c r="Q180" s="8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8"/>
      <c r="W180" s="8" t="s">
        <v>87</v>
      </c>
      <c r="X180" s="8">
        <v>0</v>
      </c>
      <c r="Y180" s="148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8">
        <v>1</v>
      </c>
      <c r="AJ180" s="8"/>
      <c r="AK180" s="8">
        <v>1</v>
      </c>
      <c r="AL180" s="8">
        <v>1</v>
      </c>
      <c r="AM180" s="148" t="s">
        <v>83</v>
      </c>
      <c r="AN180" s="8">
        <v>1</v>
      </c>
      <c r="AO180" s="8">
        <v>1</v>
      </c>
      <c r="AP180" s="8">
        <v>1</v>
      </c>
    </row>
    <row r="181" spans="1:42">
      <c r="A181" s="128"/>
      <c r="B181" s="8" t="str">
        <f>物品!B181</f>
        <v>IP04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|CffFF0000神兽洗灵石|r</v>
      </c>
      <c r="I181" s="8" t="str">
        <f>VLOOKUP(B181,物品!B:CV,99,FALSE)</f>
        <v>使用后|Cffffd24d重置|r当前|Cffff0000神兽神通【R】|r|Cfff0f0f0。|r</v>
      </c>
      <c r="J181" s="130" t="str">
        <f t="shared" ref="J181:J182" si="68">H181</f>
        <v>|CffFF0000神兽洗灵石|r</v>
      </c>
      <c r="K181" s="130" t="str">
        <f t="shared" ref="K181:K182" si="69">I181</f>
        <v>使用后|Cffffd24d重置|r当前|Cffff0000神兽神通【R】|r|Cfff0f0f0。|r</v>
      </c>
      <c r="L181" s="8"/>
      <c r="M181" s="131" t="str">
        <f>VLOOKUP(LEFT(RIGHT(B181,5),4),物品!B:CU,20,FALSE)</f>
        <v>ReplaceableTextures\\CommandButtons\\BTNIP04.blp</v>
      </c>
      <c r="N181" s="148" t="s">
        <v>83</v>
      </c>
      <c r="O181" s="131" t="s">
        <v>90</v>
      </c>
      <c r="P181" s="8">
        <v>0</v>
      </c>
      <c r="Q181" s="8">
        <v>0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8"/>
      <c r="W181" s="8" t="s">
        <v>89</v>
      </c>
      <c r="X181" s="8">
        <v>0</v>
      </c>
      <c r="Y181" s="148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8"/>
      <c r="AJ181" s="8"/>
      <c r="AK181" s="8">
        <v>1</v>
      </c>
      <c r="AL181" s="8">
        <v>1</v>
      </c>
      <c r="AM181" s="148" t="s">
        <v>83</v>
      </c>
      <c r="AN181" s="8">
        <v>1</v>
      </c>
      <c r="AO181" s="8">
        <v>1</v>
      </c>
      <c r="AP181" s="8">
        <v>1</v>
      </c>
    </row>
    <row r="182" spans="1:42">
      <c r="A182" s="128"/>
      <c r="B182" s="8" t="str">
        <f>物品!B182</f>
        <v>IP05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|CffFF0000虚空圣战卡|r</v>
      </c>
      <c r="I182" s="8" t="str">
        <f>VLOOKUP(B182,物品!B:CV,99,FALSE)</f>
        <v>开启|Cffffd24d结界|r，前往虚空终止|Cffff0000封神圣战|r。</v>
      </c>
      <c r="J182" s="130" t="str">
        <f t="shared" si="68"/>
        <v>|CffFF0000虚空圣战卡|r</v>
      </c>
      <c r="K182" s="130" t="str">
        <f t="shared" si="69"/>
        <v>开启|Cffffd24d结界|r，前往虚空终止|Cffff0000封神圣战|r。</v>
      </c>
      <c r="L182" s="8"/>
      <c r="M182" s="131" t="str">
        <f>VLOOKUP(LEFT(RIGHT(B182,5),4),物品!B:CU,20,FALSE)</f>
        <v>ReplaceableTextures\\CommandButtons\\BTNIP05.blp</v>
      </c>
      <c r="N182" s="148" t="s">
        <v>83</v>
      </c>
      <c r="O182" s="131" t="s">
        <v>90</v>
      </c>
      <c r="P182" s="8">
        <v>0</v>
      </c>
      <c r="Q182" s="8">
        <v>0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8"/>
      <c r="W182" s="8" t="s">
        <v>89</v>
      </c>
      <c r="X182" s="8">
        <v>0</v>
      </c>
      <c r="Y182" s="148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8"/>
      <c r="AJ182" s="8"/>
      <c r="AK182" s="8">
        <v>1</v>
      </c>
      <c r="AL182" s="8">
        <v>1</v>
      </c>
      <c r="AM182" s="148" t="s">
        <v>83</v>
      </c>
      <c r="AN182" s="8">
        <v>1</v>
      </c>
      <c r="AO182" s="8">
        <v>1</v>
      </c>
      <c r="AP182" s="8">
        <v>1</v>
      </c>
    </row>
    <row r="183" spans="1:42">
      <c r="A183" s="128"/>
      <c r="B183" s="8" t="str">
        <f>物品!B183</f>
        <v>IP06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|Cff00FF7F大补丸|r</v>
      </c>
      <c r="I183" s="8" t="str">
        <f>VLOOKUP(B183,物品!B:CV,99,FALSE)</f>
        <v>使用后增加|Cffffd24d300点|r境界经验。</v>
      </c>
      <c r="J183" s="130" t="str">
        <f t="shared" ref="J183:J184" si="70">H183</f>
        <v>|Cff00FF7F大补丸|r</v>
      </c>
      <c r="K183" s="130" t="str">
        <f t="shared" ref="K183:K184" si="71">I183</f>
        <v>使用后增加|Cffffd24d300点|r境界经验。</v>
      </c>
      <c r="L183" s="8"/>
      <c r="M183" s="131" t="str">
        <f>VLOOKUP(LEFT(RIGHT(B183,5),4),物品!B:CU,20,FALSE)</f>
        <v>ReplaceableTextures\\CommandButtons\\BTNIP06.blp</v>
      </c>
      <c r="N183" s="148" t="s">
        <v>83</v>
      </c>
      <c r="O183" s="131" t="s">
        <v>90</v>
      </c>
      <c r="P183" s="8">
        <v>0</v>
      </c>
      <c r="Q183" s="8">
        <v>0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8"/>
      <c r="W183" s="8" t="s">
        <v>89</v>
      </c>
      <c r="X183" s="8">
        <v>0</v>
      </c>
      <c r="Y183" s="148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8"/>
      <c r="AJ183" s="8"/>
      <c r="AK183" s="8">
        <v>1</v>
      </c>
      <c r="AL183" s="8">
        <v>1</v>
      </c>
      <c r="AM183" s="148" t="s">
        <v>83</v>
      </c>
      <c r="AN183" s="8">
        <v>1</v>
      </c>
      <c r="AO183" s="8">
        <v>1</v>
      </c>
      <c r="AP183" s="8">
        <v>1</v>
      </c>
    </row>
    <row r="184" spans="1:42">
      <c r="A184" s="128"/>
      <c r="B184" s="8" t="str">
        <f>物品!B184</f>
        <v>IP07</v>
      </c>
      <c r="C184" s="8" t="s">
        <v>41</v>
      </c>
      <c r="D184" s="8" t="s">
        <v>81</v>
      </c>
      <c r="E184" s="8" t="s">
        <v>82</v>
      </c>
      <c r="F184" s="8"/>
      <c r="G184" s="8"/>
      <c r="H184" s="8" t="str">
        <f>VLOOKUP(LEFT(RIGHT(B184,5),4),物品!B:CU,2,FALSE)</f>
        <v>|Cff00FF7F抽奖抵用券|r</v>
      </c>
      <c r="I184" s="8" t="str">
        <f>VLOOKUP(B184,物品!B:CV,99,FALSE)</f>
        <v>可抵扣|Cffffd24d1|r次抽奖消耗</v>
      </c>
      <c r="J184" s="130" t="str">
        <f t="shared" si="70"/>
        <v>|Cff00FF7F抽奖抵用券|r</v>
      </c>
      <c r="K184" s="130" t="str">
        <f t="shared" si="71"/>
        <v>可抵扣|Cffffd24d1|r次抽奖消耗</v>
      </c>
      <c r="L184" s="8"/>
      <c r="M184" s="131" t="str">
        <f>VLOOKUP(LEFT(RIGHT(B184,5),4),物品!B:CU,20,FALSE)</f>
        <v>ReplaceableTextures\\CommandButtons\\BTNIP07.blp</v>
      </c>
      <c r="N184" s="148" t="s">
        <v>83</v>
      </c>
      <c r="O184" s="131" t="s">
        <v>90</v>
      </c>
      <c r="P184" s="8">
        <v>0</v>
      </c>
      <c r="Q184" s="8">
        <v>0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8"/>
      <c r="W184" s="8" t="s">
        <v>89</v>
      </c>
      <c r="X184" s="8">
        <v>0</v>
      </c>
      <c r="Y184" s="148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8"/>
      <c r="AJ184" s="8"/>
      <c r="AK184" s="8">
        <v>1</v>
      </c>
      <c r="AL184" s="8">
        <v>1</v>
      </c>
      <c r="AM184" s="148" t="s">
        <v>83</v>
      </c>
      <c r="AN184" s="8">
        <v>1</v>
      </c>
      <c r="AO184" s="8">
        <v>1</v>
      </c>
      <c r="AP184" s="8">
        <v>1</v>
      </c>
    </row>
    <row r="185" spans="1:42">
      <c r="A185" s="128"/>
      <c r="B185" s="8" t="str">
        <f>物品!B185</f>
        <v>IP08</v>
      </c>
      <c r="C185" s="8" t="s">
        <v>41</v>
      </c>
      <c r="D185" s="8" t="s">
        <v>81</v>
      </c>
      <c r="E185" s="8" t="s">
        <v>82</v>
      </c>
      <c r="F185" s="8"/>
      <c r="G185" s="8"/>
      <c r="H185" s="8" t="str">
        <f>VLOOKUP(LEFT(RIGHT(B185,5),4),物品!B:CU,2,FALSE)</f>
        <v>|Cff00FF7F超级大补丸|r</v>
      </c>
      <c r="I185" s="8" t="str">
        <f>VLOOKUP(B185,物品!B:CV,99,FALSE)</f>
        <v>使用后增加|Cffffd24d500点|r境界经验。</v>
      </c>
      <c r="J185" s="130" t="str">
        <f t="shared" ref="J185:J186" si="72">H185</f>
        <v>|Cff00FF7F超级大补丸|r</v>
      </c>
      <c r="K185" s="130" t="str">
        <f t="shared" ref="K185:K186" si="73">I185</f>
        <v>使用后增加|Cffffd24d500点|r境界经验。</v>
      </c>
      <c r="L185" s="8"/>
      <c r="M185" s="131" t="str">
        <f>VLOOKUP(LEFT(RIGHT(B185,5),4),物品!B:CU,20,FALSE)</f>
        <v>ReplaceableTextures\\CommandButtons\\BTNIP08.blp</v>
      </c>
      <c r="N185" s="148" t="s">
        <v>83</v>
      </c>
      <c r="O185" s="131" t="s">
        <v>90</v>
      </c>
      <c r="P185" s="8">
        <v>0</v>
      </c>
      <c r="Q185" s="8">
        <v>0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8"/>
      <c r="W185" s="8" t="s">
        <v>89</v>
      </c>
      <c r="X185" s="8">
        <v>0</v>
      </c>
      <c r="Y185" s="148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8"/>
      <c r="AJ185" s="8"/>
      <c r="AK185" s="8">
        <v>1</v>
      </c>
      <c r="AL185" s="8">
        <v>1</v>
      </c>
      <c r="AM185" s="148" t="s">
        <v>83</v>
      </c>
      <c r="AN185" s="8">
        <v>1</v>
      </c>
      <c r="AO185" s="8">
        <v>1</v>
      </c>
      <c r="AP185" s="8">
        <v>1</v>
      </c>
    </row>
    <row r="186" spans="1:42">
      <c r="A186" s="128"/>
      <c r="B186" s="8" t="str">
        <f>物品!B186</f>
        <v>IP09</v>
      </c>
      <c r="C186" s="8" t="s">
        <v>41</v>
      </c>
      <c r="D186" s="8" t="s">
        <v>81</v>
      </c>
      <c r="E186" s="8" t="s">
        <v>82</v>
      </c>
      <c r="F186" s="8"/>
      <c r="G186" s="8"/>
      <c r="H186" s="8" t="str">
        <f>VLOOKUP(LEFT(RIGHT(B186,5),4),物品!B:CU,2,FALSE)</f>
        <v>|Cff00FF7F特级大补丸|r</v>
      </c>
      <c r="I186" s="8" t="str">
        <f>VLOOKUP(B186,物品!B:CV,99,FALSE)</f>
        <v>使用后增加|Cffffd24d700点|r境界经验。</v>
      </c>
      <c r="J186" s="130" t="str">
        <f t="shared" si="72"/>
        <v>|Cff00FF7F特级大补丸|r</v>
      </c>
      <c r="K186" s="130" t="str">
        <f t="shared" si="73"/>
        <v>使用后增加|Cffffd24d700点|r境界经验。</v>
      </c>
      <c r="L186" s="8"/>
      <c r="M186" s="131" t="str">
        <f>VLOOKUP(LEFT(RIGHT(B186,5),4),物品!B:CU,20,FALSE)</f>
        <v>ReplaceableTextures\\CommandButtons\\BTNIP09.blp</v>
      </c>
      <c r="N186" s="148" t="s">
        <v>83</v>
      </c>
      <c r="O186" s="131" t="s">
        <v>90</v>
      </c>
      <c r="P186" s="8">
        <v>0</v>
      </c>
      <c r="Q186" s="8">
        <v>0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8"/>
      <c r="W186" s="8" t="s">
        <v>89</v>
      </c>
      <c r="X186" s="8">
        <v>0</v>
      </c>
      <c r="Y186" s="148" t="s">
        <v>83</v>
      </c>
      <c r="Z186" s="8">
        <v>0</v>
      </c>
      <c r="AA186" s="8">
        <v>0</v>
      </c>
      <c r="AB186" s="8">
        <v>0</v>
      </c>
      <c r="AC186" s="8">
        <v>1</v>
      </c>
      <c r="AD186" s="8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8"/>
      <c r="AJ186" s="8"/>
      <c r="AK186" s="8">
        <v>1</v>
      </c>
      <c r="AL186" s="8">
        <v>1</v>
      </c>
      <c r="AM186" s="148" t="s">
        <v>83</v>
      </c>
      <c r="AN186" s="8">
        <v>1</v>
      </c>
      <c r="AO186" s="8">
        <v>1</v>
      </c>
      <c r="AP186" s="8">
        <v>1</v>
      </c>
    </row>
    <row r="187" spans="1:42">
      <c r="A187" s="128"/>
      <c r="B187" s="8" t="str">
        <f>物品!B187</f>
        <v>IT01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噬心劫</v>
      </c>
      <c r="I187" s="8" t="str">
        <f>VLOOKUP(B187,物品!B:CV,99,FALSE)</f>
        <v>渡过该劫后可结成低级道果。|n|n|Cfff0f0f0低级道果：|r|n攻击+1000|n法强+1000|n生命值+2000|n|Cffffd24d元神力+2|r|n|n|Cff00ff7f战力推荐：|r|n</v>
      </c>
      <c r="J187" s="130" t="str">
        <f t="shared" si="66"/>
        <v>噬心劫</v>
      </c>
      <c r="K187" s="130" t="str">
        <f t="shared" si="67"/>
        <v>渡过该劫后可结成低级道果。|n|n|Cfff0f0f0低级道果：|r|n攻击+1000|n法强+1000|n生命值+2000|n|Cffffd24d元神力+2|r|n|n|Cff00ff7f战力推荐：|r|n</v>
      </c>
      <c r="L187" s="8"/>
      <c r="M187" s="131" t="str">
        <f>VLOOKUP(LEFT(RIGHT(B187,5),4),物品!B:CU,20,FALSE)</f>
        <v>ReplaceableTextures\\CommandButtons\\BTNIT01.blp</v>
      </c>
      <c r="N187" s="148" t="s">
        <v>83</v>
      </c>
      <c r="O187" s="131" t="s">
        <v>90</v>
      </c>
      <c r="P187" s="8">
        <v>0</v>
      </c>
      <c r="Q187" s="8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8"/>
      <c r="W187" s="8" t="s">
        <v>87</v>
      </c>
      <c r="X187" s="8">
        <v>2000</v>
      </c>
      <c r="Y187" s="148" t="s">
        <v>83</v>
      </c>
      <c r="Z187" s="8">
        <v>0</v>
      </c>
      <c r="AA187" s="8">
        <v>0</v>
      </c>
      <c r="AB187" s="130">
        <v>1</v>
      </c>
      <c r="AC187" s="8">
        <v>1</v>
      </c>
      <c r="AD187" s="8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8">
        <v>1</v>
      </c>
      <c r="AJ187" s="8"/>
      <c r="AK187" s="8">
        <v>1</v>
      </c>
      <c r="AL187" s="8">
        <v>1</v>
      </c>
      <c r="AM187" s="148" t="s">
        <v>83</v>
      </c>
      <c r="AN187" s="8">
        <v>1</v>
      </c>
      <c r="AO187" s="8">
        <v>1</v>
      </c>
      <c r="AP187" s="8">
        <v>1</v>
      </c>
    </row>
    <row r="188" spans="1:42">
      <c r="A188" s="128"/>
      <c r="B188" s="8" t="str">
        <f>物品!B188</f>
        <v>IT02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三重轰雷劫</v>
      </c>
      <c r="I188" s="8" t="str">
        <f>VLOOKUP(B188,物品!B:CV,99,FALSE)</f>
        <v>渡过该劫后可结成中级道果。|n|n|Cfff0f0f0中级道果：|r|n攻击+1500|n法强+1500|n生命值+3000 |n|Cffffd24d元神力+4|r|n|n|Cff00ff7f战力推荐：|r|n</v>
      </c>
      <c r="J188" s="130" t="str">
        <f t="shared" ref="J188:J220" si="74">H188</f>
        <v>三重轰雷劫</v>
      </c>
      <c r="K188" s="130" t="str">
        <f t="shared" ref="K188:K220" si="75">I188</f>
        <v>渡过该劫后可结成中级道果。|n|n|Cfff0f0f0中级道果：|r|n攻击+1500|n法强+1500|n生命值+3000 |n|Cffffd24d元神力+4|r|n|n|Cff00ff7f战力推荐：|r|n</v>
      </c>
      <c r="L188" s="8"/>
      <c r="M188" s="131" t="str">
        <f>VLOOKUP(LEFT(RIGHT(B188,5),4),物品!B:CU,20,FALSE)</f>
        <v>ReplaceableTextures\\CommandButtons\\BTNIT02.blp</v>
      </c>
      <c r="N188" s="148" t="s">
        <v>83</v>
      </c>
      <c r="O188" s="131" t="s">
        <v>90</v>
      </c>
      <c r="P188" s="8">
        <v>1</v>
      </c>
      <c r="Q188" s="8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8"/>
      <c r="W188" s="8" t="s">
        <v>87</v>
      </c>
      <c r="X188" s="8">
        <v>4000</v>
      </c>
      <c r="Y188" s="148" t="s">
        <v>83</v>
      </c>
      <c r="Z188" s="8">
        <v>0</v>
      </c>
      <c r="AA188" s="8">
        <v>0</v>
      </c>
      <c r="AB188" s="130">
        <v>2</v>
      </c>
      <c r="AC188" s="8">
        <v>1</v>
      </c>
      <c r="AD188" s="8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8">
        <v>1</v>
      </c>
      <c r="AJ188" s="8"/>
      <c r="AK188" s="8">
        <v>1</v>
      </c>
      <c r="AL188" s="8">
        <v>1</v>
      </c>
      <c r="AM188" s="148" t="s">
        <v>83</v>
      </c>
      <c r="AN188" s="8">
        <v>1</v>
      </c>
      <c r="AO188" s="8">
        <v>1</v>
      </c>
      <c r="AP188" s="8">
        <v>1</v>
      </c>
    </row>
    <row r="189" spans="1:42">
      <c r="A189" s="128"/>
      <c r="B189" s="8" t="str">
        <f>物品!B189</f>
        <v>IT03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|Cff00FF7F六重天雷劫|r</v>
      </c>
      <c r="I189" s="8" t="str">
        <f>VLOOKUP(B189,物品!B:CV,99,FALSE)</f>
        <v>渡过该劫后可结成|Cff00ff7f高级道果|r。|n|n|Cff00ff7f高级道果：|r|n攻击+2000|n法强+2000|n生命值+4000 |n|Cffffd24d元神力+5|r|n|n|Cff00ff7f战力推荐：|r|n</v>
      </c>
      <c r="J189" s="130" t="str">
        <f t="shared" si="74"/>
        <v>|Cff00FF7F六重天雷劫|r</v>
      </c>
      <c r="K189" s="130" t="str">
        <f t="shared" si="75"/>
        <v>渡过该劫后可结成|Cff00ff7f高级道果|r。|n|n|Cff00ff7f高级道果：|r|n攻击+2000|n法强+2000|n生命值+4000 |n|Cffffd24d元神力+5|r|n|n|Cff00ff7f战力推荐：|r|n</v>
      </c>
      <c r="L189" s="8"/>
      <c r="M189" s="131" t="str">
        <f>VLOOKUP(LEFT(RIGHT(B189,5),4),物品!B:CU,20,FALSE)</f>
        <v>ReplaceableTextures\\CommandButtons\\BTNIT03.blp</v>
      </c>
      <c r="N189" s="148" t="s">
        <v>83</v>
      </c>
      <c r="O189" s="131" t="s">
        <v>90</v>
      </c>
      <c r="P189" s="8">
        <v>2</v>
      </c>
      <c r="Q189" s="8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8"/>
      <c r="W189" s="8" t="s">
        <v>87</v>
      </c>
      <c r="X189" s="8">
        <v>6000</v>
      </c>
      <c r="Y189" s="148" t="s">
        <v>83</v>
      </c>
      <c r="Z189" s="8">
        <v>0</v>
      </c>
      <c r="AA189" s="8">
        <v>0</v>
      </c>
      <c r="AB189" s="130">
        <v>3</v>
      </c>
      <c r="AC189" s="8">
        <v>1</v>
      </c>
      <c r="AD189" s="8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8">
        <v>1</v>
      </c>
      <c r="AJ189" s="8"/>
      <c r="AK189" s="8">
        <v>1</v>
      </c>
      <c r="AL189" s="8">
        <v>1</v>
      </c>
      <c r="AM189" s="148" t="s">
        <v>83</v>
      </c>
      <c r="AN189" s="8">
        <v>1</v>
      </c>
      <c r="AO189" s="8">
        <v>1</v>
      </c>
      <c r="AP189" s="8">
        <v>1</v>
      </c>
    </row>
    <row r="190" spans="1:42">
      <c r="A190" s="128"/>
      <c r="B190" s="8" t="str">
        <f>物品!B190</f>
        <v>IT04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|Cff00FF7F九重煅神劫|r</v>
      </c>
      <c r="I190" s="8" t="str">
        <f>VLOOKUP(B190,物品!B:CV,99,FALSE)</f>
        <v>渡过该劫后可结成|Cff00ff7f黄级道果|r。|n|n|Cff00ff7f黄级道果：|r|n攻击+2500|n法强+2500|n生命值+5000|n|Cffffd24d元神力+6|r|n|n|Cff00ff7f战力推荐：|r|n</v>
      </c>
      <c r="J190" s="130" t="str">
        <f t="shared" si="74"/>
        <v>|Cff00FF7F九重煅神劫|r</v>
      </c>
      <c r="K190" s="130" t="str">
        <f t="shared" si="75"/>
        <v>渡过该劫后可结成|Cff00ff7f黄级道果|r。|n|n|Cff00ff7f黄级道果：|r|n攻击+2500|n法强+2500|n生命值+5000|n|Cffffd24d元神力+6|r|n|n|Cff00ff7f战力推荐：|r|n</v>
      </c>
      <c r="L190" s="8"/>
      <c r="M190" s="131" t="str">
        <f>VLOOKUP(LEFT(RIGHT(B190,5),4),物品!B:CU,20,FALSE)</f>
        <v>ReplaceableTextures\\CommandButtons\\BTNIT04.blp</v>
      </c>
      <c r="N190" s="148" t="s">
        <v>83</v>
      </c>
      <c r="O190" s="131" t="s">
        <v>90</v>
      </c>
      <c r="P190" s="8">
        <v>3</v>
      </c>
      <c r="Q190" s="8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8"/>
      <c r="W190" s="8" t="s">
        <v>87</v>
      </c>
      <c r="X190" s="8">
        <v>10000</v>
      </c>
      <c r="Y190" s="148" t="s">
        <v>83</v>
      </c>
      <c r="Z190" s="8">
        <v>0</v>
      </c>
      <c r="AA190" s="8">
        <v>0</v>
      </c>
      <c r="AB190" s="130">
        <v>4</v>
      </c>
      <c r="AC190" s="8">
        <v>1</v>
      </c>
      <c r="AD190" s="8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8">
        <v>1</v>
      </c>
      <c r="AJ190" s="8"/>
      <c r="AK190" s="8">
        <v>1</v>
      </c>
      <c r="AL190" s="8">
        <v>1</v>
      </c>
      <c r="AM190" s="148" t="s">
        <v>83</v>
      </c>
      <c r="AN190" s="8">
        <v>1</v>
      </c>
      <c r="AO190" s="8">
        <v>1</v>
      </c>
      <c r="AP190" s="8">
        <v>1</v>
      </c>
    </row>
    <row r="191" spans="1:42">
      <c r="A191" s="128"/>
      <c r="B191" s="8" t="str">
        <f>物品!B191</f>
        <v>IT05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|Cff00BFFF灭魄血煞劫|r</v>
      </c>
      <c r="I191" s="8" t="str">
        <f>VLOOKUP(B191,物品!B:CV,99,FALSE)</f>
        <v>渡过该劫后可结成|Cff00bfff玄级道果|r。|n|n|Cff00bfff玄级道果：|r|n攻击+3000|n法强+3000|n生命值+6000|n|Cffffd24d元神力+7|r|n|n|Cff00ff7f战力推荐：|r|n</v>
      </c>
      <c r="J191" s="130" t="str">
        <f t="shared" si="74"/>
        <v>|Cff00BFFF灭魄血煞劫|r</v>
      </c>
      <c r="K191" s="130" t="str">
        <f t="shared" si="75"/>
        <v>渡过该劫后可结成|Cff00bfff玄级道果|r。|n|n|Cff00bfff玄级道果：|r|n攻击+3000|n法强+3000|n生命值+6000|n|Cffffd24d元神力+7|r|n|n|Cff00ff7f战力推荐：|r|n</v>
      </c>
      <c r="L191" s="8"/>
      <c r="M191" s="131" t="str">
        <f>VLOOKUP(LEFT(RIGHT(B191,5),4),物品!B:CU,20,FALSE)</f>
        <v>ReplaceableTextures\\CommandButtons\\BTNIT05.blp</v>
      </c>
      <c r="N191" s="148" t="s">
        <v>83</v>
      </c>
      <c r="O191" s="131" t="s">
        <v>90</v>
      </c>
      <c r="P191" s="8">
        <v>0</v>
      </c>
      <c r="Q191" s="8">
        <v>1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8"/>
      <c r="W191" s="8" t="s">
        <v>87</v>
      </c>
      <c r="X191" s="8">
        <v>15000</v>
      </c>
      <c r="Y191" s="148" t="s">
        <v>83</v>
      </c>
      <c r="Z191" s="8">
        <v>0</v>
      </c>
      <c r="AA191" s="8">
        <v>0</v>
      </c>
      <c r="AB191" s="130">
        <v>5</v>
      </c>
      <c r="AC191" s="8">
        <v>1</v>
      </c>
      <c r="AD191" s="8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8">
        <v>1</v>
      </c>
      <c r="AJ191" s="8"/>
      <c r="AK191" s="8">
        <v>1</v>
      </c>
      <c r="AL191" s="8">
        <v>1</v>
      </c>
      <c r="AM191" s="148" t="s">
        <v>83</v>
      </c>
      <c r="AN191" s="8">
        <v>1</v>
      </c>
      <c r="AO191" s="8">
        <v>1</v>
      </c>
      <c r="AP191" s="8">
        <v>1</v>
      </c>
    </row>
    <row r="192" spans="1:42">
      <c r="A192" s="128"/>
      <c r="B192" s="8" t="str">
        <f>物品!B192</f>
        <v>IT06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|Cff00BFFF入微洞虚劫|r</v>
      </c>
      <c r="I192" s="8" t="str">
        <f>VLOOKUP(B192,物品!B:CV,99,FALSE)</f>
        <v>渡过该劫后可结成|Cff00bfff地级道果|r。|n|n|Cff00bfff地级道果：|r|n攻击+4000|n法强+4000|n生命值+8000|n|Cffffd24d元神力+9|r|n|n|n|Cff00ff7f战力推荐：|r|n</v>
      </c>
      <c r="J192" s="130" t="str">
        <f t="shared" si="74"/>
        <v>|Cff00BFFF入微洞虚劫|r</v>
      </c>
      <c r="K192" s="130" t="str">
        <f t="shared" si="75"/>
        <v>渡过该劫后可结成|Cff00bfff地级道果|r。|n|n|Cff00bfff地级道果：|r|n攻击+4000|n法强+4000|n生命值+8000|n|Cffffd24d元神力+9|r|n|n|n|Cff00ff7f战力推荐：|r|n</v>
      </c>
      <c r="L192" s="8"/>
      <c r="M192" s="131" t="str">
        <f>VLOOKUP(LEFT(RIGHT(B192,5),4),物品!B:CU,20,FALSE)</f>
        <v>ReplaceableTextures\\CommandButtons\\BTNIT06.blp</v>
      </c>
      <c r="N192" s="148" t="s">
        <v>83</v>
      </c>
      <c r="O192" s="131" t="s">
        <v>90</v>
      </c>
      <c r="P192" s="8">
        <v>1</v>
      </c>
      <c r="Q192" s="8">
        <v>1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8"/>
      <c r="W192" s="8" t="s">
        <v>87</v>
      </c>
      <c r="X192" s="8">
        <v>20000</v>
      </c>
      <c r="Y192" s="148" t="s">
        <v>83</v>
      </c>
      <c r="Z192" s="8">
        <v>0</v>
      </c>
      <c r="AA192" s="8">
        <v>0</v>
      </c>
      <c r="AB192" s="130">
        <v>6</v>
      </c>
      <c r="AC192" s="8">
        <v>1</v>
      </c>
      <c r="AD192" s="8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8">
        <v>1</v>
      </c>
      <c r="AJ192" s="8"/>
      <c r="AK192" s="8">
        <v>1</v>
      </c>
      <c r="AL192" s="8">
        <v>1</v>
      </c>
      <c r="AM192" s="148" t="s">
        <v>83</v>
      </c>
      <c r="AN192" s="8">
        <v>1</v>
      </c>
      <c r="AO192" s="8">
        <v>1</v>
      </c>
      <c r="AP192" s="8">
        <v>1</v>
      </c>
    </row>
    <row r="193" spans="1:42">
      <c r="A193" s="128"/>
      <c r="B193" s="8" t="str">
        <f>物品!B193</f>
        <v>IT07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|CffFFD24D因果厄难劫|r</v>
      </c>
      <c r="I193" s="8" t="str">
        <f>VLOOKUP(B193,物品!B:CV,99,FALSE)</f>
        <v>渡过该劫后可结成|Cffffc926天级道果|r。|n|n|Cffffc926天级道果：|r|n攻击+5000|n法强+5000|n生命值+10000|n|Cffffd24d元神力+11|r|n|n|Cff00ff7f战力推荐：|r|n</v>
      </c>
      <c r="J193" s="130" t="str">
        <f t="shared" si="74"/>
        <v>|CffFFD24D因果厄难劫|r</v>
      </c>
      <c r="K193" s="130" t="str">
        <f t="shared" si="75"/>
        <v>渡过该劫后可结成|Cffffc926天级道果|r。|n|n|Cffffc926天级道果：|r|n攻击+5000|n法强+5000|n生命值+10000|n|Cffffd24d元神力+11|r|n|n|Cff00ff7f战力推荐：|r|n</v>
      </c>
      <c r="L193" s="8"/>
      <c r="M193" s="131" t="str">
        <f>VLOOKUP(LEFT(RIGHT(B193,5),4),物品!B:CU,20,FALSE)</f>
        <v>ReplaceableTextures\\CommandButtons\\BTNIT07.blp</v>
      </c>
      <c r="N193" s="148" t="s">
        <v>83</v>
      </c>
      <c r="O193" s="131" t="s">
        <v>90</v>
      </c>
      <c r="P193" s="8">
        <v>2</v>
      </c>
      <c r="Q193" s="8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8"/>
      <c r="W193" s="8" t="s">
        <v>87</v>
      </c>
      <c r="X193" s="8">
        <v>30000</v>
      </c>
      <c r="Y193" s="148" t="s">
        <v>83</v>
      </c>
      <c r="Z193" s="8">
        <v>0</v>
      </c>
      <c r="AA193" s="8">
        <v>0</v>
      </c>
      <c r="AB193" s="130">
        <v>7</v>
      </c>
      <c r="AC193" s="8">
        <v>1</v>
      </c>
      <c r="AD193" s="8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8">
        <v>1</v>
      </c>
      <c r="AJ193" s="8"/>
      <c r="AK193" s="8">
        <v>1</v>
      </c>
      <c r="AL193" s="8">
        <v>1</v>
      </c>
      <c r="AM193" s="148" t="s">
        <v>83</v>
      </c>
      <c r="AN193" s="8">
        <v>1</v>
      </c>
      <c r="AO193" s="8">
        <v>1</v>
      </c>
      <c r="AP193" s="8">
        <v>1</v>
      </c>
    </row>
    <row r="194" spans="1:42">
      <c r="A194" s="128"/>
      <c r="B194" s="8" t="str">
        <f>物品!B194</f>
        <v>IT08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|CffFFD24D迷魂幻世劫|r</v>
      </c>
      <c r="I194" s="8" t="str">
        <f>VLOOKUP(B194,物品!B:CV,99,FALSE)</f>
        <v>渡过该劫后可结成|Cffffc926仙品道果|r。|n|n|Cffffc926仙品道果：|r|n攻击+6500|n法强+6500|n生命值+13000|n|Cffffd24d元神力+13|r|n|n|Cff00ff7f战力推荐：|r</v>
      </c>
      <c r="J194" s="130" t="str">
        <f t="shared" si="74"/>
        <v>|CffFFD24D迷魂幻世劫|r</v>
      </c>
      <c r="K194" s="130" t="str">
        <f t="shared" si="75"/>
        <v>渡过该劫后可结成|Cffffc926仙品道果|r。|n|n|Cffffc926仙品道果：|r|n攻击+6500|n法强+6500|n生命值+13000|n|Cffffd24d元神力+13|r|n|n|Cff00ff7f战力推荐：|r</v>
      </c>
      <c r="L194" s="8"/>
      <c r="M194" s="131" t="str">
        <f>VLOOKUP(LEFT(RIGHT(B194,5),4),物品!B:CU,20,FALSE)</f>
        <v>ReplaceableTextures\\CommandButtons\\BTNIT08.blp</v>
      </c>
      <c r="N194" s="148" t="s">
        <v>83</v>
      </c>
      <c r="O194" s="131" t="s">
        <v>90</v>
      </c>
      <c r="P194" s="8">
        <v>3</v>
      </c>
      <c r="Q194" s="8">
        <v>1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8"/>
      <c r="W194" s="8" t="s">
        <v>87</v>
      </c>
      <c r="X194" s="8">
        <v>40000</v>
      </c>
      <c r="Y194" s="148" t="s">
        <v>83</v>
      </c>
      <c r="Z194" s="8">
        <v>0</v>
      </c>
      <c r="AA194" s="8">
        <v>0</v>
      </c>
      <c r="AB194" s="130">
        <v>8</v>
      </c>
      <c r="AC194" s="8">
        <v>1</v>
      </c>
      <c r="AD194" s="8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8">
        <v>1</v>
      </c>
      <c r="AJ194" s="8"/>
      <c r="AK194" s="8">
        <v>1</v>
      </c>
      <c r="AL194" s="8">
        <v>1</v>
      </c>
      <c r="AM194" s="148" t="s">
        <v>83</v>
      </c>
      <c r="AN194" s="8">
        <v>1</v>
      </c>
      <c r="AO194" s="8">
        <v>1</v>
      </c>
      <c r="AP194" s="8">
        <v>1</v>
      </c>
    </row>
    <row r="195" spans="1:42">
      <c r="A195" s="128"/>
      <c r="B195" s="8" t="str">
        <f>物品!B195</f>
        <v>IT09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|CffFF0000天人五衰劫|r</v>
      </c>
      <c r="I195" s="8" t="str">
        <f>VLOOKUP(B195,物品!B:CV,99,FALSE)</f>
        <v>渡过该劫后可结成|Cffff0000至圣道果|r。|n|n|Cffff0000至圣道果：|r|n攻击+8000|n法强+8000|n生命值+16000|n|Cffffd24d元神力+16|r|n|n|Cff00ff7f战力推荐：|r</v>
      </c>
      <c r="J195" s="130" t="str">
        <f t="shared" si="74"/>
        <v>|CffFF0000天人五衰劫|r</v>
      </c>
      <c r="K195" s="130" t="str">
        <f t="shared" si="75"/>
        <v>渡过该劫后可结成|Cffff0000至圣道果|r。|n|n|Cffff0000至圣道果：|r|n攻击+8000|n法强+8000|n生命值+16000|n|Cffffd24d元神力+16|r|n|n|Cff00ff7f战力推荐：|r</v>
      </c>
      <c r="L195" s="8"/>
      <c r="M195" s="131" t="str">
        <f>VLOOKUP(LEFT(RIGHT(B195,5),4),物品!B:CU,20,FALSE)</f>
        <v>ReplaceableTextures\\CommandButtons\\BTNIT09.blp</v>
      </c>
      <c r="N195" s="148" t="s">
        <v>83</v>
      </c>
      <c r="O195" s="131" t="s">
        <v>90</v>
      </c>
      <c r="P195" s="8">
        <v>0</v>
      </c>
      <c r="Q195" s="8">
        <v>2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8"/>
      <c r="W195" s="8" t="s">
        <v>87</v>
      </c>
      <c r="X195" s="8">
        <v>50000</v>
      </c>
      <c r="Y195" s="148" t="s">
        <v>83</v>
      </c>
      <c r="Z195" s="8">
        <v>0</v>
      </c>
      <c r="AA195" s="8">
        <v>0</v>
      </c>
      <c r="AB195" s="130">
        <v>9</v>
      </c>
      <c r="AC195" s="8">
        <v>1</v>
      </c>
      <c r="AD195" s="8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8">
        <v>1</v>
      </c>
      <c r="AJ195" s="8"/>
      <c r="AK195" s="8">
        <v>1</v>
      </c>
      <c r="AL195" s="8">
        <v>1</v>
      </c>
      <c r="AM195" s="148" t="s">
        <v>83</v>
      </c>
      <c r="AN195" s="8">
        <v>1</v>
      </c>
      <c r="AO195" s="8">
        <v>1</v>
      </c>
      <c r="AP195" s="8">
        <v>1</v>
      </c>
    </row>
    <row r="196" spans="1:42">
      <c r="A196" s="128"/>
      <c r="B196" s="8" t="str">
        <f>物品!B196</f>
        <v>IT10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|CffFF0000混元灭世劫|r</v>
      </c>
      <c r="I196" s="8" t="str">
        <f>VLOOKUP(B196,物品!B:CV,99,FALSE)</f>
        <v>渡过该劫后可结成|Cffff0000混沌道果|r。|n|n|Cffff0000混沌道果：|r|n攻击+10000|n法强+10000|n生命值+20000|n|Cffffd24d元神力+20|r|n|n|Cff00ff7f战力推荐：|r</v>
      </c>
      <c r="J196" s="130" t="str">
        <f t="shared" si="74"/>
        <v>|CffFF0000混元灭世劫|r</v>
      </c>
      <c r="K196" s="130" t="str">
        <f t="shared" si="75"/>
        <v>渡过该劫后可结成|Cffff0000混沌道果|r。|n|n|Cffff0000混沌道果：|r|n攻击+10000|n法强+10000|n生命值+20000|n|Cffffd24d元神力+20|r|n|n|Cff00ff7f战力推荐：|r</v>
      </c>
      <c r="L196" s="8"/>
      <c r="M196" s="131" t="str">
        <f>VLOOKUP(LEFT(RIGHT(B196,5),4),物品!B:CU,20,FALSE)</f>
        <v>ReplaceableTextures\\CommandButtons\\BTNIT10.blp</v>
      </c>
      <c r="N196" s="148" t="s">
        <v>83</v>
      </c>
      <c r="O196" s="131" t="s">
        <v>90</v>
      </c>
      <c r="P196" s="8">
        <v>1</v>
      </c>
      <c r="Q196" s="8">
        <v>2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8"/>
      <c r="W196" s="8" t="s">
        <v>87</v>
      </c>
      <c r="X196" s="8">
        <v>80000</v>
      </c>
      <c r="Y196" s="148" t="s">
        <v>83</v>
      </c>
      <c r="Z196" s="8">
        <v>0</v>
      </c>
      <c r="AA196" s="8">
        <v>0</v>
      </c>
      <c r="AB196" s="130">
        <v>10</v>
      </c>
      <c r="AC196" s="8">
        <v>1</v>
      </c>
      <c r="AD196" s="8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8">
        <v>1</v>
      </c>
      <c r="AJ196" s="8"/>
      <c r="AK196" s="8">
        <v>1</v>
      </c>
      <c r="AL196" s="8">
        <v>1</v>
      </c>
      <c r="AM196" s="148" t="s">
        <v>83</v>
      </c>
      <c r="AN196" s="8">
        <v>1</v>
      </c>
      <c r="AO196" s="8">
        <v>1</v>
      </c>
      <c r="AP196" s="8">
        <v>1</v>
      </c>
    </row>
    <row r="197" spans="1:42">
      <c r="A197" s="128"/>
      <c r="B197" s="8" t="str">
        <f>物品!B197</f>
        <v>IT11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斩三尸</v>
      </c>
      <c r="I197" s="8" t="str">
        <f>VLOOKUP(B197,物品!B:CV,99,FALSE)</f>
        <v>境界挑战11</v>
      </c>
      <c r="J197" s="130" t="str">
        <f t="shared" ref="J197:J203" si="76">H197</f>
        <v>斩三尸</v>
      </c>
      <c r="K197" s="130" t="str">
        <f t="shared" ref="K197:K203" si="77">I197</f>
        <v>境界挑战11</v>
      </c>
      <c r="L197" s="8"/>
      <c r="M197" s="131" t="str">
        <f>VLOOKUP(LEFT(RIGHT(B197,5),4),物品!B:CU,20,FALSE)</f>
        <v>ReplaceableTextures\\CommandButtons\\BTNIT11.blp</v>
      </c>
      <c r="N197" s="148" t="s">
        <v>83</v>
      </c>
      <c r="O197" s="131" t="s">
        <v>90</v>
      </c>
      <c r="P197" s="8">
        <v>2</v>
      </c>
      <c r="Q197" s="8">
        <v>1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8"/>
      <c r="W197" s="8" t="s">
        <v>87</v>
      </c>
      <c r="X197" s="8">
        <v>0</v>
      </c>
      <c r="Y197" s="148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8">
        <v>1</v>
      </c>
      <c r="AJ197" s="8"/>
      <c r="AK197" s="8">
        <v>1</v>
      </c>
      <c r="AL197" s="8">
        <v>1</v>
      </c>
      <c r="AM197" s="148" t="s">
        <v>83</v>
      </c>
      <c r="AN197" s="8">
        <v>1</v>
      </c>
      <c r="AO197" s="8">
        <v>1</v>
      </c>
      <c r="AP197" s="8">
        <v>1</v>
      </c>
    </row>
    <row r="198" spans="1:42">
      <c r="A198" s="128"/>
      <c r="B198" s="8" t="str">
        <f>物品!B198</f>
        <v>IT12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无量量劫</v>
      </c>
      <c r="I198" s="8" t="str">
        <f>VLOOKUP(B198,物品!B:CV,99,FALSE)</f>
        <v>境界挑战12</v>
      </c>
      <c r="J198" s="130" t="str">
        <f t="shared" si="76"/>
        <v>无量量劫</v>
      </c>
      <c r="K198" s="130" t="str">
        <f t="shared" si="77"/>
        <v>境界挑战12</v>
      </c>
      <c r="L198" s="8"/>
      <c r="M198" s="131" t="str">
        <f>VLOOKUP(LEFT(RIGHT(B198,5),4),物品!B:CU,20,FALSE)</f>
        <v>ReplaceableTextures\\CommandButtons\\BTNIT12.blp</v>
      </c>
      <c r="N198" s="148" t="s">
        <v>83</v>
      </c>
      <c r="O198" s="131" t="s">
        <v>90</v>
      </c>
      <c r="P198" s="8">
        <v>3</v>
      </c>
      <c r="Q198" s="8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8"/>
      <c r="W198" s="8" t="s">
        <v>87</v>
      </c>
      <c r="X198" s="8">
        <v>0</v>
      </c>
      <c r="Y198" s="148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8">
        <v>1</v>
      </c>
      <c r="AJ198" s="8"/>
      <c r="AK198" s="8">
        <v>1</v>
      </c>
      <c r="AL198" s="8">
        <v>1</v>
      </c>
      <c r="AM198" s="148" t="s">
        <v>83</v>
      </c>
      <c r="AN198" s="8">
        <v>1</v>
      </c>
      <c r="AO198" s="8">
        <v>1</v>
      </c>
      <c r="AP198" s="8">
        <v>1</v>
      </c>
    </row>
    <row r="199" spans="1:42">
      <c r="A199" s="128"/>
      <c r="B199" s="8" t="str">
        <f>物品!B199</f>
        <v>IT13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鸿钧对练</v>
      </c>
      <c r="I199" s="8" t="str">
        <f>VLOOKUP(B199,物品!B:CV,99,FALSE)</f>
        <v>境界挑战13</v>
      </c>
      <c r="J199" s="130" t="str">
        <f t="shared" si="76"/>
        <v>鸿钧对练</v>
      </c>
      <c r="K199" s="130" t="str">
        <f t="shared" si="77"/>
        <v>境界挑战13</v>
      </c>
      <c r="L199" s="8"/>
      <c r="M199" s="131" t="str">
        <f>VLOOKUP(LEFT(RIGHT(B199,5),4),物品!B:CU,20,FALSE)</f>
        <v>ReplaceableTextures\\CommandButtons\\BTNIT13.blp</v>
      </c>
      <c r="N199" s="148" t="s">
        <v>83</v>
      </c>
      <c r="O199" s="131" t="s">
        <v>90</v>
      </c>
      <c r="P199" s="8">
        <v>0</v>
      </c>
      <c r="Q199" s="8">
        <v>2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8"/>
      <c r="W199" s="8" t="s">
        <v>87</v>
      </c>
      <c r="X199" s="8">
        <v>0</v>
      </c>
      <c r="Y199" s="148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8">
        <v>1</v>
      </c>
      <c r="AJ199" s="8"/>
      <c r="AK199" s="8">
        <v>1</v>
      </c>
      <c r="AL199" s="8">
        <v>1</v>
      </c>
      <c r="AM199" s="148" t="s">
        <v>83</v>
      </c>
      <c r="AN199" s="8">
        <v>1</v>
      </c>
      <c r="AO199" s="8">
        <v>1</v>
      </c>
      <c r="AP199" s="8">
        <v>1</v>
      </c>
    </row>
    <row r="200" spans="1:42">
      <c r="A200" s="128"/>
      <c r="B200" s="8" t="str">
        <f>物品!B200</f>
        <v>IT14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境界挑战14</v>
      </c>
      <c r="I200" s="8" t="str">
        <f>VLOOKUP(B200,物品!B:CV,99,FALSE)</f>
        <v>境界挑战14</v>
      </c>
      <c r="J200" s="130" t="str">
        <f t="shared" si="76"/>
        <v>境界挑战14</v>
      </c>
      <c r="K200" s="130" t="str">
        <f t="shared" si="77"/>
        <v>境界挑战14</v>
      </c>
      <c r="L200" s="8"/>
      <c r="M200" s="131" t="str">
        <f>VLOOKUP(LEFT(RIGHT(B200,5),4),物品!B:CU,20,FALSE)</f>
        <v>ReplaceableTextures\\CommandButtons\\BTNIT14.blp</v>
      </c>
      <c r="N200" s="148" t="s">
        <v>83</v>
      </c>
      <c r="O200" s="131" t="s">
        <v>90</v>
      </c>
      <c r="P200" s="8">
        <v>1</v>
      </c>
      <c r="Q200" s="8">
        <v>2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8"/>
      <c r="W200" s="8" t="s">
        <v>87</v>
      </c>
      <c r="X200" s="8">
        <v>0</v>
      </c>
      <c r="Y200" s="148" t="s">
        <v>83</v>
      </c>
      <c r="Z200" s="8">
        <v>0</v>
      </c>
      <c r="AA200" s="8">
        <v>0</v>
      </c>
      <c r="AB200" s="8">
        <v>0</v>
      </c>
      <c r="AC200" s="8">
        <v>1</v>
      </c>
      <c r="AD200" s="8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8">
        <v>1</v>
      </c>
      <c r="AJ200" s="8"/>
      <c r="AK200" s="8">
        <v>1</v>
      </c>
      <c r="AL200" s="8">
        <v>1</v>
      </c>
      <c r="AM200" s="148" t="s">
        <v>83</v>
      </c>
      <c r="AN200" s="8">
        <v>1</v>
      </c>
      <c r="AO200" s="8">
        <v>1</v>
      </c>
      <c r="AP200" s="8">
        <v>1</v>
      </c>
    </row>
    <row r="201" spans="1:42">
      <c r="A201" s="128"/>
      <c r="B201" s="8" t="str">
        <f>物品!B201</f>
        <v>IZ0A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暂停进攻</v>
      </c>
      <c r="I201" s="8" t="str">
        <f>VLOOKUP(B201,物品!B:CV,99,FALSE)</f>
        <v>暂停进攻</v>
      </c>
      <c r="J201" s="130" t="str">
        <f t="shared" si="76"/>
        <v>暂停进攻</v>
      </c>
      <c r="K201" s="130" t="str">
        <f t="shared" si="77"/>
        <v>暂停进攻</v>
      </c>
      <c r="L201" s="8"/>
      <c r="M201" s="131" t="str">
        <f>VLOOKUP(LEFT(RIGHT(B201,5),4),物品!B:CU,20,FALSE)</f>
        <v>ReplaceableTextures\\CommandButtons\\BTNIZ0A.blp</v>
      </c>
      <c r="N201" s="148" t="s">
        <v>83</v>
      </c>
      <c r="O201" s="131" t="s">
        <v>90</v>
      </c>
      <c r="P201" s="8">
        <v>1</v>
      </c>
      <c r="Q201" s="8">
        <v>2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8"/>
      <c r="W201" s="8" t="s">
        <v>87</v>
      </c>
      <c r="X201" s="8">
        <v>10000</v>
      </c>
      <c r="Y201" s="148" t="s">
        <v>83</v>
      </c>
      <c r="Z201" s="8">
        <v>120</v>
      </c>
      <c r="AA201" s="8">
        <v>300</v>
      </c>
      <c r="AB201" s="8">
        <v>0</v>
      </c>
      <c r="AC201" s="8">
        <v>1</v>
      </c>
      <c r="AD201" s="8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8">
        <v>1</v>
      </c>
      <c r="AJ201" s="8"/>
      <c r="AK201" s="8">
        <v>1</v>
      </c>
      <c r="AL201" s="8">
        <v>1</v>
      </c>
      <c r="AM201" s="148" t="s">
        <v>83</v>
      </c>
      <c r="AN201" s="8">
        <v>1</v>
      </c>
      <c r="AO201" s="8">
        <v>1</v>
      </c>
      <c r="AP201" s="8">
        <v>1</v>
      </c>
    </row>
    <row r="202" spans="1:42">
      <c r="A202" s="128"/>
      <c r="B202" s="8" t="str">
        <f>物品!B202</f>
        <v>IZ01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|CffFF0000团队副本-万仙阵|r</v>
      </c>
      <c r="I202" s="8" t="str">
        <f>VLOOKUP(B202,物品!B:CV,99,FALSE)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202" s="130" t="str">
        <f t="shared" ref="J202" si="78">H202</f>
        <v>|CffFF0000团队副本-万仙阵|r</v>
      </c>
      <c r="K202" s="130" t="str">
        <f t="shared" ref="K202" si="79">I202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202" s="8"/>
      <c r="M202" s="131" t="str">
        <f>VLOOKUP(LEFT(RIGHT(B202,5),4),物品!B:CU,20,FALSE)</f>
        <v>ReplaceableTextures\\CommandButtons\\BTNIZ01.blp</v>
      </c>
      <c r="N202" s="148" t="s">
        <v>83</v>
      </c>
      <c r="O202" s="131" t="s">
        <v>90</v>
      </c>
      <c r="P202" s="8">
        <v>1</v>
      </c>
      <c r="Q202" s="8">
        <v>2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8"/>
      <c r="W202" s="8" t="s">
        <v>87</v>
      </c>
      <c r="X202" s="8">
        <v>0</v>
      </c>
      <c r="Y202" s="148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8">
        <v>1</v>
      </c>
      <c r="AJ202" s="8"/>
      <c r="AK202" s="8">
        <v>1</v>
      </c>
      <c r="AL202" s="8">
        <v>1</v>
      </c>
      <c r="AM202" s="148" t="s">
        <v>83</v>
      </c>
      <c r="AN202" s="8">
        <v>1</v>
      </c>
      <c r="AO202" s="8">
        <v>1</v>
      </c>
      <c r="AP202" s="8">
        <v>1</v>
      </c>
    </row>
    <row r="203" spans="1:42">
      <c r="A203" s="128"/>
      <c r="B203" s="8" t="str">
        <f>物品!B203</f>
        <v>IS01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学习Q技能</v>
      </c>
      <c r="I203" s="8" t="str">
        <f>VLOOKUP(B203,物品!B:CV,99,FALSE)</f>
        <v>学习或重置当前|cffffd24dQ技能|r。|n|cffffcc00抽取消耗：|r2000金币*次数|n|cffffcc00抽取次数：|r0/10|n|n|cff00ff7f单局最多抽取10次|r</v>
      </c>
      <c r="J203" s="130" t="str">
        <f t="shared" si="76"/>
        <v>学习Q技能</v>
      </c>
      <c r="K203" s="130" t="str">
        <f t="shared" si="77"/>
        <v>学习或重置当前|cffffd24dQ技能|r。|n|cffffcc00抽取消耗：|r2000金币*次数|n|cffffcc00抽取次数：|r0/10|n|n|cff00ff7f单局最多抽取10次|r</v>
      </c>
      <c r="L203" s="8"/>
      <c r="M203" s="131" t="str">
        <f>VLOOKUP(LEFT(RIGHT(B203,5),4),物品!B:CU,20,FALSE)</f>
        <v>ReplaceableTextures\\CommandButtons\\BTN001.blp</v>
      </c>
      <c r="N203" s="148" t="s">
        <v>83</v>
      </c>
      <c r="O203" s="131" t="s">
        <v>90</v>
      </c>
      <c r="P203" s="8">
        <v>0</v>
      </c>
      <c r="Q203" s="8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8"/>
      <c r="W203" s="8" t="s">
        <v>87</v>
      </c>
      <c r="X203" s="8">
        <v>0</v>
      </c>
      <c r="Y203" s="148" t="s">
        <v>83</v>
      </c>
      <c r="Z203" s="8">
        <v>0</v>
      </c>
      <c r="AA203" s="8">
        <v>0</v>
      </c>
      <c r="AB203" s="8">
        <v>0</v>
      </c>
      <c r="AC203" s="8">
        <v>1</v>
      </c>
      <c r="AD203" s="8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8">
        <v>1</v>
      </c>
      <c r="AJ203" s="8"/>
      <c r="AK203" s="8">
        <v>1</v>
      </c>
      <c r="AL203" s="8">
        <v>1</v>
      </c>
      <c r="AM203" s="148" t="s">
        <v>83</v>
      </c>
      <c r="AN203" s="8">
        <v>1</v>
      </c>
      <c r="AO203" s="8">
        <v>1</v>
      </c>
      <c r="AP203" s="8">
        <v>1</v>
      </c>
    </row>
    <row r="204" spans="1:42">
      <c r="A204" s="128"/>
      <c r="B204" s="8" t="str">
        <f>物品!B204</f>
        <v>IS02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学习W技能</v>
      </c>
      <c r="I204" s="8" t="str">
        <f>VLOOKUP(B204,物品!B:CV,99,FALSE)</f>
        <v>学习或重置当前|cffffd24dW技能|r。|n|cffffcc00抽取消耗：|r5000金币*次数|n|cffffcc00抽取次数：|r0/10|n|n|cff00ff7f单局最多抽取10次|r</v>
      </c>
      <c r="J204" s="130" t="str">
        <f t="shared" si="74"/>
        <v>学习W技能</v>
      </c>
      <c r="K204" s="130" t="str">
        <f t="shared" si="75"/>
        <v>学习或重置当前|cffffd24dW技能|r。|n|cffffcc00抽取消耗：|r5000金币*次数|n|cffffcc00抽取次数：|r0/10|n|n|cff00ff7f单局最多抽取10次|r</v>
      </c>
      <c r="L204" s="8"/>
      <c r="M204" s="131" t="str">
        <f>VLOOKUP(LEFT(RIGHT(B204,5),4),物品!B:CU,20,FALSE)</f>
        <v>ReplaceableTextures\\CommandButtons\\BTN002.blp</v>
      </c>
      <c r="N204" s="148" t="s">
        <v>83</v>
      </c>
      <c r="O204" s="131" t="s">
        <v>90</v>
      </c>
      <c r="P204" s="8">
        <v>1</v>
      </c>
      <c r="Q204" s="8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8"/>
      <c r="W204" s="8" t="s">
        <v>87</v>
      </c>
      <c r="X204" s="8">
        <v>0</v>
      </c>
      <c r="Y204" s="148" t="s">
        <v>83</v>
      </c>
      <c r="Z204" s="8">
        <v>0</v>
      </c>
      <c r="AA204" s="8">
        <v>0</v>
      </c>
      <c r="AB204" s="8">
        <v>0</v>
      </c>
      <c r="AC204" s="8">
        <v>1</v>
      </c>
      <c r="AD204" s="8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8">
        <v>1</v>
      </c>
      <c r="AJ204" s="8"/>
      <c r="AK204" s="8">
        <v>1</v>
      </c>
      <c r="AL204" s="8">
        <v>1</v>
      </c>
      <c r="AM204" s="148" t="s">
        <v>83</v>
      </c>
      <c r="AN204" s="8">
        <v>1</v>
      </c>
      <c r="AO204" s="8">
        <v>1</v>
      </c>
      <c r="AP204" s="8">
        <v>1</v>
      </c>
    </row>
    <row r="205" spans="1:42">
      <c r="A205" s="128"/>
      <c r="B205" s="8" t="str">
        <f>物品!B205</f>
        <v>IS03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学习E技能</v>
      </c>
      <c r="I205" s="8" t="str">
        <f>VLOOKUP(B205,物品!B:CV,99,FALSE)</f>
        <v>学习或重置当前|cffffd24dE技能|r。|n|cffffcc00抽取消耗：|r20000金币*次数|n|cffffcc00抽取次数：|r0/10|n|n|cff00ff7f单局最多抽取10次|r</v>
      </c>
      <c r="J205" s="130" t="str">
        <f t="shared" si="74"/>
        <v>学习E技能</v>
      </c>
      <c r="K205" s="130" t="str">
        <f t="shared" si="75"/>
        <v>学习或重置当前|cffffd24dE技能|r。|n|cffffcc00抽取消耗：|r20000金币*次数|n|cffffcc00抽取次数：|r0/10|n|n|cff00ff7f单局最多抽取10次|r</v>
      </c>
      <c r="L205" s="8"/>
      <c r="M205" s="131" t="str">
        <f>VLOOKUP(LEFT(RIGHT(B205,5),4),物品!B:CU,20,FALSE)</f>
        <v>ReplaceableTextures\\CommandButtons\\BTN003.blp</v>
      </c>
      <c r="N205" s="148" t="s">
        <v>83</v>
      </c>
      <c r="O205" s="131" t="s">
        <v>90</v>
      </c>
      <c r="P205" s="8">
        <v>2</v>
      </c>
      <c r="Q205" s="8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8"/>
      <c r="W205" s="8" t="s">
        <v>87</v>
      </c>
      <c r="X205" s="8">
        <v>0</v>
      </c>
      <c r="Y205" s="148" t="s">
        <v>83</v>
      </c>
      <c r="Z205" s="8">
        <v>0</v>
      </c>
      <c r="AA205" s="8">
        <v>0</v>
      </c>
      <c r="AB205" s="8">
        <v>0</v>
      </c>
      <c r="AC205" s="8">
        <v>1</v>
      </c>
      <c r="AD205" s="8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8">
        <v>1</v>
      </c>
      <c r="AJ205" s="8"/>
      <c r="AK205" s="8">
        <v>1</v>
      </c>
      <c r="AL205" s="8">
        <v>1</v>
      </c>
      <c r="AM205" s="148" t="s">
        <v>83</v>
      </c>
      <c r="AN205" s="8">
        <v>1</v>
      </c>
      <c r="AO205" s="8">
        <v>1</v>
      </c>
      <c r="AP205" s="8">
        <v>1</v>
      </c>
    </row>
    <row r="206" spans="1:42">
      <c r="A206" s="128"/>
      <c r="B206" s="8" t="str">
        <f>物品!B206</f>
        <v>IS21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Q附魔</v>
      </c>
      <c r="I206" s="8" t="str">
        <f>VLOOKUP(B206,物品!B:CV,99,FALSE)</f>
        <v>Q附魔</v>
      </c>
      <c r="J206" s="130" t="str">
        <f t="shared" si="74"/>
        <v>Q附魔</v>
      </c>
      <c r="K206" s="130" t="str">
        <f t="shared" si="75"/>
        <v>Q附魔</v>
      </c>
      <c r="L206" s="8"/>
      <c r="M206" s="131" t="str">
        <f>VLOOKUP(LEFT(RIGHT(B206,5),4),物品!B:CU,20,FALSE)</f>
        <v>ReplaceableTextures\\CommandButtons\\BTNIN01.blp</v>
      </c>
      <c r="N206" s="148" t="s">
        <v>83</v>
      </c>
      <c r="O206" s="131" t="s">
        <v>90</v>
      </c>
      <c r="P206" s="8">
        <v>0</v>
      </c>
      <c r="Q206" s="8">
        <v>2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8"/>
      <c r="W206" s="8" t="s">
        <v>87</v>
      </c>
      <c r="X206" s="8">
        <v>0</v>
      </c>
      <c r="Y206" s="148" t="s">
        <v>83</v>
      </c>
      <c r="Z206" s="8">
        <v>360</v>
      </c>
      <c r="AA206" s="8">
        <v>0</v>
      </c>
      <c r="AB206" s="8">
        <v>0</v>
      </c>
      <c r="AC206" s="8">
        <v>1</v>
      </c>
      <c r="AD206" s="8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8">
        <v>1</v>
      </c>
      <c r="AJ206" s="8"/>
      <c r="AK206" s="8">
        <v>1</v>
      </c>
      <c r="AL206" s="8">
        <v>1</v>
      </c>
      <c r="AM206" s="148" t="s">
        <v>83</v>
      </c>
      <c r="AN206" s="8">
        <v>1</v>
      </c>
      <c r="AO206" s="8">
        <v>1</v>
      </c>
      <c r="AP206" s="8">
        <v>1</v>
      </c>
    </row>
    <row r="207" spans="1:42">
      <c r="A207" s="128"/>
      <c r="B207" s="8" t="str">
        <f>物品!B207</f>
        <v>IS22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W附魔</v>
      </c>
      <c r="I207" s="8" t="str">
        <f>VLOOKUP(B207,物品!B:CV,99,FALSE)</f>
        <v>W附魔</v>
      </c>
      <c r="J207" s="130" t="str">
        <f t="shared" ref="J207:J209" si="80">H207</f>
        <v>W附魔</v>
      </c>
      <c r="K207" s="130" t="str">
        <f t="shared" ref="K207:K209" si="81">I207</f>
        <v>W附魔</v>
      </c>
      <c r="L207" s="8"/>
      <c r="M207" s="131" t="str">
        <f>VLOOKUP(LEFT(RIGHT(B207,5),4),物品!B:CU,20,FALSE)</f>
        <v>ReplaceableTextures\\CommandButtons\\BTNIN02.blp</v>
      </c>
      <c r="N207" s="148" t="s">
        <v>83</v>
      </c>
      <c r="O207" s="131" t="s">
        <v>90</v>
      </c>
      <c r="P207" s="8">
        <v>1</v>
      </c>
      <c r="Q207" s="8">
        <v>2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8"/>
      <c r="W207" s="8" t="s">
        <v>87</v>
      </c>
      <c r="X207" s="8">
        <v>0</v>
      </c>
      <c r="Y207" s="148" t="s">
        <v>83</v>
      </c>
      <c r="Z207" s="8">
        <v>360</v>
      </c>
      <c r="AA207" s="8">
        <v>0</v>
      </c>
      <c r="AB207" s="8">
        <v>0</v>
      </c>
      <c r="AC207" s="8">
        <v>1</v>
      </c>
      <c r="AD207" s="8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8">
        <v>1</v>
      </c>
      <c r="AJ207" s="8"/>
      <c r="AK207" s="8">
        <v>1</v>
      </c>
      <c r="AL207" s="8">
        <v>1</v>
      </c>
      <c r="AM207" s="148" t="s">
        <v>83</v>
      </c>
      <c r="AN207" s="8">
        <v>1</v>
      </c>
      <c r="AO207" s="8">
        <v>1</v>
      </c>
      <c r="AP207" s="8">
        <v>1</v>
      </c>
    </row>
    <row r="208" spans="1:42">
      <c r="A208" s="128"/>
      <c r="B208" s="8" t="str">
        <f>物品!B208</f>
        <v>IS23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E附魔</v>
      </c>
      <c r="I208" s="8" t="str">
        <f>VLOOKUP(B208,物品!B:CV,99,FALSE)</f>
        <v>E附魔</v>
      </c>
      <c r="J208" s="130" t="str">
        <f t="shared" si="80"/>
        <v>E附魔</v>
      </c>
      <c r="K208" s="130" t="str">
        <f t="shared" si="81"/>
        <v>E附魔</v>
      </c>
      <c r="L208" s="8"/>
      <c r="M208" s="131" t="str">
        <f>VLOOKUP(LEFT(RIGHT(B208,5),4),物品!B:CU,20,FALSE)</f>
        <v>ReplaceableTextures\\CommandButtons\\BTNIN03.blp</v>
      </c>
      <c r="N208" s="148" t="s">
        <v>83</v>
      </c>
      <c r="O208" s="131" t="s">
        <v>90</v>
      </c>
      <c r="P208" s="8">
        <v>2</v>
      </c>
      <c r="Q208" s="8">
        <v>2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8"/>
      <c r="W208" s="8" t="s">
        <v>87</v>
      </c>
      <c r="X208" s="8">
        <v>0</v>
      </c>
      <c r="Y208" s="148" t="s">
        <v>83</v>
      </c>
      <c r="Z208" s="8">
        <v>360</v>
      </c>
      <c r="AA208" s="8">
        <v>0</v>
      </c>
      <c r="AB208" s="8">
        <v>0</v>
      </c>
      <c r="AC208" s="8">
        <v>1</v>
      </c>
      <c r="AD208" s="8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8">
        <v>1</v>
      </c>
      <c r="AJ208" s="8"/>
      <c r="AK208" s="8">
        <v>1</v>
      </c>
      <c r="AL208" s="8">
        <v>1</v>
      </c>
      <c r="AM208" s="148" t="s">
        <v>83</v>
      </c>
      <c r="AN208" s="8">
        <v>1</v>
      </c>
      <c r="AO208" s="8">
        <v>1</v>
      </c>
      <c r="AP208" s="8">
        <v>1</v>
      </c>
    </row>
    <row r="209" spans="1:42">
      <c r="A209" s="128"/>
      <c r="B209" s="8" t="str">
        <f>物品!B209</f>
        <v>IS24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|CffFFD24DQ强力附魔卷|r</v>
      </c>
      <c r="I209" s="8" t="str">
        <f>VLOOKUP(B209,物品!B:CV,99,FALSE)</f>
        <v>Q附魔</v>
      </c>
      <c r="J209" s="130" t="str">
        <f t="shared" si="80"/>
        <v>|CffFFD24DQ强力附魔卷|r</v>
      </c>
      <c r="K209" s="130" t="str">
        <f t="shared" si="81"/>
        <v>Q附魔</v>
      </c>
      <c r="L209" s="8"/>
      <c r="M209" s="131" t="str">
        <f>VLOOKUP(LEFT(RIGHT(B209,5),4),物品!B:CU,20,FALSE)</f>
        <v>ReplaceableTextures\\CommandButtons\\BTNIN01.blp</v>
      </c>
      <c r="N209" s="148" t="s">
        <v>83</v>
      </c>
      <c r="O209" s="131" t="s">
        <v>90</v>
      </c>
      <c r="P209" s="8">
        <v>0</v>
      </c>
      <c r="Q209" s="8">
        <v>2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8"/>
      <c r="W209" s="8" t="s">
        <v>87</v>
      </c>
      <c r="X209" s="8">
        <v>0</v>
      </c>
      <c r="Y209" s="148" t="s">
        <v>83</v>
      </c>
      <c r="Z209" s="8">
        <v>360</v>
      </c>
      <c r="AA209" s="8">
        <v>0</v>
      </c>
      <c r="AB209" s="8">
        <v>0</v>
      </c>
      <c r="AC209" s="8">
        <v>1</v>
      </c>
      <c r="AD209" s="8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8">
        <v>1</v>
      </c>
      <c r="AJ209" s="8"/>
      <c r="AK209" s="8">
        <v>1</v>
      </c>
      <c r="AL209" s="8">
        <v>1</v>
      </c>
      <c r="AM209" s="148" t="s">
        <v>83</v>
      </c>
      <c r="AN209" s="8">
        <v>1</v>
      </c>
      <c r="AO209" s="8">
        <v>1</v>
      </c>
      <c r="AP209" s="8">
        <v>1</v>
      </c>
    </row>
    <row r="210" spans="1:42">
      <c r="A210" s="128"/>
      <c r="B210" s="8" t="str">
        <f>物品!B210</f>
        <v>IS25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|CffFFD24DW强力附魔卷|r</v>
      </c>
      <c r="I210" s="8" t="str">
        <f>VLOOKUP(B210,物品!B:CV,99,FALSE)</f>
        <v>W附魔</v>
      </c>
      <c r="J210" s="130" t="str">
        <f t="shared" ref="J210:J211" si="82">H210</f>
        <v>|CffFFD24DW强力附魔卷|r</v>
      </c>
      <c r="K210" s="130" t="str">
        <f t="shared" ref="K210:K211" si="83">I210</f>
        <v>W附魔</v>
      </c>
      <c r="L210" s="8"/>
      <c r="M210" s="131" t="str">
        <f>VLOOKUP(LEFT(RIGHT(B210,5),4),物品!B:CU,20,FALSE)</f>
        <v>ReplaceableTextures\\CommandButtons\\BTNIN02.blp</v>
      </c>
      <c r="N210" s="148" t="s">
        <v>83</v>
      </c>
      <c r="O210" s="131" t="s">
        <v>90</v>
      </c>
      <c r="P210" s="8">
        <v>1</v>
      </c>
      <c r="Q210" s="8">
        <v>2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8"/>
      <c r="W210" s="8" t="s">
        <v>87</v>
      </c>
      <c r="X210" s="8">
        <v>0</v>
      </c>
      <c r="Y210" s="148" t="s">
        <v>83</v>
      </c>
      <c r="Z210" s="8">
        <v>360</v>
      </c>
      <c r="AA210" s="8">
        <v>0</v>
      </c>
      <c r="AB210" s="8">
        <v>0</v>
      </c>
      <c r="AC210" s="8">
        <v>1</v>
      </c>
      <c r="AD210" s="8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8">
        <v>1</v>
      </c>
      <c r="AJ210" s="8"/>
      <c r="AK210" s="8">
        <v>1</v>
      </c>
      <c r="AL210" s="8">
        <v>1</v>
      </c>
      <c r="AM210" s="148" t="s">
        <v>83</v>
      </c>
      <c r="AN210" s="8">
        <v>1</v>
      </c>
      <c r="AO210" s="8">
        <v>1</v>
      </c>
      <c r="AP210" s="8">
        <v>1</v>
      </c>
    </row>
    <row r="211" spans="1:42">
      <c r="A211" s="128"/>
      <c r="B211" s="8" t="str">
        <f>物品!B211</f>
        <v>IS26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|CffFFD24DE强力附魔卷|r</v>
      </c>
      <c r="I211" s="8" t="str">
        <f>VLOOKUP(B211,物品!B:CV,99,FALSE)</f>
        <v>E附魔</v>
      </c>
      <c r="J211" s="130" t="str">
        <f t="shared" si="82"/>
        <v>|CffFFD24DE强力附魔卷|r</v>
      </c>
      <c r="K211" s="130" t="str">
        <f t="shared" si="83"/>
        <v>E附魔</v>
      </c>
      <c r="L211" s="8"/>
      <c r="M211" s="131" t="str">
        <f>VLOOKUP(LEFT(RIGHT(B211,5),4),物品!B:CU,20,FALSE)</f>
        <v>ReplaceableTextures\\CommandButtons\\BTNIN03.blp</v>
      </c>
      <c r="N211" s="148" t="s">
        <v>83</v>
      </c>
      <c r="O211" s="131" t="s">
        <v>90</v>
      </c>
      <c r="P211" s="8">
        <v>2</v>
      </c>
      <c r="Q211" s="8">
        <v>2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8"/>
      <c r="W211" s="8" t="s">
        <v>87</v>
      </c>
      <c r="X211" s="8">
        <v>0</v>
      </c>
      <c r="Y211" s="148" t="s">
        <v>83</v>
      </c>
      <c r="Z211" s="8">
        <v>360</v>
      </c>
      <c r="AA211" s="8">
        <v>0</v>
      </c>
      <c r="AB211" s="8">
        <v>0</v>
      </c>
      <c r="AC211" s="8">
        <v>1</v>
      </c>
      <c r="AD211" s="8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8">
        <v>1</v>
      </c>
      <c r="AJ211" s="8"/>
      <c r="AK211" s="8">
        <v>1</v>
      </c>
      <c r="AL211" s="8">
        <v>1</v>
      </c>
      <c r="AM211" s="148" t="s">
        <v>83</v>
      </c>
      <c r="AN211" s="8">
        <v>1</v>
      </c>
      <c r="AO211" s="8">
        <v>1</v>
      </c>
      <c r="AP211" s="8">
        <v>1</v>
      </c>
    </row>
    <row r="212" spans="1:42">
      <c r="A212" s="128"/>
      <c r="B212" s="8" t="str">
        <f>物品!B212</f>
        <v>IS11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|CffFF0000占星|r</v>
      </c>
      <c r="I212" s="8" t="str">
        <f>VLOOKUP(B212,物品!B:CV,99,FALSE)</f>
        <v>|CffFF0000占星|r</v>
      </c>
      <c r="J212" s="130" t="str">
        <f t="shared" ref="J212" si="84">H212</f>
        <v>|CffFF0000占星|r</v>
      </c>
      <c r="K212" s="130" t="str">
        <f t="shared" ref="K212" si="85">I212</f>
        <v>|CffFF0000占星|r</v>
      </c>
      <c r="L212" s="8"/>
      <c r="M212" s="131" t="str">
        <f>VLOOKUP(LEFT(RIGHT(B212,5),4),物品!B:CU,20,FALSE)</f>
        <v>ReplaceableTextures\\CommandButtons\\BTNIS11.blp</v>
      </c>
      <c r="N212" s="148" t="s">
        <v>83</v>
      </c>
      <c r="O212" s="131" t="s">
        <v>90</v>
      </c>
      <c r="P212" s="8">
        <v>0</v>
      </c>
      <c r="Q212" s="8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8"/>
      <c r="W212" s="8" t="s">
        <v>87</v>
      </c>
      <c r="X212" s="8">
        <v>0</v>
      </c>
      <c r="Y212" s="148" t="s">
        <v>83</v>
      </c>
      <c r="Z212" s="8">
        <v>0</v>
      </c>
      <c r="AA212" s="8">
        <v>240</v>
      </c>
      <c r="AB212" s="8">
        <v>0</v>
      </c>
      <c r="AC212" s="8">
        <v>1</v>
      </c>
      <c r="AD212" s="8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8">
        <v>1</v>
      </c>
      <c r="AJ212" s="8"/>
      <c r="AK212" s="8">
        <v>1</v>
      </c>
      <c r="AL212" s="8">
        <v>1</v>
      </c>
      <c r="AM212" s="148" t="s">
        <v>83</v>
      </c>
      <c r="AN212" s="8">
        <v>1</v>
      </c>
      <c r="AO212" s="8">
        <v>1</v>
      </c>
      <c r="AP212" s="8">
        <v>1</v>
      </c>
    </row>
    <row r="213" spans="1:42">
      <c r="A213" s="128"/>
      <c r="B213" s="8" t="str">
        <f>物品!B213</f>
        <v>IS12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|CffFFD24D兽魂抽奖|r</v>
      </c>
      <c r="I213" s="8" t="str">
        <f>VLOOKUP(B213,物品!B:CV,99,FALSE)</f>
        <v>|CffFFD24D兽魂抽奖|r</v>
      </c>
      <c r="J213" s="130" t="str">
        <f t="shared" si="74"/>
        <v>|CffFFD24D兽魂抽奖|r</v>
      </c>
      <c r="K213" s="130" t="str">
        <f t="shared" si="75"/>
        <v>|CffFFD24D兽魂抽奖|r</v>
      </c>
      <c r="L213" s="8"/>
      <c r="M213" s="131" t="str">
        <f>VLOOKUP(LEFT(RIGHT(B213,5),4),物品!B:CU,20,FALSE)</f>
        <v>ReplaceableTextures\\CommandButtons\\BTNIS12.blp</v>
      </c>
      <c r="N213" s="148" t="s">
        <v>83</v>
      </c>
      <c r="O213" s="131" t="s">
        <v>90</v>
      </c>
      <c r="P213" s="8">
        <v>1</v>
      </c>
      <c r="Q213" s="8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8"/>
      <c r="W213" s="8" t="s">
        <v>87</v>
      </c>
      <c r="X213" s="8">
        <v>0</v>
      </c>
      <c r="Y213" s="148" t="s">
        <v>83</v>
      </c>
      <c r="Z213" s="8">
        <v>0</v>
      </c>
      <c r="AA213" s="8">
        <v>3</v>
      </c>
      <c r="AB213" s="8">
        <v>0</v>
      </c>
      <c r="AC213" s="8">
        <v>1</v>
      </c>
      <c r="AD213" s="8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8">
        <v>1</v>
      </c>
      <c r="AJ213" s="8"/>
      <c r="AK213" s="8">
        <v>1</v>
      </c>
      <c r="AL213" s="8">
        <v>1</v>
      </c>
      <c r="AM213" s="148" t="s">
        <v>83</v>
      </c>
      <c r="AN213" s="8">
        <v>1</v>
      </c>
      <c r="AO213" s="8">
        <v>1</v>
      </c>
      <c r="AP213" s="8">
        <v>1</v>
      </c>
    </row>
    <row r="214" spans="1:42">
      <c r="A214" s="128"/>
      <c r="B214" s="8" t="str">
        <f>物品!B214</f>
        <v>IS13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|cffffd24d强化饰品等级|n|r</v>
      </c>
      <c r="I214" s="8" t="str">
        <f>VLOOKUP(B214,物品!B:CV,99,FALSE)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214" s="130" t="str">
        <f t="shared" si="74"/>
        <v>|cffffd24d强化饰品等级|n|r</v>
      </c>
      <c r="K214" s="130" t="str">
        <f t="shared" si="75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214" s="8"/>
      <c r="M214" s="131" t="str">
        <f>VLOOKUP(LEFT(RIGHT(B214,5),4),物品!B:CU,20,FALSE)</f>
        <v>ReplaceableTextures\\CommandButtons\\BTNIS13.blp</v>
      </c>
      <c r="N214" s="148" t="s">
        <v>83</v>
      </c>
      <c r="O214" s="131" t="s">
        <v>90</v>
      </c>
      <c r="P214" s="8">
        <v>2</v>
      </c>
      <c r="Q214" s="8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8"/>
      <c r="W214" s="8" t="s">
        <v>87</v>
      </c>
      <c r="X214" s="8">
        <v>0</v>
      </c>
      <c r="Y214" s="148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8">
        <v>1</v>
      </c>
      <c r="AJ214" s="8"/>
      <c r="AK214" s="8">
        <v>1</v>
      </c>
      <c r="AL214" s="8">
        <v>1</v>
      </c>
      <c r="AM214" s="148" t="s">
        <v>83</v>
      </c>
      <c r="AN214" s="8">
        <v>1</v>
      </c>
      <c r="AO214" s="8">
        <v>1</v>
      </c>
      <c r="AP214" s="8">
        <v>1</v>
      </c>
    </row>
    <row r="215" spans="1:42">
      <c r="A215" s="128"/>
      <c r="B215" s="8" t="str">
        <f>物品!B215</f>
        <v>IS14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|CffFFD24D强化药品等级|r</v>
      </c>
      <c r="I215" s="8" t="str">
        <f>VLOOKUP(B215,物品!B:CV,99,FALSE)</f>
        <v>|CffFFD24D强化药品等级|r</v>
      </c>
      <c r="J215" s="130" t="str">
        <f t="shared" ref="J215" si="86">H215</f>
        <v>|CffFFD24D强化药品等级|r</v>
      </c>
      <c r="K215" s="130" t="str">
        <f t="shared" ref="K215" si="87">I215</f>
        <v>|CffFFD24D强化药品等级|r</v>
      </c>
      <c r="L215" s="8"/>
      <c r="M215" s="131" t="str">
        <f>VLOOKUP(LEFT(RIGHT(B215,5),4),物品!B:CU,20,FALSE)</f>
        <v>ReplaceableTextures\\CommandButtons\\BTNAG06.blp</v>
      </c>
      <c r="N215" s="148" t="s">
        <v>83</v>
      </c>
      <c r="O215" s="131" t="s">
        <v>90</v>
      </c>
      <c r="P215" s="8">
        <v>0</v>
      </c>
      <c r="Q215" s="8">
        <v>1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8"/>
      <c r="W215" s="8" t="s">
        <v>87</v>
      </c>
      <c r="X215" s="8">
        <v>0</v>
      </c>
      <c r="Y215" s="148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8">
        <v>1</v>
      </c>
      <c r="AJ215" s="8"/>
      <c r="AK215" s="8">
        <v>1</v>
      </c>
      <c r="AL215" s="8">
        <v>1</v>
      </c>
      <c r="AM215" s="148" t="s">
        <v>83</v>
      </c>
      <c r="AN215" s="8">
        <v>1</v>
      </c>
      <c r="AO215" s="8">
        <v>1</v>
      </c>
      <c r="AP215" s="8">
        <v>1</v>
      </c>
    </row>
    <row r="216" spans="1:42">
      <c r="A216" s="128"/>
      <c r="B216" s="8" t="str">
        <f>物品!B216</f>
        <v>IB01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公众号礼包</v>
      </c>
      <c r="I216" s="8" t="str">
        <f>VLOOKUP(B216,物品!B:CV,99,FALSE)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6" s="130" t="str">
        <f t="shared" si="74"/>
        <v>公众号礼包</v>
      </c>
      <c r="K216" s="130" t="str">
        <f t="shared" si="7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6" s="8"/>
      <c r="M216" s="131" t="str">
        <f>VLOOKUP(LEFT(RIGHT(B216,5),4),物品!B:CU,20,FALSE)</f>
        <v>ReplaceableTextures\\CommandButtons\\BTNIB01.blp</v>
      </c>
      <c r="N216" s="148" t="s">
        <v>83</v>
      </c>
      <c r="O216" s="131" t="s">
        <v>90</v>
      </c>
      <c r="P216" s="8">
        <v>0</v>
      </c>
      <c r="Q216" s="8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8"/>
      <c r="W216" s="8" t="s">
        <v>87</v>
      </c>
      <c r="X216" s="8">
        <v>0</v>
      </c>
      <c r="Y216" s="148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8">
        <v>1</v>
      </c>
      <c r="AJ216" s="8"/>
      <c r="AK216" s="8">
        <v>1</v>
      </c>
      <c r="AL216" s="8">
        <v>1</v>
      </c>
      <c r="AM216" s="148" t="s">
        <v>83</v>
      </c>
      <c r="AN216" s="8">
        <v>1</v>
      </c>
      <c r="AO216" s="8">
        <v>1</v>
      </c>
      <c r="AP216" s="8">
        <v>1</v>
      </c>
    </row>
    <row r="217" spans="1:42">
      <c r="A217" s="128"/>
      <c r="B217" s="8" t="str">
        <f>物品!B217</f>
        <v>IB02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入群礼包</v>
      </c>
      <c r="I217" s="8" t="str">
        <f>VLOOKUP(B217,物品!B:CV,99,FALSE)</f>
        <v>加入《|cff00ffcc全民封神|r》官方QQ群，即可获得入群礼包码！|n|n输入礼包码即可获得：|n|cffffcc33金币+2000|n每秒攻击+2|n每秒业力+1|r</v>
      </c>
      <c r="J217" s="130" t="str">
        <f t="shared" si="74"/>
        <v>入群礼包</v>
      </c>
      <c r="K217" s="130" t="str">
        <f t="shared" si="75"/>
        <v>加入《|cff00ffcc全民封神|r》官方QQ群，即可获得入群礼包码！|n|n输入礼包码即可获得：|n|cffffcc33金币+2000|n每秒攻击+2|n每秒业力+1|r</v>
      </c>
      <c r="L217" s="8"/>
      <c r="M217" s="131" t="str">
        <f>VLOOKUP(LEFT(RIGHT(B217,5),4),物品!B:CU,20,FALSE)</f>
        <v>ReplaceableTextures\\CommandButtons\\BTNIB02.blp</v>
      </c>
      <c r="N217" s="148" t="s">
        <v>83</v>
      </c>
      <c r="O217" s="131" t="s">
        <v>90</v>
      </c>
      <c r="P217" s="8">
        <v>1</v>
      </c>
      <c r="Q217" s="8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8"/>
      <c r="W217" s="8" t="s">
        <v>87</v>
      </c>
      <c r="X217" s="8">
        <v>0</v>
      </c>
      <c r="Y217" s="148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8">
        <v>1</v>
      </c>
      <c r="AJ217" s="8"/>
      <c r="AK217" s="8">
        <v>1</v>
      </c>
      <c r="AL217" s="8">
        <v>1</v>
      </c>
      <c r="AM217" s="148" t="s">
        <v>83</v>
      </c>
      <c r="AN217" s="8">
        <v>1</v>
      </c>
      <c r="AO217" s="8">
        <v>1</v>
      </c>
      <c r="AP217" s="8">
        <v>1</v>
      </c>
    </row>
    <row r="218" spans="1:42">
      <c r="A218" s="128"/>
      <c r="B218" s="8" t="str">
        <f>物品!B218</f>
        <v>IB03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拜年礼包</v>
      </c>
      <c r="I218" s="8" t="str">
        <f>VLOOKUP(B218,物品!B:CV,99,FALSE)</f>
        <v>|cff99ccff给与地图有效评论建议|r即可领取：|n|cffffff00杀敌生命+5+3*通行证等级|n杀敌业力+1|n|n|r|cff808080地图等级达到3级可领取|r</v>
      </c>
      <c r="J218" s="130" t="str">
        <f t="shared" si="74"/>
        <v>拜年礼包</v>
      </c>
      <c r="K218" s="130" t="str">
        <f t="shared" si="75"/>
        <v>|cff99ccff给与地图有效评论建议|r即可领取：|n|cffffff00杀敌生命+5+3*通行证等级|n杀敌业力+1|n|n|r|cff808080地图等级达到3级可领取|r</v>
      </c>
      <c r="L218" s="8"/>
      <c r="M218" s="131" t="str">
        <f>VLOOKUP(LEFT(RIGHT(B218,5),4),物品!B:CU,20,FALSE)</f>
        <v>ReplaceableTextures\\CommandButtons\\BTNIB03.blp</v>
      </c>
      <c r="N218" s="148" t="s">
        <v>83</v>
      </c>
      <c r="O218" s="131" t="s">
        <v>90</v>
      </c>
      <c r="P218" s="8">
        <v>2</v>
      </c>
      <c r="Q218" s="8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8"/>
      <c r="W218" s="8" t="s">
        <v>87</v>
      </c>
      <c r="X218" s="8">
        <v>0</v>
      </c>
      <c r="Y218" s="148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8">
        <v>1</v>
      </c>
      <c r="AJ218" s="8"/>
      <c r="AK218" s="8">
        <v>1</v>
      </c>
      <c r="AL218" s="8">
        <v>1</v>
      </c>
      <c r="AM218" s="148" t="s">
        <v>83</v>
      </c>
      <c r="AN218" s="8">
        <v>1</v>
      </c>
      <c r="AO218" s="8">
        <v>1</v>
      </c>
      <c r="AP218" s="8">
        <v>1</v>
      </c>
    </row>
    <row r="219" spans="1:42">
      <c r="A219" s="128"/>
      <c r="B219" s="8" t="str">
        <f>物品!B219</f>
        <v>IB04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收藏礼包</v>
      </c>
      <c r="I219" s="8" t="str">
        <f>VLOOKUP(B219,物品!B:CV,99,FALSE)</f>
        <v>|cff99ccff房间大厅界面点击右上角《|r|cffcc99ff收藏|r|cff99ccff》后可领取该礼包。|n|n|r属性：|n|cffffcc33物理伤害+5%|n法术伤害+5%|r</v>
      </c>
      <c r="J219" s="130" t="str">
        <f t="shared" si="74"/>
        <v>收藏礼包</v>
      </c>
      <c r="K219" s="130" t="str">
        <f t="shared" si="75"/>
        <v>|cff99ccff房间大厅界面点击右上角《|r|cffcc99ff收藏|r|cff99ccff》后可领取该礼包。|n|n|r属性：|n|cffffcc33物理伤害+5%|n法术伤害+5%|r</v>
      </c>
      <c r="L219" s="8"/>
      <c r="M219" s="131" t="str">
        <f>VLOOKUP(LEFT(RIGHT(B219,5),4),物品!B:CU,20,FALSE)</f>
        <v>ReplaceableTextures\\CommandButtons\\BTNIB04.blp</v>
      </c>
      <c r="N219" s="148" t="s">
        <v>83</v>
      </c>
      <c r="O219" s="131" t="s">
        <v>90</v>
      </c>
      <c r="P219" s="8">
        <v>3</v>
      </c>
      <c r="Q219" s="8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8"/>
      <c r="W219" s="8" t="s">
        <v>87</v>
      </c>
      <c r="X219" s="8">
        <v>0</v>
      </c>
      <c r="Y219" s="148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8">
        <v>1</v>
      </c>
      <c r="AJ219" s="8"/>
      <c r="AK219" s="8">
        <v>1</v>
      </c>
      <c r="AL219" s="8">
        <v>1</v>
      </c>
      <c r="AM219" s="148" t="s">
        <v>83</v>
      </c>
      <c r="AN219" s="8">
        <v>1</v>
      </c>
      <c r="AO219" s="8">
        <v>1</v>
      </c>
      <c r="AP219" s="8">
        <v>1</v>
      </c>
    </row>
    <row r="220" spans="1:42">
      <c r="A220" s="128"/>
      <c r="B220" s="8" t="str">
        <f>物品!B220</f>
        <v>IB05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重置版礼包</v>
      </c>
      <c r="I220" s="8" t="str">
        <f>VLOOKUP(B220,物品!B:CV,99,FALSE)</f>
        <v>|cff33ff00购买魔兽重制版可领取该礼包！|n|n|r属性：|n|cffffcc33高级聚宝盆|r</v>
      </c>
      <c r="J220" s="130" t="str">
        <f t="shared" si="74"/>
        <v>重置版礼包</v>
      </c>
      <c r="K220" s="130" t="str">
        <f t="shared" si="75"/>
        <v>|cff33ff00购买魔兽重制版可领取该礼包！|n|n|r属性：|n|cffffcc33高级聚宝盆|r</v>
      </c>
      <c r="L220" s="8"/>
      <c r="M220" s="131" t="str">
        <f>VLOOKUP(LEFT(RIGHT(B220,5),4),物品!B:CU,20,FALSE)</f>
        <v>ReplaceableTextures\\CommandButtons\\BTNIB05.blp</v>
      </c>
      <c r="N220" s="148" t="s">
        <v>83</v>
      </c>
      <c r="O220" s="131" t="s">
        <v>90</v>
      </c>
      <c r="P220" s="8">
        <v>0</v>
      </c>
      <c r="Q220" s="8">
        <v>1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8"/>
      <c r="W220" s="8" t="s">
        <v>87</v>
      </c>
      <c r="X220" s="8">
        <v>0</v>
      </c>
      <c r="Y220" s="148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8">
        <v>1</v>
      </c>
      <c r="AJ220" s="8"/>
      <c r="AK220" s="8">
        <v>1</v>
      </c>
      <c r="AL220" s="8">
        <v>1</v>
      </c>
      <c r="AM220" s="148" t="s">
        <v>83</v>
      </c>
      <c r="AN220" s="8">
        <v>1</v>
      </c>
      <c r="AO220" s="8">
        <v>1</v>
      </c>
      <c r="AP220" s="8">
        <v>1</v>
      </c>
    </row>
    <row r="221" spans="1:42">
      <c r="A221" s="128"/>
      <c r="B221" s="8" t="str">
        <f>物品!B221</f>
        <v>IB06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公会福利</v>
      </c>
      <c r="I221" s="8" t="str">
        <f>VLOOKUP(B221,物品!B:CV,99,FALSE)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1" s="130" t="str">
        <f t="shared" ref="J221:J225" si="88">H221</f>
        <v>公会福利</v>
      </c>
      <c r="K221" s="130" t="str">
        <f t="shared" ref="K221:K225" si="89">I221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1" s="8"/>
      <c r="M221" s="131" t="str">
        <f>VLOOKUP(LEFT(RIGHT(B221,5),4),物品!B:CU,20,FALSE)</f>
        <v>ReplaceableTextures\\CommandButtons\\BTNIB06.blp</v>
      </c>
      <c r="N221" s="148" t="s">
        <v>83</v>
      </c>
      <c r="O221" s="131" t="s">
        <v>90</v>
      </c>
      <c r="P221" s="8">
        <v>1</v>
      </c>
      <c r="Q221" s="8">
        <v>1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8"/>
      <c r="W221" s="8" t="s">
        <v>87</v>
      </c>
      <c r="X221" s="8">
        <v>0</v>
      </c>
      <c r="Y221" s="148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8">
        <v>1</v>
      </c>
      <c r="AJ221" s="8"/>
      <c r="AK221" s="8">
        <v>1</v>
      </c>
      <c r="AL221" s="8">
        <v>1</v>
      </c>
      <c r="AM221" s="148" t="s">
        <v>83</v>
      </c>
      <c r="AN221" s="8">
        <v>1</v>
      </c>
      <c r="AO221" s="8">
        <v>1</v>
      </c>
      <c r="AP221" s="8">
        <v>1</v>
      </c>
    </row>
    <row r="222" spans="1:42">
      <c r="A222" s="128"/>
      <c r="B222" s="8" t="str">
        <f>物品!B222</f>
        <v>IB07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星耀礼包</v>
      </c>
      <c r="I222" s="8" t="str">
        <f>VLOOKUP(B222,物品!B:CV,99,FALSE)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2" s="130" t="str">
        <f t="shared" si="88"/>
        <v>星耀礼包</v>
      </c>
      <c r="K222" s="130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2" s="8"/>
      <c r="M222" s="131" t="str">
        <f>VLOOKUP(LEFT(RIGHT(B222,5),4),物品!B:CU,20,FALSE)</f>
        <v>ReplaceableTextures\\CommandButtons\\BTNIB07.blp</v>
      </c>
      <c r="N222" s="148" t="s">
        <v>83</v>
      </c>
      <c r="O222" s="131" t="s">
        <v>90</v>
      </c>
      <c r="P222" s="8">
        <v>2</v>
      </c>
      <c r="Q222" s="8">
        <v>1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8"/>
      <c r="W222" s="8" t="s">
        <v>87</v>
      </c>
      <c r="X222" s="8">
        <v>0</v>
      </c>
      <c r="Y222" s="148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8">
        <v>1</v>
      </c>
      <c r="AJ222" s="8"/>
      <c r="AK222" s="8">
        <v>1</v>
      </c>
      <c r="AL222" s="8">
        <v>1</v>
      </c>
      <c r="AM222" s="148" t="s">
        <v>83</v>
      </c>
      <c r="AN222" s="8">
        <v>1</v>
      </c>
      <c r="AO222" s="8">
        <v>1</v>
      </c>
      <c r="AP222" s="8">
        <v>1</v>
      </c>
    </row>
    <row r="223" spans="1:42">
      <c r="A223" s="128"/>
      <c r="B223" s="8" t="str">
        <f>物品!B223</f>
        <v>IB08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魔芝RPG礼包</v>
      </c>
      <c r="I223" s="8" t="str">
        <f>VLOOKUP(B223,物品!B:CV,99,FALSE)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3" s="130" t="str">
        <f t="shared" si="88"/>
        <v>魔芝RPG礼包</v>
      </c>
      <c r="K223" s="130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3" s="8"/>
      <c r="M223" s="131" t="str">
        <f>VLOOKUP(LEFT(RIGHT(B223,5),4),物品!B:CU,20,FALSE)</f>
        <v>ReplaceableTextures\\CommandButtons\\BTNIB08.blp</v>
      </c>
      <c r="N223" s="148" t="s">
        <v>83</v>
      </c>
      <c r="O223" s="131" t="s">
        <v>90</v>
      </c>
      <c r="P223" s="8">
        <v>3</v>
      </c>
      <c r="Q223" s="8">
        <v>1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8"/>
      <c r="W223" s="8" t="s">
        <v>87</v>
      </c>
      <c r="X223" s="8">
        <v>0</v>
      </c>
      <c r="Y223" s="148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8">
        <v>1</v>
      </c>
      <c r="AJ223" s="8"/>
      <c r="AK223" s="8">
        <v>1</v>
      </c>
      <c r="AL223" s="8">
        <v>1</v>
      </c>
      <c r="AM223" s="148" t="s">
        <v>83</v>
      </c>
      <c r="AN223" s="8">
        <v>1</v>
      </c>
      <c r="AO223" s="8">
        <v>1</v>
      </c>
      <c r="AP223" s="8">
        <v>1</v>
      </c>
    </row>
    <row r="224" spans="1:42">
      <c r="A224" s="128"/>
      <c r="B224" s="8" t="str">
        <f>物品!B224</f>
        <v>IB09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老铁礼包</v>
      </c>
      <c r="I224" s="8">
        <f>VLOOKUP(B224,物品!B:CV,99,FALSE)</f>
        <v>0</v>
      </c>
      <c r="J224" s="130" t="str">
        <f t="shared" si="88"/>
        <v>老铁礼包</v>
      </c>
      <c r="K224" s="130">
        <f t="shared" si="89"/>
        <v>0</v>
      </c>
      <c r="L224" s="8"/>
      <c r="M224" s="131" t="str">
        <f>VLOOKUP(LEFT(RIGHT(B224,5),4),物品!B:CU,20,FALSE)</f>
        <v>ReplaceableTextures\\CommandButtons\\BTNIB09.blp</v>
      </c>
      <c r="N224" s="148" t="s">
        <v>83</v>
      </c>
      <c r="O224" s="131" t="s">
        <v>90</v>
      </c>
      <c r="P224" s="8">
        <v>0</v>
      </c>
      <c r="Q224" s="8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8"/>
      <c r="W224" s="8" t="s">
        <v>87</v>
      </c>
      <c r="X224" s="8">
        <v>0</v>
      </c>
      <c r="Y224" s="148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8">
        <v>1</v>
      </c>
      <c r="AJ224" s="8"/>
      <c r="AK224" s="8">
        <v>1</v>
      </c>
      <c r="AL224" s="8">
        <v>1</v>
      </c>
      <c r="AM224" s="148" t="s">
        <v>83</v>
      </c>
      <c r="AN224" s="8">
        <v>1</v>
      </c>
      <c r="AO224" s="8">
        <v>1</v>
      </c>
      <c r="AP224" s="8">
        <v>1</v>
      </c>
    </row>
    <row r="225" spans="1:42">
      <c r="A225" s="128"/>
      <c r="B225" s="8" t="str">
        <f>物品!B225</f>
        <v>IB51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已领取公众号礼包</v>
      </c>
      <c r="I225" s="8" t="str">
        <f>VLOOKUP(B225,物品!B:CV,99,FALSE)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5" s="130" t="str">
        <f t="shared" si="88"/>
        <v>已领取公众号礼包</v>
      </c>
      <c r="K225" s="130" t="str">
        <f t="shared" si="8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5" s="8"/>
      <c r="M225" s="131" t="str">
        <f>VLOOKUP(LEFT(RIGHT(B225,5),4),物品!B:CU,20,FALSE)</f>
        <v>ReplaceableTextures\\commandButtons\\BTNLBUI01.blp</v>
      </c>
      <c r="N225" s="148" t="s">
        <v>83</v>
      </c>
      <c r="O225" s="131" t="s">
        <v>90</v>
      </c>
      <c r="P225" s="8">
        <v>0</v>
      </c>
      <c r="Q225" s="8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8"/>
      <c r="W225" s="8" t="s">
        <v>87</v>
      </c>
      <c r="X225" s="8">
        <v>0</v>
      </c>
      <c r="Y225" s="148" t="s">
        <v>83</v>
      </c>
      <c r="Z225" s="8">
        <v>0</v>
      </c>
      <c r="AA225" s="8">
        <v>0</v>
      </c>
      <c r="AB225" s="8">
        <v>0</v>
      </c>
      <c r="AC225" s="8">
        <v>0</v>
      </c>
      <c r="AD225" s="8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8">
        <v>1</v>
      </c>
      <c r="AJ225" s="8"/>
      <c r="AK225" s="8">
        <v>1</v>
      </c>
      <c r="AL225" s="8">
        <v>1</v>
      </c>
      <c r="AM225" s="148" t="s">
        <v>83</v>
      </c>
      <c r="AN225" s="8">
        <v>1</v>
      </c>
      <c r="AO225" s="8">
        <v>1</v>
      </c>
      <c r="AP225" s="8">
        <v>1</v>
      </c>
    </row>
    <row r="226" spans="1:42">
      <c r="A226" s="128"/>
      <c r="B226" s="8" t="str">
        <f>物品!B226</f>
        <v>IB52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已领取入群礼包</v>
      </c>
      <c r="I226" s="8" t="str">
        <f>VLOOKUP(B226,物品!B:CV,99,FALSE)</f>
        <v>加入《|cff00ffcc全民封神|r》官方QQ群，即可获得入群礼包码！|n|n输入礼包码即可获得：|n|cffffcc33金币+2000|n每秒攻击+2|n每秒业力+1|r</v>
      </c>
      <c r="J226" s="130" t="str">
        <f t="shared" ref="J226:J233" si="90">H226</f>
        <v>已领取入群礼包</v>
      </c>
      <c r="K226" s="130" t="str">
        <f t="shared" ref="K226:K233" si="91">I226</f>
        <v>加入《|cff00ffcc全民封神|r》官方QQ群，即可获得入群礼包码！|n|n输入礼包码即可获得：|n|cffffcc33金币+2000|n每秒攻击+2|n每秒业力+1|r</v>
      </c>
      <c r="L226" s="8"/>
      <c r="M226" s="131" t="str">
        <f>VLOOKUP(LEFT(RIGHT(B226,5),4),物品!B:CU,20,FALSE)</f>
        <v>ReplaceableTextures\\commandButtons\\BTNLBUI01.blp</v>
      </c>
      <c r="N226" s="148" t="s">
        <v>83</v>
      </c>
      <c r="O226" s="131" t="s">
        <v>90</v>
      </c>
      <c r="P226" s="8">
        <v>1</v>
      </c>
      <c r="Q226" s="8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8"/>
      <c r="W226" s="8" t="s">
        <v>87</v>
      </c>
      <c r="X226" s="8">
        <v>0</v>
      </c>
      <c r="Y226" s="148" t="s">
        <v>83</v>
      </c>
      <c r="Z226" s="8">
        <v>0</v>
      </c>
      <c r="AA226" s="8">
        <v>0</v>
      </c>
      <c r="AB226" s="8">
        <v>0</v>
      </c>
      <c r="AC226" s="8">
        <v>0</v>
      </c>
      <c r="AD226" s="8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8">
        <v>1</v>
      </c>
      <c r="AJ226" s="8"/>
      <c r="AK226" s="8">
        <v>1</v>
      </c>
      <c r="AL226" s="8">
        <v>1</v>
      </c>
      <c r="AM226" s="148" t="s">
        <v>83</v>
      </c>
      <c r="AN226" s="8">
        <v>1</v>
      </c>
      <c r="AO226" s="8">
        <v>1</v>
      </c>
      <c r="AP226" s="8">
        <v>1</v>
      </c>
    </row>
    <row r="227" spans="1:42">
      <c r="A227" s="128"/>
      <c r="B227" s="8" t="str">
        <f>物品!B227</f>
        <v>IB53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已领取拜年礼包</v>
      </c>
      <c r="I227" s="8" t="str">
        <f>VLOOKUP(B227,物品!B:CV,99,FALSE)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27" s="130" t="str">
        <f t="shared" si="90"/>
        <v>已领取拜年礼包</v>
      </c>
      <c r="K227" s="130" t="str">
        <f t="shared" si="91"/>
        <v>|cff99ccff给与地图有效评论建议|r即可领取：|n|cffffff00杀敌生命+5|n杀敌业力+1|n|r|cffffcc33每级通行证永久增加3点杀敌生命奖励！|n|n|r|cff808080地图等级达到3级可领取|r</v>
      </c>
      <c r="L227" s="8"/>
      <c r="M227" s="131" t="str">
        <f>VLOOKUP(LEFT(RIGHT(B227,5),4),物品!B:CU,20,FALSE)</f>
        <v>ReplaceableTextures\\commandButtons\\BTNLBUI01.blp</v>
      </c>
      <c r="N227" s="148" t="s">
        <v>83</v>
      </c>
      <c r="O227" s="131" t="s">
        <v>90</v>
      </c>
      <c r="P227" s="8">
        <v>2</v>
      </c>
      <c r="Q227" s="8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8"/>
      <c r="W227" s="8" t="s">
        <v>87</v>
      </c>
      <c r="X227" s="8">
        <v>0</v>
      </c>
      <c r="Y227" s="148" t="s">
        <v>83</v>
      </c>
      <c r="Z227" s="8">
        <v>0</v>
      </c>
      <c r="AA227" s="8">
        <v>0</v>
      </c>
      <c r="AB227" s="8">
        <v>0</v>
      </c>
      <c r="AC227" s="8">
        <v>0</v>
      </c>
      <c r="AD227" s="8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8">
        <v>1</v>
      </c>
      <c r="AJ227" s="8"/>
      <c r="AK227" s="8">
        <v>1</v>
      </c>
      <c r="AL227" s="8">
        <v>1</v>
      </c>
      <c r="AM227" s="148" t="s">
        <v>83</v>
      </c>
      <c r="AN227" s="8">
        <v>1</v>
      </c>
      <c r="AO227" s="8">
        <v>1</v>
      </c>
      <c r="AP227" s="8">
        <v>1</v>
      </c>
    </row>
    <row r="228" spans="1:42">
      <c r="A228" s="128"/>
      <c r="B228" s="8" t="str">
        <f>物品!B228</f>
        <v>IB54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已领取收藏礼包</v>
      </c>
      <c r="I228" s="8" t="str">
        <f>VLOOKUP(B228,物品!B:CV,99,FALSE)</f>
        <v>|cff99ccff房间大厅界面点击右上角《|r|cffcc99ff收藏|r|cff99ccff》后可领取该礼包。|n|n|r属性：|n|cffffcc33物理伤害+5%|n法术伤害+5%|r</v>
      </c>
      <c r="J228" s="130" t="str">
        <f t="shared" si="90"/>
        <v>已领取收藏礼包</v>
      </c>
      <c r="K228" s="130" t="str">
        <f t="shared" si="91"/>
        <v>|cff99ccff房间大厅界面点击右上角《|r|cffcc99ff收藏|r|cff99ccff》后可领取该礼包。|n|n|r属性：|n|cffffcc33物理伤害+5%|n法术伤害+5%|r</v>
      </c>
      <c r="L228" s="8"/>
      <c r="M228" s="131" t="str">
        <f>VLOOKUP(LEFT(RIGHT(B228,5),4),物品!B:CU,20,FALSE)</f>
        <v>ReplaceableTextures\\commandButtons\\BTNLBUI01.blp</v>
      </c>
      <c r="N228" s="148" t="s">
        <v>83</v>
      </c>
      <c r="O228" s="131" t="s">
        <v>90</v>
      </c>
      <c r="P228" s="8">
        <v>3</v>
      </c>
      <c r="Q228" s="8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8"/>
      <c r="W228" s="8" t="s">
        <v>87</v>
      </c>
      <c r="X228" s="8">
        <v>0</v>
      </c>
      <c r="Y228" s="148" t="s">
        <v>83</v>
      </c>
      <c r="Z228" s="8">
        <v>0</v>
      </c>
      <c r="AA228" s="8">
        <v>0</v>
      </c>
      <c r="AB228" s="8">
        <v>0</v>
      </c>
      <c r="AC228" s="8">
        <v>0</v>
      </c>
      <c r="AD228" s="8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8">
        <v>1</v>
      </c>
      <c r="AJ228" s="8"/>
      <c r="AK228" s="8">
        <v>1</v>
      </c>
      <c r="AL228" s="8">
        <v>1</v>
      </c>
      <c r="AM228" s="148" t="s">
        <v>83</v>
      </c>
      <c r="AN228" s="8">
        <v>1</v>
      </c>
      <c r="AO228" s="8">
        <v>1</v>
      </c>
      <c r="AP228" s="8">
        <v>1</v>
      </c>
    </row>
    <row r="229" spans="1:42">
      <c r="A229" s="128"/>
      <c r="B229" s="8" t="str">
        <f>物品!B229</f>
        <v>IB55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已领取重置版礼包</v>
      </c>
      <c r="I229" s="8" t="str">
        <f>VLOOKUP(B229,物品!B:CV,99,FALSE)</f>
        <v>|cff33ff00购买魔兽重制版可领取该礼包！|n|n|r属性：|n|cffffcc33高级聚宝盆|r</v>
      </c>
      <c r="J229" s="130" t="str">
        <f t="shared" si="90"/>
        <v>已领取重置版礼包</v>
      </c>
      <c r="K229" s="130" t="str">
        <f t="shared" si="91"/>
        <v>|cff33ff00购买魔兽重制版可领取该礼包！|n|n|r属性：|n|cffffcc33高级聚宝盆|r</v>
      </c>
      <c r="L229" s="8"/>
      <c r="M229" s="131" t="str">
        <f>VLOOKUP(LEFT(RIGHT(B229,5),4),物品!B:CU,20,FALSE)</f>
        <v>ReplaceableTextures\\commandButtons\\BTNLBUI01.blp</v>
      </c>
      <c r="N229" s="148" t="s">
        <v>83</v>
      </c>
      <c r="O229" s="131" t="s">
        <v>90</v>
      </c>
      <c r="P229" s="8">
        <v>0</v>
      </c>
      <c r="Q229" s="8">
        <v>1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8"/>
      <c r="W229" s="8" t="s">
        <v>87</v>
      </c>
      <c r="X229" s="8">
        <v>0</v>
      </c>
      <c r="Y229" s="148" t="s">
        <v>83</v>
      </c>
      <c r="Z229" s="8">
        <v>0</v>
      </c>
      <c r="AA229" s="8">
        <v>0</v>
      </c>
      <c r="AB229" s="8">
        <v>0</v>
      </c>
      <c r="AC229" s="8">
        <v>0</v>
      </c>
      <c r="AD229" s="8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8">
        <v>1</v>
      </c>
      <c r="AJ229" s="8"/>
      <c r="AK229" s="8">
        <v>1</v>
      </c>
      <c r="AL229" s="8">
        <v>1</v>
      </c>
      <c r="AM229" s="148" t="s">
        <v>83</v>
      </c>
      <c r="AN229" s="8">
        <v>1</v>
      </c>
      <c r="AO229" s="8">
        <v>1</v>
      </c>
      <c r="AP229" s="8">
        <v>1</v>
      </c>
    </row>
    <row r="230" spans="1:42">
      <c r="A230" s="128"/>
      <c r="B230" s="8" t="str">
        <f>物品!B230</f>
        <v>IB56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已领取公会福利</v>
      </c>
      <c r="I230" s="8" t="str">
        <f>VLOOKUP(B230,物品!B:CV,99,FALSE)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30" s="130" t="str">
        <f t="shared" si="90"/>
        <v>已领取公会福利</v>
      </c>
      <c r="K230" s="130" t="str">
        <f t="shared" si="9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30" s="8"/>
      <c r="M230" s="131" t="str">
        <f>VLOOKUP(LEFT(RIGHT(B230,5),4),物品!B:CU,20,FALSE)</f>
        <v>ReplaceableTextures\\commandButtons\\BTNLBUI01.blp</v>
      </c>
      <c r="N230" s="148" t="s">
        <v>83</v>
      </c>
      <c r="O230" s="131" t="s">
        <v>90</v>
      </c>
      <c r="P230" s="8">
        <v>1</v>
      </c>
      <c r="Q230" s="8">
        <v>1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8"/>
      <c r="W230" s="8" t="s">
        <v>87</v>
      </c>
      <c r="X230" s="8">
        <v>0</v>
      </c>
      <c r="Y230" s="148" t="s">
        <v>83</v>
      </c>
      <c r="Z230" s="8">
        <v>0</v>
      </c>
      <c r="AA230" s="8">
        <v>0</v>
      </c>
      <c r="AB230" s="8">
        <v>0</v>
      </c>
      <c r="AC230" s="8">
        <v>0</v>
      </c>
      <c r="AD230" s="8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8">
        <v>1</v>
      </c>
      <c r="AJ230" s="8"/>
      <c r="AK230" s="8">
        <v>1</v>
      </c>
      <c r="AL230" s="8">
        <v>1</v>
      </c>
      <c r="AM230" s="148" t="s">
        <v>83</v>
      </c>
      <c r="AN230" s="8">
        <v>1</v>
      </c>
      <c r="AO230" s="8">
        <v>1</v>
      </c>
      <c r="AP230" s="8">
        <v>1</v>
      </c>
    </row>
    <row r="231" spans="1:42">
      <c r="A231" s="128"/>
      <c r="B231" s="8" t="str">
        <f>物品!B231</f>
        <v>IB57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已领取星耀礼包</v>
      </c>
      <c r="I231" s="8" t="str">
        <f>VLOOKUP(B231,物品!B:CV,99,FALSE)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31" s="130" t="str">
        <f t="shared" si="90"/>
        <v>已领取星耀礼包</v>
      </c>
      <c r="K231" s="130" t="str">
        <f t="shared" si="9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31" s="8"/>
      <c r="M231" s="131" t="str">
        <f>VLOOKUP(LEFT(RIGHT(B231,5),4),物品!B:CU,20,FALSE)</f>
        <v>ReplaceableTextures\\commandButtons\\BTNLBUI01.blp</v>
      </c>
      <c r="N231" s="148" t="s">
        <v>83</v>
      </c>
      <c r="O231" s="131" t="s">
        <v>90</v>
      </c>
      <c r="P231" s="8">
        <v>2</v>
      </c>
      <c r="Q231" s="8">
        <v>1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8"/>
      <c r="W231" s="8" t="s">
        <v>87</v>
      </c>
      <c r="X231" s="8">
        <v>0</v>
      </c>
      <c r="Y231" s="148" t="s">
        <v>83</v>
      </c>
      <c r="Z231" s="8">
        <v>0</v>
      </c>
      <c r="AA231" s="8">
        <v>0</v>
      </c>
      <c r="AB231" s="8">
        <v>0</v>
      </c>
      <c r="AC231" s="8">
        <v>0</v>
      </c>
      <c r="AD231" s="8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8">
        <v>1</v>
      </c>
      <c r="AJ231" s="8"/>
      <c r="AK231" s="8">
        <v>1</v>
      </c>
      <c r="AL231" s="8">
        <v>1</v>
      </c>
      <c r="AM231" s="148" t="s">
        <v>83</v>
      </c>
      <c r="AN231" s="8">
        <v>1</v>
      </c>
      <c r="AO231" s="8">
        <v>1</v>
      </c>
      <c r="AP231" s="8">
        <v>1</v>
      </c>
    </row>
    <row r="232" spans="1:42">
      <c r="A232" s="128"/>
      <c r="B232" s="8" t="str">
        <f>物品!B232</f>
        <v>IB58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已领取魔芝RPG礼包</v>
      </c>
      <c r="I232" s="8" t="str">
        <f>VLOOKUP(B232,物品!B:CV,99,FALSE)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32" s="130" t="str">
        <f t="shared" si="90"/>
        <v>已领取魔芝RPG礼包</v>
      </c>
      <c r="K232" s="130" t="str">
        <f t="shared" si="9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32" s="8"/>
      <c r="M232" s="131" t="str">
        <f>VLOOKUP(LEFT(RIGHT(B232,5),4),物品!B:CU,20,FALSE)</f>
        <v>ReplaceableTextures\\commandButtons\\BTNLBUI01.blp</v>
      </c>
      <c r="N232" s="148" t="s">
        <v>83</v>
      </c>
      <c r="O232" s="131" t="s">
        <v>90</v>
      </c>
      <c r="P232" s="8">
        <v>3</v>
      </c>
      <c r="Q232" s="8">
        <v>1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8"/>
      <c r="W232" s="8" t="s">
        <v>87</v>
      </c>
      <c r="X232" s="8">
        <v>0</v>
      </c>
      <c r="Y232" s="148" t="s">
        <v>83</v>
      </c>
      <c r="Z232" s="8">
        <v>0</v>
      </c>
      <c r="AA232" s="8">
        <v>0</v>
      </c>
      <c r="AB232" s="8">
        <v>0</v>
      </c>
      <c r="AC232" s="8">
        <v>0</v>
      </c>
      <c r="AD232" s="8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8">
        <v>1</v>
      </c>
      <c r="AJ232" s="8"/>
      <c r="AK232" s="8">
        <v>1</v>
      </c>
      <c r="AL232" s="8">
        <v>1</v>
      </c>
      <c r="AM232" s="148" t="s">
        <v>83</v>
      </c>
      <c r="AN232" s="8">
        <v>1</v>
      </c>
      <c r="AO232" s="8">
        <v>1</v>
      </c>
      <c r="AP232" s="8">
        <v>1</v>
      </c>
    </row>
    <row r="233" spans="1:42">
      <c r="A233" s="128"/>
      <c r="B233" s="8" t="str">
        <f>物品!B233</f>
        <v>IB59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已领取老铁礼包</v>
      </c>
      <c r="I233" s="8" t="str">
        <f>VLOOKUP(B233,物品!B:CV,99,FALSE)</f>
        <v>已领取老铁礼包</v>
      </c>
      <c r="J233" s="130" t="str">
        <f t="shared" si="90"/>
        <v>已领取老铁礼包</v>
      </c>
      <c r="K233" s="130" t="str">
        <f t="shared" si="91"/>
        <v>已领取老铁礼包</v>
      </c>
      <c r="L233" s="8"/>
      <c r="M233" s="131" t="str">
        <f>VLOOKUP(LEFT(RIGHT(B233,5),4),物品!B:CU,20,FALSE)</f>
        <v>ReplaceableTextures\\commandButtons\\BTNLBUI01.blp</v>
      </c>
      <c r="N233" s="148" t="s">
        <v>83</v>
      </c>
      <c r="O233" s="131" t="s">
        <v>90</v>
      </c>
      <c r="P233" s="8">
        <v>0</v>
      </c>
      <c r="Q233" s="8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8"/>
      <c r="W233" s="8" t="s">
        <v>87</v>
      </c>
      <c r="X233" s="8">
        <v>0</v>
      </c>
      <c r="Y233" s="148" t="s">
        <v>83</v>
      </c>
      <c r="Z233" s="8">
        <v>0</v>
      </c>
      <c r="AA233" s="8">
        <v>0</v>
      </c>
      <c r="AB233" s="8">
        <v>0</v>
      </c>
      <c r="AC233" s="8">
        <v>0</v>
      </c>
      <c r="AD233" s="8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8">
        <v>1</v>
      </c>
      <c r="AJ233" s="8"/>
      <c r="AK233" s="8">
        <v>1</v>
      </c>
      <c r="AL233" s="8">
        <v>1</v>
      </c>
      <c r="AM233" s="148" t="s">
        <v>83</v>
      </c>
      <c r="AN233" s="8">
        <v>1</v>
      </c>
      <c r="AO233" s="8">
        <v>1</v>
      </c>
      <c r="AP233" s="8">
        <v>1</v>
      </c>
    </row>
    <row r="234" spans="1:42">
      <c r="A234" s="128"/>
      <c r="B234" s="8" t="str">
        <f>物品!B234</f>
        <v>IF01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攻击</v>
      </c>
      <c r="I234" s="8">
        <f>VLOOKUP(B234,物品!B:CV,99,FALSE)</f>
        <v>0</v>
      </c>
      <c r="J234" s="130" t="str">
        <f t="shared" ref="J234" si="92">H234</f>
        <v>攻击</v>
      </c>
      <c r="K234" s="130">
        <f t="shared" ref="K234" si="93">I234</f>
        <v>0</v>
      </c>
      <c r="L234" s="8"/>
      <c r="M234" s="131">
        <f>VLOOKUP(LEFT(RIGHT(B234,5),4),物品!B:CU,20,FALSE)</f>
        <v>0</v>
      </c>
      <c r="N234" s="148" t="s">
        <v>83</v>
      </c>
      <c r="O234" s="131" t="s">
        <v>90</v>
      </c>
      <c r="P234" s="8">
        <v>0</v>
      </c>
      <c r="Q234" s="8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8"/>
      <c r="W234" s="8" t="s">
        <v>87</v>
      </c>
      <c r="X234" s="8">
        <v>0</v>
      </c>
      <c r="Y234" s="148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8">
        <v>1</v>
      </c>
      <c r="AJ234" s="8"/>
      <c r="AK234" s="8">
        <v>1</v>
      </c>
      <c r="AL234" s="8">
        <v>1</v>
      </c>
      <c r="AM234" s="148" t="s">
        <v>83</v>
      </c>
      <c r="AN234" s="8">
        <v>1</v>
      </c>
      <c r="AO234" s="8">
        <v>1</v>
      </c>
      <c r="AP234" s="8">
        <v>1</v>
      </c>
    </row>
    <row r="235" spans="1:42">
      <c r="A235" s="128"/>
      <c r="B235" s="8" t="str">
        <f>物品!B235</f>
        <v>IF02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法强</v>
      </c>
      <c r="I235" s="8">
        <f>VLOOKUP(B235,物品!B:CV,99,FALSE)</f>
        <v>0</v>
      </c>
      <c r="J235" s="130" t="str">
        <f t="shared" ref="J235:J260" si="94">H235</f>
        <v>法强</v>
      </c>
      <c r="K235" s="130">
        <f t="shared" ref="K235:K260" si="95">I235</f>
        <v>0</v>
      </c>
      <c r="L235" s="8"/>
      <c r="M235" s="131">
        <f>VLOOKUP(LEFT(RIGHT(B235,5),4),物品!B:CU,20,FALSE)</f>
        <v>0</v>
      </c>
      <c r="N235" s="148" t="s">
        <v>83</v>
      </c>
      <c r="O235" s="131" t="s">
        <v>90</v>
      </c>
      <c r="P235" s="8">
        <v>0</v>
      </c>
      <c r="Q235" s="8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8"/>
      <c r="W235" s="8" t="s">
        <v>87</v>
      </c>
      <c r="X235" s="8">
        <v>0</v>
      </c>
      <c r="Y235" s="148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8">
        <v>1</v>
      </c>
      <c r="AJ235" s="8"/>
      <c r="AK235" s="8">
        <v>1</v>
      </c>
      <c r="AL235" s="8">
        <v>1</v>
      </c>
      <c r="AM235" s="148" t="s">
        <v>83</v>
      </c>
      <c r="AN235" s="8">
        <v>1</v>
      </c>
      <c r="AO235" s="8">
        <v>1</v>
      </c>
      <c r="AP235" s="8">
        <v>1</v>
      </c>
    </row>
    <row r="236" spans="1:42">
      <c r="A236" s="128"/>
      <c r="B236" s="8" t="str">
        <f>物品!B236</f>
        <v>IF03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攻击</v>
      </c>
      <c r="I236" s="8">
        <f>VLOOKUP(B236,物品!B:CV,99,FALSE)</f>
        <v>0</v>
      </c>
      <c r="J236" s="130" t="str">
        <f t="shared" si="94"/>
        <v>攻击</v>
      </c>
      <c r="K236" s="130">
        <f t="shared" si="95"/>
        <v>0</v>
      </c>
      <c r="L236" s="8"/>
      <c r="M236" s="131">
        <f>VLOOKUP(LEFT(RIGHT(B236,5),4),物品!B:CU,20,FALSE)</f>
        <v>0</v>
      </c>
      <c r="N236" s="148" t="s">
        <v>83</v>
      </c>
      <c r="O236" s="131" t="s">
        <v>90</v>
      </c>
      <c r="P236" s="8">
        <v>0</v>
      </c>
      <c r="Q236" s="8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8"/>
      <c r="W236" s="8" t="s">
        <v>87</v>
      </c>
      <c r="X236" s="8">
        <v>0</v>
      </c>
      <c r="Y236" s="148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8">
        <v>1</v>
      </c>
      <c r="AJ236" s="8"/>
      <c r="AK236" s="8">
        <v>1</v>
      </c>
      <c r="AL236" s="8">
        <v>1</v>
      </c>
      <c r="AM236" s="148" t="s">
        <v>83</v>
      </c>
      <c r="AN236" s="8">
        <v>1</v>
      </c>
      <c r="AO236" s="8">
        <v>1</v>
      </c>
      <c r="AP236" s="8">
        <v>1</v>
      </c>
    </row>
    <row r="237" spans="1:42">
      <c r="A237" s="128"/>
      <c r="B237" s="8" t="str">
        <f>物品!B237</f>
        <v>IF04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法强</v>
      </c>
      <c r="I237" s="8">
        <f>VLOOKUP(B237,物品!B:CV,99,FALSE)</f>
        <v>0</v>
      </c>
      <c r="J237" s="130" t="str">
        <f t="shared" si="94"/>
        <v>法强</v>
      </c>
      <c r="K237" s="130">
        <f t="shared" si="95"/>
        <v>0</v>
      </c>
      <c r="L237" s="8"/>
      <c r="M237" s="131">
        <f>VLOOKUP(LEFT(RIGHT(B237,5),4),物品!B:CU,20,FALSE)</f>
        <v>0</v>
      </c>
      <c r="N237" s="148" t="s">
        <v>83</v>
      </c>
      <c r="O237" s="131" t="s">
        <v>90</v>
      </c>
      <c r="P237" s="8">
        <v>0</v>
      </c>
      <c r="Q237" s="8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8"/>
      <c r="W237" s="8" t="s">
        <v>87</v>
      </c>
      <c r="X237" s="8">
        <v>0</v>
      </c>
      <c r="Y237" s="148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8">
        <v>1</v>
      </c>
      <c r="AJ237" s="8"/>
      <c r="AK237" s="8">
        <v>1</v>
      </c>
      <c r="AL237" s="8">
        <v>1</v>
      </c>
      <c r="AM237" s="148" t="s">
        <v>83</v>
      </c>
      <c r="AN237" s="8">
        <v>1</v>
      </c>
      <c r="AO237" s="8">
        <v>1</v>
      </c>
      <c r="AP237" s="8">
        <v>1</v>
      </c>
    </row>
    <row r="238" spans="1:42">
      <c r="A238" s="128"/>
      <c r="B238" s="8" t="str">
        <f>物品!B238</f>
        <v>IF05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攻击</v>
      </c>
      <c r="I238" s="8">
        <f>VLOOKUP(B238,物品!B:CV,99,FALSE)</f>
        <v>0</v>
      </c>
      <c r="J238" s="130" t="str">
        <f t="shared" si="94"/>
        <v>攻击</v>
      </c>
      <c r="K238" s="130">
        <f t="shared" si="95"/>
        <v>0</v>
      </c>
      <c r="L238" s="8"/>
      <c r="M238" s="131">
        <f>VLOOKUP(LEFT(RIGHT(B238,5),4),物品!B:CU,20,FALSE)</f>
        <v>0</v>
      </c>
      <c r="N238" s="148" t="s">
        <v>83</v>
      </c>
      <c r="O238" s="131" t="s">
        <v>90</v>
      </c>
      <c r="P238" s="8">
        <v>0</v>
      </c>
      <c r="Q238" s="8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8"/>
      <c r="W238" s="8" t="s">
        <v>87</v>
      </c>
      <c r="X238" s="8">
        <v>0</v>
      </c>
      <c r="Y238" s="148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8">
        <v>1</v>
      </c>
      <c r="AJ238" s="8"/>
      <c r="AK238" s="8">
        <v>1</v>
      </c>
      <c r="AL238" s="8">
        <v>1</v>
      </c>
      <c r="AM238" s="148" t="s">
        <v>83</v>
      </c>
      <c r="AN238" s="8">
        <v>1</v>
      </c>
      <c r="AO238" s="8">
        <v>1</v>
      </c>
      <c r="AP238" s="8">
        <v>1</v>
      </c>
    </row>
    <row r="239" spans="1:42">
      <c r="A239" s="128"/>
      <c r="B239" s="8" t="str">
        <f>物品!B239</f>
        <v>IF06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法强</v>
      </c>
      <c r="I239" s="8">
        <f>VLOOKUP(B239,物品!B:CV,99,FALSE)</f>
        <v>0</v>
      </c>
      <c r="J239" s="130" t="str">
        <f t="shared" si="94"/>
        <v>法强</v>
      </c>
      <c r="K239" s="130">
        <f t="shared" si="95"/>
        <v>0</v>
      </c>
      <c r="L239" s="8"/>
      <c r="M239" s="131">
        <f>VLOOKUP(LEFT(RIGHT(B239,5),4),物品!B:CU,20,FALSE)</f>
        <v>0</v>
      </c>
      <c r="N239" s="148" t="s">
        <v>83</v>
      </c>
      <c r="O239" s="131" t="s">
        <v>90</v>
      </c>
      <c r="P239" s="8">
        <v>0</v>
      </c>
      <c r="Q239" s="8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8"/>
      <c r="W239" s="8" t="s">
        <v>87</v>
      </c>
      <c r="X239" s="8">
        <v>0</v>
      </c>
      <c r="Y239" s="148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8">
        <v>1</v>
      </c>
      <c r="AJ239" s="8"/>
      <c r="AK239" s="8">
        <v>1</v>
      </c>
      <c r="AL239" s="8">
        <v>1</v>
      </c>
      <c r="AM239" s="148" t="s">
        <v>83</v>
      </c>
      <c r="AN239" s="8">
        <v>1</v>
      </c>
      <c r="AO239" s="8">
        <v>1</v>
      </c>
      <c r="AP239" s="8">
        <v>1</v>
      </c>
    </row>
    <row r="240" spans="1:42">
      <c r="A240" s="128"/>
      <c r="B240" s="8" t="str">
        <f>物品!B240</f>
        <v>IF07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攻击</v>
      </c>
      <c r="I240" s="8">
        <f>VLOOKUP(B240,物品!B:CV,99,FALSE)</f>
        <v>0</v>
      </c>
      <c r="J240" s="130" t="str">
        <f t="shared" si="94"/>
        <v>攻击</v>
      </c>
      <c r="K240" s="130">
        <f t="shared" si="95"/>
        <v>0</v>
      </c>
      <c r="L240" s="8"/>
      <c r="M240" s="131">
        <f>VLOOKUP(LEFT(RIGHT(B240,5),4),物品!B:CU,20,FALSE)</f>
        <v>0</v>
      </c>
      <c r="N240" s="148" t="s">
        <v>83</v>
      </c>
      <c r="O240" s="131" t="s">
        <v>90</v>
      </c>
      <c r="P240" s="8">
        <v>0</v>
      </c>
      <c r="Q240" s="8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8"/>
      <c r="W240" s="8" t="s">
        <v>87</v>
      </c>
      <c r="X240" s="8">
        <v>0</v>
      </c>
      <c r="Y240" s="148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8">
        <v>1</v>
      </c>
      <c r="AJ240" s="8"/>
      <c r="AK240" s="8">
        <v>1</v>
      </c>
      <c r="AL240" s="8">
        <v>1</v>
      </c>
      <c r="AM240" s="148" t="s">
        <v>83</v>
      </c>
      <c r="AN240" s="8">
        <v>1</v>
      </c>
      <c r="AO240" s="8">
        <v>1</v>
      </c>
      <c r="AP240" s="8">
        <v>1</v>
      </c>
    </row>
    <row r="241" spans="1:42">
      <c r="A241" s="128"/>
      <c r="B241" s="8" t="str">
        <f>物品!B241</f>
        <v>IF08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法强</v>
      </c>
      <c r="I241" s="8">
        <f>VLOOKUP(B241,物品!B:CV,99,FALSE)</f>
        <v>0</v>
      </c>
      <c r="J241" s="130" t="str">
        <f t="shared" si="94"/>
        <v>法强</v>
      </c>
      <c r="K241" s="130">
        <f t="shared" si="95"/>
        <v>0</v>
      </c>
      <c r="L241" s="8"/>
      <c r="M241" s="131">
        <f>VLOOKUP(LEFT(RIGHT(B241,5),4),物品!B:CU,20,FALSE)</f>
        <v>0</v>
      </c>
      <c r="N241" s="148" t="s">
        <v>83</v>
      </c>
      <c r="O241" s="131" t="s">
        <v>90</v>
      </c>
      <c r="P241" s="8">
        <v>0</v>
      </c>
      <c r="Q241" s="8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8"/>
      <c r="W241" s="8" t="s">
        <v>87</v>
      </c>
      <c r="X241" s="8">
        <v>0</v>
      </c>
      <c r="Y241" s="148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8">
        <v>1</v>
      </c>
      <c r="AJ241" s="8"/>
      <c r="AK241" s="8">
        <v>1</v>
      </c>
      <c r="AL241" s="8">
        <v>1</v>
      </c>
      <c r="AM241" s="148" t="s">
        <v>83</v>
      </c>
      <c r="AN241" s="8">
        <v>1</v>
      </c>
      <c r="AO241" s="8">
        <v>1</v>
      </c>
      <c r="AP241" s="8">
        <v>1</v>
      </c>
    </row>
    <row r="242" spans="1:42">
      <c r="A242" s="128"/>
      <c r="B242" s="8" t="str">
        <f>物品!B242</f>
        <v>IF09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</v>
      </c>
      <c r="I242" s="8">
        <f>VLOOKUP(B242,物品!B:CV,99,FALSE)</f>
        <v>0</v>
      </c>
      <c r="J242" s="130" t="str">
        <f t="shared" si="94"/>
        <v>攻击</v>
      </c>
      <c r="K242" s="130">
        <f t="shared" si="95"/>
        <v>0</v>
      </c>
      <c r="L242" s="8"/>
      <c r="M242" s="131">
        <f>VLOOKUP(LEFT(RIGHT(B242,5),4),物品!B:CU,20,FALSE)</f>
        <v>0</v>
      </c>
      <c r="N242" s="148" t="s">
        <v>83</v>
      </c>
      <c r="O242" s="131" t="s">
        <v>90</v>
      </c>
      <c r="P242" s="8">
        <v>0</v>
      </c>
      <c r="Q242" s="8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8"/>
      <c r="W242" s="8" t="s">
        <v>87</v>
      </c>
      <c r="X242" s="8">
        <v>0</v>
      </c>
      <c r="Y242" s="148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8">
        <v>1</v>
      </c>
      <c r="AJ242" s="8"/>
      <c r="AK242" s="8">
        <v>1</v>
      </c>
      <c r="AL242" s="8">
        <v>1</v>
      </c>
      <c r="AM242" s="148" t="s">
        <v>83</v>
      </c>
      <c r="AN242" s="8">
        <v>1</v>
      </c>
      <c r="AO242" s="8">
        <v>1</v>
      </c>
      <c r="AP242" s="8">
        <v>1</v>
      </c>
    </row>
    <row r="243" spans="1:42">
      <c r="A243" s="128"/>
      <c r="B243" s="8" t="str">
        <f>物品!B243</f>
        <v>IF10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法强</v>
      </c>
      <c r="I243" s="8">
        <f>VLOOKUP(B243,物品!B:CV,99,FALSE)</f>
        <v>0</v>
      </c>
      <c r="J243" s="130" t="str">
        <f t="shared" si="94"/>
        <v>法强</v>
      </c>
      <c r="K243" s="130">
        <f t="shared" si="95"/>
        <v>0</v>
      </c>
      <c r="L243" s="8"/>
      <c r="M243" s="131">
        <f>VLOOKUP(LEFT(RIGHT(B243,5),4),物品!B:CU,20,FALSE)</f>
        <v>0</v>
      </c>
      <c r="N243" s="148" t="s">
        <v>83</v>
      </c>
      <c r="O243" s="131" t="s">
        <v>90</v>
      </c>
      <c r="P243" s="8">
        <v>0</v>
      </c>
      <c r="Q243" s="8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8"/>
      <c r="W243" s="8" t="s">
        <v>87</v>
      </c>
      <c r="X243" s="8">
        <v>0</v>
      </c>
      <c r="Y243" s="148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8">
        <v>1</v>
      </c>
      <c r="AJ243" s="8"/>
      <c r="AK243" s="8">
        <v>1</v>
      </c>
      <c r="AL243" s="8">
        <v>1</v>
      </c>
      <c r="AM243" s="148" t="s">
        <v>83</v>
      </c>
      <c r="AN243" s="8">
        <v>1</v>
      </c>
      <c r="AO243" s="8">
        <v>1</v>
      </c>
      <c r="AP243" s="8">
        <v>1</v>
      </c>
    </row>
    <row r="244" spans="1:42">
      <c r="A244" s="128"/>
      <c r="B244" s="8" t="str">
        <f>物品!B244</f>
        <v>IF11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攻击和法强</v>
      </c>
      <c r="I244" s="8">
        <f>VLOOKUP(B244,物品!B:CV,99,FALSE)</f>
        <v>0</v>
      </c>
      <c r="J244" s="130" t="str">
        <f t="shared" si="94"/>
        <v>攻击和法强</v>
      </c>
      <c r="K244" s="130">
        <f t="shared" si="95"/>
        <v>0</v>
      </c>
      <c r="L244" s="8"/>
      <c r="M244" s="131">
        <f>VLOOKUP(LEFT(RIGHT(B244,5),4),物品!B:CU,20,FALSE)</f>
        <v>0</v>
      </c>
      <c r="N244" s="148" t="s">
        <v>83</v>
      </c>
      <c r="O244" s="131" t="s">
        <v>90</v>
      </c>
      <c r="P244" s="8">
        <v>0</v>
      </c>
      <c r="Q244" s="8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8"/>
      <c r="W244" s="8" t="s">
        <v>87</v>
      </c>
      <c r="X244" s="8">
        <v>0</v>
      </c>
      <c r="Y244" s="148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8">
        <v>1</v>
      </c>
      <c r="AJ244" s="8"/>
      <c r="AK244" s="8">
        <v>1</v>
      </c>
      <c r="AL244" s="8">
        <v>1</v>
      </c>
      <c r="AM244" s="148" t="s">
        <v>83</v>
      </c>
      <c r="AN244" s="8">
        <v>1</v>
      </c>
      <c r="AO244" s="8">
        <v>1</v>
      </c>
      <c r="AP244" s="8">
        <v>1</v>
      </c>
    </row>
    <row r="245" spans="1:42">
      <c r="A245" s="128"/>
      <c r="B245" s="8" t="str">
        <f>物品!B245</f>
        <v>IF12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暴击</v>
      </c>
      <c r="I245" s="8">
        <f>VLOOKUP(B245,物品!B:CV,99,FALSE)</f>
        <v>0</v>
      </c>
      <c r="J245" s="130" t="str">
        <f t="shared" si="94"/>
        <v>暴击</v>
      </c>
      <c r="K245" s="130">
        <f t="shared" si="95"/>
        <v>0</v>
      </c>
      <c r="L245" s="8"/>
      <c r="M245" s="131">
        <f>VLOOKUP(LEFT(RIGHT(B245,5),4),物品!B:CU,20,FALSE)</f>
        <v>0</v>
      </c>
      <c r="N245" s="148" t="s">
        <v>83</v>
      </c>
      <c r="O245" s="131" t="s">
        <v>90</v>
      </c>
      <c r="P245" s="8">
        <v>0</v>
      </c>
      <c r="Q245" s="8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8"/>
      <c r="W245" s="8" t="s">
        <v>87</v>
      </c>
      <c r="X245" s="8">
        <v>0</v>
      </c>
      <c r="Y245" s="148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8">
        <v>1</v>
      </c>
      <c r="AJ245" s="8"/>
      <c r="AK245" s="8">
        <v>1</v>
      </c>
      <c r="AL245" s="8">
        <v>1</v>
      </c>
      <c r="AM245" s="148" t="s">
        <v>83</v>
      </c>
      <c r="AN245" s="8">
        <v>1</v>
      </c>
      <c r="AO245" s="8">
        <v>1</v>
      </c>
      <c r="AP245" s="8">
        <v>1</v>
      </c>
    </row>
    <row r="246" spans="1:42">
      <c r="A246" s="128"/>
      <c r="B246" s="8" t="str">
        <f>物品!B246</f>
        <v>IF13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爆伤</v>
      </c>
      <c r="I246" s="8">
        <f>VLOOKUP(B246,物品!B:CV,99,FALSE)</f>
        <v>0</v>
      </c>
      <c r="J246" s="130" t="str">
        <f t="shared" si="94"/>
        <v>爆伤</v>
      </c>
      <c r="K246" s="130">
        <f t="shared" si="95"/>
        <v>0</v>
      </c>
      <c r="L246" s="8"/>
      <c r="M246" s="131">
        <f>VLOOKUP(LEFT(RIGHT(B246,5),4),物品!B:CU,20,FALSE)</f>
        <v>0</v>
      </c>
      <c r="N246" s="148" t="s">
        <v>83</v>
      </c>
      <c r="O246" s="131" t="s">
        <v>90</v>
      </c>
      <c r="P246" s="8">
        <v>0</v>
      </c>
      <c r="Q246" s="8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8"/>
      <c r="W246" s="8" t="s">
        <v>87</v>
      </c>
      <c r="X246" s="8">
        <v>0</v>
      </c>
      <c r="Y246" s="148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8">
        <v>1</v>
      </c>
      <c r="AJ246" s="8"/>
      <c r="AK246" s="8">
        <v>1</v>
      </c>
      <c r="AL246" s="8">
        <v>1</v>
      </c>
      <c r="AM246" s="148" t="s">
        <v>83</v>
      </c>
      <c r="AN246" s="8">
        <v>1</v>
      </c>
      <c r="AO246" s="8">
        <v>1</v>
      </c>
      <c r="AP246" s="8">
        <v>1</v>
      </c>
    </row>
    <row r="247" spans="1:42">
      <c r="A247" s="128"/>
      <c r="B247" s="8" t="str">
        <f>物品!B247</f>
        <v>IF14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爆伤</v>
      </c>
      <c r="I247" s="8">
        <f>VLOOKUP(B247,物品!B:CV,99,FALSE)</f>
        <v>0</v>
      </c>
      <c r="J247" s="130" t="str">
        <f t="shared" si="94"/>
        <v>爆伤</v>
      </c>
      <c r="K247" s="130">
        <f t="shared" si="95"/>
        <v>0</v>
      </c>
      <c r="L247" s="8"/>
      <c r="M247" s="131">
        <f>VLOOKUP(LEFT(RIGHT(B247,5),4),物品!B:CU,20,FALSE)</f>
        <v>0</v>
      </c>
      <c r="N247" s="148" t="s">
        <v>83</v>
      </c>
      <c r="O247" s="131" t="s">
        <v>90</v>
      </c>
      <c r="P247" s="8">
        <v>0</v>
      </c>
      <c r="Q247" s="8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8"/>
      <c r="W247" s="8" t="s">
        <v>87</v>
      </c>
      <c r="X247" s="8">
        <v>0</v>
      </c>
      <c r="Y247" s="148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8">
        <v>1</v>
      </c>
      <c r="AJ247" s="8"/>
      <c r="AK247" s="8">
        <v>1</v>
      </c>
      <c r="AL247" s="8">
        <v>1</v>
      </c>
      <c r="AM247" s="148" t="s">
        <v>83</v>
      </c>
      <c r="AN247" s="8">
        <v>1</v>
      </c>
      <c r="AO247" s="8">
        <v>1</v>
      </c>
      <c r="AP247" s="8">
        <v>1</v>
      </c>
    </row>
    <row r="248" spans="1:42">
      <c r="A248" s="128"/>
      <c r="B248" s="8" t="str">
        <f>物品!B248</f>
        <v>IF15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爆伤</v>
      </c>
      <c r="I248" s="8">
        <f>VLOOKUP(B248,物品!B:CV,99,FALSE)</f>
        <v>0</v>
      </c>
      <c r="J248" s="130" t="str">
        <f t="shared" si="94"/>
        <v>爆伤</v>
      </c>
      <c r="K248" s="130">
        <f t="shared" si="95"/>
        <v>0</v>
      </c>
      <c r="L248" s="8"/>
      <c r="M248" s="131">
        <f>VLOOKUP(LEFT(RIGHT(B248,5),4),物品!B:CU,20,FALSE)</f>
        <v>0</v>
      </c>
      <c r="N248" s="148" t="s">
        <v>83</v>
      </c>
      <c r="O248" s="131" t="s">
        <v>90</v>
      </c>
      <c r="P248" s="8">
        <v>0</v>
      </c>
      <c r="Q248" s="8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8"/>
      <c r="W248" s="8" t="s">
        <v>87</v>
      </c>
      <c r="X248" s="8">
        <v>0</v>
      </c>
      <c r="Y248" s="148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8">
        <v>1</v>
      </c>
      <c r="AJ248" s="8"/>
      <c r="AK248" s="8">
        <v>1</v>
      </c>
      <c r="AL248" s="8">
        <v>1</v>
      </c>
      <c r="AM248" s="148" t="s">
        <v>83</v>
      </c>
      <c r="AN248" s="8">
        <v>1</v>
      </c>
      <c r="AO248" s="8">
        <v>1</v>
      </c>
      <c r="AP248" s="8">
        <v>1</v>
      </c>
    </row>
    <row r="249" spans="1:42">
      <c r="A249" s="128"/>
      <c r="B249" s="8" t="str">
        <f>物品!B249</f>
        <v>IF16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冷却缩减</v>
      </c>
      <c r="I249" s="8">
        <f>VLOOKUP(B249,物品!B:CV,99,FALSE)</f>
        <v>0</v>
      </c>
      <c r="J249" s="130" t="str">
        <f t="shared" si="94"/>
        <v>冷却缩减</v>
      </c>
      <c r="K249" s="130">
        <f t="shared" si="95"/>
        <v>0</v>
      </c>
      <c r="L249" s="8"/>
      <c r="M249" s="131">
        <f>VLOOKUP(LEFT(RIGHT(B249,5),4),物品!B:CU,20,FALSE)</f>
        <v>0</v>
      </c>
      <c r="N249" s="148" t="s">
        <v>83</v>
      </c>
      <c r="O249" s="131" t="s">
        <v>90</v>
      </c>
      <c r="P249" s="8">
        <v>0</v>
      </c>
      <c r="Q249" s="8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8"/>
      <c r="W249" s="8" t="s">
        <v>87</v>
      </c>
      <c r="X249" s="8">
        <v>0</v>
      </c>
      <c r="Y249" s="148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8">
        <v>1</v>
      </c>
      <c r="AJ249" s="8"/>
      <c r="AK249" s="8">
        <v>1</v>
      </c>
      <c r="AL249" s="8">
        <v>1</v>
      </c>
      <c r="AM249" s="148" t="s">
        <v>83</v>
      </c>
      <c r="AN249" s="8">
        <v>1</v>
      </c>
      <c r="AO249" s="8">
        <v>1</v>
      </c>
      <c r="AP249" s="8">
        <v>1</v>
      </c>
    </row>
    <row r="250" spans="1:42">
      <c r="A250" s="128"/>
      <c r="B250" s="8" t="str">
        <f>物品!B250</f>
        <v>IF17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冷却缩减</v>
      </c>
      <c r="I250" s="8">
        <f>VLOOKUP(B250,物品!B:CV,99,FALSE)</f>
        <v>0</v>
      </c>
      <c r="J250" s="130" t="str">
        <f t="shared" si="94"/>
        <v>冷却缩减</v>
      </c>
      <c r="K250" s="130">
        <f t="shared" si="95"/>
        <v>0</v>
      </c>
      <c r="L250" s="8"/>
      <c r="M250" s="131">
        <f>VLOOKUP(LEFT(RIGHT(B250,5),4),物品!B:CU,20,FALSE)</f>
        <v>0</v>
      </c>
      <c r="N250" s="148" t="s">
        <v>83</v>
      </c>
      <c r="O250" s="131" t="s">
        <v>90</v>
      </c>
      <c r="P250" s="8">
        <v>0</v>
      </c>
      <c r="Q250" s="8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8"/>
      <c r="W250" s="8" t="s">
        <v>87</v>
      </c>
      <c r="X250" s="8">
        <v>0</v>
      </c>
      <c r="Y250" s="148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8">
        <v>1</v>
      </c>
      <c r="AJ250" s="8"/>
      <c r="AK250" s="8">
        <v>1</v>
      </c>
      <c r="AL250" s="8">
        <v>1</v>
      </c>
      <c r="AM250" s="148" t="s">
        <v>83</v>
      </c>
      <c r="AN250" s="8">
        <v>1</v>
      </c>
      <c r="AO250" s="8">
        <v>1</v>
      </c>
      <c r="AP250" s="8">
        <v>1</v>
      </c>
    </row>
    <row r="251" spans="1:42">
      <c r="A251" s="128"/>
      <c r="B251" s="8" t="str">
        <f>物品!B251</f>
        <v>IF18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攻击速度</v>
      </c>
      <c r="I251" s="8">
        <f>VLOOKUP(B251,物品!B:CV,99,FALSE)</f>
        <v>0</v>
      </c>
      <c r="J251" s="130" t="str">
        <f t="shared" si="94"/>
        <v>攻击速度</v>
      </c>
      <c r="K251" s="130">
        <f t="shared" si="95"/>
        <v>0</v>
      </c>
      <c r="L251" s="8"/>
      <c r="M251" s="131">
        <f>VLOOKUP(LEFT(RIGHT(B251,5),4),物品!B:CU,20,FALSE)</f>
        <v>0</v>
      </c>
      <c r="N251" s="148" t="s">
        <v>83</v>
      </c>
      <c r="O251" s="131" t="s">
        <v>90</v>
      </c>
      <c r="P251" s="8">
        <v>0</v>
      </c>
      <c r="Q251" s="8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8"/>
      <c r="W251" s="8" t="s">
        <v>87</v>
      </c>
      <c r="X251" s="8">
        <v>0</v>
      </c>
      <c r="Y251" s="148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8">
        <v>1</v>
      </c>
      <c r="AJ251" s="8"/>
      <c r="AK251" s="8">
        <v>1</v>
      </c>
      <c r="AL251" s="8">
        <v>1</v>
      </c>
      <c r="AM251" s="148" t="s">
        <v>83</v>
      </c>
      <c r="AN251" s="8">
        <v>1</v>
      </c>
      <c r="AO251" s="8">
        <v>1</v>
      </c>
      <c r="AP251" s="8">
        <v>1</v>
      </c>
    </row>
    <row r="252" spans="1:42">
      <c r="A252" s="128"/>
      <c r="B252" s="8" t="str">
        <f>物品!B252</f>
        <v>IF19</v>
      </c>
      <c r="C252" s="8" t="s">
        <v>41</v>
      </c>
      <c r="D252" s="8" t="s">
        <v>81</v>
      </c>
      <c r="E252" s="8"/>
      <c r="F252" s="8"/>
      <c r="G252" s="8"/>
      <c r="H252" s="8" t="str">
        <f>VLOOKUP(LEFT(RIGHT(B252,5),4),物品!B:CU,2,FALSE)</f>
        <v>攻击速度</v>
      </c>
      <c r="I252" s="8">
        <f>VLOOKUP(B252,物品!B:CV,99,FALSE)</f>
        <v>0</v>
      </c>
      <c r="J252" s="130" t="str">
        <f t="shared" si="94"/>
        <v>攻击速度</v>
      </c>
      <c r="K252" s="130">
        <f t="shared" si="95"/>
        <v>0</v>
      </c>
      <c r="L252" s="8"/>
      <c r="M252" s="131">
        <f>VLOOKUP(LEFT(RIGHT(B252,5),4),物品!B:CU,20,FALSE)</f>
        <v>0</v>
      </c>
      <c r="N252" s="148" t="s">
        <v>83</v>
      </c>
      <c r="O252" s="131" t="s">
        <v>90</v>
      </c>
      <c r="P252" s="8">
        <v>0</v>
      </c>
      <c r="Q252" s="8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8"/>
      <c r="W252" s="8" t="s">
        <v>87</v>
      </c>
      <c r="X252" s="8">
        <v>0</v>
      </c>
      <c r="Y252" s="148" t="s">
        <v>83</v>
      </c>
      <c r="Z252" s="8">
        <v>0</v>
      </c>
      <c r="AA252" s="8">
        <v>0</v>
      </c>
      <c r="AB252" s="8">
        <v>0</v>
      </c>
      <c r="AC252" s="8">
        <v>1</v>
      </c>
      <c r="AD252" s="8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8">
        <v>1</v>
      </c>
      <c r="AJ252" s="8"/>
      <c r="AK252" s="8">
        <v>1</v>
      </c>
      <c r="AL252" s="8">
        <v>1</v>
      </c>
      <c r="AM252" s="148" t="s">
        <v>83</v>
      </c>
      <c r="AN252" s="8">
        <v>1</v>
      </c>
      <c r="AO252" s="8">
        <v>1</v>
      </c>
      <c r="AP252" s="8">
        <v>1</v>
      </c>
    </row>
    <row r="253" spans="1:42">
      <c r="A253" s="128"/>
      <c r="B253" s="8" t="str">
        <f>物品!B253</f>
        <v>IF20</v>
      </c>
      <c r="C253" s="8" t="s">
        <v>41</v>
      </c>
      <c r="D253" s="8" t="s">
        <v>81</v>
      </c>
      <c r="E253" s="8"/>
      <c r="F253" s="8"/>
      <c r="G253" s="8"/>
      <c r="H253" s="8" t="str">
        <f>VLOOKUP(LEFT(RIGHT(B253,5),4),物品!B:CU,2,FALSE)</f>
        <v>普攻伤害</v>
      </c>
      <c r="I253" s="8">
        <f>VLOOKUP(B253,物品!B:CV,99,FALSE)</f>
        <v>0</v>
      </c>
      <c r="J253" s="130" t="str">
        <f t="shared" si="94"/>
        <v>普攻伤害</v>
      </c>
      <c r="K253" s="130">
        <f t="shared" si="95"/>
        <v>0</v>
      </c>
      <c r="L253" s="8"/>
      <c r="M253" s="131">
        <f>VLOOKUP(LEFT(RIGHT(B253,5),4),物品!B:CU,20,FALSE)</f>
        <v>0</v>
      </c>
      <c r="N253" s="148" t="s">
        <v>83</v>
      </c>
      <c r="O253" s="131" t="s">
        <v>90</v>
      </c>
      <c r="P253" s="8">
        <v>0</v>
      </c>
      <c r="Q253" s="8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8"/>
      <c r="W253" s="8" t="s">
        <v>87</v>
      </c>
      <c r="X253" s="8">
        <v>0</v>
      </c>
      <c r="Y253" s="148" t="s">
        <v>83</v>
      </c>
      <c r="Z253" s="8">
        <v>0</v>
      </c>
      <c r="AA253" s="8">
        <v>0</v>
      </c>
      <c r="AB253" s="8">
        <v>0</v>
      </c>
      <c r="AC253" s="8">
        <v>1</v>
      </c>
      <c r="AD253" s="8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8">
        <v>1</v>
      </c>
      <c r="AJ253" s="8"/>
      <c r="AK253" s="8">
        <v>1</v>
      </c>
      <c r="AL253" s="8">
        <v>1</v>
      </c>
      <c r="AM253" s="148" t="s">
        <v>83</v>
      </c>
      <c r="AN253" s="8">
        <v>1</v>
      </c>
      <c r="AO253" s="8">
        <v>1</v>
      </c>
      <c r="AP253" s="8">
        <v>1</v>
      </c>
    </row>
    <row r="254" spans="1:42">
      <c r="A254" s="128"/>
      <c r="B254" s="8" t="str">
        <f>物品!B254</f>
        <v>IF21</v>
      </c>
      <c r="C254" s="8" t="s">
        <v>41</v>
      </c>
      <c r="D254" s="8" t="s">
        <v>81</v>
      </c>
      <c r="E254" s="8"/>
      <c r="F254" s="8"/>
      <c r="G254" s="8"/>
      <c r="H254" s="8" t="str">
        <f>VLOOKUP(LEFT(RIGHT(B254,5),4),物品!B:CU,2,FALSE)</f>
        <v>普攻伤害</v>
      </c>
      <c r="I254" s="8">
        <f>VLOOKUP(B254,物品!B:CV,99,FALSE)</f>
        <v>0</v>
      </c>
      <c r="J254" s="130" t="str">
        <f t="shared" si="94"/>
        <v>普攻伤害</v>
      </c>
      <c r="K254" s="130">
        <f t="shared" si="95"/>
        <v>0</v>
      </c>
      <c r="L254" s="8"/>
      <c r="M254" s="131">
        <f>VLOOKUP(LEFT(RIGHT(B254,5),4),物品!B:CU,20,FALSE)</f>
        <v>0</v>
      </c>
      <c r="N254" s="148" t="s">
        <v>83</v>
      </c>
      <c r="O254" s="131" t="s">
        <v>90</v>
      </c>
      <c r="P254" s="8">
        <v>0</v>
      </c>
      <c r="Q254" s="8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8"/>
      <c r="W254" s="8" t="s">
        <v>87</v>
      </c>
      <c r="X254" s="8">
        <v>0</v>
      </c>
      <c r="Y254" s="148" t="s">
        <v>83</v>
      </c>
      <c r="Z254" s="8">
        <v>0</v>
      </c>
      <c r="AA254" s="8">
        <v>0</v>
      </c>
      <c r="AB254" s="8">
        <v>0</v>
      </c>
      <c r="AC254" s="8">
        <v>1</v>
      </c>
      <c r="AD254" s="8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8">
        <v>1</v>
      </c>
      <c r="AJ254" s="8"/>
      <c r="AK254" s="8">
        <v>1</v>
      </c>
      <c r="AL254" s="8">
        <v>1</v>
      </c>
      <c r="AM254" s="148" t="s">
        <v>83</v>
      </c>
      <c r="AN254" s="8">
        <v>1</v>
      </c>
      <c r="AO254" s="8">
        <v>1</v>
      </c>
      <c r="AP254" s="8">
        <v>1</v>
      </c>
    </row>
    <row r="255" spans="1:42">
      <c r="A255" s="128"/>
      <c r="B255" s="8" t="str">
        <f>物品!B255</f>
        <v>IF22</v>
      </c>
      <c r="C255" s="8" t="s">
        <v>41</v>
      </c>
      <c r="D255" s="8" t="s">
        <v>81</v>
      </c>
      <c r="E255" s="8"/>
      <c r="F255" s="8"/>
      <c r="G255" s="8"/>
      <c r="H255" s="8" t="str">
        <f>VLOOKUP(LEFT(RIGHT(B255,5),4),物品!B:CU,2,FALSE)</f>
        <v>回蓝</v>
      </c>
      <c r="I255" s="8">
        <f>VLOOKUP(B255,物品!B:CV,99,FALSE)</f>
        <v>0</v>
      </c>
      <c r="J255" s="130" t="str">
        <f t="shared" si="94"/>
        <v>回蓝</v>
      </c>
      <c r="K255" s="130">
        <f t="shared" si="95"/>
        <v>0</v>
      </c>
      <c r="L255" s="8"/>
      <c r="M255" s="131">
        <f>VLOOKUP(LEFT(RIGHT(B255,5),4),物品!B:CU,20,FALSE)</f>
        <v>0</v>
      </c>
      <c r="N255" s="148" t="s">
        <v>83</v>
      </c>
      <c r="O255" s="131" t="s">
        <v>90</v>
      </c>
      <c r="P255" s="8">
        <v>0</v>
      </c>
      <c r="Q255" s="8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8"/>
      <c r="W255" s="8" t="s">
        <v>87</v>
      </c>
      <c r="X255" s="8">
        <v>0</v>
      </c>
      <c r="Y255" s="148" t="s">
        <v>83</v>
      </c>
      <c r="Z255" s="8">
        <v>0</v>
      </c>
      <c r="AA255" s="8">
        <v>0</v>
      </c>
      <c r="AB255" s="8">
        <v>0</v>
      </c>
      <c r="AC255" s="8">
        <v>1</v>
      </c>
      <c r="AD255" s="8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8">
        <v>1</v>
      </c>
      <c r="AJ255" s="8"/>
      <c r="AK255" s="8">
        <v>1</v>
      </c>
      <c r="AL255" s="8">
        <v>1</v>
      </c>
      <c r="AM255" s="148" t="s">
        <v>83</v>
      </c>
      <c r="AN255" s="8">
        <v>1</v>
      </c>
      <c r="AO255" s="8">
        <v>1</v>
      </c>
      <c r="AP255" s="8">
        <v>1</v>
      </c>
    </row>
    <row r="256" spans="1:42">
      <c r="A256" s="128"/>
      <c r="B256" s="8" t="str">
        <f>物品!B256</f>
        <v>IF23</v>
      </c>
      <c r="C256" s="8" t="s">
        <v>41</v>
      </c>
      <c r="D256" s="8" t="s">
        <v>81</v>
      </c>
      <c r="E256" s="8"/>
      <c r="F256" s="8"/>
      <c r="G256" s="8"/>
      <c r="H256" s="8" t="str">
        <f>VLOOKUP(LEFT(RIGHT(B256,5),4),物品!B:CU,2,FALSE)</f>
        <v>回蓝</v>
      </c>
      <c r="I256" s="8">
        <f>VLOOKUP(B256,物品!B:CV,99,FALSE)</f>
        <v>0</v>
      </c>
      <c r="J256" s="130" t="str">
        <f t="shared" si="94"/>
        <v>回蓝</v>
      </c>
      <c r="K256" s="130">
        <f t="shared" si="95"/>
        <v>0</v>
      </c>
      <c r="L256" s="8"/>
      <c r="M256" s="131">
        <f>VLOOKUP(LEFT(RIGHT(B256,5),4),物品!B:CU,20,FALSE)</f>
        <v>0</v>
      </c>
      <c r="N256" s="148" t="s">
        <v>83</v>
      </c>
      <c r="O256" s="131" t="s">
        <v>90</v>
      </c>
      <c r="P256" s="8">
        <v>0</v>
      </c>
      <c r="Q256" s="8">
        <v>0</v>
      </c>
      <c r="R256" s="148" t="s">
        <v>83</v>
      </c>
      <c r="S256" s="148" t="s">
        <v>83</v>
      </c>
      <c r="T256" s="148" t="s">
        <v>83</v>
      </c>
      <c r="U256" s="148" t="s">
        <v>83</v>
      </c>
      <c r="V256" s="8"/>
      <c r="W256" s="8" t="s">
        <v>87</v>
      </c>
      <c r="X256" s="8">
        <v>0</v>
      </c>
      <c r="Y256" s="148" t="s">
        <v>83</v>
      </c>
      <c r="Z256" s="8">
        <v>0</v>
      </c>
      <c r="AA256" s="8">
        <v>0</v>
      </c>
      <c r="AB256" s="8">
        <v>0</v>
      </c>
      <c r="AC256" s="8">
        <v>1</v>
      </c>
      <c r="AD256" s="8">
        <v>1</v>
      </c>
      <c r="AE256" s="148" t="s">
        <v>83</v>
      </c>
      <c r="AF256" s="148" t="s">
        <v>83</v>
      </c>
      <c r="AG256" s="148" t="s">
        <v>83</v>
      </c>
      <c r="AH256" s="148" t="s">
        <v>83</v>
      </c>
      <c r="AI256" s="8">
        <v>1</v>
      </c>
      <c r="AJ256" s="8"/>
      <c r="AK256" s="8">
        <v>1</v>
      </c>
      <c r="AL256" s="8">
        <v>1</v>
      </c>
      <c r="AM256" s="148" t="s">
        <v>83</v>
      </c>
      <c r="AN256" s="8">
        <v>1</v>
      </c>
      <c r="AO256" s="8">
        <v>1</v>
      </c>
      <c r="AP256" s="8">
        <v>1</v>
      </c>
    </row>
    <row r="257" spans="1:42">
      <c r="A257" s="128"/>
      <c r="B257" s="8" t="str">
        <f>物品!B257</f>
        <v>IF24</v>
      </c>
      <c r="C257" s="8" t="s">
        <v>41</v>
      </c>
      <c r="D257" s="8" t="s">
        <v>81</v>
      </c>
      <c r="E257" s="8"/>
      <c r="F257" s="8"/>
      <c r="G257" s="8"/>
      <c r="H257" s="8" t="str">
        <f>VLOOKUP(LEFT(RIGHT(B257,5),4),物品!B:CU,2,FALSE)</f>
        <v>生命回复</v>
      </c>
      <c r="I257" s="8">
        <f>VLOOKUP(B257,物品!B:CV,99,FALSE)</f>
        <v>0</v>
      </c>
      <c r="J257" s="130" t="str">
        <f t="shared" si="94"/>
        <v>生命回复</v>
      </c>
      <c r="K257" s="130">
        <f t="shared" si="95"/>
        <v>0</v>
      </c>
      <c r="L257" s="8"/>
      <c r="M257" s="131">
        <f>VLOOKUP(LEFT(RIGHT(B257,5),4),物品!B:CU,20,FALSE)</f>
        <v>0</v>
      </c>
      <c r="N257" s="148" t="s">
        <v>83</v>
      </c>
      <c r="O257" s="131" t="s">
        <v>90</v>
      </c>
      <c r="P257" s="8">
        <v>0</v>
      </c>
      <c r="Q257" s="8">
        <v>0</v>
      </c>
      <c r="R257" s="148" t="s">
        <v>83</v>
      </c>
      <c r="S257" s="148" t="s">
        <v>83</v>
      </c>
      <c r="T257" s="148" t="s">
        <v>83</v>
      </c>
      <c r="U257" s="148" t="s">
        <v>83</v>
      </c>
      <c r="V257" s="8"/>
      <c r="W257" s="8" t="s">
        <v>87</v>
      </c>
      <c r="X257" s="8">
        <v>0</v>
      </c>
      <c r="Y257" s="148" t="s">
        <v>83</v>
      </c>
      <c r="Z257" s="8">
        <v>0</v>
      </c>
      <c r="AA257" s="8">
        <v>0</v>
      </c>
      <c r="AB257" s="8">
        <v>0</v>
      </c>
      <c r="AC257" s="8">
        <v>1</v>
      </c>
      <c r="AD257" s="8">
        <v>1</v>
      </c>
      <c r="AE257" s="148" t="s">
        <v>83</v>
      </c>
      <c r="AF257" s="148" t="s">
        <v>83</v>
      </c>
      <c r="AG257" s="148" t="s">
        <v>83</v>
      </c>
      <c r="AH257" s="148" t="s">
        <v>83</v>
      </c>
      <c r="AI257" s="8">
        <v>1</v>
      </c>
      <c r="AJ257" s="8"/>
      <c r="AK257" s="8">
        <v>1</v>
      </c>
      <c r="AL257" s="8">
        <v>1</v>
      </c>
      <c r="AM257" s="148" t="s">
        <v>83</v>
      </c>
      <c r="AN257" s="8">
        <v>1</v>
      </c>
      <c r="AO257" s="8">
        <v>1</v>
      </c>
      <c r="AP257" s="8">
        <v>1</v>
      </c>
    </row>
    <row r="258" spans="1:42">
      <c r="A258" s="128"/>
      <c r="B258" s="8" t="str">
        <f>物品!B258</f>
        <v>IF25</v>
      </c>
      <c r="C258" s="8" t="s">
        <v>41</v>
      </c>
      <c r="D258" s="8" t="s">
        <v>81</v>
      </c>
      <c r="E258" s="8"/>
      <c r="F258" s="8"/>
      <c r="G258" s="8"/>
      <c r="H258" s="8" t="str">
        <f>VLOOKUP(LEFT(RIGHT(B258,5),4),物品!B:CU,2,FALSE)</f>
        <v>伤害吸血</v>
      </c>
      <c r="I258" s="8">
        <f>VLOOKUP(B258,物品!B:CV,99,FALSE)</f>
        <v>0</v>
      </c>
      <c r="J258" s="130" t="str">
        <f t="shared" si="94"/>
        <v>伤害吸血</v>
      </c>
      <c r="K258" s="130">
        <f t="shared" si="95"/>
        <v>0</v>
      </c>
      <c r="L258" s="8"/>
      <c r="M258" s="131">
        <f>VLOOKUP(LEFT(RIGHT(B258,5),4),物品!B:CU,20,FALSE)</f>
        <v>0</v>
      </c>
      <c r="N258" s="148" t="s">
        <v>83</v>
      </c>
      <c r="O258" s="131" t="s">
        <v>90</v>
      </c>
      <c r="P258" s="8">
        <v>0</v>
      </c>
      <c r="Q258" s="8">
        <v>0</v>
      </c>
      <c r="R258" s="148" t="s">
        <v>83</v>
      </c>
      <c r="S258" s="148" t="s">
        <v>83</v>
      </c>
      <c r="T258" s="148" t="s">
        <v>83</v>
      </c>
      <c r="U258" s="148" t="s">
        <v>83</v>
      </c>
      <c r="V258" s="8"/>
      <c r="W258" s="8" t="s">
        <v>87</v>
      </c>
      <c r="X258" s="8">
        <v>0</v>
      </c>
      <c r="Y258" s="148" t="s">
        <v>83</v>
      </c>
      <c r="Z258" s="8">
        <v>0</v>
      </c>
      <c r="AA258" s="8">
        <v>0</v>
      </c>
      <c r="AB258" s="8">
        <v>0</v>
      </c>
      <c r="AC258" s="8">
        <v>1</v>
      </c>
      <c r="AD258" s="8">
        <v>1</v>
      </c>
      <c r="AE258" s="148" t="s">
        <v>83</v>
      </c>
      <c r="AF258" s="148" t="s">
        <v>83</v>
      </c>
      <c r="AG258" s="148" t="s">
        <v>83</v>
      </c>
      <c r="AH258" s="148" t="s">
        <v>83</v>
      </c>
      <c r="AI258" s="8">
        <v>1</v>
      </c>
      <c r="AJ258" s="8"/>
      <c r="AK258" s="8">
        <v>1</v>
      </c>
      <c r="AL258" s="8">
        <v>1</v>
      </c>
      <c r="AM258" s="148" t="s">
        <v>83</v>
      </c>
      <c r="AN258" s="8">
        <v>1</v>
      </c>
      <c r="AO258" s="8">
        <v>1</v>
      </c>
      <c r="AP258" s="8">
        <v>1</v>
      </c>
    </row>
    <row r="259" spans="1:42">
      <c r="A259" s="128"/>
      <c r="B259" s="8" t="str">
        <f>物品!B259</f>
        <v>IF26</v>
      </c>
      <c r="C259" s="8" t="s">
        <v>41</v>
      </c>
      <c r="D259" s="8" t="s">
        <v>81</v>
      </c>
      <c r="E259" s="8"/>
      <c r="F259" s="8"/>
      <c r="G259" s="8"/>
      <c r="H259" s="8" t="str">
        <f>VLOOKUP(LEFT(RIGHT(B259,5),4),物品!B:CU,2,FALSE)</f>
        <v>闪避</v>
      </c>
      <c r="I259" s="8">
        <f>VLOOKUP(B259,物品!B:CV,99,FALSE)</f>
        <v>0</v>
      </c>
      <c r="J259" s="130" t="str">
        <f t="shared" si="94"/>
        <v>闪避</v>
      </c>
      <c r="K259" s="130">
        <f t="shared" si="95"/>
        <v>0</v>
      </c>
      <c r="L259" s="8"/>
      <c r="M259" s="131">
        <f>VLOOKUP(LEFT(RIGHT(B259,5),4),物品!B:CU,20,FALSE)</f>
        <v>0</v>
      </c>
      <c r="N259" s="148" t="s">
        <v>83</v>
      </c>
      <c r="O259" s="131" t="s">
        <v>90</v>
      </c>
      <c r="P259" s="8">
        <v>0</v>
      </c>
      <c r="Q259" s="8">
        <v>0</v>
      </c>
      <c r="R259" s="148" t="s">
        <v>83</v>
      </c>
      <c r="S259" s="148" t="s">
        <v>83</v>
      </c>
      <c r="T259" s="148" t="s">
        <v>83</v>
      </c>
      <c r="U259" s="148" t="s">
        <v>83</v>
      </c>
      <c r="V259" s="8"/>
      <c r="W259" s="8" t="s">
        <v>87</v>
      </c>
      <c r="X259" s="8">
        <v>0</v>
      </c>
      <c r="Y259" s="148" t="s">
        <v>83</v>
      </c>
      <c r="Z259" s="8">
        <v>0</v>
      </c>
      <c r="AA259" s="8">
        <v>0</v>
      </c>
      <c r="AB259" s="8">
        <v>0</v>
      </c>
      <c r="AC259" s="8">
        <v>1</v>
      </c>
      <c r="AD259" s="8">
        <v>1</v>
      </c>
      <c r="AE259" s="148" t="s">
        <v>83</v>
      </c>
      <c r="AF259" s="148" t="s">
        <v>83</v>
      </c>
      <c r="AG259" s="148" t="s">
        <v>83</v>
      </c>
      <c r="AH259" s="148" t="s">
        <v>83</v>
      </c>
      <c r="AI259" s="8">
        <v>1</v>
      </c>
      <c r="AJ259" s="8"/>
      <c r="AK259" s="8">
        <v>1</v>
      </c>
      <c r="AL259" s="8">
        <v>1</v>
      </c>
      <c r="AM259" s="148" t="s">
        <v>83</v>
      </c>
      <c r="AN259" s="8">
        <v>1</v>
      </c>
      <c r="AO259" s="8">
        <v>1</v>
      </c>
      <c r="AP259" s="8">
        <v>1</v>
      </c>
    </row>
    <row r="260" spans="1:42">
      <c r="A260" s="128"/>
      <c r="B260" s="8" t="str">
        <f>物品!B260</f>
        <v>IF27</v>
      </c>
      <c r="C260" s="8" t="s">
        <v>41</v>
      </c>
      <c r="D260" s="8" t="s">
        <v>81</v>
      </c>
      <c r="E260" s="8"/>
      <c r="F260" s="8"/>
      <c r="G260" s="8"/>
      <c r="H260" s="8" t="str">
        <f>VLOOKUP(LEFT(RIGHT(B260,5),4),物品!B:CU,2,FALSE)</f>
        <v>伤害减免</v>
      </c>
      <c r="I260" s="8">
        <f>VLOOKUP(B260,物品!B:CV,99,FALSE)</f>
        <v>0</v>
      </c>
      <c r="J260" s="130" t="str">
        <f t="shared" si="94"/>
        <v>伤害减免</v>
      </c>
      <c r="K260" s="130">
        <f t="shared" si="95"/>
        <v>0</v>
      </c>
      <c r="L260" s="8"/>
      <c r="M260" s="131">
        <f>VLOOKUP(LEFT(RIGHT(B260,5),4),物品!B:CU,20,FALSE)</f>
        <v>0</v>
      </c>
      <c r="N260" s="148" t="s">
        <v>83</v>
      </c>
      <c r="O260" s="131" t="s">
        <v>90</v>
      </c>
      <c r="P260" s="8">
        <v>0</v>
      </c>
      <c r="Q260" s="8">
        <v>0</v>
      </c>
      <c r="R260" s="148" t="s">
        <v>83</v>
      </c>
      <c r="S260" s="148" t="s">
        <v>83</v>
      </c>
      <c r="T260" s="148" t="s">
        <v>83</v>
      </c>
      <c r="U260" s="148" t="s">
        <v>83</v>
      </c>
      <c r="V260" s="8"/>
      <c r="W260" s="8" t="s">
        <v>87</v>
      </c>
      <c r="X260" s="8">
        <v>0</v>
      </c>
      <c r="Y260" s="148" t="s">
        <v>83</v>
      </c>
      <c r="Z260" s="8">
        <v>0</v>
      </c>
      <c r="AA260" s="8">
        <v>0</v>
      </c>
      <c r="AB260" s="8">
        <v>0</v>
      </c>
      <c r="AC260" s="8">
        <v>1</v>
      </c>
      <c r="AD260" s="8">
        <v>1</v>
      </c>
      <c r="AE260" s="148" t="s">
        <v>83</v>
      </c>
      <c r="AF260" s="148" t="s">
        <v>83</v>
      </c>
      <c r="AG260" s="148" t="s">
        <v>83</v>
      </c>
      <c r="AH260" s="148" t="s">
        <v>83</v>
      </c>
      <c r="AI260" s="8">
        <v>1</v>
      </c>
      <c r="AJ260" s="8"/>
      <c r="AK260" s="8">
        <v>1</v>
      </c>
      <c r="AL260" s="8">
        <v>1</v>
      </c>
      <c r="AM260" s="148" t="s">
        <v>83</v>
      </c>
      <c r="AN260" s="8">
        <v>1</v>
      </c>
      <c r="AO260" s="8">
        <v>1</v>
      </c>
      <c r="AP260" s="8">
        <v>1</v>
      </c>
    </row>
    <row r="261" spans="1:42">
      <c r="A261" s="128"/>
      <c r="B261" s="8"/>
      <c r="C261" s="8"/>
      <c r="D261" s="8"/>
      <c r="E261" s="8"/>
      <c r="F261" s="8"/>
      <c r="G261" s="8"/>
      <c r="H261" s="8"/>
      <c r="I261" s="8"/>
      <c r="J261" s="130"/>
      <c r="K261" s="130"/>
      <c r="L261" s="8"/>
      <c r="M261" s="131"/>
      <c r="N261" s="8"/>
      <c r="O261" s="131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8"/>
      <c r="B262" s="8"/>
      <c r="C262" s="8"/>
      <c r="D262" s="8"/>
      <c r="E262" s="8"/>
      <c r="F262" s="8"/>
      <c r="G262" s="8"/>
      <c r="H262" s="8"/>
      <c r="I262" s="8"/>
      <c r="J262" s="130"/>
      <c r="K262" s="130"/>
      <c r="L262" s="8"/>
      <c r="M262" s="131"/>
      <c r="N262" s="8"/>
      <c r="O262" s="131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8"/>
      <c r="B263" s="8"/>
      <c r="C263" s="8"/>
      <c r="D263" s="8"/>
      <c r="E263" s="8"/>
      <c r="F263" s="8"/>
      <c r="G263" s="8"/>
      <c r="H263" s="8"/>
      <c r="I263" s="8"/>
      <c r="J263" s="130"/>
      <c r="K263" s="130"/>
      <c r="L263" s="8"/>
      <c r="M263" s="131"/>
      <c r="N263" s="8"/>
      <c r="O263" s="131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8"/>
      <c r="B264" s="8"/>
      <c r="C264" s="8"/>
      <c r="D264" s="8"/>
      <c r="E264" s="8"/>
      <c r="F264" s="8"/>
      <c r="G264" s="8"/>
      <c r="H264" s="8"/>
      <c r="I264" s="8"/>
      <c r="J264" s="130"/>
      <c r="K264" s="130"/>
      <c r="L264" s="8"/>
      <c r="M264" s="131"/>
      <c r="N264" s="8"/>
      <c r="O264" s="131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8"/>
      <c r="B265" s="8"/>
      <c r="C265" s="8"/>
      <c r="D265" s="8"/>
      <c r="E265" s="8"/>
      <c r="F265" s="8"/>
      <c r="G265" s="8"/>
      <c r="H265" s="8"/>
      <c r="I265" s="8"/>
      <c r="J265" s="130"/>
      <c r="K265" s="130"/>
      <c r="L265" s="8"/>
      <c r="M265" s="131"/>
      <c r="N265" s="8"/>
      <c r="O265" s="131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8"/>
      <c r="B266" s="8"/>
      <c r="C266" s="8"/>
      <c r="D266" s="8"/>
      <c r="E266" s="8"/>
      <c r="F266" s="8"/>
      <c r="G266" s="8"/>
      <c r="H266" s="8"/>
      <c r="I266" s="8"/>
      <c r="J266" s="130"/>
      <c r="K266" s="130"/>
      <c r="L266" s="8"/>
      <c r="M266" s="131"/>
      <c r="N266" s="8"/>
      <c r="O266" s="131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8"/>
      <c r="B267" s="8"/>
      <c r="C267" s="8"/>
      <c r="D267" s="8"/>
      <c r="E267" s="8"/>
      <c r="F267" s="8"/>
      <c r="G267" s="8"/>
      <c r="H267" s="8"/>
      <c r="I267" s="8"/>
      <c r="J267" s="130"/>
      <c r="K267" s="130"/>
      <c r="L267" s="8"/>
      <c r="M267" s="131"/>
      <c r="N267" s="8"/>
      <c r="O267" s="131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8"/>
      <c r="B268" s="8"/>
      <c r="C268" s="8"/>
      <c r="D268" s="8"/>
      <c r="E268" s="8"/>
      <c r="F268" s="8"/>
      <c r="G268" s="8"/>
      <c r="H268" s="8"/>
      <c r="I268" s="8"/>
      <c r="J268" s="130"/>
      <c r="K268" s="130"/>
      <c r="L268" s="8"/>
      <c r="M268" s="131"/>
      <c r="N268" s="8"/>
      <c r="O268" s="131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8"/>
      <c r="B269" s="8"/>
      <c r="C269" s="8"/>
      <c r="D269" s="8"/>
      <c r="E269" s="8"/>
      <c r="F269" s="8"/>
      <c r="G269" s="8"/>
      <c r="H269" s="8"/>
      <c r="I269" s="8"/>
      <c r="J269" s="130"/>
      <c r="K269" s="130"/>
      <c r="L269" s="8"/>
      <c r="M269" s="131"/>
      <c r="N269" s="8"/>
      <c r="O269" s="131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8"/>
      <c r="B270" s="8"/>
      <c r="C270" s="8"/>
      <c r="D270" s="8"/>
      <c r="E270" s="8"/>
      <c r="F270" s="8"/>
      <c r="G270" s="8"/>
      <c r="H270" s="8"/>
      <c r="I270" s="8"/>
      <c r="J270" s="130"/>
      <c r="K270" s="130"/>
      <c r="L270" s="8"/>
      <c r="M270" s="131"/>
      <c r="N270" s="8"/>
      <c r="O270" s="131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8"/>
      <c r="B271" s="8"/>
      <c r="C271" s="8"/>
      <c r="D271" s="8"/>
      <c r="E271" s="8"/>
      <c r="F271" s="8"/>
      <c r="G271" s="8"/>
      <c r="H271" s="8"/>
      <c r="I271" s="8"/>
      <c r="J271" s="130"/>
      <c r="K271" s="130"/>
      <c r="L271" s="8"/>
      <c r="M271" s="131"/>
      <c r="N271" s="8"/>
      <c r="O271" s="131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8"/>
      <c r="B272" s="8"/>
      <c r="C272" s="8"/>
      <c r="D272" s="8"/>
      <c r="E272" s="8"/>
      <c r="F272" s="8"/>
      <c r="G272" s="8"/>
      <c r="H272" s="8"/>
      <c r="I272" s="8"/>
      <c r="J272" s="130"/>
      <c r="K272" s="130"/>
      <c r="L272" s="8"/>
      <c r="M272" s="131"/>
      <c r="N272" s="8"/>
      <c r="O272" s="131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8"/>
      <c r="B273" s="8"/>
      <c r="C273" s="8"/>
      <c r="D273" s="8"/>
      <c r="E273" s="8"/>
      <c r="F273" s="8"/>
      <c r="G273" s="8"/>
      <c r="H273" s="8"/>
      <c r="I273" s="8"/>
      <c r="J273" s="130"/>
      <c r="K273" s="130"/>
      <c r="L273" s="8"/>
      <c r="M273" s="131"/>
      <c r="N273" s="8"/>
      <c r="O273" s="131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8"/>
      <c r="B274" s="8"/>
      <c r="C274" s="8"/>
      <c r="D274" s="8"/>
      <c r="E274" s="8"/>
      <c r="F274" s="8"/>
      <c r="G274" s="8"/>
      <c r="H274" s="8"/>
      <c r="I274" s="8"/>
      <c r="J274" s="130"/>
      <c r="K274" s="130"/>
      <c r="L274" s="8"/>
      <c r="M274" s="131"/>
      <c r="N274" s="8"/>
      <c r="O274" s="131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8"/>
      <c r="B275" s="8"/>
      <c r="C275" s="8"/>
      <c r="D275" s="8"/>
      <c r="E275" s="8"/>
      <c r="F275" s="8"/>
      <c r="G275" s="8"/>
      <c r="H275" s="8"/>
      <c r="I275" s="8"/>
      <c r="J275" s="130"/>
      <c r="K275" s="130"/>
      <c r="L275" s="8"/>
      <c r="M275" s="131"/>
      <c r="N275" s="8"/>
      <c r="O275" s="131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8"/>
      <c r="B276" s="8"/>
      <c r="C276" s="8"/>
      <c r="D276" s="8"/>
      <c r="E276" s="8"/>
      <c r="F276" s="8"/>
      <c r="G276" s="8"/>
      <c r="H276" s="8"/>
      <c r="I276" s="8"/>
      <c r="J276" s="130"/>
      <c r="K276" s="130"/>
      <c r="L276" s="8"/>
      <c r="M276" s="131"/>
      <c r="N276" s="8"/>
      <c r="O276" s="131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8"/>
      <c r="B277" s="8"/>
      <c r="C277" s="8"/>
      <c r="D277" s="8"/>
      <c r="E277" s="8"/>
      <c r="F277" s="8"/>
      <c r="G277" s="8"/>
      <c r="H277" s="8"/>
      <c r="I277" s="8"/>
      <c r="J277" s="130"/>
      <c r="K277" s="130"/>
      <c r="L277" s="8"/>
      <c r="M277" s="131"/>
      <c r="N277" s="8"/>
      <c r="O277" s="131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8"/>
      <c r="B278" s="8"/>
      <c r="C278" s="8"/>
      <c r="D278" s="8"/>
      <c r="E278" s="8"/>
      <c r="F278" s="8"/>
      <c r="G278" s="8"/>
      <c r="H278" s="8"/>
      <c r="I278" s="8"/>
      <c r="J278" s="130"/>
      <c r="K278" s="130"/>
      <c r="L278" s="8"/>
      <c r="M278" s="131"/>
      <c r="N278" s="8"/>
      <c r="O278" s="131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8"/>
      <c r="B279" s="8"/>
      <c r="C279" s="8"/>
      <c r="D279" s="8"/>
      <c r="E279" s="8"/>
      <c r="F279" s="8"/>
      <c r="G279" s="8"/>
      <c r="H279" s="8"/>
      <c r="I279" s="8"/>
      <c r="J279" s="130"/>
      <c r="K279" s="130"/>
      <c r="L279" s="8"/>
      <c r="M279" s="131"/>
      <c r="N279" s="8"/>
      <c r="O279" s="131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8"/>
      <c r="B280" s="8"/>
      <c r="C280" s="8"/>
      <c r="D280" s="8"/>
      <c r="E280" s="8"/>
      <c r="F280" s="8"/>
      <c r="G280" s="8"/>
      <c r="H280" s="8"/>
      <c r="I280" s="8"/>
      <c r="J280" s="130"/>
      <c r="K280" s="130"/>
      <c r="L280" s="8"/>
      <c r="M280" s="131"/>
      <c r="N280" s="8"/>
      <c r="O280" s="131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8"/>
      <c r="B281" s="8"/>
      <c r="C281" s="8"/>
      <c r="D281" s="8"/>
      <c r="E281" s="8"/>
      <c r="F281" s="8"/>
      <c r="G281" s="8"/>
      <c r="H281" s="8"/>
      <c r="I281" s="8"/>
      <c r="J281" s="130"/>
      <c r="K281" s="130"/>
      <c r="L281" s="8"/>
      <c r="M281" s="131"/>
      <c r="N281" s="8"/>
      <c r="O281" s="131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8"/>
      <c r="B282" s="8"/>
      <c r="C282" s="8"/>
      <c r="D282" s="8"/>
      <c r="E282" s="8"/>
      <c r="F282" s="8"/>
      <c r="G282" s="8"/>
      <c r="H282" s="8"/>
      <c r="I282" s="8"/>
      <c r="J282" s="130"/>
      <c r="K282" s="130"/>
      <c r="L282" s="8"/>
      <c r="M282" s="131"/>
      <c r="N282" s="8"/>
      <c r="O282" s="131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8"/>
      <c r="B283" s="8"/>
      <c r="C283" s="8"/>
      <c r="D283" s="8"/>
      <c r="E283" s="8"/>
      <c r="F283" s="8"/>
      <c r="G283" s="8"/>
      <c r="H283" s="8"/>
      <c r="I283" s="8"/>
      <c r="J283" s="130"/>
      <c r="K283" s="130"/>
      <c r="L283" s="8"/>
      <c r="M283" s="131"/>
      <c r="N283" s="8"/>
      <c r="O283" s="131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8"/>
      <c r="B284" s="8"/>
      <c r="C284" s="8"/>
      <c r="D284" s="8"/>
      <c r="E284" s="8"/>
      <c r="F284" s="8"/>
      <c r="G284" s="8"/>
      <c r="H284" s="8"/>
      <c r="I284" s="8"/>
      <c r="J284" s="130"/>
      <c r="K284" s="130"/>
      <c r="L284" s="8"/>
      <c r="M284" s="131"/>
      <c r="N284" s="8"/>
      <c r="O284" s="131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8"/>
      <c r="B285" s="8"/>
      <c r="C285" s="8"/>
      <c r="D285" s="8"/>
      <c r="E285" s="8"/>
      <c r="F285" s="8"/>
      <c r="G285" s="8"/>
      <c r="H285" s="8"/>
      <c r="I285" s="8"/>
      <c r="J285" s="130"/>
      <c r="K285" s="130"/>
      <c r="L285" s="8"/>
      <c r="M285" s="131"/>
      <c r="N285" s="8"/>
      <c r="O285" s="131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8"/>
      <c r="B286" s="8"/>
      <c r="C286" s="8"/>
      <c r="D286" s="8"/>
      <c r="E286" s="8"/>
      <c r="F286" s="8"/>
      <c r="G286" s="8"/>
      <c r="H286" s="8"/>
      <c r="I286" s="8"/>
      <c r="J286" s="130"/>
      <c r="K286" s="130"/>
      <c r="L286" s="8"/>
      <c r="M286" s="131"/>
      <c r="N286" s="8"/>
      <c r="O286" s="131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8"/>
      <c r="B287" s="8"/>
      <c r="C287" s="8"/>
      <c r="D287" s="8"/>
      <c r="E287" s="8"/>
      <c r="F287" s="8"/>
      <c r="G287" s="8"/>
      <c r="H287" s="8"/>
      <c r="I287" s="8"/>
      <c r="J287" s="130"/>
      <c r="K287" s="130"/>
      <c r="L287" s="8"/>
      <c r="M287" s="131"/>
      <c r="N287" s="8"/>
      <c r="O287" s="131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8"/>
      <c r="B288" s="8"/>
      <c r="C288" s="8"/>
      <c r="D288" s="8"/>
      <c r="E288" s="8"/>
      <c r="F288" s="8"/>
      <c r="G288" s="8"/>
      <c r="H288" s="8"/>
      <c r="I288" s="8"/>
      <c r="J288" s="130"/>
      <c r="K288" s="130"/>
      <c r="L288" s="8"/>
      <c r="M288" s="131"/>
      <c r="N288" s="8"/>
      <c r="O288" s="131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8"/>
      <c r="B289" s="8"/>
      <c r="C289" s="8"/>
      <c r="D289" s="8"/>
      <c r="E289" s="8"/>
      <c r="F289" s="8"/>
      <c r="G289" s="8"/>
      <c r="H289" s="8"/>
      <c r="I289" s="8"/>
      <c r="J289" s="130"/>
      <c r="K289" s="130"/>
      <c r="L289" s="8"/>
      <c r="M289" s="131"/>
      <c r="N289" s="8"/>
      <c r="O289" s="131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8"/>
      <c r="B290" s="8"/>
      <c r="C290" s="8"/>
      <c r="D290" s="8"/>
      <c r="E290" s="8"/>
      <c r="F290" s="8"/>
      <c r="G290" s="8"/>
      <c r="H290" s="8"/>
      <c r="I290" s="8"/>
      <c r="J290" s="130"/>
      <c r="K290" s="130"/>
      <c r="L290" s="8"/>
      <c r="M290" s="131"/>
      <c r="N290" s="8"/>
      <c r="O290" s="131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8"/>
      <c r="B291" s="8"/>
      <c r="C291" s="8"/>
      <c r="D291" s="8"/>
      <c r="E291" s="8"/>
      <c r="F291" s="8"/>
      <c r="G291" s="8"/>
      <c r="H291" s="8"/>
      <c r="I291" s="8"/>
      <c r="J291" s="130"/>
      <c r="K291" s="130"/>
      <c r="L291" s="8"/>
      <c r="M291" s="131"/>
      <c r="N291" s="8"/>
      <c r="O291" s="131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8"/>
      <c r="B292" s="8"/>
      <c r="C292" s="8"/>
      <c r="D292" s="8"/>
      <c r="E292" s="8"/>
      <c r="F292" s="8"/>
      <c r="G292" s="8"/>
      <c r="H292" s="8"/>
      <c r="I292" s="8"/>
      <c r="J292" s="130"/>
      <c r="K292" s="130"/>
      <c r="L292" s="8"/>
      <c r="M292" s="131"/>
      <c r="N292" s="8"/>
      <c r="O292" s="131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8"/>
      <c r="B293" s="8"/>
      <c r="C293" s="8"/>
      <c r="D293" s="8"/>
      <c r="E293" s="8"/>
      <c r="F293" s="8"/>
      <c r="G293" s="8"/>
      <c r="H293" s="8"/>
      <c r="I293" s="8"/>
      <c r="J293" s="130"/>
      <c r="K293" s="130"/>
      <c r="L293" s="8"/>
      <c r="M293" s="131"/>
      <c r="N293" s="8"/>
      <c r="O293" s="131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8"/>
      <c r="B294" s="8"/>
      <c r="C294" s="8"/>
      <c r="D294" s="8"/>
      <c r="E294" s="8"/>
      <c r="F294" s="8"/>
      <c r="G294" s="8"/>
      <c r="H294" s="8"/>
      <c r="I294" s="8"/>
      <c r="J294" s="130"/>
      <c r="K294" s="130"/>
      <c r="L294" s="8"/>
      <c r="M294" s="131"/>
      <c r="N294" s="8"/>
      <c r="O294" s="131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8"/>
      <c r="B295" s="8"/>
      <c r="C295" s="8"/>
      <c r="D295" s="8"/>
      <c r="E295" s="8"/>
      <c r="F295" s="8"/>
      <c r="G295" s="8"/>
      <c r="H295" s="8"/>
      <c r="I295" s="8"/>
      <c r="J295" s="130"/>
      <c r="K295" s="130"/>
      <c r="L295" s="8"/>
      <c r="M295" s="131"/>
      <c r="N295" s="8"/>
      <c r="O295" s="131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8"/>
      <c r="B296" s="8"/>
      <c r="C296" s="8"/>
      <c r="D296" s="8"/>
      <c r="E296" s="8"/>
      <c r="F296" s="8"/>
      <c r="G296" s="8"/>
      <c r="H296" s="8"/>
      <c r="I296" s="8"/>
      <c r="J296" s="130"/>
      <c r="K296" s="130"/>
      <c r="L296" s="8"/>
      <c r="M296" s="131"/>
      <c r="N296" s="8"/>
      <c r="O296" s="131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8"/>
      <c r="B297" s="8"/>
      <c r="C297" s="8"/>
      <c r="D297" s="8"/>
      <c r="E297" s="8"/>
      <c r="F297" s="8"/>
      <c r="G297" s="8"/>
      <c r="H297" s="8"/>
      <c r="I297" s="8"/>
      <c r="J297" s="130"/>
      <c r="K297" s="130"/>
      <c r="L297" s="8"/>
      <c r="M297" s="131"/>
      <c r="N297" s="8"/>
      <c r="O297" s="131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8"/>
      <c r="B298" s="8"/>
      <c r="C298" s="8"/>
      <c r="D298" s="8"/>
      <c r="E298" s="8"/>
      <c r="F298" s="8"/>
      <c r="G298" s="8"/>
      <c r="H298" s="8"/>
      <c r="I298" s="8"/>
      <c r="J298" s="130"/>
      <c r="K298" s="130"/>
      <c r="L298" s="8"/>
      <c r="M298" s="131"/>
      <c r="N298" s="8"/>
      <c r="O298" s="131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28"/>
      <c r="B299" s="8"/>
      <c r="C299" s="8"/>
      <c r="D299" s="8"/>
      <c r="E299" s="8"/>
      <c r="F299" s="8"/>
      <c r="G299" s="8"/>
      <c r="H299" s="8"/>
      <c r="I299" s="8"/>
      <c r="J299" s="130"/>
      <c r="K299" s="130"/>
      <c r="L299" s="8"/>
      <c r="M299" s="131"/>
      <c r="N299" s="8"/>
      <c r="O299" s="131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A300" s="128"/>
      <c r="B300" s="8"/>
      <c r="C300" s="8"/>
      <c r="D300" s="8"/>
      <c r="E300" s="8"/>
      <c r="F300" s="8"/>
      <c r="G300" s="8"/>
      <c r="H300" s="8"/>
      <c r="I300" s="8"/>
      <c r="J300" s="130"/>
      <c r="K300" s="130"/>
      <c r="L300" s="8"/>
      <c r="M300" s="131"/>
      <c r="N300" s="8"/>
      <c r="O300" s="131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</row>
    <row r="301" spans="1:42">
      <c r="A301" s="128"/>
      <c r="B301" s="8"/>
      <c r="C301" s="8"/>
      <c r="D301" s="8"/>
      <c r="E301" s="8"/>
      <c r="F301" s="8"/>
      <c r="G301" s="8"/>
      <c r="H301" s="8"/>
      <c r="I301" s="8"/>
      <c r="J301" s="130"/>
      <c r="K301" s="130"/>
      <c r="L301" s="8"/>
      <c r="M301" s="131"/>
      <c r="N301" s="8"/>
      <c r="O301" s="131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</row>
    <row r="302" spans="1:42">
      <c r="A302" s="128"/>
      <c r="B302" s="8"/>
      <c r="C302" s="8"/>
      <c r="D302" s="8"/>
      <c r="E302" s="8"/>
      <c r="F302" s="8"/>
      <c r="G302" s="8"/>
      <c r="H302" s="8"/>
      <c r="I302" s="8"/>
      <c r="J302" s="130"/>
      <c r="K302" s="130"/>
      <c r="L302" s="8"/>
      <c r="M302" s="131"/>
      <c r="N302" s="8"/>
      <c r="O302" s="131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</row>
    <row r="303" spans="1:42">
      <c r="A303" s="128"/>
      <c r="B303" s="8"/>
      <c r="C303" s="8"/>
      <c r="D303" s="8"/>
      <c r="E303" s="8"/>
      <c r="F303" s="8"/>
      <c r="G303" s="8"/>
      <c r="H303" s="8"/>
      <c r="I303" s="8"/>
      <c r="J303" s="130"/>
      <c r="K303" s="130"/>
      <c r="L303" s="8"/>
      <c r="M303" s="131"/>
      <c r="N303" s="8"/>
      <c r="O303" s="131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</row>
    <row r="304" spans="1:42">
      <c r="A304" s="128"/>
      <c r="B304" s="8"/>
      <c r="C304" s="8"/>
      <c r="D304" s="8"/>
      <c r="E304" s="8"/>
      <c r="F304" s="8"/>
      <c r="G304" s="8"/>
      <c r="H304" s="8"/>
      <c r="I304" s="8"/>
      <c r="J304" s="130"/>
      <c r="K304" s="130"/>
      <c r="L304" s="8"/>
      <c r="M304" s="131"/>
      <c r="N304" s="8"/>
      <c r="O304" s="131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</row>
    <row r="305" spans="1:42">
      <c r="A305" s="128"/>
      <c r="B305" s="8"/>
      <c r="C305" s="8"/>
      <c r="D305" s="8"/>
      <c r="E305" s="8"/>
      <c r="F305" s="8"/>
      <c r="G305" s="8"/>
      <c r="H305" s="8"/>
      <c r="I305" s="8"/>
      <c r="J305" s="130"/>
      <c r="K305" s="130"/>
      <c r="L305" s="8"/>
      <c r="M305" s="131"/>
      <c r="N305" s="8"/>
      <c r="O305" s="131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</row>
    <row r="306" ht="14.4" spans="2:42">
      <c r="B306" s="132"/>
      <c r="C306" s="8"/>
      <c r="D306" s="8"/>
      <c r="E306" s="8"/>
      <c r="H306" s="8"/>
      <c r="J306" s="130"/>
      <c r="K306" s="8"/>
      <c r="L306" s="8"/>
      <c r="O306" s="131"/>
      <c r="P306" s="8"/>
      <c r="Q306" s="8"/>
      <c r="W306" s="124"/>
      <c r="X306" s="124"/>
      <c r="Z306" s="8"/>
      <c r="AA306" s="8"/>
      <c r="AC306" s="8"/>
      <c r="AD306" s="8"/>
      <c r="AI306" s="8"/>
      <c r="AJ306" s="8"/>
      <c r="AK306" s="8"/>
      <c r="AO306" s="8"/>
      <c r="AP306" s="8"/>
    </row>
    <row r="307" ht="14.4" spans="2:42">
      <c r="B307" s="132"/>
      <c r="C307" s="8"/>
      <c r="D307" s="8"/>
      <c r="E307" s="8"/>
      <c r="H307" s="8"/>
      <c r="J307" s="130"/>
      <c r="K307" s="8"/>
      <c r="L307" s="8"/>
      <c r="O307" s="131"/>
      <c r="P307" s="8"/>
      <c r="Q307" s="8"/>
      <c r="W307" s="124"/>
      <c r="X307" s="124"/>
      <c r="Z307" s="8"/>
      <c r="AA307" s="8"/>
      <c r="AC307" s="8"/>
      <c r="AD307" s="8"/>
      <c r="AI307" s="8"/>
      <c r="AJ307" s="8"/>
      <c r="AK307" s="8"/>
      <c r="AO307" s="8"/>
      <c r="AP307" s="8"/>
    </row>
    <row r="308" ht="14.4" spans="2:42">
      <c r="B308" s="132"/>
      <c r="C308" s="8"/>
      <c r="D308" s="8"/>
      <c r="E308" s="8"/>
      <c r="H308" s="8"/>
      <c r="J308" s="130"/>
      <c r="K308" s="8"/>
      <c r="L308" s="8"/>
      <c r="O308" s="131"/>
      <c r="P308" s="8"/>
      <c r="Q308" s="8"/>
      <c r="W308" s="124"/>
      <c r="X308" s="124"/>
      <c r="Z308" s="8"/>
      <c r="AA308" s="8"/>
      <c r="AC308" s="8"/>
      <c r="AD308" s="8"/>
      <c r="AI308" s="8"/>
      <c r="AJ308" s="8"/>
      <c r="AK308" s="8"/>
      <c r="AO308" s="8"/>
      <c r="AP308" s="8"/>
    </row>
    <row r="309" ht="14.4" spans="2:42">
      <c r="B309" s="132"/>
      <c r="C309" s="8"/>
      <c r="D309" s="8"/>
      <c r="E309" s="8"/>
      <c r="H309" s="8"/>
      <c r="J309" s="130"/>
      <c r="K309" s="8"/>
      <c r="L309" s="8"/>
      <c r="O309" s="131"/>
      <c r="P309" s="8"/>
      <c r="Q309" s="8"/>
      <c r="W309" s="124"/>
      <c r="X309" s="124"/>
      <c r="Z309" s="8"/>
      <c r="AA309" s="8"/>
      <c r="AC309" s="8"/>
      <c r="AD309" s="8"/>
      <c r="AI309" s="8"/>
      <c r="AJ309" s="8"/>
      <c r="AK309" s="8"/>
      <c r="AO309" s="8"/>
      <c r="AP309" s="8"/>
    </row>
    <row r="310" ht="14.4" spans="2:42">
      <c r="B310" s="132"/>
      <c r="C310" s="8"/>
      <c r="D310" s="8"/>
      <c r="E310" s="8"/>
      <c r="H310" s="8"/>
      <c r="J310" s="130"/>
      <c r="K310" s="8"/>
      <c r="L310" s="8"/>
      <c r="O310" s="131"/>
      <c r="P310" s="8"/>
      <c r="Q310" s="8"/>
      <c r="W310" s="124"/>
      <c r="X310" s="124"/>
      <c r="Z310" s="8"/>
      <c r="AA310" s="8"/>
      <c r="AC310" s="8"/>
      <c r="AD310" s="8"/>
      <c r="AI310" s="8"/>
      <c r="AJ310" s="8"/>
      <c r="AK310" s="8"/>
      <c r="AO310" s="8"/>
      <c r="AP310" s="8"/>
    </row>
    <row r="311" ht="14.4" spans="2:42">
      <c r="B311" s="132"/>
      <c r="C311" s="8"/>
      <c r="D311" s="8"/>
      <c r="E311" s="8"/>
      <c r="H311" s="8"/>
      <c r="J311" s="130"/>
      <c r="K311" s="8"/>
      <c r="L311" s="8"/>
      <c r="O311" s="131"/>
      <c r="P311" s="8"/>
      <c r="Q311" s="8"/>
      <c r="W311" s="124"/>
      <c r="X311" s="124"/>
      <c r="Z311" s="8"/>
      <c r="AA311" s="8"/>
      <c r="AC311" s="8"/>
      <c r="AD311" s="8"/>
      <c r="AI311" s="8"/>
      <c r="AJ311" s="8"/>
      <c r="AK311" s="8"/>
      <c r="AO311" s="8"/>
      <c r="AP311" s="8"/>
    </row>
    <row r="312" ht="14.4" spans="2:42">
      <c r="B312" s="132"/>
      <c r="C312" s="8"/>
      <c r="D312" s="8"/>
      <c r="E312" s="8"/>
      <c r="H312" s="8"/>
      <c r="J312" s="130"/>
      <c r="K312" s="8"/>
      <c r="L312" s="8"/>
      <c r="O312" s="131"/>
      <c r="P312" s="8"/>
      <c r="Q312" s="8"/>
      <c r="W312" s="124"/>
      <c r="X312" s="124"/>
      <c r="Z312" s="8"/>
      <c r="AA312" s="8"/>
      <c r="AC312" s="8"/>
      <c r="AD312" s="8"/>
      <c r="AI312" s="8"/>
      <c r="AJ312" s="8"/>
      <c r="AK312" s="8"/>
      <c r="AO312" s="8"/>
      <c r="AP312" s="8"/>
    </row>
    <row r="313" ht="14.4" spans="2:42">
      <c r="B313" s="132"/>
      <c r="C313" s="8"/>
      <c r="D313" s="8"/>
      <c r="E313" s="8"/>
      <c r="H313" s="8"/>
      <c r="J313" s="130"/>
      <c r="K313" s="8"/>
      <c r="L313" s="8"/>
      <c r="O313" s="131"/>
      <c r="P313" s="8"/>
      <c r="Q313" s="8"/>
      <c r="W313" s="124"/>
      <c r="X313" s="124"/>
      <c r="Z313" s="8"/>
      <c r="AA313" s="8"/>
      <c r="AC313" s="8"/>
      <c r="AD313" s="8"/>
      <c r="AI313" s="8"/>
      <c r="AJ313" s="8"/>
      <c r="AK313" s="8"/>
      <c r="AO313" s="8"/>
      <c r="AP313" s="8"/>
    </row>
    <row r="314" ht="14.4" spans="2:42">
      <c r="B314" s="132"/>
      <c r="C314" s="8"/>
      <c r="D314" s="8"/>
      <c r="E314" s="8"/>
      <c r="H314" s="8"/>
      <c r="J314" s="130"/>
      <c r="K314" s="8"/>
      <c r="L314" s="8"/>
      <c r="O314" s="131"/>
      <c r="P314" s="8"/>
      <c r="Q314" s="8"/>
      <c r="W314" s="124"/>
      <c r="X314" s="124"/>
      <c r="Z314" s="8"/>
      <c r="AA314" s="8"/>
      <c r="AC314" s="8"/>
      <c r="AD314" s="8"/>
      <c r="AI314" s="8"/>
      <c r="AJ314" s="8"/>
      <c r="AK314" s="8"/>
      <c r="AO314" s="8"/>
      <c r="AP314" s="8"/>
    </row>
    <row r="315" ht="14.4" spans="2:42">
      <c r="B315" s="132"/>
      <c r="C315" s="8"/>
      <c r="D315" s="8"/>
      <c r="E315" s="8"/>
      <c r="H315" s="8"/>
      <c r="J315" s="130"/>
      <c r="K315" s="8"/>
      <c r="L315" s="8"/>
      <c r="O315" s="131"/>
      <c r="P315" s="8"/>
      <c r="Q315" s="8"/>
      <c r="W315" s="124"/>
      <c r="X315" s="124"/>
      <c r="Z315" s="8"/>
      <c r="AA315" s="8"/>
      <c r="AC315" s="8"/>
      <c r="AD315" s="8"/>
      <c r="AI315" s="8"/>
      <c r="AJ315" s="8"/>
      <c r="AK315" s="8"/>
      <c r="AO315" s="8"/>
      <c r="AP315" s="8"/>
    </row>
    <row r="316" ht="14.4" spans="2:42">
      <c r="B316" s="132"/>
      <c r="C316" s="8"/>
      <c r="D316" s="8"/>
      <c r="E316" s="8"/>
      <c r="H316" s="8"/>
      <c r="J316" s="130"/>
      <c r="K316" s="8"/>
      <c r="L316" s="8"/>
      <c r="O316" s="131"/>
      <c r="P316" s="8"/>
      <c r="Q316" s="8"/>
      <c r="W316" s="124"/>
      <c r="X316" s="124"/>
      <c r="Z316" s="8"/>
      <c r="AA316" s="8"/>
      <c r="AC316" s="8"/>
      <c r="AD316" s="8"/>
      <c r="AI316" s="8"/>
      <c r="AJ316" s="8"/>
      <c r="AK316" s="8"/>
      <c r="AO316" s="8"/>
      <c r="AP316" s="8"/>
    </row>
    <row r="317" ht="14.4" spans="2:42">
      <c r="B317" s="132"/>
      <c r="C317" s="8"/>
      <c r="D317" s="8"/>
      <c r="E317" s="8"/>
      <c r="H317" s="8"/>
      <c r="J317" s="130"/>
      <c r="K317" s="8"/>
      <c r="L317" s="8"/>
      <c r="O317" s="131"/>
      <c r="P317" s="8"/>
      <c r="Q317" s="8"/>
      <c r="W317" s="124"/>
      <c r="X317" s="124"/>
      <c r="Z317" s="8"/>
      <c r="AA317" s="8"/>
      <c r="AC317" s="8"/>
      <c r="AD317" s="8"/>
      <c r="AI317" s="8"/>
      <c r="AJ317" s="8"/>
      <c r="AK317" s="8"/>
      <c r="AO317" s="8"/>
      <c r="AP317" s="8"/>
    </row>
    <row r="318" ht="14.4" spans="2:42">
      <c r="B318" s="132"/>
      <c r="C318" s="8"/>
      <c r="D318" s="8"/>
      <c r="E318" s="8"/>
      <c r="H318" s="8"/>
      <c r="J318" s="130"/>
      <c r="K318" s="8"/>
      <c r="L318" s="8"/>
      <c r="O318" s="131"/>
      <c r="P318" s="8"/>
      <c r="Q318" s="8"/>
      <c r="W318" s="124"/>
      <c r="X318" s="124"/>
      <c r="Z318" s="8"/>
      <c r="AA318" s="8"/>
      <c r="AC318" s="8"/>
      <c r="AD318" s="8"/>
      <c r="AI318" s="8"/>
      <c r="AJ318" s="8"/>
      <c r="AK318" s="8"/>
      <c r="AO318" s="8"/>
      <c r="AP318" s="8"/>
    </row>
    <row r="319" ht="14.4" spans="2:42">
      <c r="B319" s="132"/>
      <c r="C319" s="8"/>
      <c r="D319" s="8"/>
      <c r="E319" s="8"/>
      <c r="H319" s="8"/>
      <c r="J319" s="130"/>
      <c r="K319" s="8"/>
      <c r="L319" s="8"/>
      <c r="O319" s="131"/>
      <c r="P319" s="8"/>
      <c r="Q319" s="8"/>
      <c r="W319" s="124"/>
      <c r="X319" s="124"/>
      <c r="Z319" s="8"/>
      <c r="AA319" s="8"/>
      <c r="AC319" s="8"/>
      <c r="AD319" s="8"/>
      <c r="AI319" s="8"/>
      <c r="AJ319" s="8"/>
      <c r="AK319" s="8"/>
      <c r="AO319" s="8"/>
      <c r="AP319" s="8"/>
    </row>
    <row r="320" ht="14.4" spans="2:42">
      <c r="B320" s="132"/>
      <c r="C320" s="8"/>
      <c r="D320" s="8"/>
      <c r="E320" s="8"/>
      <c r="H320" s="8"/>
      <c r="J320" s="130"/>
      <c r="K320" s="8"/>
      <c r="L320" s="8"/>
      <c r="O320" s="131"/>
      <c r="P320" s="8"/>
      <c r="Q320" s="8"/>
      <c r="W320" s="124"/>
      <c r="X320" s="124"/>
      <c r="Z320" s="8"/>
      <c r="AA320" s="8"/>
      <c r="AC320" s="8"/>
      <c r="AD320" s="8"/>
      <c r="AI320" s="8"/>
      <c r="AJ320" s="8"/>
      <c r="AK320" s="8"/>
      <c r="AO320" s="8"/>
      <c r="AP320" s="8"/>
    </row>
    <row r="321" ht="14.4" spans="2:42">
      <c r="B321" s="132"/>
      <c r="C321" s="8"/>
      <c r="D321" s="8"/>
      <c r="E321" s="8"/>
      <c r="H321" s="8"/>
      <c r="J321" s="130"/>
      <c r="K321" s="8"/>
      <c r="L321" s="8"/>
      <c r="O321" s="131"/>
      <c r="P321" s="8"/>
      <c r="Q321" s="8"/>
      <c r="W321" s="124"/>
      <c r="X321" s="124"/>
      <c r="Z321" s="8"/>
      <c r="AA321" s="8"/>
      <c r="AC321" s="8"/>
      <c r="AD321" s="8"/>
      <c r="AI321" s="8"/>
      <c r="AJ321" s="8"/>
      <c r="AK321" s="8"/>
      <c r="AO321" s="8"/>
      <c r="AP321" s="8"/>
    </row>
    <row r="322" ht="14.4" spans="2:42">
      <c r="B322" s="132"/>
      <c r="C322" s="8"/>
      <c r="D322" s="8"/>
      <c r="E322" s="8"/>
      <c r="H322" s="8"/>
      <c r="J322" s="130"/>
      <c r="K322" s="8"/>
      <c r="L322" s="8"/>
      <c r="O322" s="131"/>
      <c r="P322" s="8"/>
      <c r="Q322" s="8"/>
      <c r="W322" s="124"/>
      <c r="X322" s="124"/>
      <c r="Z322" s="8"/>
      <c r="AA322" s="8"/>
      <c r="AC322" s="8"/>
      <c r="AD322" s="8"/>
      <c r="AI322" s="8"/>
      <c r="AJ322" s="8"/>
      <c r="AK322" s="8"/>
      <c r="AO322" s="8"/>
      <c r="AP322" s="8"/>
    </row>
    <row r="323" ht="14.4" spans="2:42">
      <c r="B323" s="132"/>
      <c r="C323" s="8"/>
      <c r="D323" s="8"/>
      <c r="E323" s="8"/>
      <c r="H323" s="8"/>
      <c r="J323" s="130"/>
      <c r="K323" s="8"/>
      <c r="L323" s="8"/>
      <c r="O323" s="131"/>
      <c r="P323" s="8"/>
      <c r="Q323" s="8"/>
      <c r="W323" s="124"/>
      <c r="X323" s="124"/>
      <c r="Z323" s="8"/>
      <c r="AA323" s="8"/>
      <c r="AC323" s="8"/>
      <c r="AD323" s="8"/>
      <c r="AI323" s="8"/>
      <c r="AJ323" s="8"/>
      <c r="AK323" s="8"/>
      <c r="AO323" s="8"/>
      <c r="AP323" s="8"/>
    </row>
    <row r="324" ht="14.4" spans="2:42">
      <c r="B324" s="132"/>
      <c r="C324" s="8"/>
      <c r="D324" s="8"/>
      <c r="E324" s="8"/>
      <c r="H324" s="8"/>
      <c r="J324" s="130"/>
      <c r="K324" s="8"/>
      <c r="L324" s="8"/>
      <c r="O324" s="131"/>
      <c r="P324" s="8"/>
      <c r="Q324" s="8"/>
      <c r="W324" s="124"/>
      <c r="X324" s="124"/>
      <c r="Z324" s="8"/>
      <c r="AA324" s="8"/>
      <c r="AC324" s="8"/>
      <c r="AD324" s="8"/>
      <c r="AI324" s="8"/>
      <c r="AJ324" s="8"/>
      <c r="AK324" s="8"/>
      <c r="AO324" s="8"/>
      <c r="AP324" s="8"/>
    </row>
    <row r="325" ht="14.4" spans="2:42">
      <c r="B325" s="132"/>
      <c r="C325" s="8"/>
      <c r="D325" s="8"/>
      <c r="E325" s="8"/>
      <c r="H325" s="8"/>
      <c r="J325" s="130"/>
      <c r="K325" s="8"/>
      <c r="L325" s="8"/>
      <c r="O325" s="131"/>
      <c r="P325" s="8"/>
      <c r="Q325" s="8"/>
      <c r="W325" s="124"/>
      <c r="X325" s="124"/>
      <c r="Z325" s="8"/>
      <c r="AA325" s="8"/>
      <c r="AC325" s="8"/>
      <c r="AD325" s="8"/>
      <c r="AI325" s="8"/>
      <c r="AJ325" s="8"/>
      <c r="AK325" s="8"/>
      <c r="AO325" s="8"/>
      <c r="AP325" s="8"/>
    </row>
    <row r="326" ht="14.4" spans="2:42">
      <c r="B326" s="132"/>
      <c r="C326" s="8"/>
      <c r="D326" s="8"/>
      <c r="E326" s="8"/>
      <c r="H326" s="8"/>
      <c r="J326" s="130"/>
      <c r="K326" s="8"/>
      <c r="L326" s="8"/>
      <c r="O326" s="131"/>
      <c r="P326" s="8"/>
      <c r="Q326" s="8"/>
      <c r="W326" s="124"/>
      <c r="X326" s="124"/>
      <c r="Z326" s="8"/>
      <c r="AA326" s="8"/>
      <c r="AC326" s="8"/>
      <c r="AD326" s="8"/>
      <c r="AI326" s="8"/>
      <c r="AJ326" s="8"/>
      <c r="AK326" s="8"/>
      <c r="AO326" s="8"/>
      <c r="AP326" s="8"/>
    </row>
    <row r="327" ht="14.4" spans="2:42">
      <c r="B327" s="132"/>
      <c r="C327" s="8"/>
      <c r="D327" s="8"/>
      <c r="E327" s="8"/>
      <c r="H327" s="8"/>
      <c r="J327" s="130"/>
      <c r="K327" s="8"/>
      <c r="L327" s="8"/>
      <c r="O327" s="131"/>
      <c r="P327" s="8"/>
      <c r="Q327" s="8"/>
      <c r="W327" s="124"/>
      <c r="X327" s="124"/>
      <c r="Z327" s="8"/>
      <c r="AA327" s="8"/>
      <c r="AC327" s="8"/>
      <c r="AD327" s="8"/>
      <c r="AI327" s="8"/>
      <c r="AJ327" s="8"/>
      <c r="AK327" s="8"/>
      <c r="AO327" s="8"/>
      <c r="AP327" s="8"/>
    </row>
    <row r="328" ht="14.4" spans="2:42">
      <c r="B328" s="132"/>
      <c r="C328" s="8"/>
      <c r="D328" s="8"/>
      <c r="E328" s="8"/>
      <c r="H328" s="8"/>
      <c r="J328" s="130"/>
      <c r="K328" s="8"/>
      <c r="L328" s="8"/>
      <c r="O328" s="131"/>
      <c r="P328" s="8"/>
      <c r="Q328" s="8"/>
      <c r="W328" s="124"/>
      <c r="X328" s="124"/>
      <c r="Z328" s="8"/>
      <c r="AA328" s="8"/>
      <c r="AC328" s="8"/>
      <c r="AD328" s="8"/>
      <c r="AI328" s="8"/>
      <c r="AJ328" s="8"/>
      <c r="AK328" s="8"/>
      <c r="AO328" s="8"/>
      <c r="AP328" s="8"/>
    </row>
    <row r="329" ht="14.4" spans="2:42">
      <c r="B329" s="132"/>
      <c r="C329" s="8"/>
      <c r="D329" s="8"/>
      <c r="E329" s="8"/>
      <c r="H329" s="8"/>
      <c r="J329" s="130"/>
      <c r="K329" s="8"/>
      <c r="L329" s="8"/>
      <c r="O329" s="131"/>
      <c r="P329" s="8"/>
      <c r="Q329" s="8"/>
      <c r="W329" s="124"/>
      <c r="X329" s="124"/>
      <c r="Z329" s="8"/>
      <c r="AA329" s="8"/>
      <c r="AC329" s="8"/>
      <c r="AD329" s="8"/>
      <c r="AI329" s="8"/>
      <c r="AJ329" s="8"/>
      <c r="AK329" s="8"/>
      <c r="AO329" s="8"/>
      <c r="AP329" s="8"/>
    </row>
    <row r="330" ht="14.4" spans="2:42">
      <c r="B330" s="132"/>
      <c r="C330" s="8"/>
      <c r="D330" s="8"/>
      <c r="E330" s="8"/>
      <c r="H330" s="8"/>
      <c r="J330" s="130"/>
      <c r="K330" s="8"/>
      <c r="L330" s="8"/>
      <c r="O330" s="131"/>
      <c r="P330" s="8"/>
      <c r="Q330" s="8"/>
      <c r="W330" s="124"/>
      <c r="X330" s="124"/>
      <c r="Z330" s="8"/>
      <c r="AA330" s="8"/>
      <c r="AC330" s="8"/>
      <c r="AD330" s="8"/>
      <c r="AI330" s="8"/>
      <c r="AJ330" s="8"/>
      <c r="AK330" s="8"/>
      <c r="AO330" s="8"/>
      <c r="AP330" s="8"/>
    </row>
    <row r="331" ht="14.4" spans="2:42">
      <c r="B331" s="132"/>
      <c r="C331" s="8"/>
      <c r="D331" s="8"/>
      <c r="E331" s="8"/>
      <c r="H331" s="8"/>
      <c r="J331" s="130"/>
      <c r="K331" s="8"/>
      <c r="L331" s="8"/>
      <c r="O331" s="131"/>
      <c r="P331" s="8"/>
      <c r="Q331" s="8"/>
      <c r="W331" s="124"/>
      <c r="X331" s="124"/>
      <c r="Z331" s="8"/>
      <c r="AA331" s="8"/>
      <c r="AC331" s="8"/>
      <c r="AD331" s="8"/>
      <c r="AI331" s="8"/>
      <c r="AJ331" s="8"/>
      <c r="AK331" s="8"/>
      <c r="AO331" s="8"/>
      <c r="AP331" s="8"/>
    </row>
    <row r="332" ht="14.4" spans="2:42">
      <c r="B332" s="132"/>
      <c r="C332" s="8"/>
      <c r="D332" s="8"/>
      <c r="E332" s="8"/>
      <c r="H332" s="8"/>
      <c r="J332" s="130"/>
      <c r="K332" s="8"/>
      <c r="L332" s="8"/>
      <c r="O332" s="131"/>
      <c r="P332" s="8"/>
      <c r="Q332" s="8"/>
      <c r="W332" s="124"/>
      <c r="X332" s="124"/>
      <c r="Z332" s="8"/>
      <c r="AA332" s="8"/>
      <c r="AC332" s="8"/>
      <c r="AD332" s="8"/>
      <c r="AI332" s="8"/>
      <c r="AJ332" s="8"/>
      <c r="AK332" s="8"/>
      <c r="AO332" s="8"/>
      <c r="AP332" s="8"/>
    </row>
    <row r="333" ht="14.4" spans="2:42">
      <c r="B333" s="132"/>
      <c r="C333" s="8"/>
      <c r="D333" s="8"/>
      <c r="E333" s="8"/>
      <c r="H333" s="8"/>
      <c r="J333" s="130"/>
      <c r="K333" s="8"/>
      <c r="L333" s="8"/>
      <c r="O333" s="131"/>
      <c r="P333" s="8"/>
      <c r="Q333" s="8"/>
      <c r="W333" s="124"/>
      <c r="X333" s="124"/>
      <c r="Z333" s="8"/>
      <c r="AA333" s="8"/>
      <c r="AC333" s="8"/>
      <c r="AD333" s="8"/>
      <c r="AI333" s="8"/>
      <c r="AJ333" s="8"/>
      <c r="AK333" s="8"/>
      <c r="AO333" s="8"/>
      <c r="AP333" s="8"/>
    </row>
    <row r="334" ht="14.4" spans="2:42">
      <c r="B334" s="132"/>
      <c r="C334" s="8"/>
      <c r="D334" s="8"/>
      <c r="E334" s="8"/>
      <c r="H334" s="8"/>
      <c r="J334" s="130"/>
      <c r="K334" s="8"/>
      <c r="L334" s="8"/>
      <c r="O334" s="131"/>
      <c r="P334" s="8"/>
      <c r="Q334" s="8"/>
      <c r="W334" s="124"/>
      <c r="X334" s="124"/>
      <c r="Z334" s="8"/>
      <c r="AA334" s="8"/>
      <c r="AC334" s="8"/>
      <c r="AD334" s="8"/>
      <c r="AI334" s="8"/>
      <c r="AJ334" s="8"/>
      <c r="AK334" s="8"/>
      <c r="AO334" s="8"/>
      <c r="AP334" s="8"/>
    </row>
    <row r="335" ht="14.4" spans="2:42">
      <c r="B335" s="132"/>
      <c r="C335" s="8"/>
      <c r="D335" s="8"/>
      <c r="E335" s="8"/>
      <c r="H335" s="8"/>
      <c r="J335" s="130"/>
      <c r="K335" s="8"/>
      <c r="L335" s="8"/>
      <c r="O335" s="131"/>
      <c r="P335" s="8"/>
      <c r="Q335" s="8"/>
      <c r="W335" s="124"/>
      <c r="X335" s="124"/>
      <c r="Z335" s="8"/>
      <c r="AA335" s="8"/>
      <c r="AC335" s="8"/>
      <c r="AD335" s="8"/>
      <c r="AI335" s="8"/>
      <c r="AJ335" s="8"/>
      <c r="AK335" s="8"/>
      <c r="AO335" s="8"/>
      <c r="AP335" s="8"/>
    </row>
    <row r="336" ht="14.4" spans="2:42">
      <c r="B336" s="132"/>
      <c r="C336" s="8"/>
      <c r="D336" s="8"/>
      <c r="E336" s="8"/>
      <c r="H336" s="8"/>
      <c r="J336" s="130"/>
      <c r="K336" s="8"/>
      <c r="L336" s="8"/>
      <c r="O336" s="131"/>
      <c r="P336" s="8"/>
      <c r="Q336" s="8"/>
      <c r="W336" s="124"/>
      <c r="X336" s="124"/>
      <c r="Z336" s="8"/>
      <c r="AA336" s="8"/>
      <c r="AC336" s="8"/>
      <c r="AD336" s="8"/>
      <c r="AI336" s="8"/>
      <c r="AJ336" s="8"/>
      <c r="AK336" s="8"/>
      <c r="AO336" s="8"/>
      <c r="AP336" s="8"/>
    </row>
    <row r="337" ht="14.4" spans="2:42">
      <c r="B337" s="132"/>
      <c r="C337" s="8"/>
      <c r="D337" s="8"/>
      <c r="E337" s="8"/>
      <c r="H337" s="8"/>
      <c r="J337" s="130"/>
      <c r="K337" s="8"/>
      <c r="L337" s="8"/>
      <c r="O337" s="131"/>
      <c r="P337" s="8"/>
      <c r="Q337" s="8"/>
      <c r="W337" s="124"/>
      <c r="X337" s="124"/>
      <c r="Z337" s="8"/>
      <c r="AA337" s="8"/>
      <c r="AC337" s="8"/>
      <c r="AD337" s="8"/>
      <c r="AI337" s="8"/>
      <c r="AJ337" s="8"/>
      <c r="AK337" s="8"/>
      <c r="AO337" s="8"/>
      <c r="AP337" s="8"/>
    </row>
    <row r="338" ht="14.4" spans="2:42">
      <c r="B338" s="132"/>
      <c r="C338" s="8"/>
      <c r="D338" s="8"/>
      <c r="E338" s="8"/>
      <c r="H338" s="8"/>
      <c r="J338" s="130"/>
      <c r="K338" s="8"/>
      <c r="L338" s="8"/>
      <c r="O338" s="131"/>
      <c r="P338" s="8"/>
      <c r="Q338" s="8"/>
      <c r="W338" s="124"/>
      <c r="X338" s="124"/>
      <c r="Z338" s="8"/>
      <c r="AA338" s="8"/>
      <c r="AC338" s="8"/>
      <c r="AD338" s="8"/>
      <c r="AI338" s="8"/>
      <c r="AJ338" s="8"/>
      <c r="AK338" s="8"/>
      <c r="AO338" s="8"/>
      <c r="AP338" s="8"/>
    </row>
    <row r="339" ht="14.4" spans="2:42">
      <c r="B339" s="132"/>
      <c r="C339" s="8"/>
      <c r="D339" s="8"/>
      <c r="E339" s="8"/>
      <c r="H339" s="8"/>
      <c r="J339" s="130"/>
      <c r="K339" s="8"/>
      <c r="L339" s="8"/>
      <c r="O339" s="131"/>
      <c r="P339" s="8"/>
      <c r="Q339" s="8"/>
      <c r="W339" s="124"/>
      <c r="X339" s="124"/>
      <c r="Z339" s="8"/>
      <c r="AA339" s="8"/>
      <c r="AC339" s="8"/>
      <c r="AD339" s="8"/>
      <c r="AI339" s="8"/>
      <c r="AJ339" s="8"/>
      <c r="AK339" s="8"/>
      <c r="AO339" s="8"/>
      <c r="AP339" s="8"/>
    </row>
    <row r="340" ht="14.4" spans="2:42">
      <c r="B340" s="132"/>
      <c r="C340" s="8"/>
      <c r="D340" s="8"/>
      <c r="E340" s="8"/>
      <c r="H340" s="8"/>
      <c r="J340" s="130"/>
      <c r="K340" s="8"/>
      <c r="L340" s="8"/>
      <c r="O340" s="131"/>
      <c r="P340" s="8"/>
      <c r="Q340" s="8"/>
      <c r="W340" s="124"/>
      <c r="X340" s="124"/>
      <c r="Z340" s="8"/>
      <c r="AA340" s="8"/>
      <c r="AC340" s="8"/>
      <c r="AD340" s="8"/>
      <c r="AI340" s="8"/>
      <c r="AJ340" s="8"/>
      <c r="AK340" s="8"/>
      <c r="AO340" s="8"/>
      <c r="AP340" s="8"/>
    </row>
    <row r="341" ht="14.4" spans="2:42">
      <c r="B341" s="132"/>
      <c r="C341" s="8"/>
      <c r="D341" s="8"/>
      <c r="E341" s="8"/>
      <c r="H341" s="8"/>
      <c r="J341" s="130"/>
      <c r="K341" s="8"/>
      <c r="L341" s="8"/>
      <c r="O341" s="131"/>
      <c r="P341" s="8"/>
      <c r="Q341" s="8"/>
      <c r="W341" s="124"/>
      <c r="X341" s="124"/>
      <c r="Z341" s="8"/>
      <c r="AA341" s="8"/>
      <c r="AC341" s="8"/>
      <c r="AD341" s="8"/>
      <c r="AI341" s="8"/>
      <c r="AJ341" s="8"/>
      <c r="AK341" s="8"/>
      <c r="AO341" s="8"/>
      <c r="AP341" s="8"/>
    </row>
    <row r="342" ht="14.4" spans="2:42">
      <c r="B342" s="132"/>
      <c r="C342" s="8"/>
      <c r="D342" s="8"/>
      <c r="E342" s="8"/>
      <c r="H342" s="8"/>
      <c r="J342" s="130"/>
      <c r="K342" s="8"/>
      <c r="L342" s="8"/>
      <c r="O342" s="131"/>
      <c r="P342" s="8"/>
      <c r="Q342" s="8"/>
      <c r="W342" s="124"/>
      <c r="X342" s="124"/>
      <c r="Z342" s="8"/>
      <c r="AA342" s="8"/>
      <c r="AC342" s="8"/>
      <c r="AD342" s="8"/>
      <c r="AI342" s="8"/>
      <c r="AJ342" s="8"/>
      <c r="AK342" s="8"/>
      <c r="AO342" s="8"/>
      <c r="AP342" s="8"/>
    </row>
    <row r="343" ht="14.4" spans="2:42">
      <c r="B343" s="132"/>
      <c r="C343" s="8"/>
      <c r="D343" s="8"/>
      <c r="E343" s="8"/>
      <c r="H343" s="8"/>
      <c r="J343" s="130"/>
      <c r="K343" s="8"/>
      <c r="L343" s="8"/>
      <c r="O343" s="131"/>
      <c r="P343" s="8"/>
      <c r="Q343" s="8"/>
      <c r="W343" s="124"/>
      <c r="X343" s="124"/>
      <c r="Z343" s="8"/>
      <c r="AA343" s="8"/>
      <c r="AC343" s="8"/>
      <c r="AD343" s="8"/>
      <c r="AI343" s="8"/>
      <c r="AJ343" s="8"/>
      <c r="AK343" s="8"/>
      <c r="AO343" s="8"/>
      <c r="AP343" s="8"/>
    </row>
    <row r="344" ht="14.4" spans="2:42">
      <c r="B344" s="132"/>
      <c r="C344" s="8"/>
      <c r="D344" s="8"/>
      <c r="E344" s="8"/>
      <c r="H344" s="8"/>
      <c r="J344" s="130"/>
      <c r="K344" s="8"/>
      <c r="L344" s="8"/>
      <c r="O344" s="131"/>
      <c r="P344" s="8"/>
      <c r="Q344" s="8"/>
      <c r="W344" s="124"/>
      <c r="X344" s="124"/>
      <c r="Z344" s="8"/>
      <c r="AA344" s="8"/>
      <c r="AC344" s="8"/>
      <c r="AD344" s="8"/>
      <c r="AI344" s="8"/>
      <c r="AJ344" s="8"/>
      <c r="AK344" s="8"/>
      <c r="AO344" s="8"/>
      <c r="AP344" s="8"/>
    </row>
    <row r="345" ht="14.4" spans="2:42">
      <c r="B345" s="132"/>
      <c r="C345" s="8"/>
      <c r="D345" s="8"/>
      <c r="E345" s="8"/>
      <c r="H345" s="8"/>
      <c r="J345" s="130"/>
      <c r="K345" s="8"/>
      <c r="L345" s="8"/>
      <c r="O345" s="131"/>
      <c r="P345" s="8"/>
      <c r="Q345" s="8"/>
      <c r="W345" s="124"/>
      <c r="X345" s="124"/>
      <c r="Z345" s="8"/>
      <c r="AA345" s="8"/>
      <c r="AC345" s="8"/>
      <c r="AD345" s="8"/>
      <c r="AI345" s="8"/>
      <c r="AJ345" s="8"/>
      <c r="AK345" s="8"/>
      <c r="AO345" s="8"/>
      <c r="AP345" s="8"/>
    </row>
    <row r="346" ht="14.4" spans="2:42">
      <c r="B346" s="132"/>
      <c r="C346" s="8"/>
      <c r="D346" s="8"/>
      <c r="E346" s="8"/>
      <c r="H346" s="8"/>
      <c r="J346" s="130"/>
      <c r="K346" s="8"/>
      <c r="L346" s="8"/>
      <c r="O346" s="131"/>
      <c r="P346" s="8"/>
      <c r="Q346" s="8"/>
      <c r="W346" s="124"/>
      <c r="X346" s="124"/>
      <c r="Z346" s="8"/>
      <c r="AA346" s="8"/>
      <c r="AC346" s="8"/>
      <c r="AD346" s="8"/>
      <c r="AI346" s="8"/>
      <c r="AJ346" s="8"/>
      <c r="AK346" s="8"/>
      <c r="AO346" s="8"/>
      <c r="AP346" s="8"/>
    </row>
    <row r="347" ht="14.4" spans="2:42">
      <c r="B347" s="132"/>
      <c r="C347" s="8"/>
      <c r="D347" s="8"/>
      <c r="E347" s="8"/>
      <c r="H347" s="8"/>
      <c r="J347" s="130"/>
      <c r="K347" s="8"/>
      <c r="L347" s="8"/>
      <c r="O347" s="131"/>
      <c r="P347" s="8"/>
      <c r="Q347" s="8"/>
      <c r="W347" s="124"/>
      <c r="X347" s="124"/>
      <c r="Z347" s="8"/>
      <c r="AA347" s="8"/>
      <c r="AC347" s="8"/>
      <c r="AD347" s="8"/>
      <c r="AI347" s="8"/>
      <c r="AJ347" s="8"/>
      <c r="AK347" s="8"/>
      <c r="AO347" s="8"/>
      <c r="AP347" s="8"/>
    </row>
    <row r="348" ht="14.4" spans="2:42">
      <c r="B348" s="132"/>
      <c r="C348" s="8"/>
      <c r="D348" s="8"/>
      <c r="E348" s="8"/>
      <c r="H348" s="8"/>
      <c r="J348" s="130"/>
      <c r="K348" s="8"/>
      <c r="L348" s="8"/>
      <c r="O348" s="131"/>
      <c r="P348" s="8"/>
      <c r="Q348" s="8"/>
      <c r="W348" s="124"/>
      <c r="X348" s="124"/>
      <c r="Z348" s="8"/>
      <c r="AA348" s="8"/>
      <c r="AC348" s="8"/>
      <c r="AD348" s="8"/>
      <c r="AI348" s="8"/>
      <c r="AJ348" s="8"/>
      <c r="AK348" s="8"/>
      <c r="AO348" s="8"/>
      <c r="AP348" s="8"/>
    </row>
    <row r="349" ht="14.4" spans="2:42">
      <c r="B349" s="132"/>
      <c r="C349" s="8"/>
      <c r="D349" s="8"/>
      <c r="E349" s="8"/>
      <c r="H349" s="8"/>
      <c r="J349" s="130"/>
      <c r="K349" s="8"/>
      <c r="L349" s="8"/>
      <c r="O349" s="131"/>
      <c r="P349" s="8"/>
      <c r="Q349" s="8"/>
      <c r="W349" s="124"/>
      <c r="X349" s="124"/>
      <c r="Z349" s="8"/>
      <c r="AA349" s="8"/>
      <c r="AC349" s="8"/>
      <c r="AD349" s="8"/>
      <c r="AI349" s="8"/>
      <c r="AJ349" s="8"/>
      <c r="AK349" s="8"/>
      <c r="AO349" s="8"/>
      <c r="AP349" s="8"/>
    </row>
    <row r="350" ht="14.4" spans="2:42">
      <c r="B350" s="132"/>
      <c r="C350" s="8"/>
      <c r="D350" s="8"/>
      <c r="E350" s="8"/>
      <c r="H350" s="8"/>
      <c r="J350" s="130"/>
      <c r="K350" s="8"/>
      <c r="L350" s="8"/>
      <c r="O350" s="131"/>
      <c r="P350" s="8"/>
      <c r="Q350" s="8"/>
      <c r="W350" s="124"/>
      <c r="X350" s="124"/>
      <c r="Z350" s="8"/>
      <c r="AA350" s="8"/>
      <c r="AC350" s="8"/>
      <c r="AD350" s="8"/>
      <c r="AI350" s="8"/>
      <c r="AJ350" s="8"/>
      <c r="AK350" s="8"/>
      <c r="AO350" s="8"/>
      <c r="AP350" s="8"/>
    </row>
    <row r="351" ht="14.4" spans="2:42">
      <c r="B351" s="132"/>
      <c r="C351" s="8"/>
      <c r="D351" s="8"/>
      <c r="E351" s="8"/>
      <c r="H351" s="8"/>
      <c r="J351" s="130"/>
      <c r="K351" s="8"/>
      <c r="L351" s="8"/>
      <c r="O351" s="131"/>
      <c r="P351" s="8"/>
      <c r="Q351" s="8"/>
      <c r="W351" s="124"/>
      <c r="X351" s="124"/>
      <c r="Z351" s="8"/>
      <c r="AA351" s="8"/>
      <c r="AC351" s="8"/>
      <c r="AD351" s="8"/>
      <c r="AI351" s="8"/>
      <c r="AJ351" s="8"/>
      <c r="AK351" s="8"/>
      <c r="AO351" s="8"/>
      <c r="AP351" s="8"/>
    </row>
    <row r="352" ht="14.4" spans="2:42">
      <c r="B352" s="132"/>
      <c r="C352" s="8"/>
      <c r="D352" s="8"/>
      <c r="E352" s="8"/>
      <c r="H352" s="8"/>
      <c r="J352" s="130"/>
      <c r="K352" s="8"/>
      <c r="L352" s="8"/>
      <c r="O352" s="131"/>
      <c r="P352" s="8"/>
      <c r="Q352" s="8"/>
      <c r="W352" s="124"/>
      <c r="X352" s="124"/>
      <c r="Z352" s="8"/>
      <c r="AA352" s="8"/>
      <c r="AC352" s="8"/>
      <c r="AD352" s="8"/>
      <c r="AI352" s="8"/>
      <c r="AJ352" s="8"/>
      <c r="AK352" s="8"/>
      <c r="AO352" s="8"/>
      <c r="AP352" s="8"/>
    </row>
    <row r="353" ht="14.4" spans="2:42">
      <c r="B353" s="132"/>
      <c r="C353" s="8"/>
      <c r="D353" s="8"/>
      <c r="E353" s="8"/>
      <c r="H353" s="8"/>
      <c r="J353" s="130"/>
      <c r="K353" s="8"/>
      <c r="L353" s="8"/>
      <c r="O353" s="131"/>
      <c r="P353" s="8"/>
      <c r="Q353" s="8"/>
      <c r="W353" s="124"/>
      <c r="X353" s="124"/>
      <c r="Z353" s="8"/>
      <c r="AA353" s="8"/>
      <c r="AC353" s="8"/>
      <c r="AD353" s="8"/>
      <c r="AI353" s="8"/>
      <c r="AJ353" s="8"/>
      <c r="AK353" s="8"/>
      <c r="AO353" s="8"/>
      <c r="AP353" s="8"/>
    </row>
    <row r="354" ht="14.4" spans="2:42">
      <c r="B354" s="132"/>
      <c r="C354" s="8"/>
      <c r="D354" s="8"/>
      <c r="E354" s="8"/>
      <c r="H354" s="8"/>
      <c r="J354" s="130"/>
      <c r="K354" s="8"/>
      <c r="L354" s="8"/>
      <c r="O354" s="131"/>
      <c r="P354" s="8"/>
      <c r="Q354" s="8"/>
      <c r="W354" s="124"/>
      <c r="X354" s="124"/>
      <c r="Z354" s="8"/>
      <c r="AA354" s="8"/>
      <c r="AC354" s="8"/>
      <c r="AD354" s="8"/>
      <c r="AI354" s="8"/>
      <c r="AJ354" s="8"/>
      <c r="AK354" s="8"/>
      <c r="AO354" s="8"/>
      <c r="AP354" s="8"/>
    </row>
    <row r="355" ht="14.4" spans="2:42">
      <c r="B355" s="132"/>
      <c r="C355" s="8"/>
      <c r="D355" s="8"/>
      <c r="E355" s="8"/>
      <c r="H355" s="8"/>
      <c r="J355" s="130"/>
      <c r="K355" s="8"/>
      <c r="L355" s="8"/>
      <c r="O355" s="131"/>
      <c r="P355" s="8"/>
      <c r="Q355" s="8"/>
      <c r="W355" s="124"/>
      <c r="X355" s="124"/>
      <c r="Z355" s="8"/>
      <c r="AA355" s="8"/>
      <c r="AC355" s="8"/>
      <c r="AD355" s="8"/>
      <c r="AI355" s="8"/>
      <c r="AJ355" s="8"/>
      <c r="AK355" s="8"/>
      <c r="AO355" s="8"/>
      <c r="AP355" s="8"/>
    </row>
    <row r="356" ht="14.4" spans="2:42">
      <c r="B356" s="132"/>
      <c r="C356" s="8"/>
      <c r="D356" s="8"/>
      <c r="E356" s="8"/>
      <c r="H356" s="8"/>
      <c r="J356" s="130"/>
      <c r="K356" s="8"/>
      <c r="L356" s="8"/>
      <c r="O356" s="131"/>
      <c r="P356" s="8"/>
      <c r="Q356" s="8"/>
      <c r="W356" s="124"/>
      <c r="X356" s="124"/>
      <c r="Z356" s="8"/>
      <c r="AA356" s="8"/>
      <c r="AC356" s="8"/>
      <c r="AD356" s="8"/>
      <c r="AI356" s="8"/>
      <c r="AJ356" s="8"/>
      <c r="AK356" s="8"/>
      <c r="AO356" s="8"/>
      <c r="AP356" s="8"/>
    </row>
    <row r="357" ht="14.4" spans="2:42">
      <c r="B357" s="132"/>
      <c r="C357" s="8"/>
      <c r="D357" s="8"/>
      <c r="E357" s="8"/>
      <c r="H357" s="8"/>
      <c r="J357" s="130"/>
      <c r="K357" s="8"/>
      <c r="L357" s="8"/>
      <c r="O357" s="131"/>
      <c r="P357" s="8"/>
      <c r="Q357" s="8"/>
      <c r="W357" s="124"/>
      <c r="X357" s="124"/>
      <c r="Z357" s="8"/>
      <c r="AA357" s="8"/>
      <c r="AC357" s="8"/>
      <c r="AD357" s="8"/>
      <c r="AI357" s="8"/>
      <c r="AJ357" s="8"/>
      <c r="AK357" s="8"/>
      <c r="AO357" s="8"/>
      <c r="AP357" s="8"/>
    </row>
    <row r="358" ht="14.4" spans="2:42">
      <c r="B358" s="132"/>
      <c r="C358" s="8"/>
      <c r="D358" s="8"/>
      <c r="E358" s="8"/>
      <c r="H358" s="8"/>
      <c r="J358" s="130"/>
      <c r="K358" s="8"/>
      <c r="L358" s="8"/>
      <c r="O358" s="131"/>
      <c r="P358" s="8"/>
      <c r="Q358" s="8"/>
      <c r="W358" s="124"/>
      <c r="X358" s="124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24"/>
      <c r="C359" s="8"/>
      <c r="D359" s="8"/>
      <c r="E359" s="8"/>
      <c r="H359" s="8"/>
      <c r="J359" s="130"/>
      <c r="K359" s="8"/>
      <c r="L359" s="8"/>
      <c r="M359" s="133"/>
      <c r="O359" s="131"/>
      <c r="P359" s="8"/>
      <c r="Q359" s="8"/>
      <c r="W359" s="8"/>
      <c r="X359" s="8"/>
      <c r="Z359" s="8"/>
      <c r="AA359" s="8"/>
      <c r="AC359" s="8"/>
      <c r="AD359" s="8"/>
      <c r="AJ359" s="8"/>
      <c r="AK359" s="8"/>
      <c r="AO359" s="8"/>
      <c r="AP359" s="8"/>
    </row>
    <row r="360" spans="2:42">
      <c r="B360" s="124"/>
      <c r="C360" s="8"/>
      <c r="D360" s="8"/>
      <c r="E360" s="8"/>
      <c r="H360" s="8"/>
      <c r="J360" s="130"/>
      <c r="K360" s="8"/>
      <c r="L360" s="8"/>
      <c r="M360" s="133"/>
      <c r="O360" s="131"/>
      <c r="P360" s="8"/>
      <c r="Q360" s="8"/>
      <c r="W360" s="8"/>
      <c r="X360" s="8"/>
      <c r="Z360" s="8"/>
      <c r="AA360" s="8"/>
      <c r="AC360" s="8"/>
      <c r="AD360" s="8"/>
      <c r="AJ360" s="8"/>
      <c r="AK360" s="8"/>
      <c r="AO360" s="8"/>
      <c r="AP360" s="8"/>
    </row>
    <row r="361" spans="2:42">
      <c r="B361" s="124"/>
      <c r="C361" s="8"/>
      <c r="D361" s="8"/>
      <c r="E361" s="8"/>
      <c r="H361" s="8"/>
      <c r="J361" s="130"/>
      <c r="K361" s="8"/>
      <c r="L361" s="8"/>
      <c r="M361" s="133"/>
      <c r="O361" s="131"/>
      <c r="P361" s="8"/>
      <c r="Q361" s="8"/>
      <c r="W361" s="8"/>
      <c r="X361" s="8"/>
      <c r="Z361" s="8"/>
      <c r="AA361" s="8"/>
      <c r="AC361" s="8"/>
      <c r="AD361" s="8"/>
      <c r="AJ361" s="8"/>
      <c r="AK361" s="8"/>
      <c r="AO361" s="8"/>
      <c r="AP361" s="8"/>
    </row>
    <row r="362" spans="2:42">
      <c r="B362" s="124"/>
      <c r="C362" s="8"/>
      <c r="D362" s="8"/>
      <c r="E362" s="8"/>
      <c r="H362" s="8"/>
      <c r="J362" s="130"/>
      <c r="K362" s="8"/>
      <c r="L362" s="8"/>
      <c r="M362" s="133"/>
      <c r="O362" s="131"/>
      <c r="P362" s="8"/>
      <c r="Q362" s="8"/>
      <c r="W362" s="8"/>
      <c r="X362" s="8"/>
      <c r="Z362" s="8"/>
      <c r="AA362" s="8"/>
      <c r="AC362" s="8"/>
      <c r="AD362" s="8"/>
      <c r="AJ362" s="8"/>
      <c r="AK362" s="8"/>
      <c r="AO362" s="8"/>
      <c r="AP362" s="8"/>
    </row>
    <row r="363" spans="2:42">
      <c r="B363" s="124"/>
      <c r="C363" s="8"/>
      <c r="D363" s="8"/>
      <c r="E363" s="8"/>
      <c r="H363" s="8"/>
      <c r="J363" s="130"/>
      <c r="K363" s="8"/>
      <c r="L363" s="8"/>
      <c r="M363" s="133"/>
      <c r="O363" s="131"/>
      <c r="P363" s="8"/>
      <c r="Q363" s="8"/>
      <c r="W363" s="8"/>
      <c r="X363" s="8"/>
      <c r="Z363" s="8"/>
      <c r="AA363" s="8"/>
      <c r="AC363" s="8"/>
      <c r="AD363" s="8"/>
      <c r="AJ363" s="8"/>
      <c r="AK363" s="8"/>
      <c r="AO363" s="8"/>
      <c r="AP363" s="8"/>
    </row>
    <row r="364" spans="2:42">
      <c r="B364" s="124"/>
      <c r="C364" s="8"/>
      <c r="D364" s="8"/>
      <c r="E364" s="8"/>
      <c r="H364" s="8"/>
      <c r="J364" s="130"/>
      <c r="K364" s="8"/>
      <c r="L364" s="8"/>
      <c r="M364" s="133"/>
      <c r="O364" s="131"/>
      <c r="P364" s="8"/>
      <c r="Q364" s="8"/>
      <c r="W364" s="8"/>
      <c r="X364" s="8"/>
      <c r="Z364" s="8"/>
      <c r="AA364" s="8"/>
      <c r="AC364" s="8"/>
      <c r="AD364" s="8"/>
      <c r="AJ364" s="8"/>
      <c r="AK364" s="8"/>
      <c r="AO364" s="8"/>
      <c r="AP364" s="8"/>
    </row>
    <row r="365" spans="2:42">
      <c r="B365" s="124"/>
      <c r="C365" s="8"/>
      <c r="D365" s="8"/>
      <c r="E365" s="8"/>
      <c r="H365" s="8"/>
      <c r="J365" s="130"/>
      <c r="K365" s="8"/>
      <c r="L365" s="8"/>
      <c r="M365" s="133"/>
      <c r="P365" s="8"/>
      <c r="Q365" s="8"/>
      <c r="W365" s="8"/>
      <c r="X365" s="8"/>
      <c r="Z365" s="8"/>
      <c r="AA365" s="8"/>
      <c r="AC365" s="8"/>
      <c r="AD365" s="8"/>
      <c r="AI365" s="8"/>
      <c r="AJ365" s="8"/>
      <c r="AK365" s="8"/>
      <c r="AO365" s="8"/>
      <c r="AP365" s="8"/>
    </row>
    <row r="366" spans="2:42">
      <c r="B366" s="124"/>
      <c r="C366" s="8"/>
      <c r="D366" s="8"/>
      <c r="E366" s="8"/>
      <c r="H366" s="8"/>
      <c r="J366" s="130"/>
      <c r="K366" s="8"/>
      <c r="L366" s="8"/>
      <c r="M366" s="133"/>
      <c r="P366" s="8"/>
      <c r="Q366" s="8"/>
      <c r="W366" s="8"/>
      <c r="X366" s="8"/>
      <c r="Z366" s="8"/>
      <c r="AA366" s="8"/>
      <c r="AC366" s="8"/>
      <c r="AD366" s="8"/>
      <c r="AI366" s="8"/>
      <c r="AJ366" s="8"/>
      <c r="AK366" s="8"/>
      <c r="AO366" s="8"/>
      <c r="AP366" s="8"/>
    </row>
    <row r="367" spans="2:42">
      <c r="B367" s="124"/>
      <c r="C367" s="8"/>
      <c r="D367" s="8"/>
      <c r="E367" s="8"/>
      <c r="H367" s="8"/>
      <c r="J367" s="130"/>
      <c r="K367" s="8"/>
      <c r="L367" s="8"/>
      <c r="M367" s="133"/>
      <c r="P367" s="8"/>
      <c r="Q367" s="8"/>
      <c r="W367" s="8"/>
      <c r="X367" s="8"/>
      <c r="Z367" s="8"/>
      <c r="AA367" s="8"/>
      <c r="AC367" s="8"/>
      <c r="AD367" s="8"/>
      <c r="AI367" s="8"/>
      <c r="AJ367" s="8"/>
      <c r="AK367" s="8"/>
      <c r="AO367" s="8"/>
      <c r="AP367" s="8"/>
    </row>
    <row r="368" spans="2:42">
      <c r="B368" s="124"/>
      <c r="C368" s="8"/>
      <c r="D368" s="8"/>
      <c r="E368" s="8"/>
      <c r="H368" s="8"/>
      <c r="J368" s="130"/>
      <c r="K368" s="8"/>
      <c r="L368" s="8"/>
      <c r="M368" s="133"/>
      <c r="P368" s="8"/>
      <c r="Q368" s="8"/>
      <c r="W368" s="8"/>
      <c r="X368" s="8"/>
      <c r="Z368" s="8"/>
      <c r="AA368" s="8"/>
      <c r="AC368" s="8"/>
      <c r="AD368" s="8"/>
      <c r="AI368" s="8"/>
      <c r="AJ368" s="8"/>
      <c r="AK368" s="8"/>
      <c r="AO368" s="8"/>
      <c r="AP368" s="8"/>
    </row>
    <row r="369" spans="2:42">
      <c r="B369" s="124"/>
      <c r="C369" s="8"/>
      <c r="D369" s="8"/>
      <c r="E369" s="8"/>
      <c r="H369" s="8"/>
      <c r="J369" s="130"/>
      <c r="K369" s="8"/>
      <c r="L369" s="8"/>
      <c r="M369" s="133"/>
      <c r="P369" s="8"/>
      <c r="Q369" s="8"/>
      <c r="W369" s="8"/>
      <c r="X369" s="8"/>
      <c r="Z369" s="8"/>
      <c r="AA369" s="8"/>
      <c r="AC369" s="8"/>
      <c r="AD369" s="8"/>
      <c r="AI369" s="8"/>
      <c r="AJ369" s="8"/>
      <c r="AK369" s="8"/>
      <c r="AO369" s="8"/>
      <c r="AP369" s="8"/>
    </row>
    <row r="370" spans="2:42">
      <c r="B370" s="124"/>
      <c r="C370" s="8"/>
      <c r="D370" s="8"/>
      <c r="E370" s="8"/>
      <c r="H370" s="8"/>
      <c r="J370" s="134"/>
      <c r="K370" s="124"/>
      <c r="L370" s="8"/>
      <c r="M370" s="133"/>
      <c r="O370" s="131"/>
      <c r="P370" s="8"/>
      <c r="Q370" s="8"/>
      <c r="W370" s="124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24"/>
      <c r="C371" s="8"/>
      <c r="D371" s="8"/>
      <c r="E371" s="8"/>
      <c r="H371" s="8"/>
      <c r="J371" s="134"/>
      <c r="K371" s="124"/>
      <c r="L371" s="8"/>
      <c r="M371" s="133"/>
      <c r="O371" s="131"/>
      <c r="P371" s="8"/>
      <c r="Q371" s="8"/>
      <c r="W371" s="124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24"/>
      <c r="C372" s="8"/>
      <c r="D372" s="8"/>
      <c r="E372" s="8"/>
      <c r="H372" s="8"/>
      <c r="J372" s="134"/>
      <c r="K372" s="124"/>
      <c r="L372" s="8"/>
      <c r="M372" s="133"/>
      <c r="O372" s="131"/>
      <c r="P372" s="8"/>
      <c r="Q372" s="8"/>
      <c r="W372" s="124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24"/>
      <c r="C373" s="8"/>
      <c r="D373" s="8"/>
      <c r="E373" s="8"/>
      <c r="H373" s="8"/>
      <c r="J373" s="134"/>
      <c r="K373" s="124"/>
      <c r="L373" s="8"/>
      <c r="M373" s="133"/>
      <c r="O373" s="131"/>
      <c r="P373" s="8"/>
      <c r="Q373" s="8"/>
      <c r="W373" s="124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24"/>
      <c r="C374" s="8"/>
      <c r="D374" s="8"/>
      <c r="E374" s="8"/>
      <c r="H374" s="8"/>
      <c r="J374" s="134"/>
      <c r="K374" s="124"/>
      <c r="L374" s="8"/>
      <c r="M374" s="133"/>
      <c r="O374" s="131"/>
      <c r="P374" s="8"/>
      <c r="Q374" s="8"/>
      <c r="R374" s="124"/>
      <c r="S374" s="124"/>
      <c r="T374" s="124"/>
      <c r="W374" s="124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24"/>
      <c r="C375" s="8"/>
      <c r="D375" s="8"/>
      <c r="E375" s="8"/>
      <c r="H375" s="8"/>
      <c r="J375" s="134"/>
      <c r="K375" s="124"/>
      <c r="L375" s="8"/>
      <c r="M375" s="133"/>
      <c r="O375" s="131"/>
      <c r="P375" s="8"/>
      <c r="Q375" s="8"/>
      <c r="R375" s="124"/>
      <c r="S375" s="124"/>
      <c r="T375" s="124"/>
      <c r="W375" s="124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24"/>
      <c r="C376" s="8"/>
      <c r="D376" s="8"/>
      <c r="E376" s="8"/>
      <c r="H376" s="8"/>
      <c r="J376" s="134"/>
      <c r="K376" s="124"/>
      <c r="L376" s="8"/>
      <c r="M376" s="133"/>
      <c r="O376" s="131"/>
      <c r="P376" s="8"/>
      <c r="Q376" s="8"/>
      <c r="R376" s="124"/>
      <c r="S376" s="124"/>
      <c r="T376" s="124"/>
      <c r="W376" s="124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24"/>
      <c r="C377" s="8"/>
      <c r="D377" s="8"/>
      <c r="E377" s="8"/>
      <c r="H377" s="8"/>
      <c r="J377" s="134"/>
      <c r="K377" s="124"/>
      <c r="L377" s="8"/>
      <c r="M377" s="133"/>
      <c r="O377" s="131"/>
      <c r="P377" s="8"/>
      <c r="Q377" s="8"/>
      <c r="R377" s="124"/>
      <c r="S377" s="124"/>
      <c r="T377" s="124"/>
      <c r="W377" s="124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24"/>
      <c r="C378" s="8"/>
      <c r="D378" s="8"/>
      <c r="E378" s="8"/>
      <c r="H378" s="8"/>
      <c r="J378" s="134"/>
      <c r="K378" s="124"/>
      <c r="L378" s="8"/>
      <c r="M378" s="133"/>
      <c r="O378" s="131"/>
      <c r="P378" s="8"/>
      <c r="Q378" s="8"/>
      <c r="R378" s="124"/>
      <c r="S378" s="124"/>
      <c r="T378" s="124"/>
      <c r="W378" s="124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24"/>
      <c r="C379" s="8"/>
      <c r="D379" s="8"/>
      <c r="E379" s="8"/>
      <c r="H379" s="8"/>
      <c r="J379" s="134"/>
      <c r="K379" s="124"/>
      <c r="L379" s="8"/>
      <c r="M379" s="133"/>
      <c r="O379" s="131"/>
      <c r="P379" s="8"/>
      <c r="Q379" s="8"/>
      <c r="R379" s="124"/>
      <c r="S379" s="124"/>
      <c r="T379" s="124"/>
      <c r="W379" s="124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24"/>
      <c r="C380" s="8"/>
      <c r="D380" s="8"/>
      <c r="E380" s="8"/>
      <c r="H380" s="8"/>
      <c r="J380" s="134"/>
      <c r="K380" s="124"/>
      <c r="L380" s="8"/>
      <c r="M380" s="133"/>
      <c r="O380" s="131"/>
      <c r="P380" s="8"/>
      <c r="Q380" s="8"/>
      <c r="R380" s="124"/>
      <c r="S380" s="124"/>
      <c r="T380" s="124"/>
      <c r="W380" s="124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24"/>
      <c r="C381" s="8"/>
      <c r="D381" s="8"/>
      <c r="E381" s="8"/>
      <c r="H381" s="8"/>
      <c r="J381" s="134"/>
      <c r="K381" s="124"/>
      <c r="L381" s="8"/>
      <c r="M381" s="133"/>
      <c r="O381" s="131"/>
      <c r="P381" s="8"/>
      <c r="Q381" s="8"/>
      <c r="R381" s="124"/>
      <c r="S381" s="124"/>
      <c r="T381" s="124"/>
      <c r="W381" s="124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>
      <c r="B382" s="124"/>
      <c r="C382" s="8"/>
      <c r="D382" s="8"/>
      <c r="E382" s="8"/>
      <c r="H382" s="8"/>
      <c r="J382" s="134"/>
      <c r="K382" s="124"/>
      <c r="L382" s="8"/>
      <c r="M382" s="133"/>
      <c r="O382" s="131"/>
      <c r="P382" s="8"/>
      <c r="Q382" s="8"/>
      <c r="R382" s="124"/>
      <c r="S382" s="124"/>
      <c r="T382" s="124"/>
      <c r="W382" s="124"/>
      <c r="X382" s="8"/>
      <c r="Z382" s="8"/>
      <c r="AA382" s="8"/>
      <c r="AB382" s="8"/>
      <c r="AC382" s="8"/>
      <c r="AD382" s="8"/>
      <c r="AI382" s="8"/>
      <c r="AJ382" s="8"/>
      <c r="AK382" s="8"/>
      <c r="AO382" s="8"/>
      <c r="AP382" s="8"/>
    </row>
    <row r="383" spans="2:42">
      <c r="B383" s="124"/>
      <c r="C383" s="8"/>
      <c r="D383" s="8"/>
      <c r="E383" s="8"/>
      <c r="H383" s="8"/>
      <c r="J383" s="134"/>
      <c r="K383" s="124"/>
      <c r="L383" s="8"/>
      <c r="M383" s="133"/>
      <c r="O383" s="131"/>
      <c r="P383" s="8"/>
      <c r="Q383" s="8"/>
      <c r="R383" s="124"/>
      <c r="S383" s="124"/>
      <c r="T383" s="124"/>
      <c r="W383" s="124"/>
      <c r="X383" s="8"/>
      <c r="Z383" s="8"/>
      <c r="AA383" s="8"/>
      <c r="AB383" s="8"/>
      <c r="AC383" s="8"/>
      <c r="AD383" s="8"/>
      <c r="AI383" s="8"/>
      <c r="AJ383" s="8"/>
      <c r="AK383" s="8"/>
      <c r="AO383" s="8"/>
      <c r="AP383" s="8"/>
    </row>
    <row r="384" spans="2:42">
      <c r="B384" s="124"/>
      <c r="C384" s="8"/>
      <c r="D384" s="8"/>
      <c r="E384" s="8"/>
      <c r="H384" s="8"/>
      <c r="J384" s="134"/>
      <c r="K384" s="124"/>
      <c r="L384" s="8"/>
      <c r="M384" s="133"/>
      <c r="O384" s="131"/>
      <c r="P384" s="8"/>
      <c r="Q384" s="8"/>
      <c r="R384" s="124"/>
      <c r="S384" s="124"/>
      <c r="T384" s="124"/>
      <c r="W384" s="124"/>
      <c r="X384" s="8"/>
      <c r="Z384" s="8"/>
      <c r="AA384" s="8"/>
      <c r="AB384" s="8"/>
      <c r="AC384" s="8"/>
      <c r="AD384" s="8"/>
      <c r="AI384" s="8"/>
      <c r="AJ384" s="8"/>
      <c r="AK384" s="8"/>
      <c r="AO384" s="8"/>
      <c r="AP384" s="8"/>
    </row>
    <row r="385" spans="2:42">
      <c r="B385" s="124"/>
      <c r="C385" s="8"/>
      <c r="D385" s="8"/>
      <c r="E385" s="8"/>
      <c r="H385" s="8"/>
      <c r="J385" s="134"/>
      <c r="K385" s="124"/>
      <c r="L385" s="8"/>
      <c r="M385" s="133"/>
      <c r="O385" s="131"/>
      <c r="P385" s="8"/>
      <c r="Q385" s="8"/>
      <c r="R385" s="124"/>
      <c r="S385" s="124"/>
      <c r="T385" s="124"/>
      <c r="W385" s="124"/>
      <c r="X385" s="8"/>
      <c r="Z385" s="8"/>
      <c r="AA385" s="8"/>
      <c r="AB385" s="8"/>
      <c r="AC385" s="8"/>
      <c r="AD385" s="8"/>
      <c r="AI385" s="8"/>
      <c r="AJ385" s="8"/>
      <c r="AK385" s="8"/>
      <c r="AO385" s="8"/>
      <c r="AP385" s="8"/>
    </row>
    <row r="386" spans="2:42">
      <c r="B386" s="124"/>
      <c r="C386" s="8"/>
      <c r="D386" s="8"/>
      <c r="E386" s="8"/>
      <c r="H386" s="8"/>
      <c r="J386" s="134"/>
      <c r="K386" s="124"/>
      <c r="L386" s="8"/>
      <c r="M386" s="133"/>
      <c r="O386" s="131"/>
      <c r="P386" s="8"/>
      <c r="Q386" s="8"/>
      <c r="R386" s="8"/>
      <c r="S386" s="8"/>
      <c r="T386" s="8"/>
      <c r="W386" s="124"/>
      <c r="X386" s="8"/>
      <c r="Z386" s="8"/>
      <c r="AA386" s="8"/>
      <c r="AB386" s="8"/>
      <c r="AC386" s="8"/>
      <c r="AD386" s="8"/>
      <c r="AI386" s="8"/>
      <c r="AJ386" s="8"/>
      <c r="AK386" s="8"/>
      <c r="AO386" s="8"/>
      <c r="AP386" s="8"/>
    </row>
    <row r="387" spans="2:42">
      <c r="B387" s="124"/>
      <c r="C387" s="8"/>
      <c r="D387" s="8"/>
      <c r="E387" s="8"/>
      <c r="H387" s="8"/>
      <c r="J387" s="134"/>
      <c r="K387" s="124"/>
      <c r="L387" s="8"/>
      <c r="M387" s="133"/>
      <c r="O387" s="131"/>
      <c r="P387" s="8"/>
      <c r="Q387" s="8"/>
      <c r="R387" s="8"/>
      <c r="S387" s="8"/>
      <c r="T387" s="8"/>
      <c r="W387" s="124"/>
      <c r="X387" s="8"/>
      <c r="Z387" s="8"/>
      <c r="AA387" s="8"/>
      <c r="AB387" s="8"/>
      <c r="AC387" s="8"/>
      <c r="AD387" s="8"/>
      <c r="AI387" s="8"/>
      <c r="AJ387" s="8"/>
      <c r="AK387" s="8"/>
      <c r="AO387" s="8"/>
      <c r="AP387" s="8"/>
    </row>
    <row r="388" s="125" customFormat="1" spans="5:28">
      <c r="E388" s="8"/>
      <c r="H388" s="8"/>
      <c r="J388" s="130"/>
      <c r="AB388" s="8"/>
    </row>
    <row r="389" s="125" customFormat="1" spans="5:28">
      <c r="E389" s="8"/>
      <c r="H389" s="8"/>
      <c r="J389" s="130"/>
      <c r="AB389" s="8"/>
    </row>
    <row r="390" s="125" customFormat="1" spans="5:28">
      <c r="E390" s="8"/>
      <c r="H390" s="8"/>
      <c r="J390" s="130"/>
      <c r="AB390" s="8"/>
    </row>
    <row r="391" s="125" customFormat="1" spans="5:28">
      <c r="E391" s="8"/>
      <c r="H391" s="8"/>
      <c r="J391" s="130"/>
      <c r="AB391" s="8"/>
    </row>
    <row r="392" s="125" customFormat="1" spans="5:28">
      <c r="E392" s="8"/>
      <c r="H392" s="8"/>
      <c r="J392" s="130"/>
      <c r="AB392" s="8"/>
    </row>
    <row r="393" s="125" customFormat="1" spans="5:28">
      <c r="E393" s="8"/>
      <c r="H393" s="8"/>
      <c r="J393" s="130"/>
      <c r="AB393" s="8"/>
    </row>
    <row r="394" s="125" customFormat="1" spans="5:28">
      <c r="E394" s="8"/>
      <c r="H394" s="8"/>
      <c r="J394" s="130"/>
      <c r="AB394" s="8"/>
    </row>
    <row r="395" s="125" customFormat="1" spans="5:28">
      <c r="E395" s="8"/>
      <c r="H395" s="8"/>
      <c r="J395" s="130"/>
      <c r="AB395" s="8"/>
    </row>
    <row r="396" s="125" customFormat="1" spans="5:28">
      <c r="E396" s="8"/>
      <c r="H396" s="8"/>
      <c r="J396" s="130"/>
      <c r="AB396" s="8"/>
    </row>
    <row r="397" s="125" customFormat="1" spans="5:28">
      <c r="E397" s="8"/>
      <c r="H397" s="8"/>
      <c r="J397" s="130"/>
      <c r="AB397" s="8"/>
    </row>
    <row r="398" s="125" customFormat="1" spans="5:28">
      <c r="E398" s="8"/>
      <c r="H398" s="8"/>
      <c r="J398" s="130"/>
      <c r="AB398" s="8"/>
    </row>
    <row r="399" s="125" customFormat="1" spans="5:28">
      <c r="E399" s="8"/>
      <c r="H399" s="8"/>
      <c r="J399" s="130"/>
      <c r="AB399" s="8"/>
    </row>
    <row r="400" s="125" customFormat="1" spans="5:28">
      <c r="E400" s="8"/>
      <c r="H400" s="8"/>
      <c r="J400" s="130"/>
      <c r="AB400" s="8"/>
    </row>
    <row r="401" s="125" customFormat="1" spans="5:28">
      <c r="E401" s="8"/>
      <c r="H401" s="8"/>
      <c r="J401" s="130"/>
      <c r="AB401" s="8"/>
    </row>
    <row r="402" s="125" customFormat="1" spans="5:28">
      <c r="E402" s="8"/>
      <c r="H402" s="8"/>
      <c r="J402" s="130"/>
      <c r="AB402" s="8"/>
    </row>
    <row r="403" s="125" customFormat="1" spans="5:28">
      <c r="E403" s="8"/>
      <c r="H403" s="8"/>
      <c r="J403" s="130"/>
      <c r="AB403" s="8"/>
    </row>
    <row r="404" s="125" customFormat="1" spans="5:28">
      <c r="E404" s="8"/>
      <c r="H404" s="8"/>
      <c r="J404" s="130"/>
      <c r="AB404" s="8"/>
    </row>
    <row r="405" s="125" customFormat="1" spans="5:28">
      <c r="E405" s="8"/>
      <c r="H405" s="8"/>
      <c r="J405" s="130"/>
      <c r="AB405" s="8"/>
    </row>
    <row r="406" spans="2:42">
      <c r="B406" s="124"/>
      <c r="C406" s="8"/>
      <c r="D406" s="8"/>
      <c r="E406" s="8"/>
      <c r="H406" s="8"/>
      <c r="J406" s="130"/>
      <c r="K406" s="8"/>
      <c r="L406" s="8"/>
      <c r="O406" s="131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24"/>
      <c r="C407" s="8"/>
      <c r="D407" s="8"/>
      <c r="E407" s="8"/>
      <c r="H407" s="8"/>
      <c r="I407" s="125"/>
      <c r="J407" s="130"/>
      <c r="K407" s="8"/>
      <c r="L407" s="8"/>
      <c r="M407" s="125"/>
      <c r="O407" s="131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24"/>
      <c r="C408" s="8"/>
      <c r="D408" s="8"/>
      <c r="E408" s="8"/>
      <c r="H408" s="8"/>
      <c r="I408" s="125"/>
      <c r="J408" s="130"/>
      <c r="K408" s="8"/>
      <c r="L408" s="8"/>
      <c r="M408" s="125"/>
      <c r="O408" s="131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24"/>
      <c r="C409" s="8"/>
      <c r="D409" s="8"/>
      <c r="E409" s="8"/>
      <c r="H409" s="8"/>
      <c r="I409" s="125"/>
      <c r="J409" s="130"/>
      <c r="K409" s="8"/>
      <c r="L409" s="8"/>
      <c r="M409" s="125"/>
      <c r="O409" s="131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24"/>
      <c r="C410" s="8"/>
      <c r="D410" s="8"/>
      <c r="E410" s="8"/>
      <c r="H410" s="8"/>
      <c r="I410" s="125"/>
      <c r="J410" s="125"/>
      <c r="K410" s="8"/>
      <c r="L410" s="8"/>
      <c r="M410" s="125"/>
      <c r="O410" s="131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24"/>
      <c r="C411" s="8"/>
      <c r="D411" s="8"/>
      <c r="E411" s="8"/>
      <c r="H411" s="8"/>
      <c r="I411" s="125"/>
      <c r="J411" s="125"/>
      <c r="K411" s="8"/>
      <c r="L411" s="8"/>
      <c r="M411" s="125"/>
      <c r="O411" s="131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24"/>
      <c r="C412" s="8"/>
      <c r="D412" s="8"/>
      <c r="E412" s="8"/>
      <c r="H412" s="8"/>
      <c r="I412" s="125"/>
      <c r="J412" s="125"/>
      <c r="K412" s="8"/>
      <c r="L412" s="8"/>
      <c r="M412" s="125"/>
      <c r="O412" s="131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24"/>
      <c r="C413" s="8"/>
      <c r="D413" s="8"/>
      <c r="E413" s="8"/>
      <c r="H413" s="8"/>
      <c r="I413" s="125"/>
      <c r="J413" s="124"/>
      <c r="K413" s="8"/>
      <c r="L413" s="8"/>
      <c r="M413" s="125"/>
      <c r="O413" s="131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24"/>
      <c r="C414" s="8"/>
      <c r="D414" s="8"/>
      <c r="E414" s="8"/>
      <c r="H414" s="8"/>
      <c r="I414" s="125"/>
      <c r="J414" s="124"/>
      <c r="K414" s="8"/>
      <c r="L414" s="8"/>
      <c r="M414" s="125"/>
      <c r="O414" s="131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24"/>
      <c r="C415" s="8"/>
      <c r="D415" s="8"/>
      <c r="E415" s="8"/>
      <c r="H415" s="8"/>
      <c r="J415" s="130"/>
      <c r="K415" s="8"/>
      <c r="L415" s="8"/>
      <c r="M415" s="133"/>
      <c r="O415" s="131"/>
      <c r="P415" s="8"/>
      <c r="Q415" s="8"/>
      <c r="W415" s="124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24"/>
      <c r="C416" s="8"/>
      <c r="D416" s="8"/>
      <c r="E416" s="8"/>
      <c r="H416" s="8"/>
      <c r="J416" s="130"/>
      <c r="K416" s="8"/>
      <c r="L416" s="8"/>
      <c r="M416" s="133"/>
      <c r="O416" s="131"/>
      <c r="P416" s="8"/>
      <c r="Q416" s="8"/>
      <c r="W416" s="124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24"/>
      <c r="C417" s="8"/>
      <c r="D417" s="8"/>
      <c r="E417" s="8"/>
      <c r="H417" s="8"/>
      <c r="J417" s="130"/>
      <c r="K417" s="8"/>
      <c r="L417" s="8"/>
      <c r="M417" s="133"/>
      <c r="O417" s="131"/>
      <c r="P417" s="8"/>
      <c r="Q417" s="8"/>
      <c r="W417" s="124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24"/>
      <c r="C418" s="8"/>
      <c r="D418" s="8"/>
      <c r="E418" s="8"/>
      <c r="H418" s="8"/>
      <c r="J418" s="130"/>
      <c r="K418" s="8"/>
      <c r="L418" s="8"/>
      <c r="M418" s="133"/>
      <c r="O418" s="131"/>
      <c r="P418" s="8"/>
      <c r="Q418" s="8"/>
      <c r="W418" s="124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24"/>
      <c r="C419" s="8"/>
      <c r="D419" s="8"/>
      <c r="E419" s="8"/>
      <c r="H419" s="8"/>
      <c r="J419" s="130"/>
      <c r="K419" s="8"/>
      <c r="L419" s="8"/>
      <c r="M419" s="135"/>
      <c r="O419" s="131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24"/>
      <c r="C420" s="8"/>
      <c r="D420" s="8"/>
      <c r="E420" s="8"/>
      <c r="H420" s="8"/>
      <c r="J420" s="130"/>
      <c r="K420" s="8"/>
      <c r="L420" s="8"/>
      <c r="M420" s="135"/>
      <c r="O420" s="131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24"/>
      <c r="C421" s="8"/>
      <c r="D421" s="8"/>
      <c r="E421" s="8"/>
      <c r="H421" s="8"/>
      <c r="J421" s="130"/>
      <c r="K421" s="8"/>
      <c r="L421" s="8"/>
      <c r="M421" s="135"/>
      <c r="O421" s="131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24"/>
      <c r="C422" s="8"/>
      <c r="D422" s="8"/>
      <c r="E422" s="8"/>
      <c r="H422" s="8"/>
      <c r="J422" s="130"/>
      <c r="K422" s="8"/>
      <c r="L422" s="8"/>
      <c r="M422" s="135"/>
      <c r="O422" s="131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24"/>
      <c r="C423" s="8"/>
      <c r="D423" s="8"/>
      <c r="E423" s="8"/>
      <c r="H423" s="8"/>
      <c r="J423" s="130"/>
      <c r="K423" s="8"/>
      <c r="L423" s="8"/>
      <c r="M423" s="135"/>
      <c r="O423" s="131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24"/>
      <c r="C424" s="8"/>
      <c r="D424" s="8"/>
      <c r="E424" s="8"/>
      <c r="H424" s="8"/>
      <c r="J424" s="130"/>
      <c r="K424" s="8"/>
      <c r="L424" s="8"/>
      <c r="M424" s="135"/>
      <c r="O424" s="131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24"/>
      <c r="C425" s="8"/>
      <c r="D425" s="8"/>
      <c r="E425" s="8"/>
      <c r="H425" s="8"/>
      <c r="J425" s="130"/>
      <c r="K425" s="8"/>
      <c r="L425" s="8"/>
      <c r="M425" s="135"/>
      <c r="O425" s="131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24"/>
      <c r="C426" s="8"/>
      <c r="D426" s="8"/>
      <c r="E426" s="8"/>
      <c r="H426" s="8"/>
      <c r="J426" s="130"/>
      <c r="K426" s="8"/>
      <c r="L426" s="8"/>
      <c r="M426" s="135"/>
      <c r="O426" s="131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42">
      <c r="B427" s="125"/>
      <c r="C427" s="8"/>
      <c r="D427" s="8"/>
      <c r="E427" s="8"/>
      <c r="H427" s="8"/>
      <c r="J427" s="130"/>
      <c r="K427" s="8"/>
      <c r="L427" s="8"/>
      <c r="M427" s="135"/>
      <c r="O427" s="131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25"/>
      <c r="C428" s="8"/>
      <c r="D428" s="8"/>
      <c r="E428" s="8"/>
      <c r="H428" s="8"/>
      <c r="J428" s="130"/>
      <c r="K428" s="8"/>
      <c r="L428" s="8"/>
      <c r="M428" s="135"/>
      <c r="O428" s="131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25"/>
      <c r="C429" s="8"/>
      <c r="D429" s="8"/>
      <c r="E429" s="8"/>
      <c r="H429" s="8"/>
      <c r="J429" s="130"/>
      <c r="K429" s="8"/>
      <c r="L429" s="8"/>
      <c r="M429" s="135"/>
      <c r="O429" s="131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37">
      <c r="B430" s="124"/>
      <c r="C430" s="8"/>
      <c r="D430" s="8"/>
      <c r="E430" s="8"/>
      <c r="H430" s="8"/>
      <c r="I430" s="125"/>
      <c r="J430" s="130"/>
      <c r="K430" s="8"/>
      <c r="L430" s="8"/>
      <c r="M430" s="133"/>
      <c r="O430" s="131"/>
      <c r="P430" s="8"/>
      <c r="Q430" s="8"/>
      <c r="W430" s="124"/>
      <c r="X430" s="8"/>
      <c r="Z430" s="8"/>
      <c r="AA430" s="8"/>
      <c r="AC430" s="8"/>
      <c r="AD430" s="8"/>
      <c r="AJ430" s="8"/>
      <c r="AK430" s="8"/>
    </row>
    <row r="431" spans="2:37">
      <c r="B431" s="124"/>
      <c r="C431" s="8"/>
      <c r="D431" s="8"/>
      <c r="E431" s="8"/>
      <c r="H431" s="8"/>
      <c r="J431" s="130"/>
      <c r="K431" s="8"/>
      <c r="L431" s="8"/>
      <c r="M431" s="133"/>
      <c r="O431" s="131"/>
      <c r="P431" s="8"/>
      <c r="Q431" s="8"/>
      <c r="W431" s="124"/>
      <c r="X431" s="8"/>
      <c r="Z431" s="8"/>
      <c r="AA431" s="8"/>
      <c r="AC431" s="8"/>
      <c r="AD431" s="8"/>
      <c r="AJ431" s="8"/>
      <c r="AK431" s="8"/>
    </row>
    <row r="432" spans="2:37">
      <c r="B432" s="124"/>
      <c r="C432" s="8"/>
      <c r="D432" s="8"/>
      <c r="E432" s="8"/>
      <c r="H432" s="8"/>
      <c r="J432" s="130"/>
      <c r="K432" s="8"/>
      <c r="L432" s="8"/>
      <c r="M432" s="133"/>
      <c r="O432" s="131"/>
      <c r="P432" s="8"/>
      <c r="Q432" s="8"/>
      <c r="W432" s="124"/>
      <c r="X432" s="8"/>
      <c r="Z432" s="8"/>
      <c r="AA432" s="8"/>
      <c r="AC432" s="8"/>
      <c r="AD432" s="8"/>
      <c r="AJ432" s="8"/>
      <c r="AK432" s="8"/>
    </row>
    <row r="433" spans="2:37">
      <c r="B433" s="124"/>
      <c r="C433" s="8"/>
      <c r="D433" s="8"/>
      <c r="E433" s="8"/>
      <c r="H433" s="8"/>
      <c r="J433" s="130"/>
      <c r="K433" s="8"/>
      <c r="L433" s="8"/>
      <c r="M433" s="133"/>
      <c r="O433" s="131"/>
      <c r="P433" s="8"/>
      <c r="Q433" s="8"/>
      <c r="W433" s="124"/>
      <c r="X433" s="8"/>
      <c r="Z433" s="8"/>
      <c r="AA433" s="8"/>
      <c r="AC433" s="8"/>
      <c r="AD433" s="8"/>
      <c r="AJ433" s="8"/>
      <c r="AK433" s="8"/>
    </row>
    <row r="434" spans="2:42">
      <c r="B434" s="124"/>
      <c r="C434" s="8"/>
      <c r="D434" s="8"/>
      <c r="E434" s="8"/>
      <c r="H434" s="8"/>
      <c r="J434" s="130"/>
      <c r="K434" s="8"/>
      <c r="L434" s="8"/>
      <c r="P434" s="8"/>
      <c r="Q434" s="8"/>
      <c r="W434" s="124"/>
      <c r="X434" s="8"/>
      <c r="Z434" s="8"/>
      <c r="AA434" s="8"/>
      <c r="AC434" s="8"/>
      <c r="AD434" s="8"/>
      <c r="AJ434" s="8"/>
      <c r="AK434" s="8"/>
      <c r="AO434" s="8"/>
      <c r="AP434" s="8"/>
    </row>
    <row r="435" spans="2:42">
      <c r="B435" s="124"/>
      <c r="C435" s="8"/>
      <c r="D435" s="8"/>
      <c r="E435" s="8"/>
      <c r="H435" s="8"/>
      <c r="J435" s="130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24"/>
      <c r="C436" s="8"/>
      <c r="D436" s="8"/>
      <c r="E436" s="8"/>
      <c r="H436" s="8"/>
      <c r="J436" s="130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24"/>
      <c r="C437" s="8"/>
      <c r="D437" s="8"/>
      <c r="E437" s="8"/>
      <c r="H437" s="8"/>
      <c r="J437" s="130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24"/>
      <c r="C438" s="8"/>
      <c r="D438" s="8"/>
      <c r="E438" s="8"/>
      <c r="H438" s="8"/>
      <c r="J438" s="130"/>
      <c r="K438" s="8"/>
      <c r="L438" s="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24"/>
      <c r="C439" s="8"/>
      <c r="D439" s="8"/>
      <c r="E439" s="8"/>
      <c r="H439" s="8"/>
      <c r="J439" s="130"/>
      <c r="K439" s="8"/>
      <c r="L439" s="8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24"/>
      <c r="C440" s="8"/>
      <c r="D440" s="8"/>
      <c r="E440" s="8"/>
      <c r="H440" s="8"/>
      <c r="J440" s="130"/>
      <c r="K440" s="8"/>
      <c r="L440" s="8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24"/>
      <c r="C441" s="8"/>
      <c r="D441" s="8"/>
      <c r="E441" s="8"/>
      <c r="H441" s="8"/>
      <c r="J441" s="130"/>
      <c r="K441" s="8"/>
      <c r="L441" s="8"/>
      <c r="P441" s="8"/>
      <c r="Q441" s="8"/>
      <c r="W441" s="8"/>
      <c r="X441" s="8"/>
      <c r="Z441" s="8"/>
      <c r="AA441" s="8"/>
      <c r="AC441" s="8"/>
      <c r="AD441" s="8"/>
      <c r="AI441" s="8"/>
      <c r="AJ441" s="8"/>
      <c r="AK441" s="8"/>
      <c r="AO441" s="8"/>
      <c r="AP441" s="8"/>
    </row>
    <row r="442" spans="2:42">
      <c r="B442" s="124"/>
      <c r="C442" s="8"/>
      <c r="D442" s="8"/>
      <c r="E442" s="8"/>
      <c r="H442" s="8"/>
      <c r="J442" s="130"/>
      <c r="K442" s="8"/>
      <c r="L442" s="8"/>
      <c r="P442" s="8"/>
      <c r="Q442" s="8"/>
      <c r="W442" s="8"/>
      <c r="X442" s="8"/>
      <c r="Z442" s="8"/>
      <c r="AA442" s="8"/>
      <c r="AC442" s="8"/>
      <c r="AD442" s="8"/>
      <c r="AI442" s="8"/>
      <c r="AJ442" s="8"/>
      <c r="AK442" s="8"/>
      <c r="AO442" s="8"/>
      <c r="AP442" s="8"/>
    </row>
    <row r="443" spans="2:42">
      <c r="B443" s="124"/>
      <c r="C443" s="8"/>
      <c r="D443" s="8"/>
      <c r="E443" s="8"/>
      <c r="H443" s="8"/>
      <c r="J443" s="130"/>
      <c r="K443" s="8"/>
      <c r="L443" s="8"/>
      <c r="P443" s="8"/>
      <c r="Q443" s="8"/>
      <c r="W443" s="8"/>
      <c r="X443" s="8"/>
      <c r="Z443" s="8"/>
      <c r="AA443" s="8"/>
      <c r="AC443" s="8"/>
      <c r="AD443" s="8"/>
      <c r="AI443" s="8"/>
      <c r="AJ443" s="8"/>
      <c r="AK443" s="8"/>
      <c r="AO443" s="8"/>
      <c r="AP443" s="8"/>
    </row>
    <row r="444" spans="2:42">
      <c r="B444" s="124"/>
      <c r="C444" s="8"/>
      <c r="D444" s="8"/>
      <c r="E444" s="8"/>
      <c r="H444" s="8"/>
      <c r="J444" s="130"/>
      <c r="K444" s="8"/>
      <c r="L444" s="8"/>
      <c r="O444" s="131"/>
      <c r="P444" s="8"/>
      <c r="Q444" s="8"/>
      <c r="W444" s="8"/>
      <c r="X444" s="8"/>
      <c r="Z444" s="8"/>
      <c r="AA444" s="8"/>
      <c r="AC444" s="8"/>
      <c r="AD444" s="8"/>
      <c r="AI444" s="8"/>
      <c r="AJ444" s="8"/>
      <c r="AK444" s="8"/>
      <c r="AO444" s="8"/>
      <c r="AP444" s="8"/>
    </row>
    <row r="445" spans="2:42">
      <c r="B445" s="124"/>
      <c r="C445" s="8"/>
      <c r="D445" s="8"/>
      <c r="E445" s="8"/>
      <c r="H445" s="8"/>
      <c r="J445" s="130"/>
      <c r="K445" s="8"/>
      <c r="L445" s="8"/>
      <c r="O445" s="131"/>
      <c r="P445" s="8"/>
      <c r="Q445" s="8"/>
      <c r="W445" s="8"/>
      <c r="X445" s="8"/>
      <c r="Z445" s="8"/>
      <c r="AA445" s="8"/>
      <c r="AC445" s="8"/>
      <c r="AD445" s="8"/>
      <c r="AI445" s="8"/>
      <c r="AJ445" s="8"/>
      <c r="AK445" s="8"/>
      <c r="AO445" s="8"/>
      <c r="AP445" s="8"/>
    </row>
    <row r="446" spans="2:42">
      <c r="B446" s="124"/>
      <c r="C446" s="8"/>
      <c r="D446" s="8"/>
      <c r="E446" s="8"/>
      <c r="H446" s="8"/>
      <c r="J446" s="130"/>
      <c r="K446" s="8"/>
      <c r="L446" s="8"/>
      <c r="O446" s="131"/>
      <c r="P446" s="8"/>
      <c r="Q446" s="8"/>
      <c r="W446" s="8"/>
      <c r="X446" s="8"/>
      <c r="Z446" s="8"/>
      <c r="AA446" s="8"/>
      <c r="AC446" s="8"/>
      <c r="AD446" s="8"/>
      <c r="AI446" s="8"/>
      <c r="AJ446" s="8"/>
      <c r="AK446" s="8"/>
      <c r="AO446" s="8"/>
      <c r="AP446" s="8"/>
    </row>
    <row r="447" spans="2:42">
      <c r="B447" s="124"/>
      <c r="C447" s="8"/>
      <c r="D447" s="8"/>
      <c r="E447" s="8"/>
      <c r="H447" s="8"/>
      <c r="J447" s="130"/>
      <c r="K447" s="8"/>
      <c r="L447" s="8"/>
      <c r="M447"/>
      <c r="O447" s="131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24"/>
      <c r="C448" s="8"/>
      <c r="D448" s="8"/>
      <c r="E448" s="8"/>
      <c r="H448" s="8"/>
      <c r="J448" s="130"/>
      <c r="K448" s="8"/>
      <c r="L448" s="8"/>
      <c r="M448"/>
      <c r="O448" s="131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24"/>
      <c r="C449" s="8"/>
      <c r="D449" s="8"/>
      <c r="E449" s="8"/>
      <c r="H449" s="8"/>
      <c r="J449" s="130"/>
      <c r="K449" s="8"/>
      <c r="L449" s="8"/>
      <c r="M449"/>
      <c r="O449" s="131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24"/>
      <c r="C450" s="8"/>
      <c r="D450" s="8"/>
      <c r="E450" s="8"/>
      <c r="H450" s="8"/>
      <c r="J450" s="130"/>
      <c r="K450" s="8"/>
      <c r="L450" s="8"/>
      <c r="M450"/>
      <c r="O450" s="131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24"/>
      <c r="C451" s="8"/>
      <c r="D451" s="8"/>
      <c r="E451" s="8"/>
      <c r="H451" s="8"/>
      <c r="J451" s="130"/>
      <c r="K451" s="8"/>
      <c r="L451" s="8"/>
      <c r="M451"/>
      <c r="O451" s="131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24"/>
      <c r="C452" s="8"/>
      <c r="D452" s="8"/>
      <c r="E452" s="8"/>
      <c r="H452" s="8"/>
      <c r="J452" s="130"/>
      <c r="K452" s="8"/>
      <c r="L452" s="8"/>
      <c r="M452"/>
      <c r="O452" s="131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24"/>
      <c r="C453" s="8"/>
      <c r="D453" s="8"/>
      <c r="E453" s="8"/>
      <c r="H453" s="8"/>
      <c r="J453" s="130"/>
      <c r="K453" s="8"/>
      <c r="L453" s="8"/>
      <c r="M453"/>
      <c r="O453" s="131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24"/>
      <c r="C454" s="8"/>
      <c r="D454" s="8"/>
      <c r="E454" s="8"/>
      <c r="H454" s="8"/>
      <c r="J454" s="130"/>
      <c r="K454" s="8"/>
      <c r="L454" s="8"/>
      <c r="M454"/>
      <c r="O454" s="131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24"/>
      <c r="C455" s="8"/>
      <c r="D455" s="8"/>
      <c r="E455" s="8"/>
      <c r="H455" s="8"/>
      <c r="J455" s="130"/>
      <c r="K455" s="8"/>
      <c r="L455" s="8"/>
      <c r="M455"/>
      <c r="O455" s="131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24"/>
      <c r="C456" s="8"/>
      <c r="D456" s="8"/>
      <c r="E456" s="8"/>
      <c r="H456" s="8"/>
      <c r="J456" s="130"/>
      <c r="K456" s="8"/>
      <c r="L456" s="8"/>
      <c r="M456"/>
      <c r="O456" s="131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24"/>
      <c r="C457" s="8"/>
      <c r="D457" s="8"/>
      <c r="E457" s="8"/>
      <c r="H457" s="8"/>
      <c r="J457" s="130"/>
      <c r="K457" s="8"/>
      <c r="L457" s="8"/>
      <c r="M457"/>
      <c r="O457" s="131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24"/>
      <c r="C458" s="8"/>
      <c r="D458" s="8"/>
      <c r="E458" s="8"/>
      <c r="H458" s="8"/>
      <c r="J458" s="130"/>
      <c r="K458" s="8"/>
      <c r="L458" s="8"/>
      <c r="M458"/>
      <c r="O458" s="131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24"/>
      <c r="C459" s="8"/>
      <c r="D459" s="8"/>
      <c r="E459" s="8"/>
      <c r="H459" s="8"/>
      <c r="J459" s="130"/>
      <c r="K459" s="8"/>
      <c r="L459" s="8"/>
      <c r="M459"/>
      <c r="O459" s="131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24"/>
      <c r="C460" s="8"/>
      <c r="D460" s="8"/>
      <c r="E460" s="8"/>
      <c r="H460" s="8"/>
      <c r="J460" s="130"/>
      <c r="K460" s="8"/>
      <c r="L460" s="8"/>
      <c r="M460"/>
      <c r="O460" s="131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24"/>
      <c r="C461" s="8"/>
      <c r="D461" s="8"/>
      <c r="E461" s="8"/>
      <c r="H461" s="8"/>
      <c r="J461" s="130"/>
      <c r="K461" s="8"/>
      <c r="L461" s="8"/>
      <c r="M461"/>
      <c r="O461" s="131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24"/>
      <c r="C462" s="8"/>
      <c r="D462" s="8"/>
      <c r="E462" s="8"/>
      <c r="H462" s="8"/>
      <c r="J462" s="130"/>
      <c r="K462" s="8"/>
      <c r="L462" s="8"/>
      <c r="M462"/>
      <c r="O462" s="131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24"/>
      <c r="C463" s="8"/>
      <c r="D463" s="8"/>
      <c r="E463" s="8"/>
      <c r="H463" s="8"/>
      <c r="J463" s="130"/>
      <c r="K463" s="8"/>
      <c r="L463" s="8"/>
      <c r="M463"/>
      <c r="O463" s="131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24"/>
      <c r="C464" s="8"/>
      <c r="D464" s="8"/>
      <c r="E464" s="8"/>
      <c r="H464" s="8"/>
      <c r="J464" s="130"/>
      <c r="K464" s="8"/>
      <c r="L464" s="8"/>
      <c r="M464"/>
      <c r="O464" s="131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24"/>
      <c r="C465" s="8"/>
      <c r="D465" s="8"/>
      <c r="E465" s="8"/>
      <c r="H465" s="8"/>
      <c r="J465" s="130"/>
      <c r="K465" s="8"/>
      <c r="L465" s="8"/>
      <c r="M465"/>
      <c r="O465" s="131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24"/>
      <c r="C466" s="8"/>
      <c r="D466" s="8"/>
      <c r="E466" s="8"/>
      <c r="H466" s="8"/>
      <c r="J466" s="130"/>
      <c r="K466" s="8"/>
      <c r="L466" s="8"/>
      <c r="M466"/>
      <c r="O466" s="131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24"/>
      <c r="C467" s="8"/>
      <c r="D467" s="8"/>
      <c r="E467" s="8"/>
      <c r="H467" s="8"/>
      <c r="J467" s="130"/>
      <c r="K467" s="8"/>
      <c r="L467" s="8"/>
      <c r="M467"/>
      <c r="O467" s="131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24"/>
      <c r="C468" s="8"/>
      <c r="D468" s="8"/>
      <c r="E468" s="8"/>
      <c r="H468" s="8"/>
      <c r="J468" s="130"/>
      <c r="K468" s="8"/>
      <c r="L468" s="8"/>
      <c r="M468"/>
      <c r="O468" s="131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24"/>
      <c r="C469" s="8"/>
      <c r="D469" s="8"/>
      <c r="E469" s="8"/>
      <c r="H469" s="8"/>
      <c r="J469" s="130"/>
      <c r="K469" s="8"/>
      <c r="L469" s="8"/>
      <c r="M469"/>
      <c r="O469" s="131"/>
      <c r="P469" s="8"/>
      <c r="Q469" s="8"/>
      <c r="W469" s="8"/>
      <c r="X469" s="8"/>
      <c r="Z469" s="8"/>
      <c r="AA469" s="8"/>
      <c r="AB469" s="8"/>
      <c r="AC469" s="8"/>
      <c r="AD469" s="8"/>
      <c r="AI469" s="8"/>
      <c r="AJ469" s="8"/>
      <c r="AK469" s="8"/>
      <c r="AO469" s="8"/>
      <c r="AP469" s="8"/>
    </row>
    <row r="470" spans="2:42">
      <c r="B470" s="124"/>
      <c r="C470" s="8"/>
      <c r="D470" s="8"/>
      <c r="E470" s="8"/>
      <c r="H470" s="8"/>
      <c r="J470" s="130"/>
      <c r="K470" s="8"/>
      <c r="L470" s="8"/>
      <c r="M470"/>
      <c r="O470" s="131"/>
      <c r="P470" s="8"/>
      <c r="Q470" s="8"/>
      <c r="W470" s="8"/>
      <c r="X470" s="8"/>
      <c r="Z470" s="8"/>
      <c r="AA470" s="8"/>
      <c r="AB470" s="8"/>
      <c r="AC470" s="8"/>
      <c r="AD470" s="8"/>
      <c r="AI470" s="8"/>
      <c r="AJ470" s="8"/>
      <c r="AK470" s="8"/>
      <c r="AO470" s="8"/>
      <c r="AP470" s="8"/>
    </row>
    <row r="471" spans="2:42">
      <c r="B471" s="124"/>
      <c r="C471" s="8"/>
      <c r="D471" s="8"/>
      <c r="E471" s="8"/>
      <c r="H471" s="8"/>
      <c r="J471" s="130"/>
      <c r="K471" s="8"/>
      <c r="M471" s="136"/>
      <c r="P471" s="8"/>
      <c r="Q471" s="8"/>
      <c r="W471" s="8"/>
      <c r="X471" s="8"/>
      <c r="Z471" s="8"/>
      <c r="AA471" s="8"/>
      <c r="AB471" s="8"/>
      <c r="AC471" s="8"/>
      <c r="AD471" s="8"/>
      <c r="AI471" s="8"/>
      <c r="AJ471" s="8"/>
      <c r="AK471" s="8"/>
      <c r="AO471" s="8"/>
      <c r="AP471" s="8"/>
    </row>
    <row r="472" spans="2:42">
      <c r="B472" s="124"/>
      <c r="C472" s="8"/>
      <c r="D472" s="8"/>
      <c r="E472" s="8"/>
      <c r="H472" s="8"/>
      <c r="J472" s="130"/>
      <c r="K472" s="8"/>
      <c r="M472" s="136"/>
      <c r="P472" s="8"/>
      <c r="Q472" s="8"/>
      <c r="W472" s="8"/>
      <c r="X472" s="8"/>
      <c r="Z472" s="8"/>
      <c r="AA472" s="8"/>
      <c r="AB472" s="8"/>
      <c r="AC472" s="8"/>
      <c r="AD472" s="8"/>
      <c r="AI472" s="8"/>
      <c r="AJ472" s="8"/>
      <c r="AK472" s="8"/>
      <c r="AO472" s="8"/>
      <c r="AP472" s="8"/>
    </row>
    <row r="473" spans="2:42">
      <c r="B473" s="124"/>
      <c r="C473" s="8"/>
      <c r="D473" s="8"/>
      <c r="E473" s="8"/>
      <c r="H473" s="8"/>
      <c r="J473" s="130"/>
      <c r="K473" s="8"/>
      <c r="M473" s="136"/>
      <c r="P473" s="8"/>
      <c r="Q473" s="8"/>
      <c r="W473" s="8"/>
      <c r="X473" s="8"/>
      <c r="Z473" s="8"/>
      <c r="AA473" s="8"/>
      <c r="AB473" s="8"/>
      <c r="AC473" s="8"/>
      <c r="AD473" s="8"/>
      <c r="AI473" s="8"/>
      <c r="AJ473" s="8"/>
      <c r="AK473" s="8"/>
      <c r="AO473" s="8"/>
      <c r="AP473" s="8"/>
    </row>
    <row r="474" spans="2:42">
      <c r="B474" s="124"/>
      <c r="C474" s="8"/>
      <c r="D474" s="8"/>
      <c r="E474" s="8"/>
      <c r="H474" s="8"/>
      <c r="J474" s="130"/>
      <c r="K474" s="8"/>
      <c r="M474" s="136"/>
      <c r="P474" s="8"/>
      <c r="Q474" s="8"/>
      <c r="W474" s="8"/>
      <c r="X474" s="8"/>
      <c r="Z474" s="8"/>
      <c r="AA474" s="8"/>
      <c r="AB474" s="8"/>
      <c r="AC474" s="8"/>
      <c r="AD474" s="8"/>
      <c r="AI474" s="8"/>
      <c r="AJ474" s="8"/>
      <c r="AK474" s="8"/>
      <c r="AO474" s="8"/>
      <c r="AP474" s="8"/>
    </row>
    <row r="475" spans="2:42">
      <c r="B475" s="124"/>
      <c r="C475" s="8"/>
      <c r="D475" s="8"/>
      <c r="E475" s="8"/>
      <c r="H475" s="8"/>
      <c r="J475" s="130"/>
      <c r="K475" s="8"/>
      <c r="M475" s="136"/>
      <c r="P475" s="8"/>
      <c r="Q475" s="8"/>
      <c r="W475" s="124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24"/>
      <c r="C476" s="8"/>
      <c r="D476" s="8"/>
      <c r="E476" s="8"/>
      <c r="H476" s="8"/>
      <c r="J476" s="130"/>
      <c r="K476" s="8"/>
      <c r="M476" s="136"/>
      <c r="P476" s="8"/>
      <c r="Q476" s="8"/>
      <c r="W476" s="124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24"/>
      <c r="C477" s="8"/>
      <c r="D477" s="8"/>
      <c r="E477" s="8"/>
      <c r="H477" s="8"/>
      <c r="J477" s="130"/>
      <c r="K477" s="8"/>
      <c r="M477" s="136"/>
      <c r="P477" s="8"/>
      <c r="Q477" s="8"/>
      <c r="W477" s="124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24"/>
      <c r="C478" s="8"/>
      <c r="D478" s="8"/>
      <c r="E478" s="8"/>
      <c r="H478" s="8"/>
      <c r="J478" s="130"/>
      <c r="K478" s="8"/>
      <c r="M478" s="136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24"/>
      <c r="C479" s="8"/>
      <c r="D479" s="8"/>
      <c r="E479" s="8"/>
      <c r="H479" s="8"/>
      <c r="J479" s="130"/>
      <c r="K479" s="8"/>
      <c r="M479" s="136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24"/>
      <c r="C480" s="8"/>
      <c r="D480" s="8"/>
      <c r="E480" s="8"/>
      <c r="H480" s="8"/>
      <c r="J480" s="130"/>
      <c r="K480" s="8"/>
      <c r="M480" s="136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24"/>
      <c r="C481" s="8"/>
      <c r="D481" s="8"/>
      <c r="E481" s="8"/>
      <c r="H481" s="8"/>
      <c r="J481" s="130"/>
      <c r="K481" s="8"/>
      <c r="M481" s="136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24"/>
      <c r="C482" s="8"/>
      <c r="D482" s="8"/>
      <c r="E482" s="8"/>
      <c r="H482" s="8"/>
      <c r="J482" s="130"/>
      <c r="K482" s="8"/>
      <c r="M482" s="136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24"/>
      <c r="C483" s="8"/>
      <c r="D483" s="8"/>
      <c r="E483" s="8"/>
      <c r="H483" s="8"/>
      <c r="J483" s="130"/>
      <c r="K483" s="8"/>
      <c r="M483" s="136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24"/>
      <c r="C484" s="8"/>
      <c r="D484" s="8"/>
      <c r="E484" s="8"/>
      <c r="H484" s="8"/>
      <c r="J484" s="130"/>
      <c r="K484" s="8"/>
      <c r="M484" s="136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24"/>
      <c r="C485" s="8"/>
      <c r="D485" s="8"/>
      <c r="E485" s="8"/>
      <c r="H485" s="8"/>
      <c r="J485" s="130"/>
      <c r="K485" s="8"/>
      <c r="M485" s="136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24"/>
      <c r="C486" s="8"/>
      <c r="D486" s="8"/>
      <c r="E486" s="8"/>
      <c r="H486" s="8"/>
      <c r="J486" s="130"/>
      <c r="K486" s="8"/>
      <c r="M486" s="136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24"/>
      <c r="C487" s="8"/>
      <c r="D487" s="8"/>
      <c r="E487" s="8"/>
      <c r="H487" s="8"/>
      <c r="J487" s="130"/>
      <c r="K487" s="8"/>
      <c r="M487" s="136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24"/>
      <c r="C488" s="8"/>
      <c r="D488" s="8"/>
      <c r="E488" s="8"/>
      <c r="H488" s="8"/>
      <c r="J488" s="130"/>
      <c r="K488" s="8"/>
      <c r="M488" s="136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24"/>
      <c r="C489" s="8"/>
      <c r="D489" s="8"/>
      <c r="E489" s="8"/>
      <c r="H489" s="8"/>
      <c r="J489" s="130"/>
      <c r="K489" s="8"/>
      <c r="M489" s="136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24"/>
      <c r="C490" s="8"/>
      <c r="D490" s="8"/>
      <c r="E490" s="8"/>
      <c r="H490" s="8"/>
      <c r="J490" s="130"/>
      <c r="K490" s="8"/>
      <c r="M490" s="136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25"/>
      <c r="C491" s="8"/>
      <c r="D491" s="8"/>
      <c r="E491" s="8"/>
      <c r="H491" s="8"/>
      <c r="I491" s="125"/>
      <c r="J491" s="130"/>
      <c r="K491" s="8"/>
      <c r="L491" s="8"/>
      <c r="M491" s="136"/>
      <c r="O491" s="131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25"/>
      <c r="C492" s="8"/>
      <c r="D492" s="8"/>
      <c r="E492" s="8"/>
      <c r="H492" s="8"/>
      <c r="I492" s="125"/>
      <c r="J492" s="130"/>
      <c r="K492" s="8"/>
      <c r="L492" s="8"/>
      <c r="M492" s="136"/>
      <c r="O492" s="131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25"/>
      <c r="C493" s="8"/>
      <c r="D493" s="8"/>
      <c r="E493" s="8"/>
      <c r="H493" s="8"/>
      <c r="I493" s="125"/>
      <c r="J493" s="130"/>
      <c r="K493" s="8"/>
      <c r="L493" s="8"/>
      <c r="M493" s="136"/>
      <c r="O493" s="131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25"/>
      <c r="C494" s="8"/>
      <c r="D494" s="8"/>
      <c r="E494" s="8"/>
      <c r="H494" s="8"/>
      <c r="I494" s="125"/>
      <c r="J494" s="130"/>
      <c r="K494" s="8"/>
      <c r="L494" s="8"/>
      <c r="M494" s="136"/>
      <c r="O494" s="131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25"/>
      <c r="C495" s="8"/>
      <c r="D495" s="8"/>
      <c r="E495" s="8"/>
      <c r="H495" s="8"/>
      <c r="I495" s="125"/>
      <c r="J495" s="130"/>
      <c r="K495" s="8"/>
      <c r="L495" s="8"/>
      <c r="M495" s="136"/>
      <c r="O495" s="131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25"/>
      <c r="C496" s="8"/>
      <c r="D496" s="8"/>
      <c r="E496" s="8"/>
      <c r="H496" s="8"/>
      <c r="I496" s="125"/>
      <c r="J496" s="130"/>
      <c r="K496" s="8"/>
      <c r="L496" s="8"/>
      <c r="M496" s="136"/>
      <c r="O496" s="131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25"/>
      <c r="C497" s="8"/>
      <c r="D497" s="8"/>
      <c r="E497" s="8"/>
      <c r="H497" s="8"/>
      <c r="I497" s="125"/>
      <c r="J497" s="130"/>
      <c r="K497" s="8"/>
      <c r="L497" s="8"/>
      <c r="M497" s="136"/>
      <c r="O497" s="131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25"/>
      <c r="C498" s="8"/>
      <c r="D498" s="8"/>
      <c r="E498" s="8"/>
      <c r="H498" s="8"/>
      <c r="I498" s="125"/>
      <c r="J498" s="130"/>
      <c r="K498" s="8"/>
      <c r="L498" s="8"/>
      <c r="M498" s="136"/>
      <c r="O498" s="131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25"/>
      <c r="C499" s="8"/>
      <c r="D499" s="8"/>
      <c r="E499" s="8"/>
      <c r="H499" s="8"/>
      <c r="I499" s="125"/>
      <c r="J499" s="130"/>
      <c r="K499" s="8"/>
      <c r="L499" s="8"/>
      <c r="M499" s="136"/>
      <c r="O499" s="131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25"/>
      <c r="C500" s="8"/>
      <c r="D500" s="8"/>
      <c r="E500" s="8"/>
      <c r="H500" s="8"/>
      <c r="I500" s="125"/>
      <c r="J500" s="130"/>
      <c r="K500" s="8"/>
      <c r="L500" s="8"/>
      <c r="M500" s="136"/>
      <c r="O500" s="131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25"/>
      <c r="C501" s="8"/>
      <c r="D501" s="8"/>
      <c r="E501" s="8"/>
      <c r="H501" s="8"/>
      <c r="I501" s="125"/>
      <c r="J501" s="130"/>
      <c r="K501" s="8"/>
      <c r="L501" s="8"/>
      <c r="M501" s="136"/>
      <c r="O501" s="131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25"/>
      <c r="C502" s="8"/>
      <c r="D502" s="8"/>
      <c r="E502" s="8"/>
      <c r="H502" s="8"/>
      <c r="I502" s="125"/>
      <c r="J502" s="130"/>
      <c r="K502" s="8"/>
      <c r="L502" s="8"/>
      <c r="M502" s="136"/>
      <c r="O502" s="131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25"/>
      <c r="C503" s="8"/>
      <c r="D503" s="8"/>
      <c r="E503" s="8"/>
      <c r="H503" s="8"/>
      <c r="I503" s="125"/>
      <c r="J503" s="130"/>
      <c r="K503" s="8"/>
      <c r="L503" s="8"/>
      <c r="M503" s="136"/>
      <c r="O503" s="131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25"/>
      <c r="C504" s="8"/>
      <c r="D504" s="8"/>
      <c r="E504" s="8"/>
      <c r="H504" s="8"/>
      <c r="I504" s="125"/>
      <c r="J504" s="130"/>
      <c r="K504" s="8"/>
      <c r="L504" s="8"/>
      <c r="M504" s="136"/>
      <c r="O504" s="131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25"/>
      <c r="C505" s="8"/>
      <c r="D505" s="8"/>
      <c r="E505" s="8"/>
      <c r="H505" s="8"/>
      <c r="I505" s="125"/>
      <c r="J505" s="130"/>
      <c r="K505" s="8"/>
      <c r="L505" s="8"/>
      <c r="M505" s="136"/>
      <c r="O505" s="131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25"/>
      <c r="C506" s="8"/>
      <c r="D506" s="8"/>
      <c r="E506" s="8"/>
      <c r="H506" s="8"/>
      <c r="I506" s="125"/>
      <c r="J506" s="130"/>
      <c r="K506" s="8"/>
      <c r="L506" s="8"/>
      <c r="M506" s="136"/>
      <c r="O506" s="131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25"/>
      <c r="C507" s="8"/>
      <c r="D507" s="8"/>
      <c r="E507" s="8"/>
      <c r="H507" s="8"/>
      <c r="I507" s="125"/>
      <c r="J507" s="130"/>
      <c r="K507" s="8"/>
      <c r="L507" s="8"/>
      <c r="M507" s="136"/>
      <c r="O507" s="131"/>
      <c r="P507" s="8"/>
      <c r="Q507" s="8"/>
      <c r="W507" s="8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25"/>
      <c r="C508" s="8"/>
      <c r="D508" s="8"/>
      <c r="E508" s="8"/>
      <c r="H508" s="8"/>
      <c r="I508" s="125"/>
      <c r="J508" s="130"/>
      <c r="K508" s="8"/>
      <c r="L508" s="8"/>
      <c r="M508" s="136"/>
      <c r="O508" s="131"/>
      <c r="P508" s="8"/>
      <c r="Q508" s="8"/>
      <c r="W508" s="8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25"/>
      <c r="C509" s="8"/>
      <c r="D509" s="8"/>
      <c r="E509" s="8"/>
      <c r="H509" s="8"/>
      <c r="I509" s="125"/>
      <c r="J509" s="130"/>
      <c r="K509" s="8"/>
      <c r="L509" s="8"/>
      <c r="M509" s="136"/>
      <c r="O509" s="131"/>
      <c r="P509" s="8"/>
      <c r="Q509" s="8"/>
      <c r="W509" s="8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24"/>
      <c r="C510" s="8"/>
      <c r="D510" s="8"/>
      <c r="E510" s="8"/>
      <c r="H510" s="8"/>
      <c r="J510" s="130"/>
      <c r="K510" s="8"/>
      <c r="L510" s="8"/>
      <c r="O510" s="131"/>
      <c r="P510" s="8"/>
      <c r="Q510" s="8"/>
      <c r="W510" s="124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24"/>
      <c r="C511" s="8"/>
      <c r="D511" s="8"/>
      <c r="E511" s="8"/>
      <c r="H511" s="8"/>
      <c r="J511" s="130"/>
      <c r="K511" s="8"/>
      <c r="L511" s="8"/>
      <c r="O511" s="131"/>
      <c r="P511" s="8"/>
      <c r="Q511" s="8"/>
      <c r="W511" s="124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24"/>
      <c r="C512" s="8"/>
      <c r="D512" s="8"/>
      <c r="E512" s="8"/>
      <c r="H512" s="8"/>
      <c r="J512" s="130"/>
      <c r="K512" s="8"/>
      <c r="L512" s="8"/>
      <c r="O512" s="131"/>
      <c r="P512" s="8"/>
      <c r="Q512" s="8"/>
      <c r="W512" s="124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24"/>
      <c r="C513" s="8"/>
      <c r="D513" s="8"/>
      <c r="E513" s="8"/>
      <c r="H513" s="8"/>
      <c r="J513" s="130"/>
      <c r="K513" s="8"/>
      <c r="L513" s="8"/>
      <c r="O513" s="131"/>
      <c r="P513" s="8"/>
      <c r="Q513" s="8"/>
      <c r="W513" s="124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24"/>
      <c r="C514" s="8"/>
      <c r="D514" s="8"/>
      <c r="E514" s="8"/>
      <c r="H514" s="8"/>
      <c r="J514" s="130"/>
      <c r="K514" s="8"/>
      <c r="L514" s="8"/>
      <c r="O514" s="131"/>
      <c r="P514" s="8"/>
      <c r="Q514" s="8"/>
      <c r="W514" s="124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24"/>
      <c r="C515" s="8"/>
      <c r="D515" s="8"/>
      <c r="E515" s="8"/>
      <c r="H515" s="8"/>
      <c r="J515" s="130"/>
      <c r="K515" s="8"/>
      <c r="L515" s="8"/>
      <c r="O515" s="131"/>
      <c r="P515" s="8"/>
      <c r="Q515" s="8"/>
      <c r="W515" s="124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24"/>
      <c r="C516" s="8"/>
      <c r="D516" s="8"/>
      <c r="E516" s="8"/>
      <c r="H516" s="8"/>
      <c r="J516" s="130"/>
      <c r="K516" s="8"/>
      <c r="L516" s="8"/>
      <c r="O516" s="131"/>
      <c r="P516" s="8"/>
      <c r="Q516" s="8"/>
      <c r="W516" s="124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24"/>
      <c r="C517" s="8"/>
      <c r="D517" s="8"/>
      <c r="E517" s="8"/>
      <c r="H517" s="8"/>
      <c r="J517" s="130"/>
      <c r="K517" s="8"/>
      <c r="L517" s="8"/>
      <c r="O517" s="131"/>
      <c r="P517" s="8"/>
      <c r="Q517" s="8"/>
      <c r="W517" s="124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24"/>
      <c r="C518" s="8"/>
      <c r="D518" s="8"/>
      <c r="E518" s="8"/>
      <c r="H518" s="8"/>
      <c r="J518" s="130"/>
      <c r="K518" s="8"/>
      <c r="L518" s="8"/>
      <c r="O518" s="131"/>
      <c r="P518" s="8"/>
      <c r="Q518" s="8"/>
      <c r="W518" s="124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24"/>
      <c r="C519" s="8"/>
      <c r="D519" s="8"/>
      <c r="E519" s="8"/>
      <c r="H519" s="8"/>
      <c r="J519" s="130"/>
      <c r="K519" s="8"/>
      <c r="L519" s="8"/>
      <c r="O519" s="131"/>
      <c r="P519" s="8"/>
      <c r="Q519" s="8"/>
      <c r="W519" s="124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24"/>
      <c r="C520" s="8"/>
      <c r="D520" s="8"/>
      <c r="E520" s="8"/>
      <c r="H520" s="8"/>
      <c r="J520" s="130"/>
      <c r="K520" s="8"/>
      <c r="L520" s="8"/>
      <c r="O520" s="131"/>
      <c r="P520" s="8"/>
      <c r="Q520" s="8"/>
      <c r="W520" s="124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24"/>
      <c r="C521" s="8"/>
      <c r="D521" s="8"/>
      <c r="E521" s="8"/>
      <c r="H521" s="8"/>
      <c r="I521" s="8"/>
      <c r="J521" s="130"/>
      <c r="K521" s="8"/>
      <c r="L521" s="8"/>
      <c r="N521" s="124"/>
      <c r="O521" s="131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24"/>
      <c r="C522" s="8"/>
      <c r="D522" s="8"/>
      <c r="E522" s="8"/>
      <c r="H522" s="8"/>
      <c r="I522" s="8"/>
      <c r="J522" s="130"/>
      <c r="K522" s="8"/>
      <c r="L522" s="8"/>
      <c r="N522" s="124"/>
      <c r="O522" s="131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24"/>
      <c r="C523" s="8"/>
      <c r="D523" s="8"/>
      <c r="E523" s="8"/>
      <c r="H523" s="8"/>
      <c r="I523" s="8"/>
      <c r="J523" s="130"/>
      <c r="K523" s="8"/>
      <c r="L523" s="8"/>
      <c r="N523" s="124"/>
      <c r="O523" s="131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24"/>
      <c r="C524" s="8"/>
      <c r="D524" s="8"/>
      <c r="E524" s="8"/>
      <c r="H524" s="8"/>
      <c r="I524" s="8"/>
      <c r="J524" s="130"/>
      <c r="K524" s="8"/>
      <c r="L524" s="8"/>
      <c r="N524" s="124"/>
      <c r="O524" s="131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="126" customFormat="1" spans="2:42">
      <c r="B525" s="137"/>
      <c r="C525" s="138"/>
      <c r="D525" s="138"/>
      <c r="E525" s="8"/>
      <c r="H525" s="8"/>
      <c r="I525" s="138"/>
      <c r="J525" s="139"/>
      <c r="K525" s="138"/>
      <c r="L525" s="138"/>
      <c r="M525" s="133"/>
      <c r="P525" s="138"/>
      <c r="Q525" s="138"/>
      <c r="W525" s="138"/>
      <c r="X525" s="138"/>
      <c r="Z525" s="138"/>
      <c r="AA525" s="8"/>
      <c r="AB525" s="137"/>
      <c r="AC525" s="138"/>
      <c r="AD525" s="138"/>
      <c r="AI525" s="138"/>
      <c r="AJ525" s="138"/>
      <c r="AK525" s="138"/>
      <c r="AN525" s="137"/>
      <c r="AO525" s="138"/>
      <c r="AP525" s="138"/>
    </row>
    <row r="526" s="126" customFormat="1" spans="2:42">
      <c r="B526" s="137"/>
      <c r="C526" s="138"/>
      <c r="D526" s="138"/>
      <c r="E526" s="8"/>
      <c r="H526" s="8"/>
      <c r="I526" s="138"/>
      <c r="J526" s="139"/>
      <c r="K526" s="138"/>
      <c r="L526" s="138"/>
      <c r="M526" s="133"/>
      <c r="P526" s="138"/>
      <c r="Q526" s="138"/>
      <c r="W526" s="138"/>
      <c r="X526" s="138"/>
      <c r="Z526" s="138"/>
      <c r="AA526" s="8"/>
      <c r="AB526" s="137"/>
      <c r="AC526" s="138"/>
      <c r="AD526" s="138"/>
      <c r="AI526" s="138"/>
      <c r="AJ526" s="138"/>
      <c r="AK526" s="138"/>
      <c r="AN526" s="137"/>
      <c r="AO526" s="138"/>
      <c r="AP526" s="138"/>
    </row>
    <row r="527" spans="2:42">
      <c r="B527" s="124"/>
      <c r="C527" s="8"/>
      <c r="D527" s="8"/>
      <c r="E527" s="8"/>
      <c r="H527" s="8"/>
      <c r="I527" s="8"/>
      <c r="J527" s="130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24"/>
      <c r="C528" s="8"/>
      <c r="D528" s="8"/>
      <c r="E528" s="8"/>
      <c r="H528" s="8"/>
      <c r="I528" s="8"/>
      <c r="J528" s="130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24"/>
      <c r="C529" s="8"/>
      <c r="D529" s="8"/>
      <c r="E529" s="8"/>
      <c r="H529" s="8"/>
      <c r="I529" s="8"/>
      <c r="J529" s="130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24"/>
      <c r="C530" s="8"/>
      <c r="D530" s="8"/>
      <c r="E530" s="8"/>
      <c r="H530" s="8"/>
      <c r="I530" s="8"/>
      <c r="J530" s="130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24"/>
      <c r="C531" s="8"/>
      <c r="D531" s="8"/>
      <c r="E531" s="8"/>
      <c r="H531" s="8"/>
      <c r="I531" s="8"/>
      <c r="J531" s="130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24"/>
      <c r="C532" s="8"/>
      <c r="D532" s="8"/>
      <c r="E532" s="8"/>
      <c r="H532" s="8"/>
      <c r="I532" s="8"/>
      <c r="J532" s="130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24"/>
      <c r="C533" s="8"/>
      <c r="D533" s="8"/>
      <c r="E533" s="8"/>
      <c r="H533" s="8"/>
      <c r="I533" s="8"/>
      <c r="J533" s="130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24"/>
      <c r="C534" s="8"/>
      <c r="D534" s="8"/>
      <c r="E534" s="8"/>
      <c r="H534" s="8"/>
      <c r="I534" s="8"/>
      <c r="J534" s="130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24"/>
      <c r="C535" s="8"/>
      <c r="D535" s="8"/>
      <c r="E535" s="8"/>
      <c r="H535" s="8"/>
      <c r="I535" s="8"/>
      <c r="J535" s="130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24"/>
      <c r="C536" s="8"/>
      <c r="D536" s="8"/>
      <c r="E536" s="8"/>
      <c r="H536" s="8"/>
      <c r="I536" s="8"/>
      <c r="J536" s="130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24"/>
      <c r="C537" s="8"/>
      <c r="D537" s="8"/>
      <c r="E537" s="8"/>
      <c r="H537" s="8"/>
      <c r="I537" s="8"/>
      <c r="J537" s="130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24"/>
      <c r="C538" s="8"/>
      <c r="D538" s="8"/>
      <c r="E538" s="8"/>
      <c r="H538" s="8"/>
      <c r="I538" s="8"/>
      <c r="J538" s="130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24"/>
      <c r="C539" s="8"/>
      <c r="D539" s="8"/>
      <c r="E539" s="8"/>
      <c r="H539" s="8"/>
      <c r="I539" s="8"/>
      <c r="J539" s="130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24"/>
      <c r="C540" s="8"/>
      <c r="D540" s="8"/>
      <c r="E540" s="8"/>
      <c r="H540" s="8"/>
      <c r="I540" s="8"/>
      <c r="J540" s="130"/>
      <c r="K540" s="8"/>
      <c r="L540" s="8"/>
      <c r="P540" s="8"/>
      <c r="Q540" s="8"/>
      <c r="W540" s="8"/>
      <c r="X540" s="8"/>
      <c r="Z540" s="8"/>
      <c r="AA540" s="8"/>
      <c r="AC540" s="8"/>
      <c r="AD540" s="8"/>
      <c r="AI540" s="8"/>
      <c r="AJ540" s="8"/>
      <c r="AK540" s="8"/>
      <c r="AO540" s="8"/>
      <c r="AP540" s="8"/>
    </row>
    <row r="541" spans="2:42">
      <c r="B541" s="124"/>
      <c r="C541" s="8"/>
      <c r="D541" s="8"/>
      <c r="E541" s="8"/>
      <c r="H541" s="8"/>
      <c r="I541" s="8"/>
      <c r="J541" s="130"/>
      <c r="K541" s="8"/>
      <c r="L541" s="8"/>
      <c r="P541" s="8"/>
      <c r="Q541" s="8"/>
      <c r="W541" s="8"/>
      <c r="X541" s="8"/>
      <c r="Z541" s="8"/>
      <c r="AA541" s="8"/>
      <c r="AC541" s="8"/>
      <c r="AD541" s="8"/>
      <c r="AI541" s="8"/>
      <c r="AJ541" s="8"/>
      <c r="AK541" s="8"/>
      <c r="AO541" s="8"/>
      <c r="AP541" s="8"/>
    </row>
    <row r="542" spans="2:42">
      <c r="B542" s="124"/>
      <c r="C542" s="8"/>
      <c r="D542" s="8"/>
      <c r="E542" s="8"/>
      <c r="H542" s="8"/>
      <c r="I542" s="8"/>
      <c r="J542" s="130"/>
      <c r="K542" s="8"/>
      <c r="L542" s="8"/>
      <c r="P542" s="8"/>
      <c r="Q542" s="8"/>
      <c r="W542" s="8"/>
      <c r="X542" s="8"/>
      <c r="Z542" s="8"/>
      <c r="AA542" s="8"/>
      <c r="AC542" s="8"/>
      <c r="AD542" s="8"/>
      <c r="AI542" s="8"/>
      <c r="AJ542" s="8"/>
      <c r="AK542" s="8"/>
      <c r="AO542" s="8"/>
      <c r="AP542" s="8"/>
    </row>
    <row r="543" spans="2:42">
      <c r="B543" s="124"/>
      <c r="C543" s="8"/>
      <c r="D543" s="8"/>
      <c r="E543" s="8"/>
      <c r="H543" s="8"/>
      <c r="I543" s="8"/>
      <c r="J543" s="130"/>
      <c r="K543" s="8"/>
      <c r="L543" s="8"/>
      <c r="P543" s="8"/>
      <c r="Q543" s="8"/>
      <c r="W543" s="8"/>
      <c r="X543" s="8"/>
      <c r="Z543" s="8"/>
      <c r="AA543" s="8"/>
      <c r="AC543" s="8"/>
      <c r="AD543" s="8"/>
      <c r="AI543" s="8"/>
      <c r="AJ543" s="8"/>
      <c r="AK543" s="8"/>
      <c r="AO543" s="8"/>
      <c r="AP543" s="8"/>
    </row>
    <row r="544" spans="2:42">
      <c r="B544" s="124"/>
      <c r="C544" s="8"/>
      <c r="D544" s="8"/>
      <c r="E544" s="8"/>
      <c r="H544" s="8"/>
      <c r="I544" s="8"/>
      <c r="J544" s="130"/>
      <c r="K544" s="8"/>
      <c r="L544" s="8"/>
      <c r="P544" s="8"/>
      <c r="Q544" s="8"/>
      <c r="W544" s="8"/>
      <c r="X544" s="8"/>
      <c r="Z544" s="8"/>
      <c r="AA544" s="8"/>
      <c r="AC544" s="8"/>
      <c r="AD544" s="8"/>
      <c r="AI544" s="8"/>
      <c r="AJ544" s="8"/>
      <c r="AK544" s="8"/>
      <c r="AO544" s="8"/>
      <c r="AP544" s="8"/>
    </row>
    <row r="545" spans="2:42">
      <c r="B545" s="124"/>
      <c r="C545" s="8"/>
      <c r="D545" s="8"/>
      <c r="E545" s="8"/>
      <c r="H545" s="8"/>
      <c r="I545" s="8"/>
      <c r="J545" s="130"/>
      <c r="K545" s="8"/>
      <c r="L545" s="8"/>
      <c r="P545" s="8"/>
      <c r="Q545" s="8"/>
      <c r="W545" s="8"/>
      <c r="X545" s="8"/>
      <c r="Z545" s="8"/>
      <c r="AA545" s="8"/>
      <c r="AC545" s="8"/>
      <c r="AD545" s="8"/>
      <c r="AI545" s="8"/>
      <c r="AJ545" s="8"/>
      <c r="AK545" s="8"/>
      <c r="AO545" s="8"/>
      <c r="AP545" s="8"/>
    </row>
    <row r="546" spans="2:42">
      <c r="B546" s="124"/>
      <c r="C546" s="8"/>
      <c r="D546" s="8"/>
      <c r="E546" s="8"/>
      <c r="H546" s="8"/>
      <c r="I546" s="125"/>
      <c r="J546" s="130"/>
      <c r="K546" s="8"/>
      <c r="L546" s="8"/>
      <c r="P546" s="8"/>
      <c r="Q546" s="8"/>
      <c r="V546" s="8"/>
      <c r="W546" s="124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24"/>
      <c r="C547" s="8"/>
      <c r="D547" s="8"/>
      <c r="E547" s="8"/>
      <c r="H547" s="8"/>
      <c r="I547" s="130"/>
      <c r="J547" s="130"/>
      <c r="K547" s="8"/>
      <c r="L547" s="8"/>
      <c r="P547" s="8"/>
      <c r="Q547" s="8"/>
      <c r="V547" s="8"/>
      <c r="W547" s="124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24"/>
      <c r="C548" s="8"/>
      <c r="D548" s="8"/>
      <c r="E548" s="8"/>
      <c r="H548" s="8"/>
      <c r="I548" s="130"/>
      <c r="J548" s="130"/>
      <c r="K548" s="8"/>
      <c r="L548" s="8"/>
      <c r="P548" s="8"/>
      <c r="Q548" s="8"/>
      <c r="V548" s="8"/>
      <c r="W548" s="124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124"/>
      <c r="C549" s="8"/>
      <c r="D549" s="8"/>
      <c r="E549" s="8"/>
      <c r="H549" s="8"/>
      <c r="I549" s="130"/>
      <c r="J549" s="130"/>
      <c r="K549" s="8"/>
      <c r="L549" s="8"/>
      <c r="P549" s="8"/>
      <c r="Q549" s="8"/>
      <c r="V549" s="8"/>
      <c r="W549" s="124"/>
      <c r="X549" s="8"/>
      <c r="Z549" s="8"/>
      <c r="AA549" s="8"/>
      <c r="AB549" s="8"/>
      <c r="AC549" s="8"/>
      <c r="AD549" s="8"/>
      <c r="AI549" s="8"/>
      <c r="AJ549" s="8"/>
      <c r="AK549" s="8"/>
      <c r="AO549" s="8"/>
      <c r="AP549" s="8"/>
    </row>
    <row r="550" spans="2:42">
      <c r="B550" s="124"/>
      <c r="C550" s="8"/>
      <c r="D550" s="8"/>
      <c r="E550" s="8"/>
      <c r="H550" s="8"/>
      <c r="I550" s="130"/>
      <c r="J550" s="130"/>
      <c r="K550" s="8"/>
      <c r="L550" s="8"/>
      <c r="P550" s="8"/>
      <c r="Q550" s="8"/>
      <c r="V550" s="8"/>
      <c r="W550" s="124"/>
      <c r="X550" s="8"/>
      <c r="Z550" s="8"/>
      <c r="AA550" s="8"/>
      <c r="AB550" s="8"/>
      <c r="AC550" s="8"/>
      <c r="AD550" s="8"/>
      <c r="AI550" s="8"/>
      <c r="AJ550" s="8"/>
      <c r="AK550" s="8"/>
      <c r="AO550" s="8"/>
      <c r="AP550" s="8"/>
    </row>
    <row r="551" spans="2:42">
      <c r="B551" s="124"/>
      <c r="C551" s="8"/>
      <c r="D551" s="8"/>
      <c r="E551" s="8"/>
      <c r="H551" s="8"/>
      <c r="I551" s="130"/>
      <c r="J551" s="130"/>
      <c r="K551" s="8"/>
      <c r="L551" s="8"/>
      <c r="P551" s="8"/>
      <c r="Q551" s="8"/>
      <c r="V551" s="8"/>
      <c r="W551" s="124"/>
      <c r="X551" s="8"/>
      <c r="Z551" s="8"/>
      <c r="AA551" s="8"/>
      <c r="AB551" s="8"/>
      <c r="AC551" s="8"/>
      <c r="AD551" s="8"/>
      <c r="AI551" s="8"/>
      <c r="AJ551" s="8"/>
      <c r="AK551" s="8"/>
      <c r="AO551" s="8"/>
      <c r="AP551" s="8"/>
    </row>
    <row r="552" spans="2:42">
      <c r="B552" s="124"/>
      <c r="C552" s="8"/>
      <c r="D552" s="8"/>
      <c r="E552" s="8"/>
      <c r="H552" s="8"/>
      <c r="I552" s="130"/>
      <c r="J552" s="130"/>
      <c r="K552" s="8"/>
      <c r="L552" s="8"/>
      <c r="P552" s="8"/>
      <c r="Q552" s="8"/>
      <c r="V552" s="8"/>
      <c r="W552" s="124"/>
      <c r="X552" s="8"/>
      <c r="Z552" s="8"/>
      <c r="AA552" s="8"/>
      <c r="AB552" s="8"/>
      <c r="AC552" s="8"/>
      <c r="AD552" s="8"/>
      <c r="AI552" s="8"/>
      <c r="AJ552" s="8"/>
      <c r="AK552" s="8"/>
      <c r="AO552" s="8"/>
      <c r="AP552" s="8"/>
    </row>
    <row r="553" spans="2:42">
      <c r="B553" s="124"/>
      <c r="C553" s="8"/>
      <c r="D553" s="8"/>
      <c r="E553" s="8"/>
      <c r="H553" s="8"/>
      <c r="I553" s="130"/>
      <c r="J553" s="130"/>
      <c r="K553" s="8"/>
      <c r="L553" s="8"/>
      <c r="P553" s="8"/>
      <c r="Q553" s="8"/>
      <c r="V553" s="8"/>
      <c r="W553" s="124"/>
      <c r="X553" s="8"/>
      <c r="Z553" s="8"/>
      <c r="AA553" s="8"/>
      <c r="AB553" s="8"/>
      <c r="AC553" s="8"/>
      <c r="AD553" s="8"/>
      <c r="AI553" s="8"/>
      <c r="AJ553" s="8"/>
      <c r="AK553" s="8"/>
      <c r="AO553" s="8"/>
      <c r="AP553" s="8"/>
    </row>
    <row r="554" spans="2:42">
      <c r="B554" s="124"/>
      <c r="C554" s="8"/>
      <c r="D554" s="8"/>
      <c r="E554" s="8"/>
      <c r="H554" s="8"/>
      <c r="I554" s="130"/>
      <c r="J554" s="130"/>
      <c r="K554" s="8"/>
      <c r="L554" s="8"/>
      <c r="P554" s="8"/>
      <c r="Q554" s="8"/>
      <c r="V554" s="8"/>
      <c r="W554" s="124"/>
      <c r="X554" s="8"/>
      <c r="Z554" s="8"/>
      <c r="AA554" s="8"/>
      <c r="AB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30"/>
      <c r="K555" s="130"/>
      <c r="L555" s="8"/>
      <c r="M555" s="131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F556" s="8"/>
      <c r="G556" s="8"/>
      <c r="H556" s="8"/>
      <c r="I556" s="8"/>
      <c r="J556" s="130"/>
      <c r="K556" s="130"/>
      <c r="L556" s="8"/>
      <c r="M556" s="131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</row>
    <row r="557" spans="2:42">
      <c r="B557" s="8"/>
      <c r="C557" s="8"/>
      <c r="D557" s="8"/>
      <c r="E557" s="8"/>
      <c r="F557" s="8"/>
      <c r="G557" s="8"/>
      <c r="H557" s="8"/>
      <c r="I557" s="8"/>
      <c r="J557" s="130"/>
      <c r="K557" s="130"/>
      <c r="L557" s="8"/>
      <c r="M557" s="131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</row>
    <row r="558" spans="2:42">
      <c r="B558" s="8"/>
      <c r="C558" s="8"/>
      <c r="D558" s="8"/>
      <c r="E558" s="8"/>
      <c r="F558" s="8"/>
      <c r="G558" s="8"/>
      <c r="H558" s="8"/>
      <c r="I558" s="8"/>
      <c r="J558" s="130"/>
      <c r="K558" s="130"/>
      <c r="L558" s="8"/>
      <c r="M558" s="131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</row>
    <row r="559" spans="2:42">
      <c r="B559" s="8"/>
      <c r="C559" s="8"/>
      <c r="D559" s="8"/>
      <c r="E559" s="8"/>
      <c r="F559" s="8"/>
      <c r="G559" s="8"/>
      <c r="H559" s="8"/>
      <c r="I559" s="8"/>
      <c r="J559" s="130"/>
      <c r="K559" s="130"/>
      <c r="L559" s="8"/>
      <c r="M559" s="131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</row>
    <row r="560" spans="2:42">
      <c r="B560" s="8"/>
      <c r="C560" s="8"/>
      <c r="D560" s="8"/>
      <c r="E560" s="8"/>
      <c r="F560" s="8"/>
      <c r="G560" s="8"/>
      <c r="H560" s="8"/>
      <c r="I560" s="8"/>
      <c r="J560" s="130"/>
      <c r="K560" s="130"/>
      <c r="L560" s="8"/>
      <c r="M560" s="131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</row>
    <row r="561" spans="2:42">
      <c r="B561" s="8"/>
      <c r="C561" s="8"/>
      <c r="D561" s="8"/>
      <c r="E561" s="8"/>
      <c r="F561" s="8"/>
      <c r="G561" s="8"/>
      <c r="H561" s="8"/>
      <c r="I561" s="8"/>
      <c r="J561" s="130"/>
      <c r="K561" s="130"/>
      <c r="L561" s="8"/>
      <c r="M561" s="131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</row>
    <row r="562" spans="2:42">
      <c r="B562" s="8"/>
      <c r="C562" s="8"/>
      <c r="D562" s="8"/>
      <c r="E562" s="8"/>
      <c r="H562" s="8"/>
      <c r="I562" s="130"/>
      <c r="J562" s="130"/>
      <c r="K562" s="8"/>
      <c r="L562" s="8"/>
      <c r="M562" s="140"/>
      <c r="O562" s="8"/>
      <c r="P562" s="8"/>
      <c r="Q562" s="8"/>
      <c r="W562" s="8"/>
      <c r="X562" s="8"/>
      <c r="Z562" s="8"/>
      <c r="AA562" s="8"/>
      <c r="AC562" s="8"/>
      <c r="AD562" s="8"/>
      <c r="AI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130"/>
      <c r="J563" s="130"/>
      <c r="K563" s="8"/>
      <c r="L563" s="8"/>
      <c r="M563" s="140"/>
      <c r="O563" s="8"/>
      <c r="P563" s="8"/>
      <c r="Q563" s="8"/>
      <c r="W563" s="8"/>
      <c r="X563" s="8"/>
      <c r="Z563" s="8"/>
      <c r="AA563" s="8"/>
      <c r="AC563" s="8"/>
      <c r="AD563" s="8"/>
      <c r="AI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130"/>
      <c r="J564" s="130"/>
      <c r="K564" s="8"/>
      <c r="L564" s="8"/>
      <c r="M564" s="141"/>
      <c r="O564" s="8"/>
      <c r="P564" s="8"/>
      <c r="Q564" s="8"/>
      <c r="W564" s="8"/>
      <c r="X564" s="8"/>
      <c r="Z564" s="8"/>
      <c r="AA564" s="8"/>
      <c r="AC564" s="8"/>
      <c r="AD564" s="8"/>
      <c r="AI564" s="124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130"/>
      <c r="J565" s="130"/>
      <c r="K565" s="8"/>
      <c r="L565" s="8"/>
      <c r="M565" s="140"/>
      <c r="O565" s="8"/>
      <c r="P565" s="8"/>
      <c r="Q565" s="8"/>
      <c r="W565" s="8"/>
      <c r="X565" s="8"/>
      <c r="Z565" s="8"/>
      <c r="AA565" s="8"/>
      <c r="AC565" s="8"/>
      <c r="AD565" s="8"/>
      <c r="AI565" s="124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130"/>
      <c r="J566" s="130"/>
      <c r="K566" s="8"/>
      <c r="L566" s="8"/>
      <c r="M566" s="140"/>
      <c r="O566" s="8"/>
      <c r="P566" s="8"/>
      <c r="Q566" s="8"/>
      <c r="W566" s="8"/>
      <c r="X566" s="8"/>
      <c r="Z566" s="8"/>
      <c r="AA566" s="8"/>
      <c r="AC566" s="8"/>
      <c r="AD566" s="8"/>
      <c r="AI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30"/>
      <c r="K567" s="8"/>
      <c r="L567" s="8"/>
      <c r="M567" s="140"/>
      <c r="N567" s="124"/>
      <c r="O567" s="142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30"/>
      <c r="K568" s="8"/>
      <c r="L568" s="8"/>
      <c r="M568" s="140"/>
      <c r="N568" s="124"/>
      <c r="O568" s="142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30"/>
      <c r="K569" s="8"/>
      <c r="L569" s="8"/>
      <c r="M569" s="140"/>
      <c r="N569" s="124"/>
      <c r="O569" s="142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30"/>
      <c r="K570" s="8"/>
      <c r="L570" s="8"/>
      <c r="M570" s="140"/>
      <c r="N570" s="124"/>
      <c r="O570" s="142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30"/>
      <c r="K571" s="8"/>
      <c r="L571" s="8"/>
      <c r="M571" s="140"/>
      <c r="N571" s="124"/>
      <c r="O571" s="142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30"/>
      <c r="K572" s="8"/>
      <c r="L572" s="8"/>
      <c r="M572" s="140"/>
      <c r="N572" s="124"/>
      <c r="O572" s="142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30"/>
      <c r="K573" s="8"/>
      <c r="L573" s="8"/>
      <c r="M573" s="140"/>
      <c r="N573" s="124"/>
      <c r="O573" s="142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30"/>
      <c r="K574" s="8"/>
      <c r="L574" s="8"/>
      <c r="M574" s="140"/>
      <c r="N574" s="124"/>
      <c r="O574" s="142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30"/>
      <c r="K575" s="8"/>
      <c r="L575" s="8"/>
      <c r="M575" s="140"/>
      <c r="N575" s="124"/>
      <c r="O575" s="142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30"/>
      <c r="K576" s="8"/>
      <c r="L576" s="8"/>
      <c r="M576" s="140"/>
      <c r="N576" s="124"/>
      <c r="O576" s="142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30"/>
      <c r="K577" s="8"/>
      <c r="L577" s="8"/>
      <c r="M577" s="140"/>
      <c r="N577" s="124"/>
      <c r="O577" s="142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30"/>
      <c r="K578" s="8"/>
      <c r="L578" s="8"/>
      <c r="M578" s="140"/>
      <c r="N578" s="124"/>
      <c r="O578" s="142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30"/>
      <c r="K579" s="8"/>
      <c r="L579" s="8"/>
      <c r="M579" s="140"/>
      <c r="N579" s="124"/>
      <c r="O579" s="142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30"/>
      <c r="K580" s="8"/>
      <c r="L580" s="8"/>
      <c r="M580" s="140"/>
      <c r="N580" s="124"/>
      <c r="O580" s="142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30"/>
      <c r="K581" s="8"/>
      <c r="L581" s="8"/>
      <c r="M581" s="140"/>
      <c r="N581" s="124"/>
      <c r="O581" s="142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30"/>
      <c r="K582" s="8"/>
      <c r="L582" s="8"/>
      <c r="M582" s="140"/>
      <c r="N582" s="124"/>
      <c r="O582" s="142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30"/>
      <c r="K583" s="8"/>
      <c r="L583" s="8"/>
      <c r="M583" s="140"/>
      <c r="N583" s="124"/>
      <c r="O583" s="142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30"/>
      <c r="K584" s="8"/>
      <c r="L584" s="8"/>
      <c r="M584" s="140"/>
      <c r="N584" s="124"/>
      <c r="O584" s="142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30"/>
      <c r="K585" s="8"/>
      <c r="L585" s="8"/>
      <c r="M585" s="140"/>
      <c r="N585" s="124"/>
      <c r="O585" s="142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30"/>
      <c r="K586" s="8"/>
      <c r="L586" s="8"/>
      <c r="M586" s="140"/>
      <c r="N586" s="124"/>
      <c r="O586" s="142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30"/>
      <c r="K587" s="8"/>
      <c r="L587" s="8"/>
      <c r="M587" s="141"/>
      <c r="N587" s="124"/>
      <c r="O587" s="142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30"/>
      <c r="K588" s="8"/>
      <c r="L588" s="8"/>
      <c r="M588" s="141"/>
      <c r="N588" s="124"/>
      <c r="O588" s="142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30"/>
      <c r="K589" s="8"/>
      <c r="L589" s="8"/>
      <c r="M589" s="141"/>
      <c r="N589" s="124"/>
      <c r="O589" s="142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30"/>
      <c r="K590" s="8"/>
      <c r="L590" s="8"/>
      <c r="M590" s="141"/>
      <c r="N590" s="124"/>
      <c r="O590" s="142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30"/>
      <c r="K591" s="8"/>
      <c r="L591" s="8"/>
      <c r="M591" s="141"/>
      <c r="N591" s="124"/>
      <c r="O591" s="142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30"/>
      <c r="K592" s="8"/>
      <c r="L592" s="8"/>
      <c r="M592" s="141"/>
      <c r="N592" s="124"/>
      <c r="O592" s="142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30"/>
      <c r="K593" s="8"/>
      <c r="L593" s="8"/>
      <c r="M593" s="141"/>
      <c r="N593" s="124"/>
      <c r="O593" s="142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30"/>
      <c r="K594" s="8"/>
      <c r="L594" s="8"/>
      <c r="M594" s="141"/>
      <c r="N594" s="124"/>
      <c r="O594" s="142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30"/>
      <c r="K595" s="8"/>
      <c r="L595" s="8"/>
      <c r="M595" s="141"/>
      <c r="N595" s="124"/>
      <c r="O595" s="142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30"/>
      <c r="K596" s="8"/>
      <c r="L596" s="8"/>
      <c r="M596" s="141"/>
      <c r="N596" s="124"/>
      <c r="O596" s="142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30"/>
      <c r="K597" s="8"/>
      <c r="L597" s="8"/>
      <c r="M597" s="140"/>
      <c r="N597" s="124"/>
      <c r="O597" s="142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30"/>
      <c r="K598" s="8"/>
      <c r="L598" s="8"/>
      <c r="M598" s="140"/>
      <c r="N598" s="124"/>
      <c r="O598" s="142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30"/>
      <c r="K599" s="8"/>
      <c r="L599" s="8"/>
      <c r="M599" s="140"/>
      <c r="N599" s="124"/>
      <c r="O599" s="142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30"/>
      <c r="K600" s="8"/>
      <c r="L600" s="8"/>
      <c r="M600" s="140"/>
      <c r="N600" s="124"/>
      <c r="O600" s="142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30"/>
      <c r="K601" s="8"/>
      <c r="L601" s="8"/>
      <c r="M601" s="140"/>
      <c r="N601" s="124"/>
      <c r="O601" s="142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30"/>
      <c r="K602" s="8"/>
      <c r="L602" s="8"/>
      <c r="M602" s="140"/>
      <c r="N602" s="124"/>
      <c r="O602" s="142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30"/>
      <c r="K603" s="8"/>
      <c r="L603" s="8"/>
      <c r="M603" s="140"/>
      <c r="N603" s="124"/>
      <c r="O603" s="142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30"/>
      <c r="K604" s="8"/>
      <c r="L604" s="8"/>
      <c r="M604" s="140"/>
      <c r="N604" s="124"/>
      <c r="O604" s="142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30"/>
      <c r="K605" s="8"/>
      <c r="L605" s="8"/>
      <c r="M605" s="140"/>
      <c r="N605" s="124"/>
      <c r="O605" s="142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30"/>
      <c r="K606" s="8"/>
      <c r="L606" s="8"/>
      <c r="M606" s="140"/>
      <c r="N606" s="124"/>
      <c r="O606" s="142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30"/>
      <c r="K607" s="8"/>
      <c r="M607" s="140"/>
      <c r="N607" s="124"/>
      <c r="O607" s="142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30"/>
      <c r="K608" s="8"/>
      <c r="M608" s="140"/>
      <c r="N608" s="124"/>
      <c r="O608" s="142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30"/>
      <c r="K609" s="8"/>
      <c r="M609" s="140"/>
      <c r="N609" s="124"/>
      <c r="O609" s="142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30"/>
      <c r="K610" s="8"/>
      <c r="M610" s="140"/>
      <c r="N610" s="124"/>
      <c r="O610" s="142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30"/>
      <c r="K611" s="8"/>
      <c r="M611" s="140"/>
      <c r="N611" s="124"/>
      <c r="O611" s="142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pans="2:42">
      <c r="B612" s="8"/>
      <c r="C612" s="8"/>
      <c r="D612" s="8"/>
      <c r="E612" s="8"/>
      <c r="H612" s="8"/>
      <c r="I612" s="8"/>
      <c r="J612" s="130"/>
      <c r="K612" s="8"/>
      <c r="M612" s="140"/>
      <c r="N612" s="124"/>
      <c r="O612" s="142"/>
      <c r="P612" s="8"/>
      <c r="Q612" s="8"/>
      <c r="W612" s="8"/>
      <c r="X612" s="8"/>
      <c r="Z612" s="8"/>
      <c r="AA612" s="8"/>
      <c r="AB612" s="8"/>
      <c r="AC612" s="8"/>
      <c r="AD612" s="8"/>
      <c r="AJ612" s="8"/>
      <c r="AK612" s="8"/>
      <c r="AO612" s="8"/>
      <c r="AP612" s="8"/>
    </row>
    <row r="613" spans="2:42">
      <c r="B613" s="8"/>
      <c r="C613" s="8"/>
      <c r="D613" s="8"/>
      <c r="E613" s="8"/>
      <c r="H613" s="8"/>
      <c r="I613" s="8"/>
      <c r="J613" s="130"/>
      <c r="K613" s="8"/>
      <c r="M613" s="140"/>
      <c r="N613" s="124"/>
      <c r="O613" s="142"/>
      <c r="P613" s="8"/>
      <c r="Q613" s="8"/>
      <c r="W613" s="8"/>
      <c r="X613" s="8"/>
      <c r="Z613" s="8"/>
      <c r="AA613" s="8"/>
      <c r="AB613" s="8"/>
      <c r="AC613" s="8"/>
      <c r="AD613" s="8"/>
      <c r="AJ613" s="8"/>
      <c r="AK613" s="8"/>
      <c r="AO613" s="8"/>
      <c r="AP613" s="8"/>
    </row>
    <row r="614" spans="2:42">
      <c r="B614" s="8"/>
      <c r="C614" s="8"/>
      <c r="D614" s="8"/>
      <c r="E614" s="8"/>
      <c r="H614" s="8"/>
      <c r="I614" s="8"/>
      <c r="J614" s="130"/>
      <c r="K614" s="8"/>
      <c r="M614" s="140"/>
      <c r="N614" s="124"/>
      <c r="O614" s="142"/>
      <c r="P614" s="8"/>
      <c r="Q614" s="8"/>
      <c r="W614" s="8"/>
      <c r="X614" s="8"/>
      <c r="Z614" s="8"/>
      <c r="AA614" s="8"/>
      <c r="AB614" s="8"/>
      <c r="AC614" s="8"/>
      <c r="AD614" s="8"/>
      <c r="AJ614" s="8"/>
      <c r="AK614" s="8"/>
      <c r="AO614" s="8"/>
      <c r="AP614" s="8"/>
    </row>
    <row r="615" spans="2:42">
      <c r="B615" s="8"/>
      <c r="C615" s="8"/>
      <c r="D615" s="8"/>
      <c r="E615" s="8"/>
      <c r="H615" s="8"/>
      <c r="I615" s="8"/>
      <c r="J615" s="130"/>
      <c r="K615" s="8"/>
      <c r="M615" s="140"/>
      <c r="N615" s="124"/>
      <c r="O615" s="142"/>
      <c r="P615" s="8"/>
      <c r="Q615" s="8"/>
      <c r="W615" s="8"/>
      <c r="X615" s="8"/>
      <c r="Z615" s="8"/>
      <c r="AA615" s="8"/>
      <c r="AB615" s="8"/>
      <c r="AC615" s="8"/>
      <c r="AD615" s="8"/>
      <c r="AJ615" s="8"/>
      <c r="AK615" s="8"/>
      <c r="AO615" s="8"/>
      <c r="AP615" s="8"/>
    </row>
    <row r="616" spans="2:42">
      <c r="B616" s="8"/>
      <c r="C616" s="8"/>
      <c r="D616" s="8"/>
      <c r="E616" s="8"/>
      <c r="H616" s="8"/>
      <c r="I616" s="8"/>
      <c r="J616" s="130"/>
      <c r="K616" s="8"/>
      <c r="M616" s="140"/>
      <c r="N616" s="124"/>
      <c r="O616" s="142"/>
      <c r="P616" s="8"/>
      <c r="Q616" s="8"/>
      <c r="W616" s="8"/>
      <c r="X616" s="8"/>
      <c r="Z616" s="8"/>
      <c r="AA616" s="8"/>
      <c r="AB616" s="8"/>
      <c r="AC616" s="8"/>
      <c r="AD616" s="8"/>
      <c r="AJ616" s="8"/>
      <c r="AK616" s="8"/>
      <c r="AO616" s="8"/>
      <c r="AP616" s="8"/>
    </row>
    <row r="617" spans="2:37">
      <c r="B617" s="8"/>
      <c r="C617" s="8"/>
      <c r="D617" s="8"/>
      <c r="E617" s="8"/>
      <c r="H617" s="8"/>
      <c r="I617" s="8"/>
      <c r="J617" s="130"/>
      <c r="K617" s="8"/>
      <c r="L617" s="8"/>
      <c r="M617" s="142"/>
      <c r="O617" s="128"/>
      <c r="P617" s="8"/>
      <c r="Q617" s="8"/>
      <c r="V617" s="8"/>
      <c r="W617" s="124"/>
      <c r="X617" s="8"/>
      <c r="Z617" s="8"/>
      <c r="AA617" s="8"/>
      <c r="AC617" s="8"/>
      <c r="AD617" s="8"/>
      <c r="AJ617" s="8"/>
      <c r="AK617" s="8"/>
    </row>
    <row r="618" spans="2:37">
      <c r="B618" s="8"/>
      <c r="C618" s="8"/>
      <c r="D618" s="8"/>
      <c r="E618" s="8"/>
      <c r="H618" s="8"/>
      <c r="I618" s="8"/>
      <c r="J618" s="130"/>
      <c r="K618" s="8"/>
      <c r="L618" s="8"/>
      <c r="M618" s="142"/>
      <c r="O618" s="128"/>
      <c r="P618" s="8"/>
      <c r="Q618" s="8"/>
      <c r="V618" s="8"/>
      <c r="W618" s="124"/>
      <c r="X618" s="8"/>
      <c r="Z618" s="8"/>
      <c r="AA618" s="8"/>
      <c r="AB618" s="8"/>
      <c r="AC618" s="8"/>
      <c r="AD618" s="8"/>
      <c r="AJ618" s="8"/>
      <c r="AK618" s="8"/>
    </row>
    <row r="619" spans="2:37">
      <c r="B619" s="8"/>
      <c r="C619" s="8"/>
      <c r="D619" s="8"/>
      <c r="E619" s="8"/>
      <c r="H619" s="8"/>
      <c r="I619" s="8"/>
      <c r="J619" s="130"/>
      <c r="K619" s="8"/>
      <c r="L619" s="8"/>
      <c r="M619" s="142"/>
      <c r="O619" s="128"/>
      <c r="P619" s="8"/>
      <c r="Q619" s="8"/>
      <c r="V619" s="8"/>
      <c r="W619" s="124"/>
      <c r="X619" s="8"/>
      <c r="Z619" s="8"/>
      <c r="AA619" s="8"/>
      <c r="AB619" s="8"/>
      <c r="AC619" s="8"/>
      <c r="AD619" s="8"/>
      <c r="AJ619" s="8"/>
      <c r="AK619" s="8"/>
    </row>
    <row r="620" spans="2:37">
      <c r="B620" s="8"/>
      <c r="C620" s="8"/>
      <c r="D620" s="8"/>
      <c r="E620" s="8"/>
      <c r="H620" s="8"/>
      <c r="I620" s="8"/>
      <c r="J620" s="130"/>
      <c r="K620" s="8"/>
      <c r="L620" s="8"/>
      <c r="M620" s="142"/>
      <c r="O620" s="128"/>
      <c r="P620" s="8"/>
      <c r="Q620" s="8"/>
      <c r="V620" s="8"/>
      <c r="W620" s="124"/>
      <c r="X620" s="8"/>
      <c r="Z620" s="8"/>
      <c r="AA620" s="8"/>
      <c r="AB620" s="8"/>
      <c r="AC620" s="8"/>
      <c r="AD620" s="8"/>
      <c r="AJ620" s="8"/>
      <c r="AK620" s="8"/>
    </row>
    <row r="621" s="127" customFormat="1" spans="2:40">
      <c r="B621" s="143"/>
      <c r="C621" s="143"/>
      <c r="D621" s="143"/>
      <c r="E621" s="8"/>
      <c r="H621" s="8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="127" customFormat="1" spans="2:40">
      <c r="B622" s="143"/>
      <c r="C622" s="143"/>
      <c r="D622" s="143"/>
      <c r="E622" s="8"/>
      <c r="H622" s="8"/>
      <c r="I622" s="143"/>
      <c r="J622" s="144"/>
      <c r="K622" s="143"/>
      <c r="L622" s="143"/>
      <c r="M622" s="145"/>
      <c r="O622" s="146"/>
      <c r="P622" s="143"/>
      <c r="Q622" s="143"/>
      <c r="V622" s="143"/>
      <c r="W622" s="147"/>
      <c r="X622" s="143"/>
      <c r="Z622" s="143"/>
      <c r="AA622" s="143"/>
      <c r="AB622" s="147"/>
      <c r="AC622" s="143"/>
      <c r="AD622" s="143"/>
      <c r="AJ622" s="143"/>
      <c r="AK622" s="143"/>
      <c r="AN622" s="147"/>
    </row>
    <row r="623" s="127" customFormat="1" spans="2:40">
      <c r="B623" s="143"/>
      <c r="C623" s="143"/>
      <c r="D623" s="143"/>
      <c r="E623" s="8"/>
      <c r="H623" s="8"/>
      <c r="I623" s="143"/>
      <c r="J623" s="144"/>
      <c r="K623" s="143"/>
      <c r="L623" s="143"/>
      <c r="M623" s="145"/>
      <c r="O623" s="146"/>
      <c r="P623" s="143"/>
      <c r="Q623" s="143"/>
      <c r="V623" s="143"/>
      <c r="W623" s="147"/>
      <c r="X623" s="143"/>
      <c r="Z623" s="143"/>
      <c r="AA623" s="143"/>
      <c r="AB623" s="147"/>
      <c r="AC623" s="143"/>
      <c r="AD623" s="143"/>
      <c r="AJ623" s="143"/>
      <c r="AK623" s="143"/>
      <c r="AN623" s="147"/>
    </row>
    <row r="624" s="127" customFormat="1" spans="2:40">
      <c r="B624" s="143"/>
      <c r="C624" s="143"/>
      <c r="D624" s="143"/>
      <c r="E624" s="8"/>
      <c r="H624" s="8"/>
      <c r="I624" s="143"/>
      <c r="J624" s="144"/>
      <c r="K624" s="143"/>
      <c r="L624" s="143"/>
      <c r="M624" s="145"/>
      <c r="O624" s="146"/>
      <c r="P624" s="143"/>
      <c r="Q624" s="143"/>
      <c r="V624" s="143"/>
      <c r="W624" s="147"/>
      <c r="X624" s="143"/>
      <c r="Z624" s="143"/>
      <c r="AA624" s="143"/>
      <c r="AB624" s="147"/>
      <c r="AC624" s="143"/>
      <c r="AD624" s="143"/>
      <c r="AJ624" s="143"/>
      <c r="AK624" s="143"/>
      <c r="AN624" s="147"/>
    </row>
    <row r="625" spans="2:42">
      <c r="B625" s="8"/>
      <c r="C625" s="8"/>
      <c r="D625" s="8"/>
      <c r="E625" s="8"/>
      <c r="H625" s="8"/>
      <c r="I625" s="8"/>
      <c r="J625" s="130"/>
      <c r="K625" s="8"/>
      <c r="L625" s="8"/>
      <c r="M625" s="142"/>
      <c r="O625" s="128"/>
      <c r="P625" s="8"/>
      <c r="Q625" s="8"/>
      <c r="W625" s="8"/>
      <c r="X625" s="8"/>
      <c r="Z625" s="8"/>
      <c r="AA625" s="8"/>
      <c r="AC625" s="8"/>
      <c r="AD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30"/>
      <c r="K626" s="8"/>
      <c r="L626" s="8"/>
      <c r="M626" s="142"/>
      <c r="O626" s="128"/>
      <c r="P626" s="8"/>
      <c r="Q626" s="8"/>
      <c r="W626" s="8"/>
      <c r="X626" s="8"/>
      <c r="Z626" s="8"/>
      <c r="AA626" s="8"/>
      <c r="AB626" s="8"/>
      <c r="AC626" s="8"/>
      <c r="AD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30"/>
      <c r="K627" s="8"/>
      <c r="L627" s="8"/>
      <c r="M627" s="142"/>
      <c r="O627" s="128"/>
      <c r="P627" s="8"/>
      <c r="Q627" s="8"/>
      <c r="W627" s="8"/>
      <c r="X627" s="8"/>
      <c r="Z627" s="8"/>
      <c r="AA627" s="8"/>
      <c r="AB627" s="8"/>
      <c r="AC627" s="8"/>
      <c r="AD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30"/>
      <c r="K628" s="8"/>
      <c r="L628" s="8"/>
      <c r="M628" s="142"/>
      <c r="O628" s="128"/>
      <c r="P628" s="8"/>
      <c r="Q628" s="8"/>
      <c r="W628" s="8"/>
      <c r="X628" s="8"/>
      <c r="Z628" s="8"/>
      <c r="AA628" s="8"/>
      <c r="AB628" s="8"/>
      <c r="AC628" s="8"/>
      <c r="AD628" s="8"/>
      <c r="AJ628" s="8"/>
      <c r="AK628" s="8"/>
      <c r="AO628" s="8"/>
      <c r="AP628" s="8"/>
    </row>
    <row r="629" s="127" customFormat="1" spans="2:42">
      <c r="B629" s="143"/>
      <c r="C629" s="143"/>
      <c r="D629" s="143"/>
      <c r="E629" s="8"/>
      <c r="H629" s="8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="127" customFormat="1" spans="2:42">
      <c r="B630" s="143"/>
      <c r="C630" s="143"/>
      <c r="D630" s="143"/>
      <c r="E630" s="8"/>
      <c r="H630" s="8"/>
      <c r="I630" s="143"/>
      <c r="J630" s="144"/>
      <c r="K630" s="143"/>
      <c r="L630" s="143"/>
      <c r="M630" s="145"/>
      <c r="O630" s="146"/>
      <c r="P630" s="143"/>
      <c r="Q630" s="143"/>
      <c r="W630" s="143"/>
      <c r="X630" s="143"/>
      <c r="Z630" s="143"/>
      <c r="AA630" s="143"/>
      <c r="AB630" s="147"/>
      <c r="AC630" s="143"/>
      <c r="AD630" s="143"/>
      <c r="AJ630" s="143"/>
      <c r="AK630" s="143"/>
      <c r="AN630" s="147"/>
      <c r="AO630" s="143"/>
      <c r="AP630" s="143"/>
    </row>
    <row r="631" s="127" customFormat="1" spans="2:42">
      <c r="B631" s="143"/>
      <c r="C631" s="143"/>
      <c r="D631" s="143"/>
      <c r="E631" s="8"/>
      <c r="H631" s="8"/>
      <c r="I631" s="143"/>
      <c r="J631" s="144"/>
      <c r="K631" s="143"/>
      <c r="L631" s="143"/>
      <c r="M631" s="145"/>
      <c r="O631" s="146"/>
      <c r="P631" s="143"/>
      <c r="Q631" s="143"/>
      <c r="W631" s="143"/>
      <c r="X631" s="143"/>
      <c r="Z631" s="143"/>
      <c r="AA631" s="143"/>
      <c r="AB631" s="147"/>
      <c r="AC631" s="143"/>
      <c r="AD631" s="143"/>
      <c r="AJ631" s="143"/>
      <c r="AK631" s="143"/>
      <c r="AN631" s="147"/>
      <c r="AO631" s="143"/>
      <c r="AP631" s="143"/>
    </row>
    <row r="632" s="127" customFormat="1" spans="2:42">
      <c r="B632" s="143"/>
      <c r="C632" s="143"/>
      <c r="D632" s="143"/>
      <c r="E632" s="8"/>
      <c r="H632" s="8"/>
      <c r="I632" s="143"/>
      <c r="J632" s="144"/>
      <c r="K632" s="143"/>
      <c r="L632" s="143"/>
      <c r="M632" s="145"/>
      <c r="O632" s="146"/>
      <c r="P632" s="143"/>
      <c r="Q632" s="143"/>
      <c r="W632" s="143"/>
      <c r="X632" s="143"/>
      <c r="Z632" s="143"/>
      <c r="AA632" s="143"/>
      <c r="AB632" s="147"/>
      <c r="AC632" s="143"/>
      <c r="AD632" s="143"/>
      <c r="AJ632" s="143"/>
      <c r="AK632" s="143"/>
      <c r="AN632" s="147"/>
      <c r="AO632" s="143"/>
      <c r="AP632" s="143"/>
    </row>
    <row r="633" spans="2:42">
      <c r="B633" s="8"/>
      <c r="C633" s="8"/>
      <c r="D633" s="8"/>
      <c r="E633" s="8"/>
      <c r="H633" s="8"/>
      <c r="I633" s="8"/>
      <c r="J633" s="130"/>
      <c r="K633" s="8"/>
      <c r="L633" s="8"/>
      <c r="M633" s="131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30"/>
      <c r="K634" s="8"/>
      <c r="L634" s="8"/>
      <c r="M634" s="131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30"/>
      <c r="K635" s="8"/>
      <c r="L635" s="8"/>
      <c r="M635" s="131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30"/>
      <c r="K636" s="8"/>
      <c r="L636" s="8"/>
      <c r="M636" s="131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30"/>
      <c r="K637" s="8"/>
      <c r="L637" s="8"/>
      <c r="M637" s="131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30"/>
      <c r="K638" s="8"/>
      <c r="L638" s="8"/>
      <c r="M638" s="131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30"/>
      <c r="K639" s="8"/>
      <c r="L639" s="8"/>
      <c r="M639" s="131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30"/>
      <c r="K640" s="8"/>
      <c r="L640" s="8"/>
      <c r="M640" s="131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30"/>
      <c r="K641" s="8"/>
      <c r="L641" s="8"/>
      <c r="M641" s="131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30"/>
      <c r="K642" s="8"/>
      <c r="L642" s="8"/>
      <c r="M642" s="131"/>
      <c r="O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30"/>
      <c r="K643" s="8"/>
      <c r="L643" s="8"/>
      <c r="M643" s="131"/>
      <c r="O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30"/>
      <c r="K644" s="8"/>
      <c r="L644" s="8"/>
      <c r="M644" s="131"/>
      <c r="O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30"/>
      <c r="K645" s="8"/>
      <c r="L645" s="8"/>
      <c r="M645" s="131"/>
      <c r="O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30"/>
      <c r="K646" s="8"/>
      <c r="L646" s="8"/>
      <c r="M646" s="131"/>
      <c r="O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130"/>
      <c r="C647" s="8"/>
      <c r="D647" s="8"/>
      <c r="E647" s="8"/>
      <c r="H647" s="8"/>
      <c r="I647" s="130"/>
      <c r="J647" s="130"/>
      <c r="K647" s="8"/>
      <c r="L647" s="8"/>
      <c r="M647" s="131"/>
      <c r="O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30"/>
      <c r="K648" s="8"/>
      <c r="L648" s="8"/>
      <c r="O648" s="128"/>
      <c r="P648" s="8"/>
      <c r="Q648" s="8"/>
      <c r="V648" s="8"/>
      <c r="W648" s="124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30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30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30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30"/>
      <c r="K652" s="8"/>
      <c r="L652" s="8"/>
      <c r="P652" s="8"/>
      <c r="Q652" s="8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30"/>
      <c r="K653" s="8"/>
      <c r="L653" s="8"/>
      <c r="P653" s="8"/>
      <c r="Q653" s="8"/>
      <c r="W653" s="8"/>
      <c r="X653" s="8"/>
      <c r="Z653" s="8"/>
      <c r="AA653" s="8"/>
      <c r="AC653" s="8"/>
      <c r="AD653" s="8"/>
      <c r="AI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30"/>
      <c r="K654" s="8"/>
      <c r="L654" s="8"/>
      <c r="P654" s="8"/>
      <c r="Q654" s="8"/>
      <c r="W654" s="8"/>
      <c r="X654" s="8"/>
      <c r="Z654" s="8"/>
      <c r="AA654" s="8"/>
      <c r="AC654" s="8"/>
      <c r="AD654" s="8"/>
      <c r="AI654" s="8"/>
      <c r="AJ654" s="8"/>
      <c r="AK654" s="8"/>
      <c r="AO654" s="8"/>
      <c r="AP654" s="8"/>
    </row>
    <row r="655" spans="2:42">
      <c r="B655" s="8"/>
      <c r="C655" s="8"/>
      <c r="D655" s="8"/>
      <c r="E655" s="8"/>
      <c r="H655" s="8"/>
      <c r="I655" s="8"/>
      <c r="J655" s="130"/>
      <c r="K655" s="8"/>
      <c r="L655" s="8"/>
      <c r="P655" s="8"/>
      <c r="Q655" s="8"/>
      <c r="W655" s="8"/>
      <c r="X655" s="8"/>
      <c r="Z655" s="8"/>
      <c r="AA655" s="8"/>
      <c r="AC655" s="8"/>
      <c r="AD655" s="8"/>
      <c r="AI655" s="8"/>
      <c r="AJ655" s="8"/>
      <c r="AK655" s="8"/>
      <c r="AO655" s="8"/>
      <c r="AP655" s="8"/>
    </row>
    <row r="656" spans="2:42">
      <c r="B656" s="8"/>
      <c r="C656" s="8"/>
      <c r="D656" s="8"/>
      <c r="E656" s="8"/>
      <c r="H656" s="8"/>
      <c r="I656" s="8"/>
      <c r="J656" s="130"/>
      <c r="K656" s="8"/>
      <c r="L656" s="8"/>
      <c r="P656" s="8"/>
      <c r="Q656" s="8"/>
      <c r="W656" s="8"/>
      <c r="X656" s="8"/>
      <c r="Z656" s="8"/>
      <c r="AA656" s="8"/>
      <c r="AC656" s="8"/>
      <c r="AD656" s="8"/>
      <c r="AI656" s="8"/>
      <c r="AJ656" s="8"/>
      <c r="AK656" s="8"/>
      <c r="AO656" s="8"/>
      <c r="AP656" s="8"/>
    </row>
    <row r="657" spans="2:37">
      <c r="B657" s="8"/>
      <c r="C657" s="8"/>
      <c r="D657" s="8"/>
      <c r="E657" s="8"/>
      <c r="H657" s="8"/>
      <c r="I657" s="8"/>
      <c r="J657" s="130"/>
      <c r="K657" s="8"/>
      <c r="L657" s="8"/>
      <c r="P657" s="8"/>
      <c r="Q657" s="8"/>
      <c r="W657" s="8"/>
      <c r="X657" s="8"/>
      <c r="Z657" s="8"/>
      <c r="AA657" s="8"/>
      <c r="AC657" s="8"/>
      <c r="AD657" s="8"/>
      <c r="AI657" s="8"/>
      <c r="AJ657" s="8"/>
      <c r="AK657" s="8"/>
    </row>
    <row r="658" spans="2:42">
      <c r="B658" s="8"/>
      <c r="C658" s="8"/>
      <c r="D658" s="8"/>
      <c r="E658" s="8"/>
      <c r="H658" s="8"/>
      <c r="I658" s="8"/>
      <c r="J658" s="130"/>
      <c r="K658" s="8"/>
      <c r="L658" s="8"/>
      <c r="P658" s="8"/>
      <c r="Q658" s="8"/>
      <c r="R658" s="124"/>
      <c r="S658" s="124"/>
      <c r="T658" s="124"/>
      <c r="W658" s="8"/>
      <c r="X658" s="8"/>
      <c r="Z658" s="8"/>
      <c r="AA658" s="8"/>
      <c r="AC658" s="8"/>
      <c r="AD658" s="8"/>
      <c r="AI658" s="8"/>
      <c r="AJ658" s="8"/>
      <c r="AK658" s="8"/>
      <c r="AO658" s="8"/>
      <c r="AP658" s="8"/>
    </row>
    <row r="659" spans="2:42">
      <c r="B659" s="8"/>
      <c r="C659" s="8"/>
      <c r="D659" s="8"/>
      <c r="E659" s="8"/>
      <c r="H659" s="8"/>
      <c r="I659" s="8"/>
      <c r="J659" s="130"/>
      <c r="K659" s="8"/>
      <c r="L659" s="8"/>
      <c r="P659" s="8"/>
      <c r="Q659" s="8"/>
      <c r="R659" s="124"/>
      <c r="S659" s="124"/>
      <c r="T659" s="124"/>
      <c r="W659" s="8"/>
      <c r="X659" s="8"/>
      <c r="Z659" s="8"/>
      <c r="AA659" s="8"/>
      <c r="AC659" s="8"/>
      <c r="AD659" s="8"/>
      <c r="AJ659" s="8"/>
      <c r="AK659" s="8"/>
      <c r="AO659" s="8"/>
      <c r="AP659" s="8"/>
    </row>
    <row r="660" spans="2:37">
      <c r="B660" s="8"/>
      <c r="C660" s="8"/>
      <c r="D660" s="8"/>
      <c r="E660" s="8"/>
      <c r="H660" s="8"/>
      <c r="I660" s="8"/>
      <c r="J660" s="130"/>
      <c r="K660" s="8"/>
      <c r="L660" s="8"/>
      <c r="P660" s="8"/>
      <c r="Q660" s="8"/>
      <c r="R660" s="124"/>
      <c r="S660" s="124"/>
      <c r="T660" s="124"/>
      <c r="W660" s="8"/>
      <c r="X660" s="8"/>
      <c r="Z660" s="8"/>
      <c r="AA660" s="8"/>
      <c r="AC660" s="8"/>
      <c r="AD660" s="8"/>
      <c r="AJ660" s="8"/>
      <c r="AK660" s="8"/>
    </row>
    <row r="661" spans="2:37">
      <c r="B661" s="8"/>
      <c r="C661" s="8"/>
      <c r="D661" s="8"/>
      <c r="E661" s="8"/>
      <c r="H661" s="8"/>
      <c r="I661" s="8"/>
      <c r="J661" s="130"/>
      <c r="K661" s="8"/>
      <c r="L661" s="8"/>
      <c r="P661" s="8"/>
      <c r="Q661" s="8"/>
      <c r="R661" s="124"/>
      <c r="S661" s="124"/>
      <c r="T661" s="124"/>
      <c r="W661" s="8"/>
      <c r="X661" s="8"/>
      <c r="Z661" s="8"/>
      <c r="AA661" s="8"/>
      <c r="AC661" s="8"/>
      <c r="AD661" s="8"/>
      <c r="AJ661" s="8"/>
      <c r="AK661" s="8"/>
    </row>
    <row r="662" spans="2:37">
      <c r="B662" s="8"/>
      <c r="C662" s="8"/>
      <c r="D662" s="8"/>
      <c r="E662" s="8"/>
      <c r="H662" s="8"/>
      <c r="I662" s="8"/>
      <c r="J662" s="130"/>
      <c r="K662" s="8"/>
      <c r="L662" s="8"/>
      <c r="P662" s="8"/>
      <c r="Q662" s="8"/>
      <c r="R662" s="124"/>
      <c r="S662" s="124"/>
      <c r="T662" s="124"/>
      <c r="W662" s="8"/>
      <c r="X662" s="8"/>
      <c r="Z662" s="8"/>
      <c r="AA662" s="8"/>
      <c r="AC662" s="8"/>
      <c r="AD662" s="8"/>
      <c r="AJ662" s="8"/>
      <c r="AK662" s="8"/>
    </row>
    <row r="663" spans="2:37">
      <c r="B663" s="8"/>
      <c r="C663" s="8"/>
      <c r="D663" s="8"/>
      <c r="E663" s="8"/>
      <c r="H663" s="8"/>
      <c r="I663" s="8"/>
      <c r="J663" s="130"/>
      <c r="K663" s="8"/>
      <c r="L663" s="8"/>
      <c r="P663" s="8"/>
      <c r="Q663" s="8"/>
      <c r="R663" s="124"/>
      <c r="S663" s="124"/>
      <c r="T663" s="124"/>
      <c r="W663" s="8"/>
      <c r="X663" s="8"/>
      <c r="Z663" s="8"/>
      <c r="AA663" s="8"/>
      <c r="AC663" s="8"/>
      <c r="AD663" s="8"/>
      <c r="AJ663" s="8"/>
      <c r="AK663" s="8"/>
    </row>
    <row r="664" spans="2:37">
      <c r="B664" s="8"/>
      <c r="C664" s="8"/>
      <c r="D664" s="8"/>
      <c r="E664" s="8"/>
      <c r="H664" s="8"/>
      <c r="I664" s="8"/>
      <c r="J664" s="130"/>
      <c r="K664" s="8"/>
      <c r="L664" s="8"/>
      <c r="P664" s="8"/>
      <c r="Q664" s="8"/>
      <c r="R664" s="124"/>
      <c r="S664" s="124"/>
      <c r="T664" s="124"/>
      <c r="W664" s="8"/>
      <c r="X664" s="8"/>
      <c r="Z664" s="8"/>
      <c r="AA664" s="8"/>
      <c r="AC664" s="8"/>
      <c r="AD664" s="8"/>
      <c r="AJ664" s="8"/>
      <c r="AK664" s="8"/>
    </row>
    <row r="665" spans="2:37">
      <c r="B665" s="8"/>
      <c r="C665" s="8"/>
      <c r="D665" s="8"/>
      <c r="E665" s="8"/>
      <c r="H665" s="8"/>
      <c r="I665" s="8"/>
      <c r="J665" s="130"/>
      <c r="K665" s="8"/>
      <c r="L665" s="8"/>
      <c r="P665" s="8"/>
      <c r="Q665" s="8"/>
      <c r="R665" s="124"/>
      <c r="S665" s="124"/>
      <c r="T665" s="124"/>
      <c r="W665" s="8"/>
      <c r="X665" s="8"/>
      <c r="Z665" s="8"/>
      <c r="AA665" s="8"/>
      <c r="AC665" s="8"/>
      <c r="AD665" s="8"/>
      <c r="AJ665" s="8"/>
      <c r="AK665" s="8"/>
    </row>
    <row r="666" spans="2:37">
      <c r="B666" s="8"/>
      <c r="C666" s="8"/>
      <c r="D666" s="8"/>
      <c r="E666" s="8"/>
      <c r="H666" s="8"/>
      <c r="I666" s="8"/>
      <c r="J666" s="130"/>
      <c r="K666" s="8"/>
      <c r="L666" s="8"/>
      <c r="P666" s="8"/>
      <c r="Q666" s="8"/>
      <c r="R666" s="124"/>
      <c r="S666" s="124"/>
      <c r="T666" s="124"/>
      <c r="W666" s="8"/>
      <c r="X666" s="8"/>
      <c r="Z666" s="8"/>
      <c r="AA666" s="8"/>
      <c r="AC666" s="8"/>
      <c r="AD666" s="8"/>
      <c r="AJ666" s="8"/>
      <c r="AK666" s="8"/>
    </row>
    <row r="667" spans="2:41">
      <c r="B667" s="8"/>
      <c r="C667" s="8"/>
      <c r="D667" s="8"/>
      <c r="E667" s="8"/>
      <c r="H667" s="8"/>
      <c r="I667" s="128"/>
      <c r="J667" s="130"/>
      <c r="K667" s="8"/>
      <c r="M667" s="136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28"/>
      <c r="J668" s="130"/>
      <c r="K668" s="8"/>
      <c r="M668" s="136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I669" s="128"/>
      <c r="J669" s="130"/>
      <c r="K669" s="8"/>
      <c r="M669" s="136"/>
      <c r="W669" s="8"/>
      <c r="Z669" s="8"/>
      <c r="AA669" s="8"/>
      <c r="AC669" s="8"/>
      <c r="AD669" s="8"/>
      <c r="AI669" s="8"/>
      <c r="AO669" s="8"/>
    </row>
    <row r="670" spans="2:41">
      <c r="B670" s="8"/>
      <c r="C670" s="8"/>
      <c r="D670" s="8"/>
      <c r="E670" s="8"/>
      <c r="H670" s="8"/>
      <c r="I670" s="128"/>
      <c r="J670" s="130"/>
      <c r="K670" s="8"/>
      <c r="M670" s="136"/>
      <c r="W670" s="8"/>
      <c r="Z670" s="8"/>
      <c r="AA670" s="8"/>
      <c r="AC670" s="8"/>
      <c r="AD670" s="8"/>
      <c r="AI670" s="8"/>
      <c r="AO670" s="8"/>
    </row>
    <row r="671" spans="2:41">
      <c r="B671" s="8"/>
      <c r="C671" s="8"/>
      <c r="D671" s="8"/>
      <c r="E671" s="8"/>
      <c r="H671" s="8"/>
      <c r="I671" s="128"/>
      <c r="J671" s="130"/>
      <c r="K671" s="8"/>
      <c r="M671" s="136"/>
      <c r="W671" s="8"/>
      <c r="Z671" s="8"/>
      <c r="AA671" s="8"/>
      <c r="AC671" s="8"/>
      <c r="AD671" s="8"/>
      <c r="AI671" s="8"/>
      <c r="AO671" s="8"/>
    </row>
    <row r="672" spans="2:41">
      <c r="B672" s="8"/>
      <c r="C672" s="8"/>
      <c r="D672" s="8"/>
      <c r="E672" s="8"/>
      <c r="H672" s="8"/>
      <c r="I672" s="128"/>
      <c r="J672" s="130"/>
      <c r="K672" s="8"/>
      <c r="M672" s="136"/>
      <c r="W672" s="8"/>
      <c r="Z672" s="8"/>
      <c r="AA672" s="8"/>
      <c r="AC672" s="8"/>
      <c r="AD672" s="8"/>
      <c r="AI672" s="8"/>
      <c r="AO672" s="8"/>
    </row>
    <row r="673" spans="2:41">
      <c r="B673" s="8"/>
      <c r="C673" s="8"/>
      <c r="D673" s="8"/>
      <c r="E673" s="8"/>
      <c r="H673" s="8"/>
      <c r="I673" s="128"/>
      <c r="J673" s="130"/>
      <c r="K673" s="8"/>
      <c r="M673" s="136"/>
      <c r="W673" s="8"/>
      <c r="Z673" s="8"/>
      <c r="AA673" s="8"/>
      <c r="AC673" s="8"/>
      <c r="AD673" s="8"/>
      <c r="AI673" s="8"/>
      <c r="AO673" s="8"/>
    </row>
    <row r="674" spans="2:41">
      <c r="B674" s="8"/>
      <c r="C674" s="8"/>
      <c r="D674" s="8"/>
      <c r="E674" s="8"/>
      <c r="H674" s="8"/>
      <c r="I674" s="128"/>
      <c r="J674" s="130"/>
      <c r="K674" s="8"/>
      <c r="M674" s="136"/>
      <c r="W674" s="8"/>
      <c r="Z674" s="8"/>
      <c r="AA674" s="8"/>
      <c r="AC674" s="8"/>
      <c r="AD674" s="8"/>
      <c r="AI674" s="8"/>
      <c r="AO674" s="8"/>
    </row>
    <row r="675" spans="2:11">
      <c r="B675" s="8"/>
      <c r="C675" s="8"/>
      <c r="D675" s="8"/>
      <c r="E675" s="8"/>
      <c r="H675" s="8"/>
      <c r="J675" s="130"/>
      <c r="K675" s="8"/>
    </row>
    <row r="676" spans="2:11">
      <c r="B676" s="8"/>
      <c r="C676" s="8"/>
      <c r="D676" s="8"/>
      <c r="E676" s="8"/>
      <c r="H676" s="8"/>
      <c r="J676" s="130"/>
      <c r="K676" s="124"/>
    </row>
    <row r="677" spans="5:10">
      <c r="E677" s="8"/>
      <c r="J677" s="130"/>
    </row>
    <row r="678" spans="5:10">
      <c r="E678" s="8"/>
      <c r="J678" s="130"/>
    </row>
    <row r="679" spans="5:10">
      <c r="E679" s="8"/>
      <c r="J679" s="130"/>
    </row>
    <row r="680" spans="5:10">
      <c r="E680" s="8"/>
      <c r="J680" s="130"/>
    </row>
    <row r="681" spans="5:10">
      <c r="E681" s="8"/>
      <c r="J681" s="130"/>
    </row>
    <row r="682" spans="5:10">
      <c r="E682" s="8"/>
      <c r="J682" s="130"/>
    </row>
    <row r="683" spans="5:10">
      <c r="E683" s="8"/>
      <c r="J683" s="130"/>
    </row>
    <row r="684" spans="5:10">
      <c r="E684" s="8"/>
      <c r="J684" s="130"/>
    </row>
    <row r="685" spans="5:10">
      <c r="E685" s="8"/>
      <c r="J685" s="130"/>
    </row>
    <row r="686" spans="5:10">
      <c r="E686" s="8"/>
      <c r="J686" s="130"/>
    </row>
    <row r="687" spans="5:10">
      <c r="E687" s="8"/>
      <c r="J687" s="130"/>
    </row>
    <row r="688" spans="5:10">
      <c r="E688" s="8"/>
      <c r="J688" s="130"/>
    </row>
    <row r="689" spans="5:10">
      <c r="E689" s="8"/>
      <c r="J689" s="130"/>
    </row>
    <row r="690" spans="5:10">
      <c r="E690" s="8"/>
      <c r="J690" s="130"/>
    </row>
    <row r="691" spans="5:10">
      <c r="E691" s="8"/>
      <c r="J691" s="130"/>
    </row>
    <row r="692" spans="5:10">
      <c r="E692" s="8"/>
      <c r="J692" s="130"/>
    </row>
    <row r="693" spans="5:10">
      <c r="E693" s="8"/>
      <c r="J693" s="130"/>
    </row>
    <row r="694" spans="5:10">
      <c r="E694" s="8"/>
      <c r="J694" s="130"/>
    </row>
    <row r="695" spans="5:10">
      <c r="E695" s="8"/>
      <c r="J695" s="130"/>
    </row>
    <row r="696" spans="5:10">
      <c r="E696" s="8"/>
      <c r="J696" s="130"/>
    </row>
    <row r="697" spans="5:10">
      <c r="E697" s="8"/>
      <c r="J697" s="130"/>
    </row>
    <row r="698" spans="5:10">
      <c r="E698" s="8"/>
      <c r="J698" s="130"/>
    </row>
    <row r="699" spans="5:10">
      <c r="E699" s="8"/>
      <c r="J699" s="130"/>
    </row>
    <row r="700" spans="5:10">
      <c r="E700" s="8"/>
      <c r="J700" s="130"/>
    </row>
    <row r="701" spans="5:10">
      <c r="E701" s="8"/>
      <c r="J701" s="130"/>
    </row>
    <row r="702" spans="5:10">
      <c r="E702" s="8"/>
      <c r="J702" s="130"/>
    </row>
    <row r="703" spans="5:10">
      <c r="E703" s="8"/>
      <c r="J703" s="130"/>
    </row>
    <row r="704" spans="5:10">
      <c r="E704" s="8"/>
      <c r="J704" s="130"/>
    </row>
    <row r="705" spans="5:10">
      <c r="E705" s="8"/>
      <c r="J705" s="130"/>
    </row>
    <row r="706" spans="5:10">
      <c r="E706" s="8"/>
      <c r="J706" s="130"/>
    </row>
    <row r="707" spans="5:10">
      <c r="E707" s="8"/>
      <c r="J707" s="130"/>
    </row>
    <row r="708" spans="5:10">
      <c r="E708" s="8"/>
      <c r="J708" s="130"/>
    </row>
    <row r="709" spans="5:10">
      <c r="E709" s="8"/>
      <c r="J709" s="130"/>
    </row>
    <row r="710" spans="5:10">
      <c r="E710" s="8"/>
      <c r="J710" s="130"/>
    </row>
    <row r="711" spans="5:10">
      <c r="E711" s="8"/>
      <c r="J711" s="130"/>
    </row>
    <row r="712" spans="5:10">
      <c r="E712" s="8"/>
      <c r="J712" s="130"/>
    </row>
    <row r="713" spans="5:10">
      <c r="E713" s="8"/>
      <c r="J713" s="130"/>
    </row>
    <row r="714" spans="5:10">
      <c r="E714" s="8"/>
      <c r="J714" s="130"/>
    </row>
    <row r="715" spans="5:5">
      <c r="E715" s="8"/>
    </row>
    <row r="716" spans="5:5">
      <c r="E716" s="8"/>
    </row>
  </sheetData>
  <autoFilter ref="A1:AP714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50"/>
  <sheetViews>
    <sheetView workbookViewId="0">
      <pane xSplit="5" ySplit="2" topLeftCell="F172" activePane="bottomRight" state="frozen"/>
      <selection/>
      <selection pane="topRight"/>
      <selection pane="bottomLeft"/>
      <selection pane="bottomRight" activeCell="A177" sqref="$A177:$XFD177"/>
    </sheetView>
  </sheetViews>
  <sheetFormatPr defaultColWidth="9" defaultRowHeight="13.8"/>
  <cols>
    <col min="1" max="1" width="2.12962962962963" style="14" customWidth="1"/>
    <col min="2" max="2" width="5.12962962962963" style="14" customWidth="1"/>
    <col min="3" max="3" width="27.1296296296296" style="14" customWidth="1"/>
    <col min="4" max="5" width="4.25" style="14" customWidth="1"/>
    <col min="6" max="6" width="8.12962962962963" style="15" customWidth="1"/>
    <col min="7" max="8" width="6.12962962962963" style="15" customWidth="1"/>
    <col min="9" max="9" width="6.62962962962963" style="15" customWidth="1"/>
    <col min="10" max="10" width="4.87962962962963" style="15" customWidth="1"/>
    <col min="11" max="11" width="5.12962962962963" style="15" customWidth="1"/>
    <col min="12" max="12" width="4.62962962962963" style="15" customWidth="1"/>
    <col min="13" max="13" width="5.25" style="15" customWidth="1"/>
    <col min="14" max="15" width="4.37962962962963" style="15" customWidth="1"/>
    <col min="16" max="19" width="5" style="38" customWidth="1"/>
    <col min="20" max="20" width="37.6296296296296" style="39" customWidth="1"/>
    <col min="21" max="21" width="50.3796296296296" style="40" customWidth="1"/>
    <col min="22" max="22" width="8.62962962962963" style="41" customWidth="1"/>
    <col min="23" max="43" width="8.62962962962963" style="42" customWidth="1"/>
    <col min="44" max="45" width="8.62962962962963" style="43" customWidth="1"/>
    <col min="46" max="91" width="8.62962962962963" style="42" customWidth="1"/>
    <col min="92" max="92" width="9.62962962962963" style="13" hidden="1" customWidth="1"/>
    <col min="93" max="93" width="14.5" style="13" hidden="1" customWidth="1"/>
    <col min="94" max="94" width="12" style="13" hidden="1" customWidth="1"/>
    <col min="95" max="95" width="13.1296296296296" style="13" hidden="1" customWidth="1"/>
    <col min="96" max="98" width="15.3796296296296" style="13" hidden="1" customWidth="1"/>
    <col min="99" max="99" width="46" style="6" customWidth="1"/>
    <col min="100" max="104" width="9" style="6"/>
    <col min="105" max="105" width="63" style="6" customWidth="1"/>
    <col min="106" max="119" width="3.62962962962963" style="44" customWidth="1"/>
    <col min="120" max="120" width="14.8796296296296" style="44" customWidth="1"/>
    <col min="121" max="131" width="3.62962962962963" style="44" customWidth="1"/>
    <col min="132" max="132" width="19.8796296296296" style="44" customWidth="1"/>
    <col min="133" max="133" width="9" style="44" customWidth="1"/>
    <col min="134" max="146" width="3.62962962962963" style="44" customWidth="1"/>
    <col min="147" max="147" width="4" style="6" customWidth="1"/>
    <col min="148" max="175" width="3.62962962962963" style="6" customWidth="1"/>
    <col min="176" max="16384" width="9" style="6"/>
  </cols>
  <sheetData>
    <row r="1" spans="6:174">
      <c r="F1" s="45" t="s">
        <v>95</v>
      </c>
      <c r="G1" s="45"/>
      <c r="H1" s="45"/>
      <c r="I1" s="45"/>
      <c r="J1" s="45"/>
      <c r="K1" s="45"/>
      <c r="L1" s="45"/>
      <c r="M1" s="45"/>
      <c r="N1" s="45"/>
      <c r="O1" s="45"/>
      <c r="P1" s="52" t="s">
        <v>96</v>
      </c>
      <c r="Q1" s="56"/>
      <c r="R1" s="56"/>
      <c r="S1" s="53"/>
      <c r="T1" s="57" t="s">
        <v>7</v>
      </c>
      <c r="U1" s="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6">
        <v>23</v>
      </c>
      <c r="AS1" s="6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97</v>
      </c>
      <c r="CR1" s="69" t="s">
        <v>97</v>
      </c>
      <c r="CS1" s="71"/>
      <c r="CT1" s="71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7" t="s">
        <v>98</v>
      </c>
      <c r="FK1" s="37" t="s">
        <v>98</v>
      </c>
      <c r="FL1" s="37" t="s">
        <v>98</v>
      </c>
      <c r="FM1" s="37" t="s">
        <v>98</v>
      </c>
      <c r="FN1" s="37" t="s">
        <v>98</v>
      </c>
      <c r="FO1" s="37" t="s">
        <v>98</v>
      </c>
      <c r="FP1" s="37" t="s">
        <v>98</v>
      </c>
      <c r="FQ1" s="37" t="s">
        <v>98</v>
      </c>
      <c r="FR1" s="37" t="s">
        <v>98</v>
      </c>
    </row>
    <row r="2" ht="14.4" spans="2:175">
      <c r="B2" s="14" t="s">
        <v>99</v>
      </c>
      <c r="D2" s="14" t="s">
        <v>100</v>
      </c>
      <c r="E2" s="14" t="s">
        <v>101</v>
      </c>
      <c r="F2" s="15" t="s">
        <v>102</v>
      </c>
      <c r="G2" s="15" t="s">
        <v>103</v>
      </c>
      <c r="H2" s="15" t="s">
        <v>104</v>
      </c>
      <c r="I2" s="15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53" t="s">
        <v>102</v>
      </c>
      <c r="Q2" s="53" t="s">
        <v>112</v>
      </c>
      <c r="R2" s="53" t="s">
        <v>113</v>
      </c>
      <c r="S2" s="53" t="s">
        <v>114</v>
      </c>
      <c r="T2" s="58" t="s">
        <v>115</v>
      </c>
      <c r="U2" s="40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6" t="s">
        <v>138</v>
      </c>
      <c r="AS2" s="66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8" t="s">
        <v>152</v>
      </c>
      <c r="BM2" s="68" t="s">
        <v>153</v>
      </c>
      <c r="BN2" s="68" t="s">
        <v>154</v>
      </c>
      <c r="BO2" s="68" t="s">
        <v>155</v>
      </c>
      <c r="BP2" s="68" t="s">
        <v>156</v>
      </c>
      <c r="BQ2" s="68" t="s">
        <v>157</v>
      </c>
      <c r="BR2" s="68" t="s">
        <v>158</v>
      </c>
      <c r="BS2" s="68" t="s">
        <v>159</v>
      </c>
      <c r="BT2" s="3" t="s">
        <v>160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161</v>
      </c>
      <c r="CO2" s="13" t="s">
        <v>162</v>
      </c>
      <c r="CP2" s="13" t="s">
        <v>163</v>
      </c>
      <c r="CQ2" s="13" t="s">
        <v>164</v>
      </c>
      <c r="CR2" s="13" t="s">
        <v>165</v>
      </c>
      <c r="CS2" s="13" t="s">
        <v>166</v>
      </c>
      <c r="CT2" s="13" t="s">
        <v>167</v>
      </c>
      <c r="DB2" s="73" t="str">
        <f>V2</f>
        <v>攻击</v>
      </c>
      <c r="DC2" s="73" t="str">
        <f t="shared" ref="DC2:FN2" si="0">W2</f>
        <v>业力</v>
      </c>
      <c r="DD2" s="73" t="str">
        <f t="shared" si="0"/>
        <v>护甲</v>
      </c>
      <c r="DE2" s="73" t="str">
        <f t="shared" si="0"/>
        <v>法抗</v>
      </c>
      <c r="DF2" s="73" t="str">
        <f t="shared" si="0"/>
        <v>生命值</v>
      </c>
      <c r="DG2" s="73" t="str">
        <f t="shared" si="0"/>
        <v>魔法值</v>
      </c>
      <c r="DH2" s="73" t="str">
        <f t="shared" si="0"/>
        <v>生命回复</v>
      </c>
      <c r="DI2" s="73" t="str">
        <f t="shared" si="0"/>
        <v>魔法回复</v>
      </c>
      <c r="DJ2" s="73" t="str">
        <f t="shared" si="0"/>
        <v>攻速</v>
      </c>
      <c r="DK2" s="73" t="str">
        <f t="shared" si="0"/>
        <v>闪避</v>
      </c>
      <c r="DL2" s="73" t="str">
        <f t="shared" si="0"/>
        <v>免伤</v>
      </c>
      <c r="DM2" s="73" t="str">
        <f t="shared" si="0"/>
        <v>普攻伤害</v>
      </c>
      <c r="DN2" s="73" t="str">
        <f t="shared" si="0"/>
        <v>物理穿透</v>
      </c>
      <c r="DO2" s="73" t="str">
        <f t="shared" si="0"/>
        <v>法术穿透</v>
      </c>
      <c r="DP2" s="73" t="str">
        <f t="shared" si="0"/>
        <v>物理伤害</v>
      </c>
      <c r="DQ2" s="73" t="str">
        <f t="shared" si="0"/>
        <v>法术伤害</v>
      </c>
      <c r="DR2" s="73" t="str">
        <f t="shared" si="0"/>
        <v>伤害加成</v>
      </c>
      <c r="DS2" s="73" t="str">
        <f t="shared" si="0"/>
        <v>伤害减免</v>
      </c>
      <c r="DT2" s="73" t="str">
        <f t="shared" si="0"/>
        <v>暴击</v>
      </c>
      <c r="DU2" s="73" t="str">
        <f t="shared" si="0"/>
        <v>暴伤</v>
      </c>
      <c r="DV2" s="73" t="str">
        <f t="shared" si="0"/>
        <v>伤害吸取</v>
      </c>
      <c r="DW2" s="73" t="str">
        <f t="shared" si="0"/>
        <v>分裂</v>
      </c>
      <c r="DX2" s="73" t="str">
        <f t="shared" si="0"/>
        <v>致命概率</v>
      </c>
      <c r="DY2" s="73" t="str">
        <f t="shared" si="0"/>
        <v>致命倍率</v>
      </c>
      <c r="DZ2" s="73" t="str">
        <f t="shared" si="0"/>
        <v>冷却缩减</v>
      </c>
      <c r="EA2" s="73" t="str">
        <f t="shared" si="0"/>
        <v>冷却降低</v>
      </c>
      <c r="EB2" s="73" t="str">
        <f t="shared" si="0"/>
        <v>触发概率</v>
      </c>
      <c r="EC2" s="73" t="str">
        <f t="shared" si="0"/>
        <v>生命恢复%</v>
      </c>
      <c r="ED2" s="73" t="str">
        <f t="shared" si="0"/>
        <v>魔法恢复%</v>
      </c>
      <c r="EE2" s="73">
        <f t="shared" si="0"/>
        <v>0</v>
      </c>
      <c r="EF2" s="73" t="str">
        <f t="shared" si="0"/>
        <v>生命%</v>
      </c>
      <c r="EG2" s="73" t="str">
        <f t="shared" si="0"/>
        <v>攻击%</v>
      </c>
      <c r="EH2" s="73" t="str">
        <f t="shared" si="0"/>
        <v>法强%</v>
      </c>
      <c r="EI2" s="73" t="str">
        <f t="shared" si="0"/>
        <v>攻速-%</v>
      </c>
      <c r="EJ2" s="73" t="str">
        <f t="shared" si="0"/>
        <v>冷却-%</v>
      </c>
      <c r="EK2" s="73">
        <f t="shared" si="0"/>
        <v>0</v>
      </c>
      <c r="EL2" s="73">
        <f t="shared" si="0"/>
        <v>0</v>
      </c>
      <c r="EM2" s="73">
        <f t="shared" si="0"/>
        <v>0</v>
      </c>
      <c r="EN2" s="73">
        <f t="shared" si="0"/>
        <v>0</v>
      </c>
      <c r="EO2" s="73" t="str">
        <f t="shared" si="0"/>
        <v>元神力</v>
      </c>
      <c r="EP2" s="73" t="str">
        <f t="shared" si="0"/>
        <v>金币加成</v>
      </c>
      <c r="EQ2" s="73">
        <f t="shared" si="0"/>
        <v>0</v>
      </c>
      <c r="ER2" s="73" t="str">
        <f t="shared" si="0"/>
        <v>杀敌攻击</v>
      </c>
      <c r="ES2" s="73" t="str">
        <f t="shared" si="0"/>
        <v>杀敌业力</v>
      </c>
      <c r="ET2" s="73" t="str">
        <f t="shared" si="0"/>
        <v>杀敌生命</v>
      </c>
      <c r="EU2" s="73" t="str">
        <f t="shared" si="0"/>
        <v>杀敌金币</v>
      </c>
      <c r="EV2" s="73" t="str">
        <f t="shared" si="0"/>
        <v>每秒攻击</v>
      </c>
      <c r="EW2" s="73" t="str">
        <f t="shared" si="0"/>
        <v>每秒业力</v>
      </c>
      <c r="EX2" s="73" t="str">
        <f t="shared" si="0"/>
        <v>每秒生命</v>
      </c>
      <c r="EY2" s="73" t="str">
        <f t="shared" si="0"/>
        <v>每秒金币</v>
      </c>
      <c r="EZ2" s="73" t="str">
        <f t="shared" si="0"/>
        <v>攻击距离</v>
      </c>
      <c r="FA2" s="73">
        <f t="shared" si="0"/>
        <v>0</v>
      </c>
      <c r="FB2" s="73">
        <f t="shared" si="0"/>
        <v>0</v>
      </c>
      <c r="FC2" s="73">
        <f t="shared" si="0"/>
        <v>0</v>
      </c>
      <c r="FD2" s="73">
        <f t="shared" si="0"/>
        <v>0</v>
      </c>
      <c r="FE2" s="73">
        <f t="shared" si="0"/>
        <v>0</v>
      </c>
      <c r="FF2" s="73">
        <f t="shared" si="0"/>
        <v>0</v>
      </c>
      <c r="FG2" s="73">
        <f t="shared" si="0"/>
        <v>0</v>
      </c>
      <c r="FH2" s="73">
        <f t="shared" si="0"/>
        <v>0</v>
      </c>
      <c r="FI2" s="73">
        <f t="shared" si="0"/>
        <v>0</v>
      </c>
      <c r="FJ2" s="73">
        <f t="shared" si="0"/>
        <v>0</v>
      </c>
      <c r="FK2" s="73">
        <f t="shared" si="0"/>
        <v>0</v>
      </c>
      <c r="FL2" s="73">
        <f t="shared" si="0"/>
        <v>0</v>
      </c>
      <c r="FM2" s="73">
        <f t="shared" si="0"/>
        <v>0</v>
      </c>
      <c r="FN2" s="73">
        <f t="shared" si="0"/>
        <v>0</v>
      </c>
      <c r="FO2" s="73">
        <f t="shared" ref="FO2:FS2" si="1">CI2</f>
        <v>0</v>
      </c>
      <c r="FP2" s="73">
        <f t="shared" si="1"/>
        <v>0</v>
      </c>
      <c r="FQ2" s="73">
        <f t="shared" si="1"/>
        <v>0</v>
      </c>
      <c r="FR2" s="73">
        <f t="shared" si="1"/>
        <v>0</v>
      </c>
      <c r="FS2" s="73">
        <f t="shared" si="1"/>
        <v>0</v>
      </c>
    </row>
    <row r="3" s="7" customFormat="1" ht="15" spans="1:175">
      <c r="A3" s="11"/>
      <c r="B3" s="46" t="s">
        <v>168</v>
      </c>
      <c r="C3" s="11" t="s">
        <v>169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4"/>
      <c r="Q3" s="54"/>
      <c r="R3" s="54"/>
      <c r="S3" s="54"/>
      <c r="T3" s="59" t="s">
        <v>170</v>
      </c>
      <c r="U3" s="60" t="s">
        <v>171</v>
      </c>
      <c r="V3" s="61">
        <v>1000</v>
      </c>
      <c r="W3" s="61"/>
      <c r="X3" s="61"/>
      <c r="Y3" s="61"/>
      <c r="Z3" s="61"/>
      <c r="AA3" s="61"/>
      <c r="AB3" s="61"/>
      <c r="AC3" s="61"/>
      <c r="AD3" s="64"/>
      <c r="AE3" s="61"/>
      <c r="AF3" s="61"/>
      <c r="AG3" s="65"/>
      <c r="AH3" s="61"/>
      <c r="AI3" s="61"/>
      <c r="AJ3" s="61"/>
      <c r="AK3" s="61"/>
      <c r="AL3" s="65"/>
      <c r="AM3" s="61"/>
      <c r="AN3" s="61"/>
      <c r="AO3" s="61"/>
      <c r="AP3" s="61"/>
      <c r="AQ3" s="61"/>
      <c r="AR3" s="67"/>
      <c r="AS3" s="67"/>
      <c r="AT3" s="61"/>
      <c r="AU3" s="61"/>
      <c r="AV3" s="61"/>
      <c r="AW3" s="61"/>
      <c r="AX3" s="61"/>
      <c r="AY3" s="61"/>
      <c r="AZ3" s="61"/>
      <c r="BA3" s="61"/>
      <c r="BB3" s="61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1"/>
      <c r="CF3" s="61"/>
      <c r="CG3" s="61"/>
      <c r="CH3" s="61"/>
      <c r="CI3" s="61"/>
      <c r="CJ3" s="61"/>
      <c r="CK3" s="61"/>
      <c r="CL3" s="61"/>
      <c r="CM3" s="61"/>
      <c r="CN3" s="7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7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7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7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7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70"/>
      <c r="CT3" s="70"/>
      <c r="CU3" s="7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="7" customFormat="1" ht="15" spans="1:175">
      <c r="A4" s="11"/>
      <c r="B4" s="46" t="s">
        <v>172</v>
      </c>
      <c r="C4" s="11" t="s">
        <v>173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4"/>
      <c r="Q4" s="54"/>
      <c r="R4" s="54"/>
      <c r="S4" s="54"/>
      <c r="T4" s="59" t="s">
        <v>170</v>
      </c>
      <c r="U4" s="60" t="s">
        <v>171</v>
      </c>
      <c r="V4" s="61">
        <v>2500</v>
      </c>
      <c r="W4" s="61"/>
      <c r="X4" s="61"/>
      <c r="Y4" s="61"/>
      <c r="Z4" s="61"/>
      <c r="AA4" s="61"/>
      <c r="AB4" s="61"/>
      <c r="AC4" s="61"/>
      <c r="AD4" s="64"/>
      <c r="AE4" s="61"/>
      <c r="AF4" s="61"/>
      <c r="AG4" s="65"/>
      <c r="AH4" s="61"/>
      <c r="AI4" s="61"/>
      <c r="AJ4" s="61"/>
      <c r="AK4" s="61"/>
      <c r="AL4" s="65"/>
      <c r="AM4" s="61"/>
      <c r="AN4" s="61"/>
      <c r="AO4" s="61"/>
      <c r="AP4" s="61"/>
      <c r="AQ4" s="61"/>
      <c r="AR4" s="67"/>
      <c r="AS4" s="67"/>
      <c r="AT4" s="61"/>
      <c r="AU4" s="61"/>
      <c r="AV4" s="61"/>
      <c r="AW4" s="61"/>
      <c r="AX4" s="61"/>
      <c r="AY4" s="61"/>
      <c r="AZ4" s="61"/>
      <c r="BA4" s="61"/>
      <c r="BB4" s="61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1"/>
      <c r="CF4" s="61"/>
      <c r="CG4" s="61"/>
      <c r="CH4" s="61"/>
      <c r="CI4" s="61"/>
      <c r="CJ4" s="61"/>
      <c r="CK4" s="61"/>
      <c r="CL4" s="61"/>
      <c r="CM4" s="61"/>
      <c r="CN4" s="70" t="str">
        <f t="shared" si="2"/>
        <v>InitUnitState('E002',2500,,,,,,,,,)</v>
      </c>
      <c r="CO4" s="70" t="str">
        <f t="shared" si="3"/>
        <v>InitUnitNormal('E002',,,,,,,,,,)</v>
      </c>
      <c r="CP4" s="70" t="str">
        <f t="shared" si="4"/>
        <v>InitUnitMagic('E002',,,,,,,,,,)</v>
      </c>
      <c r="CQ4" s="70" t="str">
        <f t="shared" si="5"/>
        <v>InitUnitAdd('E002',,,,,,,,,,)</v>
      </c>
      <c r="CR4" s="70" t="str">
        <f t="shared" si="6"/>
        <v>InitEquipData('E002',,"",,E003,800,100,'','','','','','',"ReplaceableTextures\\CommandButtons\\BTNZ01.blp")</v>
      </c>
      <c r="CS4" s="70"/>
      <c r="CT4" s="70"/>
      <c r="CU4" s="7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="7" customFormat="1" ht="15" spans="1:175">
      <c r="A5" s="11"/>
      <c r="B5" s="46" t="s">
        <v>174</v>
      </c>
      <c r="C5" s="11" t="s">
        <v>175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4"/>
      <c r="Q5" s="54"/>
      <c r="R5" s="54"/>
      <c r="S5" s="54"/>
      <c r="T5" s="59" t="s">
        <v>170</v>
      </c>
      <c r="U5" s="60" t="s">
        <v>171</v>
      </c>
      <c r="V5" s="61">
        <v>4000</v>
      </c>
      <c r="W5" s="61"/>
      <c r="X5" s="61"/>
      <c r="Y5" s="61"/>
      <c r="Z5" s="61"/>
      <c r="AA5" s="61"/>
      <c r="AB5" s="61"/>
      <c r="AC5" s="61"/>
      <c r="AD5" s="64"/>
      <c r="AE5" s="61"/>
      <c r="AF5" s="61"/>
      <c r="AG5" s="65"/>
      <c r="AH5" s="61"/>
      <c r="AI5" s="61"/>
      <c r="AJ5" s="61"/>
      <c r="AK5" s="61"/>
      <c r="AL5" s="65"/>
      <c r="AM5" s="61"/>
      <c r="AN5" s="61"/>
      <c r="AO5" s="61"/>
      <c r="AP5" s="61"/>
      <c r="AQ5" s="61"/>
      <c r="AR5" s="67"/>
      <c r="AS5" s="67"/>
      <c r="AT5" s="61"/>
      <c r="AU5" s="61"/>
      <c r="AV5" s="61"/>
      <c r="AW5" s="61"/>
      <c r="AX5" s="61"/>
      <c r="AY5" s="61"/>
      <c r="AZ5" s="61"/>
      <c r="BA5" s="61"/>
      <c r="BB5" s="61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1"/>
      <c r="CF5" s="61"/>
      <c r="CG5" s="61"/>
      <c r="CH5" s="61"/>
      <c r="CI5" s="61"/>
      <c r="CJ5" s="61"/>
      <c r="CK5" s="61"/>
      <c r="CL5" s="61"/>
      <c r="CM5" s="61"/>
      <c r="CN5" s="70" t="str">
        <f t="shared" si="2"/>
        <v>InitUnitState('E003',4000,,,,,,,,,)</v>
      </c>
      <c r="CO5" s="70" t="str">
        <f t="shared" si="3"/>
        <v>InitUnitNormal('E003',,,,,,,,,,)</v>
      </c>
      <c r="CP5" s="70" t="str">
        <f t="shared" si="4"/>
        <v>InitUnitMagic('E003',,,,,,,,,,)</v>
      </c>
      <c r="CQ5" s="70" t="str">
        <f t="shared" si="5"/>
        <v>InitUnitAdd('E003',,,,,,,,,,)</v>
      </c>
      <c r="CR5" s="70" t="str">
        <f t="shared" si="6"/>
        <v>InitEquipData('E003',,"",,E004,800,100,'','','','','','',"ReplaceableTextures\\CommandButtons\\BTNZ01.blp")</v>
      </c>
      <c r="CS5" s="70"/>
      <c r="CT5" s="70"/>
      <c r="CU5" s="72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="7" customFormat="1" ht="15" spans="1:175">
      <c r="A6" s="11"/>
      <c r="B6" s="46" t="s">
        <v>176</v>
      </c>
      <c r="C6" s="11" t="s">
        <v>177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4"/>
      <c r="Q6" s="54"/>
      <c r="R6" s="54"/>
      <c r="S6" s="54"/>
      <c r="T6" s="59" t="s">
        <v>170</v>
      </c>
      <c r="U6" s="60" t="s">
        <v>171</v>
      </c>
      <c r="V6" s="61">
        <v>6000</v>
      </c>
      <c r="W6" s="61"/>
      <c r="X6" s="61"/>
      <c r="Y6" s="61"/>
      <c r="Z6" s="61"/>
      <c r="AA6" s="61"/>
      <c r="AB6" s="61"/>
      <c r="AC6" s="61"/>
      <c r="AD6" s="64"/>
      <c r="AE6" s="61"/>
      <c r="AF6" s="61"/>
      <c r="AG6" s="65"/>
      <c r="AH6" s="61"/>
      <c r="AI6" s="61"/>
      <c r="AJ6" s="61"/>
      <c r="AK6" s="61"/>
      <c r="AL6" s="65"/>
      <c r="AM6" s="61"/>
      <c r="AN6" s="61"/>
      <c r="AO6" s="61"/>
      <c r="AP6" s="61"/>
      <c r="AQ6" s="61"/>
      <c r="AR6" s="67"/>
      <c r="AS6" s="67"/>
      <c r="AT6" s="61"/>
      <c r="AU6" s="61"/>
      <c r="AV6" s="61"/>
      <c r="AW6" s="61"/>
      <c r="AX6" s="61"/>
      <c r="AY6" s="61"/>
      <c r="AZ6" s="61"/>
      <c r="BA6" s="61"/>
      <c r="BB6" s="61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1"/>
      <c r="CF6" s="61"/>
      <c r="CG6" s="61"/>
      <c r="CH6" s="61"/>
      <c r="CI6" s="61"/>
      <c r="CJ6" s="61"/>
      <c r="CK6" s="61"/>
      <c r="CL6" s="61"/>
      <c r="CM6" s="61"/>
      <c r="CN6" s="70" t="str">
        <f t="shared" si="2"/>
        <v>InitUnitState('E004',6000,,,,,,,,,)</v>
      </c>
      <c r="CO6" s="70" t="str">
        <f t="shared" si="3"/>
        <v>InitUnitNormal('E004',,,,,,,,,,)</v>
      </c>
      <c r="CP6" s="70" t="str">
        <f t="shared" si="4"/>
        <v>InitUnitMagic('E004',,,,,,,,,,)</v>
      </c>
      <c r="CQ6" s="70" t="str">
        <f t="shared" si="5"/>
        <v>InitUnitAdd('E004',,,,,,,,,,)</v>
      </c>
      <c r="CR6" s="70" t="str">
        <f t="shared" si="6"/>
        <v>InitEquipData('E004',,"",,E005,800,100,'','','','','','',"ReplaceableTextures\\CommandButtons\\BTNZ01.blp")</v>
      </c>
      <c r="CS6" s="70"/>
      <c r="CT6" s="70"/>
      <c r="CU6" s="72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="7" customFormat="1" ht="15" spans="1:175">
      <c r="A7" s="11"/>
      <c r="B7" s="46" t="s">
        <v>178</v>
      </c>
      <c r="C7" s="11" t="s">
        <v>179</v>
      </c>
      <c r="D7" s="47"/>
      <c r="E7" s="48"/>
      <c r="F7" s="49">
        <v>2500</v>
      </c>
      <c r="G7" s="50">
        <v>100</v>
      </c>
      <c r="H7" s="51" t="s">
        <v>180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4"/>
      <c r="Q7" s="54"/>
      <c r="R7" s="54"/>
      <c r="S7" s="54"/>
      <c r="T7" s="59" t="s">
        <v>170</v>
      </c>
      <c r="U7" s="60" t="s">
        <v>171</v>
      </c>
      <c r="V7" s="61">
        <v>8000</v>
      </c>
      <c r="W7" s="61"/>
      <c r="X7" s="61"/>
      <c r="Y7" s="61"/>
      <c r="Z7" s="61"/>
      <c r="AA7" s="61"/>
      <c r="AB7" s="61"/>
      <c r="AC7" s="61"/>
      <c r="AD7" s="64"/>
      <c r="AE7" s="61"/>
      <c r="AF7" s="61"/>
      <c r="AG7" s="65"/>
      <c r="AH7" s="61"/>
      <c r="AI7" s="61"/>
      <c r="AJ7" s="61"/>
      <c r="AK7" s="61"/>
      <c r="AL7" s="65"/>
      <c r="AM7" s="61"/>
      <c r="AN7" s="61"/>
      <c r="AO7" s="61"/>
      <c r="AP7" s="61"/>
      <c r="AQ7" s="61"/>
      <c r="AR7" s="67"/>
      <c r="AS7" s="67"/>
      <c r="AT7" s="61"/>
      <c r="AU7" s="61"/>
      <c r="AV7" s="61"/>
      <c r="AW7" s="61"/>
      <c r="AX7" s="61"/>
      <c r="AY7" s="61"/>
      <c r="AZ7" s="61"/>
      <c r="BA7" s="61"/>
      <c r="BB7" s="61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1"/>
      <c r="CF7" s="61"/>
      <c r="CG7" s="61"/>
      <c r="CH7" s="61"/>
      <c r="CI7" s="61"/>
      <c r="CJ7" s="61"/>
      <c r="CK7" s="61"/>
      <c r="CL7" s="61"/>
      <c r="CM7" s="61"/>
      <c r="CN7" s="70" t="str">
        <f t="shared" si="2"/>
        <v>InitUnitState('E005',8000,,,,,,,,,)</v>
      </c>
      <c r="CO7" s="70" t="str">
        <f t="shared" si="3"/>
        <v>InitUnitNormal('E005',,,,,,,,,,)</v>
      </c>
      <c r="CP7" s="70" t="str">
        <f t="shared" si="4"/>
        <v>InitUnitMagic('E005',,,,,,,,,,)</v>
      </c>
      <c r="CQ7" s="70" t="str">
        <f t="shared" si="5"/>
        <v>InitUnitAdd('E005',,,,,,,,,,)</v>
      </c>
      <c r="CR7" s="70" t="str">
        <f t="shared" si="6"/>
        <v>InitEquipData('E005',,"",,E006,2500,100,'','','','','','',"ReplaceableTextures\\CommandButtons\\BTNZ02.blp")</v>
      </c>
      <c r="CS7" s="70"/>
      <c r="CT7" s="70"/>
      <c r="CU7" s="72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="7" customFormat="1" ht="15" spans="1:175">
      <c r="A8" s="11"/>
      <c r="B8" s="46" t="s">
        <v>181</v>
      </c>
      <c r="C8" s="11" t="s">
        <v>182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4"/>
      <c r="Q8" s="54"/>
      <c r="R8" s="54"/>
      <c r="S8" s="54"/>
      <c r="T8" s="59" t="s">
        <v>170</v>
      </c>
      <c r="U8" s="60" t="s">
        <v>183</v>
      </c>
      <c r="V8" s="61">
        <v>12000</v>
      </c>
      <c r="W8" s="61">
        <f>V8-V7</f>
        <v>4000</v>
      </c>
      <c r="X8" s="61"/>
      <c r="Y8" s="61"/>
      <c r="Z8" s="61"/>
      <c r="AA8" s="61"/>
      <c r="AB8" s="61"/>
      <c r="AC8" s="61"/>
      <c r="AD8" s="64"/>
      <c r="AE8" s="61"/>
      <c r="AF8" s="61"/>
      <c r="AG8" s="65"/>
      <c r="AH8" s="61"/>
      <c r="AI8" s="61"/>
      <c r="AJ8" s="61"/>
      <c r="AK8" s="61"/>
      <c r="AL8" s="65"/>
      <c r="AM8" s="61"/>
      <c r="AN8" s="61">
        <v>5</v>
      </c>
      <c r="AO8" s="61">
        <v>100</v>
      </c>
      <c r="AP8" s="61">
        <v>1</v>
      </c>
      <c r="AQ8" s="61"/>
      <c r="AR8" s="67"/>
      <c r="AS8" s="67"/>
      <c r="AT8" s="61"/>
      <c r="AU8" s="61"/>
      <c r="AV8" s="61"/>
      <c r="AW8" s="61"/>
      <c r="AX8" s="61"/>
      <c r="AY8" s="61"/>
      <c r="AZ8" s="61"/>
      <c r="BA8" s="61"/>
      <c r="BB8" s="61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1"/>
      <c r="CF8" s="61"/>
      <c r="CG8" s="61"/>
      <c r="CH8" s="61"/>
      <c r="CI8" s="61"/>
      <c r="CJ8" s="61"/>
      <c r="CK8" s="61"/>
      <c r="CL8" s="61"/>
      <c r="CM8" s="61"/>
      <c r="CN8" s="70" t="str">
        <f t="shared" si="2"/>
        <v>InitUnitState('E006',12000,4000,,,,,,,,)</v>
      </c>
      <c r="CO8" s="70" t="str">
        <f t="shared" si="3"/>
        <v>InitUnitNormal('E006',,,,,,,,,5,100)</v>
      </c>
      <c r="CP8" s="70" t="str">
        <f t="shared" si="4"/>
        <v>InitUnitMagic('E006',1,,,,,,,,,)</v>
      </c>
      <c r="CQ8" s="70" t="str">
        <f t="shared" si="5"/>
        <v>InitUnitAdd('E006',,,,,,,,,,)</v>
      </c>
      <c r="CR8" s="70" t="str">
        <f t="shared" si="6"/>
        <v>InitEquipData('E006',,"",,E007,2500,85,'','','','','','',"ReplaceableTextures\\CommandButtons\\BTNZ02.blp")</v>
      </c>
      <c r="CS8" s="70"/>
      <c r="CT8" s="70"/>
      <c r="CU8" s="72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="7" customFormat="1" ht="15" spans="1:175">
      <c r="A9" s="11"/>
      <c r="B9" s="46" t="s">
        <v>184</v>
      </c>
      <c r="C9" s="11" t="s">
        <v>185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4"/>
      <c r="Q9" s="54"/>
      <c r="R9" s="54"/>
      <c r="S9" s="54"/>
      <c r="T9" s="59" t="s">
        <v>170</v>
      </c>
      <c r="U9" s="60" t="s">
        <v>183</v>
      </c>
      <c r="V9" s="61">
        <v>16000</v>
      </c>
      <c r="W9" s="61"/>
      <c r="X9" s="61"/>
      <c r="Y9" s="61"/>
      <c r="Z9" s="61"/>
      <c r="AA9" s="61"/>
      <c r="AB9" s="61"/>
      <c r="AC9" s="61"/>
      <c r="AD9" s="64"/>
      <c r="AE9" s="61"/>
      <c r="AF9" s="61"/>
      <c r="AG9" s="65"/>
      <c r="AH9" s="61"/>
      <c r="AI9" s="61"/>
      <c r="AJ9" s="61"/>
      <c r="AK9" s="61"/>
      <c r="AL9" s="65"/>
      <c r="AM9" s="61"/>
      <c r="AN9" s="61">
        <v>5</v>
      </c>
      <c r="AO9" s="61">
        <v>100</v>
      </c>
      <c r="AP9" s="61">
        <v>1</v>
      </c>
      <c r="AQ9" s="61"/>
      <c r="AR9" s="67"/>
      <c r="AS9" s="67"/>
      <c r="AT9" s="61"/>
      <c r="AU9" s="61"/>
      <c r="AV9" s="61"/>
      <c r="AW9" s="61"/>
      <c r="AX9" s="61"/>
      <c r="AY9" s="61"/>
      <c r="AZ9" s="61"/>
      <c r="BA9" s="61"/>
      <c r="BB9" s="61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1"/>
      <c r="CF9" s="61"/>
      <c r="CG9" s="61"/>
      <c r="CH9" s="61"/>
      <c r="CI9" s="61"/>
      <c r="CJ9" s="61"/>
      <c r="CK9" s="61"/>
      <c r="CL9" s="61"/>
      <c r="CM9" s="61"/>
      <c r="CN9" s="70" t="str">
        <f t="shared" si="2"/>
        <v>InitUnitState('E007',16000,,,,,,,,,)</v>
      </c>
      <c r="CO9" s="70" t="str">
        <f t="shared" si="3"/>
        <v>InitUnitNormal('E007',,,,,,,,,5,100)</v>
      </c>
      <c r="CP9" s="70" t="str">
        <f t="shared" si="4"/>
        <v>InitUnitMagic('E007',1,,,,,,,,,)</v>
      </c>
      <c r="CQ9" s="70" t="str">
        <f t="shared" si="5"/>
        <v>InitUnitAdd('E007',,,,,,,,,,)</v>
      </c>
      <c r="CR9" s="70" t="str">
        <f t="shared" si="6"/>
        <v>InitEquipData('E007',,"",,E008,2500,85,'','','','','','',"ReplaceableTextures\\CommandButtons\\BTNZ02.blp")</v>
      </c>
      <c r="CS9" s="70"/>
      <c r="CT9" s="70"/>
      <c r="CU9" s="72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="7" customFormat="1" ht="15" spans="1:175">
      <c r="A10" s="11"/>
      <c r="B10" s="46" t="s">
        <v>186</v>
      </c>
      <c r="C10" s="11" t="s">
        <v>187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4"/>
      <c r="Q10" s="54"/>
      <c r="R10" s="54"/>
      <c r="S10" s="54"/>
      <c r="T10" s="59" t="s">
        <v>170</v>
      </c>
      <c r="U10" s="60" t="s">
        <v>183</v>
      </c>
      <c r="V10" s="61">
        <v>20000</v>
      </c>
      <c r="W10" s="61"/>
      <c r="X10" s="61"/>
      <c r="Y10" s="61"/>
      <c r="Z10" s="61"/>
      <c r="AA10" s="61"/>
      <c r="AB10" s="61"/>
      <c r="AC10" s="61"/>
      <c r="AD10" s="64"/>
      <c r="AE10" s="61"/>
      <c r="AF10" s="61"/>
      <c r="AG10" s="65"/>
      <c r="AH10" s="61"/>
      <c r="AI10" s="61"/>
      <c r="AJ10" s="61"/>
      <c r="AK10" s="61"/>
      <c r="AL10" s="65"/>
      <c r="AM10" s="61"/>
      <c r="AN10" s="61">
        <v>5</v>
      </c>
      <c r="AO10" s="61">
        <v>100</v>
      </c>
      <c r="AP10" s="61">
        <v>2</v>
      </c>
      <c r="AQ10" s="61"/>
      <c r="AR10" s="67"/>
      <c r="AS10" s="67"/>
      <c r="AT10" s="61"/>
      <c r="AU10" s="61"/>
      <c r="AV10" s="61"/>
      <c r="AW10" s="61"/>
      <c r="AX10" s="61"/>
      <c r="AY10" s="61"/>
      <c r="AZ10" s="61"/>
      <c r="BA10" s="61"/>
      <c r="BB10" s="61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1"/>
      <c r="CF10" s="61"/>
      <c r="CG10" s="61"/>
      <c r="CH10" s="61"/>
      <c r="CI10" s="61"/>
      <c r="CJ10" s="61"/>
      <c r="CK10" s="61"/>
      <c r="CL10" s="61"/>
      <c r="CM10" s="61"/>
      <c r="CN10" s="70" t="str">
        <f t="shared" si="2"/>
        <v>InitUnitState('E008',20000,,,,,,,,,)</v>
      </c>
      <c r="CO10" s="70" t="str">
        <f t="shared" si="3"/>
        <v>InitUnitNormal('E008',,,,,,,,,5,100)</v>
      </c>
      <c r="CP10" s="70" t="str">
        <f t="shared" si="4"/>
        <v>InitUnitMagic('E008',2,,,,,,,,,)</v>
      </c>
      <c r="CQ10" s="70" t="str">
        <f t="shared" si="5"/>
        <v>InitUnitAdd('E008',,,,,,,,,,)</v>
      </c>
      <c r="CR10" s="70" t="str">
        <f t="shared" si="6"/>
        <v>InitEquipData('E008',,"",,E009,2500,85,'','','','','','',"ReplaceableTextures\\CommandButtons\\BTNZ02.blp")</v>
      </c>
      <c r="CS10" s="70"/>
      <c r="CT10" s="70"/>
      <c r="CU10" s="72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="7" customFormat="1" ht="15" spans="1:175">
      <c r="A11" s="11"/>
      <c r="B11" s="46" t="s">
        <v>188</v>
      </c>
      <c r="C11" s="11" t="s">
        <v>189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4"/>
      <c r="Q11" s="54"/>
      <c r="R11" s="54"/>
      <c r="S11" s="54"/>
      <c r="T11" s="59" t="s">
        <v>170</v>
      </c>
      <c r="U11" s="60" t="s">
        <v>183</v>
      </c>
      <c r="V11" s="61">
        <v>24000</v>
      </c>
      <c r="W11" s="61"/>
      <c r="X11" s="61"/>
      <c r="Y11" s="61"/>
      <c r="Z11" s="61"/>
      <c r="AA11" s="61"/>
      <c r="AB11" s="61"/>
      <c r="AC11" s="61"/>
      <c r="AD11" s="64"/>
      <c r="AE11" s="61"/>
      <c r="AF11" s="61"/>
      <c r="AG11" s="65"/>
      <c r="AH11" s="61"/>
      <c r="AI11" s="61"/>
      <c r="AJ11" s="61"/>
      <c r="AK11" s="61"/>
      <c r="AL11" s="65"/>
      <c r="AM11" s="61"/>
      <c r="AN11" s="61">
        <v>5</v>
      </c>
      <c r="AO11" s="61">
        <v>100</v>
      </c>
      <c r="AP11" s="61">
        <v>2</v>
      </c>
      <c r="AQ11" s="61"/>
      <c r="AR11" s="67"/>
      <c r="AS11" s="67"/>
      <c r="AT11" s="61"/>
      <c r="AU11" s="61"/>
      <c r="AV11" s="61"/>
      <c r="AW11" s="61"/>
      <c r="AX11" s="61"/>
      <c r="AY11" s="61"/>
      <c r="AZ11" s="61"/>
      <c r="BA11" s="61"/>
      <c r="BB11" s="6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1"/>
      <c r="CF11" s="61"/>
      <c r="CG11" s="61"/>
      <c r="CH11" s="61"/>
      <c r="CI11" s="61"/>
      <c r="CJ11" s="61"/>
      <c r="CK11" s="61"/>
      <c r="CL11" s="61"/>
      <c r="CM11" s="61"/>
      <c r="CN11" s="70" t="str">
        <f t="shared" si="2"/>
        <v>InitUnitState('E009',24000,,,,,,,,,)</v>
      </c>
      <c r="CO11" s="70" t="str">
        <f t="shared" si="3"/>
        <v>InitUnitNormal('E009',,,,,,,,,5,100)</v>
      </c>
      <c r="CP11" s="70" t="str">
        <f t="shared" si="4"/>
        <v>InitUnitMagic('E009',2,,,,,,,,,)</v>
      </c>
      <c r="CQ11" s="70" t="str">
        <f t="shared" si="5"/>
        <v>InitUnitAdd('E009',,,,,,,,,,)</v>
      </c>
      <c r="CR11" s="70" t="str">
        <f t="shared" si="6"/>
        <v>InitEquipData('E009',,"",,E010,2500,85,'','','','','','',"ReplaceableTextures\\CommandButtons\\BTNZ02.blp")</v>
      </c>
      <c r="CS11" s="70"/>
      <c r="CT11" s="70"/>
      <c r="CU11" s="72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="7" customFormat="1" ht="15" spans="1:175">
      <c r="A12" s="11"/>
      <c r="B12" s="46" t="s">
        <v>190</v>
      </c>
      <c r="C12" s="11" t="s">
        <v>191</v>
      </c>
      <c r="D12" s="47"/>
      <c r="E12" s="48"/>
      <c r="F12" s="49">
        <v>10000</v>
      </c>
      <c r="G12" s="50">
        <v>100</v>
      </c>
      <c r="H12" s="51" t="s">
        <v>192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4"/>
      <c r="Q12" s="54"/>
      <c r="R12" s="54"/>
      <c r="S12" s="54"/>
      <c r="T12" s="59" t="s">
        <v>170</v>
      </c>
      <c r="U12" s="60" t="s">
        <v>183</v>
      </c>
      <c r="V12" s="61">
        <v>28000</v>
      </c>
      <c r="W12" s="61"/>
      <c r="X12" s="61"/>
      <c r="Y12" s="61"/>
      <c r="Z12" s="61"/>
      <c r="AA12" s="61"/>
      <c r="AB12" s="61"/>
      <c r="AC12" s="61"/>
      <c r="AD12" s="64"/>
      <c r="AE12" s="61"/>
      <c r="AF12" s="61"/>
      <c r="AG12" s="65"/>
      <c r="AH12" s="61"/>
      <c r="AI12" s="61"/>
      <c r="AJ12" s="61"/>
      <c r="AK12" s="61"/>
      <c r="AL12" s="65"/>
      <c r="AM12" s="61"/>
      <c r="AN12" s="61">
        <v>5</v>
      </c>
      <c r="AO12" s="61">
        <v>100</v>
      </c>
      <c r="AP12" s="61">
        <v>2</v>
      </c>
      <c r="AQ12" s="61"/>
      <c r="AR12" s="67"/>
      <c r="AS12" s="67"/>
      <c r="AT12" s="61"/>
      <c r="AU12" s="61"/>
      <c r="AV12" s="61"/>
      <c r="AW12" s="61"/>
      <c r="AX12" s="61"/>
      <c r="AY12" s="61"/>
      <c r="AZ12" s="61"/>
      <c r="BA12" s="61"/>
      <c r="BB12" s="61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1"/>
      <c r="CF12" s="61"/>
      <c r="CG12" s="61"/>
      <c r="CH12" s="61"/>
      <c r="CI12" s="61"/>
      <c r="CJ12" s="61"/>
      <c r="CK12" s="61"/>
      <c r="CL12" s="61"/>
      <c r="CM12" s="61"/>
      <c r="CN12" s="70" t="str">
        <f t="shared" si="2"/>
        <v>InitUnitState('E010',28000,,,,,,,,,)</v>
      </c>
      <c r="CO12" s="70" t="str">
        <f t="shared" si="3"/>
        <v>InitUnitNormal('E010',,,,,,,,,5,100)</v>
      </c>
      <c r="CP12" s="70" t="str">
        <f t="shared" si="4"/>
        <v>InitUnitMagic('E010',2,,,,,,,,,)</v>
      </c>
      <c r="CQ12" s="70" t="str">
        <f t="shared" si="5"/>
        <v>InitUnitAdd('E010',,,,,,,,,,)</v>
      </c>
      <c r="CR12" s="70" t="str">
        <f t="shared" si="6"/>
        <v>InitEquipData('E010',,"",,E011,10000,100,'','','','','','',"ReplaceableTextures\\CommandButtons\\BTNZ03.blp")</v>
      </c>
      <c r="CS12" s="70"/>
      <c r="CT12" s="70"/>
      <c r="CU12" s="72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="7" customFormat="1" ht="15" spans="1:175">
      <c r="A13" s="11"/>
      <c r="B13" s="46" t="s">
        <v>193</v>
      </c>
      <c r="C13" s="11" t="s">
        <v>194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4"/>
      <c r="Q13" s="54"/>
      <c r="R13" s="54"/>
      <c r="S13" s="54"/>
      <c r="T13" s="59" t="s">
        <v>170</v>
      </c>
      <c r="U13" s="60" t="s">
        <v>195</v>
      </c>
      <c r="V13" s="61">
        <v>60000</v>
      </c>
      <c r="W13" s="61">
        <f>V13-V12</f>
        <v>32000</v>
      </c>
      <c r="X13" s="61"/>
      <c r="Y13" s="61"/>
      <c r="Z13" s="61"/>
      <c r="AA13" s="61"/>
      <c r="AB13" s="61"/>
      <c r="AC13" s="61"/>
      <c r="AD13" s="64"/>
      <c r="AE13" s="61"/>
      <c r="AF13" s="61"/>
      <c r="AG13" s="65"/>
      <c r="AH13" s="61"/>
      <c r="AI13" s="61"/>
      <c r="AJ13" s="61"/>
      <c r="AK13" s="61"/>
      <c r="AL13" s="65"/>
      <c r="AM13" s="61"/>
      <c r="AN13" s="61">
        <v>6</v>
      </c>
      <c r="AO13" s="61">
        <f t="shared" ref="AO13:AO27" si="219">AO8+100</f>
        <v>200</v>
      </c>
      <c r="AP13" s="61">
        <v>3</v>
      </c>
      <c r="AQ13" s="61"/>
      <c r="AR13" s="67"/>
      <c r="AS13" s="67"/>
      <c r="AT13" s="61"/>
      <c r="AU13" s="61"/>
      <c r="AV13" s="61"/>
      <c r="AW13" s="61"/>
      <c r="AX13" s="61"/>
      <c r="AY13" s="61"/>
      <c r="AZ13" s="61"/>
      <c r="BA13" s="61"/>
      <c r="BB13" s="61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1"/>
      <c r="CF13" s="61"/>
      <c r="CG13" s="61"/>
      <c r="CH13" s="61"/>
      <c r="CI13" s="61"/>
      <c r="CJ13" s="61"/>
      <c r="CK13" s="61"/>
      <c r="CL13" s="61"/>
      <c r="CM13" s="61"/>
      <c r="CN13" s="70" t="str">
        <f t="shared" si="2"/>
        <v>InitUnitState('E011',60000,32000,,,,,,,,)</v>
      </c>
      <c r="CO13" s="70" t="str">
        <f t="shared" si="3"/>
        <v>InitUnitNormal('E011',,,,,,,,,6,200)</v>
      </c>
      <c r="CP13" s="70" t="str">
        <f t="shared" si="4"/>
        <v>InitUnitMagic('E011',3,,,,,,,,,)</v>
      </c>
      <c r="CQ13" s="70" t="str">
        <f t="shared" si="5"/>
        <v>InitUnitAdd('E011',,,,,,,,,,)</v>
      </c>
      <c r="CR13" s="70" t="str">
        <f t="shared" si="6"/>
        <v>InitEquipData('E011',,"",,E012,8000,70,'','','','','','',"ReplaceableTextures\\CommandButtons\\BTNZ03.blp")</v>
      </c>
      <c r="CS13" s="70"/>
      <c r="CT13" s="70"/>
      <c r="CU13" s="72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="7" customFormat="1" ht="15" spans="1:175">
      <c r="A14" s="11"/>
      <c r="B14" s="46" t="s">
        <v>196</v>
      </c>
      <c r="C14" s="11" t="s">
        <v>197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4"/>
      <c r="Q14" s="54"/>
      <c r="R14" s="54"/>
      <c r="S14" s="54"/>
      <c r="T14" s="59" t="s">
        <v>170</v>
      </c>
      <c r="U14" s="60" t="s">
        <v>195</v>
      </c>
      <c r="V14" s="61">
        <v>80000</v>
      </c>
      <c r="W14" s="61"/>
      <c r="X14" s="61"/>
      <c r="Y14" s="61"/>
      <c r="Z14" s="61"/>
      <c r="AA14" s="61"/>
      <c r="AB14" s="61"/>
      <c r="AC14" s="61"/>
      <c r="AD14" s="64"/>
      <c r="AE14" s="61"/>
      <c r="AF14" s="61"/>
      <c r="AG14" s="65"/>
      <c r="AH14" s="61"/>
      <c r="AI14" s="61"/>
      <c r="AJ14" s="61"/>
      <c r="AK14" s="61"/>
      <c r="AL14" s="65"/>
      <c r="AM14" s="61"/>
      <c r="AN14" s="61">
        <v>6</v>
      </c>
      <c r="AO14" s="61">
        <f t="shared" si="219"/>
        <v>200</v>
      </c>
      <c r="AP14" s="61">
        <v>3</v>
      </c>
      <c r="AQ14" s="61"/>
      <c r="AR14" s="67"/>
      <c r="AS14" s="67"/>
      <c r="AT14" s="61"/>
      <c r="AU14" s="61"/>
      <c r="AV14" s="61"/>
      <c r="AW14" s="61"/>
      <c r="AX14" s="61"/>
      <c r="AY14" s="61"/>
      <c r="AZ14" s="61"/>
      <c r="BA14" s="61"/>
      <c r="BB14" s="61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1"/>
      <c r="CF14" s="61"/>
      <c r="CG14" s="61"/>
      <c r="CH14" s="61"/>
      <c r="CI14" s="61"/>
      <c r="CJ14" s="61"/>
      <c r="CK14" s="61"/>
      <c r="CL14" s="61"/>
      <c r="CM14" s="61"/>
      <c r="CN14" s="70" t="str">
        <f t="shared" si="2"/>
        <v>InitUnitState('E012',80000,,,,,,,,,)</v>
      </c>
      <c r="CO14" s="70" t="str">
        <f t="shared" si="3"/>
        <v>InitUnitNormal('E012',,,,,,,,,6,200)</v>
      </c>
      <c r="CP14" s="70" t="str">
        <f t="shared" si="4"/>
        <v>InitUnitMagic('E012',3,,,,,,,,,)</v>
      </c>
      <c r="CQ14" s="70" t="str">
        <f t="shared" si="5"/>
        <v>InitUnitAdd('E012',,,,,,,,,,)</v>
      </c>
      <c r="CR14" s="70" t="str">
        <f t="shared" si="6"/>
        <v>InitEquipData('E012',,"",,E013,8000,70,'','','','','','',"ReplaceableTextures\\CommandButtons\\BTNZ03.blp")</v>
      </c>
      <c r="CS14" s="70"/>
      <c r="CT14" s="70"/>
      <c r="CU14" s="72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="7" customFormat="1" ht="15" spans="1:175">
      <c r="A15" s="11"/>
      <c r="B15" s="46" t="s">
        <v>198</v>
      </c>
      <c r="C15" s="11" t="s">
        <v>199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4"/>
      <c r="Q15" s="54"/>
      <c r="R15" s="54"/>
      <c r="S15" s="54"/>
      <c r="T15" s="59" t="s">
        <v>170</v>
      </c>
      <c r="U15" s="60" t="s">
        <v>195</v>
      </c>
      <c r="V15" s="61">
        <v>100000</v>
      </c>
      <c r="W15" s="61"/>
      <c r="X15" s="61"/>
      <c r="Y15" s="61"/>
      <c r="Z15" s="61"/>
      <c r="AA15" s="61"/>
      <c r="AB15" s="61"/>
      <c r="AC15" s="61"/>
      <c r="AD15" s="64"/>
      <c r="AE15" s="61"/>
      <c r="AF15" s="61"/>
      <c r="AG15" s="65"/>
      <c r="AH15" s="61"/>
      <c r="AI15" s="61"/>
      <c r="AJ15" s="61"/>
      <c r="AK15" s="61"/>
      <c r="AL15" s="65"/>
      <c r="AM15" s="61"/>
      <c r="AN15" s="61">
        <v>6</v>
      </c>
      <c r="AO15" s="61">
        <f t="shared" si="219"/>
        <v>200</v>
      </c>
      <c r="AP15" s="61">
        <v>3</v>
      </c>
      <c r="AQ15" s="61"/>
      <c r="AR15" s="67"/>
      <c r="AS15" s="67"/>
      <c r="AT15" s="61"/>
      <c r="AU15" s="61"/>
      <c r="AV15" s="61"/>
      <c r="AW15" s="61"/>
      <c r="AX15" s="61"/>
      <c r="AY15" s="61"/>
      <c r="AZ15" s="61"/>
      <c r="BA15" s="61"/>
      <c r="BB15" s="61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1"/>
      <c r="CF15" s="61"/>
      <c r="CG15" s="61"/>
      <c r="CH15" s="61"/>
      <c r="CI15" s="61"/>
      <c r="CJ15" s="61"/>
      <c r="CK15" s="61"/>
      <c r="CL15" s="61"/>
      <c r="CM15" s="61"/>
      <c r="CN15" s="70" t="str">
        <f t="shared" si="2"/>
        <v>InitUnitState('E013',100000,,,,,,,,,)</v>
      </c>
      <c r="CO15" s="70" t="str">
        <f t="shared" si="3"/>
        <v>InitUnitNormal('E013',,,,,,,,,6,200)</v>
      </c>
      <c r="CP15" s="70" t="str">
        <f t="shared" si="4"/>
        <v>InitUnitMagic('E013',3,,,,,,,,,)</v>
      </c>
      <c r="CQ15" s="70" t="str">
        <f t="shared" si="5"/>
        <v>InitUnitAdd('E013',,,,,,,,,,)</v>
      </c>
      <c r="CR15" s="70" t="str">
        <f t="shared" si="6"/>
        <v>InitEquipData('E013',,"",,E014,8000,70,'','','','','','',"ReplaceableTextures\\CommandButtons\\BTNZ03.blp")</v>
      </c>
      <c r="CS15" s="70"/>
      <c r="CT15" s="70"/>
      <c r="CU15" s="72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="7" customFormat="1" ht="15" spans="1:175">
      <c r="A16" s="11"/>
      <c r="B16" s="46" t="s">
        <v>200</v>
      </c>
      <c r="C16" s="11" t="s">
        <v>201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4"/>
      <c r="Q16" s="54"/>
      <c r="R16" s="54"/>
      <c r="S16" s="54"/>
      <c r="T16" s="59" t="s">
        <v>170</v>
      </c>
      <c r="U16" s="60" t="s">
        <v>195</v>
      </c>
      <c r="V16" s="61">
        <v>120000</v>
      </c>
      <c r="W16" s="61"/>
      <c r="X16" s="61"/>
      <c r="Y16" s="61"/>
      <c r="Z16" s="61"/>
      <c r="AA16" s="61"/>
      <c r="AB16" s="61"/>
      <c r="AC16" s="61"/>
      <c r="AD16" s="64"/>
      <c r="AE16" s="61"/>
      <c r="AF16" s="61"/>
      <c r="AG16" s="65"/>
      <c r="AH16" s="61"/>
      <c r="AI16" s="61"/>
      <c r="AJ16" s="61"/>
      <c r="AK16" s="61"/>
      <c r="AL16" s="65"/>
      <c r="AM16" s="61"/>
      <c r="AN16" s="61">
        <v>6</v>
      </c>
      <c r="AO16" s="61">
        <f t="shared" si="219"/>
        <v>200</v>
      </c>
      <c r="AP16" s="61">
        <v>3</v>
      </c>
      <c r="AQ16" s="61"/>
      <c r="AR16" s="67"/>
      <c r="AS16" s="67"/>
      <c r="AT16" s="61"/>
      <c r="AU16" s="61"/>
      <c r="AV16" s="61"/>
      <c r="AW16" s="61"/>
      <c r="AX16" s="61"/>
      <c r="AY16" s="61"/>
      <c r="AZ16" s="61"/>
      <c r="BA16" s="61"/>
      <c r="BB16" s="61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1"/>
      <c r="CF16" s="61"/>
      <c r="CG16" s="61"/>
      <c r="CH16" s="61"/>
      <c r="CI16" s="61"/>
      <c r="CJ16" s="61"/>
      <c r="CK16" s="61"/>
      <c r="CL16" s="61"/>
      <c r="CM16" s="61"/>
      <c r="CN16" s="70" t="str">
        <f t="shared" si="2"/>
        <v>InitUnitState('E014',120000,,,,,,,,,)</v>
      </c>
      <c r="CO16" s="70" t="str">
        <f t="shared" si="3"/>
        <v>InitUnitNormal('E014',,,,,,,,,6,200)</v>
      </c>
      <c r="CP16" s="70" t="str">
        <f t="shared" si="4"/>
        <v>InitUnitMagic('E014',3,,,,,,,,,)</v>
      </c>
      <c r="CQ16" s="70" t="str">
        <f t="shared" si="5"/>
        <v>InitUnitAdd('E014',,,,,,,,,,)</v>
      </c>
      <c r="CR16" s="70" t="str">
        <f t="shared" si="6"/>
        <v>InitEquipData('E014',,"",,E015,8000,70,'','','','','','',"ReplaceableTextures\\CommandButtons\\BTNZ03.blp")</v>
      </c>
      <c r="CS16" s="70"/>
      <c r="CT16" s="70"/>
      <c r="CU16" s="72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="7" customFormat="1" ht="15" spans="1:175">
      <c r="A17" s="11"/>
      <c r="B17" s="46" t="s">
        <v>202</v>
      </c>
      <c r="C17" s="11" t="s">
        <v>203</v>
      </c>
      <c r="D17" s="47"/>
      <c r="E17" s="48"/>
      <c r="F17" s="49">
        <v>30000</v>
      </c>
      <c r="G17" s="50">
        <v>100</v>
      </c>
      <c r="H17" s="51" t="s">
        <v>204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4"/>
      <c r="Q17" s="54"/>
      <c r="R17" s="54"/>
      <c r="S17" s="54"/>
      <c r="T17" s="59" t="s">
        <v>170</v>
      </c>
      <c r="U17" s="60" t="s">
        <v>195</v>
      </c>
      <c r="V17" s="61">
        <v>140000</v>
      </c>
      <c r="W17" s="61"/>
      <c r="X17" s="61"/>
      <c r="Y17" s="61"/>
      <c r="Z17" s="61"/>
      <c r="AA17" s="61"/>
      <c r="AB17" s="61"/>
      <c r="AC17" s="61"/>
      <c r="AD17" s="64"/>
      <c r="AE17" s="61"/>
      <c r="AF17" s="61"/>
      <c r="AG17" s="65"/>
      <c r="AH17" s="61"/>
      <c r="AI17" s="61"/>
      <c r="AJ17" s="61"/>
      <c r="AK17" s="61"/>
      <c r="AL17" s="65"/>
      <c r="AM17" s="61"/>
      <c r="AN17" s="61">
        <v>6</v>
      </c>
      <c r="AO17" s="61">
        <f t="shared" si="219"/>
        <v>200</v>
      </c>
      <c r="AP17" s="61">
        <v>3</v>
      </c>
      <c r="AQ17" s="61"/>
      <c r="AR17" s="67"/>
      <c r="AS17" s="67"/>
      <c r="AT17" s="61"/>
      <c r="AU17" s="61"/>
      <c r="AV17" s="61"/>
      <c r="AW17" s="61"/>
      <c r="AX17" s="61"/>
      <c r="AY17" s="61"/>
      <c r="AZ17" s="61"/>
      <c r="BA17" s="61"/>
      <c r="BB17" s="61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1"/>
      <c r="CF17" s="61"/>
      <c r="CG17" s="61"/>
      <c r="CH17" s="61"/>
      <c r="CI17" s="61"/>
      <c r="CJ17" s="61"/>
      <c r="CK17" s="61"/>
      <c r="CL17" s="61"/>
      <c r="CM17" s="61"/>
      <c r="CN17" s="70" t="str">
        <f t="shared" si="2"/>
        <v>InitUnitState('E015',140000,,,,,,,,,)</v>
      </c>
      <c r="CO17" s="70" t="str">
        <f t="shared" si="3"/>
        <v>InitUnitNormal('E015',,,,,,,,,6,200)</v>
      </c>
      <c r="CP17" s="70" t="str">
        <f t="shared" si="4"/>
        <v>InitUnitMagic('E015',3,,,,,,,,,)</v>
      </c>
      <c r="CQ17" s="70" t="str">
        <f t="shared" si="5"/>
        <v>InitUnitAdd('E015',,,,,,,,,,)</v>
      </c>
      <c r="CR17" s="70" t="str">
        <f t="shared" si="6"/>
        <v>InitEquipData('E015',,"",,E016,30000,100,'','','','','','',"ReplaceableTextures\\CommandButtons\\BTNZ04.blp")</v>
      </c>
      <c r="CS17" s="70"/>
      <c r="CT17" s="70"/>
      <c r="CU17" s="72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="7" customFormat="1" ht="15" spans="1:175">
      <c r="A18" s="11"/>
      <c r="B18" s="46" t="s">
        <v>205</v>
      </c>
      <c r="C18" s="11" t="s">
        <v>206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4"/>
      <c r="Q18" s="54"/>
      <c r="R18" s="54"/>
      <c r="S18" s="54"/>
      <c r="T18" s="59" t="s">
        <v>170</v>
      </c>
      <c r="U18" s="60" t="s">
        <v>207</v>
      </c>
      <c r="V18" s="61">
        <v>300000</v>
      </c>
      <c r="W18" s="61">
        <f>V18-V17</f>
        <v>160000</v>
      </c>
      <c r="X18" s="61"/>
      <c r="Y18" s="61"/>
      <c r="Z18" s="61"/>
      <c r="AA18" s="61"/>
      <c r="AB18" s="61"/>
      <c r="AC18" s="61"/>
      <c r="AD18" s="64"/>
      <c r="AE18" s="61"/>
      <c r="AF18" s="61"/>
      <c r="AG18" s="65"/>
      <c r="AH18" s="61"/>
      <c r="AI18" s="61"/>
      <c r="AJ18" s="61"/>
      <c r="AK18" s="61"/>
      <c r="AL18" s="65"/>
      <c r="AM18" s="61"/>
      <c r="AN18" s="61">
        <v>7</v>
      </c>
      <c r="AO18" s="61">
        <f t="shared" si="219"/>
        <v>300</v>
      </c>
      <c r="AP18" s="61">
        <v>4</v>
      </c>
      <c r="AQ18" s="61"/>
      <c r="AR18" s="67"/>
      <c r="AS18" s="67"/>
      <c r="AT18" s="61"/>
      <c r="AU18" s="61"/>
      <c r="AV18" s="61"/>
      <c r="AW18" s="61"/>
      <c r="AX18" s="61"/>
      <c r="AY18" s="61"/>
      <c r="AZ18" s="61"/>
      <c r="BA18" s="61"/>
      <c r="BB18" s="61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1"/>
      <c r="CF18" s="61"/>
      <c r="CG18" s="61"/>
      <c r="CH18" s="61"/>
      <c r="CI18" s="61"/>
      <c r="CJ18" s="61"/>
      <c r="CK18" s="61"/>
      <c r="CL18" s="61"/>
      <c r="CM18" s="61"/>
      <c r="CN18" s="70" t="str">
        <f t="shared" si="2"/>
        <v>InitUnitState('E016',300000,160000,,,,,,,,)</v>
      </c>
      <c r="CO18" s="70" t="str">
        <f t="shared" si="3"/>
        <v>InitUnitNormal('E016',,,,,,,,,7,300)</v>
      </c>
      <c r="CP18" s="70" t="str">
        <f t="shared" si="4"/>
        <v>InitUnitMagic('E016',4,,,,,,,,,)</v>
      </c>
      <c r="CQ18" s="70" t="str">
        <f t="shared" si="5"/>
        <v>InitUnitAdd('E016',,,,,,,,,,)</v>
      </c>
      <c r="CR18" s="70" t="str">
        <f t="shared" si="6"/>
        <v>InitEquipData('E016',,"",,E017,20000,60,'','','','','','',"ReplaceableTextures\\CommandButtons\\BTNZ04.blp")</v>
      </c>
      <c r="CS18" s="70"/>
      <c r="CT18" s="70"/>
      <c r="CU18" s="72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="7" customFormat="1" ht="15" spans="1:175">
      <c r="A19" s="11"/>
      <c r="B19" s="46" t="s">
        <v>208</v>
      </c>
      <c r="C19" s="11" t="s">
        <v>209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4"/>
      <c r="Q19" s="54"/>
      <c r="R19" s="54"/>
      <c r="S19" s="54"/>
      <c r="T19" s="59" t="s">
        <v>170</v>
      </c>
      <c r="U19" s="60" t="s">
        <v>207</v>
      </c>
      <c r="V19" s="61">
        <v>350000</v>
      </c>
      <c r="W19" s="61"/>
      <c r="X19" s="61"/>
      <c r="Y19" s="61"/>
      <c r="Z19" s="61"/>
      <c r="AA19" s="61"/>
      <c r="AB19" s="61"/>
      <c r="AC19" s="61"/>
      <c r="AD19" s="64"/>
      <c r="AE19" s="61"/>
      <c r="AF19" s="61"/>
      <c r="AG19" s="65"/>
      <c r="AH19" s="61"/>
      <c r="AI19" s="61"/>
      <c r="AJ19" s="61"/>
      <c r="AK19" s="61"/>
      <c r="AL19" s="65"/>
      <c r="AM19" s="61"/>
      <c r="AN19" s="61">
        <v>7</v>
      </c>
      <c r="AO19" s="61">
        <f t="shared" si="219"/>
        <v>300</v>
      </c>
      <c r="AP19" s="61">
        <v>4</v>
      </c>
      <c r="AQ19" s="61"/>
      <c r="AR19" s="67"/>
      <c r="AS19" s="67"/>
      <c r="AT19" s="61"/>
      <c r="AU19" s="61"/>
      <c r="AV19" s="61"/>
      <c r="AW19" s="61"/>
      <c r="AX19" s="61"/>
      <c r="AY19" s="61"/>
      <c r="AZ19" s="61"/>
      <c r="BA19" s="61"/>
      <c r="BB19" s="61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1"/>
      <c r="CF19" s="61"/>
      <c r="CG19" s="61"/>
      <c r="CH19" s="61"/>
      <c r="CI19" s="61"/>
      <c r="CJ19" s="61"/>
      <c r="CK19" s="61"/>
      <c r="CL19" s="61"/>
      <c r="CM19" s="61"/>
      <c r="CN19" s="70" t="str">
        <f t="shared" si="2"/>
        <v>InitUnitState('E017',350000,,,,,,,,,)</v>
      </c>
      <c r="CO19" s="70" t="str">
        <f t="shared" si="3"/>
        <v>InitUnitNormal('E017',,,,,,,,,7,300)</v>
      </c>
      <c r="CP19" s="70" t="str">
        <f t="shared" si="4"/>
        <v>InitUnitMagic('E017',4,,,,,,,,,)</v>
      </c>
      <c r="CQ19" s="70" t="str">
        <f t="shared" si="5"/>
        <v>InitUnitAdd('E017',,,,,,,,,,)</v>
      </c>
      <c r="CR19" s="70" t="str">
        <f t="shared" si="6"/>
        <v>InitEquipData('E017',,"",,E018,20000,60,'','','','','','',"ReplaceableTextures\\CommandButtons\\BTNZ04.blp")</v>
      </c>
      <c r="CS19" s="70"/>
      <c r="CT19" s="70"/>
      <c r="CU19" s="72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="7" customFormat="1" ht="15" spans="1:175">
      <c r="A20" s="11"/>
      <c r="B20" s="46" t="s">
        <v>210</v>
      </c>
      <c r="C20" s="11" t="s">
        <v>211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4"/>
      <c r="Q20" s="54"/>
      <c r="R20" s="54"/>
      <c r="S20" s="54"/>
      <c r="T20" s="59" t="s">
        <v>170</v>
      </c>
      <c r="U20" s="60" t="s">
        <v>207</v>
      </c>
      <c r="V20" s="61">
        <v>400000</v>
      </c>
      <c r="W20" s="61"/>
      <c r="X20" s="61"/>
      <c r="Y20" s="61"/>
      <c r="Z20" s="61"/>
      <c r="AA20" s="61"/>
      <c r="AB20" s="61"/>
      <c r="AC20" s="61"/>
      <c r="AD20" s="64"/>
      <c r="AE20" s="61"/>
      <c r="AF20" s="61"/>
      <c r="AG20" s="65"/>
      <c r="AH20" s="61"/>
      <c r="AI20" s="61"/>
      <c r="AJ20" s="61"/>
      <c r="AK20" s="61"/>
      <c r="AL20" s="65"/>
      <c r="AM20" s="61"/>
      <c r="AN20" s="61">
        <v>7</v>
      </c>
      <c r="AO20" s="61">
        <f t="shared" si="219"/>
        <v>300</v>
      </c>
      <c r="AP20" s="61">
        <v>4</v>
      </c>
      <c r="AQ20" s="61"/>
      <c r="AR20" s="67"/>
      <c r="AS20" s="67"/>
      <c r="AT20" s="61"/>
      <c r="AU20" s="61"/>
      <c r="AV20" s="61"/>
      <c r="AW20" s="61"/>
      <c r="AX20" s="61"/>
      <c r="AY20" s="61"/>
      <c r="AZ20" s="61"/>
      <c r="BA20" s="61"/>
      <c r="BB20" s="61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1"/>
      <c r="CF20" s="61"/>
      <c r="CG20" s="61"/>
      <c r="CH20" s="61"/>
      <c r="CI20" s="61"/>
      <c r="CJ20" s="61"/>
      <c r="CK20" s="61"/>
      <c r="CL20" s="61"/>
      <c r="CM20" s="61"/>
      <c r="CN20" s="70" t="str">
        <f t="shared" si="2"/>
        <v>InitUnitState('E018',400000,,,,,,,,,)</v>
      </c>
      <c r="CO20" s="70" t="str">
        <f t="shared" si="3"/>
        <v>InitUnitNormal('E018',,,,,,,,,7,300)</v>
      </c>
      <c r="CP20" s="70" t="str">
        <f t="shared" si="4"/>
        <v>InitUnitMagic('E018',4,,,,,,,,,)</v>
      </c>
      <c r="CQ20" s="70" t="str">
        <f t="shared" si="5"/>
        <v>InitUnitAdd('E018',,,,,,,,,,)</v>
      </c>
      <c r="CR20" s="70" t="str">
        <f t="shared" si="6"/>
        <v>InitEquipData('E018',,"",,E019,20000,60,'','','','','','',"ReplaceableTextures\\CommandButtons\\BTNZ04.blp")</v>
      </c>
      <c r="CS20" s="70"/>
      <c r="CT20" s="70"/>
      <c r="CU20" s="72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="7" customFormat="1" ht="15" spans="1:175">
      <c r="A21" s="11"/>
      <c r="B21" s="46" t="s">
        <v>212</v>
      </c>
      <c r="C21" s="11" t="s">
        <v>213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4"/>
      <c r="Q21" s="54"/>
      <c r="R21" s="54"/>
      <c r="S21" s="54"/>
      <c r="T21" s="59" t="s">
        <v>170</v>
      </c>
      <c r="U21" s="60" t="s">
        <v>207</v>
      </c>
      <c r="V21" s="61">
        <v>450000</v>
      </c>
      <c r="W21" s="61"/>
      <c r="X21" s="61"/>
      <c r="Y21" s="61"/>
      <c r="Z21" s="61"/>
      <c r="AA21" s="61"/>
      <c r="AB21" s="61"/>
      <c r="AC21" s="61"/>
      <c r="AD21" s="64"/>
      <c r="AE21" s="61"/>
      <c r="AF21" s="61"/>
      <c r="AG21" s="65"/>
      <c r="AH21" s="61"/>
      <c r="AI21" s="61"/>
      <c r="AJ21" s="61"/>
      <c r="AK21" s="61"/>
      <c r="AL21" s="65"/>
      <c r="AM21" s="61"/>
      <c r="AN21" s="61">
        <v>7</v>
      </c>
      <c r="AO21" s="61">
        <f t="shared" si="219"/>
        <v>300</v>
      </c>
      <c r="AP21" s="61">
        <v>4</v>
      </c>
      <c r="AQ21" s="61"/>
      <c r="AR21" s="67"/>
      <c r="AS21" s="67"/>
      <c r="AT21" s="61"/>
      <c r="AU21" s="61"/>
      <c r="AV21" s="61"/>
      <c r="AW21" s="61"/>
      <c r="AX21" s="61"/>
      <c r="AY21" s="61"/>
      <c r="AZ21" s="61"/>
      <c r="BA21" s="61"/>
      <c r="BB21" s="6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1"/>
      <c r="CF21" s="61"/>
      <c r="CG21" s="61"/>
      <c r="CH21" s="61"/>
      <c r="CI21" s="61"/>
      <c r="CJ21" s="61"/>
      <c r="CK21" s="61"/>
      <c r="CL21" s="61"/>
      <c r="CM21" s="61"/>
      <c r="CN21" s="70" t="str">
        <f t="shared" si="2"/>
        <v>InitUnitState('E019',450000,,,,,,,,,)</v>
      </c>
      <c r="CO21" s="70" t="str">
        <f t="shared" si="3"/>
        <v>InitUnitNormal('E019',,,,,,,,,7,300)</v>
      </c>
      <c r="CP21" s="70" t="str">
        <f t="shared" si="4"/>
        <v>InitUnitMagic('E019',4,,,,,,,,,)</v>
      </c>
      <c r="CQ21" s="70" t="str">
        <f t="shared" si="5"/>
        <v>InitUnitAdd('E019',,,,,,,,,,)</v>
      </c>
      <c r="CR21" s="70" t="str">
        <f t="shared" si="6"/>
        <v>InitEquipData('E019',,"",,E020,20000,60,'','','','','','',"ReplaceableTextures\\CommandButtons\\BTNZ04.blp")</v>
      </c>
      <c r="CS21" s="70"/>
      <c r="CT21" s="70"/>
      <c r="CU21" s="72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="7" customFormat="1" ht="15" spans="1:175">
      <c r="A22" s="11"/>
      <c r="B22" s="46" t="s">
        <v>214</v>
      </c>
      <c r="C22" s="11" t="s">
        <v>215</v>
      </c>
      <c r="D22" s="47"/>
      <c r="E22" s="48"/>
      <c r="F22" s="49">
        <v>35000</v>
      </c>
      <c r="G22" s="50">
        <v>100</v>
      </c>
      <c r="H22" s="51" t="s">
        <v>216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4"/>
      <c r="Q22" s="54"/>
      <c r="R22" s="54"/>
      <c r="S22" s="54"/>
      <c r="T22" s="59" t="s">
        <v>170</v>
      </c>
      <c r="U22" s="60" t="s">
        <v>207</v>
      </c>
      <c r="V22" s="61">
        <v>550000</v>
      </c>
      <c r="W22" s="61"/>
      <c r="X22" s="61"/>
      <c r="Y22" s="61"/>
      <c r="Z22" s="61"/>
      <c r="AA22" s="61"/>
      <c r="AB22" s="61"/>
      <c r="AC22" s="61"/>
      <c r="AD22" s="64"/>
      <c r="AE22" s="61"/>
      <c r="AF22" s="61"/>
      <c r="AG22" s="65"/>
      <c r="AH22" s="61"/>
      <c r="AI22" s="61"/>
      <c r="AJ22" s="61"/>
      <c r="AK22" s="61"/>
      <c r="AL22" s="65"/>
      <c r="AM22" s="61"/>
      <c r="AN22" s="61">
        <v>7</v>
      </c>
      <c r="AO22" s="61">
        <f t="shared" si="219"/>
        <v>300</v>
      </c>
      <c r="AP22" s="61">
        <v>4</v>
      </c>
      <c r="AQ22" s="61"/>
      <c r="AR22" s="67"/>
      <c r="AS22" s="67"/>
      <c r="AT22" s="61"/>
      <c r="AU22" s="61"/>
      <c r="AV22" s="61"/>
      <c r="AW22" s="61"/>
      <c r="AX22" s="61"/>
      <c r="AY22" s="61"/>
      <c r="AZ22" s="61"/>
      <c r="BA22" s="61"/>
      <c r="BB22" s="61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1"/>
      <c r="CF22" s="61"/>
      <c r="CG22" s="61"/>
      <c r="CH22" s="61"/>
      <c r="CI22" s="61"/>
      <c r="CJ22" s="61"/>
      <c r="CK22" s="61"/>
      <c r="CL22" s="61"/>
      <c r="CM22" s="61"/>
      <c r="CN22" s="70" t="str">
        <f t="shared" si="2"/>
        <v>InitUnitState('E020',550000,,,,,,,,,)</v>
      </c>
      <c r="CO22" s="70" t="str">
        <f t="shared" si="3"/>
        <v>InitUnitNormal('E020',,,,,,,,,7,300)</v>
      </c>
      <c r="CP22" s="70" t="str">
        <f t="shared" si="4"/>
        <v>InitUnitMagic('E020',4,,,,,,,,,)</v>
      </c>
      <c r="CQ22" s="70" t="str">
        <f t="shared" si="5"/>
        <v>InitUnitAdd('E020',,,,,,,,,,)</v>
      </c>
      <c r="CR22" s="70" t="str">
        <f t="shared" si="6"/>
        <v>InitEquipData('E020',,"",,E021,35000,100,'','','','','','',"ReplaceableTextures\\CommandButtons\\BTNZ05.blp")</v>
      </c>
      <c r="CS22" s="70"/>
      <c r="CT22" s="70"/>
      <c r="CU22" s="72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="7" customFormat="1" ht="15" spans="1:175">
      <c r="A23" s="11"/>
      <c r="B23" s="46" t="s">
        <v>217</v>
      </c>
      <c r="C23" s="11" t="s">
        <v>218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4"/>
      <c r="Q23" s="54"/>
      <c r="R23" s="54"/>
      <c r="S23" s="54"/>
      <c r="T23" s="59" t="s">
        <v>170</v>
      </c>
      <c r="U23" s="60" t="s">
        <v>219</v>
      </c>
      <c r="V23" s="61">
        <v>800000</v>
      </c>
      <c r="W23" s="61">
        <f>V23-V22</f>
        <v>250000</v>
      </c>
      <c r="X23" s="61"/>
      <c r="Y23" s="61"/>
      <c r="Z23" s="61"/>
      <c r="AA23" s="61"/>
      <c r="AB23" s="61"/>
      <c r="AC23" s="61"/>
      <c r="AD23" s="64"/>
      <c r="AE23" s="61"/>
      <c r="AF23" s="61"/>
      <c r="AG23" s="65"/>
      <c r="AH23" s="61"/>
      <c r="AI23" s="61"/>
      <c r="AJ23" s="61"/>
      <c r="AK23" s="61"/>
      <c r="AL23" s="65"/>
      <c r="AM23" s="61"/>
      <c r="AN23" s="61">
        <v>8</v>
      </c>
      <c r="AO23" s="61">
        <f t="shared" si="219"/>
        <v>400</v>
      </c>
      <c r="AP23" s="61">
        <v>5</v>
      </c>
      <c r="AQ23" s="61"/>
      <c r="AR23" s="67"/>
      <c r="AS23" s="67"/>
      <c r="AT23" s="61"/>
      <c r="AU23" s="61"/>
      <c r="AV23" s="61"/>
      <c r="AW23" s="61"/>
      <c r="AX23" s="61"/>
      <c r="AY23" s="61"/>
      <c r="AZ23" s="61"/>
      <c r="BA23" s="61"/>
      <c r="BB23" s="61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1"/>
      <c r="CF23" s="61"/>
      <c r="CG23" s="61"/>
      <c r="CH23" s="61"/>
      <c r="CI23" s="61"/>
      <c r="CJ23" s="61"/>
      <c r="CK23" s="61"/>
      <c r="CL23" s="61"/>
      <c r="CM23" s="61"/>
      <c r="CN23" s="70" t="str">
        <f t="shared" si="2"/>
        <v>InitUnitState('E021',800000,250000,,,,,,,,)</v>
      </c>
      <c r="CO23" s="70" t="str">
        <f t="shared" si="3"/>
        <v>InitUnitNormal('E021',,,,,,,,,8,400)</v>
      </c>
      <c r="CP23" s="70" t="str">
        <f t="shared" si="4"/>
        <v>InitUnitMagic('E021',5,,,,,,,,,)</v>
      </c>
      <c r="CQ23" s="70" t="str">
        <f t="shared" si="5"/>
        <v>InitUnitAdd('E021',,,,,,,,,,)</v>
      </c>
      <c r="CR23" s="70" t="str">
        <f t="shared" si="6"/>
        <v>InitEquipData('E021',,"",,E022,35000,50,'','','','','','',"ReplaceableTextures\\CommandButtons\\BTNZ05.blp")</v>
      </c>
      <c r="CS23" s="70"/>
      <c r="CT23" s="70"/>
      <c r="CU23" s="72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="7" customFormat="1" ht="15" spans="1:175">
      <c r="A24" s="11"/>
      <c r="B24" s="46" t="s">
        <v>220</v>
      </c>
      <c r="C24" s="11" t="s">
        <v>221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4"/>
      <c r="Q24" s="54"/>
      <c r="R24" s="54"/>
      <c r="S24" s="54"/>
      <c r="T24" s="59" t="s">
        <v>170</v>
      </c>
      <c r="U24" s="60" t="s">
        <v>219</v>
      </c>
      <c r="V24" s="61">
        <v>1000000</v>
      </c>
      <c r="W24" s="61"/>
      <c r="X24" s="61"/>
      <c r="Y24" s="61"/>
      <c r="Z24" s="61"/>
      <c r="AA24" s="61"/>
      <c r="AB24" s="61"/>
      <c r="AC24" s="61"/>
      <c r="AD24" s="64"/>
      <c r="AE24" s="61"/>
      <c r="AF24" s="61"/>
      <c r="AG24" s="65"/>
      <c r="AH24" s="61"/>
      <c r="AI24" s="61"/>
      <c r="AJ24" s="61"/>
      <c r="AK24" s="61"/>
      <c r="AL24" s="65"/>
      <c r="AM24" s="61"/>
      <c r="AN24" s="61">
        <v>8</v>
      </c>
      <c r="AO24" s="61">
        <f t="shared" si="219"/>
        <v>400</v>
      </c>
      <c r="AP24" s="61">
        <v>5</v>
      </c>
      <c r="AQ24" s="61"/>
      <c r="AR24" s="67"/>
      <c r="AS24" s="67"/>
      <c r="AT24" s="61"/>
      <c r="AU24" s="61"/>
      <c r="AV24" s="61"/>
      <c r="AW24" s="61"/>
      <c r="AX24" s="61"/>
      <c r="AY24" s="61"/>
      <c r="AZ24" s="61"/>
      <c r="BA24" s="61"/>
      <c r="BB24" s="61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1"/>
      <c r="CF24" s="61"/>
      <c r="CG24" s="61"/>
      <c r="CH24" s="61"/>
      <c r="CI24" s="61"/>
      <c r="CJ24" s="61"/>
      <c r="CK24" s="61"/>
      <c r="CL24" s="61"/>
      <c r="CM24" s="61"/>
      <c r="CN24" s="70" t="str">
        <f t="shared" si="2"/>
        <v>InitUnitState('E022',1000000,,,,,,,,,)</v>
      </c>
      <c r="CO24" s="70" t="str">
        <f t="shared" si="3"/>
        <v>InitUnitNormal('E022',,,,,,,,,8,400)</v>
      </c>
      <c r="CP24" s="70" t="str">
        <f t="shared" si="4"/>
        <v>InitUnitMagic('E022',5,,,,,,,,,)</v>
      </c>
      <c r="CQ24" s="70" t="str">
        <f t="shared" si="5"/>
        <v>InitUnitAdd('E022',,,,,,,,,,)</v>
      </c>
      <c r="CR24" s="70" t="str">
        <f t="shared" si="6"/>
        <v>InitEquipData('E022',,"",,E023,35000,50,'','','','','','',"ReplaceableTextures\\CommandButtons\\BTNZ05.blp")</v>
      </c>
      <c r="CS24" s="70"/>
      <c r="CT24" s="70"/>
      <c r="CU24" s="72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="7" customFormat="1" ht="15" spans="1:175">
      <c r="A25" s="11"/>
      <c r="B25" s="46" t="s">
        <v>222</v>
      </c>
      <c r="C25" s="11" t="s">
        <v>223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4"/>
      <c r="Q25" s="54"/>
      <c r="R25" s="54"/>
      <c r="S25" s="54"/>
      <c r="T25" s="59" t="s">
        <v>170</v>
      </c>
      <c r="U25" s="60" t="s">
        <v>219</v>
      </c>
      <c r="V25" s="61">
        <v>1200000</v>
      </c>
      <c r="W25" s="61"/>
      <c r="X25" s="61"/>
      <c r="Y25" s="61"/>
      <c r="Z25" s="61"/>
      <c r="AA25" s="61"/>
      <c r="AB25" s="61"/>
      <c r="AC25" s="61"/>
      <c r="AD25" s="64"/>
      <c r="AE25" s="61"/>
      <c r="AF25" s="61"/>
      <c r="AG25" s="65"/>
      <c r="AH25" s="61"/>
      <c r="AI25" s="61"/>
      <c r="AJ25" s="61"/>
      <c r="AK25" s="61"/>
      <c r="AL25" s="65"/>
      <c r="AM25" s="61"/>
      <c r="AN25" s="61">
        <v>8</v>
      </c>
      <c r="AO25" s="61">
        <f t="shared" si="219"/>
        <v>400</v>
      </c>
      <c r="AP25" s="61">
        <v>5</v>
      </c>
      <c r="AQ25" s="61"/>
      <c r="AR25" s="67"/>
      <c r="AS25" s="67"/>
      <c r="AT25" s="61"/>
      <c r="AU25" s="61"/>
      <c r="AV25" s="61"/>
      <c r="AW25" s="61"/>
      <c r="AX25" s="61"/>
      <c r="AY25" s="61"/>
      <c r="AZ25" s="61"/>
      <c r="BA25" s="61"/>
      <c r="BB25" s="61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1"/>
      <c r="CF25" s="61"/>
      <c r="CG25" s="61"/>
      <c r="CH25" s="61"/>
      <c r="CI25" s="61"/>
      <c r="CJ25" s="61"/>
      <c r="CK25" s="61"/>
      <c r="CL25" s="61"/>
      <c r="CM25" s="61"/>
      <c r="CN25" s="70" t="str">
        <f t="shared" si="2"/>
        <v>InitUnitState('E023',1200000,,,,,,,,,)</v>
      </c>
      <c r="CO25" s="70" t="str">
        <f t="shared" si="3"/>
        <v>InitUnitNormal('E023',,,,,,,,,8,400)</v>
      </c>
      <c r="CP25" s="70" t="str">
        <f t="shared" si="4"/>
        <v>InitUnitMagic('E023',5,,,,,,,,,)</v>
      </c>
      <c r="CQ25" s="70" t="str">
        <f t="shared" si="5"/>
        <v>InitUnitAdd('E023',,,,,,,,,,)</v>
      </c>
      <c r="CR25" s="70" t="str">
        <f t="shared" si="6"/>
        <v>InitEquipData('E023',,"",,E024,35000,50,'','','','','','',"ReplaceableTextures\\CommandButtons\\BTNZ05.blp")</v>
      </c>
      <c r="CS25" s="70"/>
      <c r="CT25" s="70"/>
      <c r="CU25" s="72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="7" customFormat="1" ht="15" spans="1:175">
      <c r="A26" s="11"/>
      <c r="B26" s="46" t="s">
        <v>224</v>
      </c>
      <c r="C26" s="11" t="s">
        <v>225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4"/>
      <c r="Q26" s="54"/>
      <c r="R26" s="54"/>
      <c r="S26" s="54"/>
      <c r="T26" s="59" t="s">
        <v>170</v>
      </c>
      <c r="U26" s="60" t="s">
        <v>219</v>
      </c>
      <c r="V26" s="61">
        <v>1400000</v>
      </c>
      <c r="W26" s="61"/>
      <c r="X26" s="61"/>
      <c r="Y26" s="61"/>
      <c r="Z26" s="61"/>
      <c r="AA26" s="61"/>
      <c r="AB26" s="61"/>
      <c r="AC26" s="61"/>
      <c r="AD26" s="64"/>
      <c r="AE26" s="61"/>
      <c r="AF26" s="61"/>
      <c r="AG26" s="65"/>
      <c r="AH26" s="61"/>
      <c r="AI26" s="61"/>
      <c r="AJ26" s="61"/>
      <c r="AK26" s="61"/>
      <c r="AL26" s="65"/>
      <c r="AM26" s="61"/>
      <c r="AN26" s="61">
        <v>8</v>
      </c>
      <c r="AO26" s="61">
        <f t="shared" si="219"/>
        <v>400</v>
      </c>
      <c r="AP26" s="61">
        <v>5</v>
      </c>
      <c r="AQ26" s="61"/>
      <c r="AR26" s="67"/>
      <c r="AS26" s="67"/>
      <c r="AT26" s="61"/>
      <c r="AU26" s="61"/>
      <c r="AV26" s="61"/>
      <c r="AW26" s="61"/>
      <c r="AX26" s="61"/>
      <c r="AY26" s="61"/>
      <c r="AZ26" s="61"/>
      <c r="BA26" s="61"/>
      <c r="BB26" s="61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1"/>
      <c r="CF26" s="61"/>
      <c r="CG26" s="61"/>
      <c r="CH26" s="61"/>
      <c r="CI26" s="61"/>
      <c r="CJ26" s="61"/>
      <c r="CK26" s="61"/>
      <c r="CL26" s="61"/>
      <c r="CM26" s="61"/>
      <c r="CN26" s="70" t="str">
        <f t="shared" si="2"/>
        <v>InitUnitState('E024',1400000,,,,,,,,,)</v>
      </c>
      <c r="CO26" s="70" t="str">
        <f t="shared" si="3"/>
        <v>InitUnitNormal('E024',,,,,,,,,8,400)</v>
      </c>
      <c r="CP26" s="70" t="str">
        <f t="shared" si="4"/>
        <v>InitUnitMagic('E024',5,,,,,,,,,)</v>
      </c>
      <c r="CQ26" s="70" t="str">
        <f t="shared" si="5"/>
        <v>InitUnitAdd('E024',,,,,,,,,,)</v>
      </c>
      <c r="CR26" s="70" t="str">
        <f t="shared" si="6"/>
        <v>InitEquipData('E024',,"",,E025,35000,50,'','','','','','',"ReplaceableTextures\\CommandButtons\\BTNZ05.blp")</v>
      </c>
      <c r="CS26" s="70"/>
      <c r="CT26" s="70"/>
      <c r="CU26" s="72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="7" customFormat="1" ht="15" spans="1:175">
      <c r="A27" s="11"/>
      <c r="B27" s="46" t="s">
        <v>226</v>
      </c>
      <c r="C27" s="11" t="s">
        <v>227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4"/>
      <c r="Q27" s="54"/>
      <c r="R27" s="54"/>
      <c r="S27" s="54"/>
      <c r="T27" s="59" t="s">
        <v>228</v>
      </c>
      <c r="U27" s="60" t="s">
        <v>219</v>
      </c>
      <c r="V27" s="61">
        <v>1600000</v>
      </c>
      <c r="W27" s="61"/>
      <c r="X27" s="61"/>
      <c r="Y27" s="61"/>
      <c r="Z27" s="61"/>
      <c r="AA27" s="61"/>
      <c r="AB27" s="61"/>
      <c r="AC27" s="61"/>
      <c r="AD27" s="64"/>
      <c r="AE27" s="61"/>
      <c r="AF27" s="61"/>
      <c r="AG27" s="65"/>
      <c r="AH27" s="61"/>
      <c r="AI27" s="61"/>
      <c r="AJ27" s="61"/>
      <c r="AK27" s="61"/>
      <c r="AL27" s="65"/>
      <c r="AM27" s="61"/>
      <c r="AN27" s="61">
        <v>8</v>
      </c>
      <c r="AO27" s="61">
        <f t="shared" si="219"/>
        <v>400</v>
      </c>
      <c r="AP27" s="61">
        <v>5</v>
      </c>
      <c r="AQ27" s="61"/>
      <c r="AR27" s="67"/>
      <c r="AS27" s="67"/>
      <c r="AT27" s="61"/>
      <c r="AU27" s="61"/>
      <c r="AV27" s="61"/>
      <c r="AW27" s="61"/>
      <c r="AX27" s="61"/>
      <c r="AY27" s="61"/>
      <c r="AZ27" s="61"/>
      <c r="BA27" s="61"/>
      <c r="BB27" s="61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1"/>
      <c r="CF27" s="61"/>
      <c r="CG27" s="61"/>
      <c r="CH27" s="61"/>
      <c r="CI27" s="61"/>
      <c r="CJ27" s="61"/>
      <c r="CK27" s="61"/>
      <c r="CL27" s="61"/>
      <c r="CM27" s="61"/>
      <c r="CN27" s="70" t="str">
        <f t="shared" si="2"/>
        <v>InitUnitState('E025',1600000,,,,,,,,,)</v>
      </c>
      <c r="CO27" s="70" t="str">
        <f t="shared" si="3"/>
        <v>InitUnitNormal('E025',,,,,,,,,8,400)</v>
      </c>
      <c r="CP27" s="70" t="str">
        <f t="shared" si="4"/>
        <v>InitUnitMagic('E025',5,,,,,,,,,)</v>
      </c>
      <c r="CQ27" s="70" t="str">
        <f t="shared" si="5"/>
        <v>InitUnitAdd('E025',,,,,,,,,,)</v>
      </c>
      <c r="CR27" s="70" t="str">
        <f t="shared" si="6"/>
        <v>InitEquipData('E025',,"",,,,,'','','','','','',"ReplaceableTextures\\CommandButtons\\BTNZ06.blp")</v>
      </c>
      <c r="CS27" s="70"/>
      <c r="CT27" s="70"/>
      <c r="CU27" s="72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="7" customFormat="1" ht="15" spans="1:175">
      <c r="A28" s="11"/>
      <c r="B28" s="46" t="s">
        <v>229</v>
      </c>
      <c r="C28" s="3" t="s">
        <v>230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4"/>
      <c r="Q28" s="54"/>
      <c r="R28" s="54"/>
      <c r="S28" s="54"/>
      <c r="T28" s="5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60" t="s">
        <v>231</v>
      </c>
      <c r="V28" s="61">
        <v>270</v>
      </c>
      <c r="W28" s="61"/>
      <c r="X28" s="61"/>
      <c r="Y28" s="61"/>
      <c r="Z28" s="61">
        <v>900</v>
      </c>
      <c r="AA28" s="61"/>
      <c r="AB28" s="61">
        <f t="shared" ref="AB28:AB32" si="290">Z28/50</f>
        <v>18</v>
      </c>
      <c r="AC28" s="61"/>
      <c r="AD28" s="61">
        <v>30</v>
      </c>
      <c r="AE28" s="61">
        <v>3</v>
      </c>
      <c r="AF28" s="61"/>
      <c r="AG28" s="65"/>
      <c r="AH28" s="61"/>
      <c r="AI28" s="61"/>
      <c r="AJ28" s="61"/>
      <c r="AK28" s="61"/>
      <c r="AL28" s="65"/>
      <c r="AM28" s="61"/>
      <c r="AN28" s="61"/>
      <c r="AO28" s="61"/>
      <c r="AP28" s="61"/>
      <c r="AQ28" s="61"/>
      <c r="AR28" s="67"/>
      <c r="AS28" s="67"/>
      <c r="AT28" s="61"/>
      <c r="AU28" s="61"/>
      <c r="AV28" s="61"/>
      <c r="AW28" s="61"/>
      <c r="AX28" s="61"/>
      <c r="AY28" s="61"/>
      <c r="AZ28" s="61"/>
      <c r="BA28" s="61"/>
      <c r="BB28" s="61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1"/>
      <c r="CF28" s="61"/>
      <c r="CG28" s="61"/>
      <c r="CH28" s="61"/>
      <c r="CI28" s="61"/>
      <c r="CJ28" s="61"/>
      <c r="CK28" s="61"/>
      <c r="CL28" s="61"/>
      <c r="CM28" s="61"/>
      <c r="CN28" s="70" t="str">
        <f t="shared" si="2"/>
        <v>InitUnitState('E101',270,,,,900,,18,,30,3)</v>
      </c>
      <c r="CO28" s="70" t="str">
        <f t="shared" si="3"/>
        <v>InitUnitNormal('E101',,,,,,,,,,)</v>
      </c>
      <c r="CP28" s="70" t="str">
        <f t="shared" si="4"/>
        <v>InitUnitMagic('E101',,,,,,,,,,)</v>
      </c>
      <c r="CQ28" s="70" t="str">
        <f t="shared" si="5"/>
        <v>InitUnitAdd('E101',,,,,,,1,,,)</v>
      </c>
      <c r="CR28" s="70" t="str">
        <f t="shared" si="6"/>
        <v>InitEquipData('E101',150,"",,E102,,50,'','','','','','',"ReplaceableTextures\\CommandButtons\\BTNZ06.blp")</v>
      </c>
      <c r="CS28" s="70"/>
      <c r="CT28" s="70"/>
      <c r="CU28" s="72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="7" customFormat="1" ht="15" spans="1:175">
      <c r="A29" s="11"/>
      <c r="B29" s="46" t="s">
        <v>232</v>
      </c>
      <c r="C29" s="3" t="s">
        <v>233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4"/>
      <c r="Q29" s="54"/>
      <c r="R29" s="54"/>
      <c r="S29" s="54"/>
      <c r="T29" s="59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60" t="s">
        <v>231</v>
      </c>
      <c r="V29" s="61">
        <v>540</v>
      </c>
      <c r="W29" s="61"/>
      <c r="X29" s="61"/>
      <c r="Y29"/>
      <c r="Z29" s="61">
        <v>1800</v>
      </c>
      <c r="AA29" s="61"/>
      <c r="AB29" s="61">
        <f t="shared" si="290"/>
        <v>36</v>
      </c>
      <c r="AC29" s="61"/>
      <c r="AD29" s="61">
        <v>35</v>
      </c>
      <c r="AE29" s="61">
        <v>3</v>
      </c>
      <c r="AF29" s="61"/>
      <c r="AG29" s="65"/>
      <c r="AH29" s="61"/>
      <c r="AI29" s="61"/>
      <c r="AJ29" s="61"/>
      <c r="AK29" s="61"/>
      <c r="AL29" s="65"/>
      <c r="AM29" s="61"/>
      <c r="AN29" s="61"/>
      <c r="AO29" s="61"/>
      <c r="AP29" s="61"/>
      <c r="AQ29" s="61"/>
      <c r="AR29" s="67"/>
      <c r="AS29" s="67"/>
      <c r="AT29" s="61"/>
      <c r="AU29" s="61"/>
      <c r="AV29" s="61"/>
      <c r="AW29" s="61"/>
      <c r="AX29" s="61"/>
      <c r="AY29" s="61"/>
      <c r="AZ29" s="61"/>
      <c r="BA29" s="61"/>
      <c r="BB29" s="61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1"/>
      <c r="CF29" s="61"/>
      <c r="CG29" s="61"/>
      <c r="CH29" s="61"/>
      <c r="CI29" s="61"/>
      <c r="CJ29" s="61"/>
      <c r="CK29" s="61"/>
      <c r="CL29" s="61"/>
      <c r="CM29" s="61"/>
      <c r="CN29" s="70" t="str">
        <f t="shared" si="2"/>
        <v>InitUnitState('E102',540,,,,1800,,36,,35,3)</v>
      </c>
      <c r="CO29" s="70" t="str">
        <f t="shared" si="3"/>
        <v>InitUnitNormal('E102',,,,,,,,,,)</v>
      </c>
      <c r="CP29" s="70" t="str">
        <f t="shared" si="4"/>
        <v>InitUnitMagic('E102',,,,,,,,,,)</v>
      </c>
      <c r="CQ29" s="70" t="str">
        <f t="shared" si="5"/>
        <v>InitUnitAdd('E102',,,,,,,2,,,)</v>
      </c>
      <c r="CR29" s="70" t="str">
        <f t="shared" si="6"/>
        <v>InitEquipData('E102',150,"",,E103,,50,'','','','','','',"ReplaceableTextures\\CommandButtons\\BTNZ06.blp")</v>
      </c>
      <c r="CS29" s="70"/>
      <c r="CT29" s="70"/>
      <c r="CU29" s="72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="7" customFormat="1" ht="15" spans="1:175">
      <c r="A30" s="11"/>
      <c r="B30" s="46" t="s">
        <v>234</v>
      </c>
      <c r="C30" s="3" t="s">
        <v>235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4"/>
      <c r="Q30" s="54"/>
      <c r="R30" s="54"/>
      <c r="S30" s="54"/>
      <c r="T30" s="59" t="str">
        <f t="shared" si="292"/>
        <v>|n攻击6%概率范围|cffff4646业力*15|r魔法伤害|n|n|Cff00ff7f击杀150只怪有50%概率升级|r</v>
      </c>
      <c r="U30" s="60" t="s">
        <v>231</v>
      </c>
      <c r="V30" s="61">
        <v>1080</v>
      </c>
      <c r="W30" s="61"/>
      <c r="X30" s="61"/>
      <c r="Y30"/>
      <c r="Z30" s="61">
        <v>3600</v>
      </c>
      <c r="AA30" s="61"/>
      <c r="AB30" s="61">
        <f t="shared" si="290"/>
        <v>72</v>
      </c>
      <c r="AC30" s="61"/>
      <c r="AD30" s="61">
        <v>40</v>
      </c>
      <c r="AE30" s="61">
        <v>3</v>
      </c>
      <c r="AF30" s="61"/>
      <c r="AG30" s="65"/>
      <c r="AH30"/>
      <c r="AI30" s="61"/>
      <c r="AJ30" s="61"/>
      <c r="AK30" s="61"/>
      <c r="AL30" s="65"/>
      <c r="AM30" s="61"/>
      <c r="AN30" s="61"/>
      <c r="AO30" s="61"/>
      <c r="AP30" s="61"/>
      <c r="AQ30" s="61"/>
      <c r="AR30" s="67"/>
      <c r="AS30" s="67"/>
      <c r="AT30" s="61"/>
      <c r="AU30" s="61"/>
      <c r="AV30" s="61"/>
      <c r="AW30" s="61"/>
      <c r="AX30" s="61"/>
      <c r="AY30" s="61"/>
      <c r="AZ30" s="61"/>
      <c r="BA30" s="61"/>
      <c r="BB30" s="61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1"/>
      <c r="CF30" s="61"/>
      <c r="CG30" s="61"/>
      <c r="CH30" s="61"/>
      <c r="CI30" s="61"/>
      <c r="CJ30" s="61"/>
      <c r="CK30" s="61"/>
      <c r="CL30" s="61"/>
      <c r="CM30" s="61"/>
      <c r="CN30" s="70" t="str">
        <f t="shared" si="2"/>
        <v>InitUnitState('E103',1080,,,,3600,,72,,40,3)</v>
      </c>
      <c r="CO30" s="70" t="str">
        <f t="shared" si="3"/>
        <v>InitUnitNormal('E103',,,,,,,,,,)</v>
      </c>
      <c r="CP30" s="70" t="str">
        <f t="shared" si="4"/>
        <v>InitUnitMagic('E103',,,,,,,,,,)</v>
      </c>
      <c r="CQ30" s="70" t="str">
        <f t="shared" si="5"/>
        <v>InitUnitAdd('E103',,,,,,,3,,,)</v>
      </c>
      <c r="CR30" s="70" t="str">
        <f t="shared" si="6"/>
        <v>InitEquipData('E103',150,"",,E104,,50,'','','','','','',"ReplaceableTextures\\CommandButtons\\BTNZ06.blp")</v>
      </c>
      <c r="CS30" s="70"/>
      <c r="CT30" s="70"/>
      <c r="CU30" s="72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="7" customFormat="1" ht="15" spans="1:175">
      <c r="A31" s="11"/>
      <c r="B31" s="46" t="s">
        <v>236</v>
      </c>
      <c r="C31" s="3" t="s">
        <v>237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4"/>
      <c r="Q31" s="54"/>
      <c r="R31" s="54"/>
      <c r="S31" s="54"/>
      <c r="T31" s="59" t="str">
        <f t="shared" si="292"/>
        <v>|n攻击6%概率范围|cffff4646业力*15|r魔法伤害|n|n|Cff00ff7f击杀150只怪有50%概率升级|r</v>
      </c>
      <c r="U31" s="60" t="s">
        <v>231</v>
      </c>
      <c r="V31" s="61">
        <v>1620</v>
      </c>
      <c r="W31" s="61"/>
      <c r="X31" s="61"/>
      <c r="Y31"/>
      <c r="Z31" s="61">
        <v>5400</v>
      </c>
      <c r="AA31" s="61"/>
      <c r="AB31" s="61">
        <f t="shared" si="290"/>
        <v>108</v>
      </c>
      <c r="AC31" s="61"/>
      <c r="AD31" s="61">
        <v>45</v>
      </c>
      <c r="AE31" s="61">
        <v>3</v>
      </c>
      <c r="AF31" s="61"/>
      <c r="AG31" s="65"/>
      <c r="AH31"/>
      <c r="AI31" s="61"/>
      <c r="AJ31" s="61"/>
      <c r="AK31" s="61"/>
      <c r="AL31" s="65"/>
      <c r="AM31" s="61"/>
      <c r="AN31" s="61"/>
      <c r="AO31" s="61"/>
      <c r="AP31" s="61"/>
      <c r="AQ31" s="61"/>
      <c r="AR31" s="67"/>
      <c r="AS31" s="67"/>
      <c r="AT31" s="61"/>
      <c r="AU31" s="61"/>
      <c r="AV31" s="61"/>
      <c r="AW31" s="61"/>
      <c r="AX31" s="61"/>
      <c r="AY31" s="61"/>
      <c r="AZ31" s="61"/>
      <c r="BA31" s="61"/>
      <c r="BB31" s="6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1"/>
      <c r="CF31" s="61"/>
      <c r="CG31" s="61"/>
      <c r="CH31" s="61"/>
      <c r="CI31" s="61"/>
      <c r="CJ31" s="61"/>
      <c r="CK31" s="61"/>
      <c r="CL31" s="61"/>
      <c r="CM31" s="61"/>
      <c r="CN31" s="70" t="str">
        <f t="shared" si="2"/>
        <v>InitUnitState('E104',1620,,,,5400,,108,,45,3)</v>
      </c>
      <c r="CO31" s="70" t="str">
        <f t="shared" si="3"/>
        <v>InitUnitNormal('E104',,,,,,,,,,)</v>
      </c>
      <c r="CP31" s="70" t="str">
        <f t="shared" si="4"/>
        <v>InitUnitMagic('E104',,,,,,,,,,)</v>
      </c>
      <c r="CQ31" s="70" t="str">
        <f t="shared" si="5"/>
        <v>InitUnitAdd('E104',,,,,,,4,,,)</v>
      </c>
      <c r="CR31" s="70" t="str">
        <f t="shared" si="6"/>
        <v>InitEquipData('E104',150,"",,E105,,50,'','','','','','',"ReplaceableTextures\\CommandButtons\\BTNZ06.blp")</v>
      </c>
      <c r="CS31" s="70"/>
      <c r="CT31" s="70"/>
      <c r="CU31" s="72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="7" customFormat="1" ht="15" spans="1:175">
      <c r="A32" s="11"/>
      <c r="B32" s="46" t="s">
        <v>238</v>
      </c>
      <c r="C32" s="3" t="s">
        <v>239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4"/>
      <c r="Q32" s="54"/>
      <c r="R32" s="54"/>
      <c r="S32" s="54"/>
      <c r="T32" s="59" t="str">
        <f t="shared" si="292"/>
        <v>|n攻击6%概率范围|cffff4646业力*15|r魔法伤害|n|n|Cff00ff7f击杀150只怪有50%概率升级|r</v>
      </c>
      <c r="U32" s="60" t="s">
        <v>231</v>
      </c>
      <c r="V32" s="61">
        <v>2700</v>
      </c>
      <c r="W32" s="61"/>
      <c r="X32"/>
      <c r="Y32"/>
      <c r="Z32" s="61">
        <v>9000</v>
      </c>
      <c r="AA32" s="61"/>
      <c r="AB32" s="61">
        <f t="shared" si="290"/>
        <v>180</v>
      </c>
      <c r="AC32" s="61"/>
      <c r="AD32" s="61">
        <v>50</v>
      </c>
      <c r="AE32" s="61">
        <v>3</v>
      </c>
      <c r="AF32" s="61"/>
      <c r="AG32" s="65"/>
      <c r="AH32"/>
      <c r="AI32" s="61"/>
      <c r="AJ32" s="61"/>
      <c r="AK32" s="61"/>
      <c r="AL32" s="65"/>
      <c r="AM32" s="61"/>
      <c r="AN32" s="61"/>
      <c r="AO32" s="61"/>
      <c r="AP32" s="61"/>
      <c r="AQ32" s="61"/>
      <c r="AR32" s="67"/>
      <c r="AS32" s="67"/>
      <c r="AT32" s="61"/>
      <c r="AU32" s="61"/>
      <c r="AV32" s="61"/>
      <c r="AW32" s="61"/>
      <c r="AX32" s="61"/>
      <c r="AY32" s="61"/>
      <c r="AZ32" s="61"/>
      <c r="BA32" s="61"/>
      <c r="BB32" s="61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1"/>
      <c r="CF32" s="61"/>
      <c r="CG32" s="61"/>
      <c r="CH32" s="61"/>
      <c r="CI32" s="61"/>
      <c r="CJ32" s="61"/>
      <c r="CK32" s="61"/>
      <c r="CL32" s="61"/>
      <c r="CM32" s="61"/>
      <c r="CN32" s="70" t="str">
        <f t="shared" si="2"/>
        <v>InitUnitState('E105',2700,,,,9000,,180,,50,3)</v>
      </c>
      <c r="CO32" s="70" t="str">
        <f t="shared" si="3"/>
        <v>InitUnitNormal('E105',,,,,,,,,,)</v>
      </c>
      <c r="CP32" s="70" t="str">
        <f t="shared" si="4"/>
        <v>InitUnitMagic('E105',,,,,,,,,,)</v>
      </c>
      <c r="CQ32" s="70" t="str">
        <f t="shared" si="5"/>
        <v>InitUnitAdd('E105',,,,,,,5,,,)</v>
      </c>
      <c r="CR32" s="70" t="str">
        <f t="shared" si="6"/>
        <v>InitEquipData('E105',150,"",,E106,,50,'','','','','','',"ReplaceableTextures\\CommandButtons\\BTNZ07.blp")</v>
      </c>
      <c r="CS32" s="70"/>
      <c r="CT32" s="70"/>
      <c r="CU32" s="72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="7" customFormat="1" ht="15" spans="1:175">
      <c r="A33" s="11"/>
      <c r="B33" s="46" t="s">
        <v>240</v>
      </c>
      <c r="C33" s="3" t="s">
        <v>241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4"/>
      <c r="Q33" s="54"/>
      <c r="R33" s="54"/>
      <c r="S33" s="54"/>
      <c r="T33" s="59" t="str">
        <f t="shared" si="292"/>
        <v>|n攻击6%概率范围|cffff4646业力*15|r魔法伤害|n|n|Cff00ff7f击杀200只怪有50%概率升级|r</v>
      </c>
      <c r="U33" s="60" t="s">
        <v>242</v>
      </c>
      <c r="V33" s="61">
        <v>3780</v>
      </c>
      <c r="W33" s="61"/>
      <c r="X33"/>
      <c r="Y33"/>
      <c r="Z33" s="61">
        <v>12600</v>
      </c>
      <c r="AA33" s="61">
        <f>Z33-Z32</f>
        <v>3600</v>
      </c>
      <c r="AB33" s="61">
        <f t="shared" ref="AB33:AB77" si="293">Z33/50</f>
        <v>252</v>
      </c>
      <c r="AC33" s="61"/>
      <c r="AD33" s="61">
        <v>55</v>
      </c>
      <c r="AE33" s="61">
        <v>6</v>
      </c>
      <c r="AF33" s="61"/>
      <c r="AG33" s="65"/>
      <c r="AH33"/>
      <c r="AI33" s="61"/>
      <c r="AJ33" s="61"/>
      <c r="AK33" s="61"/>
      <c r="AL33" s="65"/>
      <c r="AM33" s="61"/>
      <c r="AN33" s="61"/>
      <c r="AO33" s="61"/>
      <c r="AP33" s="61"/>
      <c r="AQ33" s="61"/>
      <c r="AR33" s="67"/>
      <c r="AS33" s="67"/>
      <c r="AT33" s="61"/>
      <c r="AU33" s="61"/>
      <c r="AV33" s="61"/>
      <c r="AW33" s="61"/>
      <c r="AX33" s="61"/>
      <c r="AY33" s="61"/>
      <c r="AZ33" s="61"/>
      <c r="BA33" s="61"/>
      <c r="BB33" s="61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1"/>
      <c r="CF33" s="61"/>
      <c r="CG33" s="61"/>
      <c r="CH33" s="61"/>
      <c r="CI33" s="61"/>
      <c r="CJ33" s="61"/>
      <c r="CK33" s="61"/>
      <c r="CL33" s="61"/>
      <c r="CM33" s="61"/>
      <c r="CN33" s="70" t="str">
        <f t="shared" si="2"/>
        <v>InitUnitState('E106',3780,,,,12600,3600,252,,55,6)</v>
      </c>
      <c r="CO33" s="70" t="str">
        <f t="shared" si="3"/>
        <v>InitUnitNormal('E106',,,,,,,,,,)</v>
      </c>
      <c r="CP33" s="70" t="str">
        <f t="shared" si="4"/>
        <v>InitUnitMagic('E106',,,,,,,,,,)</v>
      </c>
      <c r="CQ33" s="70" t="str">
        <f t="shared" si="5"/>
        <v>InitUnitAdd('E106',,,,,,,6,,,)</v>
      </c>
      <c r="CR33" s="70" t="str">
        <f t="shared" si="6"/>
        <v>InitEquipData('E106',200,"",,E107,,50,'','','','','','',"ReplaceableTextures\\CommandButtons\\BTNZ07.blp")</v>
      </c>
      <c r="CS33" s="70"/>
      <c r="CT33" s="70"/>
      <c r="CU33" s="72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="7" customFormat="1" ht="15" spans="1:175">
      <c r="A34" s="11"/>
      <c r="B34" s="46" t="s">
        <v>243</v>
      </c>
      <c r="C34" s="3" t="s">
        <v>244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4"/>
      <c r="Q34" s="54"/>
      <c r="R34" s="54"/>
      <c r="S34" s="54"/>
      <c r="T34" s="59" t="str">
        <f t="shared" si="292"/>
        <v>|n攻击6%概率范围|cffff4646业力*15|r魔法伤害|n|n|Cff00ff7f击杀200只怪有50%概率升级|r</v>
      </c>
      <c r="U34" s="60" t="s">
        <v>242</v>
      </c>
      <c r="V34" s="61">
        <v>5400</v>
      </c>
      <c r="W34" s="61"/>
      <c r="X34" s="61"/>
      <c r="Y34" s="61"/>
      <c r="Z34" s="61">
        <v>18000</v>
      </c>
      <c r="AA34" s="61"/>
      <c r="AB34" s="61">
        <f t="shared" si="293"/>
        <v>360</v>
      </c>
      <c r="AC34" s="61"/>
      <c r="AD34" s="61">
        <v>60</v>
      </c>
      <c r="AE34" s="61">
        <v>6</v>
      </c>
      <c r="AF34" s="61"/>
      <c r="AG34" s="65"/>
      <c r="AH34"/>
      <c r="AI34" s="61"/>
      <c r="AJ34" s="61"/>
      <c r="AK34" s="61"/>
      <c r="AL34" s="65"/>
      <c r="AM34" s="61"/>
      <c r="AN34" s="61"/>
      <c r="AO34" s="61"/>
      <c r="AP34" s="61"/>
      <c r="AQ34" s="61"/>
      <c r="AR34" s="67"/>
      <c r="AS34" s="67"/>
      <c r="AT34" s="61"/>
      <c r="AU34" s="61"/>
      <c r="AV34" s="61"/>
      <c r="AW34" s="61"/>
      <c r="AX34" s="61"/>
      <c r="AY34" s="61"/>
      <c r="AZ34" s="61"/>
      <c r="BA34" s="61"/>
      <c r="BB34" s="61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1"/>
      <c r="CF34" s="61"/>
      <c r="CG34" s="61"/>
      <c r="CH34" s="61"/>
      <c r="CI34" s="61"/>
      <c r="CJ34" s="61"/>
      <c r="CK34" s="61"/>
      <c r="CL34" s="61"/>
      <c r="CM34" s="61"/>
      <c r="CN34" s="70" t="str">
        <f t="shared" si="2"/>
        <v>InitUnitState('E107',5400,,,,18000,,360,,60,6)</v>
      </c>
      <c r="CO34" s="70" t="str">
        <f t="shared" si="3"/>
        <v>InitUnitNormal('E107',,,,,,,,,,)</v>
      </c>
      <c r="CP34" s="70" t="str">
        <f t="shared" si="4"/>
        <v>InitUnitMagic('E107',,,,,,,,,,)</v>
      </c>
      <c r="CQ34" s="70" t="str">
        <f t="shared" si="5"/>
        <v>InitUnitAdd('E107',,,,,,,7,,,)</v>
      </c>
      <c r="CR34" s="70" t="str">
        <f t="shared" si="6"/>
        <v>InitEquipData('E107',200,"",,E108,,50,'','','','','','',"ReplaceableTextures\\CommandButtons\\BTNZ07.blp")</v>
      </c>
      <c r="CS34" s="70"/>
      <c r="CT34" s="70"/>
      <c r="CU34" s="72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="7" customFormat="1" ht="15" spans="1:175">
      <c r="A35" s="11"/>
      <c r="B35" s="46" t="s">
        <v>245</v>
      </c>
      <c r="C35" s="3" t="s">
        <v>246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4"/>
      <c r="Q35" s="54"/>
      <c r="R35" s="54"/>
      <c r="S35" s="54"/>
      <c r="T35" s="59" t="str">
        <f t="shared" si="292"/>
        <v>|n攻击6%概率范围|cffff4646业力*15|r魔法伤害|n|n|Cff00ff7f击杀200只怪有50%概率升级|r</v>
      </c>
      <c r="U35" s="60" t="s">
        <v>242</v>
      </c>
      <c r="V35" s="61">
        <v>8100</v>
      </c>
      <c r="W35" s="61"/>
      <c r="X35" s="61"/>
      <c r="Y35" s="61"/>
      <c r="Z35" s="61">
        <v>27000</v>
      </c>
      <c r="AA35" s="61"/>
      <c r="AB35" s="61">
        <f t="shared" si="293"/>
        <v>540</v>
      </c>
      <c r="AC35" s="61"/>
      <c r="AD35" s="61">
        <v>65</v>
      </c>
      <c r="AE35" s="61">
        <v>6</v>
      </c>
      <c r="AF35" s="61"/>
      <c r="AG35" s="65"/>
      <c r="AH35"/>
      <c r="AI35" s="61"/>
      <c r="AJ35" s="61"/>
      <c r="AK35" s="61"/>
      <c r="AL35" s="65"/>
      <c r="AM35" s="61"/>
      <c r="AN35" s="61"/>
      <c r="AO35" s="61"/>
      <c r="AP35" s="61"/>
      <c r="AQ35" s="61"/>
      <c r="AR35" s="67"/>
      <c r="AS35" s="67"/>
      <c r="AT35" s="61"/>
      <c r="AU35" s="61"/>
      <c r="AV35" s="61"/>
      <c r="AW35" s="61"/>
      <c r="AX35" s="61"/>
      <c r="AY35" s="61"/>
      <c r="AZ35" s="61"/>
      <c r="BA35" s="61"/>
      <c r="BB35" s="61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1"/>
      <c r="CF35" s="61"/>
      <c r="CG35" s="61"/>
      <c r="CH35" s="61"/>
      <c r="CI35" s="61"/>
      <c r="CJ35" s="61"/>
      <c r="CK35" s="61"/>
      <c r="CL35" s="61"/>
      <c r="CM35" s="61"/>
      <c r="CN35" s="7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7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7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7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7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70"/>
      <c r="CT35" s="70"/>
      <c r="CU35" s="72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="7" customFormat="1" ht="15" spans="1:175">
      <c r="A36" s="11"/>
      <c r="B36" s="46" t="s">
        <v>247</v>
      </c>
      <c r="C36" s="3" t="s">
        <v>248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4"/>
      <c r="Q36" s="54"/>
      <c r="R36" s="54"/>
      <c r="S36" s="54"/>
      <c r="T36" s="59" t="str">
        <f t="shared" si="292"/>
        <v>|n攻击6%概率范围|cffff4646业力*15|r魔法伤害|n|n|Cff00ff7f击杀200只怪有50%概率升级|r</v>
      </c>
      <c r="U36" s="60" t="s">
        <v>242</v>
      </c>
      <c r="V36" s="61">
        <v>10800</v>
      </c>
      <c r="W36" s="61"/>
      <c r="X36" s="61"/>
      <c r="Y36" s="61"/>
      <c r="Z36" s="61">
        <v>36000</v>
      </c>
      <c r="AA36" s="61"/>
      <c r="AB36" s="61">
        <f t="shared" si="293"/>
        <v>720</v>
      </c>
      <c r="AC36" s="61"/>
      <c r="AD36" s="61">
        <v>70</v>
      </c>
      <c r="AE36" s="61">
        <v>6</v>
      </c>
      <c r="AF36" s="61"/>
      <c r="AG36" s="65"/>
      <c r="AH36" s="61"/>
      <c r="AI36" s="61"/>
      <c r="AJ36" s="61"/>
      <c r="AK36" s="61"/>
      <c r="AL36" s="65"/>
      <c r="AM36" s="61"/>
      <c r="AN36" s="61"/>
      <c r="AO36" s="61"/>
      <c r="AP36" s="61"/>
      <c r="AQ36" s="61"/>
      <c r="AR36" s="67"/>
      <c r="AS36" s="67"/>
      <c r="AT36" s="61"/>
      <c r="AU36" s="61"/>
      <c r="AV36" s="61"/>
      <c r="AW36" s="61"/>
      <c r="AX36" s="61"/>
      <c r="AY36" s="61"/>
      <c r="AZ36" s="61"/>
      <c r="BA36" s="61"/>
      <c r="BB36" s="61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1"/>
      <c r="CF36" s="61"/>
      <c r="CG36" s="61"/>
      <c r="CH36" s="61"/>
      <c r="CI36" s="61"/>
      <c r="CJ36" s="61"/>
      <c r="CK36" s="61"/>
      <c r="CL36" s="61"/>
      <c r="CM36" s="61"/>
      <c r="CN36" s="70" t="str">
        <f t="shared" si="294"/>
        <v>InitUnitState('E109',10800,,,,36000,,720,,70,6)</v>
      </c>
      <c r="CO36" s="70" t="str">
        <f t="shared" si="295"/>
        <v>InitUnitNormal('E109',,,,,,,,,,)</v>
      </c>
      <c r="CP36" s="70" t="str">
        <f t="shared" si="296"/>
        <v>InitUnitMagic('E109',,,,,,,,,,)</v>
      </c>
      <c r="CQ36" s="70" t="str">
        <f t="shared" si="297"/>
        <v>InitUnitAdd('E109',,,,,,,9,,,)</v>
      </c>
      <c r="CR36" s="70" t="str">
        <f t="shared" si="298"/>
        <v>InitEquipData('E109',200,"",,E110,,50,'','','','','','',"ReplaceableTextures\\CommandButtons\\BTNZ07.blp")</v>
      </c>
      <c r="CS36" s="70"/>
      <c r="CT36" s="70"/>
      <c r="CU36" s="72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="7" customFormat="1" ht="15" spans="1:175">
      <c r="A37" s="11"/>
      <c r="B37" s="46" t="s">
        <v>249</v>
      </c>
      <c r="C37" s="3" t="s">
        <v>250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4"/>
      <c r="Q37" s="54"/>
      <c r="R37" s="54"/>
      <c r="S37" s="54"/>
      <c r="T37" s="59" t="str">
        <f t="shared" si="292"/>
        <v>|n攻击6%概率范围|cffff4646业力*15|r魔法伤害|n|n|Cff00ff7f击杀200只怪有50%概率升级|r</v>
      </c>
      <c r="U37" s="60" t="s">
        <v>242</v>
      </c>
      <c r="V37" s="61">
        <v>13500</v>
      </c>
      <c r="W37" s="61"/>
      <c r="X37"/>
      <c r="Y37" s="61"/>
      <c r="Z37" s="61">
        <v>45000</v>
      </c>
      <c r="AA37" s="61"/>
      <c r="AB37" s="61">
        <f t="shared" si="293"/>
        <v>900</v>
      </c>
      <c r="AC37" s="61"/>
      <c r="AD37" s="61">
        <v>75</v>
      </c>
      <c r="AE37" s="61">
        <v>6</v>
      </c>
      <c r="AF37" s="61"/>
      <c r="AG37" s="65"/>
      <c r="AH37" s="61"/>
      <c r="AI37" s="61"/>
      <c r="AJ37" s="61"/>
      <c r="AK37" s="61"/>
      <c r="AL37" s="65"/>
      <c r="AM37" s="61"/>
      <c r="AN37" s="61"/>
      <c r="AO37" s="61"/>
      <c r="AP37" s="61"/>
      <c r="AQ37" s="61"/>
      <c r="AR37" s="67"/>
      <c r="AS37" s="67"/>
      <c r="AT37" s="61"/>
      <c r="AU37" s="61"/>
      <c r="AV37" s="61"/>
      <c r="AW37" s="61"/>
      <c r="AX37" s="61"/>
      <c r="AY37" s="61"/>
      <c r="AZ37" s="61"/>
      <c r="BA37" s="61"/>
      <c r="BB37" s="61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1"/>
      <c r="CF37" s="61"/>
      <c r="CG37" s="61"/>
      <c r="CH37" s="61"/>
      <c r="CI37" s="61"/>
      <c r="CJ37" s="61"/>
      <c r="CK37" s="61"/>
      <c r="CL37" s="61"/>
      <c r="CM37" s="61"/>
      <c r="CN37" s="70" t="str">
        <f t="shared" si="294"/>
        <v>InitUnitState('E110',13500,,,,45000,,900,,75,6)</v>
      </c>
      <c r="CO37" s="70" t="str">
        <f t="shared" si="295"/>
        <v>InitUnitNormal('E110',,,,,,,,,,)</v>
      </c>
      <c r="CP37" s="70" t="str">
        <f t="shared" si="296"/>
        <v>InitUnitMagic('E110',,,,,,,,,,)</v>
      </c>
      <c r="CQ37" s="70" t="str">
        <f t="shared" si="297"/>
        <v>InitUnitAdd('E110',,,,,,,10,,,)</v>
      </c>
      <c r="CR37" s="70" t="str">
        <f t="shared" si="298"/>
        <v>InitEquipData('E110',200,"",,E111,,50,'','','','','','',"ReplaceableTextures\\CommandButtons\\BTNZ08.blp")</v>
      </c>
      <c r="CS37" s="70"/>
      <c r="CT37" s="70"/>
      <c r="CU37" s="72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="7" customFormat="1" ht="15" spans="1:175">
      <c r="A38" s="11"/>
      <c r="B38" s="46" t="s">
        <v>251</v>
      </c>
      <c r="C38" s="3" t="s">
        <v>252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4"/>
      <c r="Q38" s="54"/>
      <c r="R38" s="54"/>
      <c r="S38" s="54"/>
      <c r="T38" s="59" t="str">
        <f t="shared" si="292"/>
        <v>|n攻击6%概率范围|cffff4646业力*15|r魔法伤害|n|n|Cff00ff7f击杀300只怪有50%概率升级|r</v>
      </c>
      <c r="U38" s="60" t="s">
        <v>253</v>
      </c>
      <c r="V38" s="61">
        <v>27000</v>
      </c>
      <c r="W38" s="61"/>
      <c r="X38"/>
      <c r="Y38" s="61"/>
      <c r="Z38" s="61">
        <v>90000</v>
      </c>
      <c r="AA38" s="61">
        <f>Z38-Z37</f>
        <v>45000</v>
      </c>
      <c r="AB38" s="61">
        <f t="shared" si="293"/>
        <v>1800</v>
      </c>
      <c r="AC38" s="61"/>
      <c r="AD38" s="61">
        <v>80</v>
      </c>
      <c r="AE38" s="61">
        <v>9</v>
      </c>
      <c r="AF38" s="61"/>
      <c r="AG38" s="65"/>
      <c r="AH38" s="61"/>
      <c r="AI38" s="61"/>
      <c r="AJ38" s="61"/>
      <c r="AK38" s="61"/>
      <c r="AL38" s="65"/>
      <c r="AM38" s="61"/>
      <c r="AN38" s="61"/>
      <c r="AO38" s="61"/>
      <c r="AP38" s="61"/>
      <c r="AQ38" s="61"/>
      <c r="AR38" s="67"/>
      <c r="AS38" s="67"/>
      <c r="AT38" s="61"/>
      <c r="AU38" s="61"/>
      <c r="AV38" s="61"/>
      <c r="AW38" s="61"/>
      <c r="AX38" s="61"/>
      <c r="AY38" s="61"/>
      <c r="AZ38" s="61"/>
      <c r="BA38" s="61"/>
      <c r="BB38" s="61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1"/>
      <c r="CF38" s="61"/>
      <c r="CG38" s="61"/>
      <c r="CH38" s="61"/>
      <c r="CI38" s="61"/>
      <c r="CJ38" s="61"/>
      <c r="CK38" s="61"/>
      <c r="CL38" s="61"/>
      <c r="CM38" s="61"/>
      <c r="CN38" s="70" t="str">
        <f t="shared" si="294"/>
        <v>InitUnitState('E111',27000,,,,90000,45000,1800,,80,9)</v>
      </c>
      <c r="CO38" s="70" t="str">
        <f t="shared" si="295"/>
        <v>InitUnitNormal('E111',,,,,,,,,,)</v>
      </c>
      <c r="CP38" s="70" t="str">
        <f t="shared" si="296"/>
        <v>InitUnitMagic('E111',,,,,,,,,,)</v>
      </c>
      <c r="CQ38" s="70" t="str">
        <f t="shared" si="297"/>
        <v>InitUnitAdd('E111',,,,,,,11,,,)</v>
      </c>
      <c r="CR38" s="70" t="str">
        <f t="shared" si="298"/>
        <v>InitEquipData('E111',300,"",,E112,,50,'','','','','','',"ReplaceableTextures\\CommandButtons\\BTNZ08.blp")</v>
      </c>
      <c r="CS38" s="70"/>
      <c r="CT38" s="70"/>
      <c r="CU38" s="72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="7" customFormat="1" ht="15" spans="1:175">
      <c r="A39" s="11"/>
      <c r="B39" s="46" t="s">
        <v>254</v>
      </c>
      <c r="C39" s="3" t="s">
        <v>255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4"/>
      <c r="Q39" s="54"/>
      <c r="R39" s="54"/>
      <c r="S39" s="54"/>
      <c r="T39" s="59" t="str">
        <f t="shared" si="292"/>
        <v>|n攻击6%概率范围|cffff4646业力*15|r魔法伤害|n|n|Cff00ff7f击杀300只怪有50%概率升级|r</v>
      </c>
      <c r="U39" s="60" t="s">
        <v>253</v>
      </c>
      <c r="V39" s="61">
        <v>35100</v>
      </c>
      <c r="W39" s="61"/>
      <c r="X39" s="61"/>
      <c r="Y39" s="61"/>
      <c r="Z39" s="61">
        <v>117000</v>
      </c>
      <c r="AA39" s="61"/>
      <c r="AB39" s="61">
        <f t="shared" si="293"/>
        <v>2340</v>
      </c>
      <c r="AC39" s="61"/>
      <c r="AD39" s="61">
        <v>85</v>
      </c>
      <c r="AE39" s="61">
        <v>9</v>
      </c>
      <c r="AF39" s="61"/>
      <c r="AG39" s="65"/>
      <c r="AH39" s="61"/>
      <c r="AI39" s="61"/>
      <c r="AJ39" s="61"/>
      <c r="AK39" s="61"/>
      <c r="AL39" s="65"/>
      <c r="AM39" s="61"/>
      <c r="AN39" s="61"/>
      <c r="AO39" s="61"/>
      <c r="AP39" s="61"/>
      <c r="AQ39" s="61"/>
      <c r="AR39" s="67"/>
      <c r="AS39" s="67"/>
      <c r="AT39" s="61"/>
      <c r="AU39" s="61"/>
      <c r="AV39" s="61"/>
      <c r="AW39" s="61"/>
      <c r="AX39" s="61"/>
      <c r="AY39" s="61"/>
      <c r="AZ39" s="61"/>
      <c r="BA39" s="61"/>
      <c r="BB39" s="61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1"/>
      <c r="CF39" s="61"/>
      <c r="CG39" s="61"/>
      <c r="CH39" s="61"/>
      <c r="CI39" s="61"/>
      <c r="CJ39" s="61"/>
      <c r="CK39" s="61"/>
      <c r="CL39" s="61"/>
      <c r="CM39" s="61"/>
      <c r="CN39" s="70" t="str">
        <f t="shared" si="294"/>
        <v>InitUnitState('E112',35100,,,,117000,,2340,,85,9)</v>
      </c>
      <c r="CO39" s="70" t="str">
        <f t="shared" si="295"/>
        <v>InitUnitNormal('E112',,,,,,,,,,)</v>
      </c>
      <c r="CP39" s="70" t="str">
        <f t="shared" si="296"/>
        <v>InitUnitMagic('E112',,,,,,,,,,)</v>
      </c>
      <c r="CQ39" s="70" t="str">
        <f t="shared" si="297"/>
        <v>InitUnitAdd('E112',,,,,,,12,,,)</v>
      </c>
      <c r="CR39" s="7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70"/>
      <c r="CT39" s="70"/>
      <c r="CU39" s="72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="7" customFormat="1" ht="15" spans="1:175">
      <c r="A40" s="11"/>
      <c r="B40" s="46" t="s">
        <v>256</v>
      </c>
      <c r="C40" s="3" t="s">
        <v>257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4"/>
      <c r="Q40" s="54"/>
      <c r="R40" s="54"/>
      <c r="S40" s="54"/>
      <c r="T40" s="59" t="str">
        <f t="shared" si="292"/>
        <v>|n攻击6%概率范围|cffff4646业力*15|r魔法伤害|n|n|Cff00ff7f击杀300只怪有50%概率升级|r</v>
      </c>
      <c r="U40" s="60" t="s">
        <v>253</v>
      </c>
      <c r="V40" s="61">
        <v>43200</v>
      </c>
      <c r="W40" s="61"/>
      <c r="X40" s="61"/>
      <c r="Y40" s="61"/>
      <c r="Z40" s="61">
        <v>144000</v>
      </c>
      <c r="AA40" s="61"/>
      <c r="AB40" s="61">
        <f t="shared" si="293"/>
        <v>2880</v>
      </c>
      <c r="AC40" s="61"/>
      <c r="AD40" s="61">
        <v>90</v>
      </c>
      <c r="AE40" s="61">
        <v>9</v>
      </c>
      <c r="AF40" s="61"/>
      <c r="AG40" s="65"/>
      <c r="AH40" s="61"/>
      <c r="AI40" s="61"/>
      <c r="AJ40" s="61"/>
      <c r="AK40" s="61"/>
      <c r="AL40" s="65"/>
      <c r="AM40" s="61"/>
      <c r="AN40" s="61"/>
      <c r="AO40" s="61"/>
      <c r="AP40" s="61"/>
      <c r="AQ40" s="61"/>
      <c r="AR40" s="67"/>
      <c r="AS40" s="67"/>
      <c r="AT40" s="61"/>
      <c r="AU40" s="61"/>
      <c r="AV40" s="61"/>
      <c r="AW40" s="61"/>
      <c r="AX40" s="61"/>
      <c r="AY40" s="61"/>
      <c r="AZ40" s="61"/>
      <c r="BA40" s="61"/>
      <c r="BB40" s="61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1"/>
      <c r="CF40" s="61"/>
      <c r="CG40" s="61"/>
      <c r="CH40" s="61"/>
      <c r="CI40" s="61"/>
      <c r="CJ40" s="61"/>
      <c r="CK40" s="61"/>
      <c r="CL40" s="61"/>
      <c r="CM40" s="61"/>
      <c r="CN40" s="70" t="str">
        <f t="shared" si="294"/>
        <v>InitUnitState('E113',43200,,,,144000,,2880,,90,9)</v>
      </c>
      <c r="CO40" s="70" t="str">
        <f t="shared" si="295"/>
        <v>InitUnitNormal('E113',,,,,,,,,,)</v>
      </c>
      <c r="CP40" s="70" t="str">
        <f t="shared" si="296"/>
        <v>InitUnitMagic('E113',,,,,,,,,,)</v>
      </c>
      <c r="CQ40" s="70" t="str">
        <f t="shared" si="297"/>
        <v>InitUnitAdd('E113',,,,,,,13,,,)</v>
      </c>
      <c r="CR40" s="7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70"/>
      <c r="CT40" s="70"/>
      <c r="CU40" s="72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="7" customFormat="1" ht="15" spans="1:175">
      <c r="A41" s="11"/>
      <c r="B41" s="46" t="s">
        <v>258</v>
      </c>
      <c r="C41" s="3" t="s">
        <v>259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4"/>
      <c r="Q41" s="54"/>
      <c r="R41" s="54"/>
      <c r="S41" s="54"/>
      <c r="T41" s="59" t="str">
        <f t="shared" si="292"/>
        <v>|n攻击6%概率范围|cffff4646业力*15|r魔法伤害|n|n|Cff00ff7f击杀300只怪有50%概率升级|r</v>
      </c>
      <c r="U41" s="60" t="s">
        <v>253</v>
      </c>
      <c r="V41" s="61">
        <v>51300</v>
      </c>
      <c r="W41" s="61"/>
      <c r="X41" s="61"/>
      <c r="Y41" s="61"/>
      <c r="Z41" s="61">
        <v>171000</v>
      </c>
      <c r="AA41" s="61"/>
      <c r="AB41" s="61">
        <f t="shared" si="293"/>
        <v>3420</v>
      </c>
      <c r="AC41" s="61"/>
      <c r="AD41" s="61">
        <v>95</v>
      </c>
      <c r="AE41" s="61">
        <v>9</v>
      </c>
      <c r="AF41" s="61"/>
      <c r="AG41" s="65"/>
      <c r="AH41" s="61"/>
      <c r="AI41" s="61"/>
      <c r="AJ41" s="61"/>
      <c r="AK41" s="61"/>
      <c r="AL41" s="65"/>
      <c r="AM41" s="61"/>
      <c r="AN41" s="61"/>
      <c r="AO41" s="61"/>
      <c r="AP41" s="61"/>
      <c r="AQ41" s="61"/>
      <c r="AR41" s="67"/>
      <c r="AS41" s="67"/>
      <c r="AT41" s="61"/>
      <c r="AU41" s="61"/>
      <c r="AV41" s="61"/>
      <c r="AW41" s="61"/>
      <c r="AX41" s="61"/>
      <c r="AY41" s="61"/>
      <c r="AZ41" s="61"/>
      <c r="BA41" s="61"/>
      <c r="BB41" s="6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1"/>
      <c r="CF41" s="61"/>
      <c r="CG41" s="61"/>
      <c r="CH41" s="61"/>
      <c r="CI41" s="61"/>
      <c r="CJ41" s="61"/>
      <c r="CK41" s="61"/>
      <c r="CL41" s="61"/>
      <c r="CM41" s="61"/>
      <c r="CN41" s="70" t="str">
        <f t="shared" si="294"/>
        <v>InitUnitState('E114',51300,,,,171000,,3420,,95,9)</v>
      </c>
      <c r="CO41" s="70" t="str">
        <f t="shared" si="295"/>
        <v>InitUnitNormal('E114',,,,,,,,,,)</v>
      </c>
      <c r="CP41" s="70" t="str">
        <f t="shared" si="296"/>
        <v>InitUnitMagic('E114',,,,,,,,,,)</v>
      </c>
      <c r="CQ41" s="70" t="str">
        <f t="shared" si="297"/>
        <v>InitUnitAdd('E114',,,,,,,14,,,)</v>
      </c>
      <c r="CR41" s="7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70"/>
      <c r="CT41" s="70"/>
      <c r="CU41" s="72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="7" customFormat="1" ht="15" spans="1:175">
      <c r="A42" s="11"/>
      <c r="B42" s="46" t="s">
        <v>260</v>
      </c>
      <c r="C42" s="3" t="s">
        <v>261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4"/>
      <c r="Q42" s="54"/>
      <c r="R42" s="54"/>
      <c r="S42" s="54"/>
      <c r="T42" s="59" t="str">
        <f t="shared" si="292"/>
        <v>|n攻击6%概率范围|cffff4646业力*15|r魔法伤害|n|n|Cff00ff7f击杀300只怪有50%概率升级|r</v>
      </c>
      <c r="U42" s="60" t="s">
        <v>253</v>
      </c>
      <c r="V42" s="61">
        <v>56700</v>
      </c>
      <c r="W42" s="61"/>
      <c r="X42"/>
      <c r="Y42" s="61"/>
      <c r="Z42" s="61">
        <v>189000</v>
      </c>
      <c r="AA42" s="61"/>
      <c r="AB42" s="61">
        <f t="shared" si="293"/>
        <v>3780</v>
      </c>
      <c r="AC42" s="61"/>
      <c r="AD42" s="61">
        <v>100</v>
      </c>
      <c r="AE42" s="61">
        <v>9</v>
      </c>
      <c r="AF42" s="61"/>
      <c r="AG42" s="65"/>
      <c r="AH42" s="61"/>
      <c r="AI42" s="61"/>
      <c r="AJ42" s="61"/>
      <c r="AK42" s="61"/>
      <c r="AL42" s="65"/>
      <c r="AM42" s="61"/>
      <c r="AN42" s="61"/>
      <c r="AO42" s="61"/>
      <c r="AP42" s="61"/>
      <c r="AQ42" s="61"/>
      <c r="AR42" s="67"/>
      <c r="AS42" s="67"/>
      <c r="AT42" s="61"/>
      <c r="AU42" s="61"/>
      <c r="AV42" s="61"/>
      <c r="AW42" s="61"/>
      <c r="AX42" s="61"/>
      <c r="AY42" s="61"/>
      <c r="AZ42" s="61"/>
      <c r="BA42" s="61"/>
      <c r="BB42" s="61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1"/>
      <c r="CF42" s="61"/>
      <c r="CG42" s="61"/>
      <c r="CH42" s="61"/>
      <c r="CI42" s="61"/>
      <c r="CJ42" s="61"/>
      <c r="CK42" s="61"/>
      <c r="CL42" s="61"/>
      <c r="CM42" s="61"/>
      <c r="CN42" s="70" t="str">
        <f t="shared" si="294"/>
        <v>InitUnitState('E115',56700,,,,189000,,3780,,100,9)</v>
      </c>
      <c r="CO42" s="70" t="str">
        <f t="shared" si="295"/>
        <v>InitUnitNormal('E115',,,,,,,,,,)</v>
      </c>
      <c r="CP42" s="70" t="str">
        <f t="shared" si="296"/>
        <v>InitUnitMagic('E115',,,,,,,,,,)</v>
      </c>
      <c r="CQ42" s="70" t="str">
        <f t="shared" si="297"/>
        <v>InitUnitAdd('E115',,,,,,,15,,,)</v>
      </c>
      <c r="CR42" s="7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70"/>
      <c r="CT42" s="70"/>
      <c r="CU42" s="72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="7" customFormat="1" ht="15" spans="1:175">
      <c r="A43" s="11"/>
      <c r="B43" s="46" t="s">
        <v>262</v>
      </c>
      <c r="C43" s="3" t="s">
        <v>263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4"/>
      <c r="Q43" s="54"/>
      <c r="R43" s="54"/>
      <c r="S43" s="54"/>
      <c r="T43" s="59" t="str">
        <f t="shared" si="292"/>
        <v>|n攻击6%概率范围|cffff4646业力*15|r魔法伤害|n|n|Cff00ff7f击杀400只怪有50%概率升级|r</v>
      </c>
      <c r="U43" s="60" t="s">
        <v>264</v>
      </c>
      <c r="V43" s="61">
        <v>81000</v>
      </c>
      <c r="W43" s="61"/>
      <c r="X43"/>
      <c r="Y43" s="61"/>
      <c r="Z43" s="61">
        <v>270000</v>
      </c>
      <c r="AA43" s="61">
        <f>Z43-Z42</f>
        <v>81000</v>
      </c>
      <c r="AB43" s="61">
        <f t="shared" si="293"/>
        <v>5400</v>
      </c>
      <c r="AC43" s="61"/>
      <c r="AD43" s="61">
        <v>105</v>
      </c>
      <c r="AE43" s="61">
        <v>12</v>
      </c>
      <c r="AF43" s="61"/>
      <c r="AG43" s="65"/>
      <c r="AH43" s="61"/>
      <c r="AI43" s="61"/>
      <c r="AJ43" s="61"/>
      <c r="AK43" s="61"/>
      <c r="AL43" s="65"/>
      <c r="AM43" s="61"/>
      <c r="AN43" s="61"/>
      <c r="AO43" s="61"/>
      <c r="AP43" s="61"/>
      <c r="AQ43" s="61"/>
      <c r="AR43" s="67"/>
      <c r="AS43" s="67"/>
      <c r="AT43" s="61"/>
      <c r="AU43" s="61"/>
      <c r="AV43" s="61"/>
      <c r="AW43" s="61"/>
      <c r="AX43" s="61"/>
      <c r="AY43" s="61"/>
      <c r="AZ43" s="61"/>
      <c r="BA43" s="61"/>
      <c r="BB43" s="61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1"/>
      <c r="CF43" s="61"/>
      <c r="CG43" s="61"/>
      <c r="CH43" s="61"/>
      <c r="CI43" s="61"/>
      <c r="CJ43" s="61"/>
      <c r="CK43" s="61"/>
      <c r="CL43" s="61"/>
      <c r="CM43" s="61"/>
      <c r="CN43" s="70" t="str">
        <f t="shared" si="294"/>
        <v>InitUnitState('E116',81000,,,,270000,81000,5400,,105,12)</v>
      </c>
      <c r="CO43" s="70" t="str">
        <f t="shared" si="295"/>
        <v>InitUnitNormal('E116',,,,,,,,,,)</v>
      </c>
      <c r="CP43" s="70" t="str">
        <f t="shared" si="296"/>
        <v>InitUnitMagic('E116',,,,,,,,,,)</v>
      </c>
      <c r="CQ43" s="70" t="str">
        <f t="shared" si="297"/>
        <v>InitUnitAdd('E116',,,,,,,16,,,)</v>
      </c>
      <c r="CR43" s="7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70"/>
      <c r="CT43" s="70"/>
      <c r="CU43" s="72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="7" customFormat="1" ht="15" spans="1:175">
      <c r="A44" s="11"/>
      <c r="B44" s="46" t="s">
        <v>265</v>
      </c>
      <c r="C44" s="3" t="s">
        <v>266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4"/>
      <c r="Q44" s="54"/>
      <c r="R44" s="54"/>
      <c r="S44" s="54"/>
      <c r="T44" s="59" t="str">
        <f t="shared" si="292"/>
        <v>|n攻击6%概率范围|cffff4646业力*15|r魔法伤害|n|n|Cff00ff7f击杀400只怪有50%概率升级|r</v>
      </c>
      <c r="U44" s="60" t="s">
        <v>264</v>
      </c>
      <c r="V44" s="61">
        <v>94500</v>
      </c>
      <c r="W44" s="61"/>
      <c r="X44" s="61"/>
      <c r="Y44" s="61"/>
      <c r="Z44" s="61">
        <v>315000</v>
      </c>
      <c r="AA44" s="61"/>
      <c r="AB44" s="61">
        <f t="shared" si="293"/>
        <v>6300</v>
      </c>
      <c r="AC44" s="61"/>
      <c r="AD44" s="61">
        <v>110</v>
      </c>
      <c r="AE44" s="61">
        <v>12</v>
      </c>
      <c r="AF44" s="61"/>
      <c r="AG44" s="65"/>
      <c r="AH44" s="61"/>
      <c r="AI44" s="61"/>
      <c r="AJ44" s="61"/>
      <c r="AK44" s="61"/>
      <c r="AL44" s="65"/>
      <c r="AM44" s="61"/>
      <c r="AN44" s="61"/>
      <c r="AO44" s="61"/>
      <c r="AP44" s="61"/>
      <c r="AQ44" s="61"/>
      <c r="AR44" s="67"/>
      <c r="AS44" s="67"/>
      <c r="AT44" s="61"/>
      <c r="AU44" s="61"/>
      <c r="AV44" s="61"/>
      <c r="AW44" s="61"/>
      <c r="AX44" s="61"/>
      <c r="AY44" s="61"/>
      <c r="AZ44" s="61"/>
      <c r="BA44" s="61"/>
      <c r="BB44" s="61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1"/>
      <c r="CF44" s="61"/>
      <c r="CG44" s="61"/>
      <c r="CH44" s="61"/>
      <c r="CI44" s="61"/>
      <c r="CJ44" s="61"/>
      <c r="CK44" s="61"/>
      <c r="CL44" s="61"/>
      <c r="CM44" s="61"/>
      <c r="CN44" s="70" t="str">
        <f t="shared" si="294"/>
        <v>InitUnitState('E117',94500,,,,315000,,6300,,110,12)</v>
      </c>
      <c r="CO44" s="70" t="str">
        <f t="shared" si="295"/>
        <v>InitUnitNormal('E117',,,,,,,,,,)</v>
      </c>
      <c r="CP44" s="70" t="str">
        <f t="shared" si="296"/>
        <v>InitUnitMagic('E117',,,,,,,,,,)</v>
      </c>
      <c r="CQ44" s="70" t="str">
        <f t="shared" si="297"/>
        <v>InitUnitAdd('E117',,,,,,,17,,,)</v>
      </c>
      <c r="CR44" s="70" t="str">
        <f t="shared" si="298"/>
        <v>InitEquipData('E117',400,"",,E118,,50,'','','','','','',"ReplaceableTextures\\CommandButtons\\BTNZ09.blp")</v>
      </c>
      <c r="CS44" s="70"/>
      <c r="CT44" s="70"/>
      <c r="CU44" s="72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="7" customFormat="1" ht="15" spans="1:175">
      <c r="A45" s="11"/>
      <c r="B45" s="46" t="s">
        <v>267</v>
      </c>
      <c r="C45" s="3" t="s">
        <v>268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4"/>
      <c r="Q45" s="54"/>
      <c r="R45" s="54"/>
      <c r="S45" s="54"/>
      <c r="T45" s="59" t="str">
        <f t="shared" si="292"/>
        <v>|n攻击6%概率范围|cffff4646业力*15|r魔法伤害|n|n|Cff00ff7f击杀400只怪有50%概率升级|r</v>
      </c>
      <c r="U45" s="60" t="s">
        <v>264</v>
      </c>
      <c r="V45" s="61">
        <v>108000</v>
      </c>
      <c r="W45" s="61"/>
      <c r="X45" s="61"/>
      <c r="Y45" s="61"/>
      <c r="Z45" s="61">
        <v>360000</v>
      </c>
      <c r="AA45" s="61"/>
      <c r="AB45" s="61">
        <f t="shared" si="293"/>
        <v>7200</v>
      </c>
      <c r="AC45" s="61"/>
      <c r="AD45" s="61">
        <v>115</v>
      </c>
      <c r="AE45" s="61">
        <v>12</v>
      </c>
      <c r="AF45" s="61"/>
      <c r="AG45" s="65"/>
      <c r="AH45" s="61"/>
      <c r="AI45" s="61"/>
      <c r="AJ45" s="61"/>
      <c r="AK45" s="61"/>
      <c r="AL45" s="65"/>
      <c r="AM45" s="61"/>
      <c r="AN45" s="61"/>
      <c r="AO45" s="61"/>
      <c r="AP45" s="61"/>
      <c r="AQ45" s="61"/>
      <c r="AR45" s="67"/>
      <c r="AS45" s="67"/>
      <c r="AT45" s="61"/>
      <c r="AU45" s="61"/>
      <c r="AV45" s="61"/>
      <c r="AW45" s="61"/>
      <c r="AX45" s="61"/>
      <c r="AY45" s="61"/>
      <c r="AZ45" s="61"/>
      <c r="BA45" s="61"/>
      <c r="BB45" s="61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1"/>
      <c r="CF45" s="61"/>
      <c r="CG45" s="61"/>
      <c r="CH45" s="61"/>
      <c r="CI45" s="61"/>
      <c r="CJ45" s="61"/>
      <c r="CK45" s="61"/>
      <c r="CL45" s="61"/>
      <c r="CM45" s="61"/>
      <c r="CN45" s="70" t="str">
        <f t="shared" si="294"/>
        <v>InitUnitState('E118',108000,,,,360000,,7200,,115,12)</v>
      </c>
      <c r="CO45" s="70" t="str">
        <f t="shared" si="295"/>
        <v>InitUnitNormal('E118',,,,,,,,,,)</v>
      </c>
      <c r="CP45" s="70" t="str">
        <f t="shared" si="296"/>
        <v>InitUnitMagic('E118',,,,,,,,,,)</v>
      </c>
      <c r="CQ45" s="70" t="str">
        <f t="shared" si="297"/>
        <v>InitUnitAdd('E118',,,,,,,18,,,)</v>
      </c>
      <c r="CR45" s="70" t="str">
        <f t="shared" si="298"/>
        <v>InitEquipData('E118',400,"",,E119,,50,'','','','','','',"ReplaceableTextures\\CommandButtons\\BTNZ09.blp")</v>
      </c>
      <c r="CS45" s="70"/>
      <c r="CT45" s="70"/>
      <c r="CU45" s="72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="7" customFormat="1" ht="15" spans="1:175">
      <c r="A46" s="11"/>
      <c r="B46" s="46" t="s">
        <v>269</v>
      </c>
      <c r="C46" s="3" t="s">
        <v>270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4"/>
      <c r="Q46" s="54"/>
      <c r="R46" s="54"/>
      <c r="S46" s="54"/>
      <c r="T46" s="59" t="str">
        <f t="shared" si="292"/>
        <v>|n攻击6%概率范围|cffff4646业力*15|r魔法伤害|n|n|Cff00ff7f击杀400只怪有50%概率升级|r</v>
      </c>
      <c r="U46" s="60" t="s">
        <v>264</v>
      </c>
      <c r="V46" s="61">
        <v>121500</v>
      </c>
      <c r="W46" s="61"/>
      <c r="X46" s="61"/>
      <c r="Y46" s="61"/>
      <c r="Z46" s="61">
        <v>405000</v>
      </c>
      <c r="AA46" s="61"/>
      <c r="AB46" s="61">
        <f t="shared" si="293"/>
        <v>8100</v>
      </c>
      <c r="AC46" s="61"/>
      <c r="AD46" s="61">
        <v>120</v>
      </c>
      <c r="AE46" s="61">
        <v>12</v>
      </c>
      <c r="AF46" s="61"/>
      <c r="AG46" s="65"/>
      <c r="AH46" s="61"/>
      <c r="AI46" s="61"/>
      <c r="AJ46" s="61"/>
      <c r="AK46" s="61"/>
      <c r="AL46" s="65"/>
      <c r="AM46" s="61"/>
      <c r="AN46" s="61"/>
      <c r="AO46" s="61"/>
      <c r="AP46" s="61"/>
      <c r="AQ46" s="61"/>
      <c r="AR46" s="67"/>
      <c r="AS46" s="67"/>
      <c r="AT46" s="61"/>
      <c r="AU46" s="61"/>
      <c r="AV46" s="61"/>
      <c r="AW46" s="61"/>
      <c r="AX46" s="61"/>
      <c r="AY46" s="61"/>
      <c r="AZ46" s="61"/>
      <c r="BA46" s="61"/>
      <c r="BB46" s="61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1"/>
      <c r="CF46" s="61"/>
      <c r="CG46" s="61"/>
      <c r="CH46" s="61"/>
      <c r="CI46" s="61"/>
      <c r="CJ46" s="61"/>
      <c r="CK46" s="61"/>
      <c r="CL46" s="61"/>
      <c r="CM46" s="61"/>
      <c r="CN46" s="70" t="str">
        <f t="shared" si="294"/>
        <v>InitUnitState('E119',121500,,,,405000,,8100,,120,12)</v>
      </c>
      <c r="CO46" s="70" t="str">
        <f t="shared" si="295"/>
        <v>InitUnitNormal('E119',,,,,,,,,,)</v>
      </c>
      <c r="CP46" s="70" t="str">
        <f t="shared" si="296"/>
        <v>InitUnitMagic('E119',,,,,,,,,,)</v>
      </c>
      <c r="CQ46" s="70" t="str">
        <f t="shared" si="297"/>
        <v>InitUnitAdd('E119',,,,,,,19,,,)</v>
      </c>
      <c r="CR46" s="70" t="str">
        <f t="shared" si="298"/>
        <v>InitEquipData('E119',400,"",,E120,,50,'','','','','','',"ReplaceableTextures\\CommandButtons\\BTNZ09.blp")</v>
      </c>
      <c r="CS46" s="70"/>
      <c r="CT46" s="70"/>
      <c r="CU46" s="72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="7" customFormat="1" ht="15" spans="1:175">
      <c r="A47" s="11"/>
      <c r="B47" s="46" t="s">
        <v>271</v>
      </c>
      <c r="C47" s="3" t="s">
        <v>272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4"/>
      <c r="Q47" s="54"/>
      <c r="R47" s="54"/>
      <c r="S47" s="54"/>
      <c r="T47" s="59" t="str">
        <f t="shared" si="292"/>
        <v>|n攻击6%概率范围|cffff4646业力*15|r魔法伤害|n|n|Cff00ff7f击杀400只怪有50%概率升级|r</v>
      </c>
      <c r="U47" s="60" t="s">
        <v>264</v>
      </c>
      <c r="V47" s="61">
        <v>135000</v>
      </c>
      <c r="W47" s="61"/>
      <c r="X47"/>
      <c r="Y47" s="61"/>
      <c r="Z47" s="61">
        <v>450000</v>
      </c>
      <c r="AA47" s="61"/>
      <c r="AB47" s="61">
        <f t="shared" si="293"/>
        <v>9000</v>
      </c>
      <c r="AC47" s="61"/>
      <c r="AD47" s="61">
        <v>125</v>
      </c>
      <c r="AE47" s="61">
        <v>12</v>
      </c>
      <c r="AF47" s="61"/>
      <c r="AG47" s="65"/>
      <c r="AH47" s="61"/>
      <c r="AI47" s="61"/>
      <c r="AJ47" s="61"/>
      <c r="AK47" s="61"/>
      <c r="AL47" s="65"/>
      <c r="AM47" s="61"/>
      <c r="AN47" s="61"/>
      <c r="AO47" s="61"/>
      <c r="AP47" s="61"/>
      <c r="AQ47" s="61"/>
      <c r="AR47" s="67"/>
      <c r="AS47" s="67"/>
      <c r="AT47" s="61"/>
      <c r="AU47" s="61"/>
      <c r="AV47" s="61"/>
      <c r="AW47" s="61"/>
      <c r="AX47" s="61"/>
      <c r="AY47" s="61"/>
      <c r="AZ47" s="61"/>
      <c r="BA47" s="61"/>
      <c r="BB47" s="61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1"/>
      <c r="CF47" s="61"/>
      <c r="CG47" s="61"/>
      <c r="CH47" s="61"/>
      <c r="CI47" s="61"/>
      <c r="CJ47" s="61"/>
      <c r="CK47" s="61"/>
      <c r="CL47" s="61"/>
      <c r="CM47" s="61"/>
      <c r="CN47" s="70" t="str">
        <f t="shared" si="294"/>
        <v>InitUnitState('E120',135000,,,,450000,,9000,,125,12)</v>
      </c>
      <c r="CO47" s="70" t="str">
        <f t="shared" si="295"/>
        <v>InitUnitNormal('E120',,,,,,,,,,)</v>
      </c>
      <c r="CP47" s="70" t="str">
        <f t="shared" si="296"/>
        <v>InitUnitMagic('E120',,,,,,,,,,)</v>
      </c>
      <c r="CQ47" s="70" t="str">
        <f t="shared" si="297"/>
        <v>InitUnitAdd('E120',,,,,,,20,,,)</v>
      </c>
      <c r="CR47" s="70" t="str">
        <f t="shared" si="298"/>
        <v>InitEquipData('E120',400,"",,E121,,50,'','','','','','',"ReplaceableTextures\\CommandButtons\\BTNZ10.blp")</v>
      </c>
      <c r="CS47" s="70"/>
      <c r="CT47" s="70"/>
      <c r="CU47" s="72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="7" customFormat="1" ht="15" spans="1:175">
      <c r="A48" s="11"/>
      <c r="B48" s="46" t="s">
        <v>273</v>
      </c>
      <c r="C48" s="3" t="s">
        <v>274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4"/>
      <c r="Q48" s="54"/>
      <c r="R48" s="54"/>
      <c r="S48" s="54"/>
      <c r="T48" s="59" t="str">
        <f t="shared" si="292"/>
        <v>|n攻击6%概率范围|cffff4646业力*15|r魔法伤害|n|n|Cff00ff7f击杀500只怪有50%概率升级|r</v>
      </c>
      <c r="U48" s="60" t="s">
        <v>275</v>
      </c>
      <c r="V48" s="61">
        <v>202500</v>
      </c>
      <c r="W48" s="61"/>
      <c r="X48"/>
      <c r="Y48" s="61"/>
      <c r="Z48" s="61">
        <v>675000</v>
      </c>
      <c r="AA48" s="61">
        <f>Z48-Z47</f>
        <v>225000</v>
      </c>
      <c r="AB48" s="61">
        <f t="shared" si="293"/>
        <v>13500</v>
      </c>
      <c r="AC48" s="61"/>
      <c r="AD48" s="61">
        <v>130</v>
      </c>
      <c r="AE48" s="61">
        <v>15</v>
      </c>
      <c r="AF48" s="61"/>
      <c r="AG48" s="65"/>
      <c r="AH48" s="61"/>
      <c r="AI48" s="61"/>
      <c r="AJ48" s="61"/>
      <c r="AK48" s="61"/>
      <c r="AL48" s="65"/>
      <c r="AM48" s="61"/>
      <c r="AN48" s="61"/>
      <c r="AO48" s="61"/>
      <c r="AP48" s="61"/>
      <c r="AQ48" s="61"/>
      <c r="AR48" s="67"/>
      <c r="AS48" s="67"/>
      <c r="AT48" s="61"/>
      <c r="AU48" s="61"/>
      <c r="AV48" s="61"/>
      <c r="AW48" s="61"/>
      <c r="AX48" s="61"/>
      <c r="AY48" s="61"/>
      <c r="AZ48" s="61"/>
      <c r="BA48" s="61"/>
      <c r="BB48" s="61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1"/>
      <c r="CF48" s="61"/>
      <c r="CG48" s="61"/>
      <c r="CH48" s="61"/>
      <c r="CI48" s="61"/>
      <c r="CJ48" s="61"/>
      <c r="CK48" s="61"/>
      <c r="CL48" s="61"/>
      <c r="CM48" s="61"/>
      <c r="CN48" s="70" t="str">
        <f t="shared" si="294"/>
        <v>InitUnitState('E121',202500,,,,675000,225000,13500,,130,15)</v>
      </c>
      <c r="CO48" s="70" t="str">
        <f t="shared" si="295"/>
        <v>InitUnitNormal('E121',,,,,,,,,,)</v>
      </c>
      <c r="CP48" s="70" t="str">
        <f t="shared" si="296"/>
        <v>InitUnitMagic('E121',,,,,,,,,,)</v>
      </c>
      <c r="CQ48" s="70" t="str">
        <f t="shared" si="297"/>
        <v>InitUnitAdd('E121',,,,,,,21,,,)</v>
      </c>
      <c r="CR48" s="70" t="str">
        <f t="shared" si="298"/>
        <v>InitEquipData('E121',500,"",,E122,,50,'','','','','','',"ReplaceableTextures\\CommandButtons\\BTNZ10.blp")</v>
      </c>
      <c r="CS48" s="70"/>
      <c r="CT48" s="70"/>
      <c r="CU48" s="72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="7" customFormat="1" ht="15" spans="1:175">
      <c r="A49" s="11"/>
      <c r="B49" s="46" t="s">
        <v>276</v>
      </c>
      <c r="C49" s="3" t="s">
        <v>277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4"/>
      <c r="Q49" s="54"/>
      <c r="R49" s="54"/>
      <c r="S49" s="54"/>
      <c r="T49" s="59" t="str">
        <f t="shared" si="292"/>
        <v>|n攻击6%概率范围|cffff4646业力*15|r魔法伤害|n|n|Cff00ff7f击杀500只怪有50%概率升级|r</v>
      </c>
      <c r="U49" s="60" t="s">
        <v>275</v>
      </c>
      <c r="V49" s="61">
        <v>229500</v>
      </c>
      <c r="W49" s="61"/>
      <c r="X49" s="61"/>
      <c r="Y49" s="61"/>
      <c r="Z49" s="61">
        <v>765000</v>
      </c>
      <c r="AA49" s="61"/>
      <c r="AB49" s="61">
        <f t="shared" si="293"/>
        <v>15300</v>
      </c>
      <c r="AC49" s="61"/>
      <c r="AD49" s="61">
        <v>135</v>
      </c>
      <c r="AE49" s="61">
        <v>15</v>
      </c>
      <c r="AF49" s="61"/>
      <c r="AG49" s="65"/>
      <c r="AH49" s="61"/>
      <c r="AI49" s="61"/>
      <c r="AJ49" s="61"/>
      <c r="AK49" s="61"/>
      <c r="AL49" s="65"/>
      <c r="AM49" s="61"/>
      <c r="AN49" s="61"/>
      <c r="AO49" s="61"/>
      <c r="AP49" s="61"/>
      <c r="AQ49" s="61"/>
      <c r="AR49" s="67"/>
      <c r="AS49" s="67"/>
      <c r="AT49" s="61"/>
      <c r="AU49" s="61"/>
      <c r="AV49" s="61"/>
      <c r="AW49" s="61"/>
      <c r="AX49" s="61"/>
      <c r="AY49" s="61"/>
      <c r="AZ49" s="61"/>
      <c r="BA49" s="61"/>
      <c r="BB49" s="61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1"/>
      <c r="CF49" s="61"/>
      <c r="CG49" s="61"/>
      <c r="CH49" s="61"/>
      <c r="CI49" s="61"/>
      <c r="CJ49" s="61"/>
      <c r="CK49" s="61"/>
      <c r="CL49" s="61"/>
      <c r="CM49" s="61"/>
      <c r="CN49" s="70" t="str">
        <f t="shared" si="294"/>
        <v>InitUnitState('E122',229500,,,,765000,,15300,,135,15)</v>
      </c>
      <c r="CO49" s="70" t="str">
        <f t="shared" si="295"/>
        <v>InitUnitNormal('E122',,,,,,,,,,)</v>
      </c>
      <c r="CP49" s="70" t="str">
        <f t="shared" si="296"/>
        <v>InitUnitMagic('E122',,,,,,,,,,)</v>
      </c>
      <c r="CQ49" s="70" t="str">
        <f t="shared" si="297"/>
        <v>InitUnitAdd('E122',,,,,,,22,,,)</v>
      </c>
      <c r="CR49" s="70" t="str">
        <f t="shared" si="298"/>
        <v>InitEquipData('E122',500,"",,E123,,50,'','','','','','',"ReplaceableTextures\\CommandButtons\\BTNZ10.blp")</v>
      </c>
      <c r="CS49" s="70"/>
      <c r="CT49" s="70"/>
      <c r="CU49" s="72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="7" customFormat="1" ht="15" spans="1:175">
      <c r="A50" s="11"/>
      <c r="B50" s="46" t="s">
        <v>278</v>
      </c>
      <c r="C50" s="3" t="s">
        <v>279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4"/>
      <c r="Q50" s="54"/>
      <c r="R50" s="54"/>
      <c r="S50" s="54"/>
      <c r="T50" s="59" t="str">
        <f t="shared" si="292"/>
        <v>|n攻击6%概率范围|cffff4646业力*15|r魔法伤害|n|n|Cff00ff7f击杀500只怪有50%概率升级|r</v>
      </c>
      <c r="U50" s="60" t="s">
        <v>275</v>
      </c>
      <c r="V50" s="61">
        <v>256500</v>
      </c>
      <c r="W50" s="61"/>
      <c r="X50" s="61"/>
      <c r="Y50" s="61"/>
      <c r="Z50" s="61">
        <v>855000</v>
      </c>
      <c r="AA50" s="61"/>
      <c r="AB50" s="61">
        <f t="shared" si="293"/>
        <v>17100</v>
      </c>
      <c r="AC50" s="61"/>
      <c r="AD50" s="61">
        <v>140</v>
      </c>
      <c r="AE50" s="61">
        <v>15</v>
      </c>
      <c r="AF50" s="61"/>
      <c r="AG50" s="65"/>
      <c r="AH50" s="61"/>
      <c r="AI50" s="61"/>
      <c r="AJ50" s="61"/>
      <c r="AK50" s="61"/>
      <c r="AL50" s="65"/>
      <c r="AM50" s="61"/>
      <c r="AN50" s="61"/>
      <c r="AO50" s="61"/>
      <c r="AP50" s="61"/>
      <c r="AQ50" s="61"/>
      <c r="AR50" s="67"/>
      <c r="AS50" s="67"/>
      <c r="AT50" s="61"/>
      <c r="AU50" s="61"/>
      <c r="AV50" s="61"/>
      <c r="AW50" s="61"/>
      <c r="AX50" s="61"/>
      <c r="AY50" s="61"/>
      <c r="AZ50" s="61"/>
      <c r="BA50" s="61"/>
      <c r="BB50" s="61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1"/>
      <c r="CF50" s="61"/>
      <c r="CG50" s="61"/>
      <c r="CH50" s="61"/>
      <c r="CI50" s="61"/>
      <c r="CJ50" s="61"/>
      <c r="CK50" s="61"/>
      <c r="CL50" s="61"/>
      <c r="CM50" s="61"/>
      <c r="CN50" s="70" t="str">
        <f t="shared" si="294"/>
        <v>InitUnitState('E123',256500,,,,855000,,17100,,140,15)</v>
      </c>
      <c r="CO50" s="70" t="str">
        <f t="shared" si="295"/>
        <v>InitUnitNormal('E123',,,,,,,,,,)</v>
      </c>
      <c r="CP50" s="70" t="str">
        <f t="shared" si="296"/>
        <v>InitUnitMagic('E123',,,,,,,,,,)</v>
      </c>
      <c r="CQ50" s="70" t="str">
        <f t="shared" si="297"/>
        <v>InitUnitAdd('E123',,,,,,,23,,,)</v>
      </c>
      <c r="CR50" s="70" t="str">
        <f t="shared" si="298"/>
        <v>InitEquipData('E123',500,"",,E124,,50,'','','','','','',"ReplaceableTextures\\CommandButtons\\BTNZ10.blp")</v>
      </c>
      <c r="CS50" s="70"/>
      <c r="CT50" s="70"/>
      <c r="CU50" s="72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="7" customFormat="1" ht="15" spans="1:175">
      <c r="A51" s="11"/>
      <c r="B51" s="46" t="s">
        <v>280</v>
      </c>
      <c r="C51" s="3" t="s">
        <v>281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4"/>
      <c r="Q51" s="54"/>
      <c r="R51" s="54"/>
      <c r="S51" s="54"/>
      <c r="T51" s="59" t="str">
        <f t="shared" si="292"/>
        <v>|n攻击6%概率范围|cffff4646业力*15|r魔法伤害|n|n|Cff00ff7f击杀500只怪有50%概率升级|r</v>
      </c>
      <c r="U51" s="60" t="s">
        <v>275</v>
      </c>
      <c r="V51" s="61">
        <v>283500</v>
      </c>
      <c r="W51" s="61"/>
      <c r="X51" s="61"/>
      <c r="Y51" s="61"/>
      <c r="Z51" s="61">
        <v>945000</v>
      </c>
      <c r="AA51" s="61"/>
      <c r="AB51" s="61">
        <f t="shared" si="293"/>
        <v>18900</v>
      </c>
      <c r="AC51" s="61"/>
      <c r="AD51" s="61">
        <v>145</v>
      </c>
      <c r="AE51" s="61">
        <v>15</v>
      </c>
      <c r="AF51" s="61"/>
      <c r="AG51" s="65"/>
      <c r="AH51" s="61"/>
      <c r="AI51" s="61"/>
      <c r="AJ51" s="61"/>
      <c r="AK51" s="61"/>
      <c r="AL51" s="65"/>
      <c r="AM51" s="61"/>
      <c r="AN51" s="61"/>
      <c r="AO51" s="61"/>
      <c r="AP51" s="61"/>
      <c r="AQ51" s="61"/>
      <c r="AR51" s="67"/>
      <c r="AS51" s="67"/>
      <c r="AT51" s="61"/>
      <c r="AU51" s="61"/>
      <c r="AV51" s="61"/>
      <c r="AW51" s="61"/>
      <c r="AX51" s="61"/>
      <c r="AY51" s="61"/>
      <c r="AZ51" s="61"/>
      <c r="BA51" s="61"/>
      <c r="BB51" s="6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1"/>
      <c r="CF51" s="61"/>
      <c r="CG51" s="61"/>
      <c r="CH51" s="61"/>
      <c r="CI51" s="61"/>
      <c r="CJ51" s="61"/>
      <c r="CK51" s="61"/>
      <c r="CL51" s="61"/>
      <c r="CM51" s="61"/>
      <c r="CN51" s="70" t="str">
        <f t="shared" si="294"/>
        <v>InitUnitState('E124',283500,,,,945000,,18900,,145,15)</v>
      </c>
      <c r="CO51" s="70" t="str">
        <f t="shared" si="295"/>
        <v>InitUnitNormal('E124',,,,,,,,,,)</v>
      </c>
      <c r="CP51" s="70" t="str">
        <f t="shared" si="296"/>
        <v>InitUnitMagic('E124',,,,,,,,,,)</v>
      </c>
      <c r="CQ51" s="70" t="str">
        <f t="shared" si="297"/>
        <v>InitUnitAdd('E124',,,,,,,24,,,)</v>
      </c>
      <c r="CR51" s="70" t="str">
        <f t="shared" si="298"/>
        <v>InitEquipData('E124',500,"",,E125,,50,'','','','','','',"ReplaceableTextures\\CommandButtons\\BTNZ10.blp")</v>
      </c>
      <c r="CS51" s="70"/>
      <c r="CT51" s="70"/>
      <c r="CU51" s="72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="7" customFormat="1" ht="15" spans="1:175">
      <c r="A52" s="11"/>
      <c r="B52" s="46" t="s">
        <v>282</v>
      </c>
      <c r="C52" s="3" t="s">
        <v>283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4"/>
      <c r="Q52" s="54"/>
      <c r="R52" s="54"/>
      <c r="S52" s="54"/>
      <c r="T52" s="59" t="str">
        <f>"|n攻击6%概率范围|cffff4646业力*15|r魔法伤害"</f>
        <v>|n攻击6%概率范围|cffff4646业力*15|r魔法伤害</v>
      </c>
      <c r="U52" s="60" t="s">
        <v>275</v>
      </c>
      <c r="V52" s="61">
        <v>337500</v>
      </c>
      <c r="W52" s="61"/>
      <c r="X52"/>
      <c r="Y52" s="61"/>
      <c r="Z52" s="61">
        <v>1125000</v>
      </c>
      <c r="AA52" s="61"/>
      <c r="AB52" s="61">
        <f t="shared" si="293"/>
        <v>22500</v>
      </c>
      <c r="AC52" s="61"/>
      <c r="AD52" s="61">
        <v>150</v>
      </c>
      <c r="AE52" s="61">
        <v>15</v>
      </c>
      <c r="AF52" s="61"/>
      <c r="AG52" s="65"/>
      <c r="AH52" s="61"/>
      <c r="AI52" s="61"/>
      <c r="AJ52" s="61"/>
      <c r="AK52" s="61"/>
      <c r="AL52" s="65"/>
      <c r="AM52" s="61"/>
      <c r="AN52" s="61"/>
      <c r="AO52" s="61"/>
      <c r="AP52" s="61"/>
      <c r="AQ52" s="61"/>
      <c r="AR52" s="67"/>
      <c r="AS52" s="67"/>
      <c r="AT52" s="61"/>
      <c r="AU52" s="61"/>
      <c r="AV52" s="61"/>
      <c r="AW52" s="61"/>
      <c r="AX52" s="61"/>
      <c r="AY52" s="61"/>
      <c r="AZ52" s="61"/>
      <c r="BA52" s="61"/>
      <c r="BB52" s="61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1"/>
      <c r="CF52" s="61"/>
      <c r="CG52" s="61"/>
      <c r="CH52" s="61"/>
      <c r="CI52" s="61"/>
      <c r="CJ52" s="61"/>
      <c r="CK52" s="61"/>
      <c r="CL52" s="61"/>
      <c r="CM52" s="61"/>
      <c r="CN52" s="70" t="str">
        <f t="shared" si="294"/>
        <v>InitUnitState('E125',337500,,,,1125000,,22500,,150,15)</v>
      </c>
      <c r="CO52" s="70" t="str">
        <f t="shared" si="295"/>
        <v>InitUnitNormal('E125',,,,,,,,,,)</v>
      </c>
      <c r="CP52" s="70" t="str">
        <f t="shared" si="296"/>
        <v>InitUnitMagic('E125',,,,,,,,,,)</v>
      </c>
      <c r="CQ52" s="70" t="str">
        <f t="shared" si="297"/>
        <v>InitUnitAdd('E125',,,,,,,25,,,)</v>
      </c>
      <c r="CR52" s="70" t="str">
        <f t="shared" si="298"/>
        <v>InitEquipData('E125',,"",,,,,'','','','','','',"ReplaceableTextures\\CommandButtons\\BTNZ11.blp")</v>
      </c>
      <c r="CS52" s="70"/>
      <c r="CT52" s="70"/>
      <c r="CU52" s="72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="7" customFormat="1" ht="15" spans="1:175">
      <c r="A53" s="11"/>
      <c r="B53" s="46" t="s">
        <v>284</v>
      </c>
      <c r="C53" s="11" t="s">
        <v>285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4"/>
      <c r="Q53" s="54"/>
      <c r="R53" s="54"/>
      <c r="S53" s="54"/>
      <c r="T53" s="59"/>
      <c r="U53" s="60" t="s">
        <v>286</v>
      </c>
      <c r="V53" s="61"/>
      <c r="W53" s="61"/>
      <c r="X53" s="61">
        <v>30</v>
      </c>
      <c r="Y53" s="61"/>
      <c r="Z53" s="61">
        <v>750</v>
      </c>
      <c r="AA53" s="61"/>
      <c r="AB53" s="61">
        <f t="shared" si="293"/>
        <v>15</v>
      </c>
      <c r="AC53" s="61"/>
      <c r="AD53" s="61"/>
      <c r="AE53" s="61"/>
      <c r="AF53" s="61"/>
      <c r="AG53" s="65"/>
      <c r="AH53" s="61"/>
      <c r="AI53" s="61"/>
      <c r="AJ53" s="61"/>
      <c r="AK53" s="61"/>
      <c r="AL53" s="65"/>
      <c r="AM53" s="61"/>
      <c r="AN53" s="61"/>
      <c r="AO53" s="61"/>
      <c r="AP53" s="61"/>
      <c r="AQ53" s="61"/>
      <c r="AR53" s="67"/>
      <c r="AS53" s="67"/>
      <c r="AT53" s="61"/>
      <c r="AU53" s="61"/>
      <c r="AV53" s="61"/>
      <c r="AW53" s="61"/>
      <c r="AX53" s="61"/>
      <c r="AY53" s="61"/>
      <c r="AZ53" s="61"/>
      <c r="BA53" s="61"/>
      <c r="BB53" s="61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1"/>
      <c r="CF53" s="61"/>
      <c r="CG53" s="61"/>
      <c r="CH53" s="61"/>
      <c r="CI53" s="61"/>
      <c r="CJ53" s="61"/>
      <c r="CK53" s="61"/>
      <c r="CL53" s="61"/>
      <c r="CM53" s="61"/>
      <c r="CN53" s="70" t="str">
        <f t="shared" si="294"/>
        <v>InitUnitState('E201',,,30,,750,,15,,,)</v>
      </c>
      <c r="CO53" s="70" t="str">
        <f t="shared" si="295"/>
        <v>InitUnitNormal('E201',,,,,,,,,,)</v>
      </c>
      <c r="CP53" s="70" t="str">
        <f t="shared" si="296"/>
        <v>InitUnitMagic('E201',,,,,,,,,,)</v>
      </c>
      <c r="CQ53" s="70" t="str">
        <f t="shared" si="297"/>
        <v>InitUnitAdd('E201',,,,,,,,,,)</v>
      </c>
      <c r="CR53" s="7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70"/>
      <c r="CT53" s="70"/>
      <c r="CU53" s="72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="7" customFormat="1" ht="15" spans="1:175">
      <c r="A54" s="11"/>
      <c r="B54" s="46" t="s">
        <v>287</v>
      </c>
      <c r="C54" s="11" t="s">
        <v>288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4"/>
      <c r="Q54" s="54"/>
      <c r="R54" s="54"/>
      <c r="S54" s="54"/>
      <c r="T54" s="59"/>
      <c r="U54" s="60" t="s">
        <v>286</v>
      </c>
      <c r="V54" s="61"/>
      <c r="W54" s="61"/>
      <c r="X54" s="61">
        <v>60</v>
      </c>
      <c r="Y54" s="61"/>
      <c r="Z54" s="61">
        <v>1500</v>
      </c>
      <c r="AA54" s="61"/>
      <c r="AB54" s="61">
        <f t="shared" si="293"/>
        <v>30</v>
      </c>
      <c r="AC54" s="61"/>
      <c r="AD54" s="61"/>
      <c r="AE54" s="61"/>
      <c r="AF54" s="61"/>
      <c r="AG54" s="65"/>
      <c r="AH54" s="61"/>
      <c r="AI54" s="61"/>
      <c r="AJ54" s="61"/>
      <c r="AK54" s="61"/>
      <c r="AL54" s="65"/>
      <c r="AM54" s="61"/>
      <c r="AN54" s="61"/>
      <c r="AO54" s="61"/>
      <c r="AP54" s="61"/>
      <c r="AQ54" s="61"/>
      <c r="AR54" s="67"/>
      <c r="AS54" s="67"/>
      <c r="AT54" s="61"/>
      <c r="AU54" s="61"/>
      <c r="AV54" s="61"/>
      <c r="AW54" s="61"/>
      <c r="AX54" s="61"/>
      <c r="AY54" s="61"/>
      <c r="AZ54" s="61"/>
      <c r="BA54" s="61"/>
      <c r="BB54" s="61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1"/>
      <c r="CF54" s="61"/>
      <c r="CG54" s="61"/>
      <c r="CH54" s="61"/>
      <c r="CI54" s="61"/>
      <c r="CJ54" s="61"/>
      <c r="CK54" s="61"/>
      <c r="CL54" s="61"/>
      <c r="CM54" s="61"/>
      <c r="CN54" s="70" t="str">
        <f t="shared" si="294"/>
        <v>InitUnitState('E202',,,60,,1500,,30,,,)</v>
      </c>
      <c r="CO54" s="70" t="str">
        <f t="shared" si="295"/>
        <v>InitUnitNormal('E202',,,,,,,,,,)</v>
      </c>
      <c r="CP54" s="70" t="str">
        <f t="shared" si="296"/>
        <v>InitUnitMagic('E202',,,,,,,,,,)</v>
      </c>
      <c r="CQ54" s="70" t="str">
        <f t="shared" si="297"/>
        <v>InitUnitAdd('E202',,,,,,,,,,)</v>
      </c>
      <c r="CR54" s="7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70"/>
      <c r="CT54" s="70"/>
      <c r="CU54" s="72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="7" customFormat="1" ht="15" spans="1:175">
      <c r="A55" s="11"/>
      <c r="B55" s="46" t="s">
        <v>289</v>
      </c>
      <c r="C55" s="11" t="s">
        <v>290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4"/>
      <c r="Q55" s="54"/>
      <c r="R55" s="54"/>
      <c r="S55" s="54"/>
      <c r="T55" s="59"/>
      <c r="U55" s="60" t="s">
        <v>286</v>
      </c>
      <c r="V55" s="61"/>
      <c r="W55" s="61"/>
      <c r="X55" s="61">
        <v>90</v>
      </c>
      <c r="Y55" s="61"/>
      <c r="Z55" s="61">
        <v>2250</v>
      </c>
      <c r="AA55" s="61"/>
      <c r="AB55" s="61">
        <f t="shared" si="293"/>
        <v>45</v>
      </c>
      <c r="AC55" s="61"/>
      <c r="AD55" s="61"/>
      <c r="AE55" s="61"/>
      <c r="AF55" s="61"/>
      <c r="AG55" s="65"/>
      <c r="AH55" s="61"/>
      <c r="AI55" s="61"/>
      <c r="AJ55" s="61"/>
      <c r="AK55" s="61"/>
      <c r="AL55" s="65"/>
      <c r="AM55" s="61"/>
      <c r="AN55" s="61"/>
      <c r="AO55" s="61"/>
      <c r="AP55" s="61"/>
      <c r="AQ55" s="61"/>
      <c r="AR55" s="67"/>
      <c r="AS55" s="67"/>
      <c r="AT55" s="61"/>
      <c r="AU55" s="61"/>
      <c r="AV55" s="61"/>
      <c r="AW55" s="61"/>
      <c r="AX55" s="61"/>
      <c r="AY55" s="61"/>
      <c r="AZ55" s="61"/>
      <c r="BA55" s="61"/>
      <c r="BB55" s="61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1"/>
      <c r="CF55" s="61"/>
      <c r="CG55" s="61"/>
      <c r="CH55" s="61"/>
      <c r="CI55" s="61"/>
      <c r="CJ55" s="61"/>
      <c r="CK55" s="61"/>
      <c r="CL55" s="61"/>
      <c r="CM55" s="61"/>
      <c r="CN55" s="70" t="str">
        <f t="shared" si="294"/>
        <v>InitUnitState('E203',,,90,,2250,,45,,,)</v>
      </c>
      <c r="CO55" s="70" t="str">
        <f t="shared" si="295"/>
        <v>InitUnitNormal('E203',,,,,,,,,,)</v>
      </c>
      <c r="CP55" s="70" t="str">
        <f t="shared" si="296"/>
        <v>InitUnitMagic('E203',,,,,,,,,,)</v>
      </c>
      <c r="CQ55" s="70" t="str">
        <f t="shared" si="297"/>
        <v>InitUnitAdd('E203',,,,,,,,,,)</v>
      </c>
      <c r="CR55" s="70" t="str">
        <f t="shared" si="441"/>
        <v>InitEquipData('E203',,"",,E204,800,100,'','','','','','',"ReplaceableTextures\\CommandButtons\\BTNZ13.blp")</v>
      </c>
      <c r="CS55" s="70"/>
      <c r="CT55" s="70"/>
      <c r="CU55" s="72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="7" customFormat="1" ht="15" spans="1:175">
      <c r="A56" s="11"/>
      <c r="B56" s="46" t="s">
        <v>291</v>
      </c>
      <c r="C56" s="11" t="s">
        <v>292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4"/>
      <c r="Q56" s="54"/>
      <c r="R56" s="54"/>
      <c r="S56" s="54"/>
      <c r="T56" s="59"/>
      <c r="U56" s="60" t="s">
        <v>286</v>
      </c>
      <c r="V56" s="61"/>
      <c r="W56" s="61"/>
      <c r="X56" s="61">
        <v>120</v>
      </c>
      <c r="Y56" s="61"/>
      <c r="Z56" s="61">
        <v>3750</v>
      </c>
      <c r="AA56" s="61"/>
      <c r="AB56" s="61">
        <f t="shared" si="293"/>
        <v>75</v>
      </c>
      <c r="AC56" s="61"/>
      <c r="AD56" s="61"/>
      <c r="AE56" s="61"/>
      <c r="AF56" s="61"/>
      <c r="AG56" s="65"/>
      <c r="AH56" s="61"/>
      <c r="AI56" s="61"/>
      <c r="AJ56" s="61"/>
      <c r="AK56" s="61"/>
      <c r="AL56" s="65"/>
      <c r="AM56" s="61"/>
      <c r="AN56" s="61"/>
      <c r="AO56" s="61"/>
      <c r="AP56" s="61"/>
      <c r="AQ56" s="61"/>
      <c r="AR56" s="67"/>
      <c r="AS56" s="67"/>
      <c r="AT56" s="61"/>
      <c r="AU56" s="61"/>
      <c r="AV56" s="61"/>
      <c r="AW56" s="61"/>
      <c r="AX56" s="61"/>
      <c r="AY56" s="61"/>
      <c r="AZ56" s="61"/>
      <c r="BA56" s="61"/>
      <c r="BB56" s="61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1"/>
      <c r="CF56" s="61"/>
      <c r="CG56" s="61"/>
      <c r="CH56" s="61"/>
      <c r="CI56" s="61"/>
      <c r="CJ56" s="61"/>
      <c r="CK56" s="61"/>
      <c r="CL56" s="61"/>
      <c r="CM56" s="61"/>
      <c r="CN56" s="70" t="str">
        <f t="shared" si="294"/>
        <v>InitUnitState('E204',,,120,,3750,,75,,,)</v>
      </c>
      <c r="CO56" s="70" t="str">
        <f t="shared" si="295"/>
        <v>InitUnitNormal('E204',,,,,,,,,,)</v>
      </c>
      <c r="CP56" s="70" t="str">
        <f t="shared" si="296"/>
        <v>InitUnitMagic('E204',,,,,,,,,,)</v>
      </c>
      <c r="CQ56" s="70" t="str">
        <f t="shared" si="297"/>
        <v>InitUnitAdd('E204',,,,,,,,,,)</v>
      </c>
      <c r="CR56" s="70" t="str">
        <f t="shared" si="441"/>
        <v>InitEquipData('E204',,"",,E205,800,100,'','','','','','',"ReplaceableTextures\\CommandButtons\\BTNZ13.blp")</v>
      </c>
      <c r="CS56" s="70"/>
      <c r="CT56" s="70"/>
      <c r="CU56" s="72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="7" customFormat="1" ht="15" spans="1:175">
      <c r="A57" s="11"/>
      <c r="B57" s="46" t="s">
        <v>293</v>
      </c>
      <c r="C57" s="11" t="s">
        <v>294</v>
      </c>
      <c r="D57" s="47"/>
      <c r="E57" s="48"/>
      <c r="F57" s="49">
        <v>2500</v>
      </c>
      <c r="G57" s="50">
        <v>100</v>
      </c>
      <c r="H57" s="51" t="s">
        <v>295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4"/>
      <c r="Q57" s="54"/>
      <c r="R57" s="54"/>
      <c r="S57" s="54"/>
      <c r="T57" s="59"/>
      <c r="U57" s="60" t="s">
        <v>286</v>
      </c>
      <c r="V57" s="61"/>
      <c r="W57" s="61"/>
      <c r="X57" s="61">
        <v>150</v>
      </c>
      <c r="Y57" s="61"/>
      <c r="Z57" s="61">
        <v>5250</v>
      </c>
      <c r="AA57" s="61"/>
      <c r="AB57" s="61">
        <f t="shared" si="293"/>
        <v>105</v>
      </c>
      <c r="AC57" s="61"/>
      <c r="AD57" s="61"/>
      <c r="AE57" s="61"/>
      <c r="AF57" s="61"/>
      <c r="AG57" s="65"/>
      <c r="AH57" s="61"/>
      <c r="AI57" s="61"/>
      <c r="AJ57" s="61"/>
      <c r="AK57" s="61"/>
      <c r="AL57" s="65"/>
      <c r="AM57" s="61"/>
      <c r="AN57" s="61"/>
      <c r="AO57" s="61"/>
      <c r="AP57" s="61"/>
      <c r="AQ57" s="61"/>
      <c r="AR57" s="67"/>
      <c r="AS57" s="67"/>
      <c r="AT57" s="61"/>
      <c r="AU57" s="61"/>
      <c r="AV57" s="61"/>
      <c r="AW57" s="61"/>
      <c r="AX57" s="61"/>
      <c r="AY57" s="61"/>
      <c r="AZ57" s="61"/>
      <c r="BA57" s="61"/>
      <c r="BB57" s="61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1"/>
      <c r="CF57" s="61"/>
      <c r="CG57" s="61"/>
      <c r="CH57" s="61"/>
      <c r="CI57" s="61"/>
      <c r="CJ57" s="61"/>
      <c r="CK57" s="61"/>
      <c r="CL57" s="61"/>
      <c r="CM57" s="61"/>
      <c r="CN57" s="70" t="str">
        <f t="shared" si="294"/>
        <v>InitUnitState('E205',,,150,,5250,,105,,,)</v>
      </c>
      <c r="CO57" s="70" t="str">
        <f t="shared" si="295"/>
        <v>InitUnitNormal('E205',,,,,,,,,,)</v>
      </c>
      <c r="CP57" s="70" t="str">
        <f t="shared" si="296"/>
        <v>InitUnitMagic('E205',,,,,,,,,,)</v>
      </c>
      <c r="CQ57" s="70" t="str">
        <f t="shared" si="297"/>
        <v>InitUnitAdd('E205',,,,,,,,,,)</v>
      </c>
      <c r="CR57" s="70" t="str">
        <f t="shared" si="441"/>
        <v>InitEquipData('E205',,"",,E206,2500,100,'','','','','','',"ReplaceableTextures\\CommandButtons\\BTNZ13.blp")</v>
      </c>
      <c r="CS57" s="70"/>
      <c r="CT57" s="70"/>
      <c r="CU57" s="72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="7" customFormat="1" ht="15" spans="1:175">
      <c r="A58" s="11"/>
      <c r="B58" s="46" t="s">
        <v>296</v>
      </c>
      <c r="C58" s="11" t="s">
        <v>297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4"/>
      <c r="Q58" s="54"/>
      <c r="R58" s="54"/>
      <c r="S58" s="54"/>
      <c r="T58" s="59"/>
      <c r="U58" s="60" t="s">
        <v>298</v>
      </c>
      <c r="V58" s="61"/>
      <c r="W58" s="61"/>
      <c r="X58" s="61">
        <v>200</v>
      </c>
      <c r="Y58" s="61"/>
      <c r="Z58" s="61">
        <v>7500</v>
      </c>
      <c r="AA58" s="61"/>
      <c r="AB58" s="61">
        <f t="shared" si="293"/>
        <v>150</v>
      </c>
      <c r="AC58" s="61"/>
      <c r="AD58" s="61"/>
      <c r="AE58" s="61"/>
      <c r="AF58" s="61"/>
      <c r="AG58" s="65"/>
      <c r="AH58" s="61"/>
      <c r="AI58" s="61"/>
      <c r="AJ58" s="61"/>
      <c r="AK58" s="61"/>
      <c r="AL58" s="65"/>
      <c r="AM58" s="61"/>
      <c r="AN58" s="61"/>
      <c r="AO58" s="61"/>
      <c r="AP58" s="61"/>
      <c r="AQ58" s="61"/>
      <c r="AR58" s="67"/>
      <c r="AS58" s="67"/>
      <c r="AT58" s="61"/>
      <c r="AU58" s="61"/>
      <c r="AV58" s="61"/>
      <c r="AW58" s="61">
        <v>1</v>
      </c>
      <c r="AX58" s="61"/>
      <c r="AY58" s="61"/>
      <c r="AZ58" s="61"/>
      <c r="BA58" s="61"/>
      <c r="BB58" s="61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1"/>
      <c r="CF58" s="61"/>
      <c r="CG58" s="61"/>
      <c r="CH58" s="61"/>
      <c r="CI58" s="61"/>
      <c r="CJ58" s="61"/>
      <c r="CK58" s="61"/>
      <c r="CL58" s="61"/>
      <c r="CM58" s="61"/>
      <c r="CN58" s="70" t="str">
        <f t="shared" si="294"/>
        <v>InitUnitState('E206',,,200,,7500,,150,,,)</v>
      </c>
      <c r="CO58" s="70" t="str">
        <f t="shared" si="295"/>
        <v>InitUnitNormal('E206',,,,,,,,,,)</v>
      </c>
      <c r="CP58" s="70" t="str">
        <f t="shared" si="296"/>
        <v>InitUnitMagic('E206',,,,,,,,1,,)</v>
      </c>
      <c r="CQ58" s="70" t="str">
        <f t="shared" si="297"/>
        <v>InitUnitAdd('E206',,,,,,,,,,)</v>
      </c>
      <c r="CR58" s="70" t="str">
        <f t="shared" si="441"/>
        <v>InitEquipData('E206',,"",,E207,2500,85,'','','','','','',"ReplaceableTextures\\CommandButtons\\BTNZ13.blp")</v>
      </c>
      <c r="CS58" s="70"/>
      <c r="CT58" s="70"/>
      <c r="CU58" s="72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="7" customFormat="1" ht="15" spans="1:175">
      <c r="A59" s="11"/>
      <c r="B59" s="46" t="s">
        <v>299</v>
      </c>
      <c r="C59" s="11" t="s">
        <v>300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4"/>
      <c r="Q59" s="54"/>
      <c r="R59" s="54"/>
      <c r="S59" s="54"/>
      <c r="T59" s="59"/>
      <c r="U59" s="60" t="s">
        <v>298</v>
      </c>
      <c r="V59" s="61"/>
      <c r="W59" s="61"/>
      <c r="X59" s="61">
        <v>260</v>
      </c>
      <c r="Y59" s="61"/>
      <c r="Z59" s="61">
        <v>12000</v>
      </c>
      <c r="AA59" s="61"/>
      <c r="AB59" s="61">
        <f t="shared" si="293"/>
        <v>240</v>
      </c>
      <c r="AC59" s="61"/>
      <c r="AD59" s="61"/>
      <c r="AE59" s="61"/>
      <c r="AF59" s="61"/>
      <c r="AG59" s="65"/>
      <c r="AH59" s="61"/>
      <c r="AI59" s="61"/>
      <c r="AJ59" s="61"/>
      <c r="AK59" s="61"/>
      <c r="AL59" s="65"/>
      <c r="AM59" s="61"/>
      <c r="AN59" s="61"/>
      <c r="AO59" s="61"/>
      <c r="AP59" s="61"/>
      <c r="AQ59" s="61"/>
      <c r="AR59" s="67"/>
      <c r="AS59" s="67"/>
      <c r="AT59" s="61"/>
      <c r="AU59" s="61"/>
      <c r="AV59" s="61"/>
      <c r="AW59" s="61">
        <v>1</v>
      </c>
      <c r="AX59" s="61"/>
      <c r="AY59" s="61"/>
      <c r="AZ59" s="61"/>
      <c r="BA59" s="61"/>
      <c r="BB59" s="61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1"/>
      <c r="CF59" s="61"/>
      <c r="CG59" s="61"/>
      <c r="CH59" s="61"/>
      <c r="CI59" s="61"/>
      <c r="CJ59" s="61"/>
      <c r="CK59" s="61"/>
      <c r="CL59" s="61"/>
      <c r="CM59" s="61"/>
      <c r="CN59" s="70" t="str">
        <f t="shared" si="294"/>
        <v>InitUnitState('E207',,,260,,12000,,240,,,)</v>
      </c>
      <c r="CO59" s="70" t="str">
        <f t="shared" si="295"/>
        <v>InitUnitNormal('E207',,,,,,,,,,)</v>
      </c>
      <c r="CP59" s="70" t="str">
        <f t="shared" si="296"/>
        <v>InitUnitMagic('E207',,,,,,,,1,,)</v>
      </c>
      <c r="CQ59" s="70" t="str">
        <f t="shared" si="297"/>
        <v>InitUnitAdd('E207',,,,,,,,,,)</v>
      </c>
      <c r="CR59" s="70" t="str">
        <f t="shared" si="441"/>
        <v>InitEquipData('E207',,"",,E208,2500,85,'','','','','','',"ReplaceableTextures\\CommandButtons\\BTNZ14.blp")</v>
      </c>
      <c r="CS59" s="70"/>
      <c r="CT59" s="70"/>
      <c r="CU59" s="72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="7" customFormat="1" ht="15" spans="1:175">
      <c r="A60" s="11"/>
      <c r="B60" s="46" t="s">
        <v>301</v>
      </c>
      <c r="C60" s="11" t="s">
        <v>302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4"/>
      <c r="Q60" s="54"/>
      <c r="R60" s="54"/>
      <c r="S60" s="54"/>
      <c r="T60" s="59"/>
      <c r="U60" s="60" t="s">
        <v>298</v>
      </c>
      <c r="V60" s="61"/>
      <c r="W60" s="61"/>
      <c r="X60" s="61">
        <v>320</v>
      </c>
      <c r="Y60" s="61"/>
      <c r="Z60" s="61">
        <v>16500</v>
      </c>
      <c r="AA60" s="61"/>
      <c r="AB60" s="61">
        <f t="shared" si="293"/>
        <v>330</v>
      </c>
      <c r="AC60" s="61"/>
      <c r="AD60" s="61"/>
      <c r="AE60" s="61"/>
      <c r="AF60" s="61"/>
      <c r="AG60" s="65"/>
      <c r="AH60" s="61"/>
      <c r="AI60" s="61"/>
      <c r="AJ60" s="61"/>
      <c r="AK60" s="61"/>
      <c r="AL60" s="65"/>
      <c r="AM60" s="61"/>
      <c r="AN60" s="61"/>
      <c r="AO60" s="61"/>
      <c r="AP60" s="61"/>
      <c r="AQ60" s="61"/>
      <c r="AR60" s="67"/>
      <c r="AS60" s="67"/>
      <c r="AT60" s="61"/>
      <c r="AU60" s="61"/>
      <c r="AV60" s="61"/>
      <c r="AW60" s="61">
        <v>1</v>
      </c>
      <c r="AX60" s="61"/>
      <c r="AY60" s="61"/>
      <c r="AZ60" s="61"/>
      <c r="BA60" s="61"/>
      <c r="BB60" s="61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1"/>
      <c r="CF60" s="61"/>
      <c r="CG60" s="61"/>
      <c r="CH60" s="61"/>
      <c r="CI60" s="61"/>
      <c r="CJ60" s="61"/>
      <c r="CK60" s="61"/>
      <c r="CL60" s="61"/>
      <c r="CM60" s="61"/>
      <c r="CN60" s="70" t="str">
        <f t="shared" si="294"/>
        <v>InitUnitState('E208',,,320,,16500,,330,,,)</v>
      </c>
      <c r="CO60" s="70" t="str">
        <f t="shared" si="295"/>
        <v>InitUnitNormal('E208',,,,,,,,,,)</v>
      </c>
      <c r="CP60" s="70" t="str">
        <f t="shared" si="296"/>
        <v>InitUnitMagic('E208',,,,,,,,1,,)</v>
      </c>
      <c r="CQ60" s="70" t="str">
        <f t="shared" si="297"/>
        <v>InitUnitAdd('E208',,,,,,,,,,)</v>
      </c>
      <c r="CR60" s="70" t="str">
        <f t="shared" si="441"/>
        <v>InitEquipData('E208',,"",,E209,2500,85,'','','','','','',"ReplaceableTextures\\CommandButtons\\BTNZ14.blp")</v>
      </c>
      <c r="CS60" s="70"/>
      <c r="CT60" s="70"/>
      <c r="CU60" s="72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="7" customFormat="1" ht="15" spans="1:175">
      <c r="A61" s="11"/>
      <c r="B61" s="46" t="s">
        <v>303</v>
      </c>
      <c r="C61" s="11" t="s">
        <v>304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4"/>
      <c r="Q61" s="54"/>
      <c r="R61" s="54"/>
      <c r="S61" s="54"/>
      <c r="T61" s="59"/>
      <c r="U61" s="60" t="s">
        <v>298</v>
      </c>
      <c r="V61" s="61"/>
      <c r="W61" s="61"/>
      <c r="X61" s="61">
        <v>380</v>
      </c>
      <c r="Y61" s="61"/>
      <c r="Z61" s="61">
        <v>21000</v>
      </c>
      <c r="AA61" s="61"/>
      <c r="AB61" s="61">
        <f t="shared" si="293"/>
        <v>420</v>
      </c>
      <c r="AC61" s="61"/>
      <c r="AD61" s="61"/>
      <c r="AE61" s="61"/>
      <c r="AF61" s="61"/>
      <c r="AG61" s="65"/>
      <c r="AH61" s="61"/>
      <c r="AI61" s="61"/>
      <c r="AJ61" s="61"/>
      <c r="AK61" s="61"/>
      <c r="AL61" s="65"/>
      <c r="AM61" s="61"/>
      <c r="AN61" s="61"/>
      <c r="AO61" s="61"/>
      <c r="AP61" s="61"/>
      <c r="AQ61" s="61"/>
      <c r="AR61" s="67"/>
      <c r="AS61" s="67"/>
      <c r="AT61" s="61"/>
      <c r="AU61" s="61"/>
      <c r="AV61" s="61"/>
      <c r="AW61" s="61">
        <v>1</v>
      </c>
      <c r="AX61" s="61"/>
      <c r="AY61" s="61"/>
      <c r="AZ61" s="61"/>
      <c r="BA61" s="61"/>
      <c r="BB61" s="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1"/>
      <c r="CF61" s="61"/>
      <c r="CG61" s="61"/>
      <c r="CH61" s="61"/>
      <c r="CI61" s="61"/>
      <c r="CJ61" s="61"/>
      <c r="CK61" s="61"/>
      <c r="CL61" s="61"/>
      <c r="CM61" s="61"/>
      <c r="CN61" s="70" t="str">
        <f t="shared" si="294"/>
        <v>InitUnitState('E209',,,380,,21000,,420,,,)</v>
      </c>
      <c r="CO61" s="70" t="str">
        <f t="shared" si="295"/>
        <v>InitUnitNormal('E209',,,,,,,,,,)</v>
      </c>
      <c r="CP61" s="70" t="str">
        <f t="shared" si="296"/>
        <v>InitUnitMagic('E209',,,,,,,,1,,)</v>
      </c>
      <c r="CQ61" s="70" t="str">
        <f t="shared" si="297"/>
        <v>InitUnitAdd('E209',,,,,,,,,,)</v>
      </c>
      <c r="CR61" s="70" t="str">
        <f t="shared" si="441"/>
        <v>InitEquipData('E209',,"",,E210,2500,85,'','','','','','',"ReplaceableTextures\\CommandButtons\\BTNZ14.blp")</v>
      </c>
      <c r="CS61" s="70"/>
      <c r="CT61" s="70"/>
      <c r="CU61" s="72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="7" customFormat="1" ht="15" spans="1:175">
      <c r="A62" s="11"/>
      <c r="B62" s="46" t="s">
        <v>305</v>
      </c>
      <c r="C62" s="11" t="s">
        <v>306</v>
      </c>
      <c r="D62" s="47"/>
      <c r="E62" s="48"/>
      <c r="F62" s="49">
        <v>10000</v>
      </c>
      <c r="G62" s="50">
        <v>100</v>
      </c>
      <c r="H62" s="51" t="s">
        <v>307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4"/>
      <c r="Q62" s="54"/>
      <c r="R62" s="54"/>
      <c r="S62" s="54"/>
      <c r="T62" s="59"/>
      <c r="U62" s="60" t="s">
        <v>298</v>
      </c>
      <c r="V62" s="61"/>
      <c r="W62" s="61"/>
      <c r="X62" s="61">
        <v>440</v>
      </c>
      <c r="Y62" s="61"/>
      <c r="Z62" s="61">
        <v>25500</v>
      </c>
      <c r="AA62" s="61"/>
      <c r="AB62" s="61">
        <f t="shared" si="293"/>
        <v>510</v>
      </c>
      <c r="AC62" s="61"/>
      <c r="AD62" s="61"/>
      <c r="AE62" s="61"/>
      <c r="AF62" s="61"/>
      <c r="AG62" s="65"/>
      <c r="AH62" s="61"/>
      <c r="AI62" s="61"/>
      <c r="AJ62" s="61"/>
      <c r="AK62" s="61"/>
      <c r="AL62" s="65"/>
      <c r="AM62" s="61"/>
      <c r="AN62" s="61"/>
      <c r="AO62" s="61"/>
      <c r="AP62" s="61"/>
      <c r="AQ62" s="61"/>
      <c r="AR62" s="67"/>
      <c r="AS62" s="67"/>
      <c r="AT62" s="61"/>
      <c r="AU62" s="61"/>
      <c r="AV62" s="61"/>
      <c r="AW62" s="61">
        <v>1</v>
      </c>
      <c r="AX62" s="61"/>
      <c r="AY62" s="61"/>
      <c r="AZ62" s="61"/>
      <c r="BA62" s="61"/>
      <c r="BB62" s="61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1"/>
      <c r="CF62" s="61"/>
      <c r="CG62" s="61"/>
      <c r="CH62" s="61"/>
      <c r="CI62" s="61"/>
      <c r="CJ62" s="61"/>
      <c r="CK62" s="61"/>
      <c r="CL62" s="61"/>
      <c r="CM62" s="61"/>
      <c r="CN62" s="70" t="str">
        <f t="shared" si="294"/>
        <v>InitUnitState('E210',,,440,,25500,,510,,,)</v>
      </c>
      <c r="CO62" s="70" t="str">
        <f t="shared" si="295"/>
        <v>InitUnitNormal('E210',,,,,,,,,,)</v>
      </c>
      <c r="CP62" s="70" t="str">
        <f t="shared" si="296"/>
        <v>InitUnitMagic('E210',,,,,,,,1,,)</v>
      </c>
      <c r="CQ62" s="70" t="str">
        <f t="shared" si="297"/>
        <v>InitUnitAdd('E210',,,,,,,,,,)</v>
      </c>
      <c r="CR62" s="70" t="str">
        <f t="shared" si="441"/>
        <v>InitEquipData('E210',,"",,E211,10000,100,'','','','','','',"ReplaceableTextures\\CommandButtons\\BTNZ14.blp")</v>
      </c>
      <c r="CS62" s="70"/>
      <c r="CT62" s="70"/>
      <c r="CU62" s="72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="7" customFormat="1" ht="15" spans="1:175">
      <c r="A63" s="11"/>
      <c r="B63" s="46" t="s">
        <v>308</v>
      </c>
      <c r="C63" s="11" t="s">
        <v>309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5"/>
      <c r="Q63" s="55"/>
      <c r="R63" s="55"/>
      <c r="S63" s="62"/>
      <c r="T63" s="63"/>
      <c r="U63" s="60" t="s">
        <v>310</v>
      </c>
      <c r="V63" s="61"/>
      <c r="W63" s="61"/>
      <c r="X63" s="61">
        <v>500</v>
      </c>
      <c r="Y63" s="61"/>
      <c r="Z63" s="61">
        <v>37500</v>
      </c>
      <c r="AA63" s="61"/>
      <c r="AB63" s="61">
        <f t="shared" si="293"/>
        <v>750</v>
      </c>
      <c r="AC63" s="61"/>
      <c r="AD63" s="61"/>
      <c r="AE63" s="61"/>
      <c r="AF63" s="61"/>
      <c r="AG63" s="65"/>
      <c r="AH63" s="61"/>
      <c r="AI63" s="61"/>
      <c r="AJ63" s="61"/>
      <c r="AK63" s="61"/>
      <c r="AL63" s="65"/>
      <c r="AM63" s="61"/>
      <c r="AN63" s="61"/>
      <c r="AO63" s="61"/>
      <c r="AP63" s="61"/>
      <c r="AQ63" s="61"/>
      <c r="AR63" s="67"/>
      <c r="AS63" s="67"/>
      <c r="AT63" s="61"/>
      <c r="AU63" s="61"/>
      <c r="AV63" s="61"/>
      <c r="AW63" s="61">
        <v>1</v>
      </c>
      <c r="AX63" s="61"/>
      <c r="AY63" s="61"/>
      <c r="AZ63" s="61"/>
      <c r="BA63" s="61"/>
      <c r="BB63" s="61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1"/>
      <c r="CF63" s="61"/>
      <c r="CG63" s="61"/>
      <c r="CH63" s="61"/>
      <c r="CI63" s="61"/>
      <c r="CJ63" s="61"/>
      <c r="CK63" s="61"/>
      <c r="CL63" s="61"/>
      <c r="CM63" s="61"/>
      <c r="CN63" s="70" t="str">
        <f t="shared" si="294"/>
        <v>InitUnitState('E211',,,500,,37500,,750,,,)</v>
      </c>
      <c r="CO63" s="70" t="str">
        <f t="shared" si="295"/>
        <v>InitUnitNormal('E211',,,,,,,,,,)</v>
      </c>
      <c r="CP63" s="70" t="str">
        <f t="shared" si="296"/>
        <v>InitUnitMagic('E211',,,,,,,,1,,)</v>
      </c>
      <c r="CQ63" s="70" t="str">
        <f t="shared" si="297"/>
        <v>InitUnitAdd('E211',,,,,,,,,,)</v>
      </c>
      <c r="CR63" s="7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70"/>
      <c r="CT63" s="70"/>
      <c r="CU63" s="72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="7" customFormat="1" ht="15" spans="1:175">
      <c r="A64" s="11"/>
      <c r="B64" s="46" t="s">
        <v>311</v>
      </c>
      <c r="C64" s="11" t="s">
        <v>312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5"/>
      <c r="Q64" s="55"/>
      <c r="R64" s="55"/>
      <c r="S64" s="62"/>
      <c r="T64" s="63"/>
      <c r="U64" s="60" t="s">
        <v>310</v>
      </c>
      <c r="V64" s="61"/>
      <c r="W64" s="61"/>
      <c r="X64" s="61">
        <v>580</v>
      </c>
      <c r="Y64" s="61"/>
      <c r="Z64" s="61">
        <v>52500</v>
      </c>
      <c r="AA64" s="61"/>
      <c r="AB64" s="61">
        <f t="shared" si="293"/>
        <v>1050</v>
      </c>
      <c r="AC64" s="61"/>
      <c r="AD64" s="61"/>
      <c r="AE64" s="61"/>
      <c r="AF64" s="61"/>
      <c r="AG64" s="65"/>
      <c r="AH64" s="61"/>
      <c r="AI64" s="61"/>
      <c r="AJ64" s="61"/>
      <c r="AK64" s="61"/>
      <c r="AL64" s="65"/>
      <c r="AM64" s="61"/>
      <c r="AN64" s="61"/>
      <c r="AO64" s="61"/>
      <c r="AP64" s="61"/>
      <c r="AQ64" s="61"/>
      <c r="AR64" s="67"/>
      <c r="AS64" s="67"/>
      <c r="AT64" s="61"/>
      <c r="AU64" s="61"/>
      <c r="AV64" s="61"/>
      <c r="AW64" s="61">
        <v>1</v>
      </c>
      <c r="AX64" s="61"/>
      <c r="AY64" s="61"/>
      <c r="AZ64" s="61"/>
      <c r="BA64" s="61"/>
      <c r="BB64" s="61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1"/>
      <c r="CF64" s="61"/>
      <c r="CG64" s="61"/>
      <c r="CH64" s="61"/>
      <c r="CI64" s="61"/>
      <c r="CJ64" s="61"/>
      <c r="CK64" s="61"/>
      <c r="CL64" s="61"/>
      <c r="CM64" s="61"/>
      <c r="CN64" s="70" t="str">
        <f t="shared" si="294"/>
        <v>InitUnitState('E212',,,580,,52500,,1050,,,)</v>
      </c>
      <c r="CO64" s="70" t="str">
        <f t="shared" si="295"/>
        <v>InitUnitNormal('E212',,,,,,,,,,)</v>
      </c>
      <c r="CP64" s="70" t="str">
        <f t="shared" si="296"/>
        <v>InitUnitMagic('E212',,,,,,,,1,,)</v>
      </c>
      <c r="CQ64" s="70" t="str">
        <f t="shared" si="297"/>
        <v>InitUnitAdd('E212',,,,,,,,,,)</v>
      </c>
      <c r="CR64" s="70" t="str">
        <f t="shared" si="652"/>
        <v>InitEquipData('E212',,"",,E213,8000,70,'','','','','','',"ReplaceableTextures\\CommandButtons\\BTNZ13.blp")</v>
      </c>
      <c r="CS64" s="70"/>
      <c r="CT64" s="70"/>
      <c r="CU64" s="72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="7" customFormat="1" ht="15" spans="1:175">
      <c r="A65" s="11"/>
      <c r="B65" s="46" t="s">
        <v>313</v>
      </c>
      <c r="C65" s="11" t="s">
        <v>314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5"/>
      <c r="Q65" s="55"/>
      <c r="R65" s="55"/>
      <c r="S65" s="62"/>
      <c r="T65" s="63"/>
      <c r="U65" s="60" t="s">
        <v>310</v>
      </c>
      <c r="V65" s="61"/>
      <c r="W65" s="61"/>
      <c r="X65" s="61">
        <v>660</v>
      </c>
      <c r="Y65" s="61"/>
      <c r="Z65" s="61">
        <v>67500</v>
      </c>
      <c r="AA65" s="61"/>
      <c r="AB65" s="61">
        <f t="shared" si="293"/>
        <v>1350</v>
      </c>
      <c r="AC65" s="61"/>
      <c r="AD65" s="61"/>
      <c r="AE65" s="61"/>
      <c r="AF65" s="61"/>
      <c r="AG65" s="65"/>
      <c r="AH65" s="61"/>
      <c r="AI65" s="61"/>
      <c r="AJ65" s="61"/>
      <c r="AK65" s="61"/>
      <c r="AL65" s="65"/>
      <c r="AM65" s="61"/>
      <c r="AN65" s="61"/>
      <c r="AO65" s="61"/>
      <c r="AP65" s="61"/>
      <c r="AQ65" s="61"/>
      <c r="AR65" s="67"/>
      <c r="AS65" s="67"/>
      <c r="AT65" s="61"/>
      <c r="AU65" s="61"/>
      <c r="AV65" s="61"/>
      <c r="AW65" s="61">
        <v>1</v>
      </c>
      <c r="AX65" s="61"/>
      <c r="AY65" s="61"/>
      <c r="AZ65" s="61"/>
      <c r="BA65" s="61"/>
      <c r="BB65" s="61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1"/>
      <c r="CF65" s="61"/>
      <c r="CG65" s="61"/>
      <c r="CH65" s="61"/>
      <c r="CI65" s="61"/>
      <c r="CJ65" s="61"/>
      <c r="CK65" s="61"/>
      <c r="CL65" s="61"/>
      <c r="CM65" s="61"/>
      <c r="CN65" s="70" t="str">
        <f t="shared" si="294"/>
        <v>InitUnitState('E213',,,660,,67500,,1350,,,)</v>
      </c>
      <c r="CO65" s="70" t="str">
        <f t="shared" si="295"/>
        <v>InitUnitNormal('E213',,,,,,,,,,)</v>
      </c>
      <c r="CP65" s="70" t="str">
        <f t="shared" si="296"/>
        <v>InitUnitMagic('E213',,,,,,,,1,,)</v>
      </c>
      <c r="CQ65" s="70" t="str">
        <f t="shared" si="297"/>
        <v>InitUnitAdd('E213',,,,,,,,,,)</v>
      </c>
      <c r="CR65" s="70" t="str">
        <f t="shared" si="652"/>
        <v>InitEquipData('E213',,"",,E214,8000,70,'','','','','','',"ReplaceableTextures\\CommandButtons\\BTNZ13.blp")</v>
      </c>
      <c r="CS65" s="70"/>
      <c r="CT65" s="70"/>
      <c r="CU65" s="72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="7" customFormat="1" ht="15" spans="1:175">
      <c r="A66" s="11"/>
      <c r="B66" s="46" t="s">
        <v>315</v>
      </c>
      <c r="C66" s="11" t="s">
        <v>316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5"/>
      <c r="Q66" s="55"/>
      <c r="R66" s="55"/>
      <c r="S66" s="62"/>
      <c r="T66" s="63"/>
      <c r="U66" s="60" t="s">
        <v>310</v>
      </c>
      <c r="V66" s="61"/>
      <c r="W66" s="61"/>
      <c r="X66" s="61">
        <v>740</v>
      </c>
      <c r="Y66" s="61"/>
      <c r="Z66" s="61">
        <v>82500</v>
      </c>
      <c r="AA66" s="61"/>
      <c r="AB66" s="61">
        <f t="shared" si="293"/>
        <v>1650</v>
      </c>
      <c r="AC66" s="61"/>
      <c r="AD66" s="61"/>
      <c r="AE66" s="61"/>
      <c r="AF66" s="61"/>
      <c r="AG66" s="65"/>
      <c r="AH66" s="61"/>
      <c r="AI66" s="61"/>
      <c r="AJ66" s="61"/>
      <c r="AK66" s="61"/>
      <c r="AL66" s="65"/>
      <c r="AM66" s="61"/>
      <c r="AN66" s="61"/>
      <c r="AO66" s="61"/>
      <c r="AP66" s="61"/>
      <c r="AQ66" s="61"/>
      <c r="AR66" s="67"/>
      <c r="AS66" s="67"/>
      <c r="AT66" s="61"/>
      <c r="AU66" s="61"/>
      <c r="AV66" s="61"/>
      <c r="AW66" s="61">
        <v>1</v>
      </c>
      <c r="AX66" s="61"/>
      <c r="AY66" s="61"/>
      <c r="AZ66" s="61"/>
      <c r="BA66" s="61"/>
      <c r="BB66" s="61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1"/>
      <c r="CF66" s="61"/>
      <c r="CG66" s="61"/>
      <c r="CH66" s="61"/>
      <c r="CI66" s="61"/>
      <c r="CJ66" s="61"/>
      <c r="CK66" s="61"/>
      <c r="CL66" s="61"/>
      <c r="CM66" s="61"/>
      <c r="CN66" s="70" t="str">
        <f t="shared" si="294"/>
        <v>InitUnitState('E214',,,740,,82500,,1650,,,)</v>
      </c>
      <c r="CO66" s="70" t="str">
        <f t="shared" si="295"/>
        <v>InitUnitNormal('E214',,,,,,,,,,)</v>
      </c>
      <c r="CP66" s="70" t="str">
        <f t="shared" si="296"/>
        <v>InitUnitMagic('E214',,,,,,,,1,,)</v>
      </c>
      <c r="CQ66" s="70" t="str">
        <f t="shared" si="297"/>
        <v>InitUnitAdd('E214',,,,,,,,,,)</v>
      </c>
      <c r="CR66" s="70" t="str">
        <f t="shared" si="652"/>
        <v>InitEquipData('E214',,"",,E215,8000,70,'','','','','','',"ReplaceableTextures\\CommandButtons\\BTNZ13.blp")</v>
      </c>
      <c r="CS66" s="70"/>
      <c r="CT66" s="70"/>
      <c r="CU66" s="72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="7" customFormat="1" ht="15" spans="1:175">
      <c r="A67" s="11"/>
      <c r="B67" s="46" t="s">
        <v>317</v>
      </c>
      <c r="C67" s="11" t="s">
        <v>318</v>
      </c>
      <c r="D67" s="47"/>
      <c r="E67" s="48"/>
      <c r="F67" s="49">
        <v>30000</v>
      </c>
      <c r="G67" s="50">
        <v>100</v>
      </c>
      <c r="H67" s="51" t="s">
        <v>319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5"/>
      <c r="Q67" s="55"/>
      <c r="R67" s="55"/>
      <c r="S67" s="62"/>
      <c r="T67" s="63"/>
      <c r="U67" s="60" t="s">
        <v>310</v>
      </c>
      <c r="V67" s="61"/>
      <c r="W67" s="61"/>
      <c r="X67" s="61">
        <v>820</v>
      </c>
      <c r="Y67" s="61"/>
      <c r="Z67" s="61">
        <v>97500</v>
      </c>
      <c r="AA67" s="61"/>
      <c r="AB67" s="61">
        <f t="shared" si="293"/>
        <v>1950</v>
      </c>
      <c r="AC67" s="61"/>
      <c r="AD67" s="61"/>
      <c r="AE67" s="61"/>
      <c r="AF67" s="61"/>
      <c r="AG67" s="65"/>
      <c r="AH67" s="61"/>
      <c r="AI67" s="61"/>
      <c r="AJ67" s="61"/>
      <c r="AK67" s="61"/>
      <c r="AL67" s="65"/>
      <c r="AM67" s="61"/>
      <c r="AN67" s="61"/>
      <c r="AO67" s="61"/>
      <c r="AP67" s="61"/>
      <c r="AQ67" s="61"/>
      <c r="AR67" s="67"/>
      <c r="AS67" s="67"/>
      <c r="AT67" s="61"/>
      <c r="AU67" s="61"/>
      <c r="AV67" s="61"/>
      <c r="AW67" s="61">
        <v>1</v>
      </c>
      <c r="AX67" s="61"/>
      <c r="AY67" s="61"/>
      <c r="AZ67" s="61"/>
      <c r="BA67" s="61"/>
      <c r="BB67" s="61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1"/>
      <c r="CF67" s="61"/>
      <c r="CG67" s="61"/>
      <c r="CH67" s="61"/>
      <c r="CI67" s="61"/>
      <c r="CJ67" s="61"/>
      <c r="CK67" s="61"/>
      <c r="CL67" s="61"/>
      <c r="CM67" s="61"/>
      <c r="CN67" s="7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7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7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7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70" t="str">
        <f t="shared" si="652"/>
        <v>InitEquipData('E215',,"",,E216,30000,100,'','','','','','',"ReplaceableTextures\\CommandButtons\\BTNZ14.blp")</v>
      </c>
      <c r="CS67" s="70"/>
      <c r="CT67" s="70"/>
      <c r="CU67" s="72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="7" customFormat="1" ht="15" spans="1:175">
      <c r="A68" s="11"/>
      <c r="B68" s="46" t="s">
        <v>320</v>
      </c>
      <c r="C68" s="11" t="s">
        <v>321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5"/>
      <c r="Q68" s="55"/>
      <c r="R68" s="55"/>
      <c r="S68" s="62"/>
      <c r="T68" s="63"/>
      <c r="U68" s="60" t="s">
        <v>322</v>
      </c>
      <c r="V68" s="61"/>
      <c r="W68" s="61"/>
      <c r="X68" s="61">
        <v>1000</v>
      </c>
      <c r="Y68" s="61"/>
      <c r="Z68" s="61">
        <v>150000</v>
      </c>
      <c r="AA68" s="61"/>
      <c r="AB68" s="61">
        <f t="shared" si="293"/>
        <v>3000</v>
      </c>
      <c r="AC68" s="61"/>
      <c r="AD68" s="61"/>
      <c r="AE68" s="61"/>
      <c r="AF68" s="61"/>
      <c r="AG68" s="65"/>
      <c r="AH68" s="61"/>
      <c r="AI68" s="61"/>
      <c r="AJ68" s="61"/>
      <c r="AK68" s="61"/>
      <c r="AL68" s="65"/>
      <c r="AM68" s="61"/>
      <c r="AN68" s="61"/>
      <c r="AO68" s="61"/>
      <c r="AP68" s="61"/>
      <c r="AQ68" s="61"/>
      <c r="AR68" s="67"/>
      <c r="AS68" s="67"/>
      <c r="AT68" s="61"/>
      <c r="AU68" s="61"/>
      <c r="AV68" s="61"/>
      <c r="AW68" s="61">
        <f t="shared" ref="AW68:AW76" si="867">AW63+1</f>
        <v>2</v>
      </c>
      <c r="AX68" s="61"/>
      <c r="AY68" s="61"/>
      <c r="AZ68" s="61"/>
      <c r="BA68" s="61"/>
      <c r="BB68" s="61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1"/>
      <c r="CF68" s="61"/>
      <c r="CG68" s="61"/>
      <c r="CH68" s="61"/>
      <c r="CI68" s="61"/>
      <c r="CJ68" s="61"/>
      <c r="CK68" s="61"/>
      <c r="CL68" s="61"/>
      <c r="CM68" s="61"/>
      <c r="CN68" s="70" t="str">
        <f t="shared" si="863"/>
        <v>InitUnitState('E216',,,1000,,150000,,3000,,,)</v>
      </c>
      <c r="CO68" s="70" t="str">
        <f t="shared" si="864"/>
        <v>InitUnitNormal('E216',,,,,,,,,,)</v>
      </c>
      <c r="CP68" s="70" t="str">
        <f t="shared" si="865"/>
        <v>InitUnitMagic('E216',,,,,,,,2,,)</v>
      </c>
      <c r="CQ68" s="70" t="str">
        <f t="shared" si="866"/>
        <v>InitUnitAdd('E216',,,,,,,,,,)</v>
      </c>
      <c r="CR68" s="70" t="str">
        <f t="shared" si="652"/>
        <v>InitEquipData('E216',,"",,E217,20000,60,'','','','','','',"ReplaceableTextures\\CommandButtons\\BTNZ14.blp")</v>
      </c>
      <c r="CS68" s="70"/>
      <c r="CT68" s="70"/>
      <c r="CU68" s="7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="7" customFormat="1" ht="15" spans="1:175">
      <c r="A69" s="11"/>
      <c r="B69" s="46" t="s">
        <v>323</v>
      </c>
      <c r="C69" s="11" t="s">
        <v>324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5"/>
      <c r="Q69" s="55"/>
      <c r="R69" s="55"/>
      <c r="S69" s="62"/>
      <c r="T69" s="63"/>
      <c r="U69" s="60" t="s">
        <v>322</v>
      </c>
      <c r="V69" s="61"/>
      <c r="W69" s="61"/>
      <c r="X69" s="61">
        <v>1100</v>
      </c>
      <c r="Y69" s="61"/>
      <c r="Z69" s="61">
        <v>225000</v>
      </c>
      <c r="AA69" s="61"/>
      <c r="AB69" s="61">
        <f t="shared" si="293"/>
        <v>4500</v>
      </c>
      <c r="AC69" s="61"/>
      <c r="AD69" s="61"/>
      <c r="AE69" s="61"/>
      <c r="AF69" s="61"/>
      <c r="AG69" s="65"/>
      <c r="AH69" s="61"/>
      <c r="AI69" s="61"/>
      <c r="AJ69" s="61"/>
      <c r="AK69" s="61"/>
      <c r="AL69" s="65"/>
      <c r="AM69" s="61"/>
      <c r="AN69" s="61"/>
      <c r="AO69" s="61"/>
      <c r="AP69" s="61"/>
      <c r="AQ69" s="61"/>
      <c r="AR69" s="67"/>
      <c r="AS69" s="67"/>
      <c r="AT69" s="61"/>
      <c r="AU69" s="61"/>
      <c r="AV69" s="61"/>
      <c r="AW69" s="61">
        <f t="shared" si="867"/>
        <v>2</v>
      </c>
      <c r="AX69" s="61"/>
      <c r="AY69" s="61"/>
      <c r="AZ69" s="61"/>
      <c r="BA69" s="61"/>
      <c r="BB69" s="61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1"/>
      <c r="CF69" s="61"/>
      <c r="CG69" s="61"/>
      <c r="CH69" s="61"/>
      <c r="CI69" s="61"/>
      <c r="CJ69" s="61"/>
      <c r="CK69" s="61"/>
      <c r="CL69" s="61"/>
      <c r="CM69" s="61"/>
      <c r="CN69" s="70" t="str">
        <f t="shared" si="863"/>
        <v>InitUnitState('E217',,,1100,,225000,,4500,,,)</v>
      </c>
      <c r="CO69" s="70" t="str">
        <f t="shared" si="864"/>
        <v>InitUnitNormal('E217',,,,,,,,,,)</v>
      </c>
      <c r="CP69" s="70" t="str">
        <f t="shared" si="865"/>
        <v>InitUnitMagic('E217',,,,,,,,2,,)</v>
      </c>
      <c r="CQ69" s="70" t="str">
        <f t="shared" si="866"/>
        <v>InitUnitAdd('E217',,,,,,,,,,)</v>
      </c>
      <c r="CR69" s="70" t="str">
        <f t="shared" si="652"/>
        <v>InitEquipData('E217',,"",,E218,20000,60,'','','','','','',"ReplaceableTextures\\CommandButtons\\BTNZ14.blp")</v>
      </c>
      <c r="CS69" s="70"/>
      <c r="CT69" s="70"/>
      <c r="CU69" s="72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="7" customFormat="1" ht="15" spans="1:175">
      <c r="A70" s="11"/>
      <c r="B70" s="46" t="s">
        <v>325</v>
      </c>
      <c r="C70" s="11" t="s">
        <v>326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5"/>
      <c r="Q70" s="55"/>
      <c r="R70" s="55"/>
      <c r="S70" s="62"/>
      <c r="T70" s="63"/>
      <c r="U70" s="60" t="s">
        <v>322</v>
      </c>
      <c r="V70" s="61"/>
      <c r="W70" s="61"/>
      <c r="X70" s="61">
        <v>1200</v>
      </c>
      <c r="Y70" s="61"/>
      <c r="Z70" s="61">
        <v>300000</v>
      </c>
      <c r="AA70" s="61"/>
      <c r="AB70" s="61">
        <f t="shared" si="293"/>
        <v>6000</v>
      </c>
      <c r="AC70" s="61"/>
      <c r="AD70" s="61"/>
      <c r="AE70" s="61"/>
      <c r="AF70" s="61"/>
      <c r="AG70" s="65"/>
      <c r="AH70" s="61"/>
      <c r="AI70" s="61"/>
      <c r="AJ70" s="61"/>
      <c r="AK70" s="61"/>
      <c r="AL70" s="65"/>
      <c r="AM70" s="61"/>
      <c r="AN70" s="61"/>
      <c r="AO70" s="61"/>
      <c r="AP70" s="61"/>
      <c r="AQ70" s="61"/>
      <c r="AR70" s="67"/>
      <c r="AS70" s="67"/>
      <c r="AT70" s="61"/>
      <c r="AU70" s="61"/>
      <c r="AV70" s="61"/>
      <c r="AW70" s="61">
        <f t="shared" si="867"/>
        <v>2</v>
      </c>
      <c r="AX70" s="61"/>
      <c r="AY70" s="61"/>
      <c r="AZ70" s="61"/>
      <c r="BA70" s="61"/>
      <c r="BB70" s="61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1"/>
      <c r="CF70" s="61"/>
      <c r="CG70" s="61"/>
      <c r="CH70" s="61"/>
      <c r="CI70" s="61"/>
      <c r="CJ70" s="61"/>
      <c r="CK70" s="61"/>
      <c r="CL70" s="61"/>
      <c r="CM70" s="61"/>
      <c r="CN70" s="70" t="str">
        <f t="shared" si="863"/>
        <v>InitUnitState('E218',,,1200,,300000,,6000,,,)</v>
      </c>
      <c r="CO70" s="70" t="str">
        <f t="shared" si="864"/>
        <v>InitUnitNormal('E218',,,,,,,,,,)</v>
      </c>
      <c r="CP70" s="70" t="str">
        <f t="shared" si="865"/>
        <v>InitUnitMagic('E218',,,,,,,,2,,)</v>
      </c>
      <c r="CQ70" s="70" t="str">
        <f t="shared" si="866"/>
        <v>InitUnitAdd('E218',,,,,,,,,,)</v>
      </c>
      <c r="CR70" s="70" t="str">
        <f t="shared" si="652"/>
        <v>InitEquipData('E218',,"",,E219,20000,60,'','','','','','',"ReplaceableTextures\\CommandButtons\\BTNZ14.blp")</v>
      </c>
      <c r="CS70" s="70"/>
      <c r="CT70" s="70"/>
      <c r="CU70" s="72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="7" customFormat="1" ht="15" spans="1:175">
      <c r="A71" s="11"/>
      <c r="B71" s="46" t="s">
        <v>327</v>
      </c>
      <c r="C71" s="11" t="s">
        <v>328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5"/>
      <c r="Q71" s="55"/>
      <c r="R71" s="55"/>
      <c r="S71" s="62"/>
      <c r="T71" s="63"/>
      <c r="U71" s="60" t="s">
        <v>322</v>
      </c>
      <c r="V71" s="61"/>
      <c r="W71" s="61"/>
      <c r="X71" s="61">
        <v>1300</v>
      </c>
      <c r="Y71" s="61"/>
      <c r="Z71" s="61">
        <v>375000</v>
      </c>
      <c r="AA71" s="61"/>
      <c r="AB71" s="61">
        <f t="shared" si="293"/>
        <v>7500</v>
      </c>
      <c r="AC71" s="61"/>
      <c r="AD71" s="61"/>
      <c r="AE71" s="61"/>
      <c r="AF71" s="61"/>
      <c r="AG71" s="65"/>
      <c r="AH71" s="61"/>
      <c r="AI71" s="61"/>
      <c r="AJ71" s="61"/>
      <c r="AK71" s="61"/>
      <c r="AL71" s="65"/>
      <c r="AM71" s="61"/>
      <c r="AN71" s="61"/>
      <c r="AO71" s="61"/>
      <c r="AP71" s="61"/>
      <c r="AQ71" s="61"/>
      <c r="AR71" s="67"/>
      <c r="AS71" s="67"/>
      <c r="AT71" s="61"/>
      <c r="AU71" s="61"/>
      <c r="AV71" s="61"/>
      <c r="AW71" s="61">
        <f t="shared" si="867"/>
        <v>2</v>
      </c>
      <c r="AX71" s="61"/>
      <c r="AY71" s="61"/>
      <c r="AZ71" s="61"/>
      <c r="BA71" s="61"/>
      <c r="BB71" s="6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1"/>
      <c r="CF71" s="61"/>
      <c r="CG71" s="61"/>
      <c r="CH71" s="61"/>
      <c r="CI71" s="61"/>
      <c r="CJ71" s="61"/>
      <c r="CK71" s="61"/>
      <c r="CL71" s="61"/>
      <c r="CM71" s="61"/>
      <c r="CN71" s="70" t="str">
        <f t="shared" si="863"/>
        <v>InitUnitState('E219',,,1300,,375000,,7500,,,)</v>
      </c>
      <c r="CO71" s="70" t="str">
        <f t="shared" si="864"/>
        <v>InitUnitNormal('E219',,,,,,,,,,)</v>
      </c>
      <c r="CP71" s="70" t="str">
        <f t="shared" si="865"/>
        <v>InitUnitMagic('E219',,,,,,,,2,,)</v>
      </c>
      <c r="CQ71" s="70" t="str">
        <f t="shared" si="866"/>
        <v>InitUnitAdd('E219',,,,,,,,,,)</v>
      </c>
      <c r="CR71" s="70" t="str">
        <f t="shared" si="652"/>
        <v>InitEquipData('E219',,"",,E220,20000,60,'','','','','','',"ReplaceableTextures\\CommandButtons\\BTNZ14.blp")</v>
      </c>
      <c r="CS71" s="70"/>
      <c r="CT71" s="70"/>
      <c r="CU71" s="72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="7" customFormat="1" ht="15" spans="1:175">
      <c r="A72" s="11"/>
      <c r="B72" s="46" t="s">
        <v>329</v>
      </c>
      <c r="C72" s="11" t="s">
        <v>330</v>
      </c>
      <c r="D72" s="47"/>
      <c r="E72" s="48"/>
      <c r="F72" s="49">
        <v>35000</v>
      </c>
      <c r="G72" s="50">
        <v>100</v>
      </c>
      <c r="H72" s="51" t="s">
        <v>331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5"/>
      <c r="Q72" s="55"/>
      <c r="R72" s="55"/>
      <c r="S72" s="62"/>
      <c r="T72" s="63"/>
      <c r="U72" s="60" t="s">
        <v>322</v>
      </c>
      <c r="V72" s="61"/>
      <c r="W72" s="61"/>
      <c r="X72" s="61">
        <v>1400</v>
      </c>
      <c r="Y72" s="61"/>
      <c r="Z72" s="61">
        <v>450000</v>
      </c>
      <c r="AA72" s="61"/>
      <c r="AB72" s="61">
        <f t="shared" si="293"/>
        <v>9000</v>
      </c>
      <c r="AC72" s="61"/>
      <c r="AD72" s="61"/>
      <c r="AE72" s="61"/>
      <c r="AF72" s="61"/>
      <c r="AG72" s="65"/>
      <c r="AH72" s="61"/>
      <c r="AI72" s="61"/>
      <c r="AJ72" s="61"/>
      <c r="AK72" s="61"/>
      <c r="AL72" s="65"/>
      <c r="AM72" s="61"/>
      <c r="AN72" s="61"/>
      <c r="AO72" s="61"/>
      <c r="AP72" s="61"/>
      <c r="AQ72" s="61"/>
      <c r="AR72" s="67"/>
      <c r="AS72" s="67"/>
      <c r="AT72" s="61"/>
      <c r="AU72" s="61"/>
      <c r="AV72" s="61"/>
      <c r="AW72" s="61">
        <f t="shared" si="867"/>
        <v>2</v>
      </c>
      <c r="AX72" s="61"/>
      <c r="AY72" s="61"/>
      <c r="AZ72" s="61"/>
      <c r="BA72" s="61"/>
      <c r="BB72" s="61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1"/>
      <c r="CF72" s="61"/>
      <c r="CG72" s="61"/>
      <c r="CH72" s="61"/>
      <c r="CI72" s="61"/>
      <c r="CJ72" s="61"/>
      <c r="CK72" s="61"/>
      <c r="CL72" s="61"/>
      <c r="CM72" s="61"/>
      <c r="CN72" s="70" t="str">
        <f t="shared" si="863"/>
        <v>InitUnitState('E220',,,1400,,450000,,9000,,,)</v>
      </c>
      <c r="CO72" s="70" t="str">
        <f t="shared" si="864"/>
        <v>InitUnitNormal('E220',,,,,,,,,,)</v>
      </c>
      <c r="CP72" s="70" t="str">
        <f t="shared" si="865"/>
        <v>InitUnitMagic('E220',,,,,,,,2,,)</v>
      </c>
      <c r="CQ72" s="70" t="str">
        <f t="shared" si="866"/>
        <v>InitUnitAdd('E220',,,,,,,,,,)</v>
      </c>
      <c r="CR72" s="70" t="str">
        <f t="shared" si="652"/>
        <v>InitEquipData('E220',,"",,E221,35000,100,'','','','','','',"ReplaceableTextures\\CommandButtons\\BTNZ15.blp")</v>
      </c>
      <c r="CS72" s="70"/>
      <c r="CT72" s="70"/>
      <c r="CU72" s="72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="7" customFormat="1" ht="15" spans="1:175">
      <c r="A73" s="11"/>
      <c r="B73" s="46" t="s">
        <v>332</v>
      </c>
      <c r="C73" s="11" t="s">
        <v>333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5"/>
      <c r="Q73" s="55"/>
      <c r="R73" s="55"/>
      <c r="S73" s="62"/>
      <c r="T73" s="63"/>
      <c r="U73" s="60" t="s">
        <v>334</v>
      </c>
      <c r="V73" s="61"/>
      <c r="W73" s="61"/>
      <c r="X73" s="61">
        <v>2000</v>
      </c>
      <c r="Y73" s="61"/>
      <c r="Z73" s="61">
        <v>750000</v>
      </c>
      <c r="AA73" s="61"/>
      <c r="AB73" s="61">
        <f t="shared" si="293"/>
        <v>15000</v>
      </c>
      <c r="AC73" s="61"/>
      <c r="AD73" s="61"/>
      <c r="AE73" s="61"/>
      <c r="AF73" s="61"/>
      <c r="AG73" s="65"/>
      <c r="AH73" s="61"/>
      <c r="AI73" s="61"/>
      <c r="AJ73" s="61"/>
      <c r="AK73" s="61"/>
      <c r="AL73" s="65"/>
      <c r="AM73" s="61"/>
      <c r="AN73" s="61"/>
      <c r="AO73" s="61"/>
      <c r="AP73" s="61"/>
      <c r="AQ73" s="61"/>
      <c r="AR73" s="67"/>
      <c r="AS73" s="67"/>
      <c r="AT73" s="61"/>
      <c r="AU73" s="61"/>
      <c r="AV73" s="61"/>
      <c r="AW73" s="61">
        <f t="shared" si="867"/>
        <v>3</v>
      </c>
      <c r="AX73" s="61"/>
      <c r="AY73" s="61"/>
      <c r="AZ73" s="61"/>
      <c r="BA73" s="61"/>
      <c r="BB73" s="61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1"/>
      <c r="CF73" s="61"/>
      <c r="CG73" s="61"/>
      <c r="CH73" s="61"/>
      <c r="CI73" s="61"/>
      <c r="CJ73" s="61"/>
      <c r="CK73" s="61"/>
      <c r="CL73" s="61"/>
      <c r="CM73" s="61"/>
      <c r="CN73" s="70" t="str">
        <f t="shared" si="863"/>
        <v>InitUnitState('E221',,,2000,,750000,,15000,,,)</v>
      </c>
      <c r="CO73" s="70" t="str">
        <f t="shared" si="864"/>
        <v>InitUnitNormal('E221',,,,,,,,,,)</v>
      </c>
      <c r="CP73" s="70" t="str">
        <f t="shared" si="865"/>
        <v>InitUnitMagic('E221',,,,,,,,3,,)</v>
      </c>
      <c r="CQ73" s="70" t="str">
        <f t="shared" si="866"/>
        <v>InitUnitAdd('E221',,,,,,,,,,)</v>
      </c>
      <c r="CR73" s="70" t="str">
        <f t="shared" si="652"/>
        <v>InitEquipData('E221',,"",,E222,35000,50,'','','','','','',"ReplaceableTextures\\CommandButtons\\BTNZ15.blp")</v>
      </c>
      <c r="CS73" s="70"/>
      <c r="CT73" s="70"/>
      <c r="CU73" s="72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="7" customFormat="1" ht="15" spans="1:175">
      <c r="A74" s="11"/>
      <c r="B74" s="46" t="s">
        <v>335</v>
      </c>
      <c r="C74" s="11" t="s">
        <v>336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5"/>
      <c r="Q74" s="55"/>
      <c r="R74" s="55"/>
      <c r="S74" s="62"/>
      <c r="T74" s="63"/>
      <c r="U74" s="60" t="s">
        <v>334</v>
      </c>
      <c r="V74" s="61"/>
      <c r="W74" s="61"/>
      <c r="X74" s="61">
        <v>2200</v>
      </c>
      <c r="Y74" s="61"/>
      <c r="Z74" s="61">
        <v>1200000</v>
      </c>
      <c r="AA74" s="61"/>
      <c r="AB74" s="61">
        <f t="shared" si="293"/>
        <v>24000</v>
      </c>
      <c r="AC74" s="61"/>
      <c r="AD74" s="61"/>
      <c r="AE74" s="61"/>
      <c r="AF74" s="61"/>
      <c r="AG74" s="65"/>
      <c r="AH74" s="61"/>
      <c r="AI74" s="61"/>
      <c r="AJ74" s="61"/>
      <c r="AK74" s="61"/>
      <c r="AL74" s="65"/>
      <c r="AM74" s="61"/>
      <c r="AN74" s="61"/>
      <c r="AO74" s="61"/>
      <c r="AP74" s="61"/>
      <c r="AQ74" s="61"/>
      <c r="AR74" s="67"/>
      <c r="AS74" s="67"/>
      <c r="AT74" s="61"/>
      <c r="AU74" s="61"/>
      <c r="AV74" s="61"/>
      <c r="AW74" s="61">
        <f t="shared" si="867"/>
        <v>3</v>
      </c>
      <c r="AX74" s="61"/>
      <c r="AY74" s="61"/>
      <c r="AZ74" s="61"/>
      <c r="BA74" s="61"/>
      <c r="BB74" s="61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1"/>
      <c r="CF74" s="61"/>
      <c r="CG74" s="61"/>
      <c r="CH74" s="61"/>
      <c r="CI74" s="61"/>
      <c r="CJ74" s="61"/>
      <c r="CK74" s="61"/>
      <c r="CL74" s="61"/>
      <c r="CM74" s="61"/>
      <c r="CN74" s="70" t="str">
        <f t="shared" si="863"/>
        <v>InitUnitState('E222',,,2200,,1200000,,24000,,,)</v>
      </c>
      <c r="CO74" s="70" t="str">
        <f t="shared" si="864"/>
        <v>InitUnitNormal('E222',,,,,,,,,,)</v>
      </c>
      <c r="CP74" s="70" t="str">
        <f t="shared" si="865"/>
        <v>InitUnitMagic('E222',,,,,,,,3,,)</v>
      </c>
      <c r="CQ74" s="70" t="str">
        <f t="shared" si="866"/>
        <v>InitUnitAdd('E222',,,,,,,,,,)</v>
      </c>
      <c r="CR74" s="70" t="str">
        <f t="shared" si="652"/>
        <v>InitEquipData('E222',,"",,E223,35000,50,'','','','','','',"ReplaceableTextures\\CommandButtons\\BTNZ15.blp")</v>
      </c>
      <c r="CS74" s="70"/>
      <c r="CT74" s="70"/>
      <c r="CU74" s="72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="7" customFormat="1" ht="15" spans="1:175">
      <c r="A75" s="11"/>
      <c r="B75" s="46" t="s">
        <v>337</v>
      </c>
      <c r="C75" s="11" t="s">
        <v>338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5"/>
      <c r="Q75" s="55"/>
      <c r="R75" s="55"/>
      <c r="S75" s="62"/>
      <c r="T75" s="63"/>
      <c r="U75" s="60" t="s">
        <v>334</v>
      </c>
      <c r="V75" s="61"/>
      <c r="W75" s="61"/>
      <c r="X75" s="61">
        <v>2400</v>
      </c>
      <c r="Y75" s="61"/>
      <c r="Z75" s="61">
        <v>1650000</v>
      </c>
      <c r="AA75" s="61"/>
      <c r="AB75" s="61">
        <f t="shared" si="293"/>
        <v>33000</v>
      </c>
      <c r="AC75" s="61"/>
      <c r="AD75" s="61"/>
      <c r="AE75" s="61"/>
      <c r="AF75" s="61"/>
      <c r="AG75" s="65"/>
      <c r="AH75" s="61"/>
      <c r="AI75" s="61"/>
      <c r="AJ75" s="61"/>
      <c r="AK75" s="61"/>
      <c r="AL75" s="65"/>
      <c r="AM75" s="61"/>
      <c r="AN75" s="61"/>
      <c r="AO75" s="61"/>
      <c r="AP75" s="61"/>
      <c r="AQ75" s="61"/>
      <c r="AR75" s="67"/>
      <c r="AS75" s="67"/>
      <c r="AT75" s="61"/>
      <c r="AU75" s="61"/>
      <c r="AV75" s="61"/>
      <c r="AW75" s="61">
        <f t="shared" si="867"/>
        <v>3</v>
      </c>
      <c r="AX75" s="61"/>
      <c r="AY75" s="61"/>
      <c r="AZ75" s="61"/>
      <c r="BA75" s="61"/>
      <c r="BB75" s="61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1"/>
      <c r="CF75" s="61"/>
      <c r="CG75" s="61"/>
      <c r="CH75" s="61"/>
      <c r="CI75" s="61"/>
      <c r="CJ75" s="61"/>
      <c r="CK75" s="61"/>
      <c r="CL75" s="61"/>
      <c r="CM75" s="61"/>
      <c r="CN75" s="70" t="str">
        <f t="shared" si="863"/>
        <v>InitUnitState('E223',,,2400,,1650000,,33000,,,)</v>
      </c>
      <c r="CO75" s="70" t="str">
        <f t="shared" si="864"/>
        <v>InitUnitNormal('E223',,,,,,,,,,)</v>
      </c>
      <c r="CP75" s="70" t="str">
        <f t="shared" si="865"/>
        <v>InitUnitMagic('E223',,,,,,,,3,,)</v>
      </c>
      <c r="CQ75" s="70" t="str">
        <f t="shared" si="866"/>
        <v>InitUnitAdd('E223',,,,,,,,,,)</v>
      </c>
      <c r="CR75" s="70" t="str">
        <f t="shared" si="652"/>
        <v>InitEquipData('E223',,"",,E224,35000,50,'','','','','','',"ReplaceableTextures\\CommandButtons\\BTNZ15.blp")</v>
      </c>
      <c r="CS75" s="70"/>
      <c r="CT75" s="70"/>
      <c r="CU75" s="72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="7" customFormat="1" ht="15" spans="1:175">
      <c r="A76" s="11"/>
      <c r="B76" s="46" t="s">
        <v>339</v>
      </c>
      <c r="C76" s="11" t="s">
        <v>340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5"/>
      <c r="Q76" s="55"/>
      <c r="R76" s="55"/>
      <c r="S76" s="62"/>
      <c r="T76" s="63"/>
      <c r="U76" s="60" t="s">
        <v>334</v>
      </c>
      <c r="V76" s="61"/>
      <c r="W76" s="61"/>
      <c r="X76" s="61">
        <v>2600</v>
      </c>
      <c r="Y76" s="61"/>
      <c r="Z76" s="61">
        <v>2100000</v>
      </c>
      <c r="AA76" s="61"/>
      <c r="AB76" s="61">
        <f t="shared" si="293"/>
        <v>42000</v>
      </c>
      <c r="AC76" s="61"/>
      <c r="AD76" s="61"/>
      <c r="AE76" s="61"/>
      <c r="AF76" s="61"/>
      <c r="AG76" s="65"/>
      <c r="AH76" s="61"/>
      <c r="AI76" s="61"/>
      <c r="AJ76" s="61"/>
      <c r="AK76" s="61"/>
      <c r="AL76" s="65"/>
      <c r="AM76" s="61"/>
      <c r="AN76" s="61"/>
      <c r="AO76" s="61"/>
      <c r="AP76" s="61"/>
      <c r="AQ76" s="61"/>
      <c r="AR76" s="67"/>
      <c r="AS76" s="67"/>
      <c r="AT76" s="61"/>
      <c r="AU76" s="61"/>
      <c r="AV76" s="61"/>
      <c r="AW76" s="61">
        <f t="shared" si="867"/>
        <v>3</v>
      </c>
      <c r="AX76" s="61"/>
      <c r="AY76" s="61"/>
      <c r="AZ76" s="61"/>
      <c r="BA76" s="61"/>
      <c r="BB76" s="61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1"/>
      <c r="CF76" s="61"/>
      <c r="CG76" s="61"/>
      <c r="CH76" s="61"/>
      <c r="CI76" s="61"/>
      <c r="CJ76" s="61"/>
      <c r="CK76" s="61"/>
      <c r="CL76" s="61"/>
      <c r="CM76" s="61"/>
      <c r="CN76" s="70" t="str">
        <f t="shared" si="863"/>
        <v>InitUnitState('E224',,,2600,,2100000,,42000,,,)</v>
      </c>
      <c r="CO76" s="70" t="str">
        <f t="shared" si="864"/>
        <v>InitUnitNormal('E224',,,,,,,,,,)</v>
      </c>
      <c r="CP76" s="70" t="str">
        <f t="shared" si="865"/>
        <v>InitUnitMagic('E224',,,,,,,,3,,)</v>
      </c>
      <c r="CQ76" s="70" t="str">
        <f t="shared" si="866"/>
        <v>InitUnitAdd('E224',,,,,,,,,,)</v>
      </c>
      <c r="CR76" s="70" t="str">
        <f t="shared" si="652"/>
        <v>InitEquipData('E224',,"",,E225,35000,50,'','','','','','',"ReplaceableTextures\\CommandButtons\\BTNZ15.blp")</v>
      </c>
      <c r="CS76" s="70"/>
      <c r="CT76" s="70"/>
      <c r="CU76" s="72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="7" customFormat="1" ht="15" spans="1:175">
      <c r="A77" s="11"/>
      <c r="B77" s="46" t="s">
        <v>341</v>
      </c>
      <c r="C77" s="11" t="s">
        <v>342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5"/>
      <c r="Q77" s="55"/>
      <c r="R77" s="55"/>
      <c r="S77" s="62"/>
      <c r="T77" s="63" t="s">
        <v>343</v>
      </c>
      <c r="U77" s="60" t="s">
        <v>334</v>
      </c>
      <c r="V77" s="61"/>
      <c r="W77" s="61"/>
      <c r="X77" s="61">
        <v>2800</v>
      </c>
      <c r="Y77" s="61"/>
      <c r="Z77" s="61">
        <v>3000000</v>
      </c>
      <c r="AA77" s="61"/>
      <c r="AB77" s="61">
        <f t="shared" si="293"/>
        <v>60000</v>
      </c>
      <c r="AC77" s="61"/>
      <c r="AD77" s="61"/>
      <c r="AE77" s="61"/>
      <c r="AF77" s="61"/>
      <c r="AG77" s="65"/>
      <c r="AH77" s="61"/>
      <c r="AI77" s="61"/>
      <c r="AJ77" s="61"/>
      <c r="AK77" s="61"/>
      <c r="AL77" s="65"/>
      <c r="AM77" s="61"/>
      <c r="AN77" s="61"/>
      <c r="AO77" s="61"/>
      <c r="AP77" s="61"/>
      <c r="AQ77" s="61"/>
      <c r="AR77" s="67"/>
      <c r="AS77" s="67"/>
      <c r="AT77" s="61"/>
      <c r="AU77" s="61"/>
      <c r="AV77" s="61"/>
      <c r="AW77" s="61">
        <v>5</v>
      </c>
      <c r="AX77" s="61"/>
      <c r="AY77" s="61"/>
      <c r="AZ77" s="61"/>
      <c r="BA77" s="61"/>
      <c r="BB77" s="61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1"/>
      <c r="CF77" s="61"/>
      <c r="CG77" s="61"/>
      <c r="CH77" s="61"/>
      <c r="CI77" s="61"/>
      <c r="CJ77" s="61"/>
      <c r="CK77" s="61"/>
      <c r="CL77" s="61"/>
      <c r="CM77" s="61"/>
      <c r="CN77" s="70" t="str">
        <f t="shared" si="863"/>
        <v>InitUnitState('E225',,,2800,,3000000,,60000,,,)</v>
      </c>
      <c r="CO77" s="70" t="str">
        <f t="shared" si="864"/>
        <v>InitUnitNormal('E225',,,,,,,,,,)</v>
      </c>
      <c r="CP77" s="70" t="str">
        <f t="shared" si="865"/>
        <v>InitUnitMagic('E225',,,,,,,,5,,)</v>
      </c>
      <c r="CQ77" s="70" t="str">
        <f t="shared" si="866"/>
        <v>InitUnitAdd('E225',,,,,,,,,,)</v>
      </c>
      <c r="CR77" s="7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70"/>
      <c r="CT77" s="70"/>
      <c r="CU77" s="72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ht="15" spans="1:175">
      <c r="A78" s="74"/>
      <c r="B78" s="46" t="s">
        <v>344</v>
      </c>
      <c r="C78" s="74" t="s">
        <v>345</v>
      </c>
      <c r="E78" s="75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81"/>
      <c r="Q78" s="81"/>
      <c r="R78" s="81"/>
      <c r="S78" s="81"/>
      <c r="T78" s="82"/>
      <c r="U78" s="83" t="s">
        <v>346</v>
      </c>
      <c r="V78" s="42">
        <v>7500</v>
      </c>
      <c r="Z78" s="42">
        <v>30000</v>
      </c>
      <c r="AG78" s="88"/>
      <c r="AJ78" s="42">
        <v>15</v>
      </c>
      <c r="AK78" s="42">
        <v>15</v>
      </c>
      <c r="AL78" s="88"/>
      <c r="BC78" s="89"/>
      <c r="BD78" s="89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2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ht="15" spans="1:175">
      <c r="A79" s="74"/>
      <c r="B79" s="46" t="s">
        <v>347</v>
      </c>
      <c r="C79" s="74" t="s">
        <v>348</v>
      </c>
      <c r="E79" s="75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81"/>
      <c r="Q79" s="81"/>
      <c r="R79" s="81"/>
      <c r="S79" s="81"/>
      <c r="T79" s="82"/>
      <c r="U79" s="83" t="s">
        <v>349</v>
      </c>
      <c r="V79" s="42">
        <v>18000</v>
      </c>
      <c r="Z79" s="42">
        <v>72000</v>
      </c>
      <c r="AG79" s="88"/>
      <c r="AJ79" s="42">
        <v>15</v>
      </c>
      <c r="AK79" s="42">
        <v>15</v>
      </c>
      <c r="AL79" s="88"/>
      <c r="BC79" s="89"/>
      <c r="BD79" s="89"/>
      <c r="BL79" s="42">
        <v>8</v>
      </c>
      <c r="BM79" s="42">
        <v>1</v>
      </c>
      <c r="BN79" s="42">
        <v>30</v>
      </c>
      <c r="CU79" s="72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ht="15" spans="1:175">
      <c r="A80" s="10"/>
      <c r="B80" s="46" t="s">
        <v>350</v>
      </c>
      <c r="C80" s="10" t="s">
        <v>351</v>
      </c>
      <c r="E80" s="75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81"/>
      <c r="Q80" s="81"/>
      <c r="R80" s="81"/>
      <c r="S80" s="84"/>
      <c r="T80" s="82"/>
      <c r="U80" s="83" t="s">
        <v>352</v>
      </c>
      <c r="V80" s="42">
        <v>37500</v>
      </c>
      <c r="Z80" s="42">
        <v>150000</v>
      </c>
      <c r="AG80" s="88"/>
      <c r="AJ80" s="42">
        <v>15</v>
      </c>
      <c r="AK80" s="42">
        <v>15</v>
      </c>
      <c r="AL80" s="88"/>
      <c r="BC80" s="89"/>
      <c r="BD80" s="89"/>
      <c r="BL80" s="42">
        <v>8</v>
      </c>
      <c r="BM80" s="42">
        <v>1</v>
      </c>
      <c r="BN80" s="42">
        <v>30</v>
      </c>
      <c r="CU80" s="72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ht="15" spans="1:175">
      <c r="A81" s="10"/>
      <c r="B81" s="46" t="s">
        <v>353</v>
      </c>
      <c r="C81" s="10" t="s">
        <v>354</v>
      </c>
      <c r="E81" s="75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81"/>
      <c r="Q81" s="81"/>
      <c r="R81" s="81"/>
      <c r="S81" s="84"/>
      <c r="T81" s="82"/>
      <c r="U81" s="83" t="s">
        <v>355</v>
      </c>
      <c r="V81" s="42">
        <v>60000</v>
      </c>
      <c r="Z81" s="42">
        <v>240000</v>
      </c>
      <c r="AG81" s="88"/>
      <c r="AJ81" s="42">
        <v>20</v>
      </c>
      <c r="AK81" s="42">
        <v>20</v>
      </c>
      <c r="AL81" s="88"/>
      <c r="BC81" s="89"/>
      <c r="BD81" s="89"/>
      <c r="BL81" s="42">
        <v>8</v>
      </c>
      <c r="BM81" s="42">
        <v>1</v>
      </c>
      <c r="BN81" s="42">
        <v>30</v>
      </c>
      <c r="CU81" s="72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ht="15" spans="1:175">
      <c r="A82" s="10"/>
      <c r="B82" s="46" t="s">
        <v>356</v>
      </c>
      <c r="C82" s="10" t="s">
        <v>357</v>
      </c>
      <c r="E82" s="75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81"/>
      <c r="Q82" s="81"/>
      <c r="R82" s="81"/>
      <c r="S82" s="84"/>
      <c r="T82" s="82"/>
      <c r="U82" s="83" t="s">
        <v>358</v>
      </c>
      <c r="V82" s="42">
        <v>82500</v>
      </c>
      <c r="Z82" s="42">
        <v>330000</v>
      </c>
      <c r="AG82" s="88"/>
      <c r="AJ82" s="42">
        <v>20</v>
      </c>
      <c r="AK82" s="42">
        <v>20</v>
      </c>
      <c r="AL82" s="88"/>
      <c r="BC82" s="89"/>
      <c r="BD82" s="89"/>
      <c r="BL82" s="42">
        <v>8</v>
      </c>
      <c r="BM82" s="42">
        <v>1</v>
      </c>
      <c r="BN82" s="42">
        <v>30</v>
      </c>
      <c r="CU82" s="72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ht="15" spans="1:175">
      <c r="A83" s="11"/>
      <c r="B83" s="46" t="s">
        <v>359</v>
      </c>
      <c r="C83" s="11" t="s">
        <v>360</v>
      </c>
      <c r="E83" s="75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81"/>
      <c r="Q83" s="81"/>
      <c r="R83" s="81"/>
      <c r="S83" s="84"/>
      <c r="T83" s="82"/>
      <c r="U83" s="83" t="s">
        <v>361</v>
      </c>
      <c r="V83" s="42">
        <v>120000</v>
      </c>
      <c r="Z83" s="42">
        <v>480000</v>
      </c>
      <c r="AG83" s="88"/>
      <c r="AJ83" s="42">
        <v>20</v>
      </c>
      <c r="AK83" s="42">
        <v>20</v>
      </c>
      <c r="AL83" s="88"/>
      <c r="BC83" s="89"/>
      <c r="BD83" s="89"/>
      <c r="BL83" s="42">
        <v>8</v>
      </c>
      <c r="BM83" s="42">
        <v>1</v>
      </c>
      <c r="BN83" s="42">
        <v>30</v>
      </c>
      <c r="CU83" s="72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ht="15" spans="1:175">
      <c r="A84" s="11"/>
      <c r="B84" s="46" t="s">
        <v>362</v>
      </c>
      <c r="C84" s="11" t="s">
        <v>363</v>
      </c>
      <c r="E84" s="75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81"/>
      <c r="Q84" s="81"/>
      <c r="R84" s="81"/>
      <c r="S84" s="84"/>
      <c r="T84" s="82"/>
      <c r="U84" s="83" t="s">
        <v>364</v>
      </c>
      <c r="V84" s="42">
        <v>180000</v>
      </c>
      <c r="Z84" s="42">
        <v>720000</v>
      </c>
      <c r="AG84" s="88"/>
      <c r="AJ84" s="42">
        <v>25</v>
      </c>
      <c r="AK84" s="42">
        <v>25</v>
      </c>
      <c r="AL84" s="88"/>
      <c r="BC84" s="89"/>
      <c r="BD84" s="89"/>
      <c r="BL84" s="42">
        <v>8</v>
      </c>
      <c r="BM84" s="42">
        <v>1</v>
      </c>
      <c r="BN84" s="42">
        <v>30</v>
      </c>
      <c r="CU84" s="72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ht="15" spans="1:175">
      <c r="A85" s="11"/>
      <c r="B85" s="46" t="s">
        <v>365</v>
      </c>
      <c r="C85" s="11" t="s">
        <v>366</v>
      </c>
      <c r="E85" s="76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81"/>
      <c r="Q85" s="81"/>
      <c r="R85" s="81"/>
      <c r="S85" s="84"/>
      <c r="T85" s="82"/>
      <c r="U85" s="83" t="s">
        <v>367</v>
      </c>
      <c r="V85" s="42">
        <v>300000</v>
      </c>
      <c r="Z85" s="42">
        <v>1200000</v>
      </c>
      <c r="AG85" s="88"/>
      <c r="AJ85" s="42">
        <v>25</v>
      </c>
      <c r="AK85" s="42">
        <v>25</v>
      </c>
      <c r="AL85" s="88"/>
      <c r="BC85" s="89"/>
      <c r="BD85" s="89"/>
      <c r="BL85" s="42">
        <v>8</v>
      </c>
      <c r="BM85" s="42">
        <v>1</v>
      </c>
      <c r="BN85" s="42">
        <v>30</v>
      </c>
      <c r="CU85" s="72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ht="15" spans="1:175">
      <c r="A86" s="11"/>
      <c r="B86" s="46" t="s">
        <v>368</v>
      </c>
      <c r="C86" s="11" t="s">
        <v>369</v>
      </c>
      <c r="E86" s="76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81"/>
      <c r="Q86" s="81"/>
      <c r="R86" s="81"/>
      <c r="S86" s="84"/>
      <c r="T86" s="82"/>
      <c r="U86" s="83" t="s">
        <v>370</v>
      </c>
      <c r="V86" s="42">
        <v>450000</v>
      </c>
      <c r="Z86" s="42">
        <v>1800000</v>
      </c>
      <c r="AG86" s="88"/>
      <c r="AJ86" s="42">
        <v>25</v>
      </c>
      <c r="AK86" s="42">
        <v>25</v>
      </c>
      <c r="AL86" s="88"/>
      <c r="BC86" s="89"/>
      <c r="BD86" s="89"/>
      <c r="BL86" s="42">
        <v>8</v>
      </c>
      <c r="BM86" s="42">
        <v>1</v>
      </c>
      <c r="BN86" s="42">
        <v>30</v>
      </c>
      <c r="CU86" s="72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ht="15" spans="1:175">
      <c r="A87" s="11"/>
      <c r="B87" s="46" t="s">
        <v>371</v>
      </c>
      <c r="C87" s="11" t="s">
        <v>372</v>
      </c>
      <c r="E87" s="76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81"/>
      <c r="Q87" s="81"/>
      <c r="R87" s="81"/>
      <c r="S87" s="84"/>
      <c r="T87" s="82"/>
      <c r="U87" s="83" t="s">
        <v>373</v>
      </c>
      <c r="V87" s="42">
        <v>750000</v>
      </c>
      <c r="Z87" s="42">
        <v>3000000</v>
      </c>
      <c r="AG87" s="88"/>
      <c r="AJ87" s="42">
        <v>30</v>
      </c>
      <c r="AK87" s="42">
        <v>30</v>
      </c>
      <c r="AL87" s="88"/>
      <c r="BC87" s="89"/>
      <c r="BD87" s="89"/>
      <c r="BL87" s="42">
        <v>8</v>
      </c>
      <c r="BM87" s="42">
        <v>1</v>
      </c>
      <c r="BN87" s="42">
        <v>30</v>
      </c>
      <c r="CU87" s="72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ht="15" spans="1:175">
      <c r="A88" s="5"/>
      <c r="B88" s="5" t="s">
        <v>374</v>
      </c>
      <c r="C88" s="74" t="s">
        <v>375</v>
      </c>
      <c r="T88" s="5" t="str">
        <f>"强行突破境界"&amp;CU78</f>
        <v>强行突破境界|n攻击+7500|n生命值+30000|n物理伤害+15%|n法术伤害+15%|n杀敌攻击+8|n杀敌业力+1|n杀敌生命+30|n</v>
      </c>
      <c r="U88" s="60" t="s">
        <v>376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7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ht="15" spans="1:175">
      <c r="A89" s="5"/>
      <c r="B89" s="5" t="s">
        <v>377</v>
      </c>
      <c r="C89" s="74" t="s">
        <v>378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60" t="s">
        <v>379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72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ht="15" spans="1:175">
      <c r="A90" s="5"/>
      <c r="B90" s="5" t="s">
        <v>380</v>
      </c>
      <c r="C90" s="10" t="s">
        <v>381</v>
      </c>
      <c r="T90" s="5" t="str">
        <f t="shared" si="1015"/>
        <v>强行突破境界|n攻击+37500|n生命值+150000|n物理伤害+15%|n法术伤害+15%|n杀敌攻击+8|n杀敌业力+1|n杀敌生命+30|n</v>
      </c>
      <c r="U90" s="60" t="s">
        <v>382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72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ht="15" spans="1:175">
      <c r="A91" s="5"/>
      <c r="B91" s="5" t="s">
        <v>383</v>
      </c>
      <c r="C91" s="10" t="s">
        <v>384</v>
      </c>
      <c r="T91" s="5" t="str">
        <f t="shared" si="1015"/>
        <v>强行突破境界|n攻击+60000|n生命值+240000|n物理伤害+20%|n法术伤害+20%|n杀敌攻击+8|n杀敌业力+1|n杀敌生命+30|n</v>
      </c>
      <c r="U91" s="60" t="s">
        <v>385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72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ht="15" spans="1:175">
      <c r="A92" s="5"/>
      <c r="B92" s="5" t="s">
        <v>386</v>
      </c>
      <c r="C92" s="10" t="s">
        <v>387</v>
      </c>
      <c r="T92" s="5" t="str">
        <f t="shared" si="1015"/>
        <v>强行突破境界|n攻击+82500|n生命值+330000|n物理伤害+20%|n法术伤害+20%|n杀敌攻击+8|n杀敌业力+1|n杀敌生命+30|n</v>
      </c>
      <c r="U92" s="60" t="s">
        <v>388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7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ht="15" spans="1:175">
      <c r="A93" s="5"/>
      <c r="B93" s="5" t="s">
        <v>389</v>
      </c>
      <c r="C93" s="11" t="s">
        <v>390</v>
      </c>
      <c r="T93" s="5" t="str">
        <f t="shared" si="1015"/>
        <v>强行突破境界|n攻击+120000|n生命值+480000|n物理伤害+20%|n法术伤害+20%|n杀敌攻击+8|n杀敌业力+1|n杀敌生命+30|n</v>
      </c>
      <c r="U93" s="60" t="s">
        <v>391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72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ht="15" spans="1:175">
      <c r="A94" s="5"/>
      <c r="B94" s="5" t="s">
        <v>392</v>
      </c>
      <c r="C94" s="11" t="s">
        <v>393</v>
      </c>
      <c r="T94" s="5" t="str">
        <f t="shared" si="1015"/>
        <v>强行突破境界|n攻击+180000|n生命值+720000|n物理伤害+25%|n法术伤害+25%|n杀敌攻击+8|n杀敌业力+1|n杀敌生命+30|n</v>
      </c>
      <c r="U94" s="60" t="s">
        <v>394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72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ht="15" spans="1:175">
      <c r="A95" s="5"/>
      <c r="B95" s="5" t="s">
        <v>395</v>
      </c>
      <c r="C95" s="11" t="s">
        <v>396</v>
      </c>
      <c r="T95" s="5" t="str">
        <f t="shared" si="1015"/>
        <v>强行突破境界|n攻击+300000|n生命值+1200000|n物理伤害+25%|n法术伤害+25%|n杀敌攻击+8|n杀敌业力+1|n杀敌生命+30|n</v>
      </c>
      <c r="U95" s="60" t="s">
        <v>397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72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ht="15" spans="1:175">
      <c r="A96" s="5"/>
      <c r="B96" s="5" t="s">
        <v>398</v>
      </c>
      <c r="C96" s="11" t="s">
        <v>399</v>
      </c>
      <c r="T96" s="5" t="str">
        <f t="shared" si="1015"/>
        <v>强行突破境界|n攻击+450000|n生命值+1800000|n物理伤害+25%|n法术伤害+25%|n杀敌攻击+8|n杀敌业力+1|n杀敌生命+30|n</v>
      </c>
      <c r="U96" s="60" t="s">
        <v>400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7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ht="15" spans="1:175">
      <c r="A97" s="5"/>
      <c r="B97" s="5" t="s">
        <v>401</v>
      </c>
      <c r="C97" s="11" t="s">
        <v>402</v>
      </c>
      <c r="T97" s="5" t="str">
        <f t="shared" si="1015"/>
        <v>强行突破境界|n攻击+750000|n生命值+3000000|n物理伤害+30%|n法术伤害+30%|n杀敌攻击+8|n杀敌业力+1|n杀敌生命+30|n</v>
      </c>
      <c r="U97" s="60" t="s">
        <v>403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7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ht="15" spans="1:175">
      <c r="A98" s="5"/>
      <c r="B98" s="5" t="s">
        <v>404</v>
      </c>
      <c r="C98" s="74" t="s">
        <v>405</v>
      </c>
      <c r="T98" s="5" t="str">
        <f>"突破境界"&amp;CU78</f>
        <v>突破境界|n攻击+7500|n生命值+30000|n物理伤害+15%|n法术伤害+15%|n杀敌攻击+8|n杀敌业力+1|n杀敌生命+30|n</v>
      </c>
      <c r="U98" s="60" t="s">
        <v>406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72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ht="15" spans="1:175">
      <c r="A99" s="5"/>
      <c r="B99" s="5" t="s">
        <v>407</v>
      </c>
      <c r="C99" s="74" t="s">
        <v>408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60" t="s">
        <v>409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72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ht="15" spans="1:175">
      <c r="A100" s="5"/>
      <c r="B100" s="5" t="s">
        <v>410</v>
      </c>
      <c r="C100" s="10" t="s">
        <v>411</v>
      </c>
      <c r="T100" s="5" t="str">
        <f t="shared" si="1244"/>
        <v>突破境界|n攻击+37500|n生命值+150000|n物理伤害+15%|n法术伤害+15%|n杀敌攻击+8|n杀敌业力+1|n杀敌生命+30|n</v>
      </c>
      <c r="U100" s="60" t="s">
        <v>412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72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ht="15" spans="1:175">
      <c r="A101" s="5"/>
      <c r="B101" s="5" t="s">
        <v>413</v>
      </c>
      <c r="C101" s="10" t="s">
        <v>414</v>
      </c>
      <c r="T101" s="5" t="str">
        <f t="shared" si="1244"/>
        <v>突破境界|n攻击+60000|n生命值+240000|n物理伤害+20%|n法术伤害+20%|n杀敌攻击+8|n杀敌业力+1|n杀敌生命+30|n</v>
      </c>
      <c r="U101" s="60" t="s">
        <v>415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72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ht="15" spans="1:175">
      <c r="A102" s="5"/>
      <c r="B102" s="5" t="s">
        <v>416</v>
      </c>
      <c r="C102" s="10" t="s">
        <v>417</v>
      </c>
      <c r="T102" s="5" t="str">
        <f t="shared" si="1244"/>
        <v>突破境界|n攻击+82500|n生命值+330000|n物理伤害+20%|n法术伤害+20%|n杀敌攻击+8|n杀敌业力+1|n杀敌生命+30|n</v>
      </c>
      <c r="U102" s="60" t="s">
        <v>418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72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ht="15" spans="1:175">
      <c r="A103" s="5"/>
      <c r="B103" s="5" t="s">
        <v>419</v>
      </c>
      <c r="C103" s="11" t="s">
        <v>420</v>
      </c>
      <c r="T103" s="5" t="str">
        <f t="shared" si="1244"/>
        <v>突破境界|n攻击+120000|n生命值+480000|n物理伤害+20%|n法术伤害+20%|n杀敌攻击+8|n杀敌业力+1|n杀敌生命+30|n</v>
      </c>
      <c r="U103" s="60" t="s">
        <v>421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72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ht="15" spans="1:175">
      <c r="A104" s="5"/>
      <c r="B104" s="5" t="s">
        <v>422</v>
      </c>
      <c r="C104" s="11" t="s">
        <v>423</v>
      </c>
      <c r="T104" s="5" t="str">
        <f t="shared" si="1244"/>
        <v>突破境界|n攻击+180000|n生命值+720000|n物理伤害+25%|n法术伤害+25%|n杀敌攻击+8|n杀敌业力+1|n杀敌生命+30|n</v>
      </c>
      <c r="U104" s="60" t="s">
        <v>424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72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ht="15" spans="1:175">
      <c r="A105" s="5"/>
      <c r="B105" s="5" t="s">
        <v>425</v>
      </c>
      <c r="C105" s="11" t="s">
        <v>426</v>
      </c>
      <c r="T105" s="5" t="str">
        <f t="shared" si="1244"/>
        <v>突破境界|n攻击+300000|n生命值+1200000|n物理伤害+25%|n法术伤害+25%|n杀敌攻击+8|n杀敌业力+1|n杀敌生命+30|n</v>
      </c>
      <c r="U105" s="60" t="s">
        <v>427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72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ht="15" spans="1:175">
      <c r="A106" s="5"/>
      <c r="B106" s="5" t="s">
        <v>428</v>
      </c>
      <c r="C106" s="11" t="s">
        <v>429</v>
      </c>
      <c r="T106" s="5" t="str">
        <f t="shared" si="1244"/>
        <v>突破境界|n攻击+450000|n生命值+1800000|n物理伤害+25%|n法术伤害+25%|n杀敌攻击+8|n杀敌业力+1|n杀敌生命+30|n</v>
      </c>
      <c r="U106" s="60" t="s">
        <v>430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72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ht="15" spans="1:175">
      <c r="A107" s="5"/>
      <c r="B107" s="5" t="s">
        <v>431</v>
      </c>
      <c r="C107" s="11" t="s">
        <v>432</v>
      </c>
      <c r="T107" s="5" t="str">
        <f t="shared" si="1244"/>
        <v>突破境界|n攻击+750000|n生命值+3000000|n物理伤害+30%|n法术伤害+30%|n杀敌攻击+8|n杀敌业力+1|n杀敌生命+30|n</v>
      </c>
      <c r="U107" s="60" t="s">
        <v>433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7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ht="15" spans="1:175">
      <c r="A108" s="5"/>
      <c r="B108" s="5" t="s">
        <v>434</v>
      </c>
      <c r="C108" s="5" t="s">
        <v>435</v>
      </c>
      <c r="T108" s="5" t="s">
        <v>435</v>
      </c>
      <c r="U108" s="60" t="s">
        <v>436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72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ht="15" spans="1:175">
      <c r="A109" s="5"/>
      <c r="B109" s="5" t="s">
        <v>437</v>
      </c>
      <c r="C109" s="5" t="s">
        <v>438</v>
      </c>
      <c r="T109" s="5" t="s">
        <v>439</v>
      </c>
      <c r="U109" s="60" t="s">
        <v>440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7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ht="15" spans="1:175">
      <c r="A110" s="5"/>
      <c r="B110" s="5" t="s">
        <v>441</v>
      </c>
      <c r="C110" s="5" t="s">
        <v>442</v>
      </c>
      <c r="T110" s="5" t="s">
        <v>443</v>
      </c>
      <c r="U110" s="60" t="s">
        <v>444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72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ht="15" spans="1:175">
      <c r="A111" s="5"/>
      <c r="B111" s="5" t="s">
        <v>445</v>
      </c>
      <c r="C111" s="5" t="s">
        <v>446</v>
      </c>
      <c r="T111" s="5" t="s">
        <v>447</v>
      </c>
      <c r="U111" s="60" t="s">
        <v>440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7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ht="15" spans="1:175">
      <c r="A112" s="5"/>
      <c r="B112" s="5" t="s">
        <v>448</v>
      </c>
      <c r="C112" s="5" t="s">
        <v>449</v>
      </c>
      <c r="T112" s="5" t="s">
        <v>450</v>
      </c>
      <c r="U112" s="60" t="s">
        <v>440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7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ht="43.2" spans="1:175">
      <c r="A113" s="77"/>
      <c r="B113" s="5" t="s">
        <v>451</v>
      </c>
      <c r="C113" s="77" t="s">
        <v>452</v>
      </c>
      <c r="T113" s="85" t="s">
        <v>453</v>
      </c>
      <c r="U113" s="60" t="str">
        <f t="shared" ref="U113:U166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7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ht="15" spans="1:175">
      <c r="A114" s="5"/>
      <c r="B114" s="5" t="s">
        <v>454</v>
      </c>
      <c r="C114" s="5" t="s">
        <v>455</v>
      </c>
      <c r="T114" s="86" t="s">
        <v>456</v>
      </c>
      <c r="U114" s="60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178&amp;CR$1&amp;")"</f>
        <v>InitEquipData('I001',,"",,,,,'','','','','','',"ReplaceableTextures\\CommandButtons\\BTNIP01.blp")</v>
      </c>
      <c r="CU114" s="72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ht="15" spans="1:175">
      <c r="A115" s="5"/>
      <c r="B115" s="5" t="s">
        <v>457</v>
      </c>
      <c r="C115" s="5" t="s">
        <v>458</v>
      </c>
      <c r="T115" s="86" t="s">
        <v>459</v>
      </c>
      <c r="U115" s="60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179&amp;CR$1&amp;")"</f>
        <v>InitEquipData('I002',,"",,,,,'','','','','','',"ReplaceableTextures\\CommandButtons\\BTNIP02.blp")</v>
      </c>
      <c r="CU115" s="7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ht="15" spans="1:175">
      <c r="A116" s="5"/>
      <c r="B116" s="5" t="s">
        <v>460</v>
      </c>
      <c r="C116" s="5" t="s">
        <v>461</v>
      </c>
      <c r="T116" s="86" t="s">
        <v>462</v>
      </c>
      <c r="U116" s="60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180&amp;CR$1&amp;")"</f>
        <v>InitEquipData('I003',,"",,,,,'','','','','','',"ReplaceableTextures\\CommandButtons\\BTNIP03.blp")</v>
      </c>
      <c r="CU116" s="72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ht="15" spans="1:175">
      <c r="A117" s="5"/>
      <c r="B117" s="5" t="s">
        <v>463</v>
      </c>
      <c r="C117" s="5" t="s">
        <v>464</v>
      </c>
      <c r="T117" s="86" t="s">
        <v>465</v>
      </c>
      <c r="U117" s="60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187&amp;CR$1&amp;")"</f>
        <v>InitEquipData('I004',,"",,,,,'','','','','','',"ReplaceableTextures\\CommandButtons\\BTNIT01.blp")</v>
      </c>
      <c r="CU117" s="7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ht="15" spans="1:175">
      <c r="A118" s="5"/>
      <c r="B118" s="5" t="s">
        <v>466</v>
      </c>
      <c r="C118" s="5" t="s">
        <v>467</v>
      </c>
      <c r="T118" s="86" t="s">
        <v>468</v>
      </c>
      <c r="U118" s="60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188&amp;CR$1&amp;")"</f>
        <v>InitEquipData('I005',,"",,,,,'','','','','','',"ReplaceableTextures\\CommandButtons\\BTNIT02.blp")</v>
      </c>
      <c r="CU118" s="7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ht="15" spans="1:175">
      <c r="A119" s="5"/>
      <c r="B119" s="5" t="s">
        <v>469</v>
      </c>
      <c r="C119" s="78" t="s">
        <v>470</v>
      </c>
      <c r="T119" s="87" t="s">
        <v>471</v>
      </c>
      <c r="U119" s="60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188&amp;CR$1&amp;")"</f>
        <v>InitEquipData('I011',,"",,,,,'','','','','','',"ReplaceableTextures\\CommandButtons\\BTNIT02.blp")</v>
      </c>
      <c r="CU119" s="72" t="str">
        <f t="shared" si="1698"/>
        <v>|n</v>
      </c>
      <c r="CV119" s="6" t="str">
        <f t="shared" si="1699"/>
        <v>护甲|Cffffd24d+10|r|n金币加成|Cffffd24d+10%|n|r|n击杀1000个敌人后奖励：|n|CffFFD24D7000~12000|r金币|n|CffCC99FF2000-5000|r业力|n|n|Cff00FF7F同时只能携带一个招魂幡|r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ht="15" spans="1:175">
      <c r="A120" s="5"/>
      <c r="B120" s="5" t="s">
        <v>472</v>
      </c>
      <c r="C120" s="79" t="s">
        <v>473</v>
      </c>
      <c r="T120" s="87" t="s">
        <v>474</v>
      </c>
      <c r="U120" s="60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189&amp;CR$1&amp;")"</f>
        <v>InitEquipData('I012',,"",,,,,'','','','','','',"ReplaceableTextures\\CommandButtons\\BTNIT03.blp")</v>
      </c>
      <c r="CU120" s="7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ht="15" spans="1:175">
      <c r="A121" s="5"/>
      <c r="B121" s="5" t="s">
        <v>475</v>
      </c>
      <c r="C121" s="79" t="s">
        <v>476</v>
      </c>
      <c r="T121" s="87" t="s">
        <v>477</v>
      </c>
      <c r="U121" s="60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190&amp;CR$1&amp;")"</f>
        <v>InitEquipData('I013',,"",,,,,'','','','','','',"ReplaceableTextures\\CommandButtons\\BTNIT04.blp")</v>
      </c>
      <c r="CU121" s="72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ht="15" spans="1:175">
      <c r="A122" s="5"/>
      <c r="B122" s="5" t="s">
        <v>478</v>
      </c>
      <c r="C122" s="79" t="s">
        <v>479</v>
      </c>
      <c r="T122" s="87" t="s">
        <v>480</v>
      </c>
      <c r="U122" s="60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191&amp;CR$1&amp;")"</f>
        <v>InitEquipData('I014',,"",,,,,'','','','','','',"ReplaceableTextures\\CommandButtons\\BTNIT05.blp")</v>
      </c>
      <c r="CU122" s="72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62" si="1916">IF(V122="","","|n"&amp;DB$2&amp;"+"&amp;V122&amp;DB$1)</f>
        <v/>
      </c>
      <c r="DC122" s="44" t="str">
        <f t="shared" ref="DC122:DC162" si="1917">IF(W122="","","|n"&amp;DC$2&amp;"+"&amp;W122&amp;DC$1)</f>
        <v/>
      </c>
      <c r="DD122" s="44" t="str">
        <f t="shared" ref="DD122:DD162" si="1918">IF(X122="","","|n"&amp;DD$2&amp;"+"&amp;X122&amp;DD$1)</f>
        <v/>
      </c>
      <c r="DE122" s="44" t="str">
        <f t="shared" ref="DE122:DE162" si="1919">IF(Y122="","","|n"&amp;DE$2&amp;"+"&amp;Y122&amp;DE$1)</f>
        <v/>
      </c>
      <c r="DF122" s="44" t="str">
        <f t="shared" ref="DF122:DF162" si="1920">IF(Z122="","","|n"&amp;DF$2&amp;"+"&amp;Z122&amp;DF$1)</f>
        <v/>
      </c>
      <c r="DG122" s="44" t="str">
        <f t="shared" ref="DG122:DG162" si="1921">IF(AA122="","","|n"&amp;DG$2&amp;"+"&amp;AA122&amp;DG$1)</f>
        <v/>
      </c>
      <c r="DH122" s="44" t="str">
        <f t="shared" ref="DH122:DH162" si="1922">IF(AB122="","","|n"&amp;DH$2&amp;"+"&amp;AB122&amp;DH$1)</f>
        <v/>
      </c>
      <c r="DI122" s="44" t="str">
        <f t="shared" ref="DI122:DI162" si="1923">IF(AC122="","","|n"&amp;DI$2&amp;"+"&amp;AC122&amp;DI$1)</f>
        <v/>
      </c>
      <c r="DJ122" s="44" t="str">
        <f t="shared" ref="DJ122:DJ162" si="1924">IF(AD122="","","|n"&amp;DJ$2&amp;"+"&amp;AD122&amp;DJ$1)</f>
        <v/>
      </c>
      <c r="DK122" s="44" t="str">
        <f t="shared" ref="DK122:DK162" si="1925">IF(AE122="","","|n"&amp;DK$2&amp;"+"&amp;AE122&amp;DK$1)</f>
        <v/>
      </c>
      <c r="DL122" s="44" t="str">
        <f t="shared" ref="DL122:DL162" si="1926">IF(AF122="","","|n"&amp;DL$2&amp;"+"&amp;AF122&amp;DL$1)</f>
        <v/>
      </c>
      <c r="DM122" s="44" t="str">
        <f t="shared" ref="DM122:DM162" si="1927">IF(AG122="","","|n"&amp;DM$2&amp;"+"&amp;AG122&amp;DM$1)</f>
        <v/>
      </c>
      <c r="DN122" s="44" t="str">
        <f t="shared" ref="DN122:DN162" si="1928">IF(AH122="","","|n"&amp;DN$2&amp;"+"&amp;AH122&amp;DN$1)</f>
        <v/>
      </c>
      <c r="DO122" s="44" t="str">
        <f t="shared" ref="DO122:DO162" si="1929">IF(AI122="","","|n"&amp;DO$2&amp;"+"&amp;AI122&amp;DO$1)</f>
        <v/>
      </c>
      <c r="DP122" s="44" t="str">
        <f t="shared" ref="DP122:DP162" si="1930">IF(AJ122="","","|n"&amp;DP$2&amp;"+"&amp;AJ122&amp;DP$1)</f>
        <v/>
      </c>
      <c r="DQ122" s="44" t="str">
        <f t="shared" ref="DQ122:DQ162" si="1931">IF(AK122="","","|n"&amp;DQ$2&amp;"+"&amp;AK122&amp;DQ$1)</f>
        <v/>
      </c>
      <c r="DR122" s="44" t="str">
        <f t="shared" ref="DR122:DR162" si="1932">IF(AL122="","","|n"&amp;DR$2&amp;"+"&amp;AL122&amp;DR$1)</f>
        <v/>
      </c>
      <c r="DS122" s="44" t="str">
        <f t="shared" ref="DS122:DS162" si="1933">IF(AM122="","","|n"&amp;DS$2&amp;"+"&amp;AM122&amp;DS$1)</f>
        <v/>
      </c>
      <c r="DT122" s="44" t="str">
        <f t="shared" ref="DT122:DT162" si="1934">IF(AN122="","","|n"&amp;DT$2&amp;"+"&amp;AN122&amp;DT$1)</f>
        <v/>
      </c>
      <c r="DU122" s="44" t="str">
        <f t="shared" ref="DU122:DU162" si="1935">IF(AO122="","","|n"&amp;DU$2&amp;"+"&amp;AO122&amp;DU$1)</f>
        <v/>
      </c>
      <c r="DV122" s="44" t="str">
        <f t="shared" ref="DV122:DV162" si="1936">IF(AP122="","","|n"&amp;DV$2&amp;"+"&amp;AP122&amp;DV$1)</f>
        <v/>
      </c>
      <c r="DW122" s="44" t="str">
        <f t="shared" ref="DW122:DW162" si="1937">IF(AQ122="","","|n"&amp;DW$2&amp;"+"&amp;AQ122&amp;DW$1)</f>
        <v/>
      </c>
      <c r="DX122" s="44" t="str">
        <f t="shared" ref="DX122:DX162" si="1938">IF(AR122="","","|n"&amp;DX$2&amp;"+"&amp;AR122&amp;DX$1)</f>
        <v/>
      </c>
      <c r="DY122" s="44" t="str">
        <f t="shared" ref="DY122:DY162" si="1939">IF(AS122="","","|n"&amp;DY$2&amp;"+"&amp;AS122&amp;DY$1)</f>
        <v/>
      </c>
      <c r="DZ122" s="44" t="str">
        <f t="shared" ref="DZ122:DZ162" si="1940">IF(AT122="","","|n"&amp;DZ$2&amp;"+"&amp;AT122&amp;DZ$1)</f>
        <v/>
      </c>
      <c r="EA122" s="44" t="str">
        <f t="shared" ref="EA122:EA162" si="1941">IF(AU122="","","|n"&amp;EA$2&amp;"+"&amp;AU122&amp;EA$1)</f>
        <v/>
      </c>
      <c r="EB122" s="44" t="str">
        <f t="shared" ref="EB122:EB162" si="1942">IF(AV122="","","|n"&amp;EB$2&amp;"+"&amp;AV122&amp;EB$1)</f>
        <v/>
      </c>
      <c r="EC122" s="44" t="str">
        <f t="shared" ref="EC122:EC162" si="1943">IF(AW122="","","|n"&amp;EC$2&amp;"+"&amp;AW122&amp;EC$1)</f>
        <v/>
      </c>
      <c r="ED122" s="44" t="str">
        <f t="shared" ref="ED122:ED162" si="1944">IF(AX122="","","|n"&amp;ED$2&amp;"+"&amp;AX122&amp;ED$1)</f>
        <v/>
      </c>
      <c r="EE122" s="44" t="str">
        <f t="shared" ref="EE122:EE162" si="1945">IF(AY122="","","|n"&amp;EE$2&amp;"+"&amp;AY122&amp;EE$1)</f>
        <v/>
      </c>
      <c r="EF122" s="44" t="str">
        <f t="shared" ref="EF122:EF162" si="1946">IF(AZ122="","","|n"&amp;EF$2&amp;"+"&amp;AZ122&amp;EF$1)</f>
        <v/>
      </c>
      <c r="EG122" s="44" t="str">
        <f t="shared" ref="EG122:EG162" si="1947">IF(BA122="","","|n"&amp;EG$2&amp;"+"&amp;BA122&amp;EG$1)</f>
        <v/>
      </c>
      <c r="EH122" s="44" t="str">
        <f t="shared" ref="EH122:EH162" si="1948">IF(BB122="","","|n"&amp;EH$2&amp;"+"&amp;BB122&amp;EH$1)</f>
        <v/>
      </c>
      <c r="EI122" s="44" t="str">
        <f t="shared" ref="EI122:EI162" si="1949">IF(BC122="","","|n"&amp;EI$2&amp;"+"&amp;BC122&amp;EI$1)</f>
        <v/>
      </c>
      <c r="EJ122" s="44" t="str">
        <f t="shared" ref="EJ122:EJ162" si="1950">IF(BD122="","","|n"&amp;EJ$2&amp;"+"&amp;BD122&amp;EJ$1)</f>
        <v/>
      </c>
      <c r="EK122" s="44" t="str">
        <f t="shared" ref="EK122:EK162" si="1951">IF(BE122="","","|n"&amp;EK$2&amp;"+"&amp;BE122&amp;EK$1)</f>
        <v/>
      </c>
      <c r="EL122" s="44" t="str">
        <f t="shared" ref="EL122:EL162" si="1952">IF(BF122="","","|n"&amp;EL$2&amp;"+"&amp;BF122&amp;EL$1)</f>
        <v/>
      </c>
      <c r="EM122" s="44" t="str">
        <f t="shared" ref="EM122:EM162" si="1953">IF(BG122="","","|n"&amp;EM$2&amp;"+"&amp;BG122&amp;EM$1)</f>
        <v/>
      </c>
      <c r="EN122" s="44" t="str">
        <f t="shared" ref="EN122:EN162" si="1954">IF(BH122="","","|n"&amp;EN$2&amp;"+"&amp;BH122&amp;EN$1)</f>
        <v/>
      </c>
      <c r="EO122" s="44" t="str">
        <f t="shared" ref="EO122:EO162" si="1955">IF(BI122="","","|n"&amp;EO$2&amp;"+"&amp;BI122&amp;EO$1)</f>
        <v/>
      </c>
      <c r="EP122" s="44" t="str">
        <f t="shared" ref="EP122:EP162" si="1956">IF(BJ122="","","|n"&amp;EP$2&amp;"+"&amp;BJ122&amp;EP$1)</f>
        <v/>
      </c>
      <c r="EQ122" s="44" t="str">
        <f t="shared" ref="EQ122:EQ162" si="1957">IF(BK122="","","|n"&amp;EQ$2&amp;"+"&amp;BK122&amp;EQ$1)</f>
        <v/>
      </c>
      <c r="ER122" s="44" t="str">
        <f t="shared" ref="ER122:ER162" si="1958">IF(BL122="","","|n"&amp;ER$2&amp;"+"&amp;BL122&amp;ER$1)</f>
        <v/>
      </c>
      <c r="ES122" s="44" t="str">
        <f t="shared" ref="ES122:ES162" si="1959">IF(BM122="","","|n"&amp;ES$2&amp;"+"&amp;BM122&amp;ES$1)</f>
        <v/>
      </c>
      <c r="ET122" s="44" t="str">
        <f t="shared" ref="ET122:ET162" si="1960">IF(BN122="","","|n"&amp;ET$2&amp;"+"&amp;BN122&amp;ET$1)</f>
        <v/>
      </c>
      <c r="EU122" s="44" t="str">
        <f t="shared" ref="EU122:EU162" si="1961">IF(BO122="","","|n"&amp;EU$2&amp;"+"&amp;BO122&amp;EU$1)</f>
        <v/>
      </c>
      <c r="EV122" s="44" t="str">
        <f t="shared" ref="EV122:EV162" si="1962">IF(BP122="","","|n"&amp;EV$2&amp;"+"&amp;BP122&amp;EV$1)</f>
        <v/>
      </c>
      <c r="EW122" s="44" t="str">
        <f t="shared" ref="EW122:EW162" si="1963">IF(BQ122="","","|n"&amp;EW$2&amp;"+"&amp;BQ122&amp;EW$1)</f>
        <v/>
      </c>
      <c r="EX122" s="44" t="str">
        <f t="shared" ref="EX122:EX162" si="1964">IF(BR122="","","|n"&amp;EX$2&amp;"+"&amp;BR122&amp;EX$1)</f>
        <v/>
      </c>
      <c r="EY122" s="44" t="str">
        <f t="shared" ref="EY122:EY162" si="1965">IF(BS122="","","|n"&amp;EY$2&amp;"+"&amp;BS122&amp;EY$1)</f>
        <v/>
      </c>
      <c r="EZ122" s="44" t="str">
        <f t="shared" ref="EZ122:EZ162" si="1966">IF(BT122="","","|n"&amp;EZ$2&amp;"+"&amp;BT122&amp;EZ$1)</f>
        <v/>
      </c>
      <c r="FA122" s="44" t="str">
        <f t="shared" ref="FA122:FA162" si="1967">IF(BU122="","","|n"&amp;FA$2&amp;"+"&amp;BU122&amp;FA$1)</f>
        <v/>
      </c>
      <c r="FB122" s="44" t="str">
        <f t="shared" ref="FB122:FB162" si="1968">IF(BV122="","","|n"&amp;FB$2&amp;"+"&amp;BV122&amp;FB$1)</f>
        <v/>
      </c>
      <c r="FC122" s="44" t="str">
        <f t="shared" ref="FC122:FC162" si="1969">IF(BW122="","","|n"&amp;FC$2&amp;"+"&amp;BW122&amp;FC$1)</f>
        <v/>
      </c>
      <c r="FD122" s="44" t="str">
        <f t="shared" ref="FD122:FD162" si="1970">IF(BX122="","","|n"&amp;FD$2&amp;"+"&amp;BX122&amp;FD$1)</f>
        <v/>
      </c>
      <c r="FE122" s="44" t="str">
        <f t="shared" ref="FE122:FE162" si="1971">IF(BY122="","","|n"&amp;FE$2&amp;"+"&amp;BY122&amp;FE$1)</f>
        <v/>
      </c>
      <c r="FF122" s="44" t="str">
        <f t="shared" ref="FF122:FF162" si="1972">IF(BZ122="","","|n"&amp;FF$2&amp;"+"&amp;BZ122&amp;FF$1)</f>
        <v/>
      </c>
      <c r="FG122" s="44" t="str">
        <f t="shared" ref="FG122:FG162" si="1973">IF(CA122="","","|n"&amp;FG$2&amp;"+"&amp;CA122&amp;FG$1)</f>
        <v/>
      </c>
      <c r="FH122" s="44" t="str">
        <f t="shared" ref="FH122:FH162" si="1974">IF(CB122="","","|n"&amp;FH$2&amp;"+"&amp;CB122&amp;FH$1)</f>
        <v/>
      </c>
      <c r="FI122" s="44" t="str">
        <f t="shared" ref="FI122:FI162" si="1975">IF(CC122="","","|n"&amp;FI$2&amp;"+"&amp;CC122&amp;FI$1)</f>
        <v/>
      </c>
      <c r="FJ122" s="44" t="str">
        <f t="shared" ref="FJ122:FJ162" si="1976">IF(CD122="","","|n"&amp;FJ$2&amp;"+"&amp;CD122&amp;FJ$1)</f>
        <v/>
      </c>
      <c r="FK122" s="44" t="str">
        <f t="shared" ref="FK122:FK162" si="1977">IF(CE122="","","|n"&amp;FK$2&amp;"+"&amp;CE122&amp;FK$1)</f>
        <v/>
      </c>
      <c r="FL122" s="44" t="str">
        <f t="shared" ref="FL122:FL162" si="1978">IF(CF122="","","|n"&amp;FL$2&amp;"+"&amp;CF122&amp;FL$1)</f>
        <v/>
      </c>
      <c r="FM122" s="44" t="str">
        <f t="shared" ref="FM122:FM162" si="1979">IF(CG122="","","|n"&amp;FM$2&amp;"+"&amp;CG122&amp;FM$1)</f>
        <v/>
      </c>
      <c r="FN122" s="44" t="str">
        <f t="shared" ref="FN122:FN162" si="1980">IF(CH122="","","|n"&amp;FN$2&amp;"+"&amp;CH122&amp;FN$1)</f>
        <v/>
      </c>
      <c r="FO122" s="44" t="str">
        <f t="shared" ref="FO122:FO162" si="1981">IF(CI122="","","|n"&amp;FO$2&amp;"+"&amp;CI122&amp;FO$1)</f>
        <v/>
      </c>
      <c r="FP122" s="44" t="str">
        <f t="shared" ref="FP122:FP162" si="1982">IF(CJ122="","","|n"&amp;FP$2&amp;"+"&amp;CJ122&amp;FP$1)</f>
        <v/>
      </c>
      <c r="FQ122" s="44" t="str">
        <f t="shared" ref="FQ122:FQ162" si="1983">IF(CK122="","","|n"&amp;FQ$2&amp;"+"&amp;CK122&amp;FQ$1)</f>
        <v/>
      </c>
      <c r="FR122" s="44" t="str">
        <f t="shared" ref="FR122:FR162" si="1984">IF(CL122="","","|n"&amp;FR$2&amp;"+"&amp;CL122&amp;FR$1)</f>
        <v/>
      </c>
      <c r="FS122" s="44" t="str">
        <f t="shared" ref="FS122:FS162" si="1985">IF(CM122="","","|n"&amp;FS$2&amp;"+"&amp;CM122&amp;FS$1)</f>
        <v/>
      </c>
    </row>
    <row r="123" ht="15" spans="1:175">
      <c r="A123" s="5"/>
      <c r="B123" s="5" t="s">
        <v>481</v>
      </c>
      <c r="C123" s="79" t="s">
        <v>482</v>
      </c>
      <c r="T123" s="87" t="s">
        <v>483</v>
      </c>
      <c r="U123" s="60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192&amp;CR$1&amp;")"</f>
        <v>InitEquipData('I015',,"",,,,,'','','','','','',"ReplaceableTextures\\CommandButtons\\BTNIT06.blp")</v>
      </c>
      <c r="CU123" s="72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ht="57.6" spans="1:175">
      <c r="A124" s="5"/>
      <c r="B124" s="7" t="s">
        <v>484</v>
      </c>
      <c r="C124" s="80" t="s">
        <v>485</v>
      </c>
      <c r="T124" s="85" t="s">
        <v>486</v>
      </c>
      <c r="U124" s="60" t="s">
        <v>487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72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     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ht="57.6" spans="1:175">
      <c r="A125" s="5"/>
      <c r="B125" s="7" t="s">
        <v>488</v>
      </c>
      <c r="C125" s="80" t="s">
        <v>485</v>
      </c>
      <c r="T125" s="85" t="s">
        <v>486</v>
      </c>
      <c r="U125" s="60" t="s">
        <v>487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72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     </v>
      </c>
      <c r="CW125" s="7"/>
      <c r="CX125" s="7"/>
      <c r="CY125" s="7"/>
      <c r="CZ125" s="7"/>
      <c r="DA125" s="7"/>
      <c r="DB125" s="44" t="str">
        <f t="shared" si="1916"/>
        <v/>
      </c>
      <c r="DC125" s="44" t="str">
        <f t="shared" si="1917"/>
        <v/>
      </c>
      <c r="DD125" s="44" t="str">
        <f t="shared" si="1918"/>
        <v/>
      </c>
      <c r="DE125" s="44" t="str">
        <f t="shared" si="1919"/>
        <v/>
      </c>
      <c r="DF125" s="44" t="str">
        <f t="shared" si="1920"/>
        <v/>
      </c>
      <c r="DG125" s="44" t="str">
        <f t="shared" si="1921"/>
        <v/>
      </c>
      <c r="DH125" s="44" t="str">
        <f t="shared" si="1922"/>
        <v/>
      </c>
      <c r="DI125" s="44" t="str">
        <f t="shared" si="1923"/>
        <v/>
      </c>
      <c r="DJ125" s="44" t="str">
        <f t="shared" si="1924"/>
        <v/>
      </c>
      <c r="DK125" s="44" t="str">
        <f t="shared" si="1925"/>
        <v/>
      </c>
      <c r="DL125" s="44" t="str">
        <f t="shared" si="1926"/>
        <v/>
      </c>
      <c r="DM125" s="44" t="str">
        <f t="shared" si="1927"/>
        <v/>
      </c>
      <c r="DN125" s="44" t="str">
        <f t="shared" si="1928"/>
        <v/>
      </c>
      <c r="DO125" s="44" t="str">
        <f t="shared" si="1929"/>
        <v/>
      </c>
      <c r="DP125" s="44" t="str">
        <f t="shared" si="1930"/>
        <v/>
      </c>
      <c r="DQ125" s="44" t="str">
        <f t="shared" si="1931"/>
        <v/>
      </c>
      <c r="DR125" s="44" t="str">
        <f t="shared" si="1932"/>
        <v/>
      </c>
      <c r="DS125" s="44" t="str">
        <f t="shared" si="1933"/>
        <v/>
      </c>
      <c r="DT125" s="44" t="str">
        <f t="shared" si="1934"/>
        <v/>
      </c>
      <c r="DU125" s="44" t="str">
        <f t="shared" si="1935"/>
        <v/>
      </c>
      <c r="DV125" s="44" t="str">
        <f t="shared" si="1936"/>
        <v/>
      </c>
      <c r="DW125" s="44" t="str">
        <f t="shared" si="1937"/>
        <v/>
      </c>
      <c r="DX125" s="44" t="str">
        <f t="shared" si="1938"/>
        <v/>
      </c>
      <c r="DY125" s="44" t="str">
        <f t="shared" si="1939"/>
        <v/>
      </c>
      <c r="DZ125" s="44" t="str">
        <f t="shared" si="1940"/>
        <v/>
      </c>
      <c r="EA125" s="44" t="str">
        <f t="shared" si="1941"/>
        <v/>
      </c>
      <c r="EB125" s="44" t="str">
        <f t="shared" si="1942"/>
        <v/>
      </c>
      <c r="EC125" s="44" t="str">
        <f t="shared" si="1943"/>
        <v/>
      </c>
      <c r="ED125" s="44" t="str">
        <f t="shared" si="1944"/>
        <v/>
      </c>
      <c r="EE125" s="44" t="str">
        <f t="shared" si="1945"/>
        <v/>
      </c>
      <c r="EF125" s="44" t="str">
        <f t="shared" si="1946"/>
        <v/>
      </c>
      <c r="EG125" s="44" t="str">
        <f t="shared" si="1947"/>
        <v/>
      </c>
      <c r="EH125" s="44" t="str">
        <f t="shared" si="1948"/>
        <v/>
      </c>
      <c r="EI125" s="44" t="str">
        <f t="shared" si="1949"/>
        <v/>
      </c>
      <c r="EJ125" s="44" t="str">
        <f t="shared" si="1950"/>
        <v/>
      </c>
      <c r="EK125" s="44" t="str">
        <f t="shared" si="1951"/>
        <v/>
      </c>
      <c r="EL125" s="44" t="str">
        <f t="shared" si="1952"/>
        <v/>
      </c>
      <c r="EM125" s="44" t="str">
        <f t="shared" si="1953"/>
        <v/>
      </c>
      <c r="EN125" s="44" t="str">
        <f t="shared" si="1954"/>
        <v/>
      </c>
      <c r="EO125" s="44" t="str">
        <f t="shared" si="1955"/>
        <v/>
      </c>
      <c r="EP125" s="44" t="str">
        <f t="shared" si="1956"/>
        <v/>
      </c>
      <c r="EQ125" s="44" t="str">
        <f t="shared" si="1957"/>
        <v/>
      </c>
      <c r="ER125" s="44" t="str">
        <f t="shared" si="1958"/>
        <v/>
      </c>
      <c r="ES125" s="44" t="str">
        <f t="shared" si="1959"/>
        <v/>
      </c>
      <c r="ET125" s="44" t="str">
        <f t="shared" si="1960"/>
        <v/>
      </c>
      <c r="EU125" s="44" t="str">
        <f t="shared" si="1961"/>
        <v/>
      </c>
      <c r="EV125" s="44" t="str">
        <f t="shared" si="1962"/>
        <v/>
      </c>
      <c r="EW125" s="44" t="str">
        <f t="shared" si="1963"/>
        <v/>
      </c>
      <c r="EX125" s="44" t="str">
        <f t="shared" si="1964"/>
        <v/>
      </c>
      <c r="EY125" s="44" t="str">
        <f t="shared" si="1965"/>
        <v/>
      </c>
      <c r="EZ125" s="44" t="str">
        <f t="shared" si="1966"/>
        <v/>
      </c>
      <c r="FA125" s="44" t="str">
        <f t="shared" si="1967"/>
        <v/>
      </c>
      <c r="FB125" s="44" t="str">
        <f t="shared" si="1968"/>
        <v/>
      </c>
      <c r="FC125" s="44" t="str">
        <f t="shared" si="1969"/>
        <v/>
      </c>
      <c r="FD125" s="44" t="str">
        <f t="shared" si="1970"/>
        <v/>
      </c>
      <c r="FE125" s="44" t="str">
        <f t="shared" si="1971"/>
        <v/>
      </c>
      <c r="FF125" s="44" t="str">
        <f t="shared" si="1972"/>
        <v/>
      </c>
      <c r="FG125" s="44" t="str">
        <f t="shared" si="1973"/>
        <v/>
      </c>
      <c r="FH125" s="44" t="str">
        <f t="shared" si="1974"/>
        <v/>
      </c>
      <c r="FI125" s="44" t="str">
        <f t="shared" si="1975"/>
        <v/>
      </c>
      <c r="FJ125" s="44" t="str">
        <f t="shared" si="1976"/>
        <v/>
      </c>
      <c r="FK125" s="44" t="str">
        <f t="shared" si="1977"/>
        <v/>
      </c>
      <c r="FL125" s="44" t="str">
        <f t="shared" si="1978"/>
        <v/>
      </c>
      <c r="FM125" s="44" t="str">
        <f t="shared" si="1979"/>
        <v/>
      </c>
      <c r="FN125" s="44" t="str">
        <f t="shared" si="1980"/>
        <v/>
      </c>
      <c r="FO125" s="44" t="str">
        <f t="shared" si="1981"/>
        <v/>
      </c>
      <c r="FP125" s="44" t="str">
        <f t="shared" si="1982"/>
        <v/>
      </c>
      <c r="FQ125" s="44" t="str">
        <f t="shared" si="1983"/>
        <v/>
      </c>
      <c r="FR125" s="44" t="str">
        <f t="shared" si="1984"/>
        <v/>
      </c>
      <c r="FS125" s="44" t="str">
        <f t="shared" si="1985"/>
        <v/>
      </c>
    </row>
    <row r="126" ht="57.6" spans="1:175">
      <c r="A126" s="5"/>
      <c r="B126" s="7" t="s">
        <v>489</v>
      </c>
      <c r="C126" s="80" t="s">
        <v>485</v>
      </c>
      <c r="T126" s="85" t="s">
        <v>486</v>
      </c>
      <c r="U126" s="60" t="s">
        <v>487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72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     </v>
      </c>
      <c r="CW126" s="7"/>
      <c r="CX126" s="7"/>
      <c r="CY126" s="7"/>
      <c r="CZ126" s="7"/>
      <c r="DA126" s="7"/>
      <c r="DB126" s="44" t="str">
        <f t="shared" si="1916"/>
        <v/>
      </c>
      <c r="DC126" s="44" t="str">
        <f t="shared" si="1917"/>
        <v/>
      </c>
      <c r="DD126" s="44" t="str">
        <f t="shared" si="1918"/>
        <v/>
      </c>
      <c r="DE126" s="44" t="str">
        <f t="shared" si="1919"/>
        <v/>
      </c>
      <c r="DF126" s="44" t="str">
        <f t="shared" si="1920"/>
        <v/>
      </c>
      <c r="DG126" s="44" t="str">
        <f t="shared" si="1921"/>
        <v/>
      </c>
      <c r="DH126" s="44" t="str">
        <f t="shared" si="1922"/>
        <v/>
      </c>
      <c r="DI126" s="44" t="str">
        <f t="shared" si="1923"/>
        <v/>
      </c>
      <c r="DJ126" s="44" t="str">
        <f t="shared" si="1924"/>
        <v/>
      </c>
      <c r="DK126" s="44" t="str">
        <f t="shared" si="1925"/>
        <v/>
      </c>
      <c r="DL126" s="44" t="str">
        <f t="shared" si="1926"/>
        <v/>
      </c>
      <c r="DM126" s="44" t="str">
        <f t="shared" si="1927"/>
        <v/>
      </c>
      <c r="DN126" s="44" t="str">
        <f t="shared" si="1928"/>
        <v/>
      </c>
      <c r="DO126" s="44" t="str">
        <f t="shared" si="1929"/>
        <v/>
      </c>
      <c r="DP126" s="44" t="str">
        <f t="shared" si="1930"/>
        <v/>
      </c>
      <c r="DQ126" s="44" t="str">
        <f t="shared" si="1931"/>
        <v/>
      </c>
      <c r="DR126" s="44" t="str">
        <f t="shared" si="1932"/>
        <v/>
      </c>
      <c r="DS126" s="44" t="str">
        <f t="shared" si="1933"/>
        <v/>
      </c>
      <c r="DT126" s="44" t="str">
        <f t="shared" si="1934"/>
        <v/>
      </c>
      <c r="DU126" s="44" t="str">
        <f t="shared" si="1935"/>
        <v/>
      </c>
      <c r="DV126" s="44" t="str">
        <f t="shared" si="1936"/>
        <v/>
      </c>
      <c r="DW126" s="44" t="str">
        <f t="shared" si="1937"/>
        <v/>
      </c>
      <c r="DX126" s="44" t="str">
        <f t="shared" si="1938"/>
        <v/>
      </c>
      <c r="DY126" s="44" t="str">
        <f t="shared" si="1939"/>
        <v/>
      </c>
      <c r="DZ126" s="44" t="str">
        <f t="shared" si="1940"/>
        <v/>
      </c>
      <c r="EA126" s="44" t="str">
        <f t="shared" si="1941"/>
        <v/>
      </c>
      <c r="EB126" s="44" t="str">
        <f t="shared" si="1942"/>
        <v/>
      </c>
      <c r="EC126" s="44" t="str">
        <f t="shared" si="1943"/>
        <v/>
      </c>
      <c r="ED126" s="44" t="str">
        <f t="shared" si="1944"/>
        <v/>
      </c>
      <c r="EE126" s="44" t="str">
        <f t="shared" si="1945"/>
        <v/>
      </c>
      <c r="EF126" s="44" t="str">
        <f t="shared" si="1946"/>
        <v/>
      </c>
      <c r="EG126" s="44" t="str">
        <f t="shared" si="1947"/>
        <v/>
      </c>
      <c r="EH126" s="44" t="str">
        <f t="shared" si="1948"/>
        <v/>
      </c>
      <c r="EI126" s="44" t="str">
        <f t="shared" si="1949"/>
        <v/>
      </c>
      <c r="EJ126" s="44" t="str">
        <f t="shared" si="1950"/>
        <v/>
      </c>
      <c r="EK126" s="44" t="str">
        <f t="shared" si="1951"/>
        <v/>
      </c>
      <c r="EL126" s="44" t="str">
        <f t="shared" si="1952"/>
        <v/>
      </c>
      <c r="EM126" s="44" t="str">
        <f t="shared" si="1953"/>
        <v/>
      </c>
      <c r="EN126" s="44" t="str">
        <f t="shared" si="1954"/>
        <v/>
      </c>
      <c r="EO126" s="44" t="str">
        <f t="shared" si="1955"/>
        <v/>
      </c>
      <c r="EP126" s="44" t="str">
        <f t="shared" si="1956"/>
        <v/>
      </c>
      <c r="EQ126" s="44" t="str">
        <f t="shared" si="1957"/>
        <v/>
      </c>
      <c r="ER126" s="44" t="str">
        <f t="shared" si="1958"/>
        <v/>
      </c>
      <c r="ES126" s="44" t="str">
        <f t="shared" si="1959"/>
        <v/>
      </c>
      <c r="ET126" s="44" t="str">
        <f t="shared" si="1960"/>
        <v/>
      </c>
      <c r="EU126" s="44" t="str">
        <f t="shared" si="1961"/>
        <v/>
      </c>
      <c r="EV126" s="44" t="str">
        <f t="shared" si="1962"/>
        <v/>
      </c>
      <c r="EW126" s="44" t="str">
        <f t="shared" si="1963"/>
        <v/>
      </c>
      <c r="EX126" s="44" t="str">
        <f t="shared" si="1964"/>
        <v/>
      </c>
      <c r="EY126" s="44" t="str">
        <f t="shared" si="1965"/>
        <v/>
      </c>
      <c r="EZ126" s="44" t="str">
        <f t="shared" si="1966"/>
        <v/>
      </c>
      <c r="FA126" s="44" t="str">
        <f t="shared" si="1967"/>
        <v/>
      </c>
      <c r="FB126" s="44" t="str">
        <f t="shared" si="1968"/>
        <v/>
      </c>
      <c r="FC126" s="44" t="str">
        <f t="shared" si="1969"/>
        <v/>
      </c>
      <c r="FD126" s="44" t="str">
        <f t="shared" si="1970"/>
        <v/>
      </c>
      <c r="FE126" s="44" t="str">
        <f t="shared" si="1971"/>
        <v/>
      </c>
      <c r="FF126" s="44" t="str">
        <f t="shared" si="1972"/>
        <v/>
      </c>
      <c r="FG126" s="44" t="str">
        <f t="shared" si="1973"/>
        <v/>
      </c>
      <c r="FH126" s="44" t="str">
        <f t="shared" si="1974"/>
        <v/>
      </c>
      <c r="FI126" s="44" t="str">
        <f t="shared" si="1975"/>
        <v/>
      </c>
      <c r="FJ126" s="44" t="str">
        <f t="shared" si="1976"/>
        <v/>
      </c>
      <c r="FK126" s="44" t="str">
        <f t="shared" si="1977"/>
        <v/>
      </c>
      <c r="FL126" s="44" t="str">
        <f t="shared" si="1978"/>
        <v/>
      </c>
      <c r="FM126" s="44" t="str">
        <f t="shared" si="1979"/>
        <v/>
      </c>
      <c r="FN126" s="44" t="str">
        <f t="shared" si="1980"/>
        <v/>
      </c>
      <c r="FO126" s="44" t="str">
        <f t="shared" si="1981"/>
        <v/>
      </c>
      <c r="FP126" s="44" t="str">
        <f t="shared" si="1982"/>
        <v/>
      </c>
      <c r="FQ126" s="44" t="str">
        <f t="shared" si="1983"/>
        <v/>
      </c>
      <c r="FR126" s="44" t="str">
        <f t="shared" si="1984"/>
        <v/>
      </c>
      <c r="FS126" s="44" t="str">
        <f t="shared" si="1985"/>
        <v/>
      </c>
    </row>
    <row r="127" ht="57.6" spans="1:175">
      <c r="A127" s="5"/>
      <c r="B127" s="7" t="s">
        <v>490</v>
      </c>
      <c r="C127" s="80" t="s">
        <v>485</v>
      </c>
      <c r="T127" s="85" t="s">
        <v>486</v>
      </c>
      <c r="U127" s="60" t="s">
        <v>487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72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     </v>
      </c>
      <c r="CW127" s="7"/>
      <c r="CX127" s="7"/>
      <c r="CY127" s="7"/>
      <c r="CZ127" s="7"/>
      <c r="DA127" s="7"/>
      <c r="DB127" s="44" t="str">
        <f t="shared" si="1916"/>
        <v/>
      </c>
      <c r="DC127" s="44" t="str">
        <f t="shared" si="1917"/>
        <v/>
      </c>
      <c r="DD127" s="44" t="str">
        <f t="shared" si="1918"/>
        <v/>
      </c>
      <c r="DE127" s="44" t="str">
        <f t="shared" si="1919"/>
        <v/>
      </c>
      <c r="DF127" s="44" t="str">
        <f t="shared" si="1920"/>
        <v/>
      </c>
      <c r="DG127" s="44" t="str">
        <f t="shared" si="1921"/>
        <v/>
      </c>
      <c r="DH127" s="44" t="str">
        <f t="shared" si="1922"/>
        <v/>
      </c>
      <c r="DI127" s="44" t="str">
        <f t="shared" si="1923"/>
        <v/>
      </c>
      <c r="DJ127" s="44" t="str">
        <f t="shared" si="1924"/>
        <v/>
      </c>
      <c r="DK127" s="44" t="str">
        <f t="shared" si="1925"/>
        <v/>
      </c>
      <c r="DL127" s="44" t="str">
        <f t="shared" si="1926"/>
        <v/>
      </c>
      <c r="DM127" s="44" t="str">
        <f t="shared" si="1927"/>
        <v/>
      </c>
      <c r="DN127" s="44" t="str">
        <f t="shared" si="1928"/>
        <v/>
      </c>
      <c r="DO127" s="44" t="str">
        <f t="shared" si="1929"/>
        <v/>
      </c>
      <c r="DP127" s="44" t="str">
        <f t="shared" si="1930"/>
        <v/>
      </c>
      <c r="DQ127" s="44" t="str">
        <f t="shared" si="1931"/>
        <v/>
      </c>
      <c r="DR127" s="44" t="str">
        <f t="shared" si="1932"/>
        <v/>
      </c>
      <c r="DS127" s="44" t="str">
        <f t="shared" si="1933"/>
        <v/>
      </c>
      <c r="DT127" s="44" t="str">
        <f t="shared" si="1934"/>
        <v/>
      </c>
      <c r="DU127" s="44" t="str">
        <f t="shared" si="1935"/>
        <v/>
      </c>
      <c r="DV127" s="44" t="str">
        <f t="shared" si="1936"/>
        <v/>
      </c>
      <c r="DW127" s="44" t="str">
        <f t="shared" si="1937"/>
        <v/>
      </c>
      <c r="DX127" s="44" t="str">
        <f t="shared" si="1938"/>
        <v/>
      </c>
      <c r="DY127" s="44" t="str">
        <f t="shared" si="1939"/>
        <v/>
      </c>
      <c r="DZ127" s="44" t="str">
        <f t="shared" si="1940"/>
        <v/>
      </c>
      <c r="EA127" s="44" t="str">
        <f t="shared" si="1941"/>
        <v/>
      </c>
      <c r="EB127" s="44" t="str">
        <f t="shared" si="1942"/>
        <v/>
      </c>
      <c r="EC127" s="44" t="str">
        <f t="shared" si="1943"/>
        <v/>
      </c>
      <c r="ED127" s="44" t="str">
        <f t="shared" si="1944"/>
        <v/>
      </c>
      <c r="EE127" s="44" t="str">
        <f t="shared" si="1945"/>
        <v/>
      </c>
      <c r="EF127" s="44" t="str">
        <f t="shared" si="1946"/>
        <v/>
      </c>
      <c r="EG127" s="44" t="str">
        <f t="shared" si="1947"/>
        <v/>
      </c>
      <c r="EH127" s="44" t="str">
        <f t="shared" si="1948"/>
        <v/>
      </c>
      <c r="EI127" s="44" t="str">
        <f t="shared" si="1949"/>
        <v/>
      </c>
      <c r="EJ127" s="44" t="str">
        <f t="shared" si="1950"/>
        <v/>
      </c>
      <c r="EK127" s="44" t="str">
        <f t="shared" si="1951"/>
        <v/>
      </c>
      <c r="EL127" s="44" t="str">
        <f t="shared" si="1952"/>
        <v/>
      </c>
      <c r="EM127" s="44" t="str">
        <f t="shared" si="1953"/>
        <v/>
      </c>
      <c r="EN127" s="44" t="str">
        <f t="shared" si="1954"/>
        <v/>
      </c>
      <c r="EO127" s="44" t="str">
        <f t="shared" si="1955"/>
        <v/>
      </c>
      <c r="EP127" s="44" t="str">
        <f t="shared" si="1956"/>
        <v/>
      </c>
      <c r="EQ127" s="44" t="str">
        <f t="shared" si="1957"/>
        <v/>
      </c>
      <c r="ER127" s="44" t="str">
        <f t="shared" si="1958"/>
        <v/>
      </c>
      <c r="ES127" s="44" t="str">
        <f t="shared" si="1959"/>
        <v/>
      </c>
      <c r="ET127" s="44" t="str">
        <f t="shared" si="1960"/>
        <v/>
      </c>
      <c r="EU127" s="44" t="str">
        <f t="shared" si="1961"/>
        <v/>
      </c>
      <c r="EV127" s="44" t="str">
        <f t="shared" si="1962"/>
        <v/>
      </c>
      <c r="EW127" s="44" t="str">
        <f t="shared" si="1963"/>
        <v/>
      </c>
      <c r="EX127" s="44" t="str">
        <f t="shared" si="1964"/>
        <v/>
      </c>
      <c r="EY127" s="44" t="str">
        <f t="shared" si="1965"/>
        <v/>
      </c>
      <c r="EZ127" s="44" t="str">
        <f t="shared" si="1966"/>
        <v/>
      </c>
      <c r="FA127" s="44" t="str">
        <f t="shared" si="1967"/>
        <v/>
      </c>
      <c r="FB127" s="44" t="str">
        <f t="shared" si="1968"/>
        <v/>
      </c>
      <c r="FC127" s="44" t="str">
        <f t="shared" si="1969"/>
        <v/>
      </c>
      <c r="FD127" s="44" t="str">
        <f t="shared" si="1970"/>
        <v/>
      </c>
      <c r="FE127" s="44" t="str">
        <f t="shared" si="1971"/>
        <v/>
      </c>
      <c r="FF127" s="44" t="str">
        <f t="shared" si="1972"/>
        <v/>
      </c>
      <c r="FG127" s="44" t="str">
        <f t="shared" si="1973"/>
        <v/>
      </c>
      <c r="FH127" s="44" t="str">
        <f t="shared" si="1974"/>
        <v/>
      </c>
      <c r="FI127" s="44" t="str">
        <f t="shared" si="1975"/>
        <v/>
      </c>
      <c r="FJ127" s="44" t="str">
        <f t="shared" si="1976"/>
        <v/>
      </c>
      <c r="FK127" s="44" t="str">
        <f t="shared" si="1977"/>
        <v/>
      </c>
      <c r="FL127" s="44" t="str">
        <f t="shared" si="1978"/>
        <v/>
      </c>
      <c r="FM127" s="44" t="str">
        <f t="shared" si="1979"/>
        <v/>
      </c>
      <c r="FN127" s="44" t="str">
        <f t="shared" si="1980"/>
        <v/>
      </c>
      <c r="FO127" s="44" t="str">
        <f t="shared" si="1981"/>
        <v/>
      </c>
      <c r="FP127" s="44" t="str">
        <f t="shared" si="1982"/>
        <v/>
      </c>
      <c r="FQ127" s="44" t="str">
        <f t="shared" si="1983"/>
        <v/>
      </c>
      <c r="FR127" s="44" t="str">
        <f t="shared" si="1984"/>
        <v/>
      </c>
      <c r="FS127" s="44" t="str">
        <f t="shared" si="1985"/>
        <v/>
      </c>
    </row>
    <row r="128" ht="57.6" spans="1:175">
      <c r="A128" s="5"/>
      <c r="B128" s="7" t="s">
        <v>491</v>
      </c>
      <c r="C128" s="80" t="s">
        <v>485</v>
      </c>
      <c r="T128" s="85" t="s">
        <v>486</v>
      </c>
      <c r="U128" s="60" t="s">
        <v>487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72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     </v>
      </c>
      <c r="CW128" s="7"/>
      <c r="CX128" s="7"/>
      <c r="CY128" s="7"/>
      <c r="CZ128" s="7"/>
      <c r="DA128" s="7"/>
      <c r="DB128" s="44" t="str">
        <f t="shared" si="1916"/>
        <v/>
      </c>
      <c r="DC128" s="44" t="str">
        <f t="shared" si="1917"/>
        <v/>
      </c>
      <c r="DD128" s="44" t="str">
        <f t="shared" si="1918"/>
        <v/>
      </c>
      <c r="DE128" s="44" t="str">
        <f t="shared" si="1919"/>
        <v/>
      </c>
      <c r="DF128" s="44" t="str">
        <f t="shared" si="1920"/>
        <v/>
      </c>
      <c r="DG128" s="44" t="str">
        <f t="shared" si="1921"/>
        <v/>
      </c>
      <c r="DH128" s="44" t="str">
        <f t="shared" si="1922"/>
        <v/>
      </c>
      <c r="DI128" s="44" t="str">
        <f t="shared" si="1923"/>
        <v/>
      </c>
      <c r="DJ128" s="44" t="str">
        <f t="shared" si="1924"/>
        <v/>
      </c>
      <c r="DK128" s="44" t="str">
        <f t="shared" si="1925"/>
        <v/>
      </c>
      <c r="DL128" s="44" t="str">
        <f t="shared" si="1926"/>
        <v/>
      </c>
      <c r="DM128" s="44" t="str">
        <f t="shared" si="1927"/>
        <v/>
      </c>
      <c r="DN128" s="44" t="str">
        <f t="shared" si="1928"/>
        <v/>
      </c>
      <c r="DO128" s="44" t="str">
        <f t="shared" si="1929"/>
        <v/>
      </c>
      <c r="DP128" s="44" t="str">
        <f t="shared" si="1930"/>
        <v/>
      </c>
      <c r="DQ128" s="44" t="str">
        <f t="shared" si="1931"/>
        <v/>
      </c>
      <c r="DR128" s="44" t="str">
        <f t="shared" si="1932"/>
        <v/>
      </c>
      <c r="DS128" s="44" t="str">
        <f t="shared" si="1933"/>
        <v/>
      </c>
      <c r="DT128" s="44" t="str">
        <f t="shared" si="1934"/>
        <v/>
      </c>
      <c r="DU128" s="44" t="str">
        <f t="shared" si="1935"/>
        <v/>
      </c>
      <c r="DV128" s="44" t="str">
        <f t="shared" si="1936"/>
        <v/>
      </c>
      <c r="DW128" s="44" t="str">
        <f t="shared" si="1937"/>
        <v/>
      </c>
      <c r="DX128" s="44" t="str">
        <f t="shared" si="1938"/>
        <v/>
      </c>
      <c r="DY128" s="44" t="str">
        <f t="shared" si="1939"/>
        <v/>
      </c>
      <c r="DZ128" s="44" t="str">
        <f t="shared" si="1940"/>
        <v/>
      </c>
      <c r="EA128" s="44" t="str">
        <f t="shared" si="1941"/>
        <v/>
      </c>
      <c r="EB128" s="44" t="str">
        <f t="shared" si="1942"/>
        <v/>
      </c>
      <c r="EC128" s="44" t="str">
        <f t="shared" si="1943"/>
        <v/>
      </c>
      <c r="ED128" s="44" t="str">
        <f t="shared" si="1944"/>
        <v/>
      </c>
      <c r="EE128" s="44" t="str">
        <f t="shared" si="1945"/>
        <v/>
      </c>
      <c r="EF128" s="44" t="str">
        <f t="shared" si="1946"/>
        <v/>
      </c>
      <c r="EG128" s="44" t="str">
        <f t="shared" si="1947"/>
        <v/>
      </c>
      <c r="EH128" s="44" t="str">
        <f t="shared" si="1948"/>
        <v/>
      </c>
      <c r="EI128" s="44" t="str">
        <f t="shared" si="1949"/>
        <v/>
      </c>
      <c r="EJ128" s="44" t="str">
        <f t="shared" si="1950"/>
        <v/>
      </c>
      <c r="EK128" s="44" t="str">
        <f t="shared" si="1951"/>
        <v/>
      </c>
      <c r="EL128" s="44" t="str">
        <f t="shared" si="1952"/>
        <v/>
      </c>
      <c r="EM128" s="44" t="str">
        <f t="shared" si="1953"/>
        <v/>
      </c>
      <c r="EN128" s="44" t="str">
        <f t="shared" si="1954"/>
        <v/>
      </c>
      <c r="EO128" s="44" t="str">
        <f t="shared" si="1955"/>
        <v/>
      </c>
      <c r="EP128" s="44" t="str">
        <f t="shared" si="1956"/>
        <v/>
      </c>
      <c r="EQ128" s="44" t="str">
        <f t="shared" si="1957"/>
        <v/>
      </c>
      <c r="ER128" s="44" t="str">
        <f t="shared" si="1958"/>
        <v/>
      </c>
      <c r="ES128" s="44" t="str">
        <f t="shared" si="1959"/>
        <v/>
      </c>
      <c r="ET128" s="44" t="str">
        <f t="shared" si="1960"/>
        <v/>
      </c>
      <c r="EU128" s="44" t="str">
        <f t="shared" si="1961"/>
        <v/>
      </c>
      <c r="EV128" s="44" t="str">
        <f t="shared" si="1962"/>
        <v/>
      </c>
      <c r="EW128" s="44" t="str">
        <f t="shared" si="1963"/>
        <v/>
      </c>
      <c r="EX128" s="44" t="str">
        <f t="shared" si="1964"/>
        <v/>
      </c>
      <c r="EY128" s="44" t="str">
        <f t="shared" si="1965"/>
        <v/>
      </c>
      <c r="EZ128" s="44" t="str">
        <f t="shared" si="1966"/>
        <v/>
      </c>
      <c r="FA128" s="44" t="str">
        <f t="shared" si="1967"/>
        <v/>
      </c>
      <c r="FB128" s="44" t="str">
        <f t="shared" si="1968"/>
        <v/>
      </c>
      <c r="FC128" s="44" t="str">
        <f t="shared" si="1969"/>
        <v/>
      </c>
      <c r="FD128" s="44" t="str">
        <f t="shared" si="1970"/>
        <v/>
      </c>
      <c r="FE128" s="44" t="str">
        <f t="shared" si="1971"/>
        <v/>
      </c>
      <c r="FF128" s="44" t="str">
        <f t="shared" si="1972"/>
        <v/>
      </c>
      <c r="FG128" s="44" t="str">
        <f t="shared" si="1973"/>
        <v/>
      </c>
      <c r="FH128" s="44" t="str">
        <f t="shared" si="1974"/>
        <v/>
      </c>
      <c r="FI128" s="44" t="str">
        <f t="shared" si="1975"/>
        <v/>
      </c>
      <c r="FJ128" s="44" t="str">
        <f t="shared" si="1976"/>
        <v/>
      </c>
      <c r="FK128" s="44" t="str">
        <f t="shared" si="1977"/>
        <v/>
      </c>
      <c r="FL128" s="44" t="str">
        <f t="shared" si="1978"/>
        <v/>
      </c>
      <c r="FM128" s="44" t="str">
        <f t="shared" si="1979"/>
        <v/>
      </c>
      <c r="FN128" s="44" t="str">
        <f t="shared" si="1980"/>
        <v/>
      </c>
      <c r="FO128" s="44" t="str">
        <f t="shared" si="1981"/>
        <v/>
      </c>
      <c r="FP128" s="44" t="str">
        <f t="shared" si="1982"/>
        <v/>
      </c>
      <c r="FQ128" s="44" t="str">
        <f t="shared" si="1983"/>
        <v/>
      </c>
      <c r="FR128" s="44" t="str">
        <f t="shared" si="1984"/>
        <v/>
      </c>
      <c r="FS128" s="44" t="str">
        <f t="shared" si="1985"/>
        <v/>
      </c>
    </row>
    <row r="129" ht="15" spans="1:175">
      <c r="A129" s="5"/>
      <c r="B129" s="7" t="s">
        <v>492</v>
      </c>
      <c r="C129" s="80" t="s">
        <v>493</v>
      </c>
      <c r="T129" s="85" t="s">
        <v>494</v>
      </c>
      <c r="U129" s="60" t="s">
        <v>495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72" t="str">
        <f t="shared" si="1914"/>
        <v>|n</v>
      </c>
      <c r="CV129" s="6" t="str">
        <f t="shared" si="1915"/>
        <v>开启后获得|Cffffd24d随机奖励|r</v>
      </c>
      <c r="CW129" s="7"/>
      <c r="CX129" s="7"/>
      <c r="CY129" s="7"/>
      <c r="CZ129" s="7"/>
      <c r="DA129" s="7"/>
      <c r="DB129" s="44" t="str">
        <f t="shared" si="1916"/>
        <v/>
      </c>
      <c r="DC129" s="44" t="str">
        <f t="shared" si="1917"/>
        <v/>
      </c>
      <c r="DD129" s="44" t="str">
        <f t="shared" si="1918"/>
        <v/>
      </c>
      <c r="DE129" s="44" t="str">
        <f t="shared" si="1919"/>
        <v/>
      </c>
      <c r="DF129" s="44" t="str">
        <f t="shared" si="1920"/>
        <v/>
      </c>
      <c r="DG129" s="44" t="str">
        <f t="shared" si="1921"/>
        <v/>
      </c>
      <c r="DH129" s="44" t="str">
        <f t="shared" si="1922"/>
        <v/>
      </c>
      <c r="DI129" s="44" t="str">
        <f t="shared" si="1923"/>
        <v/>
      </c>
      <c r="DJ129" s="44" t="str">
        <f t="shared" si="1924"/>
        <v/>
      </c>
      <c r="DK129" s="44" t="str">
        <f t="shared" si="1925"/>
        <v/>
      </c>
      <c r="DL129" s="44" t="str">
        <f t="shared" si="1926"/>
        <v/>
      </c>
      <c r="DM129" s="44" t="str">
        <f t="shared" si="1927"/>
        <v/>
      </c>
      <c r="DN129" s="44" t="str">
        <f t="shared" si="1928"/>
        <v/>
      </c>
      <c r="DO129" s="44" t="str">
        <f t="shared" si="1929"/>
        <v/>
      </c>
      <c r="DP129" s="44" t="str">
        <f t="shared" si="1930"/>
        <v/>
      </c>
      <c r="DQ129" s="44" t="str">
        <f t="shared" si="1931"/>
        <v/>
      </c>
      <c r="DR129" s="44" t="str">
        <f t="shared" si="1932"/>
        <v/>
      </c>
      <c r="DS129" s="44" t="str">
        <f t="shared" si="1933"/>
        <v/>
      </c>
      <c r="DT129" s="44" t="str">
        <f t="shared" si="1934"/>
        <v/>
      </c>
      <c r="DU129" s="44" t="str">
        <f t="shared" si="1935"/>
        <v/>
      </c>
      <c r="DV129" s="44" t="str">
        <f t="shared" si="1936"/>
        <v/>
      </c>
      <c r="DW129" s="44" t="str">
        <f t="shared" si="1937"/>
        <v/>
      </c>
      <c r="DX129" s="44" t="str">
        <f t="shared" si="1938"/>
        <v/>
      </c>
      <c r="DY129" s="44" t="str">
        <f t="shared" si="1939"/>
        <v/>
      </c>
      <c r="DZ129" s="44" t="str">
        <f t="shared" si="1940"/>
        <v/>
      </c>
      <c r="EA129" s="44" t="str">
        <f t="shared" si="1941"/>
        <v/>
      </c>
      <c r="EB129" s="44" t="str">
        <f t="shared" si="1942"/>
        <v/>
      </c>
      <c r="EC129" s="44" t="str">
        <f t="shared" si="1943"/>
        <v/>
      </c>
      <c r="ED129" s="44" t="str">
        <f t="shared" si="1944"/>
        <v/>
      </c>
      <c r="EE129" s="44" t="str">
        <f t="shared" si="1945"/>
        <v/>
      </c>
      <c r="EF129" s="44" t="str">
        <f t="shared" si="1946"/>
        <v/>
      </c>
      <c r="EG129" s="44" t="str">
        <f t="shared" si="1947"/>
        <v/>
      </c>
      <c r="EH129" s="44" t="str">
        <f t="shared" si="1948"/>
        <v/>
      </c>
      <c r="EI129" s="44" t="str">
        <f t="shared" si="1949"/>
        <v/>
      </c>
      <c r="EJ129" s="44" t="str">
        <f t="shared" si="1950"/>
        <v/>
      </c>
      <c r="EK129" s="44" t="str">
        <f t="shared" si="1951"/>
        <v/>
      </c>
      <c r="EL129" s="44" t="str">
        <f t="shared" si="1952"/>
        <v/>
      </c>
      <c r="EM129" s="44" t="str">
        <f t="shared" si="1953"/>
        <v/>
      </c>
      <c r="EN129" s="44" t="str">
        <f t="shared" si="1954"/>
        <v/>
      </c>
      <c r="EO129" s="44" t="str">
        <f t="shared" si="1955"/>
        <v/>
      </c>
      <c r="EP129" s="44" t="str">
        <f t="shared" si="1956"/>
        <v/>
      </c>
      <c r="EQ129" s="44" t="str">
        <f t="shared" si="1957"/>
        <v/>
      </c>
      <c r="ER129" s="44" t="str">
        <f t="shared" si="1958"/>
        <v/>
      </c>
      <c r="ES129" s="44" t="str">
        <f t="shared" si="1959"/>
        <v/>
      </c>
      <c r="ET129" s="44" t="str">
        <f t="shared" si="1960"/>
        <v/>
      </c>
      <c r="EU129" s="44" t="str">
        <f t="shared" si="1961"/>
        <v/>
      </c>
      <c r="EV129" s="44" t="str">
        <f t="shared" si="1962"/>
        <v/>
      </c>
      <c r="EW129" s="44" t="str">
        <f t="shared" si="1963"/>
        <v/>
      </c>
      <c r="EX129" s="44" t="str">
        <f t="shared" si="1964"/>
        <v/>
      </c>
      <c r="EY129" s="44" t="str">
        <f t="shared" si="1965"/>
        <v/>
      </c>
      <c r="EZ129" s="44" t="str">
        <f t="shared" si="1966"/>
        <v/>
      </c>
      <c r="FA129" s="44" t="str">
        <f t="shared" si="1967"/>
        <v/>
      </c>
      <c r="FB129" s="44" t="str">
        <f t="shared" si="1968"/>
        <v/>
      </c>
      <c r="FC129" s="44" t="str">
        <f t="shared" si="1969"/>
        <v/>
      </c>
      <c r="FD129" s="44" t="str">
        <f t="shared" si="1970"/>
        <v/>
      </c>
      <c r="FE129" s="44" t="str">
        <f t="shared" si="1971"/>
        <v/>
      </c>
      <c r="FF129" s="44" t="str">
        <f t="shared" si="1972"/>
        <v/>
      </c>
      <c r="FG129" s="44" t="str">
        <f t="shared" si="1973"/>
        <v/>
      </c>
      <c r="FH129" s="44" t="str">
        <f t="shared" si="1974"/>
        <v/>
      </c>
      <c r="FI129" s="44" t="str">
        <f t="shared" si="1975"/>
        <v/>
      </c>
      <c r="FJ129" s="44" t="str">
        <f t="shared" si="1976"/>
        <v/>
      </c>
      <c r="FK129" s="44" t="str">
        <f t="shared" si="1977"/>
        <v/>
      </c>
      <c r="FL129" s="44" t="str">
        <f t="shared" si="1978"/>
        <v/>
      </c>
      <c r="FM129" s="44" t="str">
        <f t="shared" si="1979"/>
        <v/>
      </c>
      <c r="FN129" s="44" t="str">
        <f t="shared" si="1980"/>
        <v/>
      </c>
      <c r="FO129" s="44" t="str">
        <f t="shared" si="1981"/>
        <v/>
      </c>
      <c r="FP129" s="44" t="str">
        <f t="shared" si="1982"/>
        <v/>
      </c>
      <c r="FQ129" s="44" t="str">
        <f t="shared" si="1983"/>
        <v/>
      </c>
      <c r="FR129" s="44" t="str">
        <f t="shared" si="1984"/>
        <v/>
      </c>
      <c r="FS129" s="44" t="str">
        <f t="shared" si="1985"/>
        <v/>
      </c>
    </row>
    <row r="130" ht="57.6" spans="1:175">
      <c r="A130" s="5"/>
      <c r="B130" s="7" t="s">
        <v>496</v>
      </c>
      <c r="C130" s="80" t="s">
        <v>485</v>
      </c>
      <c r="T130" s="85" t="s">
        <v>486</v>
      </c>
      <c r="U130" s="60" t="s">
        <v>487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72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     </v>
      </c>
      <c r="CW130" s="7"/>
      <c r="CX130" s="7"/>
      <c r="CY130" s="7"/>
      <c r="CZ130" s="7"/>
      <c r="DA130" s="7"/>
      <c r="DB130" s="44" t="str">
        <f t="shared" si="1916"/>
        <v/>
      </c>
      <c r="DC130" s="44" t="str">
        <f t="shared" si="1917"/>
        <v/>
      </c>
      <c r="DD130" s="44" t="str">
        <f t="shared" si="1918"/>
        <v/>
      </c>
      <c r="DE130" s="44" t="str">
        <f t="shared" si="1919"/>
        <v/>
      </c>
      <c r="DF130" s="44" t="str">
        <f t="shared" si="1920"/>
        <v/>
      </c>
      <c r="DG130" s="44" t="str">
        <f t="shared" si="1921"/>
        <v/>
      </c>
      <c r="DH130" s="44" t="str">
        <f t="shared" si="1922"/>
        <v/>
      </c>
      <c r="DI130" s="44" t="str">
        <f t="shared" si="1923"/>
        <v/>
      </c>
      <c r="DJ130" s="44" t="str">
        <f t="shared" si="1924"/>
        <v/>
      </c>
      <c r="DK130" s="44" t="str">
        <f t="shared" si="1925"/>
        <v/>
      </c>
      <c r="DL130" s="44" t="str">
        <f t="shared" si="1926"/>
        <v/>
      </c>
      <c r="DM130" s="44" t="str">
        <f t="shared" si="1927"/>
        <v/>
      </c>
      <c r="DN130" s="44" t="str">
        <f t="shared" si="1928"/>
        <v/>
      </c>
      <c r="DO130" s="44" t="str">
        <f t="shared" si="1929"/>
        <v/>
      </c>
      <c r="DP130" s="44" t="str">
        <f t="shared" si="1930"/>
        <v/>
      </c>
      <c r="DQ130" s="44" t="str">
        <f t="shared" si="1931"/>
        <v/>
      </c>
      <c r="DR130" s="44" t="str">
        <f t="shared" si="1932"/>
        <v/>
      </c>
      <c r="DS130" s="44" t="str">
        <f t="shared" si="1933"/>
        <v/>
      </c>
      <c r="DT130" s="44" t="str">
        <f t="shared" si="1934"/>
        <v/>
      </c>
      <c r="DU130" s="44" t="str">
        <f t="shared" si="1935"/>
        <v/>
      </c>
      <c r="DV130" s="44" t="str">
        <f t="shared" si="1936"/>
        <v/>
      </c>
      <c r="DW130" s="44" t="str">
        <f t="shared" si="1937"/>
        <v/>
      </c>
      <c r="DX130" s="44" t="str">
        <f t="shared" si="1938"/>
        <v/>
      </c>
      <c r="DY130" s="44" t="str">
        <f t="shared" si="1939"/>
        <v/>
      </c>
      <c r="DZ130" s="44" t="str">
        <f t="shared" si="1940"/>
        <v/>
      </c>
      <c r="EA130" s="44" t="str">
        <f t="shared" si="1941"/>
        <v/>
      </c>
      <c r="EB130" s="44" t="str">
        <f t="shared" si="1942"/>
        <v/>
      </c>
      <c r="EC130" s="44" t="str">
        <f t="shared" si="1943"/>
        <v/>
      </c>
      <c r="ED130" s="44" t="str">
        <f t="shared" si="1944"/>
        <v/>
      </c>
      <c r="EE130" s="44" t="str">
        <f t="shared" si="1945"/>
        <v/>
      </c>
      <c r="EF130" s="44" t="str">
        <f t="shared" si="1946"/>
        <v/>
      </c>
      <c r="EG130" s="44" t="str">
        <f t="shared" si="1947"/>
        <v/>
      </c>
      <c r="EH130" s="44" t="str">
        <f t="shared" si="1948"/>
        <v/>
      </c>
      <c r="EI130" s="44" t="str">
        <f t="shared" si="1949"/>
        <v/>
      </c>
      <c r="EJ130" s="44" t="str">
        <f t="shared" si="1950"/>
        <v/>
      </c>
      <c r="EK130" s="44" t="str">
        <f t="shared" si="1951"/>
        <v/>
      </c>
      <c r="EL130" s="44" t="str">
        <f t="shared" si="1952"/>
        <v/>
      </c>
      <c r="EM130" s="44" t="str">
        <f t="shared" si="1953"/>
        <v/>
      </c>
      <c r="EN130" s="44" t="str">
        <f t="shared" si="1954"/>
        <v/>
      </c>
      <c r="EO130" s="44" t="str">
        <f t="shared" si="1955"/>
        <v/>
      </c>
      <c r="EP130" s="44" t="str">
        <f t="shared" si="1956"/>
        <v/>
      </c>
      <c r="EQ130" s="44" t="str">
        <f t="shared" si="1957"/>
        <v/>
      </c>
      <c r="ER130" s="44" t="str">
        <f t="shared" si="1958"/>
        <v/>
      </c>
      <c r="ES130" s="44" t="str">
        <f t="shared" si="1959"/>
        <v/>
      </c>
      <c r="ET130" s="44" t="str">
        <f t="shared" si="1960"/>
        <v/>
      </c>
      <c r="EU130" s="44" t="str">
        <f t="shared" si="1961"/>
        <v/>
      </c>
      <c r="EV130" s="44" t="str">
        <f t="shared" si="1962"/>
        <v/>
      </c>
      <c r="EW130" s="44" t="str">
        <f t="shared" si="1963"/>
        <v/>
      </c>
      <c r="EX130" s="44" t="str">
        <f t="shared" si="1964"/>
        <v/>
      </c>
      <c r="EY130" s="44" t="str">
        <f t="shared" si="1965"/>
        <v/>
      </c>
      <c r="EZ130" s="44" t="str">
        <f t="shared" si="1966"/>
        <v/>
      </c>
      <c r="FA130" s="44" t="str">
        <f t="shared" si="1967"/>
        <v/>
      </c>
      <c r="FB130" s="44" t="str">
        <f t="shared" si="1968"/>
        <v/>
      </c>
      <c r="FC130" s="44" t="str">
        <f t="shared" si="1969"/>
        <v/>
      </c>
      <c r="FD130" s="44" t="str">
        <f t="shared" si="1970"/>
        <v/>
      </c>
      <c r="FE130" s="44" t="str">
        <f t="shared" si="1971"/>
        <v/>
      </c>
      <c r="FF130" s="44" t="str">
        <f t="shared" si="1972"/>
        <v/>
      </c>
      <c r="FG130" s="44" t="str">
        <f t="shared" si="1973"/>
        <v/>
      </c>
      <c r="FH130" s="44" t="str">
        <f t="shared" si="1974"/>
        <v/>
      </c>
      <c r="FI130" s="44" t="str">
        <f t="shared" si="1975"/>
        <v/>
      </c>
      <c r="FJ130" s="44" t="str">
        <f t="shared" si="1976"/>
        <v/>
      </c>
      <c r="FK130" s="44" t="str">
        <f t="shared" si="1977"/>
        <v/>
      </c>
      <c r="FL130" s="44" t="str">
        <f t="shared" si="1978"/>
        <v/>
      </c>
      <c r="FM130" s="44" t="str">
        <f t="shared" si="1979"/>
        <v/>
      </c>
      <c r="FN130" s="44" t="str">
        <f t="shared" si="1980"/>
        <v/>
      </c>
      <c r="FO130" s="44" t="str">
        <f t="shared" si="1981"/>
        <v/>
      </c>
      <c r="FP130" s="44" t="str">
        <f t="shared" si="1982"/>
        <v/>
      </c>
      <c r="FQ130" s="44" t="str">
        <f t="shared" si="1983"/>
        <v/>
      </c>
      <c r="FR130" s="44" t="str">
        <f t="shared" si="1984"/>
        <v/>
      </c>
      <c r="FS130" s="44" t="str">
        <f t="shared" si="1985"/>
        <v/>
      </c>
    </row>
    <row r="131" ht="57.6" spans="1:175">
      <c r="A131" s="5"/>
      <c r="B131" s="7" t="s">
        <v>497</v>
      </c>
      <c r="C131" s="80" t="s">
        <v>485</v>
      </c>
      <c r="T131" s="85" t="s">
        <v>486</v>
      </c>
      <c r="U131" s="60" t="s">
        <v>487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72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     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ht="57.6" spans="1:175">
      <c r="A132" s="5"/>
      <c r="B132" s="7" t="s">
        <v>498</v>
      </c>
      <c r="C132" s="80" t="s">
        <v>485</v>
      </c>
      <c r="T132" s="85" t="s">
        <v>486</v>
      </c>
      <c r="U132" s="60" t="s">
        <v>487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72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     </v>
      </c>
      <c r="CW132" s="7"/>
      <c r="CX132" s="7"/>
      <c r="CY132" s="7"/>
      <c r="CZ132" s="7"/>
      <c r="DA132" s="7"/>
      <c r="DB132" s="44" t="str">
        <f t="shared" ref="DB132:DB139" si="2066">IF(V132="","","|n"&amp;DB$2&amp;"+"&amp;V132&amp;DB$1)</f>
        <v/>
      </c>
      <c r="DC132" s="44" t="str">
        <f t="shared" ref="DC132:DC139" si="2067">IF(W132="","","|n"&amp;DC$2&amp;"+"&amp;W132&amp;DC$1)</f>
        <v/>
      </c>
      <c r="DD132" s="44" t="str">
        <f t="shared" ref="DD132:DD139" si="2068">IF(X132="","","|n"&amp;DD$2&amp;"+"&amp;X132&amp;DD$1)</f>
        <v/>
      </c>
      <c r="DE132" s="44" t="str">
        <f t="shared" ref="DE132:DE139" si="2069">IF(Y132="","","|n"&amp;DE$2&amp;"+"&amp;Y132&amp;DE$1)</f>
        <v/>
      </c>
      <c r="DF132" s="44" t="str">
        <f t="shared" ref="DF132:DF139" si="2070">IF(Z132="","","|n"&amp;DF$2&amp;"+"&amp;Z132&amp;DF$1)</f>
        <v/>
      </c>
      <c r="DG132" s="44" t="str">
        <f t="shared" ref="DG132:DG139" si="2071">IF(AA132="","","|n"&amp;DG$2&amp;"+"&amp;AA132&amp;DG$1)</f>
        <v/>
      </c>
      <c r="DH132" s="44" t="str">
        <f t="shared" ref="DH132:DH139" si="2072">IF(AB132="","","|n"&amp;DH$2&amp;"+"&amp;AB132&amp;DH$1)</f>
        <v/>
      </c>
      <c r="DI132" s="44" t="str">
        <f t="shared" ref="DI132:DI139" si="2073">IF(AC132="","","|n"&amp;DI$2&amp;"+"&amp;AC132&amp;DI$1)</f>
        <v/>
      </c>
      <c r="DJ132" s="44" t="str">
        <f t="shared" ref="DJ132:DJ139" si="2074">IF(AD132="","","|n"&amp;DJ$2&amp;"+"&amp;AD132&amp;DJ$1)</f>
        <v/>
      </c>
      <c r="DK132" s="44" t="str">
        <f t="shared" ref="DK132:DK139" si="2075">IF(AE132="","","|n"&amp;DK$2&amp;"+"&amp;AE132&amp;DK$1)</f>
        <v/>
      </c>
      <c r="DL132" s="44" t="str">
        <f t="shared" ref="DL132:DL139" si="2076">IF(AF132="","","|n"&amp;DL$2&amp;"+"&amp;AF132&amp;DL$1)</f>
        <v/>
      </c>
      <c r="DM132" s="44" t="str">
        <f t="shared" ref="DM132:DM139" si="2077">IF(AG132="","","|n"&amp;DM$2&amp;"+"&amp;AG132&amp;DM$1)</f>
        <v/>
      </c>
      <c r="DN132" s="44" t="str">
        <f t="shared" ref="DN132:DN139" si="2078">IF(AH132="","","|n"&amp;DN$2&amp;"+"&amp;AH132&amp;DN$1)</f>
        <v/>
      </c>
      <c r="DO132" s="44" t="str">
        <f t="shared" ref="DO132:DO139" si="2079">IF(AI132="","","|n"&amp;DO$2&amp;"+"&amp;AI132&amp;DO$1)</f>
        <v/>
      </c>
      <c r="DP132" s="44" t="str">
        <f t="shared" ref="DP132:DP139" si="2080">IF(AJ132="","","|n"&amp;DP$2&amp;"+"&amp;AJ132&amp;DP$1)</f>
        <v/>
      </c>
      <c r="DQ132" s="44" t="str">
        <f t="shared" ref="DQ132:DQ139" si="2081">IF(AK132="","","|n"&amp;DQ$2&amp;"+"&amp;AK132&amp;DQ$1)</f>
        <v/>
      </c>
      <c r="DR132" s="44" t="str">
        <f t="shared" ref="DR132:DR139" si="2082">IF(AL132="","","|n"&amp;DR$2&amp;"+"&amp;AL132&amp;DR$1)</f>
        <v/>
      </c>
      <c r="DS132" s="44" t="str">
        <f t="shared" ref="DS132:DS139" si="2083">IF(AM132="","","|n"&amp;DS$2&amp;"+"&amp;AM132&amp;DS$1)</f>
        <v/>
      </c>
      <c r="DT132" s="44" t="str">
        <f t="shared" ref="DT132:DT139" si="2084">IF(AN132="","","|n"&amp;DT$2&amp;"+"&amp;AN132&amp;DT$1)</f>
        <v/>
      </c>
      <c r="DU132" s="44" t="str">
        <f t="shared" ref="DU132:DU139" si="2085">IF(AO132="","","|n"&amp;DU$2&amp;"+"&amp;AO132&amp;DU$1)</f>
        <v/>
      </c>
      <c r="DV132" s="44" t="str">
        <f t="shared" ref="DV132:DV139" si="2086">IF(AP132="","","|n"&amp;DV$2&amp;"+"&amp;AP132&amp;DV$1)</f>
        <v/>
      </c>
      <c r="DW132" s="44" t="str">
        <f t="shared" ref="DW132:DW139" si="2087">IF(AQ132="","","|n"&amp;DW$2&amp;"+"&amp;AQ132&amp;DW$1)</f>
        <v/>
      </c>
      <c r="DX132" s="44" t="str">
        <f t="shared" ref="DX132:DX139" si="2088">IF(AR132="","","|n"&amp;DX$2&amp;"+"&amp;AR132&amp;DX$1)</f>
        <v/>
      </c>
      <c r="DY132" s="44" t="str">
        <f t="shared" ref="DY132:DY139" si="2089">IF(AS132="","","|n"&amp;DY$2&amp;"+"&amp;AS132&amp;DY$1)</f>
        <v/>
      </c>
      <c r="DZ132" s="44" t="str">
        <f t="shared" ref="DZ132:DZ139" si="2090">IF(AT132="","","|n"&amp;DZ$2&amp;"+"&amp;AT132&amp;DZ$1)</f>
        <v/>
      </c>
      <c r="EA132" s="44" t="str">
        <f t="shared" ref="EA132:EA139" si="2091">IF(AU132="","","|n"&amp;EA$2&amp;"+"&amp;AU132&amp;EA$1)</f>
        <v/>
      </c>
      <c r="EB132" s="44" t="str">
        <f t="shared" ref="EB132:EB139" si="2092">IF(AV132="","","|n"&amp;EB$2&amp;"+"&amp;AV132&amp;EB$1)</f>
        <v/>
      </c>
      <c r="EC132" s="44" t="str">
        <f t="shared" ref="EC132:EC139" si="2093">IF(AW132="","","|n"&amp;EC$2&amp;"+"&amp;AW132&amp;EC$1)</f>
        <v/>
      </c>
      <c r="ED132" s="44" t="str">
        <f t="shared" ref="ED132:ED139" si="2094">IF(AX132="","","|n"&amp;ED$2&amp;"+"&amp;AX132&amp;ED$1)</f>
        <v/>
      </c>
      <c r="EE132" s="44" t="str">
        <f t="shared" ref="EE132:EE139" si="2095">IF(AY132="","","|n"&amp;EE$2&amp;"+"&amp;AY132&amp;EE$1)</f>
        <v/>
      </c>
      <c r="EF132" s="44" t="str">
        <f t="shared" ref="EF132:EF139" si="2096">IF(AZ132="","","|n"&amp;EF$2&amp;"+"&amp;AZ132&amp;EF$1)</f>
        <v/>
      </c>
      <c r="EG132" s="44" t="str">
        <f t="shared" ref="EG132:EG139" si="2097">IF(BA132="","","|n"&amp;EG$2&amp;"+"&amp;BA132&amp;EG$1)</f>
        <v/>
      </c>
      <c r="EH132" s="44" t="str">
        <f t="shared" ref="EH132:EH139" si="2098">IF(BB132="","","|n"&amp;EH$2&amp;"+"&amp;BB132&amp;EH$1)</f>
        <v/>
      </c>
      <c r="EI132" s="44" t="str">
        <f t="shared" ref="EI132:EI139" si="2099">IF(BC132="","","|n"&amp;EI$2&amp;"+"&amp;BC132&amp;EI$1)</f>
        <v/>
      </c>
      <c r="EJ132" s="44" t="str">
        <f t="shared" ref="EJ132:EJ139" si="2100">IF(BD132="","","|n"&amp;EJ$2&amp;"+"&amp;BD132&amp;EJ$1)</f>
        <v/>
      </c>
      <c r="EK132" s="44" t="str">
        <f t="shared" ref="EK132:EK139" si="2101">IF(BE132="","","|n"&amp;EK$2&amp;"+"&amp;BE132&amp;EK$1)</f>
        <v/>
      </c>
      <c r="EL132" s="44" t="str">
        <f t="shared" ref="EL132:EL139" si="2102">IF(BF132="","","|n"&amp;EL$2&amp;"+"&amp;BF132&amp;EL$1)</f>
        <v/>
      </c>
      <c r="EM132" s="44" t="str">
        <f t="shared" ref="EM132:EM139" si="2103">IF(BG132="","","|n"&amp;EM$2&amp;"+"&amp;BG132&amp;EM$1)</f>
        <v/>
      </c>
      <c r="EN132" s="44" t="str">
        <f t="shared" ref="EN132:EN139" si="2104">IF(BH132="","","|n"&amp;EN$2&amp;"+"&amp;BH132&amp;EN$1)</f>
        <v/>
      </c>
      <c r="EO132" s="44" t="str">
        <f t="shared" ref="EO132:EO139" si="2105">IF(BI132="","","|n"&amp;EO$2&amp;"+"&amp;BI132&amp;EO$1)</f>
        <v/>
      </c>
      <c r="EP132" s="44" t="str">
        <f t="shared" ref="EP132:EP139" si="2106">IF(BJ132="","","|n"&amp;EP$2&amp;"+"&amp;BJ132&amp;EP$1)</f>
        <v/>
      </c>
      <c r="EQ132" s="44" t="str">
        <f t="shared" ref="EQ132:EQ139" si="2107">IF(BK132="","","|n"&amp;EQ$2&amp;"+"&amp;BK132&amp;EQ$1)</f>
        <v/>
      </c>
      <c r="ER132" s="44" t="str">
        <f t="shared" ref="ER132:ER139" si="2108">IF(BL132="","","|n"&amp;ER$2&amp;"+"&amp;BL132&amp;ER$1)</f>
        <v/>
      </c>
      <c r="ES132" s="44" t="str">
        <f t="shared" ref="ES132:ES139" si="2109">IF(BM132="","","|n"&amp;ES$2&amp;"+"&amp;BM132&amp;ES$1)</f>
        <v/>
      </c>
      <c r="ET132" s="44" t="str">
        <f t="shared" ref="ET132:ET139" si="2110">IF(BN132="","","|n"&amp;ET$2&amp;"+"&amp;BN132&amp;ET$1)</f>
        <v/>
      </c>
      <c r="EU132" s="44" t="str">
        <f t="shared" ref="EU132:EU139" si="2111">IF(BO132="","","|n"&amp;EU$2&amp;"+"&amp;BO132&amp;EU$1)</f>
        <v/>
      </c>
      <c r="EV132" s="44" t="str">
        <f t="shared" ref="EV132:EV139" si="2112">IF(BP132="","","|n"&amp;EV$2&amp;"+"&amp;BP132&amp;EV$1)</f>
        <v/>
      </c>
      <c r="EW132" s="44" t="str">
        <f t="shared" ref="EW132:EW139" si="2113">IF(BQ132="","","|n"&amp;EW$2&amp;"+"&amp;BQ132&amp;EW$1)</f>
        <v/>
      </c>
      <c r="EX132" s="44" t="str">
        <f t="shared" ref="EX132:EX139" si="2114">IF(BR132="","","|n"&amp;EX$2&amp;"+"&amp;BR132&amp;EX$1)</f>
        <v/>
      </c>
      <c r="EY132" s="44" t="str">
        <f t="shared" ref="EY132:EY139" si="2115">IF(BS132="","","|n"&amp;EY$2&amp;"+"&amp;BS132&amp;EY$1)</f>
        <v/>
      </c>
      <c r="EZ132" s="44" t="str">
        <f t="shared" ref="EZ132:EZ139" si="2116">IF(BT132="","","|n"&amp;EZ$2&amp;"+"&amp;BT132&amp;EZ$1)</f>
        <v/>
      </c>
      <c r="FA132" s="44" t="str">
        <f t="shared" ref="FA132:FA139" si="2117">IF(BU132="","","|n"&amp;FA$2&amp;"+"&amp;BU132&amp;FA$1)</f>
        <v/>
      </c>
      <c r="FB132" s="44" t="str">
        <f t="shared" ref="FB132:FB139" si="2118">IF(BV132="","","|n"&amp;FB$2&amp;"+"&amp;BV132&amp;FB$1)</f>
        <v/>
      </c>
      <c r="FC132" s="44" t="str">
        <f t="shared" ref="FC132:FC139" si="2119">IF(BW132="","","|n"&amp;FC$2&amp;"+"&amp;BW132&amp;FC$1)</f>
        <v/>
      </c>
      <c r="FD132" s="44" t="str">
        <f t="shared" ref="FD132:FD139" si="2120">IF(BX132="","","|n"&amp;FD$2&amp;"+"&amp;BX132&amp;FD$1)</f>
        <v/>
      </c>
      <c r="FE132" s="44" t="str">
        <f t="shared" ref="FE132:FE139" si="2121">IF(BY132="","","|n"&amp;FE$2&amp;"+"&amp;BY132&amp;FE$1)</f>
        <v/>
      </c>
      <c r="FF132" s="44" t="str">
        <f t="shared" ref="FF132:FF139" si="2122">IF(BZ132="","","|n"&amp;FF$2&amp;"+"&amp;BZ132&amp;FF$1)</f>
        <v/>
      </c>
      <c r="FG132" s="44" t="str">
        <f t="shared" ref="FG132:FG139" si="2123">IF(CA132="","","|n"&amp;FG$2&amp;"+"&amp;CA132&amp;FG$1)</f>
        <v/>
      </c>
      <c r="FH132" s="44" t="str">
        <f t="shared" ref="FH132:FH139" si="2124">IF(CB132="","","|n"&amp;FH$2&amp;"+"&amp;CB132&amp;FH$1)</f>
        <v/>
      </c>
      <c r="FI132" s="44" t="str">
        <f t="shared" ref="FI132:FI139" si="2125">IF(CC132="","","|n"&amp;FI$2&amp;"+"&amp;CC132&amp;FI$1)</f>
        <v/>
      </c>
      <c r="FJ132" s="44" t="str">
        <f t="shared" ref="FJ132:FJ139" si="2126">IF(CD132="","","|n"&amp;FJ$2&amp;"+"&amp;CD132&amp;FJ$1)</f>
        <v/>
      </c>
      <c r="FK132" s="44" t="str">
        <f t="shared" ref="FK132:FK139" si="2127">IF(CE132="","","|n"&amp;FK$2&amp;"+"&amp;CE132&amp;FK$1)</f>
        <v/>
      </c>
      <c r="FL132" s="44" t="str">
        <f t="shared" ref="FL132:FL139" si="2128">IF(CF132="","","|n"&amp;FL$2&amp;"+"&amp;CF132&amp;FL$1)</f>
        <v/>
      </c>
      <c r="FM132" s="44" t="str">
        <f t="shared" ref="FM132:FM139" si="2129">IF(CG132="","","|n"&amp;FM$2&amp;"+"&amp;CG132&amp;FM$1)</f>
        <v/>
      </c>
      <c r="FN132" s="44" t="str">
        <f t="shared" ref="FN132:FN139" si="2130">IF(CH132="","","|n"&amp;FN$2&amp;"+"&amp;CH132&amp;FN$1)</f>
        <v/>
      </c>
      <c r="FO132" s="44" t="str">
        <f t="shared" ref="FO132:FO139" si="2131">IF(CI132="","","|n"&amp;FO$2&amp;"+"&amp;CI132&amp;FO$1)</f>
        <v/>
      </c>
      <c r="FP132" s="44" t="str">
        <f t="shared" ref="FP132:FP139" si="2132">IF(CJ132="","","|n"&amp;FP$2&amp;"+"&amp;CJ132&amp;FP$1)</f>
        <v/>
      </c>
      <c r="FQ132" s="44" t="str">
        <f t="shared" ref="FQ132:FQ139" si="2133">IF(CK132="","","|n"&amp;FQ$2&amp;"+"&amp;CK132&amp;FQ$1)</f>
        <v/>
      </c>
      <c r="FR132" s="44" t="str">
        <f t="shared" ref="FR132:FR139" si="2134">IF(CL132="","","|n"&amp;FR$2&amp;"+"&amp;CL132&amp;FR$1)</f>
        <v/>
      </c>
      <c r="FS132" s="44" t="str">
        <f t="shared" ref="FS132:FS139" si="2135">IF(CM132="","","|n"&amp;FS$2&amp;"+"&amp;CM132&amp;FS$1)</f>
        <v/>
      </c>
    </row>
    <row r="133" ht="57.6" spans="1:175">
      <c r="A133" s="5"/>
      <c r="B133" s="7" t="s">
        <v>499</v>
      </c>
      <c r="C133" s="80" t="s">
        <v>485</v>
      </c>
      <c r="T133" s="85" t="s">
        <v>486</v>
      </c>
      <c r="U133" s="60" t="s">
        <v>487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72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     </v>
      </c>
      <c r="CW133" s="7"/>
      <c r="CX133" s="7"/>
      <c r="CY133" s="7"/>
      <c r="CZ133" s="7"/>
      <c r="DA133" s="7"/>
      <c r="DB133" s="44" t="str">
        <f t="shared" si="2066"/>
        <v/>
      </c>
      <c r="DC133" s="44" t="str">
        <f t="shared" si="2067"/>
        <v/>
      </c>
      <c r="DD133" s="44" t="str">
        <f t="shared" si="2068"/>
        <v/>
      </c>
      <c r="DE133" s="44" t="str">
        <f t="shared" si="2069"/>
        <v/>
      </c>
      <c r="DF133" s="44" t="str">
        <f t="shared" si="2070"/>
        <v/>
      </c>
      <c r="DG133" s="44" t="str">
        <f t="shared" si="2071"/>
        <v/>
      </c>
      <c r="DH133" s="44" t="str">
        <f t="shared" si="2072"/>
        <v/>
      </c>
      <c r="DI133" s="44" t="str">
        <f t="shared" si="2073"/>
        <v/>
      </c>
      <c r="DJ133" s="44" t="str">
        <f t="shared" si="2074"/>
        <v/>
      </c>
      <c r="DK133" s="44" t="str">
        <f t="shared" si="2075"/>
        <v/>
      </c>
      <c r="DL133" s="44" t="str">
        <f t="shared" si="2076"/>
        <v/>
      </c>
      <c r="DM133" s="44" t="str">
        <f t="shared" si="2077"/>
        <v/>
      </c>
      <c r="DN133" s="44" t="str">
        <f t="shared" si="2078"/>
        <v/>
      </c>
      <c r="DO133" s="44" t="str">
        <f t="shared" si="2079"/>
        <v/>
      </c>
      <c r="DP133" s="44" t="str">
        <f t="shared" si="2080"/>
        <v/>
      </c>
      <c r="DQ133" s="44" t="str">
        <f t="shared" si="2081"/>
        <v/>
      </c>
      <c r="DR133" s="44" t="str">
        <f t="shared" si="2082"/>
        <v/>
      </c>
      <c r="DS133" s="44" t="str">
        <f t="shared" si="2083"/>
        <v/>
      </c>
      <c r="DT133" s="44" t="str">
        <f t="shared" si="2084"/>
        <v/>
      </c>
      <c r="DU133" s="44" t="str">
        <f t="shared" si="2085"/>
        <v/>
      </c>
      <c r="DV133" s="44" t="str">
        <f t="shared" si="2086"/>
        <v/>
      </c>
      <c r="DW133" s="44" t="str">
        <f t="shared" si="2087"/>
        <v/>
      </c>
      <c r="DX133" s="44" t="str">
        <f t="shared" si="2088"/>
        <v/>
      </c>
      <c r="DY133" s="44" t="str">
        <f t="shared" si="2089"/>
        <v/>
      </c>
      <c r="DZ133" s="44" t="str">
        <f t="shared" si="2090"/>
        <v/>
      </c>
      <c r="EA133" s="44" t="str">
        <f t="shared" si="2091"/>
        <v/>
      </c>
      <c r="EB133" s="44" t="str">
        <f t="shared" si="2092"/>
        <v/>
      </c>
      <c r="EC133" s="44" t="str">
        <f t="shared" si="2093"/>
        <v/>
      </c>
      <c r="ED133" s="44" t="str">
        <f t="shared" si="2094"/>
        <v/>
      </c>
      <c r="EE133" s="44" t="str">
        <f t="shared" si="2095"/>
        <v/>
      </c>
      <c r="EF133" s="44" t="str">
        <f t="shared" si="2096"/>
        <v/>
      </c>
      <c r="EG133" s="44" t="str">
        <f t="shared" si="2097"/>
        <v/>
      </c>
      <c r="EH133" s="44" t="str">
        <f t="shared" si="2098"/>
        <v/>
      </c>
      <c r="EI133" s="44" t="str">
        <f t="shared" si="2099"/>
        <v/>
      </c>
      <c r="EJ133" s="44" t="str">
        <f t="shared" si="2100"/>
        <v/>
      </c>
      <c r="EK133" s="44" t="str">
        <f t="shared" si="2101"/>
        <v/>
      </c>
      <c r="EL133" s="44" t="str">
        <f t="shared" si="2102"/>
        <v/>
      </c>
      <c r="EM133" s="44" t="str">
        <f t="shared" si="2103"/>
        <v/>
      </c>
      <c r="EN133" s="44" t="str">
        <f t="shared" si="2104"/>
        <v/>
      </c>
      <c r="EO133" s="44" t="str">
        <f t="shared" si="2105"/>
        <v/>
      </c>
      <c r="EP133" s="44" t="str">
        <f t="shared" si="2106"/>
        <v/>
      </c>
      <c r="EQ133" s="44" t="str">
        <f t="shared" si="2107"/>
        <v/>
      </c>
      <c r="ER133" s="44" t="str">
        <f t="shared" si="2108"/>
        <v/>
      </c>
      <c r="ES133" s="44" t="str">
        <f t="shared" si="2109"/>
        <v/>
      </c>
      <c r="ET133" s="44" t="str">
        <f t="shared" si="2110"/>
        <v/>
      </c>
      <c r="EU133" s="44" t="str">
        <f t="shared" si="2111"/>
        <v/>
      </c>
      <c r="EV133" s="44" t="str">
        <f t="shared" si="2112"/>
        <v/>
      </c>
      <c r="EW133" s="44" t="str">
        <f t="shared" si="2113"/>
        <v/>
      </c>
      <c r="EX133" s="44" t="str">
        <f t="shared" si="2114"/>
        <v/>
      </c>
      <c r="EY133" s="44" t="str">
        <f t="shared" si="2115"/>
        <v/>
      </c>
      <c r="EZ133" s="44" t="str">
        <f t="shared" si="2116"/>
        <v/>
      </c>
      <c r="FA133" s="44" t="str">
        <f t="shared" si="2117"/>
        <v/>
      </c>
      <c r="FB133" s="44" t="str">
        <f t="shared" si="2118"/>
        <v/>
      </c>
      <c r="FC133" s="44" t="str">
        <f t="shared" si="2119"/>
        <v/>
      </c>
      <c r="FD133" s="44" t="str">
        <f t="shared" si="2120"/>
        <v/>
      </c>
      <c r="FE133" s="44" t="str">
        <f t="shared" si="2121"/>
        <v/>
      </c>
      <c r="FF133" s="44" t="str">
        <f t="shared" si="2122"/>
        <v/>
      </c>
      <c r="FG133" s="44" t="str">
        <f t="shared" si="2123"/>
        <v/>
      </c>
      <c r="FH133" s="44" t="str">
        <f t="shared" si="2124"/>
        <v/>
      </c>
      <c r="FI133" s="44" t="str">
        <f t="shared" si="2125"/>
        <v/>
      </c>
      <c r="FJ133" s="44" t="str">
        <f t="shared" si="2126"/>
        <v/>
      </c>
      <c r="FK133" s="44" t="str">
        <f t="shared" si="2127"/>
        <v/>
      </c>
      <c r="FL133" s="44" t="str">
        <f t="shared" si="2128"/>
        <v/>
      </c>
      <c r="FM133" s="44" t="str">
        <f t="shared" si="2129"/>
        <v/>
      </c>
      <c r="FN133" s="44" t="str">
        <f t="shared" si="2130"/>
        <v/>
      </c>
      <c r="FO133" s="44" t="str">
        <f t="shared" si="2131"/>
        <v/>
      </c>
      <c r="FP133" s="44" t="str">
        <f t="shared" si="2132"/>
        <v/>
      </c>
      <c r="FQ133" s="44" t="str">
        <f t="shared" si="2133"/>
        <v/>
      </c>
      <c r="FR133" s="44" t="str">
        <f t="shared" si="2134"/>
        <v/>
      </c>
      <c r="FS133" s="44" t="str">
        <f t="shared" si="2135"/>
        <v/>
      </c>
    </row>
    <row r="134" ht="57.6" spans="1:175">
      <c r="A134" s="5"/>
      <c r="B134" s="7" t="s">
        <v>500</v>
      </c>
      <c r="C134" s="80" t="s">
        <v>485</v>
      </c>
      <c r="T134" s="85" t="s">
        <v>486</v>
      </c>
      <c r="U134" s="60" t="s">
        <v>487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72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     </v>
      </c>
      <c r="CW134" s="7"/>
      <c r="CX134" s="7"/>
      <c r="CY134" s="7"/>
      <c r="CZ134" s="7"/>
      <c r="DA134" s="7"/>
      <c r="DB134" s="44" t="str">
        <f t="shared" si="2066"/>
        <v/>
      </c>
      <c r="DC134" s="44" t="str">
        <f t="shared" si="2067"/>
        <v/>
      </c>
      <c r="DD134" s="44" t="str">
        <f t="shared" si="2068"/>
        <v/>
      </c>
      <c r="DE134" s="44" t="str">
        <f t="shared" si="2069"/>
        <v/>
      </c>
      <c r="DF134" s="44" t="str">
        <f t="shared" si="2070"/>
        <v/>
      </c>
      <c r="DG134" s="44" t="str">
        <f t="shared" si="2071"/>
        <v/>
      </c>
      <c r="DH134" s="44" t="str">
        <f t="shared" si="2072"/>
        <v/>
      </c>
      <c r="DI134" s="44" t="str">
        <f t="shared" si="2073"/>
        <v/>
      </c>
      <c r="DJ134" s="44" t="str">
        <f t="shared" si="2074"/>
        <v/>
      </c>
      <c r="DK134" s="44" t="str">
        <f t="shared" si="2075"/>
        <v/>
      </c>
      <c r="DL134" s="44" t="str">
        <f t="shared" si="2076"/>
        <v/>
      </c>
      <c r="DM134" s="44" t="str">
        <f t="shared" si="2077"/>
        <v/>
      </c>
      <c r="DN134" s="44" t="str">
        <f t="shared" si="2078"/>
        <v/>
      </c>
      <c r="DO134" s="44" t="str">
        <f t="shared" si="2079"/>
        <v/>
      </c>
      <c r="DP134" s="44" t="str">
        <f t="shared" si="2080"/>
        <v/>
      </c>
      <c r="DQ134" s="44" t="str">
        <f t="shared" si="2081"/>
        <v/>
      </c>
      <c r="DR134" s="44" t="str">
        <f t="shared" si="2082"/>
        <v/>
      </c>
      <c r="DS134" s="44" t="str">
        <f t="shared" si="2083"/>
        <v/>
      </c>
      <c r="DT134" s="44" t="str">
        <f t="shared" si="2084"/>
        <v/>
      </c>
      <c r="DU134" s="44" t="str">
        <f t="shared" si="2085"/>
        <v/>
      </c>
      <c r="DV134" s="44" t="str">
        <f t="shared" si="2086"/>
        <v/>
      </c>
      <c r="DW134" s="44" t="str">
        <f t="shared" si="2087"/>
        <v/>
      </c>
      <c r="DX134" s="44" t="str">
        <f t="shared" si="2088"/>
        <v/>
      </c>
      <c r="DY134" s="44" t="str">
        <f t="shared" si="2089"/>
        <v/>
      </c>
      <c r="DZ134" s="44" t="str">
        <f t="shared" si="2090"/>
        <v/>
      </c>
      <c r="EA134" s="44" t="str">
        <f t="shared" si="2091"/>
        <v/>
      </c>
      <c r="EB134" s="44" t="str">
        <f t="shared" si="2092"/>
        <v/>
      </c>
      <c r="EC134" s="44" t="str">
        <f t="shared" si="2093"/>
        <v/>
      </c>
      <c r="ED134" s="44" t="str">
        <f t="shared" si="2094"/>
        <v/>
      </c>
      <c r="EE134" s="44" t="str">
        <f t="shared" si="2095"/>
        <v/>
      </c>
      <c r="EF134" s="44" t="str">
        <f t="shared" si="2096"/>
        <v/>
      </c>
      <c r="EG134" s="44" t="str">
        <f t="shared" si="2097"/>
        <v/>
      </c>
      <c r="EH134" s="44" t="str">
        <f t="shared" si="2098"/>
        <v/>
      </c>
      <c r="EI134" s="44" t="str">
        <f t="shared" si="2099"/>
        <v/>
      </c>
      <c r="EJ134" s="44" t="str">
        <f t="shared" si="2100"/>
        <v/>
      </c>
      <c r="EK134" s="44" t="str">
        <f t="shared" si="2101"/>
        <v/>
      </c>
      <c r="EL134" s="44" t="str">
        <f t="shared" si="2102"/>
        <v/>
      </c>
      <c r="EM134" s="44" t="str">
        <f t="shared" si="2103"/>
        <v/>
      </c>
      <c r="EN134" s="44" t="str">
        <f t="shared" si="2104"/>
        <v/>
      </c>
      <c r="EO134" s="44" t="str">
        <f t="shared" si="2105"/>
        <v/>
      </c>
      <c r="EP134" s="44" t="str">
        <f t="shared" si="2106"/>
        <v/>
      </c>
      <c r="EQ134" s="44" t="str">
        <f t="shared" si="2107"/>
        <v/>
      </c>
      <c r="ER134" s="44" t="str">
        <f t="shared" si="2108"/>
        <v/>
      </c>
      <c r="ES134" s="44" t="str">
        <f t="shared" si="2109"/>
        <v/>
      </c>
      <c r="ET134" s="44" t="str">
        <f t="shared" si="2110"/>
        <v/>
      </c>
      <c r="EU134" s="44" t="str">
        <f t="shared" si="2111"/>
        <v/>
      </c>
      <c r="EV134" s="44" t="str">
        <f t="shared" si="2112"/>
        <v/>
      </c>
      <c r="EW134" s="44" t="str">
        <f t="shared" si="2113"/>
        <v/>
      </c>
      <c r="EX134" s="44" t="str">
        <f t="shared" si="2114"/>
        <v/>
      </c>
      <c r="EY134" s="44" t="str">
        <f t="shared" si="2115"/>
        <v/>
      </c>
      <c r="EZ134" s="44" t="str">
        <f t="shared" si="2116"/>
        <v/>
      </c>
      <c r="FA134" s="44" t="str">
        <f t="shared" si="2117"/>
        <v/>
      </c>
      <c r="FB134" s="44" t="str">
        <f t="shared" si="2118"/>
        <v/>
      </c>
      <c r="FC134" s="44" t="str">
        <f t="shared" si="2119"/>
        <v/>
      </c>
      <c r="FD134" s="44" t="str">
        <f t="shared" si="2120"/>
        <v/>
      </c>
      <c r="FE134" s="44" t="str">
        <f t="shared" si="2121"/>
        <v/>
      </c>
      <c r="FF134" s="44" t="str">
        <f t="shared" si="2122"/>
        <v/>
      </c>
      <c r="FG134" s="44" t="str">
        <f t="shared" si="2123"/>
        <v/>
      </c>
      <c r="FH134" s="44" t="str">
        <f t="shared" si="2124"/>
        <v/>
      </c>
      <c r="FI134" s="44" t="str">
        <f t="shared" si="2125"/>
        <v/>
      </c>
      <c r="FJ134" s="44" t="str">
        <f t="shared" si="2126"/>
        <v/>
      </c>
      <c r="FK134" s="44" t="str">
        <f t="shared" si="2127"/>
        <v/>
      </c>
      <c r="FL134" s="44" t="str">
        <f t="shared" si="2128"/>
        <v/>
      </c>
      <c r="FM134" s="44" t="str">
        <f t="shared" si="2129"/>
        <v/>
      </c>
      <c r="FN134" s="44" t="str">
        <f t="shared" si="2130"/>
        <v/>
      </c>
      <c r="FO134" s="44" t="str">
        <f t="shared" si="2131"/>
        <v/>
      </c>
      <c r="FP134" s="44" t="str">
        <f t="shared" si="2132"/>
        <v/>
      </c>
      <c r="FQ134" s="44" t="str">
        <f t="shared" si="2133"/>
        <v/>
      </c>
      <c r="FR134" s="44" t="str">
        <f t="shared" si="2134"/>
        <v/>
      </c>
      <c r="FS134" s="44" t="str">
        <f t="shared" si="2135"/>
        <v/>
      </c>
    </row>
    <row r="135" ht="15" spans="1:175">
      <c r="A135" s="5"/>
      <c r="B135" s="7" t="s">
        <v>501</v>
      </c>
      <c r="C135" s="80" t="s">
        <v>493</v>
      </c>
      <c r="T135" s="85" t="s">
        <v>502</v>
      </c>
      <c r="U135" s="60" t="s">
        <v>495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72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4" t="str">
        <f t="shared" si="2066"/>
        <v/>
      </c>
      <c r="DC135" s="44" t="str">
        <f t="shared" si="2067"/>
        <v/>
      </c>
      <c r="DD135" s="44" t="str">
        <f t="shared" si="2068"/>
        <v/>
      </c>
      <c r="DE135" s="44" t="str">
        <f t="shared" si="2069"/>
        <v/>
      </c>
      <c r="DF135" s="44" t="str">
        <f t="shared" si="2070"/>
        <v/>
      </c>
      <c r="DG135" s="44" t="str">
        <f t="shared" si="2071"/>
        <v/>
      </c>
      <c r="DH135" s="44" t="str">
        <f t="shared" si="2072"/>
        <v/>
      </c>
      <c r="DI135" s="44" t="str">
        <f t="shared" si="2073"/>
        <v/>
      </c>
      <c r="DJ135" s="44" t="str">
        <f t="shared" si="2074"/>
        <v/>
      </c>
      <c r="DK135" s="44" t="str">
        <f t="shared" si="2075"/>
        <v/>
      </c>
      <c r="DL135" s="44" t="str">
        <f t="shared" si="2076"/>
        <v/>
      </c>
      <c r="DM135" s="44" t="str">
        <f t="shared" si="2077"/>
        <v/>
      </c>
      <c r="DN135" s="44" t="str">
        <f t="shared" si="2078"/>
        <v/>
      </c>
      <c r="DO135" s="44" t="str">
        <f t="shared" si="2079"/>
        <v/>
      </c>
      <c r="DP135" s="44" t="str">
        <f t="shared" si="2080"/>
        <v/>
      </c>
      <c r="DQ135" s="44" t="str">
        <f t="shared" si="2081"/>
        <v/>
      </c>
      <c r="DR135" s="44" t="str">
        <f t="shared" si="2082"/>
        <v/>
      </c>
      <c r="DS135" s="44" t="str">
        <f t="shared" si="2083"/>
        <v/>
      </c>
      <c r="DT135" s="44" t="str">
        <f t="shared" si="2084"/>
        <v/>
      </c>
      <c r="DU135" s="44" t="str">
        <f t="shared" si="2085"/>
        <v/>
      </c>
      <c r="DV135" s="44" t="str">
        <f t="shared" si="2086"/>
        <v/>
      </c>
      <c r="DW135" s="44" t="str">
        <f t="shared" si="2087"/>
        <v/>
      </c>
      <c r="DX135" s="44" t="str">
        <f t="shared" si="2088"/>
        <v/>
      </c>
      <c r="DY135" s="44" t="str">
        <f t="shared" si="2089"/>
        <v/>
      </c>
      <c r="DZ135" s="44" t="str">
        <f t="shared" si="2090"/>
        <v/>
      </c>
      <c r="EA135" s="44" t="str">
        <f t="shared" si="2091"/>
        <v/>
      </c>
      <c r="EB135" s="44" t="str">
        <f t="shared" si="2092"/>
        <v/>
      </c>
      <c r="EC135" s="44" t="str">
        <f t="shared" si="2093"/>
        <v/>
      </c>
      <c r="ED135" s="44" t="str">
        <f t="shared" si="2094"/>
        <v/>
      </c>
      <c r="EE135" s="44" t="str">
        <f t="shared" si="2095"/>
        <v/>
      </c>
      <c r="EF135" s="44" t="str">
        <f t="shared" si="2096"/>
        <v/>
      </c>
      <c r="EG135" s="44" t="str">
        <f t="shared" si="2097"/>
        <v/>
      </c>
      <c r="EH135" s="44" t="str">
        <f t="shared" si="2098"/>
        <v/>
      </c>
      <c r="EI135" s="44" t="str">
        <f t="shared" si="2099"/>
        <v/>
      </c>
      <c r="EJ135" s="44" t="str">
        <f t="shared" si="2100"/>
        <v/>
      </c>
      <c r="EK135" s="44" t="str">
        <f t="shared" si="2101"/>
        <v/>
      </c>
      <c r="EL135" s="44" t="str">
        <f t="shared" si="2102"/>
        <v/>
      </c>
      <c r="EM135" s="44" t="str">
        <f t="shared" si="2103"/>
        <v/>
      </c>
      <c r="EN135" s="44" t="str">
        <f t="shared" si="2104"/>
        <v/>
      </c>
      <c r="EO135" s="44" t="str">
        <f t="shared" si="2105"/>
        <v/>
      </c>
      <c r="EP135" s="44" t="str">
        <f t="shared" si="2106"/>
        <v/>
      </c>
      <c r="EQ135" s="44" t="str">
        <f t="shared" si="2107"/>
        <v/>
      </c>
      <c r="ER135" s="44" t="str">
        <f t="shared" si="2108"/>
        <v/>
      </c>
      <c r="ES135" s="44" t="str">
        <f t="shared" si="2109"/>
        <v/>
      </c>
      <c r="ET135" s="44" t="str">
        <f t="shared" si="2110"/>
        <v/>
      </c>
      <c r="EU135" s="44" t="str">
        <f t="shared" si="2111"/>
        <v/>
      </c>
      <c r="EV135" s="44" t="str">
        <f t="shared" si="2112"/>
        <v/>
      </c>
      <c r="EW135" s="44" t="str">
        <f t="shared" si="2113"/>
        <v/>
      </c>
      <c r="EX135" s="44" t="str">
        <f t="shared" si="2114"/>
        <v/>
      </c>
      <c r="EY135" s="44" t="str">
        <f t="shared" si="2115"/>
        <v/>
      </c>
      <c r="EZ135" s="44" t="str">
        <f t="shared" si="2116"/>
        <v/>
      </c>
      <c r="FA135" s="44" t="str">
        <f t="shared" si="2117"/>
        <v/>
      </c>
      <c r="FB135" s="44" t="str">
        <f t="shared" si="2118"/>
        <v/>
      </c>
      <c r="FC135" s="44" t="str">
        <f t="shared" si="2119"/>
        <v/>
      </c>
      <c r="FD135" s="44" t="str">
        <f t="shared" si="2120"/>
        <v/>
      </c>
      <c r="FE135" s="44" t="str">
        <f t="shared" si="2121"/>
        <v/>
      </c>
      <c r="FF135" s="44" t="str">
        <f t="shared" si="2122"/>
        <v/>
      </c>
      <c r="FG135" s="44" t="str">
        <f t="shared" si="2123"/>
        <v/>
      </c>
      <c r="FH135" s="44" t="str">
        <f t="shared" si="2124"/>
        <v/>
      </c>
      <c r="FI135" s="44" t="str">
        <f t="shared" si="2125"/>
        <v/>
      </c>
      <c r="FJ135" s="44" t="str">
        <f t="shared" si="2126"/>
        <v/>
      </c>
      <c r="FK135" s="44" t="str">
        <f t="shared" si="2127"/>
        <v/>
      </c>
      <c r="FL135" s="44" t="str">
        <f t="shared" si="2128"/>
        <v/>
      </c>
      <c r="FM135" s="44" t="str">
        <f t="shared" si="2129"/>
        <v/>
      </c>
      <c r="FN135" s="44" t="str">
        <f t="shared" si="2130"/>
        <v/>
      </c>
      <c r="FO135" s="44" t="str">
        <f t="shared" si="2131"/>
        <v/>
      </c>
      <c r="FP135" s="44" t="str">
        <f t="shared" si="2132"/>
        <v/>
      </c>
      <c r="FQ135" s="44" t="str">
        <f t="shared" si="2133"/>
        <v/>
      </c>
      <c r="FR135" s="44" t="str">
        <f t="shared" si="2134"/>
        <v/>
      </c>
      <c r="FS135" s="44" t="str">
        <f t="shared" si="2135"/>
        <v/>
      </c>
    </row>
    <row r="136" ht="57.6" spans="1:175">
      <c r="A136" s="5"/>
      <c r="B136" s="7" t="s">
        <v>503</v>
      </c>
      <c r="C136" s="80" t="s">
        <v>485</v>
      </c>
      <c r="T136" s="85" t="s">
        <v>486</v>
      </c>
      <c r="U136" s="60" t="s">
        <v>487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72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     </v>
      </c>
      <c r="CW136" s="7"/>
      <c r="CX136" s="7"/>
      <c r="CY136" s="7"/>
      <c r="CZ136" s="7"/>
      <c r="DA136" s="7"/>
      <c r="DB136" s="44" t="str">
        <f t="shared" si="2066"/>
        <v/>
      </c>
      <c r="DC136" s="44" t="str">
        <f t="shared" si="2067"/>
        <v/>
      </c>
      <c r="DD136" s="44" t="str">
        <f t="shared" si="2068"/>
        <v/>
      </c>
      <c r="DE136" s="44" t="str">
        <f t="shared" si="2069"/>
        <v/>
      </c>
      <c r="DF136" s="44" t="str">
        <f t="shared" si="2070"/>
        <v/>
      </c>
      <c r="DG136" s="44" t="str">
        <f t="shared" si="2071"/>
        <v/>
      </c>
      <c r="DH136" s="44" t="str">
        <f t="shared" si="2072"/>
        <v/>
      </c>
      <c r="DI136" s="44" t="str">
        <f t="shared" si="2073"/>
        <v/>
      </c>
      <c r="DJ136" s="44" t="str">
        <f t="shared" si="2074"/>
        <v/>
      </c>
      <c r="DK136" s="44" t="str">
        <f t="shared" si="2075"/>
        <v/>
      </c>
      <c r="DL136" s="44" t="str">
        <f t="shared" si="2076"/>
        <v/>
      </c>
      <c r="DM136" s="44" t="str">
        <f t="shared" si="2077"/>
        <v/>
      </c>
      <c r="DN136" s="44" t="str">
        <f t="shared" si="2078"/>
        <v/>
      </c>
      <c r="DO136" s="44" t="str">
        <f t="shared" si="2079"/>
        <v/>
      </c>
      <c r="DP136" s="44" t="str">
        <f t="shared" si="2080"/>
        <v/>
      </c>
      <c r="DQ136" s="44" t="str">
        <f t="shared" si="2081"/>
        <v/>
      </c>
      <c r="DR136" s="44" t="str">
        <f t="shared" si="2082"/>
        <v/>
      </c>
      <c r="DS136" s="44" t="str">
        <f t="shared" si="2083"/>
        <v/>
      </c>
      <c r="DT136" s="44" t="str">
        <f t="shared" si="2084"/>
        <v/>
      </c>
      <c r="DU136" s="44" t="str">
        <f t="shared" si="2085"/>
        <v/>
      </c>
      <c r="DV136" s="44" t="str">
        <f t="shared" si="2086"/>
        <v/>
      </c>
      <c r="DW136" s="44" t="str">
        <f t="shared" si="2087"/>
        <v/>
      </c>
      <c r="DX136" s="44" t="str">
        <f t="shared" si="2088"/>
        <v/>
      </c>
      <c r="DY136" s="44" t="str">
        <f t="shared" si="2089"/>
        <v/>
      </c>
      <c r="DZ136" s="44" t="str">
        <f t="shared" si="2090"/>
        <v/>
      </c>
      <c r="EA136" s="44" t="str">
        <f t="shared" si="2091"/>
        <v/>
      </c>
      <c r="EB136" s="44" t="str">
        <f t="shared" si="2092"/>
        <v/>
      </c>
      <c r="EC136" s="44" t="str">
        <f t="shared" si="2093"/>
        <v/>
      </c>
      <c r="ED136" s="44" t="str">
        <f t="shared" si="2094"/>
        <v/>
      </c>
      <c r="EE136" s="44" t="str">
        <f t="shared" si="2095"/>
        <v/>
      </c>
      <c r="EF136" s="44" t="str">
        <f t="shared" si="2096"/>
        <v/>
      </c>
      <c r="EG136" s="44" t="str">
        <f t="shared" si="2097"/>
        <v/>
      </c>
      <c r="EH136" s="44" t="str">
        <f t="shared" si="2098"/>
        <v/>
      </c>
      <c r="EI136" s="44" t="str">
        <f t="shared" si="2099"/>
        <v/>
      </c>
      <c r="EJ136" s="44" t="str">
        <f t="shared" si="2100"/>
        <v/>
      </c>
      <c r="EK136" s="44" t="str">
        <f t="shared" si="2101"/>
        <v/>
      </c>
      <c r="EL136" s="44" t="str">
        <f t="shared" si="2102"/>
        <v/>
      </c>
      <c r="EM136" s="44" t="str">
        <f t="shared" si="2103"/>
        <v/>
      </c>
      <c r="EN136" s="44" t="str">
        <f t="shared" si="2104"/>
        <v/>
      </c>
      <c r="EO136" s="44" t="str">
        <f t="shared" si="2105"/>
        <v/>
      </c>
      <c r="EP136" s="44" t="str">
        <f t="shared" si="2106"/>
        <v/>
      </c>
      <c r="EQ136" s="44" t="str">
        <f t="shared" si="2107"/>
        <v/>
      </c>
      <c r="ER136" s="44" t="str">
        <f t="shared" si="2108"/>
        <v/>
      </c>
      <c r="ES136" s="44" t="str">
        <f t="shared" si="2109"/>
        <v/>
      </c>
      <c r="ET136" s="44" t="str">
        <f t="shared" si="2110"/>
        <v/>
      </c>
      <c r="EU136" s="44" t="str">
        <f t="shared" si="2111"/>
        <v/>
      </c>
      <c r="EV136" s="44" t="str">
        <f t="shared" si="2112"/>
        <v/>
      </c>
      <c r="EW136" s="44" t="str">
        <f t="shared" si="2113"/>
        <v/>
      </c>
      <c r="EX136" s="44" t="str">
        <f t="shared" si="2114"/>
        <v/>
      </c>
      <c r="EY136" s="44" t="str">
        <f t="shared" si="2115"/>
        <v/>
      </c>
      <c r="EZ136" s="44" t="str">
        <f t="shared" si="2116"/>
        <v/>
      </c>
      <c r="FA136" s="44" t="str">
        <f t="shared" si="2117"/>
        <v/>
      </c>
      <c r="FB136" s="44" t="str">
        <f t="shared" si="2118"/>
        <v/>
      </c>
      <c r="FC136" s="44" t="str">
        <f t="shared" si="2119"/>
        <v/>
      </c>
      <c r="FD136" s="44" t="str">
        <f t="shared" si="2120"/>
        <v/>
      </c>
      <c r="FE136" s="44" t="str">
        <f t="shared" si="2121"/>
        <v/>
      </c>
      <c r="FF136" s="44" t="str">
        <f t="shared" si="2122"/>
        <v/>
      </c>
      <c r="FG136" s="44" t="str">
        <f t="shared" si="2123"/>
        <v/>
      </c>
      <c r="FH136" s="44" t="str">
        <f t="shared" si="2124"/>
        <v/>
      </c>
      <c r="FI136" s="44" t="str">
        <f t="shared" si="2125"/>
        <v/>
      </c>
      <c r="FJ136" s="44" t="str">
        <f t="shared" si="2126"/>
        <v/>
      </c>
      <c r="FK136" s="44" t="str">
        <f t="shared" si="2127"/>
        <v/>
      </c>
      <c r="FL136" s="44" t="str">
        <f t="shared" si="2128"/>
        <v/>
      </c>
      <c r="FM136" s="44" t="str">
        <f t="shared" si="2129"/>
        <v/>
      </c>
      <c r="FN136" s="44" t="str">
        <f t="shared" si="2130"/>
        <v/>
      </c>
      <c r="FO136" s="44" t="str">
        <f t="shared" si="2131"/>
        <v/>
      </c>
      <c r="FP136" s="44" t="str">
        <f t="shared" si="2132"/>
        <v/>
      </c>
      <c r="FQ136" s="44" t="str">
        <f t="shared" si="2133"/>
        <v/>
      </c>
      <c r="FR136" s="44" t="str">
        <f t="shared" si="2134"/>
        <v/>
      </c>
      <c r="FS136" s="44" t="str">
        <f t="shared" si="2135"/>
        <v/>
      </c>
    </row>
    <row r="137" ht="57.6" spans="1:175">
      <c r="A137" s="5"/>
      <c r="B137" s="7" t="s">
        <v>504</v>
      </c>
      <c r="C137" s="80" t="s">
        <v>485</v>
      </c>
      <c r="T137" s="85" t="s">
        <v>486</v>
      </c>
      <c r="U137" s="60" t="s">
        <v>487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72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     </v>
      </c>
      <c r="CW137" s="7"/>
      <c r="CX137" s="7"/>
      <c r="CY137" s="7"/>
      <c r="CZ137" s="7"/>
      <c r="DA137" s="7"/>
      <c r="DB137" s="44" t="str">
        <f t="shared" si="2066"/>
        <v/>
      </c>
      <c r="DC137" s="44" t="str">
        <f t="shared" si="2067"/>
        <v/>
      </c>
      <c r="DD137" s="44" t="str">
        <f t="shared" si="2068"/>
        <v/>
      </c>
      <c r="DE137" s="44" t="str">
        <f t="shared" si="2069"/>
        <v/>
      </c>
      <c r="DF137" s="44" t="str">
        <f t="shared" si="2070"/>
        <v/>
      </c>
      <c r="DG137" s="44" t="str">
        <f t="shared" si="2071"/>
        <v/>
      </c>
      <c r="DH137" s="44" t="str">
        <f t="shared" si="2072"/>
        <v/>
      </c>
      <c r="DI137" s="44" t="str">
        <f t="shared" si="2073"/>
        <v/>
      </c>
      <c r="DJ137" s="44" t="str">
        <f t="shared" si="2074"/>
        <v/>
      </c>
      <c r="DK137" s="44" t="str">
        <f t="shared" si="2075"/>
        <v/>
      </c>
      <c r="DL137" s="44" t="str">
        <f t="shared" si="2076"/>
        <v/>
      </c>
      <c r="DM137" s="44" t="str">
        <f t="shared" si="2077"/>
        <v/>
      </c>
      <c r="DN137" s="44" t="str">
        <f t="shared" si="2078"/>
        <v/>
      </c>
      <c r="DO137" s="44" t="str">
        <f t="shared" si="2079"/>
        <v/>
      </c>
      <c r="DP137" s="44" t="str">
        <f t="shared" si="2080"/>
        <v/>
      </c>
      <c r="DQ137" s="44" t="str">
        <f t="shared" si="2081"/>
        <v/>
      </c>
      <c r="DR137" s="44" t="str">
        <f t="shared" si="2082"/>
        <v/>
      </c>
      <c r="DS137" s="44" t="str">
        <f t="shared" si="2083"/>
        <v/>
      </c>
      <c r="DT137" s="44" t="str">
        <f t="shared" si="2084"/>
        <v/>
      </c>
      <c r="DU137" s="44" t="str">
        <f t="shared" si="2085"/>
        <v/>
      </c>
      <c r="DV137" s="44" t="str">
        <f t="shared" si="2086"/>
        <v/>
      </c>
      <c r="DW137" s="44" t="str">
        <f t="shared" si="2087"/>
        <v/>
      </c>
      <c r="DX137" s="44" t="str">
        <f t="shared" si="2088"/>
        <v/>
      </c>
      <c r="DY137" s="44" t="str">
        <f t="shared" si="2089"/>
        <v/>
      </c>
      <c r="DZ137" s="44" t="str">
        <f t="shared" si="2090"/>
        <v/>
      </c>
      <c r="EA137" s="44" t="str">
        <f t="shared" si="2091"/>
        <v/>
      </c>
      <c r="EB137" s="44" t="str">
        <f t="shared" si="2092"/>
        <v/>
      </c>
      <c r="EC137" s="44" t="str">
        <f t="shared" si="2093"/>
        <v/>
      </c>
      <c r="ED137" s="44" t="str">
        <f t="shared" si="2094"/>
        <v/>
      </c>
      <c r="EE137" s="44" t="str">
        <f t="shared" si="2095"/>
        <v/>
      </c>
      <c r="EF137" s="44" t="str">
        <f t="shared" si="2096"/>
        <v/>
      </c>
      <c r="EG137" s="44" t="str">
        <f t="shared" si="2097"/>
        <v/>
      </c>
      <c r="EH137" s="44" t="str">
        <f t="shared" si="2098"/>
        <v/>
      </c>
      <c r="EI137" s="44" t="str">
        <f t="shared" si="2099"/>
        <v/>
      </c>
      <c r="EJ137" s="44" t="str">
        <f t="shared" si="2100"/>
        <v/>
      </c>
      <c r="EK137" s="44" t="str">
        <f t="shared" si="2101"/>
        <v/>
      </c>
      <c r="EL137" s="44" t="str">
        <f t="shared" si="2102"/>
        <v/>
      </c>
      <c r="EM137" s="44" t="str">
        <f t="shared" si="2103"/>
        <v/>
      </c>
      <c r="EN137" s="44" t="str">
        <f t="shared" si="2104"/>
        <v/>
      </c>
      <c r="EO137" s="44" t="str">
        <f t="shared" si="2105"/>
        <v/>
      </c>
      <c r="EP137" s="44" t="str">
        <f t="shared" si="2106"/>
        <v/>
      </c>
      <c r="EQ137" s="44" t="str">
        <f t="shared" si="2107"/>
        <v/>
      </c>
      <c r="ER137" s="44" t="str">
        <f t="shared" si="2108"/>
        <v/>
      </c>
      <c r="ES137" s="44" t="str">
        <f t="shared" si="2109"/>
        <v/>
      </c>
      <c r="ET137" s="44" t="str">
        <f t="shared" si="2110"/>
        <v/>
      </c>
      <c r="EU137" s="44" t="str">
        <f t="shared" si="2111"/>
        <v/>
      </c>
      <c r="EV137" s="44" t="str">
        <f t="shared" si="2112"/>
        <v/>
      </c>
      <c r="EW137" s="44" t="str">
        <f t="shared" si="2113"/>
        <v/>
      </c>
      <c r="EX137" s="44" t="str">
        <f t="shared" si="2114"/>
        <v/>
      </c>
      <c r="EY137" s="44" t="str">
        <f t="shared" si="2115"/>
        <v/>
      </c>
      <c r="EZ137" s="44" t="str">
        <f t="shared" si="2116"/>
        <v/>
      </c>
      <c r="FA137" s="44" t="str">
        <f t="shared" si="2117"/>
        <v/>
      </c>
      <c r="FB137" s="44" t="str">
        <f t="shared" si="2118"/>
        <v/>
      </c>
      <c r="FC137" s="44" t="str">
        <f t="shared" si="2119"/>
        <v/>
      </c>
      <c r="FD137" s="44" t="str">
        <f t="shared" si="2120"/>
        <v/>
      </c>
      <c r="FE137" s="44" t="str">
        <f t="shared" si="2121"/>
        <v/>
      </c>
      <c r="FF137" s="44" t="str">
        <f t="shared" si="2122"/>
        <v/>
      </c>
      <c r="FG137" s="44" t="str">
        <f t="shared" si="2123"/>
        <v/>
      </c>
      <c r="FH137" s="44" t="str">
        <f t="shared" si="2124"/>
        <v/>
      </c>
      <c r="FI137" s="44" t="str">
        <f t="shared" si="2125"/>
        <v/>
      </c>
      <c r="FJ137" s="44" t="str">
        <f t="shared" si="2126"/>
        <v/>
      </c>
      <c r="FK137" s="44" t="str">
        <f t="shared" si="2127"/>
        <v/>
      </c>
      <c r="FL137" s="44" t="str">
        <f t="shared" si="2128"/>
        <v/>
      </c>
      <c r="FM137" s="44" t="str">
        <f t="shared" si="2129"/>
        <v/>
      </c>
      <c r="FN137" s="44" t="str">
        <f t="shared" si="2130"/>
        <v/>
      </c>
      <c r="FO137" s="44" t="str">
        <f t="shared" si="2131"/>
        <v/>
      </c>
      <c r="FP137" s="44" t="str">
        <f t="shared" si="2132"/>
        <v/>
      </c>
      <c r="FQ137" s="44" t="str">
        <f t="shared" si="2133"/>
        <v/>
      </c>
      <c r="FR137" s="44" t="str">
        <f t="shared" si="2134"/>
        <v/>
      </c>
      <c r="FS137" s="44" t="str">
        <f t="shared" si="2135"/>
        <v/>
      </c>
    </row>
    <row r="138" ht="57.6" spans="1:175">
      <c r="A138" s="5"/>
      <c r="B138" s="7" t="s">
        <v>505</v>
      </c>
      <c r="C138" s="80" t="s">
        <v>485</v>
      </c>
      <c r="T138" s="85" t="s">
        <v>486</v>
      </c>
      <c r="U138" s="60" t="s">
        <v>487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72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     </v>
      </c>
      <c r="CW138" s="7"/>
      <c r="CX138" s="7"/>
      <c r="CY138" s="7"/>
      <c r="CZ138" s="7"/>
      <c r="DA138" s="7"/>
      <c r="DB138" s="44" t="str">
        <f t="shared" si="2066"/>
        <v/>
      </c>
      <c r="DC138" s="44" t="str">
        <f t="shared" si="2067"/>
        <v/>
      </c>
      <c r="DD138" s="44" t="str">
        <f t="shared" si="2068"/>
        <v/>
      </c>
      <c r="DE138" s="44" t="str">
        <f t="shared" si="2069"/>
        <v/>
      </c>
      <c r="DF138" s="44" t="str">
        <f t="shared" si="2070"/>
        <v/>
      </c>
      <c r="DG138" s="44" t="str">
        <f t="shared" si="2071"/>
        <v/>
      </c>
      <c r="DH138" s="44" t="str">
        <f t="shared" si="2072"/>
        <v/>
      </c>
      <c r="DI138" s="44" t="str">
        <f t="shared" si="2073"/>
        <v/>
      </c>
      <c r="DJ138" s="44" t="str">
        <f t="shared" si="2074"/>
        <v/>
      </c>
      <c r="DK138" s="44" t="str">
        <f t="shared" si="2075"/>
        <v/>
      </c>
      <c r="DL138" s="44" t="str">
        <f t="shared" si="2076"/>
        <v/>
      </c>
      <c r="DM138" s="44" t="str">
        <f t="shared" si="2077"/>
        <v/>
      </c>
      <c r="DN138" s="44" t="str">
        <f t="shared" si="2078"/>
        <v/>
      </c>
      <c r="DO138" s="44" t="str">
        <f t="shared" si="2079"/>
        <v/>
      </c>
      <c r="DP138" s="44" t="str">
        <f t="shared" si="2080"/>
        <v/>
      </c>
      <c r="DQ138" s="44" t="str">
        <f t="shared" si="2081"/>
        <v/>
      </c>
      <c r="DR138" s="44" t="str">
        <f t="shared" si="2082"/>
        <v/>
      </c>
      <c r="DS138" s="44" t="str">
        <f t="shared" si="2083"/>
        <v/>
      </c>
      <c r="DT138" s="44" t="str">
        <f t="shared" si="2084"/>
        <v/>
      </c>
      <c r="DU138" s="44" t="str">
        <f t="shared" si="2085"/>
        <v/>
      </c>
      <c r="DV138" s="44" t="str">
        <f t="shared" si="2086"/>
        <v/>
      </c>
      <c r="DW138" s="44" t="str">
        <f t="shared" si="2087"/>
        <v/>
      </c>
      <c r="DX138" s="44" t="str">
        <f t="shared" si="2088"/>
        <v/>
      </c>
      <c r="DY138" s="44" t="str">
        <f t="shared" si="2089"/>
        <v/>
      </c>
      <c r="DZ138" s="44" t="str">
        <f t="shared" si="2090"/>
        <v/>
      </c>
      <c r="EA138" s="44" t="str">
        <f t="shared" si="2091"/>
        <v/>
      </c>
      <c r="EB138" s="44" t="str">
        <f t="shared" si="2092"/>
        <v/>
      </c>
      <c r="EC138" s="44" t="str">
        <f t="shared" si="2093"/>
        <v/>
      </c>
      <c r="ED138" s="44" t="str">
        <f t="shared" si="2094"/>
        <v/>
      </c>
      <c r="EE138" s="44" t="str">
        <f t="shared" si="2095"/>
        <v/>
      </c>
      <c r="EF138" s="44" t="str">
        <f t="shared" si="2096"/>
        <v/>
      </c>
      <c r="EG138" s="44" t="str">
        <f t="shared" si="2097"/>
        <v/>
      </c>
      <c r="EH138" s="44" t="str">
        <f t="shared" si="2098"/>
        <v/>
      </c>
      <c r="EI138" s="44" t="str">
        <f t="shared" si="2099"/>
        <v/>
      </c>
      <c r="EJ138" s="44" t="str">
        <f t="shared" si="2100"/>
        <v/>
      </c>
      <c r="EK138" s="44" t="str">
        <f t="shared" si="2101"/>
        <v/>
      </c>
      <c r="EL138" s="44" t="str">
        <f t="shared" si="2102"/>
        <v/>
      </c>
      <c r="EM138" s="44" t="str">
        <f t="shared" si="2103"/>
        <v/>
      </c>
      <c r="EN138" s="44" t="str">
        <f t="shared" si="2104"/>
        <v/>
      </c>
      <c r="EO138" s="44" t="str">
        <f t="shared" si="2105"/>
        <v/>
      </c>
      <c r="EP138" s="44" t="str">
        <f t="shared" si="2106"/>
        <v/>
      </c>
      <c r="EQ138" s="44" t="str">
        <f t="shared" si="2107"/>
        <v/>
      </c>
      <c r="ER138" s="44" t="str">
        <f t="shared" si="2108"/>
        <v/>
      </c>
      <c r="ES138" s="44" t="str">
        <f t="shared" si="2109"/>
        <v/>
      </c>
      <c r="ET138" s="44" t="str">
        <f t="shared" si="2110"/>
        <v/>
      </c>
      <c r="EU138" s="44" t="str">
        <f t="shared" si="2111"/>
        <v/>
      </c>
      <c r="EV138" s="44" t="str">
        <f t="shared" si="2112"/>
        <v/>
      </c>
      <c r="EW138" s="44" t="str">
        <f t="shared" si="2113"/>
        <v/>
      </c>
      <c r="EX138" s="44" t="str">
        <f t="shared" si="2114"/>
        <v/>
      </c>
      <c r="EY138" s="44" t="str">
        <f t="shared" si="2115"/>
        <v/>
      </c>
      <c r="EZ138" s="44" t="str">
        <f t="shared" si="2116"/>
        <v/>
      </c>
      <c r="FA138" s="44" t="str">
        <f t="shared" si="2117"/>
        <v/>
      </c>
      <c r="FB138" s="44" t="str">
        <f t="shared" si="2118"/>
        <v/>
      </c>
      <c r="FC138" s="44" t="str">
        <f t="shared" si="2119"/>
        <v/>
      </c>
      <c r="FD138" s="44" t="str">
        <f t="shared" si="2120"/>
        <v/>
      </c>
      <c r="FE138" s="44" t="str">
        <f t="shared" si="2121"/>
        <v/>
      </c>
      <c r="FF138" s="44" t="str">
        <f t="shared" si="2122"/>
        <v/>
      </c>
      <c r="FG138" s="44" t="str">
        <f t="shared" si="2123"/>
        <v/>
      </c>
      <c r="FH138" s="44" t="str">
        <f t="shared" si="2124"/>
        <v/>
      </c>
      <c r="FI138" s="44" t="str">
        <f t="shared" si="2125"/>
        <v/>
      </c>
      <c r="FJ138" s="44" t="str">
        <f t="shared" si="2126"/>
        <v/>
      </c>
      <c r="FK138" s="44" t="str">
        <f t="shared" si="2127"/>
        <v/>
      </c>
      <c r="FL138" s="44" t="str">
        <f t="shared" si="2128"/>
        <v/>
      </c>
      <c r="FM138" s="44" t="str">
        <f t="shared" si="2129"/>
        <v/>
      </c>
      <c r="FN138" s="44" t="str">
        <f t="shared" si="2130"/>
        <v/>
      </c>
      <c r="FO138" s="44" t="str">
        <f t="shared" si="2131"/>
        <v/>
      </c>
      <c r="FP138" s="44" t="str">
        <f t="shared" si="2132"/>
        <v/>
      </c>
      <c r="FQ138" s="44" t="str">
        <f t="shared" si="2133"/>
        <v/>
      </c>
      <c r="FR138" s="44" t="str">
        <f t="shared" si="2134"/>
        <v/>
      </c>
      <c r="FS138" s="44" t="str">
        <f t="shared" si="2135"/>
        <v/>
      </c>
    </row>
    <row r="139" ht="57.6" spans="1:175">
      <c r="A139" s="5"/>
      <c r="B139" s="7" t="s">
        <v>506</v>
      </c>
      <c r="C139" s="80" t="s">
        <v>485</v>
      </c>
      <c r="T139" s="85" t="s">
        <v>486</v>
      </c>
      <c r="U139" s="60" t="s">
        <v>487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72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     </v>
      </c>
      <c r="CW139" s="7"/>
      <c r="CX139" s="7"/>
      <c r="CY139" s="7"/>
      <c r="CZ139" s="7"/>
      <c r="DA139" s="7"/>
      <c r="DB139" s="44" t="str">
        <f t="shared" si="2066"/>
        <v/>
      </c>
      <c r="DC139" s="44" t="str">
        <f t="shared" si="2067"/>
        <v/>
      </c>
      <c r="DD139" s="44" t="str">
        <f t="shared" si="2068"/>
        <v/>
      </c>
      <c r="DE139" s="44" t="str">
        <f t="shared" si="2069"/>
        <v/>
      </c>
      <c r="DF139" s="44" t="str">
        <f t="shared" si="2070"/>
        <v/>
      </c>
      <c r="DG139" s="44" t="str">
        <f t="shared" si="2071"/>
        <v/>
      </c>
      <c r="DH139" s="44" t="str">
        <f t="shared" si="2072"/>
        <v/>
      </c>
      <c r="DI139" s="44" t="str">
        <f t="shared" si="2073"/>
        <v/>
      </c>
      <c r="DJ139" s="44" t="str">
        <f t="shared" si="2074"/>
        <v/>
      </c>
      <c r="DK139" s="44" t="str">
        <f t="shared" si="2075"/>
        <v/>
      </c>
      <c r="DL139" s="44" t="str">
        <f t="shared" si="2076"/>
        <v/>
      </c>
      <c r="DM139" s="44" t="str">
        <f t="shared" si="2077"/>
        <v/>
      </c>
      <c r="DN139" s="44" t="str">
        <f t="shared" si="2078"/>
        <v/>
      </c>
      <c r="DO139" s="44" t="str">
        <f t="shared" si="2079"/>
        <v/>
      </c>
      <c r="DP139" s="44" t="str">
        <f t="shared" si="2080"/>
        <v/>
      </c>
      <c r="DQ139" s="44" t="str">
        <f t="shared" si="2081"/>
        <v/>
      </c>
      <c r="DR139" s="44" t="str">
        <f t="shared" si="2082"/>
        <v/>
      </c>
      <c r="DS139" s="44" t="str">
        <f t="shared" si="2083"/>
        <v/>
      </c>
      <c r="DT139" s="44" t="str">
        <f t="shared" si="2084"/>
        <v/>
      </c>
      <c r="DU139" s="44" t="str">
        <f t="shared" si="2085"/>
        <v/>
      </c>
      <c r="DV139" s="44" t="str">
        <f t="shared" si="2086"/>
        <v/>
      </c>
      <c r="DW139" s="44" t="str">
        <f t="shared" si="2087"/>
        <v/>
      </c>
      <c r="DX139" s="44" t="str">
        <f t="shared" si="2088"/>
        <v/>
      </c>
      <c r="DY139" s="44" t="str">
        <f t="shared" si="2089"/>
        <v/>
      </c>
      <c r="DZ139" s="44" t="str">
        <f t="shared" si="2090"/>
        <v/>
      </c>
      <c r="EA139" s="44" t="str">
        <f t="shared" si="2091"/>
        <v/>
      </c>
      <c r="EB139" s="44" t="str">
        <f t="shared" si="2092"/>
        <v/>
      </c>
      <c r="EC139" s="44" t="str">
        <f t="shared" si="2093"/>
        <v/>
      </c>
      <c r="ED139" s="44" t="str">
        <f t="shared" si="2094"/>
        <v/>
      </c>
      <c r="EE139" s="44" t="str">
        <f t="shared" si="2095"/>
        <v/>
      </c>
      <c r="EF139" s="44" t="str">
        <f t="shared" si="2096"/>
        <v/>
      </c>
      <c r="EG139" s="44" t="str">
        <f t="shared" si="2097"/>
        <v/>
      </c>
      <c r="EH139" s="44" t="str">
        <f t="shared" si="2098"/>
        <v/>
      </c>
      <c r="EI139" s="44" t="str">
        <f t="shared" si="2099"/>
        <v/>
      </c>
      <c r="EJ139" s="44" t="str">
        <f t="shared" si="2100"/>
        <v/>
      </c>
      <c r="EK139" s="44" t="str">
        <f t="shared" si="2101"/>
        <v/>
      </c>
      <c r="EL139" s="44" t="str">
        <f t="shared" si="2102"/>
        <v/>
      </c>
      <c r="EM139" s="44" t="str">
        <f t="shared" si="2103"/>
        <v/>
      </c>
      <c r="EN139" s="44" t="str">
        <f t="shared" si="2104"/>
        <v/>
      </c>
      <c r="EO139" s="44" t="str">
        <f t="shared" si="2105"/>
        <v/>
      </c>
      <c r="EP139" s="44" t="str">
        <f t="shared" si="2106"/>
        <v/>
      </c>
      <c r="EQ139" s="44" t="str">
        <f t="shared" si="2107"/>
        <v/>
      </c>
      <c r="ER139" s="44" t="str">
        <f t="shared" si="2108"/>
        <v/>
      </c>
      <c r="ES139" s="44" t="str">
        <f t="shared" si="2109"/>
        <v/>
      </c>
      <c r="ET139" s="44" t="str">
        <f t="shared" si="2110"/>
        <v/>
      </c>
      <c r="EU139" s="44" t="str">
        <f t="shared" si="2111"/>
        <v/>
      </c>
      <c r="EV139" s="44" t="str">
        <f t="shared" si="2112"/>
        <v/>
      </c>
      <c r="EW139" s="44" t="str">
        <f t="shared" si="2113"/>
        <v/>
      </c>
      <c r="EX139" s="44" t="str">
        <f t="shared" si="2114"/>
        <v/>
      </c>
      <c r="EY139" s="44" t="str">
        <f t="shared" si="2115"/>
        <v/>
      </c>
      <c r="EZ139" s="44" t="str">
        <f t="shared" si="2116"/>
        <v/>
      </c>
      <c r="FA139" s="44" t="str">
        <f t="shared" si="2117"/>
        <v/>
      </c>
      <c r="FB139" s="44" t="str">
        <f t="shared" si="2118"/>
        <v/>
      </c>
      <c r="FC139" s="44" t="str">
        <f t="shared" si="2119"/>
        <v/>
      </c>
      <c r="FD139" s="44" t="str">
        <f t="shared" si="2120"/>
        <v/>
      </c>
      <c r="FE139" s="44" t="str">
        <f t="shared" si="2121"/>
        <v/>
      </c>
      <c r="FF139" s="44" t="str">
        <f t="shared" si="2122"/>
        <v/>
      </c>
      <c r="FG139" s="44" t="str">
        <f t="shared" si="2123"/>
        <v/>
      </c>
      <c r="FH139" s="44" t="str">
        <f t="shared" si="2124"/>
        <v/>
      </c>
      <c r="FI139" s="44" t="str">
        <f t="shared" si="2125"/>
        <v/>
      </c>
      <c r="FJ139" s="44" t="str">
        <f t="shared" si="2126"/>
        <v/>
      </c>
      <c r="FK139" s="44" t="str">
        <f t="shared" si="2127"/>
        <v/>
      </c>
      <c r="FL139" s="44" t="str">
        <f t="shared" si="2128"/>
        <v/>
      </c>
      <c r="FM139" s="44" t="str">
        <f t="shared" si="2129"/>
        <v/>
      </c>
      <c r="FN139" s="44" t="str">
        <f t="shared" si="2130"/>
        <v/>
      </c>
      <c r="FO139" s="44" t="str">
        <f t="shared" si="2131"/>
        <v/>
      </c>
      <c r="FP139" s="44" t="str">
        <f t="shared" si="2132"/>
        <v/>
      </c>
      <c r="FQ139" s="44" t="str">
        <f t="shared" si="2133"/>
        <v/>
      </c>
      <c r="FR139" s="44" t="str">
        <f t="shared" si="2134"/>
        <v/>
      </c>
      <c r="FS139" s="44" t="str">
        <f t="shared" si="2135"/>
        <v/>
      </c>
    </row>
    <row r="140" ht="57.6" spans="1:175">
      <c r="A140" s="5"/>
      <c r="B140" s="7" t="s">
        <v>507</v>
      </c>
      <c r="C140" s="80" t="s">
        <v>485</v>
      </c>
      <c r="T140" s="85" t="s">
        <v>486</v>
      </c>
      <c r="U140" s="60" t="s">
        <v>487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178&amp;CR$1&amp;")"</f>
        <v>InitEquipData('INDQ',,"",,,,,'','','','','','',"ReplaceableTextures\\CommandButtons\\BTNIP01.blp")</v>
      </c>
      <c r="CU140" s="72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     </v>
      </c>
      <c r="CW140" s="7"/>
      <c r="CX140" s="7"/>
      <c r="CY140" s="7"/>
      <c r="CZ140" s="7"/>
      <c r="DA140" s="7"/>
      <c r="DB140" s="44" t="str">
        <f t="shared" si="1916"/>
        <v/>
      </c>
      <c r="DC140" s="44" t="str">
        <f t="shared" si="1917"/>
        <v/>
      </c>
      <c r="DD140" s="44" t="str">
        <f t="shared" si="1918"/>
        <v/>
      </c>
      <c r="DE140" s="44" t="str">
        <f t="shared" si="1919"/>
        <v/>
      </c>
      <c r="DF140" s="44" t="str">
        <f t="shared" si="1920"/>
        <v/>
      </c>
      <c r="DG140" s="44" t="str">
        <f t="shared" si="1921"/>
        <v/>
      </c>
      <c r="DH140" s="44" t="str">
        <f t="shared" si="1922"/>
        <v/>
      </c>
      <c r="DI140" s="44" t="str">
        <f t="shared" si="1923"/>
        <v/>
      </c>
      <c r="DJ140" s="44" t="str">
        <f t="shared" si="1924"/>
        <v/>
      </c>
      <c r="DK140" s="44" t="str">
        <f t="shared" si="1925"/>
        <v/>
      </c>
      <c r="DL140" s="44" t="str">
        <f t="shared" si="1926"/>
        <v/>
      </c>
      <c r="DM140" s="44" t="str">
        <f t="shared" si="1927"/>
        <v/>
      </c>
      <c r="DN140" s="44" t="str">
        <f t="shared" si="1928"/>
        <v/>
      </c>
      <c r="DO140" s="44" t="str">
        <f t="shared" si="1929"/>
        <v/>
      </c>
      <c r="DP140" s="44" t="str">
        <f t="shared" si="1930"/>
        <v/>
      </c>
      <c r="DQ140" s="44" t="str">
        <f t="shared" si="1931"/>
        <v/>
      </c>
      <c r="DR140" s="44" t="str">
        <f t="shared" si="1932"/>
        <v/>
      </c>
      <c r="DS140" s="44" t="str">
        <f t="shared" si="1933"/>
        <v/>
      </c>
      <c r="DT140" s="44" t="str">
        <f t="shared" si="1934"/>
        <v/>
      </c>
      <c r="DU140" s="44" t="str">
        <f t="shared" si="1935"/>
        <v/>
      </c>
      <c r="DV140" s="44" t="str">
        <f t="shared" si="1936"/>
        <v/>
      </c>
      <c r="DW140" s="44" t="str">
        <f t="shared" si="1937"/>
        <v/>
      </c>
      <c r="DX140" s="44" t="str">
        <f t="shared" si="1938"/>
        <v/>
      </c>
      <c r="DY140" s="44" t="str">
        <f t="shared" si="1939"/>
        <v/>
      </c>
      <c r="DZ140" s="44" t="str">
        <f t="shared" si="1940"/>
        <v/>
      </c>
      <c r="EA140" s="44" t="str">
        <f t="shared" si="1941"/>
        <v/>
      </c>
      <c r="EB140" s="44" t="str">
        <f t="shared" si="1942"/>
        <v/>
      </c>
      <c r="EC140" s="44" t="str">
        <f t="shared" si="1943"/>
        <v/>
      </c>
      <c r="ED140" s="44" t="str">
        <f t="shared" si="1944"/>
        <v/>
      </c>
      <c r="EE140" s="44" t="str">
        <f t="shared" si="1945"/>
        <v/>
      </c>
      <c r="EF140" s="44" t="str">
        <f t="shared" si="1946"/>
        <v/>
      </c>
      <c r="EG140" s="44" t="str">
        <f t="shared" si="1947"/>
        <v/>
      </c>
      <c r="EH140" s="44" t="str">
        <f t="shared" si="1948"/>
        <v/>
      </c>
      <c r="EI140" s="44" t="str">
        <f t="shared" si="1949"/>
        <v/>
      </c>
      <c r="EJ140" s="44" t="str">
        <f t="shared" si="1950"/>
        <v/>
      </c>
      <c r="EK140" s="44" t="str">
        <f t="shared" si="1951"/>
        <v/>
      </c>
      <c r="EL140" s="44" t="str">
        <f t="shared" si="1952"/>
        <v/>
      </c>
      <c r="EM140" s="44" t="str">
        <f t="shared" si="1953"/>
        <v/>
      </c>
      <c r="EN140" s="44" t="str">
        <f t="shared" si="1954"/>
        <v/>
      </c>
      <c r="EO140" s="44" t="str">
        <f t="shared" si="1955"/>
        <v/>
      </c>
      <c r="EP140" s="44" t="str">
        <f t="shared" si="1956"/>
        <v/>
      </c>
      <c r="EQ140" s="44" t="str">
        <f t="shared" si="1957"/>
        <v/>
      </c>
      <c r="ER140" s="44" t="str">
        <f t="shared" si="1958"/>
        <v/>
      </c>
      <c r="ES140" s="44" t="str">
        <f t="shared" si="1959"/>
        <v/>
      </c>
      <c r="ET140" s="44" t="str">
        <f t="shared" si="1960"/>
        <v/>
      </c>
      <c r="EU140" s="44" t="str">
        <f t="shared" si="1961"/>
        <v/>
      </c>
      <c r="EV140" s="44" t="str">
        <f t="shared" si="1962"/>
        <v/>
      </c>
      <c r="EW140" s="44" t="str">
        <f t="shared" si="1963"/>
        <v/>
      </c>
      <c r="EX140" s="44" t="str">
        <f t="shared" si="1964"/>
        <v/>
      </c>
      <c r="EY140" s="44" t="str">
        <f t="shared" si="1965"/>
        <v/>
      </c>
      <c r="EZ140" s="44" t="str">
        <f t="shared" si="1966"/>
        <v/>
      </c>
      <c r="FA140" s="44" t="str">
        <f t="shared" si="1967"/>
        <v/>
      </c>
      <c r="FB140" s="44" t="str">
        <f t="shared" si="1968"/>
        <v/>
      </c>
      <c r="FC140" s="44" t="str">
        <f t="shared" si="1969"/>
        <v/>
      </c>
      <c r="FD140" s="44" t="str">
        <f t="shared" si="1970"/>
        <v/>
      </c>
      <c r="FE140" s="44" t="str">
        <f t="shared" si="1971"/>
        <v/>
      </c>
      <c r="FF140" s="44" t="str">
        <f t="shared" si="1972"/>
        <v/>
      </c>
      <c r="FG140" s="44" t="str">
        <f t="shared" si="1973"/>
        <v/>
      </c>
      <c r="FH140" s="44" t="str">
        <f t="shared" si="1974"/>
        <v/>
      </c>
      <c r="FI140" s="44" t="str">
        <f t="shared" si="1975"/>
        <v/>
      </c>
      <c r="FJ140" s="44" t="str">
        <f t="shared" si="1976"/>
        <v/>
      </c>
      <c r="FK140" s="44" t="str">
        <f t="shared" si="1977"/>
        <v/>
      </c>
      <c r="FL140" s="44" t="str">
        <f t="shared" si="1978"/>
        <v/>
      </c>
      <c r="FM140" s="44" t="str">
        <f t="shared" si="1979"/>
        <v/>
      </c>
      <c r="FN140" s="44" t="str">
        <f t="shared" si="1980"/>
        <v/>
      </c>
      <c r="FO140" s="44" t="str">
        <f t="shared" si="1981"/>
        <v/>
      </c>
      <c r="FP140" s="44" t="str">
        <f t="shared" si="1982"/>
        <v/>
      </c>
      <c r="FQ140" s="44" t="str">
        <f t="shared" si="1983"/>
        <v/>
      </c>
      <c r="FR140" s="44" t="str">
        <f t="shared" si="1984"/>
        <v/>
      </c>
      <c r="FS140" s="44" t="str">
        <f t="shared" si="1985"/>
        <v/>
      </c>
    </row>
    <row r="141" ht="15" spans="1:175">
      <c r="A141" s="5"/>
      <c r="B141" s="7" t="s">
        <v>508</v>
      </c>
      <c r="C141" s="80" t="s">
        <v>493</v>
      </c>
      <c r="T141" s="85" t="s">
        <v>502</v>
      </c>
      <c r="U141" s="60" t="s">
        <v>495</v>
      </c>
      <c r="CN141" s="13" t="str">
        <f t="shared" ref="CN141:CN177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7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7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7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179&amp;CR$1&amp;")"</f>
        <v>InitEquipData('INDR',,"",,,,,'','','','','','',"ReplaceableTextures\\CommandButtons\\BTNIP02.blp")</v>
      </c>
      <c r="CU141" s="72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4" t="str">
        <f t="shared" si="1916"/>
        <v/>
      </c>
      <c r="DC141" s="44" t="str">
        <f t="shared" si="1917"/>
        <v/>
      </c>
      <c r="DD141" s="44" t="str">
        <f t="shared" si="1918"/>
        <v/>
      </c>
      <c r="DE141" s="44" t="str">
        <f t="shared" si="1919"/>
        <v/>
      </c>
      <c r="DF141" s="44" t="str">
        <f t="shared" si="1920"/>
        <v/>
      </c>
      <c r="DG141" s="44" t="str">
        <f t="shared" si="1921"/>
        <v/>
      </c>
      <c r="DH141" s="44" t="str">
        <f t="shared" si="1922"/>
        <v/>
      </c>
      <c r="DI141" s="44" t="str">
        <f t="shared" si="1923"/>
        <v/>
      </c>
      <c r="DJ141" s="44" t="str">
        <f t="shared" si="1924"/>
        <v/>
      </c>
      <c r="DK141" s="44" t="str">
        <f t="shared" si="1925"/>
        <v/>
      </c>
      <c r="DL141" s="44" t="str">
        <f t="shared" si="1926"/>
        <v/>
      </c>
      <c r="DM141" s="44" t="str">
        <f t="shared" si="1927"/>
        <v/>
      </c>
      <c r="DN141" s="44" t="str">
        <f t="shared" si="1928"/>
        <v/>
      </c>
      <c r="DO141" s="44" t="str">
        <f t="shared" si="1929"/>
        <v/>
      </c>
      <c r="DP141" s="44" t="str">
        <f t="shared" si="1930"/>
        <v/>
      </c>
      <c r="DQ141" s="44" t="str">
        <f t="shared" si="1931"/>
        <v/>
      </c>
      <c r="DR141" s="44" t="str">
        <f t="shared" si="1932"/>
        <v/>
      </c>
      <c r="DS141" s="44" t="str">
        <f t="shared" si="1933"/>
        <v/>
      </c>
      <c r="DT141" s="44" t="str">
        <f t="shared" si="1934"/>
        <v/>
      </c>
      <c r="DU141" s="44" t="str">
        <f t="shared" si="1935"/>
        <v/>
      </c>
      <c r="DV141" s="44" t="str">
        <f t="shared" si="1936"/>
        <v/>
      </c>
      <c r="DW141" s="44" t="str">
        <f t="shared" si="1937"/>
        <v/>
      </c>
      <c r="DX141" s="44" t="str">
        <f t="shared" si="1938"/>
        <v/>
      </c>
      <c r="DY141" s="44" t="str">
        <f t="shared" si="1939"/>
        <v/>
      </c>
      <c r="DZ141" s="44" t="str">
        <f t="shared" si="1940"/>
        <v/>
      </c>
      <c r="EA141" s="44" t="str">
        <f t="shared" si="1941"/>
        <v/>
      </c>
      <c r="EB141" s="44" t="str">
        <f t="shared" si="1942"/>
        <v/>
      </c>
      <c r="EC141" s="44" t="str">
        <f t="shared" si="1943"/>
        <v/>
      </c>
      <c r="ED141" s="44" t="str">
        <f t="shared" si="1944"/>
        <v/>
      </c>
      <c r="EE141" s="44" t="str">
        <f t="shared" si="1945"/>
        <v/>
      </c>
      <c r="EF141" s="44" t="str">
        <f t="shared" si="1946"/>
        <v/>
      </c>
      <c r="EG141" s="44" t="str">
        <f t="shared" si="1947"/>
        <v/>
      </c>
      <c r="EH141" s="44" t="str">
        <f t="shared" si="1948"/>
        <v/>
      </c>
      <c r="EI141" s="44" t="str">
        <f t="shared" si="1949"/>
        <v/>
      </c>
      <c r="EJ141" s="44" t="str">
        <f t="shared" si="1950"/>
        <v/>
      </c>
      <c r="EK141" s="44" t="str">
        <f t="shared" si="1951"/>
        <v/>
      </c>
      <c r="EL141" s="44" t="str">
        <f t="shared" si="1952"/>
        <v/>
      </c>
      <c r="EM141" s="44" t="str">
        <f t="shared" si="1953"/>
        <v/>
      </c>
      <c r="EN141" s="44" t="str">
        <f t="shared" si="1954"/>
        <v/>
      </c>
      <c r="EO141" s="44" t="str">
        <f t="shared" si="1955"/>
        <v/>
      </c>
      <c r="EP141" s="44" t="str">
        <f t="shared" si="1956"/>
        <v/>
      </c>
      <c r="EQ141" s="44" t="str">
        <f t="shared" si="1957"/>
        <v/>
      </c>
      <c r="ER141" s="44" t="str">
        <f t="shared" si="1958"/>
        <v/>
      </c>
      <c r="ES141" s="44" t="str">
        <f t="shared" si="1959"/>
        <v/>
      </c>
      <c r="ET141" s="44" t="str">
        <f t="shared" si="1960"/>
        <v/>
      </c>
      <c r="EU141" s="44" t="str">
        <f t="shared" si="1961"/>
        <v/>
      </c>
      <c r="EV141" s="44" t="str">
        <f t="shared" si="1962"/>
        <v/>
      </c>
      <c r="EW141" s="44" t="str">
        <f t="shared" si="1963"/>
        <v/>
      </c>
      <c r="EX141" s="44" t="str">
        <f t="shared" si="1964"/>
        <v/>
      </c>
      <c r="EY141" s="44" t="str">
        <f t="shared" si="1965"/>
        <v/>
      </c>
      <c r="EZ141" s="44" t="str">
        <f t="shared" si="1966"/>
        <v/>
      </c>
      <c r="FA141" s="44" t="str">
        <f t="shared" si="1967"/>
        <v/>
      </c>
      <c r="FB141" s="44" t="str">
        <f t="shared" si="1968"/>
        <v/>
      </c>
      <c r="FC141" s="44" t="str">
        <f t="shared" si="1969"/>
        <v/>
      </c>
      <c r="FD141" s="44" t="str">
        <f t="shared" si="1970"/>
        <v/>
      </c>
      <c r="FE141" s="44" t="str">
        <f t="shared" si="1971"/>
        <v/>
      </c>
      <c r="FF141" s="44" t="str">
        <f t="shared" si="1972"/>
        <v/>
      </c>
      <c r="FG141" s="44" t="str">
        <f t="shared" si="1973"/>
        <v/>
      </c>
      <c r="FH141" s="44" t="str">
        <f t="shared" si="1974"/>
        <v/>
      </c>
      <c r="FI141" s="44" t="str">
        <f t="shared" si="1975"/>
        <v/>
      </c>
      <c r="FJ141" s="44" t="str">
        <f t="shared" si="1976"/>
        <v/>
      </c>
      <c r="FK141" s="44" t="str">
        <f t="shared" si="1977"/>
        <v/>
      </c>
      <c r="FL141" s="44" t="str">
        <f t="shared" si="1978"/>
        <v/>
      </c>
      <c r="FM141" s="44" t="str">
        <f t="shared" si="1979"/>
        <v/>
      </c>
      <c r="FN141" s="44" t="str">
        <f t="shared" si="1980"/>
        <v/>
      </c>
      <c r="FO141" s="44" t="str">
        <f t="shared" si="1981"/>
        <v/>
      </c>
      <c r="FP141" s="44" t="str">
        <f t="shared" si="1982"/>
        <v/>
      </c>
      <c r="FQ141" s="44" t="str">
        <f t="shared" si="1983"/>
        <v/>
      </c>
      <c r="FR141" s="44" t="str">
        <f t="shared" si="1984"/>
        <v/>
      </c>
      <c r="FS141" s="44" t="str">
        <f t="shared" si="1985"/>
        <v/>
      </c>
    </row>
    <row r="142" ht="57.6" spans="1:175">
      <c r="A142" s="5"/>
      <c r="B142" s="7" t="s">
        <v>509</v>
      </c>
      <c r="C142" s="80" t="s">
        <v>485</v>
      </c>
      <c r="T142" s="85" t="s">
        <v>486</v>
      </c>
      <c r="U142" s="60" t="s">
        <v>487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180&amp;CR$1&amp;")"</f>
        <v>InitEquipData('INDS',,"",,,,,'','','','','','',"ReplaceableTextures\\CommandButtons\\BTNIP03.blp")</v>
      </c>
      <c r="CU142" s="72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     </v>
      </c>
      <c r="CW142" s="7"/>
      <c r="CX142" s="7"/>
      <c r="CY142" s="7"/>
      <c r="CZ142" s="7"/>
      <c r="DA142" s="7"/>
      <c r="DB142" s="44" t="str">
        <f t="shared" ref="DB142:DB143" si="2142">IF(V142="","","|n"&amp;DB$2&amp;"+"&amp;V142&amp;DB$1)</f>
        <v/>
      </c>
      <c r="DC142" s="44" t="str">
        <f t="shared" ref="DC142:DC143" si="2143">IF(W142="","","|n"&amp;DC$2&amp;"+"&amp;W142&amp;DC$1)</f>
        <v/>
      </c>
      <c r="DD142" s="44" t="str">
        <f t="shared" ref="DD142:DD143" si="2144">IF(X142="","","|n"&amp;DD$2&amp;"+"&amp;X142&amp;DD$1)</f>
        <v/>
      </c>
      <c r="DE142" s="44" t="str">
        <f t="shared" ref="DE142:DE143" si="2145">IF(Y142="","","|n"&amp;DE$2&amp;"+"&amp;Y142&amp;DE$1)</f>
        <v/>
      </c>
      <c r="DF142" s="44" t="str">
        <f t="shared" ref="DF142:DF143" si="2146">IF(Z142="","","|n"&amp;DF$2&amp;"+"&amp;Z142&amp;DF$1)</f>
        <v/>
      </c>
      <c r="DG142" s="44" t="str">
        <f t="shared" ref="DG142:DG143" si="2147">IF(AA142="","","|n"&amp;DG$2&amp;"+"&amp;AA142&amp;DG$1)</f>
        <v/>
      </c>
      <c r="DH142" s="44" t="str">
        <f t="shared" ref="DH142:DH143" si="2148">IF(AB142="","","|n"&amp;DH$2&amp;"+"&amp;AB142&amp;DH$1)</f>
        <v/>
      </c>
      <c r="DI142" s="44" t="str">
        <f t="shared" ref="DI142:DI143" si="2149">IF(AC142="","","|n"&amp;DI$2&amp;"+"&amp;AC142&amp;DI$1)</f>
        <v/>
      </c>
      <c r="DJ142" s="44" t="str">
        <f t="shared" ref="DJ142:DJ143" si="2150">IF(AD142="","","|n"&amp;DJ$2&amp;"+"&amp;AD142&amp;DJ$1)</f>
        <v/>
      </c>
      <c r="DK142" s="44" t="str">
        <f t="shared" ref="DK142:DK143" si="2151">IF(AE142="","","|n"&amp;DK$2&amp;"+"&amp;AE142&amp;DK$1)</f>
        <v/>
      </c>
      <c r="DL142" s="44" t="str">
        <f t="shared" ref="DL142:DL143" si="2152">IF(AF142="","","|n"&amp;DL$2&amp;"+"&amp;AF142&amp;DL$1)</f>
        <v/>
      </c>
      <c r="DM142" s="44" t="str">
        <f t="shared" ref="DM142:DM143" si="2153">IF(AG142="","","|n"&amp;DM$2&amp;"+"&amp;AG142&amp;DM$1)</f>
        <v/>
      </c>
      <c r="DN142" s="44" t="str">
        <f t="shared" ref="DN142:DN143" si="2154">IF(AH142="","","|n"&amp;DN$2&amp;"+"&amp;AH142&amp;DN$1)</f>
        <v/>
      </c>
      <c r="DO142" s="44" t="str">
        <f t="shared" ref="DO142:DO143" si="2155">IF(AI142="","","|n"&amp;DO$2&amp;"+"&amp;AI142&amp;DO$1)</f>
        <v/>
      </c>
      <c r="DP142" s="44" t="str">
        <f t="shared" ref="DP142:DP143" si="2156">IF(AJ142="","","|n"&amp;DP$2&amp;"+"&amp;AJ142&amp;DP$1)</f>
        <v/>
      </c>
      <c r="DQ142" s="44" t="str">
        <f t="shared" ref="DQ142:DQ143" si="2157">IF(AK142="","","|n"&amp;DQ$2&amp;"+"&amp;AK142&amp;DQ$1)</f>
        <v/>
      </c>
      <c r="DR142" s="44" t="str">
        <f t="shared" ref="DR142:DR143" si="2158">IF(AL142="","","|n"&amp;DR$2&amp;"+"&amp;AL142&amp;DR$1)</f>
        <v/>
      </c>
      <c r="DS142" s="44" t="str">
        <f t="shared" ref="DS142:DS143" si="2159">IF(AM142="","","|n"&amp;DS$2&amp;"+"&amp;AM142&amp;DS$1)</f>
        <v/>
      </c>
      <c r="DT142" s="44" t="str">
        <f t="shared" ref="DT142:DT143" si="2160">IF(AN142="","","|n"&amp;DT$2&amp;"+"&amp;AN142&amp;DT$1)</f>
        <v/>
      </c>
      <c r="DU142" s="44" t="str">
        <f t="shared" ref="DU142:DU143" si="2161">IF(AO142="","","|n"&amp;DU$2&amp;"+"&amp;AO142&amp;DU$1)</f>
        <v/>
      </c>
      <c r="DV142" s="44" t="str">
        <f t="shared" ref="DV142:DV143" si="2162">IF(AP142="","","|n"&amp;DV$2&amp;"+"&amp;AP142&amp;DV$1)</f>
        <v/>
      </c>
      <c r="DW142" s="44" t="str">
        <f t="shared" ref="DW142:DW143" si="2163">IF(AQ142="","","|n"&amp;DW$2&amp;"+"&amp;AQ142&amp;DW$1)</f>
        <v/>
      </c>
      <c r="DX142" s="44" t="str">
        <f t="shared" ref="DX142:DX143" si="2164">IF(AR142="","","|n"&amp;DX$2&amp;"+"&amp;AR142&amp;DX$1)</f>
        <v/>
      </c>
      <c r="DY142" s="44" t="str">
        <f t="shared" ref="DY142:DY143" si="2165">IF(AS142="","","|n"&amp;DY$2&amp;"+"&amp;AS142&amp;DY$1)</f>
        <v/>
      </c>
      <c r="DZ142" s="44" t="str">
        <f t="shared" ref="DZ142:DZ143" si="2166">IF(AT142="","","|n"&amp;DZ$2&amp;"+"&amp;AT142&amp;DZ$1)</f>
        <v/>
      </c>
      <c r="EA142" s="44" t="str">
        <f t="shared" ref="EA142:EA143" si="2167">IF(AU142="","","|n"&amp;EA$2&amp;"+"&amp;AU142&amp;EA$1)</f>
        <v/>
      </c>
      <c r="EB142" s="44" t="str">
        <f t="shared" ref="EB142:EB143" si="2168">IF(AV142="","","|n"&amp;EB$2&amp;"+"&amp;AV142&amp;EB$1)</f>
        <v/>
      </c>
      <c r="EC142" s="44" t="str">
        <f t="shared" ref="EC142:EC143" si="2169">IF(AW142="","","|n"&amp;EC$2&amp;"+"&amp;AW142&amp;EC$1)</f>
        <v/>
      </c>
      <c r="ED142" s="44" t="str">
        <f t="shared" ref="ED142:ED143" si="2170">IF(AX142="","","|n"&amp;ED$2&amp;"+"&amp;AX142&amp;ED$1)</f>
        <v/>
      </c>
      <c r="EE142" s="44" t="str">
        <f t="shared" ref="EE142:EE143" si="2171">IF(AY142="","","|n"&amp;EE$2&amp;"+"&amp;AY142&amp;EE$1)</f>
        <v/>
      </c>
      <c r="EF142" s="44" t="str">
        <f t="shared" ref="EF142:EF143" si="2172">IF(AZ142="","","|n"&amp;EF$2&amp;"+"&amp;AZ142&amp;EF$1)</f>
        <v/>
      </c>
      <c r="EG142" s="44" t="str">
        <f t="shared" ref="EG142:EG143" si="2173">IF(BA142="","","|n"&amp;EG$2&amp;"+"&amp;BA142&amp;EG$1)</f>
        <v/>
      </c>
      <c r="EH142" s="44" t="str">
        <f t="shared" ref="EH142:EH143" si="2174">IF(BB142="","","|n"&amp;EH$2&amp;"+"&amp;BB142&amp;EH$1)</f>
        <v/>
      </c>
      <c r="EI142" s="44" t="str">
        <f t="shared" ref="EI142:EI143" si="2175">IF(BC142="","","|n"&amp;EI$2&amp;"+"&amp;BC142&amp;EI$1)</f>
        <v/>
      </c>
      <c r="EJ142" s="44" t="str">
        <f t="shared" ref="EJ142:EJ143" si="2176">IF(BD142="","","|n"&amp;EJ$2&amp;"+"&amp;BD142&amp;EJ$1)</f>
        <v/>
      </c>
      <c r="EK142" s="44" t="str">
        <f t="shared" ref="EK142:EK143" si="2177">IF(BE142="","","|n"&amp;EK$2&amp;"+"&amp;BE142&amp;EK$1)</f>
        <v/>
      </c>
      <c r="EL142" s="44" t="str">
        <f t="shared" ref="EL142:EL143" si="2178">IF(BF142="","","|n"&amp;EL$2&amp;"+"&amp;BF142&amp;EL$1)</f>
        <v/>
      </c>
      <c r="EM142" s="44" t="str">
        <f t="shared" ref="EM142:EM143" si="2179">IF(BG142="","","|n"&amp;EM$2&amp;"+"&amp;BG142&amp;EM$1)</f>
        <v/>
      </c>
      <c r="EN142" s="44" t="str">
        <f t="shared" ref="EN142:EN143" si="2180">IF(BH142="","","|n"&amp;EN$2&amp;"+"&amp;BH142&amp;EN$1)</f>
        <v/>
      </c>
      <c r="EO142" s="44" t="str">
        <f t="shared" ref="EO142:EO143" si="2181">IF(BI142="","","|n"&amp;EO$2&amp;"+"&amp;BI142&amp;EO$1)</f>
        <v/>
      </c>
      <c r="EP142" s="44" t="str">
        <f t="shared" ref="EP142:EP143" si="2182">IF(BJ142="","","|n"&amp;EP$2&amp;"+"&amp;BJ142&amp;EP$1)</f>
        <v/>
      </c>
      <c r="EQ142" s="44" t="str">
        <f t="shared" ref="EQ142:EQ143" si="2183">IF(BK142="","","|n"&amp;EQ$2&amp;"+"&amp;BK142&amp;EQ$1)</f>
        <v/>
      </c>
      <c r="ER142" s="44" t="str">
        <f t="shared" ref="ER142:ER143" si="2184">IF(BL142="","","|n"&amp;ER$2&amp;"+"&amp;BL142&amp;ER$1)</f>
        <v/>
      </c>
      <c r="ES142" s="44" t="str">
        <f t="shared" ref="ES142:ES143" si="2185">IF(BM142="","","|n"&amp;ES$2&amp;"+"&amp;BM142&amp;ES$1)</f>
        <v/>
      </c>
      <c r="ET142" s="44" t="str">
        <f t="shared" ref="ET142:ET143" si="2186">IF(BN142="","","|n"&amp;ET$2&amp;"+"&amp;BN142&amp;ET$1)</f>
        <v/>
      </c>
      <c r="EU142" s="44" t="str">
        <f t="shared" ref="EU142:EU143" si="2187">IF(BO142="","","|n"&amp;EU$2&amp;"+"&amp;BO142&amp;EU$1)</f>
        <v/>
      </c>
      <c r="EV142" s="44" t="str">
        <f t="shared" ref="EV142:EV143" si="2188">IF(BP142="","","|n"&amp;EV$2&amp;"+"&amp;BP142&amp;EV$1)</f>
        <v/>
      </c>
      <c r="EW142" s="44" t="str">
        <f t="shared" ref="EW142:EW143" si="2189">IF(BQ142="","","|n"&amp;EW$2&amp;"+"&amp;BQ142&amp;EW$1)</f>
        <v/>
      </c>
      <c r="EX142" s="44" t="str">
        <f t="shared" ref="EX142:EX143" si="2190">IF(BR142="","","|n"&amp;EX$2&amp;"+"&amp;BR142&amp;EX$1)</f>
        <v/>
      </c>
      <c r="EY142" s="44" t="str">
        <f t="shared" ref="EY142:EY143" si="2191">IF(BS142="","","|n"&amp;EY$2&amp;"+"&amp;BS142&amp;EY$1)</f>
        <v/>
      </c>
      <c r="EZ142" s="44" t="str">
        <f t="shared" ref="EZ142:EZ143" si="2192">IF(BT142="","","|n"&amp;EZ$2&amp;"+"&amp;BT142&amp;EZ$1)</f>
        <v/>
      </c>
      <c r="FA142" s="44" t="str">
        <f t="shared" ref="FA142:FA143" si="2193">IF(BU142="","","|n"&amp;FA$2&amp;"+"&amp;BU142&amp;FA$1)</f>
        <v/>
      </c>
      <c r="FB142" s="44" t="str">
        <f t="shared" ref="FB142:FB143" si="2194">IF(BV142="","","|n"&amp;FB$2&amp;"+"&amp;BV142&amp;FB$1)</f>
        <v/>
      </c>
      <c r="FC142" s="44" t="str">
        <f t="shared" ref="FC142:FC143" si="2195">IF(BW142="","","|n"&amp;FC$2&amp;"+"&amp;BW142&amp;FC$1)</f>
        <v/>
      </c>
      <c r="FD142" s="44" t="str">
        <f t="shared" ref="FD142:FD143" si="2196">IF(BX142="","","|n"&amp;FD$2&amp;"+"&amp;BX142&amp;FD$1)</f>
        <v/>
      </c>
      <c r="FE142" s="44" t="str">
        <f t="shared" ref="FE142:FE143" si="2197">IF(BY142="","","|n"&amp;FE$2&amp;"+"&amp;BY142&amp;FE$1)</f>
        <v/>
      </c>
      <c r="FF142" s="44" t="str">
        <f t="shared" ref="FF142:FF143" si="2198">IF(BZ142="","","|n"&amp;FF$2&amp;"+"&amp;BZ142&amp;FF$1)</f>
        <v/>
      </c>
      <c r="FG142" s="44" t="str">
        <f t="shared" ref="FG142:FG143" si="2199">IF(CA142="","","|n"&amp;FG$2&amp;"+"&amp;CA142&amp;FG$1)</f>
        <v/>
      </c>
      <c r="FH142" s="44" t="str">
        <f t="shared" ref="FH142:FH143" si="2200">IF(CB142="","","|n"&amp;FH$2&amp;"+"&amp;CB142&amp;FH$1)</f>
        <v/>
      </c>
      <c r="FI142" s="44" t="str">
        <f t="shared" ref="FI142:FI143" si="2201">IF(CC142="","","|n"&amp;FI$2&amp;"+"&amp;CC142&amp;FI$1)</f>
        <v/>
      </c>
      <c r="FJ142" s="44" t="str">
        <f t="shared" ref="FJ142:FJ143" si="2202">IF(CD142="","","|n"&amp;FJ$2&amp;"+"&amp;CD142&amp;FJ$1)</f>
        <v/>
      </c>
      <c r="FK142" s="44" t="str">
        <f t="shared" ref="FK142:FK143" si="2203">IF(CE142="","","|n"&amp;FK$2&amp;"+"&amp;CE142&amp;FK$1)</f>
        <v/>
      </c>
      <c r="FL142" s="44" t="str">
        <f t="shared" ref="FL142:FL143" si="2204">IF(CF142="","","|n"&amp;FL$2&amp;"+"&amp;CF142&amp;FL$1)</f>
        <v/>
      </c>
      <c r="FM142" s="44" t="str">
        <f t="shared" ref="FM142:FM143" si="2205">IF(CG142="","","|n"&amp;FM$2&amp;"+"&amp;CG142&amp;FM$1)</f>
        <v/>
      </c>
      <c r="FN142" s="44" t="str">
        <f t="shared" ref="FN142:FN143" si="2206">IF(CH142="","","|n"&amp;FN$2&amp;"+"&amp;CH142&amp;FN$1)</f>
        <v/>
      </c>
      <c r="FO142" s="44" t="str">
        <f t="shared" ref="FO142:FO143" si="2207">IF(CI142="","","|n"&amp;FO$2&amp;"+"&amp;CI142&amp;FO$1)</f>
        <v/>
      </c>
      <c r="FP142" s="44" t="str">
        <f t="shared" ref="FP142:FP143" si="2208">IF(CJ142="","","|n"&amp;FP$2&amp;"+"&amp;CJ142&amp;FP$1)</f>
        <v/>
      </c>
      <c r="FQ142" s="44" t="str">
        <f t="shared" ref="FQ142:FQ143" si="2209">IF(CK142="","","|n"&amp;FQ$2&amp;"+"&amp;CK142&amp;FQ$1)</f>
        <v/>
      </c>
      <c r="FR142" s="44" t="str">
        <f t="shared" ref="FR142:FR143" si="2210">IF(CL142="","","|n"&amp;FR$2&amp;"+"&amp;CL142&amp;FR$1)</f>
        <v/>
      </c>
      <c r="FS142" s="44" t="str">
        <f t="shared" ref="FS142:FS143" si="2211">IF(CM142="","","|n"&amp;FS$2&amp;"+"&amp;CM142&amp;FS$1)</f>
        <v/>
      </c>
    </row>
    <row r="143" ht="57.6" spans="1:175">
      <c r="A143" s="5"/>
      <c r="B143" s="7" t="s">
        <v>510</v>
      </c>
      <c r="C143" s="80" t="s">
        <v>485</v>
      </c>
      <c r="T143" s="85" t="s">
        <v>486</v>
      </c>
      <c r="U143" s="60" t="s">
        <v>487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187&amp;CR$1&amp;")"</f>
        <v>InitEquipData('INDT',,"",,,,,'','','','','','',"ReplaceableTextures\\CommandButtons\\BTNIT01.blp")</v>
      </c>
      <c r="CU143" s="72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     </v>
      </c>
      <c r="CW143" s="7"/>
      <c r="CX143" s="7"/>
      <c r="CY143" s="7"/>
      <c r="CZ143" s="7"/>
      <c r="DA143" s="7"/>
      <c r="DB143" s="44" t="str">
        <f t="shared" si="2142"/>
        <v/>
      </c>
      <c r="DC143" s="44" t="str">
        <f t="shared" si="2143"/>
        <v/>
      </c>
      <c r="DD143" s="44" t="str">
        <f t="shared" si="2144"/>
        <v/>
      </c>
      <c r="DE143" s="44" t="str">
        <f t="shared" si="2145"/>
        <v/>
      </c>
      <c r="DF143" s="44" t="str">
        <f t="shared" si="2146"/>
        <v/>
      </c>
      <c r="DG143" s="44" t="str">
        <f t="shared" si="2147"/>
        <v/>
      </c>
      <c r="DH143" s="44" t="str">
        <f t="shared" si="2148"/>
        <v/>
      </c>
      <c r="DI143" s="44" t="str">
        <f t="shared" si="2149"/>
        <v/>
      </c>
      <c r="DJ143" s="44" t="str">
        <f t="shared" si="2150"/>
        <v/>
      </c>
      <c r="DK143" s="44" t="str">
        <f t="shared" si="2151"/>
        <v/>
      </c>
      <c r="DL143" s="44" t="str">
        <f t="shared" si="2152"/>
        <v/>
      </c>
      <c r="DM143" s="44" t="str">
        <f t="shared" si="2153"/>
        <v/>
      </c>
      <c r="DN143" s="44" t="str">
        <f t="shared" si="2154"/>
        <v/>
      </c>
      <c r="DO143" s="44" t="str">
        <f t="shared" si="2155"/>
        <v/>
      </c>
      <c r="DP143" s="44" t="str">
        <f t="shared" si="2156"/>
        <v/>
      </c>
      <c r="DQ143" s="44" t="str">
        <f t="shared" si="2157"/>
        <v/>
      </c>
      <c r="DR143" s="44" t="str">
        <f t="shared" si="2158"/>
        <v/>
      </c>
      <c r="DS143" s="44" t="str">
        <f t="shared" si="2159"/>
        <v/>
      </c>
      <c r="DT143" s="44" t="str">
        <f t="shared" si="2160"/>
        <v/>
      </c>
      <c r="DU143" s="44" t="str">
        <f t="shared" si="2161"/>
        <v/>
      </c>
      <c r="DV143" s="44" t="str">
        <f t="shared" si="2162"/>
        <v/>
      </c>
      <c r="DW143" s="44" t="str">
        <f t="shared" si="2163"/>
        <v/>
      </c>
      <c r="DX143" s="44" t="str">
        <f t="shared" si="2164"/>
        <v/>
      </c>
      <c r="DY143" s="44" t="str">
        <f t="shared" si="2165"/>
        <v/>
      </c>
      <c r="DZ143" s="44" t="str">
        <f t="shared" si="2166"/>
        <v/>
      </c>
      <c r="EA143" s="44" t="str">
        <f t="shared" si="2167"/>
        <v/>
      </c>
      <c r="EB143" s="44" t="str">
        <f t="shared" si="2168"/>
        <v/>
      </c>
      <c r="EC143" s="44" t="str">
        <f t="shared" si="2169"/>
        <v/>
      </c>
      <c r="ED143" s="44" t="str">
        <f t="shared" si="2170"/>
        <v/>
      </c>
      <c r="EE143" s="44" t="str">
        <f t="shared" si="2171"/>
        <v/>
      </c>
      <c r="EF143" s="44" t="str">
        <f t="shared" si="2172"/>
        <v/>
      </c>
      <c r="EG143" s="44" t="str">
        <f t="shared" si="2173"/>
        <v/>
      </c>
      <c r="EH143" s="44" t="str">
        <f t="shared" si="2174"/>
        <v/>
      </c>
      <c r="EI143" s="44" t="str">
        <f t="shared" si="2175"/>
        <v/>
      </c>
      <c r="EJ143" s="44" t="str">
        <f t="shared" si="2176"/>
        <v/>
      </c>
      <c r="EK143" s="44" t="str">
        <f t="shared" si="2177"/>
        <v/>
      </c>
      <c r="EL143" s="44" t="str">
        <f t="shared" si="2178"/>
        <v/>
      </c>
      <c r="EM143" s="44" t="str">
        <f t="shared" si="2179"/>
        <v/>
      </c>
      <c r="EN143" s="44" t="str">
        <f t="shared" si="2180"/>
        <v/>
      </c>
      <c r="EO143" s="44" t="str">
        <f t="shared" si="2181"/>
        <v/>
      </c>
      <c r="EP143" s="44" t="str">
        <f t="shared" si="2182"/>
        <v/>
      </c>
      <c r="EQ143" s="44" t="str">
        <f t="shared" si="2183"/>
        <v/>
      </c>
      <c r="ER143" s="44" t="str">
        <f t="shared" si="2184"/>
        <v/>
      </c>
      <c r="ES143" s="44" t="str">
        <f t="shared" si="2185"/>
        <v/>
      </c>
      <c r="ET143" s="44" t="str">
        <f t="shared" si="2186"/>
        <v/>
      </c>
      <c r="EU143" s="44" t="str">
        <f t="shared" si="2187"/>
        <v/>
      </c>
      <c r="EV143" s="44" t="str">
        <f t="shared" si="2188"/>
        <v/>
      </c>
      <c r="EW143" s="44" t="str">
        <f t="shared" si="2189"/>
        <v/>
      </c>
      <c r="EX143" s="44" t="str">
        <f t="shared" si="2190"/>
        <v/>
      </c>
      <c r="EY143" s="44" t="str">
        <f t="shared" si="2191"/>
        <v/>
      </c>
      <c r="EZ143" s="44" t="str">
        <f t="shared" si="2192"/>
        <v/>
      </c>
      <c r="FA143" s="44" t="str">
        <f t="shared" si="2193"/>
        <v/>
      </c>
      <c r="FB143" s="44" t="str">
        <f t="shared" si="2194"/>
        <v/>
      </c>
      <c r="FC143" s="44" t="str">
        <f t="shared" si="2195"/>
        <v/>
      </c>
      <c r="FD143" s="44" t="str">
        <f t="shared" si="2196"/>
        <v/>
      </c>
      <c r="FE143" s="44" t="str">
        <f t="shared" si="2197"/>
        <v/>
      </c>
      <c r="FF143" s="44" t="str">
        <f t="shared" si="2198"/>
        <v/>
      </c>
      <c r="FG143" s="44" t="str">
        <f t="shared" si="2199"/>
        <v/>
      </c>
      <c r="FH143" s="44" t="str">
        <f t="shared" si="2200"/>
        <v/>
      </c>
      <c r="FI143" s="44" t="str">
        <f t="shared" si="2201"/>
        <v/>
      </c>
      <c r="FJ143" s="44" t="str">
        <f t="shared" si="2202"/>
        <v/>
      </c>
      <c r="FK143" s="44" t="str">
        <f t="shared" si="2203"/>
        <v/>
      </c>
      <c r="FL143" s="44" t="str">
        <f t="shared" si="2204"/>
        <v/>
      </c>
      <c r="FM143" s="44" t="str">
        <f t="shared" si="2205"/>
        <v/>
      </c>
      <c r="FN143" s="44" t="str">
        <f t="shared" si="2206"/>
        <v/>
      </c>
      <c r="FO143" s="44" t="str">
        <f t="shared" si="2207"/>
        <v/>
      </c>
      <c r="FP143" s="44" t="str">
        <f t="shared" si="2208"/>
        <v/>
      </c>
      <c r="FQ143" s="44" t="str">
        <f t="shared" si="2209"/>
        <v/>
      </c>
      <c r="FR143" s="44" t="str">
        <f t="shared" si="2210"/>
        <v/>
      </c>
      <c r="FS143" s="44" t="str">
        <f t="shared" si="2211"/>
        <v/>
      </c>
    </row>
    <row r="144" ht="57.6" spans="1:175">
      <c r="A144" s="5"/>
      <c r="B144" s="7" t="s">
        <v>511</v>
      </c>
      <c r="C144" s="80" t="s">
        <v>485</v>
      </c>
      <c r="T144" s="85" t="s">
        <v>486</v>
      </c>
      <c r="U144" s="60" t="s">
        <v>487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72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     </v>
      </c>
      <c r="CW144" s="7"/>
      <c r="CX144" s="7"/>
      <c r="CY144" s="7"/>
      <c r="CZ144" s="7"/>
      <c r="DA144" s="7"/>
      <c r="DB144" s="44" t="str">
        <f t="shared" ref="DB144:DB145" si="2215">IF(V144="","","|n"&amp;DB$2&amp;"+"&amp;V144&amp;DB$1)</f>
        <v/>
      </c>
      <c r="DC144" s="44" t="str">
        <f t="shared" ref="DC144:DC145" si="2216">IF(W144="","","|n"&amp;DC$2&amp;"+"&amp;W144&amp;DC$1)</f>
        <v/>
      </c>
      <c r="DD144" s="44" t="str">
        <f t="shared" ref="DD144:DD145" si="2217">IF(X144="","","|n"&amp;DD$2&amp;"+"&amp;X144&amp;DD$1)</f>
        <v/>
      </c>
      <c r="DE144" s="44" t="str">
        <f t="shared" ref="DE144:DE145" si="2218">IF(Y144="","","|n"&amp;DE$2&amp;"+"&amp;Y144&amp;DE$1)</f>
        <v/>
      </c>
      <c r="DF144" s="44" t="str">
        <f t="shared" ref="DF144:DF145" si="2219">IF(Z144="","","|n"&amp;DF$2&amp;"+"&amp;Z144&amp;DF$1)</f>
        <v/>
      </c>
      <c r="DG144" s="44" t="str">
        <f t="shared" ref="DG144:DG145" si="2220">IF(AA144="","","|n"&amp;DG$2&amp;"+"&amp;AA144&amp;DG$1)</f>
        <v/>
      </c>
      <c r="DH144" s="44" t="str">
        <f t="shared" ref="DH144:DH145" si="2221">IF(AB144="","","|n"&amp;DH$2&amp;"+"&amp;AB144&amp;DH$1)</f>
        <v/>
      </c>
      <c r="DI144" s="44" t="str">
        <f t="shared" ref="DI144:DI145" si="2222">IF(AC144="","","|n"&amp;DI$2&amp;"+"&amp;AC144&amp;DI$1)</f>
        <v/>
      </c>
      <c r="DJ144" s="44" t="str">
        <f t="shared" ref="DJ144:DJ145" si="2223">IF(AD144="","","|n"&amp;DJ$2&amp;"+"&amp;AD144&amp;DJ$1)</f>
        <v/>
      </c>
      <c r="DK144" s="44" t="str">
        <f t="shared" ref="DK144:DK145" si="2224">IF(AE144="","","|n"&amp;DK$2&amp;"+"&amp;AE144&amp;DK$1)</f>
        <v/>
      </c>
      <c r="DL144" s="44" t="str">
        <f t="shared" ref="DL144:DL145" si="2225">IF(AF144="","","|n"&amp;DL$2&amp;"+"&amp;AF144&amp;DL$1)</f>
        <v/>
      </c>
      <c r="DM144" s="44" t="str">
        <f t="shared" ref="DM144:DM145" si="2226">IF(AG144="","","|n"&amp;DM$2&amp;"+"&amp;AG144&amp;DM$1)</f>
        <v/>
      </c>
      <c r="DN144" s="44" t="str">
        <f t="shared" ref="DN144:DN145" si="2227">IF(AH144="","","|n"&amp;DN$2&amp;"+"&amp;AH144&amp;DN$1)</f>
        <v/>
      </c>
      <c r="DO144" s="44" t="str">
        <f t="shared" ref="DO144:DO145" si="2228">IF(AI144="","","|n"&amp;DO$2&amp;"+"&amp;AI144&amp;DO$1)</f>
        <v/>
      </c>
      <c r="DP144" s="44" t="str">
        <f t="shared" ref="DP144:DP145" si="2229">IF(AJ144="","","|n"&amp;DP$2&amp;"+"&amp;AJ144&amp;DP$1)</f>
        <v/>
      </c>
      <c r="DQ144" s="44" t="str">
        <f t="shared" ref="DQ144:DQ145" si="2230">IF(AK144="","","|n"&amp;DQ$2&amp;"+"&amp;AK144&amp;DQ$1)</f>
        <v/>
      </c>
      <c r="DR144" s="44" t="str">
        <f t="shared" ref="DR144:DR145" si="2231">IF(AL144="","","|n"&amp;DR$2&amp;"+"&amp;AL144&amp;DR$1)</f>
        <v/>
      </c>
      <c r="DS144" s="44" t="str">
        <f t="shared" ref="DS144:DS145" si="2232">IF(AM144="","","|n"&amp;DS$2&amp;"+"&amp;AM144&amp;DS$1)</f>
        <v/>
      </c>
      <c r="DT144" s="44" t="str">
        <f t="shared" ref="DT144:DT145" si="2233">IF(AN144="","","|n"&amp;DT$2&amp;"+"&amp;AN144&amp;DT$1)</f>
        <v/>
      </c>
      <c r="DU144" s="44" t="str">
        <f t="shared" ref="DU144:DU145" si="2234">IF(AO144="","","|n"&amp;DU$2&amp;"+"&amp;AO144&amp;DU$1)</f>
        <v/>
      </c>
      <c r="DV144" s="44" t="str">
        <f t="shared" ref="DV144:DV145" si="2235">IF(AP144="","","|n"&amp;DV$2&amp;"+"&amp;AP144&amp;DV$1)</f>
        <v/>
      </c>
      <c r="DW144" s="44" t="str">
        <f t="shared" ref="DW144:DW145" si="2236">IF(AQ144="","","|n"&amp;DW$2&amp;"+"&amp;AQ144&amp;DW$1)</f>
        <v/>
      </c>
      <c r="DX144" s="44" t="str">
        <f t="shared" ref="DX144:DX145" si="2237">IF(AR144="","","|n"&amp;DX$2&amp;"+"&amp;AR144&amp;DX$1)</f>
        <v/>
      </c>
      <c r="DY144" s="44" t="str">
        <f t="shared" ref="DY144:DY145" si="2238">IF(AS144="","","|n"&amp;DY$2&amp;"+"&amp;AS144&amp;DY$1)</f>
        <v/>
      </c>
      <c r="DZ144" s="44" t="str">
        <f t="shared" ref="DZ144:DZ145" si="2239">IF(AT144="","","|n"&amp;DZ$2&amp;"+"&amp;AT144&amp;DZ$1)</f>
        <v/>
      </c>
      <c r="EA144" s="44" t="str">
        <f t="shared" ref="EA144:EA145" si="2240">IF(AU144="","","|n"&amp;EA$2&amp;"+"&amp;AU144&amp;EA$1)</f>
        <v/>
      </c>
      <c r="EB144" s="44" t="str">
        <f t="shared" ref="EB144:EB145" si="2241">IF(AV144="","","|n"&amp;EB$2&amp;"+"&amp;AV144&amp;EB$1)</f>
        <v/>
      </c>
      <c r="EC144" s="44" t="str">
        <f t="shared" ref="EC144:EC145" si="2242">IF(AW144="","","|n"&amp;EC$2&amp;"+"&amp;AW144&amp;EC$1)</f>
        <v/>
      </c>
      <c r="ED144" s="44" t="str">
        <f t="shared" ref="ED144:ED145" si="2243">IF(AX144="","","|n"&amp;ED$2&amp;"+"&amp;AX144&amp;ED$1)</f>
        <v/>
      </c>
      <c r="EE144" s="44" t="str">
        <f t="shared" ref="EE144:EE145" si="2244">IF(AY144="","","|n"&amp;EE$2&amp;"+"&amp;AY144&amp;EE$1)</f>
        <v/>
      </c>
      <c r="EF144" s="44" t="str">
        <f t="shared" ref="EF144:EF145" si="2245">IF(AZ144="","","|n"&amp;EF$2&amp;"+"&amp;AZ144&amp;EF$1)</f>
        <v/>
      </c>
      <c r="EG144" s="44" t="str">
        <f t="shared" ref="EG144:EG145" si="2246">IF(BA144="","","|n"&amp;EG$2&amp;"+"&amp;BA144&amp;EG$1)</f>
        <v/>
      </c>
      <c r="EH144" s="44" t="str">
        <f t="shared" ref="EH144:EH145" si="2247">IF(BB144="","","|n"&amp;EH$2&amp;"+"&amp;BB144&amp;EH$1)</f>
        <v/>
      </c>
      <c r="EI144" s="44" t="str">
        <f t="shared" ref="EI144:EI145" si="2248">IF(BC144="","","|n"&amp;EI$2&amp;"+"&amp;BC144&amp;EI$1)</f>
        <v/>
      </c>
      <c r="EJ144" s="44" t="str">
        <f t="shared" ref="EJ144:EJ145" si="2249">IF(BD144="","","|n"&amp;EJ$2&amp;"+"&amp;BD144&amp;EJ$1)</f>
        <v/>
      </c>
      <c r="EK144" s="44" t="str">
        <f t="shared" ref="EK144:EK145" si="2250">IF(BE144="","","|n"&amp;EK$2&amp;"+"&amp;BE144&amp;EK$1)</f>
        <v/>
      </c>
      <c r="EL144" s="44" t="str">
        <f t="shared" ref="EL144:EL145" si="2251">IF(BF144="","","|n"&amp;EL$2&amp;"+"&amp;BF144&amp;EL$1)</f>
        <v/>
      </c>
      <c r="EM144" s="44" t="str">
        <f t="shared" ref="EM144:EM145" si="2252">IF(BG144="","","|n"&amp;EM$2&amp;"+"&amp;BG144&amp;EM$1)</f>
        <v/>
      </c>
      <c r="EN144" s="44" t="str">
        <f t="shared" ref="EN144:EN145" si="2253">IF(BH144="","","|n"&amp;EN$2&amp;"+"&amp;BH144&amp;EN$1)</f>
        <v/>
      </c>
      <c r="EO144" s="44" t="str">
        <f t="shared" ref="EO144:EO145" si="2254">IF(BI144="","","|n"&amp;EO$2&amp;"+"&amp;BI144&amp;EO$1)</f>
        <v/>
      </c>
      <c r="EP144" s="44" t="str">
        <f t="shared" ref="EP144:EP145" si="2255">IF(BJ144="","","|n"&amp;EP$2&amp;"+"&amp;BJ144&amp;EP$1)</f>
        <v/>
      </c>
      <c r="EQ144" s="44" t="str">
        <f t="shared" ref="EQ144:EQ145" si="2256">IF(BK144="","","|n"&amp;EQ$2&amp;"+"&amp;BK144&amp;EQ$1)</f>
        <v/>
      </c>
      <c r="ER144" s="44" t="str">
        <f t="shared" ref="ER144:ER145" si="2257">IF(BL144="","","|n"&amp;ER$2&amp;"+"&amp;BL144&amp;ER$1)</f>
        <v/>
      </c>
      <c r="ES144" s="44" t="str">
        <f t="shared" ref="ES144:ES145" si="2258">IF(BM144="","","|n"&amp;ES$2&amp;"+"&amp;BM144&amp;ES$1)</f>
        <v/>
      </c>
      <c r="ET144" s="44" t="str">
        <f t="shared" ref="ET144:ET145" si="2259">IF(BN144="","","|n"&amp;ET$2&amp;"+"&amp;BN144&amp;ET$1)</f>
        <v/>
      </c>
      <c r="EU144" s="44" t="str">
        <f t="shared" ref="EU144:EU145" si="2260">IF(BO144="","","|n"&amp;EU$2&amp;"+"&amp;BO144&amp;EU$1)</f>
        <v/>
      </c>
      <c r="EV144" s="44" t="str">
        <f t="shared" ref="EV144:EV145" si="2261">IF(BP144="","","|n"&amp;EV$2&amp;"+"&amp;BP144&amp;EV$1)</f>
        <v/>
      </c>
      <c r="EW144" s="44" t="str">
        <f t="shared" ref="EW144:EW145" si="2262">IF(BQ144="","","|n"&amp;EW$2&amp;"+"&amp;BQ144&amp;EW$1)</f>
        <v/>
      </c>
      <c r="EX144" s="44" t="str">
        <f t="shared" ref="EX144:EX145" si="2263">IF(BR144="","","|n"&amp;EX$2&amp;"+"&amp;BR144&amp;EX$1)</f>
        <v/>
      </c>
      <c r="EY144" s="44" t="str">
        <f t="shared" ref="EY144:EY145" si="2264">IF(BS144="","","|n"&amp;EY$2&amp;"+"&amp;BS144&amp;EY$1)</f>
        <v/>
      </c>
      <c r="EZ144" s="44" t="str">
        <f t="shared" ref="EZ144:EZ145" si="2265">IF(BT144="","","|n"&amp;EZ$2&amp;"+"&amp;BT144&amp;EZ$1)</f>
        <v/>
      </c>
      <c r="FA144" s="44" t="str">
        <f t="shared" ref="FA144:FA145" si="2266">IF(BU144="","","|n"&amp;FA$2&amp;"+"&amp;BU144&amp;FA$1)</f>
        <v/>
      </c>
      <c r="FB144" s="44" t="str">
        <f t="shared" ref="FB144:FB145" si="2267">IF(BV144="","","|n"&amp;FB$2&amp;"+"&amp;BV144&amp;FB$1)</f>
        <v/>
      </c>
      <c r="FC144" s="44" t="str">
        <f t="shared" ref="FC144:FC145" si="2268">IF(BW144="","","|n"&amp;FC$2&amp;"+"&amp;BW144&amp;FC$1)</f>
        <v/>
      </c>
      <c r="FD144" s="44" t="str">
        <f t="shared" ref="FD144:FD145" si="2269">IF(BX144="","","|n"&amp;FD$2&amp;"+"&amp;BX144&amp;FD$1)</f>
        <v/>
      </c>
      <c r="FE144" s="44" t="str">
        <f t="shared" ref="FE144:FE145" si="2270">IF(BY144="","","|n"&amp;FE$2&amp;"+"&amp;BY144&amp;FE$1)</f>
        <v/>
      </c>
      <c r="FF144" s="44" t="str">
        <f t="shared" ref="FF144:FF145" si="2271">IF(BZ144="","","|n"&amp;FF$2&amp;"+"&amp;BZ144&amp;FF$1)</f>
        <v/>
      </c>
      <c r="FG144" s="44" t="str">
        <f t="shared" ref="FG144:FG145" si="2272">IF(CA144="","","|n"&amp;FG$2&amp;"+"&amp;CA144&amp;FG$1)</f>
        <v/>
      </c>
      <c r="FH144" s="44" t="str">
        <f t="shared" ref="FH144:FH145" si="2273">IF(CB144="","","|n"&amp;FH$2&amp;"+"&amp;CB144&amp;FH$1)</f>
        <v/>
      </c>
      <c r="FI144" s="44" t="str">
        <f t="shared" ref="FI144:FI145" si="2274">IF(CC144="","","|n"&amp;FI$2&amp;"+"&amp;CC144&amp;FI$1)</f>
        <v/>
      </c>
      <c r="FJ144" s="44" t="str">
        <f t="shared" ref="FJ144:FJ145" si="2275">IF(CD144="","","|n"&amp;FJ$2&amp;"+"&amp;CD144&amp;FJ$1)</f>
        <v/>
      </c>
      <c r="FK144" s="44" t="str">
        <f t="shared" ref="FK144:FK145" si="2276">IF(CE144="","","|n"&amp;FK$2&amp;"+"&amp;CE144&amp;FK$1)</f>
        <v/>
      </c>
      <c r="FL144" s="44" t="str">
        <f t="shared" ref="FL144:FL145" si="2277">IF(CF144="","","|n"&amp;FL$2&amp;"+"&amp;CF144&amp;FL$1)</f>
        <v/>
      </c>
      <c r="FM144" s="44" t="str">
        <f t="shared" ref="FM144:FM145" si="2278">IF(CG144="","","|n"&amp;FM$2&amp;"+"&amp;CG144&amp;FM$1)</f>
        <v/>
      </c>
      <c r="FN144" s="44" t="str">
        <f t="shared" ref="FN144:FN145" si="2279">IF(CH144="","","|n"&amp;FN$2&amp;"+"&amp;CH144&amp;FN$1)</f>
        <v/>
      </c>
      <c r="FO144" s="44" t="str">
        <f t="shared" ref="FO144:FO145" si="2280">IF(CI144="","","|n"&amp;FO$2&amp;"+"&amp;CI144&amp;FO$1)</f>
        <v/>
      </c>
      <c r="FP144" s="44" t="str">
        <f t="shared" ref="FP144:FP145" si="2281">IF(CJ144="","","|n"&amp;FP$2&amp;"+"&amp;CJ144&amp;FP$1)</f>
        <v/>
      </c>
      <c r="FQ144" s="44" t="str">
        <f t="shared" ref="FQ144:FQ145" si="2282">IF(CK144="","","|n"&amp;FQ$2&amp;"+"&amp;CK144&amp;FQ$1)</f>
        <v/>
      </c>
      <c r="FR144" s="44" t="str">
        <f t="shared" ref="FR144:FR145" si="2283">IF(CL144="","","|n"&amp;FR$2&amp;"+"&amp;CL144&amp;FR$1)</f>
        <v/>
      </c>
      <c r="FS144" s="44" t="str">
        <f t="shared" ref="FS144:FS145" si="2284">IF(CM144="","","|n"&amp;FS$2&amp;"+"&amp;CM144&amp;FS$1)</f>
        <v/>
      </c>
    </row>
    <row r="145" ht="57.6" spans="1:175">
      <c r="A145" s="5"/>
      <c r="B145" s="7" t="s">
        <v>512</v>
      </c>
      <c r="C145" s="80" t="s">
        <v>485</v>
      </c>
      <c r="T145" s="85" t="s">
        <v>486</v>
      </c>
      <c r="U145" s="60" t="s">
        <v>487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72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     </v>
      </c>
      <c r="CW145" s="7"/>
      <c r="CX145" s="7"/>
      <c r="CY145" s="7"/>
      <c r="CZ145" s="7"/>
      <c r="DA145" s="7"/>
      <c r="DB145" s="44" t="str">
        <f t="shared" si="2215"/>
        <v/>
      </c>
      <c r="DC145" s="44" t="str">
        <f t="shared" si="2216"/>
        <v/>
      </c>
      <c r="DD145" s="44" t="str">
        <f t="shared" si="2217"/>
        <v/>
      </c>
      <c r="DE145" s="44" t="str">
        <f t="shared" si="2218"/>
        <v/>
      </c>
      <c r="DF145" s="44" t="str">
        <f t="shared" si="2219"/>
        <v/>
      </c>
      <c r="DG145" s="44" t="str">
        <f t="shared" si="2220"/>
        <v/>
      </c>
      <c r="DH145" s="44" t="str">
        <f t="shared" si="2221"/>
        <v/>
      </c>
      <c r="DI145" s="44" t="str">
        <f t="shared" si="2222"/>
        <v/>
      </c>
      <c r="DJ145" s="44" t="str">
        <f t="shared" si="2223"/>
        <v/>
      </c>
      <c r="DK145" s="44" t="str">
        <f t="shared" si="2224"/>
        <v/>
      </c>
      <c r="DL145" s="44" t="str">
        <f t="shared" si="2225"/>
        <v/>
      </c>
      <c r="DM145" s="44" t="str">
        <f t="shared" si="2226"/>
        <v/>
      </c>
      <c r="DN145" s="44" t="str">
        <f t="shared" si="2227"/>
        <v/>
      </c>
      <c r="DO145" s="44" t="str">
        <f t="shared" si="2228"/>
        <v/>
      </c>
      <c r="DP145" s="44" t="str">
        <f t="shared" si="2229"/>
        <v/>
      </c>
      <c r="DQ145" s="44" t="str">
        <f t="shared" si="2230"/>
        <v/>
      </c>
      <c r="DR145" s="44" t="str">
        <f t="shared" si="2231"/>
        <v/>
      </c>
      <c r="DS145" s="44" t="str">
        <f t="shared" si="2232"/>
        <v/>
      </c>
      <c r="DT145" s="44" t="str">
        <f t="shared" si="2233"/>
        <v/>
      </c>
      <c r="DU145" s="44" t="str">
        <f t="shared" si="2234"/>
        <v/>
      </c>
      <c r="DV145" s="44" t="str">
        <f t="shared" si="2235"/>
        <v/>
      </c>
      <c r="DW145" s="44" t="str">
        <f t="shared" si="2236"/>
        <v/>
      </c>
      <c r="DX145" s="44" t="str">
        <f t="shared" si="2237"/>
        <v/>
      </c>
      <c r="DY145" s="44" t="str">
        <f t="shared" si="2238"/>
        <v/>
      </c>
      <c r="DZ145" s="44" t="str">
        <f t="shared" si="2239"/>
        <v/>
      </c>
      <c r="EA145" s="44" t="str">
        <f t="shared" si="2240"/>
        <v/>
      </c>
      <c r="EB145" s="44" t="str">
        <f t="shared" si="2241"/>
        <v/>
      </c>
      <c r="EC145" s="44" t="str">
        <f t="shared" si="2242"/>
        <v/>
      </c>
      <c r="ED145" s="44" t="str">
        <f t="shared" si="2243"/>
        <v/>
      </c>
      <c r="EE145" s="44" t="str">
        <f t="shared" si="2244"/>
        <v/>
      </c>
      <c r="EF145" s="44" t="str">
        <f t="shared" si="2245"/>
        <v/>
      </c>
      <c r="EG145" s="44" t="str">
        <f t="shared" si="2246"/>
        <v/>
      </c>
      <c r="EH145" s="44" t="str">
        <f t="shared" si="2247"/>
        <v/>
      </c>
      <c r="EI145" s="44" t="str">
        <f t="shared" si="2248"/>
        <v/>
      </c>
      <c r="EJ145" s="44" t="str">
        <f t="shared" si="2249"/>
        <v/>
      </c>
      <c r="EK145" s="44" t="str">
        <f t="shared" si="2250"/>
        <v/>
      </c>
      <c r="EL145" s="44" t="str">
        <f t="shared" si="2251"/>
        <v/>
      </c>
      <c r="EM145" s="44" t="str">
        <f t="shared" si="2252"/>
        <v/>
      </c>
      <c r="EN145" s="44" t="str">
        <f t="shared" si="2253"/>
        <v/>
      </c>
      <c r="EO145" s="44" t="str">
        <f t="shared" si="2254"/>
        <v/>
      </c>
      <c r="EP145" s="44" t="str">
        <f t="shared" si="2255"/>
        <v/>
      </c>
      <c r="EQ145" s="44" t="str">
        <f t="shared" si="2256"/>
        <v/>
      </c>
      <c r="ER145" s="44" t="str">
        <f t="shared" si="2257"/>
        <v/>
      </c>
      <c r="ES145" s="44" t="str">
        <f t="shared" si="2258"/>
        <v/>
      </c>
      <c r="ET145" s="44" t="str">
        <f t="shared" si="2259"/>
        <v/>
      </c>
      <c r="EU145" s="44" t="str">
        <f t="shared" si="2260"/>
        <v/>
      </c>
      <c r="EV145" s="44" t="str">
        <f t="shared" si="2261"/>
        <v/>
      </c>
      <c r="EW145" s="44" t="str">
        <f t="shared" si="2262"/>
        <v/>
      </c>
      <c r="EX145" s="44" t="str">
        <f t="shared" si="2263"/>
        <v/>
      </c>
      <c r="EY145" s="44" t="str">
        <f t="shared" si="2264"/>
        <v/>
      </c>
      <c r="EZ145" s="44" t="str">
        <f t="shared" si="2265"/>
        <v/>
      </c>
      <c r="FA145" s="44" t="str">
        <f t="shared" si="2266"/>
        <v/>
      </c>
      <c r="FB145" s="44" t="str">
        <f t="shared" si="2267"/>
        <v/>
      </c>
      <c r="FC145" s="44" t="str">
        <f t="shared" si="2268"/>
        <v/>
      </c>
      <c r="FD145" s="44" t="str">
        <f t="shared" si="2269"/>
        <v/>
      </c>
      <c r="FE145" s="44" t="str">
        <f t="shared" si="2270"/>
        <v/>
      </c>
      <c r="FF145" s="44" t="str">
        <f t="shared" si="2271"/>
        <v/>
      </c>
      <c r="FG145" s="44" t="str">
        <f t="shared" si="2272"/>
        <v/>
      </c>
      <c r="FH145" s="44" t="str">
        <f t="shared" si="2273"/>
        <v/>
      </c>
      <c r="FI145" s="44" t="str">
        <f t="shared" si="2274"/>
        <v/>
      </c>
      <c r="FJ145" s="44" t="str">
        <f t="shared" si="2275"/>
        <v/>
      </c>
      <c r="FK145" s="44" t="str">
        <f t="shared" si="2276"/>
        <v/>
      </c>
      <c r="FL145" s="44" t="str">
        <f t="shared" si="2277"/>
        <v/>
      </c>
      <c r="FM145" s="44" t="str">
        <f t="shared" si="2278"/>
        <v/>
      </c>
      <c r="FN145" s="44" t="str">
        <f t="shared" si="2279"/>
        <v/>
      </c>
      <c r="FO145" s="44" t="str">
        <f t="shared" si="2280"/>
        <v/>
      </c>
      <c r="FP145" s="44" t="str">
        <f t="shared" si="2281"/>
        <v/>
      </c>
      <c r="FQ145" s="44" t="str">
        <f t="shared" si="2282"/>
        <v/>
      </c>
      <c r="FR145" s="44" t="str">
        <f t="shared" si="2283"/>
        <v/>
      </c>
      <c r="FS145" s="44" t="str">
        <f t="shared" si="2284"/>
        <v/>
      </c>
    </row>
    <row r="146" ht="57.6" spans="1:175">
      <c r="A146" s="5"/>
      <c r="B146" s="7" t="s">
        <v>513</v>
      </c>
      <c r="C146" s="80" t="s">
        <v>485</v>
      </c>
      <c r="T146" s="85" t="s">
        <v>486</v>
      </c>
      <c r="U146" s="60" t="s">
        <v>487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72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     </v>
      </c>
      <c r="CW146" s="7"/>
      <c r="CX146" s="7"/>
      <c r="CY146" s="7"/>
      <c r="CZ146" s="7"/>
      <c r="DA146" s="7"/>
      <c r="DB146" s="44" t="str">
        <f t="shared" si="1916"/>
        <v/>
      </c>
      <c r="DC146" s="44" t="str">
        <f t="shared" si="1917"/>
        <v/>
      </c>
      <c r="DD146" s="44" t="str">
        <f t="shared" si="1918"/>
        <v/>
      </c>
      <c r="DE146" s="44" t="str">
        <f t="shared" si="1919"/>
        <v/>
      </c>
      <c r="DF146" s="44" t="str">
        <f t="shared" si="1920"/>
        <v/>
      </c>
      <c r="DG146" s="44" t="str">
        <f t="shared" si="1921"/>
        <v/>
      </c>
      <c r="DH146" s="44" t="str">
        <f t="shared" si="1922"/>
        <v/>
      </c>
      <c r="DI146" s="44" t="str">
        <f t="shared" si="1923"/>
        <v/>
      </c>
      <c r="DJ146" s="44" t="str">
        <f t="shared" si="1924"/>
        <v/>
      </c>
      <c r="DK146" s="44" t="str">
        <f t="shared" si="1925"/>
        <v/>
      </c>
      <c r="DL146" s="44" t="str">
        <f t="shared" si="1926"/>
        <v/>
      </c>
      <c r="DM146" s="44" t="str">
        <f t="shared" si="1927"/>
        <v/>
      </c>
      <c r="DN146" s="44" t="str">
        <f t="shared" si="1928"/>
        <v/>
      </c>
      <c r="DO146" s="44" t="str">
        <f t="shared" si="1929"/>
        <v/>
      </c>
      <c r="DP146" s="44" t="str">
        <f t="shared" si="1930"/>
        <v/>
      </c>
      <c r="DQ146" s="44" t="str">
        <f t="shared" si="1931"/>
        <v/>
      </c>
      <c r="DR146" s="44" t="str">
        <f t="shared" si="1932"/>
        <v/>
      </c>
      <c r="DS146" s="44" t="str">
        <f t="shared" si="1933"/>
        <v/>
      </c>
      <c r="DT146" s="44" t="str">
        <f t="shared" si="1934"/>
        <v/>
      </c>
      <c r="DU146" s="44" t="str">
        <f t="shared" si="1935"/>
        <v/>
      </c>
      <c r="DV146" s="44" t="str">
        <f t="shared" si="1936"/>
        <v/>
      </c>
      <c r="DW146" s="44" t="str">
        <f t="shared" si="1937"/>
        <v/>
      </c>
      <c r="DX146" s="44" t="str">
        <f t="shared" si="1938"/>
        <v/>
      </c>
      <c r="DY146" s="44" t="str">
        <f t="shared" si="1939"/>
        <v/>
      </c>
      <c r="DZ146" s="44" t="str">
        <f t="shared" si="1940"/>
        <v/>
      </c>
      <c r="EA146" s="44" t="str">
        <f t="shared" si="1941"/>
        <v/>
      </c>
      <c r="EB146" s="44" t="str">
        <f t="shared" si="1942"/>
        <v/>
      </c>
      <c r="EC146" s="44" t="str">
        <f t="shared" si="1943"/>
        <v/>
      </c>
      <c r="ED146" s="44" t="str">
        <f t="shared" si="1944"/>
        <v/>
      </c>
      <c r="EE146" s="44" t="str">
        <f t="shared" si="1945"/>
        <v/>
      </c>
      <c r="EF146" s="44" t="str">
        <f t="shared" si="1946"/>
        <v/>
      </c>
      <c r="EG146" s="44" t="str">
        <f t="shared" si="1947"/>
        <v/>
      </c>
      <c r="EH146" s="44" t="str">
        <f t="shared" si="1948"/>
        <v/>
      </c>
      <c r="EI146" s="44" t="str">
        <f t="shared" si="1949"/>
        <v/>
      </c>
      <c r="EJ146" s="44" t="str">
        <f t="shared" si="1950"/>
        <v/>
      </c>
      <c r="EK146" s="44" t="str">
        <f t="shared" si="1951"/>
        <v/>
      </c>
      <c r="EL146" s="44" t="str">
        <f t="shared" si="1952"/>
        <v/>
      </c>
      <c r="EM146" s="44" t="str">
        <f t="shared" si="1953"/>
        <v/>
      </c>
      <c r="EN146" s="44" t="str">
        <f t="shared" si="1954"/>
        <v/>
      </c>
      <c r="EO146" s="44" t="str">
        <f t="shared" si="1955"/>
        <v/>
      </c>
      <c r="EP146" s="44" t="str">
        <f t="shared" si="1956"/>
        <v/>
      </c>
      <c r="EQ146" s="44" t="str">
        <f t="shared" si="1957"/>
        <v/>
      </c>
      <c r="ER146" s="44" t="str">
        <f t="shared" si="1958"/>
        <v/>
      </c>
      <c r="ES146" s="44" t="str">
        <f t="shared" si="1959"/>
        <v/>
      </c>
      <c r="ET146" s="44" t="str">
        <f t="shared" si="1960"/>
        <v/>
      </c>
      <c r="EU146" s="44" t="str">
        <f t="shared" si="1961"/>
        <v/>
      </c>
      <c r="EV146" s="44" t="str">
        <f t="shared" si="1962"/>
        <v/>
      </c>
      <c r="EW146" s="44" t="str">
        <f t="shared" si="1963"/>
        <v/>
      </c>
      <c r="EX146" s="44" t="str">
        <f t="shared" si="1964"/>
        <v/>
      </c>
      <c r="EY146" s="44" t="str">
        <f t="shared" si="1965"/>
        <v/>
      </c>
      <c r="EZ146" s="44" t="str">
        <f t="shared" si="1966"/>
        <v/>
      </c>
      <c r="FA146" s="44" t="str">
        <f t="shared" si="1967"/>
        <v/>
      </c>
      <c r="FB146" s="44" t="str">
        <f t="shared" si="1968"/>
        <v/>
      </c>
      <c r="FC146" s="44" t="str">
        <f t="shared" si="1969"/>
        <v/>
      </c>
      <c r="FD146" s="44" t="str">
        <f t="shared" si="1970"/>
        <v/>
      </c>
      <c r="FE146" s="44" t="str">
        <f t="shared" si="1971"/>
        <v/>
      </c>
      <c r="FF146" s="44" t="str">
        <f t="shared" si="1972"/>
        <v/>
      </c>
      <c r="FG146" s="44" t="str">
        <f t="shared" si="1973"/>
        <v/>
      </c>
      <c r="FH146" s="44" t="str">
        <f t="shared" si="1974"/>
        <v/>
      </c>
      <c r="FI146" s="44" t="str">
        <f t="shared" si="1975"/>
        <v/>
      </c>
      <c r="FJ146" s="44" t="str">
        <f t="shared" si="1976"/>
        <v/>
      </c>
      <c r="FK146" s="44" t="str">
        <f t="shared" si="1977"/>
        <v/>
      </c>
      <c r="FL146" s="44" t="str">
        <f t="shared" si="1978"/>
        <v/>
      </c>
      <c r="FM146" s="44" t="str">
        <f t="shared" si="1979"/>
        <v/>
      </c>
      <c r="FN146" s="44" t="str">
        <f t="shared" si="1980"/>
        <v/>
      </c>
      <c r="FO146" s="44" t="str">
        <f t="shared" si="1981"/>
        <v/>
      </c>
      <c r="FP146" s="44" t="str">
        <f t="shared" si="1982"/>
        <v/>
      </c>
      <c r="FQ146" s="44" t="str">
        <f t="shared" si="1983"/>
        <v/>
      </c>
      <c r="FR146" s="44" t="str">
        <f t="shared" si="1984"/>
        <v/>
      </c>
      <c r="FS146" s="44" t="str">
        <f t="shared" si="1985"/>
        <v/>
      </c>
    </row>
    <row r="147" ht="15" spans="1:175">
      <c r="A147" s="5"/>
      <c r="B147" s="7" t="s">
        <v>514</v>
      </c>
      <c r="C147" s="80" t="s">
        <v>493</v>
      </c>
      <c r="T147" s="85" t="s">
        <v>502</v>
      </c>
      <c r="U147" s="60" t="s">
        <v>495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72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4" t="str">
        <f t="shared" ref="DB147" si="2287">IF(V147="","","|n"&amp;DB$2&amp;"+"&amp;V147&amp;DB$1)</f>
        <v/>
      </c>
      <c r="DC147" s="44" t="str">
        <f t="shared" ref="DC147" si="2288">IF(W147="","","|n"&amp;DC$2&amp;"+"&amp;W147&amp;DC$1)</f>
        <v/>
      </c>
      <c r="DD147" s="44" t="str">
        <f t="shared" ref="DD147" si="2289">IF(X147="","","|n"&amp;DD$2&amp;"+"&amp;X147&amp;DD$1)</f>
        <v/>
      </c>
      <c r="DE147" s="44" t="str">
        <f t="shared" ref="DE147" si="2290">IF(Y147="","","|n"&amp;DE$2&amp;"+"&amp;Y147&amp;DE$1)</f>
        <v/>
      </c>
      <c r="DF147" s="44" t="str">
        <f t="shared" ref="DF147" si="2291">IF(Z147="","","|n"&amp;DF$2&amp;"+"&amp;Z147&amp;DF$1)</f>
        <v/>
      </c>
      <c r="DG147" s="44" t="str">
        <f t="shared" ref="DG147" si="2292">IF(AA147="","","|n"&amp;DG$2&amp;"+"&amp;AA147&amp;DG$1)</f>
        <v/>
      </c>
      <c r="DH147" s="44" t="str">
        <f t="shared" ref="DH147" si="2293">IF(AB147="","","|n"&amp;DH$2&amp;"+"&amp;AB147&amp;DH$1)</f>
        <v/>
      </c>
      <c r="DI147" s="44" t="str">
        <f t="shared" ref="DI147" si="2294">IF(AC147="","","|n"&amp;DI$2&amp;"+"&amp;AC147&amp;DI$1)</f>
        <v/>
      </c>
      <c r="DJ147" s="44" t="str">
        <f t="shared" ref="DJ147" si="2295">IF(AD147="","","|n"&amp;DJ$2&amp;"+"&amp;AD147&amp;DJ$1)</f>
        <v/>
      </c>
      <c r="DK147" s="44" t="str">
        <f t="shared" ref="DK147" si="2296">IF(AE147="","","|n"&amp;DK$2&amp;"+"&amp;AE147&amp;DK$1)</f>
        <v/>
      </c>
      <c r="DL147" s="44" t="str">
        <f t="shared" ref="DL147" si="2297">IF(AF147="","","|n"&amp;DL$2&amp;"+"&amp;AF147&amp;DL$1)</f>
        <v/>
      </c>
      <c r="DM147" s="44" t="str">
        <f t="shared" ref="DM147" si="2298">IF(AG147="","","|n"&amp;DM$2&amp;"+"&amp;AG147&amp;DM$1)</f>
        <v/>
      </c>
      <c r="DN147" s="44" t="str">
        <f t="shared" ref="DN147" si="2299">IF(AH147="","","|n"&amp;DN$2&amp;"+"&amp;AH147&amp;DN$1)</f>
        <v/>
      </c>
      <c r="DO147" s="44" t="str">
        <f t="shared" ref="DO147" si="2300">IF(AI147="","","|n"&amp;DO$2&amp;"+"&amp;AI147&amp;DO$1)</f>
        <v/>
      </c>
      <c r="DP147" s="44" t="str">
        <f t="shared" ref="DP147" si="2301">IF(AJ147="","","|n"&amp;DP$2&amp;"+"&amp;AJ147&amp;DP$1)</f>
        <v/>
      </c>
      <c r="DQ147" s="44" t="str">
        <f t="shared" ref="DQ147" si="2302">IF(AK147="","","|n"&amp;DQ$2&amp;"+"&amp;AK147&amp;DQ$1)</f>
        <v/>
      </c>
      <c r="DR147" s="44" t="str">
        <f t="shared" ref="DR147" si="2303">IF(AL147="","","|n"&amp;DR$2&amp;"+"&amp;AL147&amp;DR$1)</f>
        <v/>
      </c>
      <c r="DS147" s="44" t="str">
        <f t="shared" ref="DS147" si="2304">IF(AM147="","","|n"&amp;DS$2&amp;"+"&amp;AM147&amp;DS$1)</f>
        <v/>
      </c>
      <c r="DT147" s="44" t="str">
        <f t="shared" ref="DT147" si="2305">IF(AN147="","","|n"&amp;DT$2&amp;"+"&amp;AN147&amp;DT$1)</f>
        <v/>
      </c>
      <c r="DU147" s="44" t="str">
        <f t="shared" ref="DU147" si="2306">IF(AO147="","","|n"&amp;DU$2&amp;"+"&amp;AO147&amp;DU$1)</f>
        <v/>
      </c>
      <c r="DV147" s="44" t="str">
        <f t="shared" ref="DV147" si="2307">IF(AP147="","","|n"&amp;DV$2&amp;"+"&amp;AP147&amp;DV$1)</f>
        <v/>
      </c>
      <c r="DW147" s="44" t="str">
        <f t="shared" ref="DW147" si="2308">IF(AQ147="","","|n"&amp;DW$2&amp;"+"&amp;AQ147&amp;DW$1)</f>
        <v/>
      </c>
      <c r="DX147" s="44" t="str">
        <f t="shared" ref="DX147" si="2309">IF(AR147="","","|n"&amp;DX$2&amp;"+"&amp;AR147&amp;DX$1)</f>
        <v/>
      </c>
      <c r="DY147" s="44" t="str">
        <f t="shared" ref="DY147" si="2310">IF(AS147="","","|n"&amp;DY$2&amp;"+"&amp;AS147&amp;DY$1)</f>
        <v/>
      </c>
      <c r="DZ147" s="44" t="str">
        <f t="shared" ref="DZ147" si="2311">IF(AT147="","","|n"&amp;DZ$2&amp;"+"&amp;AT147&amp;DZ$1)</f>
        <v/>
      </c>
      <c r="EA147" s="44" t="str">
        <f t="shared" ref="EA147" si="2312">IF(AU147="","","|n"&amp;EA$2&amp;"+"&amp;AU147&amp;EA$1)</f>
        <v/>
      </c>
      <c r="EB147" s="44" t="str">
        <f t="shared" ref="EB147" si="2313">IF(AV147="","","|n"&amp;EB$2&amp;"+"&amp;AV147&amp;EB$1)</f>
        <v/>
      </c>
      <c r="EC147" s="44" t="str">
        <f t="shared" ref="EC147" si="2314">IF(AW147="","","|n"&amp;EC$2&amp;"+"&amp;AW147&amp;EC$1)</f>
        <v/>
      </c>
      <c r="ED147" s="44" t="str">
        <f t="shared" ref="ED147" si="2315">IF(AX147="","","|n"&amp;ED$2&amp;"+"&amp;AX147&amp;ED$1)</f>
        <v/>
      </c>
      <c r="EE147" s="44" t="str">
        <f t="shared" ref="EE147" si="2316">IF(AY147="","","|n"&amp;EE$2&amp;"+"&amp;AY147&amp;EE$1)</f>
        <v/>
      </c>
      <c r="EF147" s="44" t="str">
        <f t="shared" ref="EF147" si="2317">IF(AZ147="","","|n"&amp;EF$2&amp;"+"&amp;AZ147&amp;EF$1)</f>
        <v/>
      </c>
      <c r="EG147" s="44" t="str">
        <f t="shared" ref="EG147" si="2318">IF(BA147="","","|n"&amp;EG$2&amp;"+"&amp;BA147&amp;EG$1)</f>
        <v/>
      </c>
      <c r="EH147" s="44" t="str">
        <f t="shared" ref="EH147" si="2319">IF(BB147="","","|n"&amp;EH$2&amp;"+"&amp;BB147&amp;EH$1)</f>
        <v/>
      </c>
      <c r="EI147" s="44" t="str">
        <f t="shared" ref="EI147" si="2320">IF(BC147="","","|n"&amp;EI$2&amp;"+"&amp;BC147&amp;EI$1)</f>
        <v/>
      </c>
      <c r="EJ147" s="44" t="str">
        <f t="shared" ref="EJ147" si="2321">IF(BD147="","","|n"&amp;EJ$2&amp;"+"&amp;BD147&amp;EJ$1)</f>
        <v/>
      </c>
      <c r="EK147" s="44" t="str">
        <f t="shared" ref="EK147" si="2322">IF(BE147="","","|n"&amp;EK$2&amp;"+"&amp;BE147&amp;EK$1)</f>
        <v/>
      </c>
      <c r="EL147" s="44" t="str">
        <f t="shared" ref="EL147" si="2323">IF(BF147="","","|n"&amp;EL$2&amp;"+"&amp;BF147&amp;EL$1)</f>
        <v/>
      </c>
      <c r="EM147" s="44" t="str">
        <f t="shared" ref="EM147" si="2324">IF(BG147="","","|n"&amp;EM$2&amp;"+"&amp;BG147&amp;EM$1)</f>
        <v/>
      </c>
      <c r="EN147" s="44" t="str">
        <f t="shared" ref="EN147" si="2325">IF(BH147="","","|n"&amp;EN$2&amp;"+"&amp;BH147&amp;EN$1)</f>
        <v/>
      </c>
      <c r="EO147" s="44" t="str">
        <f t="shared" ref="EO147" si="2326">IF(BI147="","","|n"&amp;EO$2&amp;"+"&amp;BI147&amp;EO$1)</f>
        <v/>
      </c>
      <c r="EP147" s="44" t="str">
        <f t="shared" ref="EP147" si="2327">IF(BJ147="","","|n"&amp;EP$2&amp;"+"&amp;BJ147&amp;EP$1)</f>
        <v/>
      </c>
      <c r="EQ147" s="44" t="str">
        <f t="shared" ref="EQ147" si="2328">IF(BK147="","","|n"&amp;EQ$2&amp;"+"&amp;BK147&amp;EQ$1)</f>
        <v/>
      </c>
      <c r="ER147" s="44" t="str">
        <f t="shared" ref="ER147" si="2329">IF(BL147="","","|n"&amp;ER$2&amp;"+"&amp;BL147&amp;ER$1)</f>
        <v/>
      </c>
      <c r="ES147" s="44" t="str">
        <f t="shared" ref="ES147" si="2330">IF(BM147="","","|n"&amp;ES$2&amp;"+"&amp;BM147&amp;ES$1)</f>
        <v/>
      </c>
      <c r="ET147" s="44" t="str">
        <f t="shared" ref="ET147" si="2331">IF(BN147="","","|n"&amp;ET$2&amp;"+"&amp;BN147&amp;ET$1)</f>
        <v/>
      </c>
      <c r="EU147" s="44" t="str">
        <f t="shared" ref="EU147" si="2332">IF(BO147="","","|n"&amp;EU$2&amp;"+"&amp;BO147&amp;EU$1)</f>
        <v/>
      </c>
      <c r="EV147" s="44" t="str">
        <f t="shared" ref="EV147" si="2333">IF(BP147="","","|n"&amp;EV$2&amp;"+"&amp;BP147&amp;EV$1)</f>
        <v/>
      </c>
      <c r="EW147" s="44" t="str">
        <f t="shared" ref="EW147" si="2334">IF(BQ147="","","|n"&amp;EW$2&amp;"+"&amp;BQ147&amp;EW$1)</f>
        <v/>
      </c>
      <c r="EX147" s="44" t="str">
        <f t="shared" ref="EX147" si="2335">IF(BR147="","","|n"&amp;EX$2&amp;"+"&amp;BR147&amp;EX$1)</f>
        <v/>
      </c>
      <c r="EY147" s="44" t="str">
        <f t="shared" ref="EY147" si="2336">IF(BS147="","","|n"&amp;EY$2&amp;"+"&amp;BS147&amp;EY$1)</f>
        <v/>
      </c>
      <c r="EZ147" s="44" t="str">
        <f t="shared" ref="EZ147" si="2337">IF(BT147="","","|n"&amp;EZ$2&amp;"+"&amp;BT147&amp;EZ$1)</f>
        <v/>
      </c>
      <c r="FA147" s="44" t="str">
        <f t="shared" ref="FA147" si="2338">IF(BU147="","","|n"&amp;FA$2&amp;"+"&amp;BU147&amp;FA$1)</f>
        <v/>
      </c>
      <c r="FB147" s="44" t="str">
        <f t="shared" ref="FB147" si="2339">IF(BV147="","","|n"&amp;FB$2&amp;"+"&amp;BV147&amp;FB$1)</f>
        <v/>
      </c>
      <c r="FC147" s="44" t="str">
        <f t="shared" ref="FC147" si="2340">IF(BW147="","","|n"&amp;FC$2&amp;"+"&amp;BW147&amp;FC$1)</f>
        <v/>
      </c>
      <c r="FD147" s="44" t="str">
        <f t="shared" ref="FD147" si="2341">IF(BX147="","","|n"&amp;FD$2&amp;"+"&amp;BX147&amp;FD$1)</f>
        <v/>
      </c>
      <c r="FE147" s="44" t="str">
        <f t="shared" ref="FE147" si="2342">IF(BY147="","","|n"&amp;FE$2&amp;"+"&amp;BY147&amp;FE$1)</f>
        <v/>
      </c>
      <c r="FF147" s="44" t="str">
        <f t="shared" ref="FF147" si="2343">IF(BZ147="","","|n"&amp;FF$2&amp;"+"&amp;BZ147&amp;FF$1)</f>
        <v/>
      </c>
      <c r="FG147" s="44" t="str">
        <f t="shared" ref="FG147" si="2344">IF(CA147="","","|n"&amp;FG$2&amp;"+"&amp;CA147&amp;FG$1)</f>
        <v/>
      </c>
      <c r="FH147" s="44" t="str">
        <f t="shared" ref="FH147" si="2345">IF(CB147="","","|n"&amp;FH$2&amp;"+"&amp;CB147&amp;FH$1)</f>
        <v/>
      </c>
      <c r="FI147" s="44" t="str">
        <f t="shared" ref="FI147" si="2346">IF(CC147="","","|n"&amp;FI$2&amp;"+"&amp;CC147&amp;FI$1)</f>
        <v/>
      </c>
      <c r="FJ147" s="44" t="str">
        <f t="shared" ref="FJ147" si="2347">IF(CD147="","","|n"&amp;FJ$2&amp;"+"&amp;CD147&amp;FJ$1)</f>
        <v/>
      </c>
      <c r="FK147" s="44" t="str">
        <f t="shared" ref="FK147" si="2348">IF(CE147="","","|n"&amp;FK$2&amp;"+"&amp;CE147&amp;FK$1)</f>
        <v/>
      </c>
      <c r="FL147" s="44" t="str">
        <f t="shared" ref="FL147" si="2349">IF(CF147="","","|n"&amp;FL$2&amp;"+"&amp;CF147&amp;FL$1)</f>
        <v/>
      </c>
      <c r="FM147" s="44" t="str">
        <f t="shared" ref="FM147" si="2350">IF(CG147="","","|n"&amp;FM$2&amp;"+"&amp;CG147&amp;FM$1)</f>
        <v/>
      </c>
      <c r="FN147" s="44" t="str">
        <f t="shared" ref="FN147" si="2351">IF(CH147="","","|n"&amp;FN$2&amp;"+"&amp;CH147&amp;FN$1)</f>
        <v/>
      </c>
      <c r="FO147" s="44" t="str">
        <f t="shared" ref="FO147" si="2352">IF(CI147="","","|n"&amp;FO$2&amp;"+"&amp;CI147&amp;FO$1)</f>
        <v/>
      </c>
      <c r="FP147" s="44" t="str">
        <f t="shared" ref="FP147" si="2353">IF(CJ147="","","|n"&amp;FP$2&amp;"+"&amp;CJ147&amp;FP$1)</f>
        <v/>
      </c>
      <c r="FQ147" s="44" t="str">
        <f t="shared" ref="FQ147" si="2354">IF(CK147="","","|n"&amp;FQ$2&amp;"+"&amp;CK147&amp;FQ$1)</f>
        <v/>
      </c>
      <c r="FR147" s="44" t="str">
        <f t="shared" ref="FR147" si="2355">IF(CL147="","","|n"&amp;FR$2&amp;"+"&amp;CL147&amp;FR$1)</f>
        <v/>
      </c>
      <c r="FS147" s="44" t="str">
        <f t="shared" ref="FS147" si="2356">IF(CM147="","","|n"&amp;FS$2&amp;"+"&amp;CM147&amp;FS$1)</f>
        <v/>
      </c>
    </row>
    <row r="148" ht="15" spans="1:175">
      <c r="A148" s="5"/>
      <c r="B148" s="5" t="s">
        <v>515</v>
      </c>
      <c r="C148" s="5" t="s">
        <v>516</v>
      </c>
      <c r="T148" s="85" t="s">
        <v>517</v>
      </c>
      <c r="U148" s="60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72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4" t="str">
        <f t="shared" si="1916"/>
        <v/>
      </c>
      <c r="DC148" s="44" t="str">
        <f t="shared" si="1917"/>
        <v/>
      </c>
      <c r="DD148" s="44" t="str">
        <f t="shared" si="1918"/>
        <v/>
      </c>
      <c r="DE148" s="44" t="str">
        <f t="shared" si="1919"/>
        <v/>
      </c>
      <c r="DF148" s="44" t="str">
        <f t="shared" si="1920"/>
        <v/>
      </c>
      <c r="DG148" s="44" t="str">
        <f t="shared" si="1921"/>
        <v/>
      </c>
      <c r="DH148" s="44" t="str">
        <f t="shared" si="1922"/>
        <v/>
      </c>
      <c r="DI148" s="44" t="str">
        <f t="shared" si="1923"/>
        <v/>
      </c>
      <c r="DJ148" s="44" t="str">
        <f t="shared" si="1924"/>
        <v/>
      </c>
      <c r="DK148" s="44" t="str">
        <f t="shared" si="1925"/>
        <v/>
      </c>
      <c r="DL148" s="44" t="str">
        <f t="shared" si="1926"/>
        <v/>
      </c>
      <c r="DM148" s="44" t="str">
        <f t="shared" si="1927"/>
        <v/>
      </c>
      <c r="DN148" s="44" t="str">
        <f t="shared" si="1928"/>
        <v/>
      </c>
      <c r="DO148" s="44" t="str">
        <f t="shared" si="1929"/>
        <v/>
      </c>
      <c r="DP148" s="44" t="str">
        <f t="shared" si="1930"/>
        <v/>
      </c>
      <c r="DQ148" s="44" t="str">
        <f t="shared" si="1931"/>
        <v/>
      </c>
      <c r="DR148" s="44" t="str">
        <f t="shared" si="1932"/>
        <v/>
      </c>
      <c r="DS148" s="44" t="str">
        <f t="shared" si="1933"/>
        <v/>
      </c>
      <c r="DT148" s="44" t="str">
        <f t="shared" si="1934"/>
        <v/>
      </c>
      <c r="DU148" s="44" t="str">
        <f t="shared" si="1935"/>
        <v/>
      </c>
      <c r="DV148" s="44" t="str">
        <f t="shared" si="1936"/>
        <v/>
      </c>
      <c r="DW148" s="44" t="str">
        <f t="shared" si="1937"/>
        <v/>
      </c>
      <c r="DX148" s="44" t="str">
        <f t="shared" si="1938"/>
        <v/>
      </c>
      <c r="DY148" s="44" t="str">
        <f t="shared" si="1939"/>
        <v/>
      </c>
      <c r="DZ148" s="44" t="str">
        <f t="shared" si="1940"/>
        <v/>
      </c>
      <c r="EA148" s="44" t="str">
        <f t="shared" si="1941"/>
        <v/>
      </c>
      <c r="EB148" s="44" t="str">
        <f t="shared" si="1942"/>
        <v/>
      </c>
      <c r="EC148" s="44" t="str">
        <f t="shared" si="1943"/>
        <v/>
      </c>
      <c r="ED148" s="44" t="str">
        <f t="shared" si="1944"/>
        <v/>
      </c>
      <c r="EE148" s="44" t="str">
        <f t="shared" si="1945"/>
        <v/>
      </c>
      <c r="EF148" s="44" t="str">
        <f t="shared" si="1946"/>
        <v/>
      </c>
      <c r="EG148" s="44" t="str">
        <f t="shared" si="1947"/>
        <v/>
      </c>
      <c r="EH148" s="44" t="str">
        <f t="shared" si="1948"/>
        <v/>
      </c>
      <c r="EI148" s="44" t="str">
        <f t="shared" si="1949"/>
        <v/>
      </c>
      <c r="EJ148" s="44" t="str">
        <f t="shared" si="1950"/>
        <v/>
      </c>
      <c r="EK148" s="44" t="str">
        <f t="shared" si="1951"/>
        <v/>
      </c>
      <c r="EL148" s="44" t="str">
        <f t="shared" si="1952"/>
        <v/>
      </c>
      <c r="EM148" s="44" t="str">
        <f t="shared" si="1953"/>
        <v/>
      </c>
      <c r="EN148" s="44" t="str">
        <f t="shared" si="1954"/>
        <v/>
      </c>
      <c r="EO148" s="44" t="str">
        <f t="shared" si="1955"/>
        <v/>
      </c>
      <c r="EP148" s="44" t="str">
        <f t="shared" si="1956"/>
        <v/>
      </c>
      <c r="EQ148" s="44" t="str">
        <f t="shared" si="1957"/>
        <v/>
      </c>
      <c r="ER148" s="44" t="str">
        <f t="shared" si="1958"/>
        <v/>
      </c>
      <c r="ES148" s="44" t="str">
        <f t="shared" si="1959"/>
        <v/>
      </c>
      <c r="ET148" s="44" t="str">
        <f t="shared" si="1960"/>
        <v/>
      </c>
      <c r="EU148" s="44" t="str">
        <f t="shared" si="1961"/>
        <v/>
      </c>
      <c r="EV148" s="44" t="str">
        <f t="shared" si="1962"/>
        <v/>
      </c>
      <c r="EW148" s="44" t="str">
        <f t="shared" si="1963"/>
        <v/>
      </c>
      <c r="EX148" s="44" t="str">
        <f t="shared" si="1964"/>
        <v/>
      </c>
      <c r="EY148" s="44" t="str">
        <f t="shared" si="1965"/>
        <v/>
      </c>
      <c r="EZ148" s="44" t="str">
        <f t="shared" si="1966"/>
        <v/>
      </c>
      <c r="FA148" s="44" t="str">
        <f t="shared" si="1967"/>
        <v/>
      </c>
      <c r="FB148" s="44" t="str">
        <f t="shared" si="1968"/>
        <v/>
      </c>
      <c r="FC148" s="44" t="str">
        <f t="shared" si="1969"/>
        <v/>
      </c>
      <c r="FD148" s="44" t="str">
        <f t="shared" si="1970"/>
        <v/>
      </c>
      <c r="FE148" s="44" t="str">
        <f t="shared" si="1971"/>
        <v/>
      </c>
      <c r="FF148" s="44" t="str">
        <f t="shared" si="1972"/>
        <v/>
      </c>
      <c r="FG148" s="44" t="str">
        <f t="shared" si="1973"/>
        <v/>
      </c>
      <c r="FH148" s="44" t="str">
        <f t="shared" si="1974"/>
        <v/>
      </c>
      <c r="FI148" s="44" t="str">
        <f t="shared" si="1975"/>
        <v/>
      </c>
      <c r="FJ148" s="44" t="str">
        <f t="shared" si="1976"/>
        <v/>
      </c>
      <c r="FK148" s="44" t="str">
        <f t="shared" si="1977"/>
        <v/>
      </c>
      <c r="FL148" s="44" t="str">
        <f t="shared" si="1978"/>
        <v/>
      </c>
      <c r="FM148" s="44" t="str">
        <f t="shared" si="1979"/>
        <v/>
      </c>
      <c r="FN148" s="44" t="str">
        <f t="shared" si="1980"/>
        <v/>
      </c>
      <c r="FO148" s="44" t="str">
        <f t="shared" si="1981"/>
        <v/>
      </c>
      <c r="FP148" s="44" t="str">
        <f t="shared" si="1982"/>
        <v/>
      </c>
      <c r="FQ148" s="44" t="str">
        <f t="shared" si="1983"/>
        <v/>
      </c>
      <c r="FR148" s="44" t="str">
        <f t="shared" si="1984"/>
        <v/>
      </c>
      <c r="FS148" s="44" t="str">
        <f t="shared" si="1985"/>
        <v/>
      </c>
    </row>
    <row r="149" ht="41.4" spans="1:175">
      <c r="A149" s="5"/>
      <c r="B149" s="90" t="s">
        <v>518</v>
      </c>
      <c r="C149" s="91" t="s">
        <v>519</v>
      </c>
      <c r="T149" s="99" t="s">
        <v>520</v>
      </c>
      <c r="U149" s="60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72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4" t="str">
        <f t="shared" si="1916"/>
        <v/>
      </c>
      <c r="DC149" s="44" t="str">
        <f t="shared" si="1917"/>
        <v/>
      </c>
      <c r="DD149" s="44" t="str">
        <f t="shared" si="1918"/>
        <v/>
      </c>
      <c r="DE149" s="44" t="str">
        <f t="shared" si="1919"/>
        <v/>
      </c>
      <c r="DF149" s="44" t="str">
        <f t="shared" si="1920"/>
        <v/>
      </c>
      <c r="DG149" s="44" t="str">
        <f t="shared" si="1921"/>
        <v/>
      </c>
      <c r="DH149" s="44" t="str">
        <f t="shared" si="1922"/>
        <v/>
      </c>
      <c r="DI149" s="44" t="str">
        <f t="shared" si="1923"/>
        <v/>
      </c>
      <c r="DJ149" s="44" t="str">
        <f t="shared" si="1924"/>
        <v/>
      </c>
      <c r="DK149" s="44" t="str">
        <f t="shared" si="1925"/>
        <v/>
      </c>
      <c r="DL149" s="44" t="str">
        <f t="shared" si="1926"/>
        <v/>
      </c>
      <c r="DM149" s="44" t="str">
        <f t="shared" si="1927"/>
        <v/>
      </c>
      <c r="DN149" s="44" t="str">
        <f t="shared" si="1928"/>
        <v/>
      </c>
      <c r="DO149" s="44" t="str">
        <f t="shared" si="1929"/>
        <v/>
      </c>
      <c r="DP149" s="44" t="str">
        <f t="shared" si="1930"/>
        <v/>
      </c>
      <c r="DQ149" s="44" t="str">
        <f t="shared" si="1931"/>
        <v/>
      </c>
      <c r="DR149" s="44" t="str">
        <f t="shared" si="1932"/>
        <v/>
      </c>
      <c r="DS149" s="44" t="str">
        <f t="shared" si="1933"/>
        <v/>
      </c>
      <c r="DT149" s="44" t="str">
        <f t="shared" si="1934"/>
        <v/>
      </c>
      <c r="DU149" s="44" t="str">
        <f t="shared" si="1935"/>
        <v/>
      </c>
      <c r="DV149" s="44" t="str">
        <f t="shared" si="1936"/>
        <v/>
      </c>
      <c r="DW149" s="44" t="str">
        <f t="shared" si="1937"/>
        <v/>
      </c>
      <c r="DX149" s="44" t="str">
        <f t="shared" si="1938"/>
        <v/>
      </c>
      <c r="DY149" s="44" t="str">
        <f t="shared" si="1939"/>
        <v/>
      </c>
      <c r="DZ149" s="44" t="str">
        <f t="shared" si="1940"/>
        <v/>
      </c>
      <c r="EA149" s="44" t="str">
        <f t="shared" si="1941"/>
        <v/>
      </c>
      <c r="EB149" s="44" t="str">
        <f t="shared" si="1942"/>
        <v/>
      </c>
      <c r="EC149" s="44" t="str">
        <f t="shared" si="1943"/>
        <v/>
      </c>
      <c r="ED149" s="44" t="str">
        <f t="shared" si="1944"/>
        <v/>
      </c>
      <c r="EE149" s="44" t="str">
        <f t="shared" si="1945"/>
        <v/>
      </c>
      <c r="EF149" s="44" t="str">
        <f t="shared" si="1946"/>
        <v/>
      </c>
      <c r="EG149" s="44" t="str">
        <f t="shared" si="1947"/>
        <v/>
      </c>
      <c r="EH149" s="44" t="str">
        <f t="shared" si="1948"/>
        <v/>
      </c>
      <c r="EI149" s="44" t="str">
        <f t="shared" si="1949"/>
        <v/>
      </c>
      <c r="EJ149" s="44" t="str">
        <f t="shared" si="1950"/>
        <v/>
      </c>
      <c r="EK149" s="44" t="str">
        <f t="shared" si="1951"/>
        <v/>
      </c>
      <c r="EL149" s="44" t="str">
        <f t="shared" si="1952"/>
        <v/>
      </c>
      <c r="EM149" s="44" t="str">
        <f t="shared" si="1953"/>
        <v/>
      </c>
      <c r="EN149" s="44" t="str">
        <f t="shared" si="1954"/>
        <v/>
      </c>
      <c r="EO149" s="44" t="str">
        <f t="shared" si="1955"/>
        <v/>
      </c>
      <c r="EP149" s="44" t="str">
        <f t="shared" si="1956"/>
        <v/>
      </c>
      <c r="EQ149" s="44" t="str">
        <f t="shared" si="1957"/>
        <v/>
      </c>
      <c r="ER149" s="44" t="str">
        <f t="shared" si="1958"/>
        <v/>
      </c>
      <c r="ES149" s="44" t="str">
        <f t="shared" si="1959"/>
        <v/>
      </c>
      <c r="ET149" s="44" t="str">
        <f t="shared" si="1960"/>
        <v/>
      </c>
      <c r="EU149" s="44" t="str">
        <f t="shared" si="1961"/>
        <v/>
      </c>
      <c r="EV149" s="44" t="str">
        <f t="shared" si="1962"/>
        <v/>
      </c>
      <c r="EW149" s="44" t="str">
        <f t="shared" si="1963"/>
        <v/>
      </c>
      <c r="EX149" s="44" t="str">
        <f t="shared" si="1964"/>
        <v/>
      </c>
      <c r="EY149" s="44" t="str">
        <f t="shared" si="1965"/>
        <v/>
      </c>
      <c r="EZ149" s="44" t="str">
        <f t="shared" si="1966"/>
        <v/>
      </c>
      <c r="FA149" s="44" t="str">
        <f t="shared" si="1967"/>
        <v/>
      </c>
      <c r="FB149" s="44" t="str">
        <f t="shared" si="1968"/>
        <v/>
      </c>
      <c r="FC149" s="44" t="str">
        <f t="shared" si="1969"/>
        <v/>
      </c>
      <c r="FD149" s="44" t="str">
        <f t="shared" si="1970"/>
        <v/>
      </c>
      <c r="FE149" s="44" t="str">
        <f t="shared" si="1971"/>
        <v/>
      </c>
      <c r="FF149" s="44" t="str">
        <f t="shared" si="1972"/>
        <v/>
      </c>
      <c r="FG149" s="44" t="str">
        <f t="shared" si="1973"/>
        <v/>
      </c>
      <c r="FH149" s="44" t="str">
        <f t="shared" si="1974"/>
        <v/>
      </c>
      <c r="FI149" s="44" t="str">
        <f t="shared" si="1975"/>
        <v/>
      </c>
      <c r="FJ149" s="44" t="str">
        <f t="shared" si="1976"/>
        <v/>
      </c>
      <c r="FK149" s="44" t="str">
        <f t="shared" si="1977"/>
        <v/>
      </c>
      <c r="FL149" s="44" t="str">
        <f t="shared" si="1978"/>
        <v/>
      </c>
      <c r="FM149" s="44" t="str">
        <f t="shared" si="1979"/>
        <v/>
      </c>
      <c r="FN149" s="44" t="str">
        <f t="shared" si="1980"/>
        <v/>
      </c>
      <c r="FO149" s="44" t="str">
        <f t="shared" si="1981"/>
        <v/>
      </c>
      <c r="FP149" s="44" t="str">
        <f t="shared" si="1982"/>
        <v/>
      </c>
      <c r="FQ149" s="44" t="str">
        <f t="shared" si="1983"/>
        <v/>
      </c>
      <c r="FR149" s="44" t="str">
        <f t="shared" si="1984"/>
        <v/>
      </c>
      <c r="FS149" s="44" t="str">
        <f t="shared" si="1985"/>
        <v/>
      </c>
    </row>
    <row r="150" ht="41.4" spans="1:175">
      <c r="A150" s="5"/>
      <c r="B150" s="90" t="s">
        <v>521</v>
      </c>
      <c r="C150" s="91" t="s">
        <v>522</v>
      </c>
      <c r="T150" s="99" t="s">
        <v>523</v>
      </c>
      <c r="U150" s="60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72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4" t="str">
        <f t="shared" si="1916"/>
        <v/>
      </c>
      <c r="DC150" s="44" t="str">
        <f t="shared" si="1917"/>
        <v/>
      </c>
      <c r="DD150" s="44" t="str">
        <f t="shared" si="1918"/>
        <v/>
      </c>
      <c r="DE150" s="44" t="str">
        <f t="shared" si="1919"/>
        <v/>
      </c>
      <c r="DF150" s="44" t="str">
        <f t="shared" si="1920"/>
        <v/>
      </c>
      <c r="DG150" s="44" t="str">
        <f t="shared" si="1921"/>
        <v/>
      </c>
      <c r="DH150" s="44" t="str">
        <f t="shared" si="1922"/>
        <v/>
      </c>
      <c r="DI150" s="44" t="str">
        <f t="shared" si="1923"/>
        <v/>
      </c>
      <c r="DJ150" s="44" t="str">
        <f t="shared" si="1924"/>
        <v/>
      </c>
      <c r="DK150" s="44" t="str">
        <f t="shared" si="1925"/>
        <v/>
      </c>
      <c r="DL150" s="44" t="str">
        <f t="shared" si="1926"/>
        <v/>
      </c>
      <c r="DM150" s="44" t="str">
        <f t="shared" si="1927"/>
        <v/>
      </c>
      <c r="DN150" s="44" t="str">
        <f t="shared" si="1928"/>
        <v/>
      </c>
      <c r="DO150" s="44" t="str">
        <f t="shared" si="1929"/>
        <v/>
      </c>
      <c r="DP150" s="44" t="str">
        <f t="shared" si="1930"/>
        <v/>
      </c>
      <c r="DQ150" s="44" t="str">
        <f t="shared" si="1931"/>
        <v/>
      </c>
      <c r="DR150" s="44" t="str">
        <f t="shared" si="1932"/>
        <v/>
      </c>
      <c r="DS150" s="44" t="str">
        <f t="shared" si="1933"/>
        <v/>
      </c>
      <c r="DT150" s="44" t="str">
        <f t="shared" si="1934"/>
        <v/>
      </c>
      <c r="DU150" s="44" t="str">
        <f t="shared" si="1935"/>
        <v/>
      </c>
      <c r="DV150" s="44" t="str">
        <f t="shared" si="1936"/>
        <v/>
      </c>
      <c r="DW150" s="44" t="str">
        <f t="shared" si="1937"/>
        <v/>
      </c>
      <c r="DX150" s="44" t="str">
        <f t="shared" si="1938"/>
        <v/>
      </c>
      <c r="DY150" s="44" t="str">
        <f t="shared" si="1939"/>
        <v/>
      </c>
      <c r="DZ150" s="44" t="str">
        <f t="shared" si="1940"/>
        <v/>
      </c>
      <c r="EA150" s="44" t="str">
        <f t="shared" si="1941"/>
        <v/>
      </c>
      <c r="EB150" s="44" t="str">
        <f t="shared" si="1942"/>
        <v/>
      </c>
      <c r="EC150" s="44" t="str">
        <f t="shared" si="1943"/>
        <v/>
      </c>
      <c r="ED150" s="44" t="str">
        <f t="shared" si="1944"/>
        <v/>
      </c>
      <c r="EE150" s="44" t="str">
        <f t="shared" si="1945"/>
        <v/>
      </c>
      <c r="EF150" s="44" t="str">
        <f t="shared" si="1946"/>
        <v/>
      </c>
      <c r="EG150" s="44" t="str">
        <f t="shared" si="1947"/>
        <v/>
      </c>
      <c r="EH150" s="44" t="str">
        <f t="shared" si="1948"/>
        <v/>
      </c>
      <c r="EI150" s="44" t="str">
        <f t="shared" si="1949"/>
        <v/>
      </c>
      <c r="EJ150" s="44" t="str">
        <f t="shared" si="1950"/>
        <v/>
      </c>
      <c r="EK150" s="44" t="str">
        <f t="shared" si="1951"/>
        <v/>
      </c>
      <c r="EL150" s="44" t="str">
        <f t="shared" si="1952"/>
        <v/>
      </c>
      <c r="EM150" s="44" t="str">
        <f t="shared" si="1953"/>
        <v/>
      </c>
      <c r="EN150" s="44" t="str">
        <f t="shared" si="1954"/>
        <v/>
      </c>
      <c r="EO150" s="44" t="str">
        <f t="shared" si="1955"/>
        <v/>
      </c>
      <c r="EP150" s="44" t="str">
        <f t="shared" si="1956"/>
        <v/>
      </c>
      <c r="EQ150" s="44" t="str">
        <f t="shared" si="1957"/>
        <v/>
      </c>
      <c r="ER150" s="44" t="str">
        <f t="shared" si="1958"/>
        <v/>
      </c>
      <c r="ES150" s="44" t="str">
        <f t="shared" si="1959"/>
        <v/>
      </c>
      <c r="ET150" s="44" t="str">
        <f t="shared" si="1960"/>
        <v/>
      </c>
      <c r="EU150" s="44" t="str">
        <f t="shared" si="1961"/>
        <v/>
      </c>
      <c r="EV150" s="44" t="str">
        <f t="shared" si="1962"/>
        <v/>
      </c>
      <c r="EW150" s="44" t="str">
        <f t="shared" si="1963"/>
        <v/>
      </c>
      <c r="EX150" s="44" t="str">
        <f t="shared" si="1964"/>
        <v/>
      </c>
      <c r="EY150" s="44" t="str">
        <f t="shared" si="1965"/>
        <v/>
      </c>
      <c r="EZ150" s="44" t="str">
        <f t="shared" si="1966"/>
        <v/>
      </c>
      <c r="FA150" s="44" t="str">
        <f t="shared" si="1967"/>
        <v/>
      </c>
      <c r="FB150" s="44" t="str">
        <f t="shared" si="1968"/>
        <v/>
      </c>
      <c r="FC150" s="44" t="str">
        <f t="shared" si="1969"/>
        <v/>
      </c>
      <c r="FD150" s="44" t="str">
        <f t="shared" si="1970"/>
        <v/>
      </c>
      <c r="FE150" s="44" t="str">
        <f t="shared" si="1971"/>
        <v/>
      </c>
      <c r="FF150" s="44" t="str">
        <f t="shared" si="1972"/>
        <v/>
      </c>
      <c r="FG150" s="44" t="str">
        <f t="shared" si="1973"/>
        <v/>
      </c>
      <c r="FH150" s="44" t="str">
        <f t="shared" si="1974"/>
        <v/>
      </c>
      <c r="FI150" s="44" t="str">
        <f t="shared" si="1975"/>
        <v/>
      </c>
      <c r="FJ150" s="44" t="str">
        <f t="shared" si="1976"/>
        <v/>
      </c>
      <c r="FK150" s="44" t="str">
        <f t="shared" si="1977"/>
        <v/>
      </c>
      <c r="FL150" s="44" t="str">
        <f t="shared" si="1978"/>
        <v/>
      </c>
      <c r="FM150" s="44" t="str">
        <f t="shared" si="1979"/>
        <v/>
      </c>
      <c r="FN150" s="44" t="str">
        <f t="shared" si="1980"/>
        <v/>
      </c>
      <c r="FO150" s="44" t="str">
        <f t="shared" si="1981"/>
        <v/>
      </c>
      <c r="FP150" s="44" t="str">
        <f t="shared" si="1982"/>
        <v/>
      </c>
      <c r="FQ150" s="44" t="str">
        <f t="shared" si="1983"/>
        <v/>
      </c>
      <c r="FR150" s="44" t="str">
        <f t="shared" si="1984"/>
        <v/>
      </c>
      <c r="FS150" s="44" t="str">
        <f t="shared" si="1985"/>
        <v/>
      </c>
    </row>
    <row r="151" ht="41.4" spans="1:175">
      <c r="A151" s="5"/>
      <c r="B151" s="90" t="s">
        <v>524</v>
      </c>
      <c r="C151" s="91" t="s">
        <v>525</v>
      </c>
      <c r="T151" s="99" t="s">
        <v>526</v>
      </c>
      <c r="U151" s="60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72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4" t="str">
        <f t="shared" si="1916"/>
        <v/>
      </c>
      <c r="DC151" s="44" t="str">
        <f t="shared" si="1917"/>
        <v/>
      </c>
      <c r="DD151" s="44" t="str">
        <f t="shared" si="1918"/>
        <v/>
      </c>
      <c r="DE151" s="44" t="str">
        <f t="shared" si="1919"/>
        <v/>
      </c>
      <c r="DF151" s="44" t="str">
        <f t="shared" si="1920"/>
        <v/>
      </c>
      <c r="DG151" s="44" t="str">
        <f t="shared" si="1921"/>
        <v/>
      </c>
      <c r="DH151" s="44" t="str">
        <f t="shared" si="1922"/>
        <v/>
      </c>
      <c r="DI151" s="44" t="str">
        <f t="shared" si="1923"/>
        <v/>
      </c>
      <c r="DJ151" s="44" t="str">
        <f t="shared" si="1924"/>
        <v/>
      </c>
      <c r="DK151" s="44" t="str">
        <f t="shared" si="1925"/>
        <v/>
      </c>
      <c r="DL151" s="44" t="str">
        <f t="shared" si="1926"/>
        <v/>
      </c>
      <c r="DM151" s="44" t="str">
        <f t="shared" si="1927"/>
        <v/>
      </c>
      <c r="DN151" s="44" t="str">
        <f t="shared" si="1928"/>
        <v/>
      </c>
      <c r="DO151" s="44" t="str">
        <f t="shared" si="1929"/>
        <v/>
      </c>
      <c r="DP151" s="44" t="str">
        <f t="shared" si="1930"/>
        <v/>
      </c>
      <c r="DQ151" s="44" t="str">
        <f t="shared" si="1931"/>
        <v/>
      </c>
      <c r="DR151" s="44" t="str">
        <f t="shared" si="1932"/>
        <v/>
      </c>
      <c r="DS151" s="44" t="str">
        <f t="shared" si="1933"/>
        <v/>
      </c>
      <c r="DT151" s="44" t="str">
        <f t="shared" si="1934"/>
        <v/>
      </c>
      <c r="DU151" s="44" t="str">
        <f t="shared" si="1935"/>
        <v/>
      </c>
      <c r="DV151" s="44" t="str">
        <f t="shared" si="1936"/>
        <v/>
      </c>
      <c r="DW151" s="44" t="str">
        <f t="shared" si="1937"/>
        <v/>
      </c>
      <c r="DX151" s="44" t="str">
        <f t="shared" si="1938"/>
        <v/>
      </c>
      <c r="DY151" s="44" t="str">
        <f t="shared" si="1939"/>
        <v/>
      </c>
      <c r="DZ151" s="44" t="str">
        <f t="shared" si="1940"/>
        <v/>
      </c>
      <c r="EA151" s="44" t="str">
        <f t="shared" si="1941"/>
        <v/>
      </c>
      <c r="EB151" s="44" t="str">
        <f t="shared" si="1942"/>
        <v/>
      </c>
      <c r="EC151" s="44" t="str">
        <f t="shared" si="1943"/>
        <v/>
      </c>
      <c r="ED151" s="44" t="str">
        <f t="shared" si="1944"/>
        <v/>
      </c>
      <c r="EE151" s="44" t="str">
        <f t="shared" si="1945"/>
        <v/>
      </c>
      <c r="EF151" s="44" t="str">
        <f t="shared" si="1946"/>
        <v/>
      </c>
      <c r="EG151" s="44" t="str">
        <f t="shared" si="1947"/>
        <v/>
      </c>
      <c r="EH151" s="44" t="str">
        <f t="shared" si="1948"/>
        <v/>
      </c>
      <c r="EI151" s="44" t="str">
        <f t="shared" si="1949"/>
        <v/>
      </c>
      <c r="EJ151" s="44" t="str">
        <f t="shared" si="1950"/>
        <v/>
      </c>
      <c r="EK151" s="44" t="str">
        <f t="shared" si="1951"/>
        <v/>
      </c>
      <c r="EL151" s="44" t="str">
        <f t="shared" si="1952"/>
        <v/>
      </c>
      <c r="EM151" s="44" t="str">
        <f t="shared" si="1953"/>
        <v/>
      </c>
      <c r="EN151" s="44" t="str">
        <f t="shared" si="1954"/>
        <v/>
      </c>
      <c r="EO151" s="44" t="str">
        <f t="shared" si="1955"/>
        <v/>
      </c>
      <c r="EP151" s="44" t="str">
        <f t="shared" si="1956"/>
        <v/>
      </c>
      <c r="EQ151" s="44" t="str">
        <f t="shared" si="1957"/>
        <v/>
      </c>
      <c r="ER151" s="44" t="str">
        <f t="shared" si="1958"/>
        <v/>
      </c>
      <c r="ES151" s="44" t="str">
        <f t="shared" si="1959"/>
        <v/>
      </c>
      <c r="ET151" s="44" t="str">
        <f t="shared" si="1960"/>
        <v/>
      </c>
      <c r="EU151" s="44" t="str">
        <f t="shared" si="1961"/>
        <v/>
      </c>
      <c r="EV151" s="44" t="str">
        <f t="shared" si="1962"/>
        <v/>
      </c>
      <c r="EW151" s="44" t="str">
        <f t="shared" si="1963"/>
        <v/>
      </c>
      <c r="EX151" s="44" t="str">
        <f t="shared" si="1964"/>
        <v/>
      </c>
      <c r="EY151" s="44" t="str">
        <f t="shared" si="1965"/>
        <v/>
      </c>
      <c r="EZ151" s="44" t="str">
        <f t="shared" si="1966"/>
        <v/>
      </c>
      <c r="FA151" s="44" t="str">
        <f t="shared" si="1967"/>
        <v/>
      </c>
      <c r="FB151" s="44" t="str">
        <f t="shared" si="1968"/>
        <v/>
      </c>
      <c r="FC151" s="44" t="str">
        <f t="shared" si="1969"/>
        <v/>
      </c>
      <c r="FD151" s="44" t="str">
        <f t="shared" si="1970"/>
        <v/>
      </c>
      <c r="FE151" s="44" t="str">
        <f t="shared" si="1971"/>
        <v/>
      </c>
      <c r="FF151" s="44" t="str">
        <f t="shared" si="1972"/>
        <v/>
      </c>
      <c r="FG151" s="44" t="str">
        <f t="shared" si="1973"/>
        <v/>
      </c>
      <c r="FH151" s="44" t="str">
        <f t="shared" si="1974"/>
        <v/>
      </c>
      <c r="FI151" s="44" t="str">
        <f t="shared" si="1975"/>
        <v/>
      </c>
      <c r="FJ151" s="44" t="str">
        <f t="shared" si="1976"/>
        <v/>
      </c>
      <c r="FK151" s="44" t="str">
        <f t="shared" si="1977"/>
        <v/>
      </c>
      <c r="FL151" s="44" t="str">
        <f t="shared" si="1978"/>
        <v/>
      </c>
      <c r="FM151" s="44" t="str">
        <f t="shared" si="1979"/>
        <v/>
      </c>
      <c r="FN151" s="44" t="str">
        <f t="shared" si="1980"/>
        <v/>
      </c>
      <c r="FO151" s="44" t="str">
        <f t="shared" si="1981"/>
        <v/>
      </c>
      <c r="FP151" s="44" t="str">
        <f t="shared" si="1982"/>
        <v/>
      </c>
      <c r="FQ151" s="44" t="str">
        <f t="shared" si="1983"/>
        <v/>
      </c>
      <c r="FR151" s="44" t="str">
        <f t="shared" si="1984"/>
        <v/>
      </c>
      <c r="FS151" s="44" t="str">
        <f t="shared" si="1985"/>
        <v/>
      </c>
    </row>
    <row r="152" ht="15" spans="1:175">
      <c r="A152" s="5"/>
      <c r="B152" s="90" t="s">
        <v>527</v>
      </c>
      <c r="C152" s="91" t="s">
        <v>528</v>
      </c>
      <c r="T152" s="6" t="s">
        <v>529</v>
      </c>
      <c r="U152" s="60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178&amp;CR$1&amp;")"</f>
        <v>InitEquipData('IN04',,"",,,,,'','','','','','',"ReplaceableTextures\\CommandButtons\\BTNIP01.blp")</v>
      </c>
      <c r="CU152" s="72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4" t="str">
        <f t="shared" si="1916"/>
        <v/>
      </c>
      <c r="DC152" s="44" t="str">
        <f t="shared" si="1917"/>
        <v/>
      </c>
      <c r="DD152" s="44" t="str">
        <f t="shared" si="1918"/>
        <v/>
      </c>
      <c r="DE152" s="44" t="str">
        <f t="shared" si="1919"/>
        <v/>
      </c>
      <c r="DF152" s="44" t="str">
        <f t="shared" si="1920"/>
        <v/>
      </c>
      <c r="DG152" s="44" t="str">
        <f t="shared" si="1921"/>
        <v/>
      </c>
      <c r="DH152" s="44" t="str">
        <f t="shared" si="1922"/>
        <v/>
      </c>
      <c r="DI152" s="44" t="str">
        <f t="shared" si="1923"/>
        <v/>
      </c>
      <c r="DJ152" s="44" t="str">
        <f t="shared" si="1924"/>
        <v/>
      </c>
      <c r="DK152" s="44" t="str">
        <f t="shared" si="1925"/>
        <v/>
      </c>
      <c r="DL152" s="44" t="str">
        <f t="shared" si="1926"/>
        <v/>
      </c>
      <c r="DM152" s="44" t="str">
        <f t="shared" si="1927"/>
        <v/>
      </c>
      <c r="DN152" s="44" t="str">
        <f t="shared" si="1928"/>
        <v/>
      </c>
      <c r="DO152" s="44" t="str">
        <f t="shared" si="1929"/>
        <v/>
      </c>
      <c r="DP152" s="44" t="str">
        <f t="shared" si="1930"/>
        <v/>
      </c>
      <c r="DQ152" s="44" t="str">
        <f t="shared" si="1931"/>
        <v/>
      </c>
      <c r="DR152" s="44" t="str">
        <f t="shared" si="1932"/>
        <v/>
      </c>
      <c r="DS152" s="44" t="str">
        <f t="shared" si="1933"/>
        <v/>
      </c>
      <c r="DT152" s="44" t="str">
        <f t="shared" si="1934"/>
        <v/>
      </c>
      <c r="DU152" s="44" t="str">
        <f t="shared" si="1935"/>
        <v/>
      </c>
      <c r="DV152" s="44" t="str">
        <f t="shared" si="1936"/>
        <v/>
      </c>
      <c r="DW152" s="44" t="str">
        <f t="shared" si="1937"/>
        <v/>
      </c>
      <c r="DX152" s="44" t="str">
        <f t="shared" si="1938"/>
        <v/>
      </c>
      <c r="DY152" s="44" t="str">
        <f t="shared" si="1939"/>
        <v/>
      </c>
      <c r="DZ152" s="44" t="str">
        <f t="shared" si="1940"/>
        <v/>
      </c>
      <c r="EA152" s="44" t="str">
        <f t="shared" si="1941"/>
        <v/>
      </c>
      <c r="EB152" s="44" t="str">
        <f t="shared" si="1942"/>
        <v/>
      </c>
      <c r="EC152" s="44" t="str">
        <f t="shared" si="1943"/>
        <v/>
      </c>
      <c r="ED152" s="44" t="str">
        <f t="shared" si="1944"/>
        <v/>
      </c>
      <c r="EE152" s="44" t="str">
        <f t="shared" si="1945"/>
        <v/>
      </c>
      <c r="EF152" s="44" t="str">
        <f t="shared" si="1946"/>
        <v/>
      </c>
      <c r="EG152" s="44" t="str">
        <f t="shared" si="1947"/>
        <v/>
      </c>
      <c r="EH152" s="44" t="str">
        <f t="shared" si="1948"/>
        <v/>
      </c>
      <c r="EI152" s="44" t="str">
        <f t="shared" si="1949"/>
        <v/>
      </c>
      <c r="EJ152" s="44" t="str">
        <f t="shared" si="1950"/>
        <v/>
      </c>
      <c r="EK152" s="44" t="str">
        <f t="shared" si="1951"/>
        <v/>
      </c>
      <c r="EL152" s="44" t="str">
        <f t="shared" si="1952"/>
        <v/>
      </c>
      <c r="EM152" s="44" t="str">
        <f t="shared" si="1953"/>
        <v/>
      </c>
      <c r="EN152" s="44" t="str">
        <f t="shared" si="1954"/>
        <v/>
      </c>
      <c r="EO152" s="44" t="str">
        <f t="shared" si="1955"/>
        <v/>
      </c>
      <c r="EP152" s="44" t="str">
        <f t="shared" si="1956"/>
        <v/>
      </c>
      <c r="EQ152" s="44" t="str">
        <f t="shared" si="1957"/>
        <v/>
      </c>
      <c r="ER152" s="44" t="str">
        <f t="shared" si="1958"/>
        <v/>
      </c>
      <c r="ES152" s="44" t="str">
        <f t="shared" si="1959"/>
        <v/>
      </c>
      <c r="ET152" s="44" t="str">
        <f t="shared" si="1960"/>
        <v/>
      </c>
      <c r="EU152" s="44" t="str">
        <f t="shared" si="1961"/>
        <v/>
      </c>
      <c r="EV152" s="44" t="str">
        <f t="shared" si="1962"/>
        <v/>
      </c>
      <c r="EW152" s="44" t="str">
        <f t="shared" si="1963"/>
        <v/>
      </c>
      <c r="EX152" s="44" t="str">
        <f t="shared" si="1964"/>
        <v/>
      </c>
      <c r="EY152" s="44" t="str">
        <f t="shared" si="1965"/>
        <v/>
      </c>
      <c r="EZ152" s="44" t="str">
        <f t="shared" si="1966"/>
        <v/>
      </c>
      <c r="FA152" s="44" t="str">
        <f t="shared" si="1967"/>
        <v/>
      </c>
      <c r="FB152" s="44" t="str">
        <f t="shared" si="1968"/>
        <v/>
      </c>
      <c r="FC152" s="44" t="str">
        <f t="shared" si="1969"/>
        <v/>
      </c>
      <c r="FD152" s="44" t="str">
        <f t="shared" si="1970"/>
        <v/>
      </c>
      <c r="FE152" s="44" t="str">
        <f t="shared" si="1971"/>
        <v/>
      </c>
      <c r="FF152" s="44" t="str">
        <f t="shared" si="1972"/>
        <v/>
      </c>
      <c r="FG152" s="44" t="str">
        <f t="shared" si="1973"/>
        <v/>
      </c>
      <c r="FH152" s="44" t="str">
        <f t="shared" si="1974"/>
        <v/>
      </c>
      <c r="FI152" s="44" t="str">
        <f t="shared" si="1975"/>
        <v/>
      </c>
      <c r="FJ152" s="44" t="str">
        <f t="shared" si="1976"/>
        <v/>
      </c>
      <c r="FK152" s="44" t="str">
        <f t="shared" si="1977"/>
        <v/>
      </c>
      <c r="FL152" s="44" t="str">
        <f t="shared" si="1978"/>
        <v/>
      </c>
      <c r="FM152" s="44" t="str">
        <f t="shared" si="1979"/>
        <v/>
      </c>
      <c r="FN152" s="44" t="str">
        <f t="shared" si="1980"/>
        <v/>
      </c>
      <c r="FO152" s="44" t="str">
        <f t="shared" si="1981"/>
        <v/>
      </c>
      <c r="FP152" s="44" t="str">
        <f t="shared" si="1982"/>
        <v/>
      </c>
      <c r="FQ152" s="44" t="str">
        <f t="shared" si="1983"/>
        <v/>
      </c>
      <c r="FR152" s="44" t="str">
        <f t="shared" si="1984"/>
        <v/>
      </c>
      <c r="FS152" s="44" t="str">
        <f t="shared" si="1985"/>
        <v/>
      </c>
    </row>
    <row r="153" ht="15" spans="1:175">
      <c r="A153" s="5"/>
      <c r="B153" s="90" t="s">
        <v>530</v>
      </c>
      <c r="C153" s="91" t="s">
        <v>531</v>
      </c>
      <c r="T153" s="6" t="s">
        <v>532</v>
      </c>
      <c r="U153" s="60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179&amp;CR$1&amp;")"</f>
        <v>InitEquipData('IN05',,"",,,,,'','','','','','',"ReplaceableTextures\\CommandButtons\\BTNIP02.blp")</v>
      </c>
      <c r="CU153" s="72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4" t="str">
        <f t="shared" si="1916"/>
        <v/>
      </c>
      <c r="DC153" s="44" t="str">
        <f t="shared" si="1917"/>
        <v/>
      </c>
      <c r="DD153" s="44" t="str">
        <f t="shared" si="1918"/>
        <v/>
      </c>
      <c r="DE153" s="44" t="str">
        <f t="shared" si="1919"/>
        <v/>
      </c>
      <c r="DF153" s="44" t="str">
        <f t="shared" si="1920"/>
        <v/>
      </c>
      <c r="DG153" s="44" t="str">
        <f t="shared" si="1921"/>
        <v/>
      </c>
      <c r="DH153" s="44" t="str">
        <f t="shared" si="1922"/>
        <v/>
      </c>
      <c r="DI153" s="44" t="str">
        <f t="shared" si="1923"/>
        <v/>
      </c>
      <c r="DJ153" s="44" t="str">
        <f t="shared" si="1924"/>
        <v/>
      </c>
      <c r="DK153" s="44" t="str">
        <f t="shared" si="1925"/>
        <v/>
      </c>
      <c r="DL153" s="44" t="str">
        <f t="shared" si="1926"/>
        <v/>
      </c>
      <c r="DM153" s="44" t="str">
        <f t="shared" si="1927"/>
        <v/>
      </c>
      <c r="DN153" s="44" t="str">
        <f t="shared" si="1928"/>
        <v/>
      </c>
      <c r="DO153" s="44" t="str">
        <f t="shared" si="1929"/>
        <v/>
      </c>
      <c r="DP153" s="44" t="str">
        <f t="shared" si="1930"/>
        <v/>
      </c>
      <c r="DQ153" s="44" t="str">
        <f t="shared" si="1931"/>
        <v/>
      </c>
      <c r="DR153" s="44" t="str">
        <f t="shared" si="1932"/>
        <v/>
      </c>
      <c r="DS153" s="44" t="str">
        <f t="shared" si="1933"/>
        <v/>
      </c>
      <c r="DT153" s="44" t="str">
        <f t="shared" si="1934"/>
        <v/>
      </c>
      <c r="DU153" s="44" t="str">
        <f t="shared" si="1935"/>
        <v/>
      </c>
      <c r="DV153" s="44" t="str">
        <f t="shared" si="1936"/>
        <v/>
      </c>
      <c r="DW153" s="44" t="str">
        <f t="shared" si="1937"/>
        <v/>
      </c>
      <c r="DX153" s="44" t="str">
        <f t="shared" si="1938"/>
        <v/>
      </c>
      <c r="DY153" s="44" t="str">
        <f t="shared" si="1939"/>
        <v/>
      </c>
      <c r="DZ153" s="44" t="str">
        <f t="shared" si="1940"/>
        <v/>
      </c>
      <c r="EA153" s="44" t="str">
        <f t="shared" si="1941"/>
        <v/>
      </c>
      <c r="EB153" s="44" t="str">
        <f t="shared" si="1942"/>
        <v/>
      </c>
      <c r="EC153" s="44" t="str">
        <f t="shared" si="1943"/>
        <v/>
      </c>
      <c r="ED153" s="44" t="str">
        <f t="shared" si="1944"/>
        <v/>
      </c>
      <c r="EE153" s="44" t="str">
        <f t="shared" si="1945"/>
        <v/>
      </c>
      <c r="EF153" s="44" t="str">
        <f t="shared" si="1946"/>
        <v/>
      </c>
      <c r="EG153" s="44" t="str">
        <f t="shared" si="1947"/>
        <v/>
      </c>
      <c r="EH153" s="44" t="str">
        <f t="shared" si="1948"/>
        <v/>
      </c>
      <c r="EI153" s="44" t="str">
        <f t="shared" si="1949"/>
        <v/>
      </c>
      <c r="EJ153" s="44" t="str">
        <f t="shared" si="1950"/>
        <v/>
      </c>
      <c r="EK153" s="44" t="str">
        <f t="shared" si="1951"/>
        <v/>
      </c>
      <c r="EL153" s="44" t="str">
        <f t="shared" si="1952"/>
        <v/>
      </c>
      <c r="EM153" s="44" t="str">
        <f t="shared" si="1953"/>
        <v/>
      </c>
      <c r="EN153" s="44" t="str">
        <f t="shared" si="1954"/>
        <v/>
      </c>
      <c r="EO153" s="44" t="str">
        <f t="shared" si="1955"/>
        <v/>
      </c>
      <c r="EP153" s="44" t="str">
        <f t="shared" si="1956"/>
        <v/>
      </c>
      <c r="EQ153" s="44" t="str">
        <f t="shared" si="1957"/>
        <v/>
      </c>
      <c r="ER153" s="44" t="str">
        <f t="shared" si="1958"/>
        <v/>
      </c>
      <c r="ES153" s="44" t="str">
        <f t="shared" si="1959"/>
        <v/>
      </c>
      <c r="ET153" s="44" t="str">
        <f t="shared" si="1960"/>
        <v/>
      </c>
      <c r="EU153" s="44" t="str">
        <f t="shared" si="1961"/>
        <v/>
      </c>
      <c r="EV153" s="44" t="str">
        <f t="shared" si="1962"/>
        <v/>
      </c>
      <c r="EW153" s="44" t="str">
        <f t="shared" si="1963"/>
        <v/>
      </c>
      <c r="EX153" s="44" t="str">
        <f t="shared" si="1964"/>
        <v/>
      </c>
      <c r="EY153" s="44" t="str">
        <f t="shared" si="1965"/>
        <v/>
      </c>
      <c r="EZ153" s="44" t="str">
        <f t="shared" si="1966"/>
        <v/>
      </c>
      <c r="FA153" s="44" t="str">
        <f t="shared" si="1967"/>
        <v/>
      </c>
      <c r="FB153" s="44" t="str">
        <f t="shared" si="1968"/>
        <v/>
      </c>
      <c r="FC153" s="44" t="str">
        <f t="shared" si="1969"/>
        <v/>
      </c>
      <c r="FD153" s="44" t="str">
        <f t="shared" si="1970"/>
        <v/>
      </c>
      <c r="FE153" s="44" t="str">
        <f t="shared" si="1971"/>
        <v/>
      </c>
      <c r="FF153" s="44" t="str">
        <f t="shared" si="1972"/>
        <v/>
      </c>
      <c r="FG153" s="44" t="str">
        <f t="shared" si="1973"/>
        <v/>
      </c>
      <c r="FH153" s="44" t="str">
        <f t="shared" si="1974"/>
        <v/>
      </c>
      <c r="FI153" s="44" t="str">
        <f t="shared" si="1975"/>
        <v/>
      </c>
      <c r="FJ153" s="44" t="str">
        <f t="shared" si="1976"/>
        <v/>
      </c>
      <c r="FK153" s="44" t="str">
        <f t="shared" si="1977"/>
        <v/>
      </c>
      <c r="FL153" s="44" t="str">
        <f t="shared" si="1978"/>
        <v/>
      </c>
      <c r="FM153" s="44" t="str">
        <f t="shared" si="1979"/>
        <v/>
      </c>
      <c r="FN153" s="44" t="str">
        <f t="shared" si="1980"/>
        <v/>
      </c>
      <c r="FO153" s="44" t="str">
        <f t="shared" si="1981"/>
        <v/>
      </c>
      <c r="FP153" s="44" t="str">
        <f t="shared" si="1982"/>
        <v/>
      </c>
      <c r="FQ153" s="44" t="str">
        <f t="shared" si="1983"/>
        <v/>
      </c>
      <c r="FR153" s="44" t="str">
        <f t="shared" si="1984"/>
        <v/>
      </c>
      <c r="FS153" s="44" t="str">
        <f t="shared" si="1985"/>
        <v/>
      </c>
    </row>
    <row r="154" ht="15" spans="1:175">
      <c r="A154" s="5"/>
      <c r="B154" s="90" t="s">
        <v>533</v>
      </c>
      <c r="C154" s="91" t="s">
        <v>534</v>
      </c>
      <c r="T154" s="6" t="s">
        <v>535</v>
      </c>
      <c r="U154" s="60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180&amp;CR$1&amp;")"</f>
        <v>InitEquipData('IN06',,"",,,,,'','','','','','',"ReplaceableTextures\\CommandButtons\\BTNIP03.blp")</v>
      </c>
      <c r="CU154" s="72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4" t="str">
        <f t="shared" si="1916"/>
        <v/>
      </c>
      <c r="DC154" s="44" t="str">
        <f t="shared" si="1917"/>
        <v/>
      </c>
      <c r="DD154" s="44" t="str">
        <f t="shared" si="1918"/>
        <v/>
      </c>
      <c r="DE154" s="44" t="str">
        <f t="shared" si="1919"/>
        <v/>
      </c>
      <c r="DF154" s="44" t="str">
        <f t="shared" si="1920"/>
        <v/>
      </c>
      <c r="DG154" s="44" t="str">
        <f t="shared" si="1921"/>
        <v/>
      </c>
      <c r="DH154" s="44" t="str">
        <f t="shared" si="1922"/>
        <v/>
      </c>
      <c r="DI154" s="44" t="str">
        <f t="shared" si="1923"/>
        <v/>
      </c>
      <c r="DJ154" s="44" t="str">
        <f t="shared" si="1924"/>
        <v/>
      </c>
      <c r="DK154" s="44" t="str">
        <f t="shared" si="1925"/>
        <v/>
      </c>
      <c r="DL154" s="44" t="str">
        <f t="shared" si="1926"/>
        <v/>
      </c>
      <c r="DM154" s="44" t="str">
        <f t="shared" si="1927"/>
        <v/>
      </c>
      <c r="DN154" s="44" t="str">
        <f t="shared" si="1928"/>
        <v/>
      </c>
      <c r="DO154" s="44" t="str">
        <f t="shared" si="1929"/>
        <v/>
      </c>
      <c r="DP154" s="44" t="str">
        <f t="shared" si="1930"/>
        <v/>
      </c>
      <c r="DQ154" s="44" t="str">
        <f t="shared" si="1931"/>
        <v/>
      </c>
      <c r="DR154" s="44" t="str">
        <f t="shared" si="1932"/>
        <v/>
      </c>
      <c r="DS154" s="44" t="str">
        <f t="shared" si="1933"/>
        <v/>
      </c>
      <c r="DT154" s="44" t="str">
        <f t="shared" si="1934"/>
        <v/>
      </c>
      <c r="DU154" s="44" t="str">
        <f t="shared" si="1935"/>
        <v/>
      </c>
      <c r="DV154" s="44" t="str">
        <f t="shared" si="1936"/>
        <v/>
      </c>
      <c r="DW154" s="44" t="str">
        <f t="shared" si="1937"/>
        <v/>
      </c>
      <c r="DX154" s="44" t="str">
        <f t="shared" si="1938"/>
        <v/>
      </c>
      <c r="DY154" s="44" t="str">
        <f t="shared" si="1939"/>
        <v/>
      </c>
      <c r="DZ154" s="44" t="str">
        <f t="shared" si="1940"/>
        <v/>
      </c>
      <c r="EA154" s="44" t="str">
        <f t="shared" si="1941"/>
        <v/>
      </c>
      <c r="EB154" s="44" t="str">
        <f t="shared" si="1942"/>
        <v/>
      </c>
      <c r="EC154" s="44" t="str">
        <f t="shared" si="1943"/>
        <v/>
      </c>
      <c r="ED154" s="44" t="str">
        <f t="shared" si="1944"/>
        <v/>
      </c>
      <c r="EE154" s="44" t="str">
        <f t="shared" si="1945"/>
        <v/>
      </c>
      <c r="EF154" s="44" t="str">
        <f t="shared" si="1946"/>
        <v/>
      </c>
      <c r="EG154" s="44" t="str">
        <f t="shared" si="1947"/>
        <v/>
      </c>
      <c r="EH154" s="44" t="str">
        <f t="shared" si="1948"/>
        <v/>
      </c>
      <c r="EI154" s="44" t="str">
        <f t="shared" si="1949"/>
        <v/>
      </c>
      <c r="EJ154" s="44" t="str">
        <f t="shared" si="1950"/>
        <v/>
      </c>
      <c r="EK154" s="44" t="str">
        <f t="shared" si="1951"/>
        <v/>
      </c>
      <c r="EL154" s="44" t="str">
        <f t="shared" si="1952"/>
        <v/>
      </c>
      <c r="EM154" s="44" t="str">
        <f t="shared" si="1953"/>
        <v/>
      </c>
      <c r="EN154" s="44" t="str">
        <f t="shared" si="1954"/>
        <v/>
      </c>
      <c r="EO154" s="44" t="str">
        <f t="shared" si="1955"/>
        <v/>
      </c>
      <c r="EP154" s="44" t="str">
        <f t="shared" si="1956"/>
        <v/>
      </c>
      <c r="EQ154" s="44" t="str">
        <f t="shared" si="1957"/>
        <v/>
      </c>
      <c r="ER154" s="44" t="str">
        <f t="shared" si="1958"/>
        <v/>
      </c>
      <c r="ES154" s="44" t="str">
        <f t="shared" si="1959"/>
        <v/>
      </c>
      <c r="ET154" s="44" t="str">
        <f t="shared" si="1960"/>
        <v/>
      </c>
      <c r="EU154" s="44" t="str">
        <f t="shared" si="1961"/>
        <v/>
      </c>
      <c r="EV154" s="44" t="str">
        <f t="shared" si="1962"/>
        <v/>
      </c>
      <c r="EW154" s="44" t="str">
        <f t="shared" si="1963"/>
        <v/>
      </c>
      <c r="EX154" s="44" t="str">
        <f t="shared" si="1964"/>
        <v/>
      </c>
      <c r="EY154" s="44" t="str">
        <f t="shared" si="1965"/>
        <v/>
      </c>
      <c r="EZ154" s="44" t="str">
        <f t="shared" si="1966"/>
        <v/>
      </c>
      <c r="FA154" s="44" t="str">
        <f t="shared" si="1967"/>
        <v/>
      </c>
      <c r="FB154" s="44" t="str">
        <f t="shared" si="1968"/>
        <v/>
      </c>
      <c r="FC154" s="44" t="str">
        <f t="shared" si="1969"/>
        <v/>
      </c>
      <c r="FD154" s="44" t="str">
        <f t="shared" si="1970"/>
        <v/>
      </c>
      <c r="FE154" s="44" t="str">
        <f t="shared" si="1971"/>
        <v/>
      </c>
      <c r="FF154" s="44" t="str">
        <f t="shared" si="1972"/>
        <v/>
      </c>
      <c r="FG154" s="44" t="str">
        <f t="shared" si="1973"/>
        <v/>
      </c>
      <c r="FH154" s="44" t="str">
        <f t="shared" si="1974"/>
        <v/>
      </c>
      <c r="FI154" s="44" t="str">
        <f t="shared" si="1975"/>
        <v/>
      </c>
      <c r="FJ154" s="44" t="str">
        <f t="shared" si="1976"/>
        <v/>
      </c>
      <c r="FK154" s="44" t="str">
        <f t="shared" si="1977"/>
        <v/>
      </c>
      <c r="FL154" s="44" t="str">
        <f t="shared" si="1978"/>
        <v/>
      </c>
      <c r="FM154" s="44" t="str">
        <f t="shared" si="1979"/>
        <v/>
      </c>
      <c r="FN154" s="44" t="str">
        <f t="shared" si="1980"/>
        <v/>
      </c>
      <c r="FO154" s="44" t="str">
        <f t="shared" si="1981"/>
        <v/>
      </c>
      <c r="FP154" s="44" t="str">
        <f t="shared" si="1982"/>
        <v/>
      </c>
      <c r="FQ154" s="44" t="str">
        <f t="shared" si="1983"/>
        <v/>
      </c>
      <c r="FR154" s="44" t="str">
        <f t="shared" si="1984"/>
        <v/>
      </c>
      <c r="FS154" s="44" t="str">
        <f t="shared" si="1985"/>
        <v/>
      </c>
    </row>
    <row r="155" ht="15" spans="1:175">
      <c r="A155" s="5"/>
      <c r="B155" s="92" t="s">
        <v>536</v>
      </c>
      <c r="C155" s="93" t="s">
        <v>537</v>
      </c>
      <c r="T155" s="6" t="s">
        <v>538</v>
      </c>
      <c r="U155" s="60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187&amp;CR$1&amp;")"</f>
        <v>InitEquipData('IN07',,"",,,,,'','','','','','',"ReplaceableTextures\\CommandButtons\\BTNIT01.blp")</v>
      </c>
      <c r="CU155" s="72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每秒回复|Cffffd24d10%|r生命值，持续|Cffffd24d10|r秒</v>
      </c>
      <c r="CW155" s="7"/>
      <c r="CX155" s="7"/>
      <c r="CY155" s="7"/>
      <c r="CZ155" s="7"/>
      <c r="DA155" s="7"/>
      <c r="DB155" s="44" t="str">
        <f t="shared" ref="DB155:DB160" si="2360">IF(V155="","","|n"&amp;DB$2&amp;"+"&amp;V155&amp;DB$1)</f>
        <v/>
      </c>
      <c r="DC155" s="44" t="str">
        <f t="shared" ref="DC155:DC160" si="2361">IF(W155="","","|n"&amp;DC$2&amp;"+"&amp;W155&amp;DC$1)</f>
        <v/>
      </c>
      <c r="DD155" s="44" t="str">
        <f t="shared" ref="DD155:DD160" si="2362">IF(X155="","","|n"&amp;DD$2&amp;"+"&amp;X155&amp;DD$1)</f>
        <v/>
      </c>
      <c r="DE155" s="44" t="str">
        <f t="shared" ref="DE155:DE160" si="2363">IF(Y155="","","|n"&amp;DE$2&amp;"+"&amp;Y155&amp;DE$1)</f>
        <v/>
      </c>
      <c r="DF155" s="44" t="str">
        <f t="shared" ref="DF155:DF160" si="2364">IF(Z155="","","|n"&amp;DF$2&amp;"+"&amp;Z155&amp;DF$1)</f>
        <v/>
      </c>
      <c r="DG155" s="44" t="str">
        <f t="shared" ref="DG155:DG160" si="2365">IF(AA155="","","|n"&amp;DG$2&amp;"+"&amp;AA155&amp;DG$1)</f>
        <v/>
      </c>
      <c r="DH155" s="44" t="str">
        <f t="shared" ref="DH155:DH160" si="2366">IF(AB155="","","|n"&amp;DH$2&amp;"+"&amp;AB155&amp;DH$1)</f>
        <v/>
      </c>
      <c r="DI155" s="44" t="str">
        <f t="shared" ref="DI155:DI160" si="2367">IF(AC155="","","|n"&amp;DI$2&amp;"+"&amp;AC155&amp;DI$1)</f>
        <v/>
      </c>
      <c r="DJ155" s="44" t="str">
        <f t="shared" ref="DJ155:DJ160" si="2368">IF(AD155="","","|n"&amp;DJ$2&amp;"+"&amp;AD155&amp;DJ$1)</f>
        <v/>
      </c>
      <c r="DK155" s="44" t="str">
        <f t="shared" ref="DK155:DK160" si="2369">IF(AE155="","","|n"&amp;DK$2&amp;"+"&amp;AE155&amp;DK$1)</f>
        <v/>
      </c>
      <c r="DL155" s="44" t="str">
        <f t="shared" ref="DL155:DL160" si="2370">IF(AF155="","","|n"&amp;DL$2&amp;"+"&amp;AF155&amp;DL$1)</f>
        <v/>
      </c>
      <c r="DM155" s="44" t="str">
        <f t="shared" ref="DM155:DM160" si="2371">IF(AG155="","","|n"&amp;DM$2&amp;"+"&amp;AG155&amp;DM$1)</f>
        <v/>
      </c>
      <c r="DN155" s="44" t="str">
        <f t="shared" ref="DN155:DN160" si="2372">IF(AH155="","","|n"&amp;DN$2&amp;"+"&amp;AH155&amp;DN$1)</f>
        <v/>
      </c>
      <c r="DO155" s="44" t="str">
        <f t="shared" ref="DO155:DO160" si="2373">IF(AI155="","","|n"&amp;DO$2&amp;"+"&amp;AI155&amp;DO$1)</f>
        <v/>
      </c>
      <c r="DP155" s="44" t="str">
        <f t="shared" ref="DP155:DP160" si="2374">IF(AJ155="","","|n"&amp;DP$2&amp;"+"&amp;AJ155&amp;DP$1)</f>
        <v/>
      </c>
      <c r="DQ155" s="44" t="str">
        <f t="shared" ref="DQ155:DQ160" si="2375">IF(AK155="","","|n"&amp;DQ$2&amp;"+"&amp;AK155&amp;DQ$1)</f>
        <v/>
      </c>
      <c r="DR155" s="44" t="str">
        <f t="shared" ref="DR155:DR160" si="2376">IF(AL155="","","|n"&amp;DR$2&amp;"+"&amp;AL155&amp;DR$1)</f>
        <v/>
      </c>
      <c r="DS155" s="44" t="str">
        <f t="shared" ref="DS155:DS160" si="2377">IF(AM155="","","|n"&amp;DS$2&amp;"+"&amp;AM155&amp;DS$1)</f>
        <v/>
      </c>
      <c r="DT155" s="44" t="str">
        <f t="shared" ref="DT155:DT160" si="2378">IF(AN155="","","|n"&amp;DT$2&amp;"+"&amp;AN155&amp;DT$1)</f>
        <v/>
      </c>
      <c r="DU155" s="44" t="str">
        <f t="shared" ref="DU155:DU160" si="2379">IF(AO155="","","|n"&amp;DU$2&amp;"+"&amp;AO155&amp;DU$1)</f>
        <v/>
      </c>
      <c r="DV155" s="44" t="str">
        <f t="shared" ref="DV155:DV160" si="2380">IF(AP155="","","|n"&amp;DV$2&amp;"+"&amp;AP155&amp;DV$1)</f>
        <v/>
      </c>
      <c r="DW155" s="44" t="str">
        <f t="shared" ref="DW155:DW160" si="2381">IF(AQ155="","","|n"&amp;DW$2&amp;"+"&amp;AQ155&amp;DW$1)</f>
        <v/>
      </c>
      <c r="DX155" s="44" t="str">
        <f t="shared" ref="DX155:DX160" si="2382">IF(AR155="","","|n"&amp;DX$2&amp;"+"&amp;AR155&amp;DX$1)</f>
        <v/>
      </c>
      <c r="DY155" s="44" t="str">
        <f t="shared" ref="DY155:DY160" si="2383">IF(AS155="","","|n"&amp;DY$2&amp;"+"&amp;AS155&amp;DY$1)</f>
        <v/>
      </c>
      <c r="DZ155" s="44" t="str">
        <f t="shared" ref="DZ155:DZ160" si="2384">IF(AT155="","","|n"&amp;DZ$2&amp;"+"&amp;AT155&amp;DZ$1)</f>
        <v/>
      </c>
      <c r="EA155" s="44" t="str">
        <f t="shared" ref="EA155:EA160" si="2385">IF(AU155="","","|n"&amp;EA$2&amp;"+"&amp;AU155&amp;EA$1)</f>
        <v/>
      </c>
      <c r="EB155" s="44" t="str">
        <f t="shared" ref="EB155:EB160" si="2386">IF(AV155="","","|n"&amp;EB$2&amp;"+"&amp;AV155&amp;EB$1)</f>
        <v/>
      </c>
      <c r="EC155" s="44" t="str">
        <f t="shared" ref="EC155:EC160" si="2387">IF(AW155="","","|n"&amp;EC$2&amp;"+"&amp;AW155&amp;EC$1)</f>
        <v/>
      </c>
      <c r="ED155" s="44" t="str">
        <f t="shared" ref="ED155:ED160" si="2388">IF(AX155="","","|n"&amp;ED$2&amp;"+"&amp;AX155&amp;ED$1)</f>
        <v/>
      </c>
      <c r="EE155" s="44" t="str">
        <f t="shared" ref="EE155:EE160" si="2389">IF(AY155="","","|n"&amp;EE$2&amp;"+"&amp;AY155&amp;EE$1)</f>
        <v/>
      </c>
      <c r="EF155" s="44" t="str">
        <f t="shared" ref="EF155:EF160" si="2390">IF(AZ155="","","|n"&amp;EF$2&amp;"+"&amp;AZ155&amp;EF$1)</f>
        <v/>
      </c>
      <c r="EG155" s="44" t="str">
        <f t="shared" ref="EG155:EG160" si="2391">IF(BA155="","","|n"&amp;EG$2&amp;"+"&amp;BA155&amp;EG$1)</f>
        <v/>
      </c>
      <c r="EH155" s="44" t="str">
        <f t="shared" ref="EH155:EH160" si="2392">IF(BB155="","","|n"&amp;EH$2&amp;"+"&amp;BB155&amp;EH$1)</f>
        <v/>
      </c>
      <c r="EI155" s="44" t="str">
        <f t="shared" ref="EI155:EI160" si="2393">IF(BC155="","","|n"&amp;EI$2&amp;"+"&amp;BC155&amp;EI$1)</f>
        <v/>
      </c>
      <c r="EJ155" s="44" t="str">
        <f t="shared" ref="EJ155:EJ160" si="2394">IF(BD155="","","|n"&amp;EJ$2&amp;"+"&amp;BD155&amp;EJ$1)</f>
        <v/>
      </c>
      <c r="EK155" s="44" t="str">
        <f t="shared" ref="EK155:EK160" si="2395">IF(BE155="","","|n"&amp;EK$2&amp;"+"&amp;BE155&amp;EK$1)</f>
        <v/>
      </c>
      <c r="EL155" s="44" t="str">
        <f t="shared" ref="EL155:EL160" si="2396">IF(BF155="","","|n"&amp;EL$2&amp;"+"&amp;BF155&amp;EL$1)</f>
        <v/>
      </c>
      <c r="EM155" s="44" t="str">
        <f t="shared" ref="EM155:EM160" si="2397">IF(BG155="","","|n"&amp;EM$2&amp;"+"&amp;BG155&amp;EM$1)</f>
        <v/>
      </c>
      <c r="EN155" s="44" t="str">
        <f t="shared" ref="EN155:EN160" si="2398">IF(BH155="","","|n"&amp;EN$2&amp;"+"&amp;BH155&amp;EN$1)</f>
        <v/>
      </c>
      <c r="EO155" s="44" t="str">
        <f t="shared" ref="EO155:EO160" si="2399">IF(BI155="","","|n"&amp;EO$2&amp;"+"&amp;BI155&amp;EO$1)</f>
        <v/>
      </c>
      <c r="EP155" s="44" t="str">
        <f t="shared" ref="EP155:EP160" si="2400">IF(BJ155="","","|n"&amp;EP$2&amp;"+"&amp;BJ155&amp;EP$1)</f>
        <v/>
      </c>
      <c r="EQ155" s="44" t="str">
        <f t="shared" ref="EQ155:EQ160" si="2401">IF(BK155="","","|n"&amp;EQ$2&amp;"+"&amp;BK155&amp;EQ$1)</f>
        <v/>
      </c>
      <c r="ER155" s="44" t="str">
        <f t="shared" ref="ER155:ER160" si="2402">IF(BL155="","","|n"&amp;ER$2&amp;"+"&amp;BL155&amp;ER$1)</f>
        <v/>
      </c>
      <c r="ES155" s="44" t="str">
        <f t="shared" ref="ES155:ES160" si="2403">IF(BM155="","","|n"&amp;ES$2&amp;"+"&amp;BM155&amp;ES$1)</f>
        <v/>
      </c>
      <c r="ET155" s="44" t="str">
        <f t="shared" ref="ET155:ET160" si="2404">IF(BN155="","","|n"&amp;ET$2&amp;"+"&amp;BN155&amp;ET$1)</f>
        <v/>
      </c>
      <c r="EU155" s="44" t="str">
        <f t="shared" ref="EU155:EU160" si="2405">IF(BO155="","","|n"&amp;EU$2&amp;"+"&amp;BO155&amp;EU$1)</f>
        <v/>
      </c>
      <c r="EV155" s="44" t="str">
        <f t="shared" ref="EV155:EV160" si="2406">IF(BP155="","","|n"&amp;EV$2&amp;"+"&amp;BP155&amp;EV$1)</f>
        <v/>
      </c>
      <c r="EW155" s="44" t="str">
        <f t="shared" ref="EW155:EW160" si="2407">IF(BQ155="","","|n"&amp;EW$2&amp;"+"&amp;BQ155&amp;EW$1)</f>
        <v/>
      </c>
      <c r="EX155" s="44" t="str">
        <f t="shared" ref="EX155:EX160" si="2408">IF(BR155="","","|n"&amp;EX$2&amp;"+"&amp;BR155&amp;EX$1)</f>
        <v/>
      </c>
      <c r="EY155" s="44" t="str">
        <f t="shared" ref="EY155:EY160" si="2409">IF(BS155="","","|n"&amp;EY$2&amp;"+"&amp;BS155&amp;EY$1)</f>
        <v/>
      </c>
      <c r="EZ155" s="44" t="str">
        <f t="shared" ref="EZ155:EZ160" si="2410">IF(BT155="","","|n"&amp;EZ$2&amp;"+"&amp;BT155&amp;EZ$1)</f>
        <v/>
      </c>
      <c r="FA155" s="44" t="str">
        <f t="shared" ref="FA155:FA160" si="2411">IF(BU155="","","|n"&amp;FA$2&amp;"+"&amp;BU155&amp;FA$1)</f>
        <v/>
      </c>
      <c r="FB155" s="44" t="str">
        <f t="shared" ref="FB155:FB160" si="2412">IF(BV155="","","|n"&amp;FB$2&amp;"+"&amp;BV155&amp;FB$1)</f>
        <v/>
      </c>
      <c r="FC155" s="44" t="str">
        <f t="shared" ref="FC155:FC160" si="2413">IF(BW155="","","|n"&amp;FC$2&amp;"+"&amp;BW155&amp;FC$1)</f>
        <v/>
      </c>
      <c r="FD155" s="44" t="str">
        <f t="shared" ref="FD155:FD160" si="2414">IF(BX155="","","|n"&amp;FD$2&amp;"+"&amp;BX155&amp;FD$1)</f>
        <v/>
      </c>
      <c r="FE155" s="44" t="str">
        <f t="shared" ref="FE155:FE160" si="2415">IF(BY155="","","|n"&amp;FE$2&amp;"+"&amp;BY155&amp;FE$1)</f>
        <v/>
      </c>
      <c r="FF155" s="44" t="str">
        <f t="shared" ref="FF155:FF160" si="2416">IF(BZ155="","","|n"&amp;FF$2&amp;"+"&amp;BZ155&amp;FF$1)</f>
        <v/>
      </c>
      <c r="FG155" s="44" t="str">
        <f t="shared" ref="FG155:FG160" si="2417">IF(CA155="","","|n"&amp;FG$2&amp;"+"&amp;CA155&amp;FG$1)</f>
        <v/>
      </c>
      <c r="FH155" s="44" t="str">
        <f t="shared" ref="FH155:FH160" si="2418">IF(CB155="","","|n"&amp;FH$2&amp;"+"&amp;CB155&amp;FH$1)</f>
        <v/>
      </c>
      <c r="FI155" s="44" t="str">
        <f t="shared" ref="FI155:FI160" si="2419">IF(CC155="","","|n"&amp;FI$2&amp;"+"&amp;CC155&amp;FI$1)</f>
        <v/>
      </c>
      <c r="FJ155" s="44" t="str">
        <f t="shared" ref="FJ155:FJ160" si="2420">IF(CD155="","","|n"&amp;FJ$2&amp;"+"&amp;CD155&amp;FJ$1)</f>
        <v/>
      </c>
      <c r="FK155" s="44" t="str">
        <f t="shared" ref="FK155:FK160" si="2421">IF(CE155="","","|n"&amp;FK$2&amp;"+"&amp;CE155&amp;FK$1)</f>
        <v/>
      </c>
      <c r="FL155" s="44" t="str">
        <f t="shared" ref="FL155:FL160" si="2422">IF(CF155="","","|n"&amp;FL$2&amp;"+"&amp;CF155&amp;FL$1)</f>
        <v/>
      </c>
      <c r="FM155" s="44" t="str">
        <f t="shared" ref="FM155:FM160" si="2423">IF(CG155="","","|n"&amp;FM$2&amp;"+"&amp;CG155&amp;FM$1)</f>
        <v/>
      </c>
      <c r="FN155" s="44" t="str">
        <f t="shared" ref="FN155:FN160" si="2424">IF(CH155="","","|n"&amp;FN$2&amp;"+"&amp;CH155&amp;FN$1)</f>
        <v/>
      </c>
      <c r="FO155" s="44" t="str">
        <f t="shared" ref="FO155:FO160" si="2425">IF(CI155="","","|n"&amp;FO$2&amp;"+"&amp;CI155&amp;FO$1)</f>
        <v/>
      </c>
      <c r="FP155" s="44" t="str">
        <f t="shared" ref="FP155:FP160" si="2426">IF(CJ155="","","|n"&amp;FP$2&amp;"+"&amp;CJ155&amp;FP$1)</f>
        <v/>
      </c>
      <c r="FQ155" s="44" t="str">
        <f t="shared" ref="FQ155:FQ160" si="2427">IF(CK155="","","|n"&amp;FQ$2&amp;"+"&amp;CK155&amp;FQ$1)</f>
        <v/>
      </c>
      <c r="FR155" s="44" t="str">
        <f t="shared" ref="FR155:FR160" si="2428">IF(CL155="","","|n"&amp;FR$2&amp;"+"&amp;CL155&amp;FR$1)</f>
        <v/>
      </c>
      <c r="FS155" s="44" t="str">
        <f t="shared" ref="FS155:FS160" si="2429">IF(CM155="","","|n"&amp;FS$2&amp;"+"&amp;CM155&amp;FS$1)</f>
        <v/>
      </c>
    </row>
    <row r="156" ht="15" spans="1:175">
      <c r="A156" s="5"/>
      <c r="B156" s="5" t="s">
        <v>539</v>
      </c>
      <c r="C156" s="6" t="s">
        <v>540</v>
      </c>
      <c r="T156" s="6" t="s">
        <v>541</v>
      </c>
      <c r="U156" s="60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72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4" t="str">
        <f t="shared" si="2360"/>
        <v/>
      </c>
      <c r="DC156" s="44" t="str">
        <f t="shared" si="2361"/>
        <v/>
      </c>
      <c r="DD156" s="44" t="str">
        <f t="shared" si="2362"/>
        <v/>
      </c>
      <c r="DE156" s="44" t="str">
        <f t="shared" si="2363"/>
        <v/>
      </c>
      <c r="DF156" s="44" t="str">
        <f t="shared" si="2364"/>
        <v/>
      </c>
      <c r="DG156" s="44" t="str">
        <f t="shared" si="2365"/>
        <v/>
      </c>
      <c r="DH156" s="44" t="str">
        <f t="shared" si="2366"/>
        <v/>
      </c>
      <c r="DI156" s="44" t="str">
        <f t="shared" si="2367"/>
        <v/>
      </c>
      <c r="DJ156" s="44" t="str">
        <f t="shared" si="2368"/>
        <v/>
      </c>
      <c r="DK156" s="44" t="str">
        <f t="shared" si="2369"/>
        <v/>
      </c>
      <c r="DL156" s="44" t="str">
        <f t="shared" si="2370"/>
        <v/>
      </c>
      <c r="DM156" s="44" t="str">
        <f t="shared" si="2371"/>
        <v/>
      </c>
      <c r="DN156" s="44" t="str">
        <f t="shared" si="2372"/>
        <v/>
      </c>
      <c r="DO156" s="44" t="str">
        <f t="shared" si="2373"/>
        <v/>
      </c>
      <c r="DP156" s="44" t="str">
        <f t="shared" si="2374"/>
        <v/>
      </c>
      <c r="DQ156" s="44" t="str">
        <f t="shared" si="2375"/>
        <v/>
      </c>
      <c r="DR156" s="44" t="str">
        <f t="shared" si="2376"/>
        <v/>
      </c>
      <c r="DS156" s="44" t="str">
        <f t="shared" si="2377"/>
        <v/>
      </c>
      <c r="DT156" s="44" t="str">
        <f t="shared" si="2378"/>
        <v/>
      </c>
      <c r="DU156" s="44" t="str">
        <f t="shared" si="2379"/>
        <v/>
      </c>
      <c r="DV156" s="44" t="str">
        <f t="shared" si="2380"/>
        <v/>
      </c>
      <c r="DW156" s="44" t="str">
        <f t="shared" si="2381"/>
        <v/>
      </c>
      <c r="DX156" s="44" t="str">
        <f t="shared" si="2382"/>
        <v/>
      </c>
      <c r="DY156" s="44" t="str">
        <f t="shared" si="2383"/>
        <v/>
      </c>
      <c r="DZ156" s="44" t="str">
        <f t="shared" si="2384"/>
        <v/>
      </c>
      <c r="EA156" s="44" t="str">
        <f t="shared" si="2385"/>
        <v/>
      </c>
      <c r="EB156" s="44" t="str">
        <f t="shared" si="2386"/>
        <v/>
      </c>
      <c r="EC156" s="44" t="str">
        <f t="shared" si="2387"/>
        <v/>
      </c>
      <c r="ED156" s="44" t="str">
        <f t="shared" si="2388"/>
        <v/>
      </c>
      <c r="EE156" s="44" t="str">
        <f t="shared" si="2389"/>
        <v/>
      </c>
      <c r="EF156" s="44" t="str">
        <f t="shared" si="2390"/>
        <v/>
      </c>
      <c r="EG156" s="44" t="str">
        <f t="shared" si="2391"/>
        <v/>
      </c>
      <c r="EH156" s="44" t="str">
        <f t="shared" si="2392"/>
        <v/>
      </c>
      <c r="EI156" s="44" t="str">
        <f t="shared" si="2393"/>
        <v/>
      </c>
      <c r="EJ156" s="44" t="str">
        <f t="shared" si="2394"/>
        <v/>
      </c>
      <c r="EK156" s="44" t="str">
        <f t="shared" si="2395"/>
        <v/>
      </c>
      <c r="EL156" s="44" t="str">
        <f t="shared" si="2396"/>
        <v/>
      </c>
      <c r="EM156" s="44" t="str">
        <f t="shared" si="2397"/>
        <v/>
      </c>
      <c r="EN156" s="44" t="str">
        <f t="shared" si="2398"/>
        <v/>
      </c>
      <c r="EO156" s="44" t="str">
        <f t="shared" si="2399"/>
        <v/>
      </c>
      <c r="EP156" s="44" t="str">
        <f t="shared" si="2400"/>
        <v/>
      </c>
      <c r="EQ156" s="44" t="str">
        <f t="shared" si="2401"/>
        <v/>
      </c>
      <c r="ER156" s="44" t="str">
        <f t="shared" si="2402"/>
        <v/>
      </c>
      <c r="ES156" s="44" t="str">
        <f t="shared" si="2403"/>
        <v/>
      </c>
      <c r="ET156" s="44" t="str">
        <f t="shared" si="2404"/>
        <v/>
      </c>
      <c r="EU156" s="44" t="str">
        <f t="shared" si="2405"/>
        <v/>
      </c>
      <c r="EV156" s="44" t="str">
        <f t="shared" si="2406"/>
        <v/>
      </c>
      <c r="EW156" s="44" t="str">
        <f t="shared" si="2407"/>
        <v/>
      </c>
      <c r="EX156" s="44" t="str">
        <f t="shared" si="2408"/>
        <v/>
      </c>
      <c r="EY156" s="44" t="str">
        <f t="shared" si="2409"/>
        <v/>
      </c>
      <c r="EZ156" s="44" t="str">
        <f t="shared" si="2410"/>
        <v/>
      </c>
      <c r="FA156" s="44" t="str">
        <f t="shared" si="2411"/>
        <v/>
      </c>
      <c r="FB156" s="44" t="str">
        <f t="shared" si="2412"/>
        <v/>
      </c>
      <c r="FC156" s="44" t="str">
        <f t="shared" si="2413"/>
        <v/>
      </c>
      <c r="FD156" s="44" t="str">
        <f t="shared" si="2414"/>
        <v/>
      </c>
      <c r="FE156" s="44" t="str">
        <f t="shared" si="2415"/>
        <v/>
      </c>
      <c r="FF156" s="44" t="str">
        <f t="shared" si="2416"/>
        <v/>
      </c>
      <c r="FG156" s="44" t="str">
        <f t="shared" si="2417"/>
        <v/>
      </c>
      <c r="FH156" s="44" t="str">
        <f t="shared" si="2418"/>
        <v/>
      </c>
      <c r="FI156" s="44" t="str">
        <f t="shared" si="2419"/>
        <v/>
      </c>
      <c r="FJ156" s="44" t="str">
        <f t="shared" si="2420"/>
        <v/>
      </c>
      <c r="FK156" s="44" t="str">
        <f t="shared" si="2421"/>
        <v/>
      </c>
      <c r="FL156" s="44" t="str">
        <f t="shared" si="2422"/>
        <v/>
      </c>
      <c r="FM156" s="44" t="str">
        <f t="shared" si="2423"/>
        <v/>
      </c>
      <c r="FN156" s="44" t="str">
        <f t="shared" si="2424"/>
        <v/>
      </c>
      <c r="FO156" s="44" t="str">
        <f t="shared" si="2425"/>
        <v/>
      </c>
      <c r="FP156" s="44" t="str">
        <f t="shared" si="2426"/>
        <v/>
      </c>
      <c r="FQ156" s="44" t="str">
        <f t="shared" si="2427"/>
        <v/>
      </c>
      <c r="FR156" s="44" t="str">
        <f t="shared" si="2428"/>
        <v/>
      </c>
      <c r="FS156" s="44" t="str">
        <f t="shared" si="2429"/>
        <v/>
      </c>
    </row>
    <row r="157" ht="15" spans="1:175">
      <c r="A157" s="5"/>
      <c r="B157" s="92" t="s">
        <v>542</v>
      </c>
      <c r="C157" s="93" t="s">
        <v>543</v>
      </c>
      <c r="T157" s="6" t="s">
        <v>544</v>
      </c>
      <c r="U157" s="60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72" t="str">
        <f t="shared" si="2358"/>
        <v>|n</v>
      </c>
      <c r="CV157" s="6" t="str">
        <f t="shared" si="2359"/>
        <v>死亡时复活。</v>
      </c>
      <c r="CW157" s="7"/>
      <c r="CX157" s="7"/>
      <c r="CY157" s="7"/>
      <c r="CZ157" s="7"/>
      <c r="DA157" s="7"/>
      <c r="DB157" s="44" t="str">
        <f t="shared" si="2360"/>
        <v/>
      </c>
      <c r="DC157" s="44" t="str">
        <f t="shared" si="2361"/>
        <v/>
      </c>
      <c r="DD157" s="44" t="str">
        <f t="shared" si="2362"/>
        <v/>
      </c>
      <c r="DE157" s="44" t="str">
        <f t="shared" si="2363"/>
        <v/>
      </c>
      <c r="DF157" s="44" t="str">
        <f t="shared" si="2364"/>
        <v/>
      </c>
      <c r="DG157" s="44" t="str">
        <f t="shared" si="2365"/>
        <v/>
      </c>
      <c r="DH157" s="44" t="str">
        <f t="shared" si="2366"/>
        <v/>
      </c>
      <c r="DI157" s="44" t="str">
        <f t="shared" si="2367"/>
        <v/>
      </c>
      <c r="DJ157" s="44" t="str">
        <f t="shared" si="2368"/>
        <v/>
      </c>
      <c r="DK157" s="44" t="str">
        <f t="shared" si="2369"/>
        <v/>
      </c>
      <c r="DL157" s="44" t="str">
        <f t="shared" si="2370"/>
        <v/>
      </c>
      <c r="DM157" s="44" t="str">
        <f t="shared" si="2371"/>
        <v/>
      </c>
      <c r="DN157" s="44" t="str">
        <f t="shared" si="2372"/>
        <v/>
      </c>
      <c r="DO157" s="44" t="str">
        <f t="shared" si="2373"/>
        <v/>
      </c>
      <c r="DP157" s="44" t="str">
        <f t="shared" si="2374"/>
        <v/>
      </c>
      <c r="DQ157" s="44" t="str">
        <f t="shared" si="2375"/>
        <v/>
      </c>
      <c r="DR157" s="44" t="str">
        <f t="shared" si="2376"/>
        <v/>
      </c>
      <c r="DS157" s="44" t="str">
        <f t="shared" si="2377"/>
        <v/>
      </c>
      <c r="DT157" s="44" t="str">
        <f t="shared" si="2378"/>
        <v/>
      </c>
      <c r="DU157" s="44" t="str">
        <f t="shared" si="2379"/>
        <v/>
      </c>
      <c r="DV157" s="44" t="str">
        <f t="shared" si="2380"/>
        <v/>
      </c>
      <c r="DW157" s="44" t="str">
        <f t="shared" si="2381"/>
        <v/>
      </c>
      <c r="DX157" s="44" t="str">
        <f t="shared" si="2382"/>
        <v/>
      </c>
      <c r="DY157" s="44" t="str">
        <f t="shared" si="2383"/>
        <v/>
      </c>
      <c r="DZ157" s="44" t="str">
        <f t="shared" si="2384"/>
        <v/>
      </c>
      <c r="EA157" s="44" t="str">
        <f t="shared" si="2385"/>
        <v/>
      </c>
      <c r="EB157" s="44" t="str">
        <f t="shared" si="2386"/>
        <v/>
      </c>
      <c r="EC157" s="44" t="str">
        <f t="shared" si="2387"/>
        <v/>
      </c>
      <c r="ED157" s="44" t="str">
        <f t="shared" si="2388"/>
        <v/>
      </c>
      <c r="EE157" s="44" t="str">
        <f t="shared" si="2389"/>
        <v/>
      </c>
      <c r="EF157" s="44" t="str">
        <f t="shared" si="2390"/>
        <v/>
      </c>
      <c r="EG157" s="44" t="str">
        <f t="shared" si="2391"/>
        <v/>
      </c>
      <c r="EH157" s="44" t="str">
        <f t="shared" si="2392"/>
        <v/>
      </c>
      <c r="EI157" s="44" t="str">
        <f t="shared" si="2393"/>
        <v/>
      </c>
      <c r="EJ157" s="44" t="str">
        <f t="shared" si="2394"/>
        <v/>
      </c>
      <c r="EK157" s="44" t="str">
        <f t="shared" si="2395"/>
        <v/>
      </c>
      <c r="EL157" s="44" t="str">
        <f t="shared" si="2396"/>
        <v/>
      </c>
      <c r="EM157" s="44" t="str">
        <f t="shared" si="2397"/>
        <v/>
      </c>
      <c r="EN157" s="44" t="str">
        <f t="shared" si="2398"/>
        <v/>
      </c>
      <c r="EO157" s="44" t="str">
        <f t="shared" si="2399"/>
        <v/>
      </c>
      <c r="EP157" s="44" t="str">
        <f t="shared" si="2400"/>
        <v/>
      </c>
      <c r="EQ157" s="44" t="str">
        <f t="shared" si="2401"/>
        <v/>
      </c>
      <c r="ER157" s="44" t="str">
        <f t="shared" si="2402"/>
        <v/>
      </c>
      <c r="ES157" s="44" t="str">
        <f t="shared" si="2403"/>
        <v/>
      </c>
      <c r="ET157" s="44" t="str">
        <f t="shared" si="2404"/>
        <v/>
      </c>
      <c r="EU157" s="44" t="str">
        <f t="shared" si="2405"/>
        <v/>
      </c>
      <c r="EV157" s="44" t="str">
        <f t="shared" si="2406"/>
        <v/>
      </c>
      <c r="EW157" s="44" t="str">
        <f t="shared" si="2407"/>
        <v/>
      </c>
      <c r="EX157" s="44" t="str">
        <f t="shared" si="2408"/>
        <v/>
      </c>
      <c r="EY157" s="44" t="str">
        <f t="shared" si="2409"/>
        <v/>
      </c>
      <c r="EZ157" s="44" t="str">
        <f t="shared" si="2410"/>
        <v/>
      </c>
      <c r="FA157" s="44" t="str">
        <f t="shared" si="2411"/>
        <v/>
      </c>
      <c r="FB157" s="44" t="str">
        <f t="shared" si="2412"/>
        <v/>
      </c>
      <c r="FC157" s="44" t="str">
        <f t="shared" si="2413"/>
        <v/>
      </c>
      <c r="FD157" s="44" t="str">
        <f t="shared" si="2414"/>
        <v/>
      </c>
      <c r="FE157" s="44" t="str">
        <f t="shared" si="2415"/>
        <v/>
      </c>
      <c r="FF157" s="44" t="str">
        <f t="shared" si="2416"/>
        <v/>
      </c>
      <c r="FG157" s="44" t="str">
        <f t="shared" si="2417"/>
        <v/>
      </c>
      <c r="FH157" s="44" t="str">
        <f t="shared" si="2418"/>
        <v/>
      </c>
      <c r="FI157" s="44" t="str">
        <f t="shared" si="2419"/>
        <v/>
      </c>
      <c r="FJ157" s="44" t="str">
        <f t="shared" si="2420"/>
        <v/>
      </c>
      <c r="FK157" s="44" t="str">
        <f t="shared" si="2421"/>
        <v/>
      </c>
      <c r="FL157" s="44" t="str">
        <f t="shared" si="2422"/>
        <v/>
      </c>
      <c r="FM157" s="44" t="str">
        <f t="shared" si="2423"/>
        <v/>
      </c>
      <c r="FN157" s="44" t="str">
        <f t="shared" si="2424"/>
        <v/>
      </c>
      <c r="FO157" s="44" t="str">
        <f t="shared" si="2425"/>
        <v/>
      </c>
      <c r="FP157" s="44" t="str">
        <f t="shared" si="2426"/>
        <v/>
      </c>
      <c r="FQ157" s="44" t="str">
        <f t="shared" si="2427"/>
        <v/>
      </c>
      <c r="FR157" s="44" t="str">
        <f t="shared" si="2428"/>
        <v/>
      </c>
      <c r="FS157" s="44" t="str">
        <f t="shared" si="2429"/>
        <v/>
      </c>
    </row>
    <row r="158" ht="15" spans="1:175">
      <c r="A158" s="5"/>
      <c r="B158" s="92" t="s">
        <v>545</v>
      </c>
      <c r="C158" s="93" t="s">
        <v>546</v>
      </c>
      <c r="T158" s="6" t="s">
        <v>547</v>
      </c>
      <c r="U158" s="60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72" t="str">
        <f t="shared" si="2358"/>
        <v>|n</v>
      </c>
      <c r="CV158" s="6" t="str">
        <f t="shared" si="2359"/>
        <v>点金一个|Cffffd24d练功房福娃|r，获得|Cffffd24d100|r倍金币奖励</v>
      </c>
      <c r="CW158" s="7"/>
      <c r="CX158" s="7"/>
      <c r="CY158" s="7"/>
      <c r="CZ158" s="7"/>
      <c r="DA158" s="7"/>
      <c r="DB158" s="44" t="str">
        <f t="shared" si="2360"/>
        <v/>
      </c>
      <c r="DC158" s="44" t="str">
        <f t="shared" si="2361"/>
        <v/>
      </c>
      <c r="DD158" s="44" t="str">
        <f t="shared" si="2362"/>
        <v/>
      </c>
      <c r="DE158" s="44" t="str">
        <f t="shared" si="2363"/>
        <v/>
      </c>
      <c r="DF158" s="44" t="str">
        <f t="shared" si="2364"/>
        <v/>
      </c>
      <c r="DG158" s="44" t="str">
        <f t="shared" si="2365"/>
        <v/>
      </c>
      <c r="DH158" s="44" t="str">
        <f t="shared" si="2366"/>
        <v/>
      </c>
      <c r="DI158" s="44" t="str">
        <f t="shared" si="2367"/>
        <v/>
      </c>
      <c r="DJ158" s="44" t="str">
        <f t="shared" si="2368"/>
        <v/>
      </c>
      <c r="DK158" s="44" t="str">
        <f t="shared" si="2369"/>
        <v/>
      </c>
      <c r="DL158" s="44" t="str">
        <f t="shared" si="2370"/>
        <v/>
      </c>
      <c r="DM158" s="44" t="str">
        <f t="shared" si="2371"/>
        <v/>
      </c>
      <c r="DN158" s="44" t="str">
        <f t="shared" si="2372"/>
        <v/>
      </c>
      <c r="DO158" s="44" t="str">
        <f t="shared" si="2373"/>
        <v/>
      </c>
      <c r="DP158" s="44" t="str">
        <f t="shared" si="2374"/>
        <v/>
      </c>
      <c r="DQ158" s="44" t="str">
        <f t="shared" si="2375"/>
        <v/>
      </c>
      <c r="DR158" s="44" t="str">
        <f t="shared" si="2376"/>
        <v/>
      </c>
      <c r="DS158" s="44" t="str">
        <f t="shared" si="2377"/>
        <v/>
      </c>
      <c r="DT158" s="44" t="str">
        <f t="shared" si="2378"/>
        <v/>
      </c>
      <c r="DU158" s="44" t="str">
        <f t="shared" si="2379"/>
        <v/>
      </c>
      <c r="DV158" s="44" t="str">
        <f t="shared" si="2380"/>
        <v/>
      </c>
      <c r="DW158" s="44" t="str">
        <f t="shared" si="2381"/>
        <v/>
      </c>
      <c r="DX158" s="44" t="str">
        <f t="shared" si="2382"/>
        <v/>
      </c>
      <c r="DY158" s="44" t="str">
        <f t="shared" si="2383"/>
        <v/>
      </c>
      <c r="DZ158" s="44" t="str">
        <f t="shared" si="2384"/>
        <v/>
      </c>
      <c r="EA158" s="44" t="str">
        <f t="shared" si="2385"/>
        <v/>
      </c>
      <c r="EB158" s="44" t="str">
        <f t="shared" si="2386"/>
        <v/>
      </c>
      <c r="EC158" s="44" t="str">
        <f t="shared" si="2387"/>
        <v/>
      </c>
      <c r="ED158" s="44" t="str">
        <f t="shared" si="2388"/>
        <v/>
      </c>
      <c r="EE158" s="44" t="str">
        <f t="shared" si="2389"/>
        <v/>
      </c>
      <c r="EF158" s="44" t="str">
        <f t="shared" si="2390"/>
        <v/>
      </c>
      <c r="EG158" s="44" t="str">
        <f t="shared" si="2391"/>
        <v/>
      </c>
      <c r="EH158" s="44" t="str">
        <f t="shared" si="2392"/>
        <v/>
      </c>
      <c r="EI158" s="44" t="str">
        <f t="shared" si="2393"/>
        <v/>
      </c>
      <c r="EJ158" s="44" t="str">
        <f t="shared" si="2394"/>
        <v/>
      </c>
      <c r="EK158" s="44" t="str">
        <f t="shared" si="2395"/>
        <v/>
      </c>
      <c r="EL158" s="44" t="str">
        <f t="shared" si="2396"/>
        <v/>
      </c>
      <c r="EM158" s="44" t="str">
        <f t="shared" si="2397"/>
        <v/>
      </c>
      <c r="EN158" s="44" t="str">
        <f t="shared" si="2398"/>
        <v/>
      </c>
      <c r="EO158" s="44" t="str">
        <f t="shared" si="2399"/>
        <v/>
      </c>
      <c r="EP158" s="44" t="str">
        <f t="shared" si="2400"/>
        <v/>
      </c>
      <c r="EQ158" s="44" t="str">
        <f t="shared" si="2401"/>
        <v/>
      </c>
      <c r="ER158" s="44" t="str">
        <f t="shared" si="2402"/>
        <v/>
      </c>
      <c r="ES158" s="44" t="str">
        <f t="shared" si="2403"/>
        <v/>
      </c>
      <c r="ET158" s="44" t="str">
        <f t="shared" si="2404"/>
        <v/>
      </c>
      <c r="EU158" s="44" t="str">
        <f t="shared" si="2405"/>
        <v/>
      </c>
      <c r="EV158" s="44" t="str">
        <f t="shared" si="2406"/>
        <v/>
      </c>
      <c r="EW158" s="44" t="str">
        <f t="shared" si="2407"/>
        <v/>
      </c>
      <c r="EX158" s="44" t="str">
        <f t="shared" si="2408"/>
        <v/>
      </c>
      <c r="EY158" s="44" t="str">
        <f t="shared" si="2409"/>
        <v/>
      </c>
      <c r="EZ158" s="44" t="str">
        <f t="shared" si="2410"/>
        <v/>
      </c>
      <c r="FA158" s="44" t="str">
        <f t="shared" si="2411"/>
        <v/>
      </c>
      <c r="FB158" s="44" t="str">
        <f t="shared" si="2412"/>
        <v/>
      </c>
      <c r="FC158" s="44" t="str">
        <f t="shared" si="2413"/>
        <v/>
      </c>
      <c r="FD158" s="44" t="str">
        <f t="shared" si="2414"/>
        <v/>
      </c>
      <c r="FE158" s="44" t="str">
        <f t="shared" si="2415"/>
        <v/>
      </c>
      <c r="FF158" s="44" t="str">
        <f t="shared" si="2416"/>
        <v/>
      </c>
      <c r="FG158" s="44" t="str">
        <f t="shared" si="2417"/>
        <v/>
      </c>
      <c r="FH158" s="44" t="str">
        <f t="shared" si="2418"/>
        <v/>
      </c>
      <c r="FI158" s="44" t="str">
        <f t="shared" si="2419"/>
        <v/>
      </c>
      <c r="FJ158" s="44" t="str">
        <f t="shared" si="2420"/>
        <v/>
      </c>
      <c r="FK158" s="44" t="str">
        <f t="shared" si="2421"/>
        <v/>
      </c>
      <c r="FL158" s="44" t="str">
        <f t="shared" si="2422"/>
        <v/>
      </c>
      <c r="FM158" s="44" t="str">
        <f t="shared" si="2423"/>
        <v/>
      </c>
      <c r="FN158" s="44" t="str">
        <f t="shared" si="2424"/>
        <v/>
      </c>
      <c r="FO158" s="44" t="str">
        <f t="shared" si="2425"/>
        <v/>
      </c>
      <c r="FP158" s="44" t="str">
        <f t="shared" si="2426"/>
        <v/>
      </c>
      <c r="FQ158" s="44" t="str">
        <f t="shared" si="2427"/>
        <v/>
      </c>
      <c r="FR158" s="44" t="str">
        <f t="shared" si="2428"/>
        <v/>
      </c>
      <c r="FS158" s="44" t="str">
        <f t="shared" si="2429"/>
        <v/>
      </c>
    </row>
    <row r="159" ht="15" spans="1:175">
      <c r="A159" s="5"/>
      <c r="B159" s="92" t="s">
        <v>548</v>
      </c>
      <c r="C159" s="93" t="s">
        <v>549</v>
      </c>
      <c r="T159" s="6" t="s">
        <v>550</v>
      </c>
      <c r="U159" s="60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72" t="str">
        <f t="shared" si="2358"/>
        <v>|n</v>
      </c>
      <c r="CV159" s="6" t="str">
        <f t="shared" si="2359"/>
        <v>|CffFFD24D5|r秒内提高|Cffffd24d100%|r物理伤害</v>
      </c>
      <c r="CW159" s="7"/>
      <c r="CX159" s="7"/>
      <c r="CY159" s="7"/>
      <c r="CZ159" s="7"/>
      <c r="DA159" s="7"/>
      <c r="DB159" s="44" t="str">
        <f t="shared" si="2360"/>
        <v/>
      </c>
      <c r="DC159" s="44" t="str">
        <f t="shared" si="2361"/>
        <v/>
      </c>
      <c r="DD159" s="44" t="str">
        <f t="shared" si="2362"/>
        <v/>
      </c>
      <c r="DE159" s="44" t="str">
        <f t="shared" si="2363"/>
        <v/>
      </c>
      <c r="DF159" s="44" t="str">
        <f t="shared" si="2364"/>
        <v/>
      </c>
      <c r="DG159" s="44" t="str">
        <f t="shared" si="2365"/>
        <v/>
      </c>
      <c r="DH159" s="44" t="str">
        <f t="shared" si="2366"/>
        <v/>
      </c>
      <c r="DI159" s="44" t="str">
        <f t="shared" si="2367"/>
        <v/>
      </c>
      <c r="DJ159" s="44" t="str">
        <f t="shared" si="2368"/>
        <v/>
      </c>
      <c r="DK159" s="44" t="str">
        <f t="shared" si="2369"/>
        <v/>
      </c>
      <c r="DL159" s="44" t="str">
        <f t="shared" si="2370"/>
        <v/>
      </c>
      <c r="DM159" s="44" t="str">
        <f t="shared" si="2371"/>
        <v/>
      </c>
      <c r="DN159" s="44" t="str">
        <f t="shared" si="2372"/>
        <v/>
      </c>
      <c r="DO159" s="44" t="str">
        <f t="shared" si="2373"/>
        <v/>
      </c>
      <c r="DP159" s="44" t="str">
        <f t="shared" si="2374"/>
        <v/>
      </c>
      <c r="DQ159" s="44" t="str">
        <f t="shared" si="2375"/>
        <v/>
      </c>
      <c r="DR159" s="44" t="str">
        <f t="shared" si="2376"/>
        <v/>
      </c>
      <c r="DS159" s="44" t="str">
        <f t="shared" si="2377"/>
        <v/>
      </c>
      <c r="DT159" s="44" t="str">
        <f t="shared" si="2378"/>
        <v/>
      </c>
      <c r="DU159" s="44" t="str">
        <f t="shared" si="2379"/>
        <v/>
      </c>
      <c r="DV159" s="44" t="str">
        <f t="shared" si="2380"/>
        <v/>
      </c>
      <c r="DW159" s="44" t="str">
        <f t="shared" si="2381"/>
        <v/>
      </c>
      <c r="DX159" s="44" t="str">
        <f t="shared" si="2382"/>
        <v/>
      </c>
      <c r="DY159" s="44" t="str">
        <f t="shared" si="2383"/>
        <v/>
      </c>
      <c r="DZ159" s="44" t="str">
        <f t="shared" si="2384"/>
        <v/>
      </c>
      <c r="EA159" s="44" t="str">
        <f t="shared" si="2385"/>
        <v/>
      </c>
      <c r="EB159" s="44" t="str">
        <f t="shared" si="2386"/>
        <v/>
      </c>
      <c r="EC159" s="44" t="str">
        <f t="shared" si="2387"/>
        <v/>
      </c>
      <c r="ED159" s="44" t="str">
        <f t="shared" si="2388"/>
        <v/>
      </c>
      <c r="EE159" s="44" t="str">
        <f t="shared" si="2389"/>
        <v/>
      </c>
      <c r="EF159" s="44" t="str">
        <f t="shared" si="2390"/>
        <v/>
      </c>
      <c r="EG159" s="44" t="str">
        <f t="shared" si="2391"/>
        <v/>
      </c>
      <c r="EH159" s="44" t="str">
        <f t="shared" si="2392"/>
        <v/>
      </c>
      <c r="EI159" s="44" t="str">
        <f t="shared" si="2393"/>
        <v/>
      </c>
      <c r="EJ159" s="44" t="str">
        <f t="shared" si="2394"/>
        <v/>
      </c>
      <c r="EK159" s="44" t="str">
        <f t="shared" si="2395"/>
        <v/>
      </c>
      <c r="EL159" s="44" t="str">
        <f t="shared" si="2396"/>
        <v/>
      </c>
      <c r="EM159" s="44" t="str">
        <f t="shared" si="2397"/>
        <v/>
      </c>
      <c r="EN159" s="44" t="str">
        <f t="shared" si="2398"/>
        <v/>
      </c>
      <c r="EO159" s="44" t="str">
        <f t="shared" si="2399"/>
        <v/>
      </c>
      <c r="EP159" s="44" t="str">
        <f t="shared" si="2400"/>
        <v/>
      </c>
      <c r="EQ159" s="44" t="str">
        <f t="shared" si="2401"/>
        <v/>
      </c>
      <c r="ER159" s="44" t="str">
        <f t="shared" si="2402"/>
        <v/>
      </c>
      <c r="ES159" s="44" t="str">
        <f t="shared" si="2403"/>
        <v/>
      </c>
      <c r="ET159" s="44" t="str">
        <f t="shared" si="2404"/>
        <v/>
      </c>
      <c r="EU159" s="44" t="str">
        <f t="shared" si="2405"/>
        <v/>
      </c>
      <c r="EV159" s="44" t="str">
        <f t="shared" si="2406"/>
        <v/>
      </c>
      <c r="EW159" s="44" t="str">
        <f t="shared" si="2407"/>
        <v/>
      </c>
      <c r="EX159" s="44" t="str">
        <f t="shared" si="2408"/>
        <v/>
      </c>
      <c r="EY159" s="44" t="str">
        <f t="shared" si="2409"/>
        <v/>
      </c>
      <c r="EZ159" s="44" t="str">
        <f t="shared" si="2410"/>
        <v/>
      </c>
      <c r="FA159" s="44" t="str">
        <f t="shared" si="2411"/>
        <v/>
      </c>
      <c r="FB159" s="44" t="str">
        <f t="shared" si="2412"/>
        <v/>
      </c>
      <c r="FC159" s="44" t="str">
        <f t="shared" si="2413"/>
        <v/>
      </c>
      <c r="FD159" s="44" t="str">
        <f t="shared" si="2414"/>
        <v/>
      </c>
      <c r="FE159" s="44" t="str">
        <f t="shared" si="2415"/>
        <v/>
      </c>
      <c r="FF159" s="44" t="str">
        <f t="shared" si="2416"/>
        <v/>
      </c>
      <c r="FG159" s="44" t="str">
        <f t="shared" si="2417"/>
        <v/>
      </c>
      <c r="FH159" s="44" t="str">
        <f t="shared" si="2418"/>
        <v/>
      </c>
      <c r="FI159" s="44" t="str">
        <f t="shared" si="2419"/>
        <v/>
      </c>
      <c r="FJ159" s="44" t="str">
        <f t="shared" si="2420"/>
        <v/>
      </c>
      <c r="FK159" s="44" t="str">
        <f t="shared" si="2421"/>
        <v/>
      </c>
      <c r="FL159" s="44" t="str">
        <f t="shared" si="2422"/>
        <v/>
      </c>
      <c r="FM159" s="44" t="str">
        <f t="shared" si="2423"/>
        <v/>
      </c>
      <c r="FN159" s="44" t="str">
        <f t="shared" si="2424"/>
        <v/>
      </c>
      <c r="FO159" s="44" t="str">
        <f t="shared" si="2425"/>
        <v/>
      </c>
      <c r="FP159" s="44" t="str">
        <f t="shared" si="2426"/>
        <v/>
      </c>
      <c r="FQ159" s="44" t="str">
        <f t="shared" si="2427"/>
        <v/>
      </c>
      <c r="FR159" s="44" t="str">
        <f t="shared" si="2428"/>
        <v/>
      </c>
      <c r="FS159" s="44" t="str">
        <f t="shared" si="2429"/>
        <v/>
      </c>
    </row>
    <row r="160" ht="15" spans="1:175">
      <c r="A160" s="5"/>
      <c r="B160" s="92" t="s">
        <v>551</v>
      </c>
      <c r="C160" s="93" t="s">
        <v>552</v>
      </c>
      <c r="T160" s="6" t="s">
        <v>553</v>
      </c>
      <c r="U160" s="60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72" t="str">
        <f t="shared" si="2358"/>
        <v>|n</v>
      </c>
      <c r="CV160" s="6" t="str">
        <f t="shared" si="2359"/>
        <v>在|Cffffd24d基地-周文王|r附近召唤|Cffffd24d1|r个|Cffffd24d黑市商店|r，仅存在|Cffffd24d30|r秒。</v>
      </c>
      <c r="CW160" s="7"/>
      <c r="CX160" s="7"/>
      <c r="CY160" s="7"/>
      <c r="CZ160" s="7"/>
      <c r="DA160" s="7"/>
      <c r="DB160" s="44" t="str">
        <f t="shared" si="2360"/>
        <v/>
      </c>
      <c r="DC160" s="44" t="str">
        <f t="shared" si="2361"/>
        <v/>
      </c>
      <c r="DD160" s="44" t="str">
        <f t="shared" si="2362"/>
        <v/>
      </c>
      <c r="DE160" s="44" t="str">
        <f t="shared" si="2363"/>
        <v/>
      </c>
      <c r="DF160" s="44" t="str">
        <f t="shared" si="2364"/>
        <v/>
      </c>
      <c r="DG160" s="44" t="str">
        <f t="shared" si="2365"/>
        <v/>
      </c>
      <c r="DH160" s="44" t="str">
        <f t="shared" si="2366"/>
        <v/>
      </c>
      <c r="DI160" s="44" t="str">
        <f t="shared" si="2367"/>
        <v/>
      </c>
      <c r="DJ160" s="44" t="str">
        <f t="shared" si="2368"/>
        <v/>
      </c>
      <c r="DK160" s="44" t="str">
        <f t="shared" si="2369"/>
        <v/>
      </c>
      <c r="DL160" s="44" t="str">
        <f t="shared" si="2370"/>
        <v/>
      </c>
      <c r="DM160" s="44" t="str">
        <f t="shared" si="2371"/>
        <v/>
      </c>
      <c r="DN160" s="44" t="str">
        <f t="shared" si="2372"/>
        <v/>
      </c>
      <c r="DO160" s="44" t="str">
        <f t="shared" si="2373"/>
        <v/>
      </c>
      <c r="DP160" s="44" t="str">
        <f t="shared" si="2374"/>
        <v/>
      </c>
      <c r="DQ160" s="44" t="str">
        <f t="shared" si="2375"/>
        <v/>
      </c>
      <c r="DR160" s="44" t="str">
        <f t="shared" si="2376"/>
        <v/>
      </c>
      <c r="DS160" s="44" t="str">
        <f t="shared" si="2377"/>
        <v/>
      </c>
      <c r="DT160" s="44" t="str">
        <f t="shared" si="2378"/>
        <v/>
      </c>
      <c r="DU160" s="44" t="str">
        <f t="shared" si="2379"/>
        <v/>
      </c>
      <c r="DV160" s="44" t="str">
        <f t="shared" si="2380"/>
        <v/>
      </c>
      <c r="DW160" s="44" t="str">
        <f t="shared" si="2381"/>
        <v/>
      </c>
      <c r="DX160" s="44" t="str">
        <f t="shared" si="2382"/>
        <v/>
      </c>
      <c r="DY160" s="44" t="str">
        <f t="shared" si="2383"/>
        <v/>
      </c>
      <c r="DZ160" s="44" t="str">
        <f t="shared" si="2384"/>
        <v/>
      </c>
      <c r="EA160" s="44" t="str">
        <f t="shared" si="2385"/>
        <v/>
      </c>
      <c r="EB160" s="44" t="str">
        <f t="shared" si="2386"/>
        <v/>
      </c>
      <c r="EC160" s="44" t="str">
        <f t="shared" si="2387"/>
        <v/>
      </c>
      <c r="ED160" s="44" t="str">
        <f t="shared" si="2388"/>
        <v/>
      </c>
      <c r="EE160" s="44" t="str">
        <f t="shared" si="2389"/>
        <v/>
      </c>
      <c r="EF160" s="44" t="str">
        <f t="shared" si="2390"/>
        <v/>
      </c>
      <c r="EG160" s="44" t="str">
        <f t="shared" si="2391"/>
        <v/>
      </c>
      <c r="EH160" s="44" t="str">
        <f t="shared" si="2392"/>
        <v/>
      </c>
      <c r="EI160" s="44" t="str">
        <f t="shared" si="2393"/>
        <v/>
      </c>
      <c r="EJ160" s="44" t="str">
        <f t="shared" si="2394"/>
        <v/>
      </c>
      <c r="EK160" s="44" t="str">
        <f t="shared" si="2395"/>
        <v/>
      </c>
      <c r="EL160" s="44" t="str">
        <f t="shared" si="2396"/>
        <v/>
      </c>
      <c r="EM160" s="44" t="str">
        <f t="shared" si="2397"/>
        <v/>
      </c>
      <c r="EN160" s="44" t="str">
        <f t="shared" si="2398"/>
        <v/>
      </c>
      <c r="EO160" s="44" t="str">
        <f t="shared" si="2399"/>
        <v/>
      </c>
      <c r="EP160" s="44" t="str">
        <f t="shared" si="2400"/>
        <v/>
      </c>
      <c r="EQ160" s="44" t="str">
        <f t="shared" si="2401"/>
        <v/>
      </c>
      <c r="ER160" s="44" t="str">
        <f t="shared" si="2402"/>
        <v/>
      </c>
      <c r="ES160" s="44" t="str">
        <f t="shared" si="2403"/>
        <v/>
      </c>
      <c r="ET160" s="44" t="str">
        <f t="shared" si="2404"/>
        <v/>
      </c>
      <c r="EU160" s="44" t="str">
        <f t="shared" si="2405"/>
        <v/>
      </c>
      <c r="EV160" s="44" t="str">
        <f t="shared" si="2406"/>
        <v/>
      </c>
      <c r="EW160" s="44" t="str">
        <f t="shared" si="2407"/>
        <v/>
      </c>
      <c r="EX160" s="44" t="str">
        <f t="shared" si="2408"/>
        <v/>
      </c>
      <c r="EY160" s="44" t="str">
        <f t="shared" si="2409"/>
        <v/>
      </c>
      <c r="EZ160" s="44" t="str">
        <f t="shared" si="2410"/>
        <v/>
      </c>
      <c r="FA160" s="44" t="str">
        <f t="shared" si="2411"/>
        <v/>
      </c>
      <c r="FB160" s="44" t="str">
        <f t="shared" si="2412"/>
        <v/>
      </c>
      <c r="FC160" s="44" t="str">
        <f t="shared" si="2413"/>
        <v/>
      </c>
      <c r="FD160" s="44" t="str">
        <f t="shared" si="2414"/>
        <v/>
      </c>
      <c r="FE160" s="44" t="str">
        <f t="shared" si="2415"/>
        <v/>
      </c>
      <c r="FF160" s="44" t="str">
        <f t="shared" si="2416"/>
        <v/>
      </c>
      <c r="FG160" s="44" t="str">
        <f t="shared" si="2417"/>
        <v/>
      </c>
      <c r="FH160" s="44" t="str">
        <f t="shared" si="2418"/>
        <v/>
      </c>
      <c r="FI160" s="44" t="str">
        <f t="shared" si="2419"/>
        <v/>
      </c>
      <c r="FJ160" s="44" t="str">
        <f t="shared" si="2420"/>
        <v/>
      </c>
      <c r="FK160" s="44" t="str">
        <f t="shared" si="2421"/>
        <v/>
      </c>
      <c r="FL160" s="44" t="str">
        <f t="shared" si="2422"/>
        <v/>
      </c>
      <c r="FM160" s="44" t="str">
        <f t="shared" si="2423"/>
        <v/>
      </c>
      <c r="FN160" s="44" t="str">
        <f t="shared" si="2424"/>
        <v/>
      </c>
      <c r="FO160" s="44" t="str">
        <f t="shared" si="2425"/>
        <v/>
      </c>
      <c r="FP160" s="44" t="str">
        <f t="shared" si="2426"/>
        <v/>
      </c>
      <c r="FQ160" s="44" t="str">
        <f t="shared" si="2427"/>
        <v/>
      </c>
      <c r="FR160" s="44" t="str">
        <f t="shared" si="2428"/>
        <v/>
      </c>
      <c r="FS160" s="44" t="str">
        <f t="shared" si="2429"/>
        <v/>
      </c>
    </row>
    <row r="161" ht="15" spans="1:175">
      <c r="A161" s="5"/>
      <c r="B161" s="92" t="s">
        <v>554</v>
      </c>
      <c r="C161" s="93" t="s">
        <v>555</v>
      </c>
      <c r="T161" s="6" t="s">
        <v>556</v>
      </c>
      <c r="U161" s="60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72" t="str">
        <f t="shared" si="1914"/>
        <v>|n</v>
      </c>
      <c r="CV161" s="6" t="str">
        <f t="shared" si="1915"/>
        <v>场上存活的队友|Cffffd24d10|r秒内提高|Cffffd24d30%|r法术伤害</v>
      </c>
      <c r="CW161" s="7"/>
      <c r="CX161" s="7"/>
      <c r="CY161" s="7"/>
      <c r="CZ161" s="7"/>
      <c r="DA161" s="7"/>
      <c r="DB161" s="44" t="str">
        <f t="shared" si="1916"/>
        <v/>
      </c>
      <c r="DC161" s="44" t="str">
        <f t="shared" si="1917"/>
        <v/>
      </c>
      <c r="DD161" s="44" t="str">
        <f t="shared" si="1918"/>
        <v/>
      </c>
      <c r="DE161" s="44" t="str">
        <f t="shared" si="1919"/>
        <v/>
      </c>
      <c r="DF161" s="44" t="str">
        <f t="shared" si="1920"/>
        <v/>
      </c>
      <c r="DG161" s="44" t="str">
        <f t="shared" si="1921"/>
        <v/>
      </c>
      <c r="DH161" s="44" t="str">
        <f t="shared" si="1922"/>
        <v/>
      </c>
      <c r="DI161" s="44" t="str">
        <f t="shared" si="1923"/>
        <v/>
      </c>
      <c r="DJ161" s="44" t="str">
        <f t="shared" si="1924"/>
        <v/>
      </c>
      <c r="DK161" s="44" t="str">
        <f t="shared" si="1925"/>
        <v/>
      </c>
      <c r="DL161" s="44" t="str">
        <f t="shared" si="1926"/>
        <v/>
      </c>
      <c r="DM161" s="44" t="str">
        <f t="shared" si="1927"/>
        <v/>
      </c>
      <c r="DN161" s="44" t="str">
        <f t="shared" si="1928"/>
        <v/>
      </c>
      <c r="DO161" s="44" t="str">
        <f t="shared" si="1929"/>
        <v/>
      </c>
      <c r="DP161" s="44" t="str">
        <f t="shared" si="1930"/>
        <v/>
      </c>
      <c r="DQ161" s="44" t="str">
        <f t="shared" si="1931"/>
        <v/>
      </c>
      <c r="DR161" s="44" t="str">
        <f t="shared" si="1932"/>
        <v/>
      </c>
      <c r="DS161" s="44" t="str">
        <f t="shared" si="1933"/>
        <v/>
      </c>
      <c r="DT161" s="44" t="str">
        <f t="shared" si="1934"/>
        <v/>
      </c>
      <c r="DU161" s="44" t="str">
        <f t="shared" si="1935"/>
        <v/>
      </c>
      <c r="DV161" s="44" t="str">
        <f t="shared" si="1936"/>
        <v/>
      </c>
      <c r="DW161" s="44" t="str">
        <f t="shared" si="1937"/>
        <v/>
      </c>
      <c r="DX161" s="44" t="str">
        <f t="shared" si="1938"/>
        <v/>
      </c>
      <c r="DY161" s="44" t="str">
        <f t="shared" si="1939"/>
        <v/>
      </c>
      <c r="DZ161" s="44" t="str">
        <f t="shared" si="1940"/>
        <v/>
      </c>
      <c r="EA161" s="44" t="str">
        <f t="shared" si="1941"/>
        <v/>
      </c>
      <c r="EB161" s="44" t="str">
        <f t="shared" si="1942"/>
        <v/>
      </c>
      <c r="EC161" s="44" t="str">
        <f t="shared" si="1943"/>
        <v/>
      </c>
      <c r="ED161" s="44" t="str">
        <f t="shared" si="1944"/>
        <v/>
      </c>
      <c r="EE161" s="44" t="str">
        <f t="shared" si="1945"/>
        <v/>
      </c>
      <c r="EF161" s="44" t="str">
        <f t="shared" si="1946"/>
        <v/>
      </c>
      <c r="EG161" s="44" t="str">
        <f t="shared" si="1947"/>
        <v/>
      </c>
      <c r="EH161" s="44" t="str">
        <f t="shared" si="1948"/>
        <v/>
      </c>
      <c r="EI161" s="44" t="str">
        <f t="shared" si="1949"/>
        <v/>
      </c>
      <c r="EJ161" s="44" t="str">
        <f t="shared" si="1950"/>
        <v/>
      </c>
      <c r="EK161" s="44" t="str">
        <f t="shared" si="1951"/>
        <v/>
      </c>
      <c r="EL161" s="44" t="str">
        <f t="shared" si="1952"/>
        <v/>
      </c>
      <c r="EM161" s="44" t="str">
        <f t="shared" si="1953"/>
        <v/>
      </c>
      <c r="EN161" s="44" t="str">
        <f t="shared" si="1954"/>
        <v/>
      </c>
      <c r="EO161" s="44" t="str">
        <f t="shared" si="1955"/>
        <v/>
      </c>
      <c r="EP161" s="44" t="str">
        <f t="shared" si="1956"/>
        <v/>
      </c>
      <c r="EQ161" s="44" t="str">
        <f t="shared" si="1957"/>
        <v/>
      </c>
      <c r="ER161" s="44" t="str">
        <f t="shared" si="1958"/>
        <v/>
      </c>
      <c r="ES161" s="44" t="str">
        <f t="shared" si="1959"/>
        <v/>
      </c>
      <c r="ET161" s="44" t="str">
        <f t="shared" si="1960"/>
        <v/>
      </c>
      <c r="EU161" s="44" t="str">
        <f t="shared" si="1961"/>
        <v/>
      </c>
      <c r="EV161" s="44" t="str">
        <f t="shared" si="1962"/>
        <v/>
      </c>
      <c r="EW161" s="44" t="str">
        <f t="shared" si="1963"/>
        <v/>
      </c>
      <c r="EX161" s="44" t="str">
        <f t="shared" si="1964"/>
        <v/>
      </c>
      <c r="EY161" s="44" t="str">
        <f t="shared" si="1965"/>
        <v/>
      </c>
      <c r="EZ161" s="44" t="str">
        <f t="shared" si="1966"/>
        <v/>
      </c>
      <c r="FA161" s="44" t="str">
        <f t="shared" si="1967"/>
        <v/>
      </c>
      <c r="FB161" s="44" t="str">
        <f t="shared" si="1968"/>
        <v/>
      </c>
      <c r="FC161" s="44" t="str">
        <f t="shared" si="1969"/>
        <v/>
      </c>
      <c r="FD161" s="44" t="str">
        <f t="shared" si="1970"/>
        <v/>
      </c>
      <c r="FE161" s="44" t="str">
        <f t="shared" si="1971"/>
        <v/>
      </c>
      <c r="FF161" s="44" t="str">
        <f t="shared" si="1972"/>
        <v/>
      </c>
      <c r="FG161" s="44" t="str">
        <f t="shared" si="1973"/>
        <v/>
      </c>
      <c r="FH161" s="44" t="str">
        <f t="shared" si="1974"/>
        <v/>
      </c>
      <c r="FI161" s="44" t="str">
        <f t="shared" si="1975"/>
        <v/>
      </c>
      <c r="FJ161" s="44" t="str">
        <f t="shared" si="1976"/>
        <v/>
      </c>
      <c r="FK161" s="44" t="str">
        <f t="shared" si="1977"/>
        <v/>
      </c>
      <c r="FL161" s="44" t="str">
        <f t="shared" si="1978"/>
        <v/>
      </c>
      <c r="FM161" s="44" t="str">
        <f t="shared" si="1979"/>
        <v/>
      </c>
      <c r="FN161" s="44" t="str">
        <f t="shared" si="1980"/>
        <v/>
      </c>
      <c r="FO161" s="44" t="str">
        <f t="shared" si="1981"/>
        <v/>
      </c>
      <c r="FP161" s="44" t="str">
        <f t="shared" si="1982"/>
        <v/>
      </c>
      <c r="FQ161" s="44" t="str">
        <f t="shared" si="1983"/>
        <v/>
      </c>
      <c r="FR161" s="44" t="str">
        <f t="shared" si="1984"/>
        <v/>
      </c>
      <c r="FS161" s="44" t="str">
        <f t="shared" si="1985"/>
        <v/>
      </c>
    </row>
    <row r="162" ht="15" spans="1:175">
      <c r="A162" s="5"/>
      <c r="B162" s="92" t="s">
        <v>557</v>
      </c>
      <c r="C162" s="93" t="s">
        <v>558</v>
      </c>
      <c r="T162" s="99" t="s">
        <v>559</v>
      </c>
      <c r="U162" s="60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72" t="str">
        <f t="shared" si="1914"/>
        <v>|n</v>
      </c>
      <c r="CV162" s="6" t="str">
        <f t="shared" si="1915"/>
        <v>使用后基地无敌|Cffffd24d5|r秒。</v>
      </c>
      <c r="CW162" s="7"/>
      <c r="CX162" s="7"/>
      <c r="CY162" s="7"/>
      <c r="CZ162" s="7"/>
      <c r="DA162" s="7"/>
      <c r="DB162" s="44" t="str">
        <f t="shared" si="1916"/>
        <v/>
      </c>
      <c r="DC162" s="44" t="str">
        <f t="shared" si="1917"/>
        <v/>
      </c>
      <c r="DD162" s="44" t="str">
        <f t="shared" si="1918"/>
        <v/>
      </c>
      <c r="DE162" s="44" t="str">
        <f t="shared" si="1919"/>
        <v/>
      </c>
      <c r="DF162" s="44" t="str">
        <f t="shared" si="1920"/>
        <v/>
      </c>
      <c r="DG162" s="44" t="str">
        <f t="shared" si="1921"/>
        <v/>
      </c>
      <c r="DH162" s="44" t="str">
        <f t="shared" si="1922"/>
        <v/>
      </c>
      <c r="DI162" s="44" t="str">
        <f t="shared" si="1923"/>
        <v/>
      </c>
      <c r="DJ162" s="44" t="str">
        <f t="shared" si="1924"/>
        <v/>
      </c>
      <c r="DK162" s="44" t="str">
        <f t="shared" si="1925"/>
        <v/>
      </c>
      <c r="DL162" s="44" t="str">
        <f t="shared" si="1926"/>
        <v/>
      </c>
      <c r="DM162" s="44" t="str">
        <f t="shared" si="1927"/>
        <v/>
      </c>
      <c r="DN162" s="44" t="str">
        <f t="shared" si="1928"/>
        <v/>
      </c>
      <c r="DO162" s="44" t="str">
        <f t="shared" si="1929"/>
        <v/>
      </c>
      <c r="DP162" s="44" t="str">
        <f t="shared" si="1930"/>
        <v/>
      </c>
      <c r="DQ162" s="44" t="str">
        <f t="shared" si="1931"/>
        <v/>
      </c>
      <c r="DR162" s="44" t="str">
        <f t="shared" si="1932"/>
        <v/>
      </c>
      <c r="DS162" s="44" t="str">
        <f t="shared" si="1933"/>
        <v/>
      </c>
      <c r="DT162" s="44" t="str">
        <f t="shared" si="1934"/>
        <v/>
      </c>
      <c r="DU162" s="44" t="str">
        <f t="shared" si="1935"/>
        <v/>
      </c>
      <c r="DV162" s="44" t="str">
        <f t="shared" si="1936"/>
        <v/>
      </c>
      <c r="DW162" s="44" t="str">
        <f t="shared" si="1937"/>
        <v/>
      </c>
      <c r="DX162" s="44" t="str">
        <f t="shared" si="1938"/>
        <v/>
      </c>
      <c r="DY162" s="44" t="str">
        <f t="shared" si="1939"/>
        <v/>
      </c>
      <c r="DZ162" s="44" t="str">
        <f t="shared" si="1940"/>
        <v/>
      </c>
      <c r="EA162" s="44" t="str">
        <f t="shared" si="1941"/>
        <v/>
      </c>
      <c r="EB162" s="44" t="str">
        <f t="shared" si="1942"/>
        <v/>
      </c>
      <c r="EC162" s="44" t="str">
        <f t="shared" si="1943"/>
        <v/>
      </c>
      <c r="ED162" s="44" t="str">
        <f t="shared" si="1944"/>
        <v/>
      </c>
      <c r="EE162" s="44" t="str">
        <f t="shared" si="1945"/>
        <v/>
      </c>
      <c r="EF162" s="44" t="str">
        <f t="shared" si="1946"/>
        <v/>
      </c>
      <c r="EG162" s="44" t="str">
        <f t="shared" si="1947"/>
        <v/>
      </c>
      <c r="EH162" s="44" t="str">
        <f t="shared" si="1948"/>
        <v/>
      </c>
      <c r="EI162" s="44" t="str">
        <f t="shared" si="1949"/>
        <v/>
      </c>
      <c r="EJ162" s="44" t="str">
        <f t="shared" si="1950"/>
        <v/>
      </c>
      <c r="EK162" s="44" t="str">
        <f t="shared" si="1951"/>
        <v/>
      </c>
      <c r="EL162" s="44" t="str">
        <f t="shared" si="1952"/>
        <v/>
      </c>
      <c r="EM162" s="44" t="str">
        <f t="shared" si="1953"/>
        <v/>
      </c>
      <c r="EN162" s="44" t="str">
        <f t="shared" si="1954"/>
        <v/>
      </c>
      <c r="EO162" s="44" t="str">
        <f t="shared" si="1955"/>
        <v/>
      </c>
      <c r="EP162" s="44" t="str">
        <f t="shared" si="1956"/>
        <v/>
      </c>
      <c r="EQ162" s="44" t="str">
        <f t="shared" si="1957"/>
        <v/>
      </c>
      <c r="ER162" s="44" t="str">
        <f t="shared" si="1958"/>
        <v/>
      </c>
      <c r="ES162" s="44" t="str">
        <f t="shared" si="1959"/>
        <v/>
      </c>
      <c r="ET162" s="44" t="str">
        <f t="shared" si="1960"/>
        <v/>
      </c>
      <c r="EU162" s="44" t="str">
        <f t="shared" si="1961"/>
        <v/>
      </c>
      <c r="EV162" s="44" t="str">
        <f t="shared" si="1962"/>
        <v/>
      </c>
      <c r="EW162" s="44" t="str">
        <f t="shared" si="1963"/>
        <v/>
      </c>
      <c r="EX162" s="44" t="str">
        <f t="shared" si="1964"/>
        <v/>
      </c>
      <c r="EY162" s="44" t="str">
        <f t="shared" si="1965"/>
        <v/>
      </c>
      <c r="EZ162" s="44" t="str">
        <f t="shared" si="1966"/>
        <v/>
      </c>
      <c r="FA162" s="44" t="str">
        <f t="shared" si="1967"/>
        <v/>
      </c>
      <c r="FB162" s="44" t="str">
        <f t="shared" si="1968"/>
        <v/>
      </c>
      <c r="FC162" s="44" t="str">
        <f t="shared" si="1969"/>
        <v/>
      </c>
      <c r="FD162" s="44" t="str">
        <f t="shared" si="1970"/>
        <v/>
      </c>
      <c r="FE162" s="44" t="str">
        <f t="shared" si="1971"/>
        <v/>
      </c>
      <c r="FF162" s="44" t="str">
        <f t="shared" si="1972"/>
        <v/>
      </c>
      <c r="FG162" s="44" t="str">
        <f t="shared" si="1973"/>
        <v/>
      </c>
      <c r="FH162" s="44" t="str">
        <f t="shared" si="1974"/>
        <v/>
      </c>
      <c r="FI162" s="44" t="str">
        <f t="shared" si="1975"/>
        <v/>
      </c>
      <c r="FJ162" s="44" t="str">
        <f t="shared" si="1976"/>
        <v/>
      </c>
      <c r="FK162" s="44" t="str">
        <f t="shared" si="1977"/>
        <v/>
      </c>
      <c r="FL162" s="44" t="str">
        <f t="shared" si="1978"/>
        <v/>
      </c>
      <c r="FM162" s="44" t="str">
        <f t="shared" si="1979"/>
        <v/>
      </c>
      <c r="FN162" s="44" t="str">
        <f t="shared" si="1980"/>
        <v/>
      </c>
      <c r="FO162" s="44" t="str">
        <f t="shared" si="1981"/>
        <v/>
      </c>
      <c r="FP162" s="44" t="str">
        <f t="shared" si="1982"/>
        <v/>
      </c>
      <c r="FQ162" s="44" t="str">
        <f t="shared" si="1983"/>
        <v/>
      </c>
      <c r="FR162" s="44" t="str">
        <f t="shared" si="1984"/>
        <v/>
      </c>
      <c r="FS162" s="44" t="str">
        <f t="shared" si="1985"/>
        <v/>
      </c>
    </row>
    <row r="163" ht="27.6" spans="1:175">
      <c r="A163" s="5"/>
      <c r="B163" s="92" t="s">
        <v>560</v>
      </c>
      <c r="C163" s="93" t="s">
        <v>561</v>
      </c>
      <c r="T163" s="100" t="s">
        <v>562</v>
      </c>
      <c r="U163" s="60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72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场上存活的队友|Cffffd24d10|r秒内减少|Cffffd24d20%|r承受伤害</v>
      </c>
      <c r="CW163" s="7"/>
      <c r="CX163" s="7"/>
      <c r="CY163" s="7"/>
      <c r="CZ163" s="7"/>
      <c r="DA163" s="7"/>
      <c r="DB163" s="44" t="str">
        <f t="shared" ref="DB163:DB165" si="2432">IF(V163="","","|n"&amp;DB$2&amp;"+"&amp;V163&amp;DB$1)</f>
        <v/>
      </c>
      <c r="DC163" s="44" t="str">
        <f t="shared" ref="DC163:DC165" si="2433">IF(W163="","","|n"&amp;DC$2&amp;"+"&amp;W163&amp;DC$1)</f>
        <v/>
      </c>
      <c r="DD163" s="44" t="str">
        <f t="shared" ref="DD163:DD165" si="2434">IF(X163="","","|n"&amp;DD$2&amp;"+"&amp;X163&amp;DD$1)</f>
        <v/>
      </c>
      <c r="DE163" s="44" t="str">
        <f t="shared" ref="DE163:DE165" si="2435">IF(Y163="","","|n"&amp;DE$2&amp;"+"&amp;Y163&amp;DE$1)</f>
        <v/>
      </c>
      <c r="DF163" s="44" t="str">
        <f t="shared" ref="DF163:DF165" si="2436">IF(Z163="","","|n"&amp;DF$2&amp;"+"&amp;Z163&amp;DF$1)</f>
        <v/>
      </c>
      <c r="DG163" s="44" t="str">
        <f t="shared" ref="DG163:DG165" si="2437">IF(AA163="","","|n"&amp;DG$2&amp;"+"&amp;AA163&amp;DG$1)</f>
        <v/>
      </c>
      <c r="DH163" s="44" t="str">
        <f t="shared" ref="DH163:DH165" si="2438">IF(AB163="","","|n"&amp;DH$2&amp;"+"&amp;AB163&amp;DH$1)</f>
        <v/>
      </c>
      <c r="DI163" s="44" t="str">
        <f t="shared" ref="DI163:DI165" si="2439">IF(AC163="","","|n"&amp;DI$2&amp;"+"&amp;AC163&amp;DI$1)</f>
        <v/>
      </c>
      <c r="DJ163" s="44" t="str">
        <f t="shared" ref="DJ163:DJ165" si="2440">IF(AD163="","","|n"&amp;DJ$2&amp;"+"&amp;AD163&amp;DJ$1)</f>
        <v/>
      </c>
      <c r="DK163" s="44" t="str">
        <f t="shared" ref="DK163:DK165" si="2441">IF(AE163="","","|n"&amp;DK$2&amp;"+"&amp;AE163&amp;DK$1)</f>
        <v/>
      </c>
      <c r="DL163" s="44" t="str">
        <f t="shared" ref="DL163:DL165" si="2442">IF(AF163="","","|n"&amp;DL$2&amp;"+"&amp;AF163&amp;DL$1)</f>
        <v/>
      </c>
      <c r="DM163" s="44" t="str">
        <f t="shared" ref="DM163:DM165" si="2443">IF(AG163="","","|n"&amp;DM$2&amp;"+"&amp;AG163&amp;DM$1)</f>
        <v/>
      </c>
      <c r="DN163" s="44" t="str">
        <f t="shared" ref="DN163:DN165" si="2444">IF(AH163="","","|n"&amp;DN$2&amp;"+"&amp;AH163&amp;DN$1)</f>
        <v/>
      </c>
      <c r="DO163" s="44" t="str">
        <f t="shared" ref="DO163:DO165" si="2445">IF(AI163="","","|n"&amp;DO$2&amp;"+"&amp;AI163&amp;DO$1)</f>
        <v/>
      </c>
      <c r="DP163" s="44" t="str">
        <f t="shared" ref="DP163:DP165" si="2446">IF(AJ163="","","|n"&amp;DP$2&amp;"+"&amp;AJ163&amp;DP$1)</f>
        <v/>
      </c>
      <c r="DQ163" s="44" t="str">
        <f t="shared" ref="DQ163:DQ165" si="2447">IF(AK163="","","|n"&amp;DQ$2&amp;"+"&amp;AK163&amp;DQ$1)</f>
        <v/>
      </c>
      <c r="DR163" s="44" t="str">
        <f t="shared" ref="DR163:DR165" si="2448">IF(AL163="","","|n"&amp;DR$2&amp;"+"&amp;AL163&amp;DR$1)</f>
        <v/>
      </c>
      <c r="DS163" s="44" t="str">
        <f t="shared" ref="DS163:DS165" si="2449">IF(AM163="","","|n"&amp;DS$2&amp;"+"&amp;AM163&amp;DS$1)</f>
        <v/>
      </c>
      <c r="DT163" s="44" t="str">
        <f t="shared" ref="DT163:DT165" si="2450">IF(AN163="","","|n"&amp;DT$2&amp;"+"&amp;AN163&amp;DT$1)</f>
        <v/>
      </c>
      <c r="DU163" s="44" t="str">
        <f t="shared" ref="DU163:DU165" si="2451">IF(AO163="","","|n"&amp;DU$2&amp;"+"&amp;AO163&amp;DU$1)</f>
        <v/>
      </c>
      <c r="DV163" s="44" t="str">
        <f t="shared" ref="DV163:DV165" si="2452">IF(AP163="","","|n"&amp;DV$2&amp;"+"&amp;AP163&amp;DV$1)</f>
        <v/>
      </c>
      <c r="DW163" s="44" t="str">
        <f t="shared" ref="DW163:DW165" si="2453">IF(AQ163="","","|n"&amp;DW$2&amp;"+"&amp;AQ163&amp;DW$1)</f>
        <v/>
      </c>
      <c r="DX163" s="44" t="str">
        <f t="shared" ref="DX163:DX165" si="2454">IF(AR163="","","|n"&amp;DX$2&amp;"+"&amp;AR163&amp;DX$1)</f>
        <v/>
      </c>
      <c r="DY163" s="44" t="str">
        <f t="shared" ref="DY163:DY165" si="2455">IF(AS163="","","|n"&amp;DY$2&amp;"+"&amp;AS163&amp;DY$1)</f>
        <v/>
      </c>
      <c r="DZ163" s="44" t="str">
        <f t="shared" ref="DZ163:DZ165" si="2456">IF(AT163="","","|n"&amp;DZ$2&amp;"+"&amp;AT163&amp;DZ$1)</f>
        <v/>
      </c>
      <c r="EA163" s="44" t="str">
        <f t="shared" ref="EA163:EA165" si="2457">IF(AU163="","","|n"&amp;EA$2&amp;"+"&amp;AU163&amp;EA$1)</f>
        <v/>
      </c>
      <c r="EB163" s="44" t="str">
        <f t="shared" ref="EB163:EB165" si="2458">IF(AV163="","","|n"&amp;EB$2&amp;"+"&amp;AV163&amp;EB$1)</f>
        <v/>
      </c>
      <c r="EC163" s="44" t="str">
        <f t="shared" ref="EC163:EC165" si="2459">IF(AW163="","","|n"&amp;EC$2&amp;"+"&amp;AW163&amp;EC$1)</f>
        <v/>
      </c>
      <c r="ED163" s="44" t="str">
        <f t="shared" ref="ED163:ED165" si="2460">IF(AX163="","","|n"&amp;ED$2&amp;"+"&amp;AX163&amp;ED$1)</f>
        <v/>
      </c>
      <c r="EE163" s="44" t="str">
        <f t="shared" ref="EE163:EE165" si="2461">IF(AY163="","","|n"&amp;EE$2&amp;"+"&amp;AY163&amp;EE$1)</f>
        <v/>
      </c>
      <c r="EF163" s="44" t="str">
        <f t="shared" ref="EF163:EF165" si="2462">IF(AZ163="","","|n"&amp;EF$2&amp;"+"&amp;AZ163&amp;EF$1)</f>
        <v/>
      </c>
      <c r="EG163" s="44" t="str">
        <f t="shared" ref="EG163:EG165" si="2463">IF(BA163="","","|n"&amp;EG$2&amp;"+"&amp;BA163&amp;EG$1)</f>
        <v/>
      </c>
      <c r="EH163" s="44" t="str">
        <f t="shared" ref="EH163:EH165" si="2464">IF(BB163="","","|n"&amp;EH$2&amp;"+"&amp;BB163&amp;EH$1)</f>
        <v/>
      </c>
      <c r="EI163" s="44" t="str">
        <f t="shared" ref="EI163:EI165" si="2465">IF(BC163="","","|n"&amp;EI$2&amp;"+"&amp;BC163&amp;EI$1)</f>
        <v/>
      </c>
      <c r="EJ163" s="44" t="str">
        <f t="shared" ref="EJ163:EJ165" si="2466">IF(BD163="","","|n"&amp;EJ$2&amp;"+"&amp;BD163&amp;EJ$1)</f>
        <v/>
      </c>
      <c r="EK163" s="44" t="str">
        <f t="shared" ref="EK163:EK165" si="2467">IF(BE163="","","|n"&amp;EK$2&amp;"+"&amp;BE163&amp;EK$1)</f>
        <v/>
      </c>
      <c r="EL163" s="44" t="str">
        <f t="shared" ref="EL163:EL165" si="2468">IF(BF163="","","|n"&amp;EL$2&amp;"+"&amp;BF163&amp;EL$1)</f>
        <v/>
      </c>
      <c r="EM163" s="44" t="str">
        <f t="shared" ref="EM163:EM165" si="2469">IF(BG163="","","|n"&amp;EM$2&amp;"+"&amp;BG163&amp;EM$1)</f>
        <v/>
      </c>
      <c r="EN163" s="44" t="str">
        <f t="shared" ref="EN163:EN165" si="2470">IF(BH163="","","|n"&amp;EN$2&amp;"+"&amp;BH163&amp;EN$1)</f>
        <v/>
      </c>
      <c r="EO163" s="44" t="str">
        <f t="shared" ref="EO163:EO165" si="2471">IF(BI163="","","|n"&amp;EO$2&amp;"+"&amp;BI163&amp;EO$1)</f>
        <v/>
      </c>
      <c r="EP163" s="44" t="str">
        <f t="shared" ref="EP163:EP165" si="2472">IF(BJ163="","","|n"&amp;EP$2&amp;"+"&amp;BJ163&amp;EP$1)</f>
        <v/>
      </c>
      <c r="EQ163" s="44" t="str">
        <f t="shared" ref="EQ163:EQ165" si="2473">IF(BK163="","","|n"&amp;EQ$2&amp;"+"&amp;BK163&amp;EQ$1)</f>
        <v/>
      </c>
      <c r="ER163" s="44" t="str">
        <f t="shared" ref="ER163:ER165" si="2474">IF(BL163="","","|n"&amp;ER$2&amp;"+"&amp;BL163&amp;ER$1)</f>
        <v/>
      </c>
      <c r="ES163" s="44" t="str">
        <f t="shared" ref="ES163:ES165" si="2475">IF(BM163="","","|n"&amp;ES$2&amp;"+"&amp;BM163&amp;ES$1)</f>
        <v/>
      </c>
      <c r="ET163" s="44" t="str">
        <f t="shared" ref="ET163:ET165" si="2476">IF(BN163="","","|n"&amp;ET$2&amp;"+"&amp;BN163&amp;ET$1)</f>
        <v/>
      </c>
      <c r="EU163" s="44" t="str">
        <f t="shared" ref="EU163:EU165" si="2477">IF(BO163="","","|n"&amp;EU$2&amp;"+"&amp;BO163&amp;EU$1)</f>
        <v/>
      </c>
      <c r="EV163" s="44" t="str">
        <f t="shared" ref="EV163:EV165" si="2478">IF(BP163="","","|n"&amp;EV$2&amp;"+"&amp;BP163&amp;EV$1)</f>
        <v/>
      </c>
      <c r="EW163" s="44" t="str">
        <f t="shared" ref="EW163:EW165" si="2479">IF(BQ163="","","|n"&amp;EW$2&amp;"+"&amp;BQ163&amp;EW$1)</f>
        <v/>
      </c>
      <c r="EX163" s="44" t="str">
        <f t="shared" ref="EX163:EX165" si="2480">IF(BR163="","","|n"&amp;EX$2&amp;"+"&amp;BR163&amp;EX$1)</f>
        <v/>
      </c>
      <c r="EY163" s="44" t="str">
        <f t="shared" ref="EY163:EY165" si="2481">IF(BS163="","","|n"&amp;EY$2&amp;"+"&amp;BS163&amp;EY$1)</f>
        <v/>
      </c>
      <c r="EZ163" s="44" t="str">
        <f t="shared" ref="EZ163:EZ165" si="2482">IF(BT163="","","|n"&amp;EZ$2&amp;"+"&amp;BT163&amp;EZ$1)</f>
        <v/>
      </c>
      <c r="FA163" s="44" t="str">
        <f t="shared" ref="FA163:FA165" si="2483">IF(BU163="","","|n"&amp;FA$2&amp;"+"&amp;BU163&amp;FA$1)</f>
        <v/>
      </c>
      <c r="FB163" s="44" t="str">
        <f t="shared" ref="FB163:FB165" si="2484">IF(BV163="","","|n"&amp;FB$2&amp;"+"&amp;BV163&amp;FB$1)</f>
        <v/>
      </c>
      <c r="FC163" s="44" t="str">
        <f t="shared" ref="FC163:FC165" si="2485">IF(BW163="","","|n"&amp;FC$2&amp;"+"&amp;BW163&amp;FC$1)</f>
        <v/>
      </c>
      <c r="FD163" s="44" t="str">
        <f t="shared" ref="FD163:FD165" si="2486">IF(BX163="","","|n"&amp;FD$2&amp;"+"&amp;BX163&amp;FD$1)</f>
        <v/>
      </c>
      <c r="FE163" s="44" t="str">
        <f t="shared" ref="FE163:FE165" si="2487">IF(BY163="","","|n"&amp;FE$2&amp;"+"&amp;BY163&amp;FE$1)</f>
        <v/>
      </c>
      <c r="FF163" s="44" t="str">
        <f t="shared" ref="FF163:FF165" si="2488">IF(BZ163="","","|n"&amp;FF$2&amp;"+"&amp;BZ163&amp;FF$1)</f>
        <v/>
      </c>
      <c r="FG163" s="44" t="str">
        <f t="shared" ref="FG163:FG165" si="2489">IF(CA163="","","|n"&amp;FG$2&amp;"+"&amp;CA163&amp;FG$1)</f>
        <v/>
      </c>
      <c r="FH163" s="44" t="str">
        <f t="shared" ref="FH163:FH165" si="2490">IF(CB163="","","|n"&amp;FH$2&amp;"+"&amp;CB163&amp;FH$1)</f>
        <v/>
      </c>
      <c r="FI163" s="44" t="str">
        <f t="shared" ref="FI163:FI165" si="2491">IF(CC163="","","|n"&amp;FI$2&amp;"+"&amp;CC163&amp;FI$1)</f>
        <v/>
      </c>
      <c r="FJ163" s="44" t="str">
        <f t="shared" ref="FJ163:FJ165" si="2492">IF(CD163="","","|n"&amp;FJ$2&amp;"+"&amp;CD163&amp;FJ$1)</f>
        <v/>
      </c>
      <c r="FK163" s="44" t="str">
        <f t="shared" ref="FK163:FK165" si="2493">IF(CE163="","","|n"&amp;FK$2&amp;"+"&amp;CE163&amp;FK$1)</f>
        <v/>
      </c>
      <c r="FL163" s="44" t="str">
        <f t="shared" ref="FL163:FL165" si="2494">IF(CF163="","","|n"&amp;FL$2&amp;"+"&amp;CF163&amp;FL$1)</f>
        <v/>
      </c>
      <c r="FM163" s="44" t="str">
        <f t="shared" ref="FM163:FM165" si="2495">IF(CG163="","","|n"&amp;FM$2&amp;"+"&amp;CG163&amp;FM$1)</f>
        <v/>
      </c>
      <c r="FN163" s="44" t="str">
        <f t="shared" ref="FN163:FN165" si="2496">IF(CH163="","","|n"&amp;FN$2&amp;"+"&amp;CH163&amp;FN$1)</f>
        <v/>
      </c>
      <c r="FO163" s="44" t="str">
        <f t="shared" ref="FO163:FO165" si="2497">IF(CI163="","","|n"&amp;FO$2&amp;"+"&amp;CI163&amp;FO$1)</f>
        <v/>
      </c>
      <c r="FP163" s="44" t="str">
        <f t="shared" ref="FP163:FP165" si="2498">IF(CJ163="","","|n"&amp;FP$2&amp;"+"&amp;CJ163&amp;FP$1)</f>
        <v/>
      </c>
      <c r="FQ163" s="44" t="str">
        <f t="shared" ref="FQ163:FQ165" si="2499">IF(CK163="","","|n"&amp;FQ$2&amp;"+"&amp;CK163&amp;FQ$1)</f>
        <v/>
      </c>
      <c r="FR163" s="44" t="str">
        <f t="shared" ref="FR163:FR165" si="2500">IF(CL163="","","|n"&amp;FR$2&amp;"+"&amp;CL163&amp;FR$1)</f>
        <v/>
      </c>
      <c r="FS163" s="44" t="str">
        <f t="shared" ref="FS163:FS165" si="2501">IF(CM163="","","|n"&amp;FS$2&amp;"+"&amp;CM163&amp;FS$1)</f>
        <v/>
      </c>
    </row>
    <row r="164" ht="41.4" spans="1:175">
      <c r="A164" s="5"/>
      <c r="B164" s="92" t="s">
        <v>563</v>
      </c>
      <c r="C164" s="92" t="s">
        <v>564</v>
      </c>
      <c r="T164" s="99" t="s">
        <v>565</v>
      </c>
      <c r="U164" s="60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72" t="str">
        <f t="shared" si="2430"/>
        <v>|n</v>
      </c>
      <c r="CV164" s="6" t="str">
        <f t="shared" si="2431"/>
        <v>使|Cffffd24d1|r个|Cffffd24d道果品质|r提高|Cffffd24d-1~+2|r。|n|n|Cff00ff7f只能对天级【7】或以下的道果使用|r</v>
      </c>
      <c r="CW164" s="7"/>
      <c r="CX164" s="7"/>
      <c r="CY164" s="7"/>
      <c r="CZ164" s="7"/>
      <c r="DA164" s="7"/>
      <c r="DB164" s="44" t="str">
        <f t="shared" si="2432"/>
        <v/>
      </c>
      <c r="DC164" s="44" t="str">
        <f t="shared" si="2433"/>
        <v/>
      </c>
      <c r="DD164" s="44" t="str">
        <f t="shared" si="2434"/>
        <v/>
      </c>
      <c r="DE164" s="44" t="str">
        <f t="shared" si="2435"/>
        <v/>
      </c>
      <c r="DF164" s="44" t="str">
        <f t="shared" si="2436"/>
        <v/>
      </c>
      <c r="DG164" s="44" t="str">
        <f t="shared" si="2437"/>
        <v/>
      </c>
      <c r="DH164" s="44" t="str">
        <f t="shared" si="2438"/>
        <v/>
      </c>
      <c r="DI164" s="44" t="str">
        <f t="shared" si="2439"/>
        <v/>
      </c>
      <c r="DJ164" s="44" t="str">
        <f t="shared" si="2440"/>
        <v/>
      </c>
      <c r="DK164" s="44" t="str">
        <f t="shared" si="2441"/>
        <v/>
      </c>
      <c r="DL164" s="44" t="str">
        <f t="shared" si="2442"/>
        <v/>
      </c>
      <c r="DM164" s="44" t="str">
        <f t="shared" si="2443"/>
        <v/>
      </c>
      <c r="DN164" s="44" t="str">
        <f t="shared" si="2444"/>
        <v/>
      </c>
      <c r="DO164" s="44" t="str">
        <f t="shared" si="2445"/>
        <v/>
      </c>
      <c r="DP164" s="44" t="str">
        <f t="shared" si="2446"/>
        <v/>
      </c>
      <c r="DQ164" s="44" t="str">
        <f t="shared" si="2447"/>
        <v/>
      </c>
      <c r="DR164" s="44" t="str">
        <f t="shared" si="2448"/>
        <v/>
      </c>
      <c r="DS164" s="44" t="str">
        <f t="shared" si="2449"/>
        <v/>
      </c>
      <c r="DT164" s="44" t="str">
        <f t="shared" si="2450"/>
        <v/>
      </c>
      <c r="DU164" s="44" t="str">
        <f t="shared" si="2451"/>
        <v/>
      </c>
      <c r="DV164" s="44" t="str">
        <f t="shared" si="2452"/>
        <v/>
      </c>
      <c r="DW164" s="44" t="str">
        <f t="shared" si="2453"/>
        <v/>
      </c>
      <c r="DX164" s="44" t="str">
        <f t="shared" si="2454"/>
        <v/>
      </c>
      <c r="DY164" s="44" t="str">
        <f t="shared" si="2455"/>
        <v/>
      </c>
      <c r="DZ164" s="44" t="str">
        <f t="shared" si="2456"/>
        <v/>
      </c>
      <c r="EA164" s="44" t="str">
        <f t="shared" si="2457"/>
        <v/>
      </c>
      <c r="EB164" s="44" t="str">
        <f t="shared" si="2458"/>
        <v/>
      </c>
      <c r="EC164" s="44" t="str">
        <f t="shared" si="2459"/>
        <v/>
      </c>
      <c r="ED164" s="44" t="str">
        <f t="shared" si="2460"/>
        <v/>
      </c>
      <c r="EE164" s="44" t="str">
        <f t="shared" si="2461"/>
        <v/>
      </c>
      <c r="EF164" s="44" t="str">
        <f t="shared" si="2462"/>
        <v/>
      </c>
      <c r="EG164" s="44" t="str">
        <f t="shared" si="2463"/>
        <v/>
      </c>
      <c r="EH164" s="44" t="str">
        <f t="shared" si="2464"/>
        <v/>
      </c>
      <c r="EI164" s="44" t="str">
        <f t="shared" si="2465"/>
        <v/>
      </c>
      <c r="EJ164" s="44" t="str">
        <f t="shared" si="2466"/>
        <v/>
      </c>
      <c r="EK164" s="44" t="str">
        <f t="shared" si="2467"/>
        <v/>
      </c>
      <c r="EL164" s="44" t="str">
        <f t="shared" si="2468"/>
        <v/>
      </c>
      <c r="EM164" s="44" t="str">
        <f t="shared" si="2469"/>
        <v/>
      </c>
      <c r="EN164" s="44" t="str">
        <f t="shared" si="2470"/>
        <v/>
      </c>
      <c r="EO164" s="44" t="str">
        <f t="shared" si="2471"/>
        <v/>
      </c>
      <c r="EP164" s="44" t="str">
        <f t="shared" si="2472"/>
        <v/>
      </c>
      <c r="EQ164" s="44" t="str">
        <f t="shared" si="2473"/>
        <v/>
      </c>
      <c r="ER164" s="44" t="str">
        <f t="shared" si="2474"/>
        <v/>
      </c>
      <c r="ES164" s="44" t="str">
        <f t="shared" si="2475"/>
        <v/>
      </c>
      <c r="ET164" s="44" t="str">
        <f t="shared" si="2476"/>
        <v/>
      </c>
      <c r="EU164" s="44" t="str">
        <f t="shared" si="2477"/>
        <v/>
      </c>
      <c r="EV164" s="44" t="str">
        <f t="shared" si="2478"/>
        <v/>
      </c>
      <c r="EW164" s="44" t="str">
        <f t="shared" si="2479"/>
        <v/>
      </c>
      <c r="EX164" s="44" t="str">
        <f t="shared" si="2480"/>
        <v/>
      </c>
      <c r="EY164" s="44" t="str">
        <f t="shared" si="2481"/>
        <v/>
      </c>
      <c r="EZ164" s="44" t="str">
        <f t="shared" si="2482"/>
        <v/>
      </c>
      <c r="FA164" s="44" t="str">
        <f t="shared" si="2483"/>
        <v/>
      </c>
      <c r="FB164" s="44" t="str">
        <f t="shared" si="2484"/>
        <v/>
      </c>
      <c r="FC164" s="44" t="str">
        <f t="shared" si="2485"/>
        <v/>
      </c>
      <c r="FD164" s="44" t="str">
        <f t="shared" si="2486"/>
        <v/>
      </c>
      <c r="FE164" s="44" t="str">
        <f t="shared" si="2487"/>
        <v/>
      </c>
      <c r="FF164" s="44" t="str">
        <f t="shared" si="2488"/>
        <v/>
      </c>
      <c r="FG164" s="44" t="str">
        <f t="shared" si="2489"/>
        <v/>
      </c>
      <c r="FH164" s="44" t="str">
        <f t="shared" si="2490"/>
        <v/>
      </c>
      <c r="FI164" s="44" t="str">
        <f t="shared" si="2491"/>
        <v/>
      </c>
      <c r="FJ164" s="44" t="str">
        <f t="shared" si="2492"/>
        <v/>
      </c>
      <c r="FK164" s="44" t="str">
        <f t="shared" si="2493"/>
        <v/>
      </c>
      <c r="FL164" s="44" t="str">
        <f t="shared" si="2494"/>
        <v/>
      </c>
      <c r="FM164" s="44" t="str">
        <f t="shared" si="2495"/>
        <v/>
      </c>
      <c r="FN164" s="44" t="str">
        <f t="shared" si="2496"/>
        <v/>
      </c>
      <c r="FO164" s="44" t="str">
        <f t="shared" si="2497"/>
        <v/>
      </c>
      <c r="FP164" s="44" t="str">
        <f t="shared" si="2498"/>
        <v/>
      </c>
      <c r="FQ164" s="44" t="str">
        <f t="shared" si="2499"/>
        <v/>
      </c>
      <c r="FR164" s="44" t="str">
        <f t="shared" si="2500"/>
        <v/>
      </c>
      <c r="FS164" s="44" t="str">
        <f t="shared" si="2501"/>
        <v/>
      </c>
    </row>
    <row r="165" ht="15" spans="1:175">
      <c r="A165" s="5"/>
      <c r="B165" s="92" t="s">
        <v>566</v>
      </c>
      <c r="C165" s="93" t="s">
        <v>567</v>
      </c>
      <c r="T165" s="6" t="s">
        <v>568</v>
      </c>
      <c r="U165" s="60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72" t="str">
        <f t="shared" si="2430"/>
        <v>|n</v>
      </c>
      <c r="CV165" s="6" t="str">
        <f t="shared" si="2431"/>
        <v>玄铁|Cffffd24d+5~50|r</v>
      </c>
      <c r="CW165" s="7"/>
      <c r="CX165" s="7"/>
      <c r="CY165" s="7"/>
      <c r="CZ165" s="7"/>
      <c r="DA165" s="7"/>
      <c r="DB165" s="44" t="str">
        <f t="shared" si="2432"/>
        <v/>
      </c>
      <c r="DC165" s="44" t="str">
        <f t="shared" si="2433"/>
        <v/>
      </c>
      <c r="DD165" s="44" t="str">
        <f t="shared" si="2434"/>
        <v/>
      </c>
      <c r="DE165" s="44" t="str">
        <f t="shared" si="2435"/>
        <v/>
      </c>
      <c r="DF165" s="44" t="str">
        <f t="shared" si="2436"/>
        <v/>
      </c>
      <c r="DG165" s="44" t="str">
        <f t="shared" si="2437"/>
        <v/>
      </c>
      <c r="DH165" s="44" t="str">
        <f t="shared" si="2438"/>
        <v/>
      </c>
      <c r="DI165" s="44" t="str">
        <f t="shared" si="2439"/>
        <v/>
      </c>
      <c r="DJ165" s="44" t="str">
        <f t="shared" si="2440"/>
        <v/>
      </c>
      <c r="DK165" s="44" t="str">
        <f t="shared" si="2441"/>
        <v/>
      </c>
      <c r="DL165" s="44" t="str">
        <f t="shared" si="2442"/>
        <v/>
      </c>
      <c r="DM165" s="44" t="str">
        <f t="shared" si="2443"/>
        <v/>
      </c>
      <c r="DN165" s="44" t="str">
        <f t="shared" si="2444"/>
        <v/>
      </c>
      <c r="DO165" s="44" t="str">
        <f t="shared" si="2445"/>
        <v/>
      </c>
      <c r="DP165" s="44" t="str">
        <f t="shared" si="2446"/>
        <v/>
      </c>
      <c r="DQ165" s="44" t="str">
        <f t="shared" si="2447"/>
        <v/>
      </c>
      <c r="DR165" s="44" t="str">
        <f t="shared" si="2448"/>
        <v/>
      </c>
      <c r="DS165" s="44" t="str">
        <f t="shared" si="2449"/>
        <v/>
      </c>
      <c r="DT165" s="44" t="str">
        <f t="shared" si="2450"/>
        <v/>
      </c>
      <c r="DU165" s="44" t="str">
        <f t="shared" si="2451"/>
        <v/>
      </c>
      <c r="DV165" s="44" t="str">
        <f t="shared" si="2452"/>
        <v/>
      </c>
      <c r="DW165" s="44" t="str">
        <f t="shared" si="2453"/>
        <v/>
      </c>
      <c r="DX165" s="44" t="str">
        <f t="shared" si="2454"/>
        <v/>
      </c>
      <c r="DY165" s="44" t="str">
        <f t="shared" si="2455"/>
        <v/>
      </c>
      <c r="DZ165" s="44" t="str">
        <f t="shared" si="2456"/>
        <v/>
      </c>
      <c r="EA165" s="44" t="str">
        <f t="shared" si="2457"/>
        <v/>
      </c>
      <c r="EB165" s="44" t="str">
        <f t="shared" si="2458"/>
        <v/>
      </c>
      <c r="EC165" s="44" t="str">
        <f t="shared" si="2459"/>
        <v/>
      </c>
      <c r="ED165" s="44" t="str">
        <f t="shared" si="2460"/>
        <v/>
      </c>
      <c r="EE165" s="44" t="str">
        <f t="shared" si="2461"/>
        <v/>
      </c>
      <c r="EF165" s="44" t="str">
        <f t="shared" si="2462"/>
        <v/>
      </c>
      <c r="EG165" s="44" t="str">
        <f t="shared" si="2463"/>
        <v/>
      </c>
      <c r="EH165" s="44" t="str">
        <f t="shared" si="2464"/>
        <v/>
      </c>
      <c r="EI165" s="44" t="str">
        <f t="shared" si="2465"/>
        <v/>
      </c>
      <c r="EJ165" s="44" t="str">
        <f t="shared" si="2466"/>
        <v/>
      </c>
      <c r="EK165" s="44" t="str">
        <f t="shared" si="2467"/>
        <v/>
      </c>
      <c r="EL165" s="44" t="str">
        <f t="shared" si="2468"/>
        <v/>
      </c>
      <c r="EM165" s="44" t="str">
        <f t="shared" si="2469"/>
        <v/>
      </c>
      <c r="EN165" s="44" t="str">
        <f t="shared" si="2470"/>
        <v/>
      </c>
      <c r="EO165" s="44" t="str">
        <f t="shared" si="2471"/>
        <v/>
      </c>
      <c r="EP165" s="44" t="str">
        <f t="shared" si="2472"/>
        <v/>
      </c>
      <c r="EQ165" s="44" t="str">
        <f t="shared" si="2473"/>
        <v/>
      </c>
      <c r="ER165" s="44" t="str">
        <f t="shared" si="2474"/>
        <v/>
      </c>
      <c r="ES165" s="44" t="str">
        <f t="shared" si="2475"/>
        <v/>
      </c>
      <c r="ET165" s="44" t="str">
        <f t="shared" si="2476"/>
        <v/>
      </c>
      <c r="EU165" s="44" t="str">
        <f t="shared" si="2477"/>
        <v/>
      </c>
      <c r="EV165" s="44" t="str">
        <f t="shared" si="2478"/>
        <v/>
      </c>
      <c r="EW165" s="44" t="str">
        <f t="shared" si="2479"/>
        <v/>
      </c>
      <c r="EX165" s="44" t="str">
        <f t="shared" si="2480"/>
        <v/>
      </c>
      <c r="EY165" s="44" t="str">
        <f t="shared" si="2481"/>
        <v/>
      </c>
      <c r="EZ165" s="44" t="str">
        <f t="shared" si="2482"/>
        <v/>
      </c>
      <c r="FA165" s="44" t="str">
        <f t="shared" si="2483"/>
        <v/>
      </c>
      <c r="FB165" s="44" t="str">
        <f t="shared" si="2484"/>
        <v/>
      </c>
      <c r="FC165" s="44" t="str">
        <f t="shared" si="2485"/>
        <v/>
      </c>
      <c r="FD165" s="44" t="str">
        <f t="shared" si="2486"/>
        <v/>
      </c>
      <c r="FE165" s="44" t="str">
        <f t="shared" si="2487"/>
        <v/>
      </c>
      <c r="FF165" s="44" t="str">
        <f t="shared" si="2488"/>
        <v/>
      </c>
      <c r="FG165" s="44" t="str">
        <f t="shared" si="2489"/>
        <v/>
      </c>
      <c r="FH165" s="44" t="str">
        <f t="shared" si="2490"/>
        <v/>
      </c>
      <c r="FI165" s="44" t="str">
        <f t="shared" si="2491"/>
        <v/>
      </c>
      <c r="FJ165" s="44" t="str">
        <f t="shared" si="2492"/>
        <v/>
      </c>
      <c r="FK165" s="44" t="str">
        <f t="shared" si="2493"/>
        <v/>
      </c>
      <c r="FL165" s="44" t="str">
        <f t="shared" si="2494"/>
        <v/>
      </c>
      <c r="FM165" s="44" t="str">
        <f t="shared" si="2495"/>
        <v/>
      </c>
      <c r="FN165" s="44" t="str">
        <f t="shared" si="2496"/>
        <v/>
      </c>
      <c r="FO165" s="44" t="str">
        <f t="shared" si="2497"/>
        <v/>
      </c>
      <c r="FP165" s="44" t="str">
        <f t="shared" si="2498"/>
        <v/>
      </c>
      <c r="FQ165" s="44" t="str">
        <f t="shared" si="2499"/>
        <v/>
      </c>
      <c r="FR165" s="44" t="str">
        <f t="shared" si="2500"/>
        <v/>
      </c>
      <c r="FS165" s="44" t="str">
        <f t="shared" si="2501"/>
        <v/>
      </c>
    </row>
    <row r="166" ht="15" spans="1:175">
      <c r="A166" s="5"/>
      <c r="B166" s="92" t="s">
        <v>569</v>
      </c>
      <c r="C166" s="93" t="s">
        <v>570</v>
      </c>
      <c r="T166" s="37" t="s">
        <v>571</v>
      </c>
      <c r="U166" s="60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72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|CffFFD24D30|r秒内增加|Cffffd24d30%|r金币加成</v>
      </c>
      <c r="CW166" s="7"/>
      <c r="CX166" s="7"/>
      <c r="CY166" s="7"/>
      <c r="CZ166" s="7"/>
      <c r="DA166" s="7"/>
      <c r="DB166" s="44" t="str">
        <f t="shared" ref="DB166" si="2504">IF(V166="","","|n"&amp;DB$2&amp;"+"&amp;V166&amp;DB$1)</f>
        <v/>
      </c>
      <c r="DC166" s="44" t="str">
        <f t="shared" ref="DC166" si="2505">IF(W166="","","|n"&amp;DC$2&amp;"+"&amp;W166&amp;DC$1)</f>
        <v/>
      </c>
      <c r="DD166" s="44" t="str">
        <f t="shared" ref="DD166" si="2506">IF(X166="","","|n"&amp;DD$2&amp;"+"&amp;X166&amp;DD$1)</f>
        <v/>
      </c>
      <c r="DE166" s="44" t="str">
        <f t="shared" ref="DE166" si="2507">IF(Y166="","","|n"&amp;DE$2&amp;"+"&amp;Y166&amp;DE$1)</f>
        <v/>
      </c>
      <c r="DF166" s="44" t="str">
        <f t="shared" ref="DF166" si="2508">IF(Z166="","","|n"&amp;DF$2&amp;"+"&amp;Z166&amp;DF$1)</f>
        <v/>
      </c>
      <c r="DG166" s="44" t="str">
        <f t="shared" ref="DG166" si="2509">IF(AA166="","","|n"&amp;DG$2&amp;"+"&amp;AA166&amp;DG$1)</f>
        <v/>
      </c>
      <c r="DH166" s="44" t="str">
        <f t="shared" ref="DH166" si="2510">IF(AB166="","","|n"&amp;DH$2&amp;"+"&amp;AB166&amp;DH$1)</f>
        <v/>
      </c>
      <c r="DI166" s="44" t="str">
        <f t="shared" ref="DI166" si="2511">IF(AC166="","","|n"&amp;DI$2&amp;"+"&amp;AC166&amp;DI$1)</f>
        <v/>
      </c>
      <c r="DJ166" s="44" t="str">
        <f t="shared" ref="DJ166" si="2512">IF(AD166="","","|n"&amp;DJ$2&amp;"+"&amp;AD166&amp;DJ$1)</f>
        <v/>
      </c>
      <c r="DK166" s="44" t="str">
        <f t="shared" ref="DK166" si="2513">IF(AE166="","","|n"&amp;DK$2&amp;"+"&amp;AE166&amp;DK$1)</f>
        <v/>
      </c>
      <c r="DL166" s="44" t="str">
        <f t="shared" ref="DL166" si="2514">IF(AF166="","","|n"&amp;DL$2&amp;"+"&amp;AF166&amp;DL$1)</f>
        <v/>
      </c>
      <c r="DM166" s="44" t="str">
        <f t="shared" ref="DM166" si="2515">IF(AG166="","","|n"&amp;DM$2&amp;"+"&amp;AG166&amp;DM$1)</f>
        <v/>
      </c>
      <c r="DN166" s="44" t="str">
        <f t="shared" ref="DN166" si="2516">IF(AH166="","","|n"&amp;DN$2&amp;"+"&amp;AH166&amp;DN$1)</f>
        <v/>
      </c>
      <c r="DO166" s="44" t="str">
        <f t="shared" ref="DO166" si="2517">IF(AI166="","","|n"&amp;DO$2&amp;"+"&amp;AI166&amp;DO$1)</f>
        <v/>
      </c>
      <c r="DP166" s="44" t="str">
        <f t="shared" ref="DP166" si="2518">IF(AJ166="","","|n"&amp;DP$2&amp;"+"&amp;AJ166&amp;DP$1)</f>
        <v/>
      </c>
      <c r="DQ166" s="44" t="str">
        <f t="shared" ref="DQ166" si="2519">IF(AK166="","","|n"&amp;DQ$2&amp;"+"&amp;AK166&amp;DQ$1)</f>
        <v/>
      </c>
      <c r="DR166" s="44" t="str">
        <f t="shared" ref="DR166" si="2520">IF(AL166="","","|n"&amp;DR$2&amp;"+"&amp;AL166&amp;DR$1)</f>
        <v/>
      </c>
      <c r="DS166" s="44" t="str">
        <f t="shared" ref="DS166" si="2521">IF(AM166="","","|n"&amp;DS$2&amp;"+"&amp;AM166&amp;DS$1)</f>
        <v/>
      </c>
      <c r="DT166" s="44" t="str">
        <f t="shared" ref="DT166" si="2522">IF(AN166="","","|n"&amp;DT$2&amp;"+"&amp;AN166&amp;DT$1)</f>
        <v/>
      </c>
      <c r="DU166" s="44" t="str">
        <f t="shared" ref="DU166" si="2523">IF(AO166="","","|n"&amp;DU$2&amp;"+"&amp;AO166&amp;DU$1)</f>
        <v/>
      </c>
      <c r="DV166" s="44" t="str">
        <f t="shared" ref="DV166" si="2524">IF(AP166="","","|n"&amp;DV$2&amp;"+"&amp;AP166&amp;DV$1)</f>
        <v/>
      </c>
      <c r="DW166" s="44" t="str">
        <f t="shared" ref="DW166" si="2525">IF(AQ166="","","|n"&amp;DW$2&amp;"+"&amp;AQ166&amp;DW$1)</f>
        <v/>
      </c>
      <c r="DX166" s="44" t="str">
        <f t="shared" ref="DX166" si="2526">IF(AR166="","","|n"&amp;DX$2&amp;"+"&amp;AR166&amp;DX$1)</f>
        <v/>
      </c>
      <c r="DY166" s="44" t="str">
        <f t="shared" ref="DY166" si="2527">IF(AS166="","","|n"&amp;DY$2&amp;"+"&amp;AS166&amp;DY$1)</f>
        <v/>
      </c>
      <c r="DZ166" s="44" t="str">
        <f t="shared" ref="DZ166" si="2528">IF(AT166="","","|n"&amp;DZ$2&amp;"+"&amp;AT166&amp;DZ$1)</f>
        <v/>
      </c>
      <c r="EA166" s="44" t="str">
        <f t="shared" ref="EA166" si="2529">IF(AU166="","","|n"&amp;EA$2&amp;"+"&amp;AU166&amp;EA$1)</f>
        <v/>
      </c>
      <c r="EB166" s="44" t="str">
        <f t="shared" ref="EB166" si="2530">IF(AV166="","","|n"&amp;EB$2&amp;"+"&amp;AV166&amp;EB$1)</f>
        <v/>
      </c>
      <c r="EC166" s="44" t="str">
        <f t="shared" ref="EC166" si="2531">IF(AW166="","","|n"&amp;EC$2&amp;"+"&amp;AW166&amp;EC$1)</f>
        <v/>
      </c>
      <c r="ED166" s="44" t="str">
        <f t="shared" ref="ED166" si="2532">IF(AX166="","","|n"&amp;ED$2&amp;"+"&amp;AX166&amp;ED$1)</f>
        <v/>
      </c>
      <c r="EE166" s="44" t="str">
        <f t="shared" ref="EE166" si="2533">IF(AY166="","","|n"&amp;EE$2&amp;"+"&amp;AY166&amp;EE$1)</f>
        <v/>
      </c>
      <c r="EF166" s="44" t="str">
        <f t="shared" ref="EF166" si="2534">IF(AZ166="","","|n"&amp;EF$2&amp;"+"&amp;AZ166&amp;EF$1)</f>
        <v/>
      </c>
      <c r="EG166" s="44" t="str">
        <f t="shared" ref="EG166" si="2535">IF(BA166="","","|n"&amp;EG$2&amp;"+"&amp;BA166&amp;EG$1)</f>
        <v/>
      </c>
      <c r="EH166" s="44" t="str">
        <f t="shared" ref="EH166" si="2536">IF(BB166="","","|n"&amp;EH$2&amp;"+"&amp;BB166&amp;EH$1)</f>
        <v/>
      </c>
      <c r="EI166" s="44" t="str">
        <f t="shared" ref="EI166" si="2537">IF(BC166="","","|n"&amp;EI$2&amp;"+"&amp;BC166&amp;EI$1)</f>
        <v/>
      </c>
      <c r="EJ166" s="44" t="str">
        <f t="shared" ref="EJ166" si="2538">IF(BD166="","","|n"&amp;EJ$2&amp;"+"&amp;BD166&amp;EJ$1)</f>
        <v/>
      </c>
      <c r="EK166" s="44" t="str">
        <f t="shared" ref="EK166" si="2539">IF(BE166="","","|n"&amp;EK$2&amp;"+"&amp;BE166&amp;EK$1)</f>
        <v/>
      </c>
      <c r="EL166" s="44" t="str">
        <f t="shared" ref="EL166" si="2540">IF(BF166="","","|n"&amp;EL$2&amp;"+"&amp;BF166&amp;EL$1)</f>
        <v/>
      </c>
      <c r="EM166" s="44" t="str">
        <f t="shared" ref="EM166" si="2541">IF(BG166="","","|n"&amp;EM$2&amp;"+"&amp;BG166&amp;EM$1)</f>
        <v/>
      </c>
      <c r="EN166" s="44" t="str">
        <f t="shared" ref="EN166" si="2542">IF(BH166="","","|n"&amp;EN$2&amp;"+"&amp;BH166&amp;EN$1)</f>
        <v/>
      </c>
      <c r="EO166" s="44" t="str">
        <f t="shared" ref="EO166" si="2543">IF(BI166="","","|n"&amp;EO$2&amp;"+"&amp;BI166&amp;EO$1)</f>
        <v/>
      </c>
      <c r="EP166" s="44" t="str">
        <f t="shared" ref="EP166" si="2544">IF(BJ166="","","|n"&amp;EP$2&amp;"+"&amp;BJ166&amp;EP$1)</f>
        <v/>
      </c>
      <c r="EQ166" s="44" t="str">
        <f t="shared" ref="EQ166" si="2545">IF(BK166="","","|n"&amp;EQ$2&amp;"+"&amp;BK166&amp;EQ$1)</f>
        <v/>
      </c>
      <c r="ER166" s="44" t="str">
        <f t="shared" ref="ER166" si="2546">IF(BL166="","","|n"&amp;ER$2&amp;"+"&amp;BL166&amp;ER$1)</f>
        <v/>
      </c>
      <c r="ES166" s="44" t="str">
        <f t="shared" ref="ES166" si="2547">IF(BM166="","","|n"&amp;ES$2&amp;"+"&amp;BM166&amp;ES$1)</f>
        <v/>
      </c>
      <c r="ET166" s="44" t="str">
        <f t="shared" ref="ET166" si="2548">IF(BN166="","","|n"&amp;ET$2&amp;"+"&amp;BN166&amp;ET$1)</f>
        <v/>
      </c>
      <c r="EU166" s="44" t="str">
        <f t="shared" ref="EU166" si="2549">IF(BO166="","","|n"&amp;EU$2&amp;"+"&amp;BO166&amp;EU$1)</f>
        <v/>
      </c>
      <c r="EV166" s="44" t="str">
        <f t="shared" ref="EV166" si="2550">IF(BP166="","","|n"&amp;EV$2&amp;"+"&amp;BP166&amp;EV$1)</f>
        <v/>
      </c>
      <c r="EW166" s="44" t="str">
        <f t="shared" ref="EW166" si="2551">IF(BQ166="","","|n"&amp;EW$2&amp;"+"&amp;BQ166&amp;EW$1)</f>
        <v/>
      </c>
      <c r="EX166" s="44" t="str">
        <f t="shared" ref="EX166" si="2552">IF(BR166="","","|n"&amp;EX$2&amp;"+"&amp;BR166&amp;EX$1)</f>
        <v/>
      </c>
      <c r="EY166" s="44" t="str">
        <f t="shared" ref="EY166" si="2553">IF(BS166="","","|n"&amp;EY$2&amp;"+"&amp;BS166&amp;EY$1)</f>
        <v/>
      </c>
      <c r="EZ166" s="44" t="str">
        <f t="shared" ref="EZ166" si="2554">IF(BT166="","","|n"&amp;EZ$2&amp;"+"&amp;BT166&amp;EZ$1)</f>
        <v/>
      </c>
      <c r="FA166" s="44" t="str">
        <f t="shared" ref="FA166" si="2555">IF(BU166="","","|n"&amp;FA$2&amp;"+"&amp;BU166&amp;FA$1)</f>
        <v/>
      </c>
      <c r="FB166" s="44" t="str">
        <f t="shared" ref="FB166" si="2556">IF(BV166="","","|n"&amp;FB$2&amp;"+"&amp;BV166&amp;FB$1)</f>
        <v/>
      </c>
      <c r="FC166" s="44" t="str">
        <f t="shared" ref="FC166" si="2557">IF(BW166="","","|n"&amp;FC$2&amp;"+"&amp;BW166&amp;FC$1)</f>
        <v/>
      </c>
      <c r="FD166" s="44" t="str">
        <f t="shared" ref="FD166" si="2558">IF(BX166="","","|n"&amp;FD$2&amp;"+"&amp;BX166&amp;FD$1)</f>
        <v/>
      </c>
      <c r="FE166" s="44" t="str">
        <f t="shared" ref="FE166" si="2559">IF(BY166="","","|n"&amp;FE$2&amp;"+"&amp;BY166&amp;FE$1)</f>
        <v/>
      </c>
      <c r="FF166" s="44" t="str">
        <f t="shared" ref="FF166" si="2560">IF(BZ166="","","|n"&amp;FF$2&amp;"+"&amp;BZ166&amp;FF$1)</f>
        <v/>
      </c>
      <c r="FG166" s="44" t="str">
        <f t="shared" ref="FG166" si="2561">IF(CA166="","","|n"&amp;FG$2&amp;"+"&amp;CA166&amp;FG$1)</f>
        <v/>
      </c>
      <c r="FH166" s="44" t="str">
        <f t="shared" ref="FH166" si="2562">IF(CB166="","","|n"&amp;FH$2&amp;"+"&amp;CB166&amp;FH$1)</f>
        <v/>
      </c>
      <c r="FI166" s="44" t="str">
        <f t="shared" ref="FI166" si="2563">IF(CC166="","","|n"&amp;FI$2&amp;"+"&amp;CC166&amp;FI$1)</f>
        <v/>
      </c>
      <c r="FJ166" s="44" t="str">
        <f t="shared" ref="FJ166" si="2564">IF(CD166="","","|n"&amp;FJ$2&amp;"+"&amp;CD166&amp;FJ$1)</f>
        <v/>
      </c>
      <c r="FK166" s="44" t="str">
        <f t="shared" ref="FK166" si="2565">IF(CE166="","","|n"&amp;FK$2&amp;"+"&amp;CE166&amp;FK$1)</f>
        <v/>
      </c>
      <c r="FL166" s="44" t="str">
        <f t="shared" ref="FL166" si="2566">IF(CF166="","","|n"&amp;FL$2&amp;"+"&amp;CF166&amp;FL$1)</f>
        <v/>
      </c>
      <c r="FM166" s="44" t="str">
        <f t="shared" ref="FM166" si="2567">IF(CG166="","","|n"&amp;FM$2&amp;"+"&amp;CG166&amp;FM$1)</f>
        <v/>
      </c>
      <c r="FN166" s="44" t="str">
        <f t="shared" ref="FN166" si="2568">IF(CH166="","","|n"&amp;FN$2&amp;"+"&amp;CH166&amp;FN$1)</f>
        <v/>
      </c>
      <c r="FO166" s="44" t="str">
        <f t="shared" ref="FO166" si="2569">IF(CI166="","","|n"&amp;FO$2&amp;"+"&amp;CI166&amp;FO$1)</f>
        <v/>
      </c>
      <c r="FP166" s="44" t="str">
        <f t="shared" ref="FP166" si="2570">IF(CJ166="","","|n"&amp;FP$2&amp;"+"&amp;CJ166&amp;FP$1)</f>
        <v/>
      </c>
      <c r="FQ166" s="44" t="str">
        <f t="shared" ref="FQ166" si="2571">IF(CK166="","","|n"&amp;FQ$2&amp;"+"&amp;CK166&amp;FQ$1)</f>
        <v/>
      </c>
      <c r="FR166" s="44" t="str">
        <f t="shared" ref="FR166" si="2572">IF(CL166="","","|n"&amp;FR$2&amp;"+"&amp;CL166&amp;FR$1)</f>
        <v/>
      </c>
      <c r="FS166" s="44" t="str">
        <f t="shared" ref="FS166" si="2573">IF(CM166="","","|n"&amp;FS$2&amp;"+"&amp;CM166&amp;FS$1)</f>
        <v/>
      </c>
    </row>
    <row r="167" ht="15" spans="1:175">
      <c r="A167" s="5"/>
      <c r="B167" s="5" t="s">
        <v>572</v>
      </c>
      <c r="C167" s="94" t="s">
        <v>573</v>
      </c>
      <c r="T167" s="37" t="s">
        <v>574</v>
      </c>
      <c r="U167" s="60" t="str">
        <f t="shared" ref="U167:U180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72" t="str">
        <f t="shared" ref="CU167:CU177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:CV177" si="2576">T167</f>
        <v>使用后获得|Cffffc926随机类型技能附魔卷|r</v>
      </c>
      <c r="CW167" s="7"/>
      <c r="CX167" s="7"/>
      <c r="CY167" s="7"/>
      <c r="CZ167" s="7"/>
      <c r="DA167" s="7"/>
      <c r="DB167" s="44" t="str">
        <f t="shared" ref="DB167" si="2577">IF(V167="","","|n"&amp;DB$2&amp;"+"&amp;V167&amp;DB$1)</f>
        <v/>
      </c>
      <c r="DC167" s="44" t="str">
        <f t="shared" ref="DC167" si="2578">IF(W167="","","|n"&amp;DC$2&amp;"+"&amp;W167&amp;DC$1)</f>
        <v/>
      </c>
      <c r="DD167" s="44" t="str">
        <f t="shared" ref="DD167" si="2579">IF(X167="","","|n"&amp;DD$2&amp;"+"&amp;X167&amp;DD$1)</f>
        <v/>
      </c>
      <c r="DE167" s="44" t="str">
        <f t="shared" ref="DE167" si="2580">IF(Y167="","","|n"&amp;DE$2&amp;"+"&amp;Y167&amp;DE$1)</f>
        <v/>
      </c>
      <c r="DF167" s="44" t="str">
        <f t="shared" ref="DF167" si="2581">IF(Z167="","","|n"&amp;DF$2&amp;"+"&amp;Z167&amp;DF$1)</f>
        <v/>
      </c>
      <c r="DG167" s="44" t="str">
        <f t="shared" ref="DG167" si="2582">IF(AA167="","","|n"&amp;DG$2&amp;"+"&amp;AA167&amp;DG$1)</f>
        <v/>
      </c>
      <c r="DH167" s="44" t="str">
        <f t="shared" ref="DH167" si="2583">IF(AB167="","","|n"&amp;DH$2&amp;"+"&amp;AB167&amp;DH$1)</f>
        <v/>
      </c>
      <c r="DI167" s="44" t="str">
        <f t="shared" ref="DI167" si="2584">IF(AC167="","","|n"&amp;DI$2&amp;"+"&amp;AC167&amp;DI$1)</f>
        <v/>
      </c>
      <c r="DJ167" s="44" t="str">
        <f t="shared" ref="DJ167" si="2585">IF(AD167="","","|n"&amp;DJ$2&amp;"+"&amp;AD167&amp;DJ$1)</f>
        <v/>
      </c>
      <c r="DK167" s="44" t="str">
        <f t="shared" ref="DK167" si="2586">IF(AE167="","","|n"&amp;DK$2&amp;"+"&amp;AE167&amp;DK$1)</f>
        <v/>
      </c>
      <c r="DL167" s="44" t="str">
        <f t="shared" ref="DL167" si="2587">IF(AF167="","","|n"&amp;DL$2&amp;"+"&amp;AF167&amp;DL$1)</f>
        <v/>
      </c>
      <c r="DM167" s="44" t="str">
        <f t="shared" ref="DM167" si="2588">IF(AG167="","","|n"&amp;DM$2&amp;"+"&amp;AG167&amp;DM$1)</f>
        <v/>
      </c>
      <c r="DN167" s="44" t="str">
        <f t="shared" ref="DN167" si="2589">IF(AH167="","","|n"&amp;DN$2&amp;"+"&amp;AH167&amp;DN$1)</f>
        <v/>
      </c>
      <c r="DO167" s="44" t="str">
        <f t="shared" ref="DO167" si="2590">IF(AI167="","","|n"&amp;DO$2&amp;"+"&amp;AI167&amp;DO$1)</f>
        <v/>
      </c>
      <c r="DP167" s="44" t="str">
        <f t="shared" ref="DP167" si="2591">IF(AJ167="","","|n"&amp;DP$2&amp;"+"&amp;AJ167&amp;DP$1)</f>
        <v/>
      </c>
      <c r="DQ167" s="44" t="str">
        <f t="shared" ref="DQ167" si="2592">IF(AK167="","","|n"&amp;DQ$2&amp;"+"&amp;AK167&amp;DQ$1)</f>
        <v/>
      </c>
      <c r="DR167" s="44" t="str">
        <f t="shared" ref="DR167" si="2593">IF(AL167="","","|n"&amp;DR$2&amp;"+"&amp;AL167&amp;DR$1)</f>
        <v/>
      </c>
      <c r="DS167" s="44" t="str">
        <f t="shared" ref="DS167" si="2594">IF(AM167="","","|n"&amp;DS$2&amp;"+"&amp;AM167&amp;DS$1)</f>
        <v/>
      </c>
      <c r="DT167" s="44" t="str">
        <f t="shared" ref="DT167" si="2595">IF(AN167="","","|n"&amp;DT$2&amp;"+"&amp;AN167&amp;DT$1)</f>
        <v/>
      </c>
      <c r="DU167" s="44" t="str">
        <f t="shared" ref="DU167" si="2596">IF(AO167="","","|n"&amp;DU$2&amp;"+"&amp;AO167&amp;DU$1)</f>
        <v/>
      </c>
      <c r="DV167" s="44" t="str">
        <f t="shared" ref="DV167" si="2597">IF(AP167="","","|n"&amp;DV$2&amp;"+"&amp;AP167&amp;DV$1)</f>
        <v/>
      </c>
      <c r="DW167" s="44" t="str">
        <f t="shared" ref="DW167" si="2598">IF(AQ167="","","|n"&amp;DW$2&amp;"+"&amp;AQ167&amp;DW$1)</f>
        <v/>
      </c>
      <c r="DX167" s="44" t="str">
        <f t="shared" ref="DX167" si="2599">IF(AR167="","","|n"&amp;DX$2&amp;"+"&amp;AR167&amp;DX$1)</f>
        <v/>
      </c>
      <c r="DY167" s="44" t="str">
        <f t="shared" ref="DY167" si="2600">IF(AS167="","","|n"&amp;DY$2&amp;"+"&amp;AS167&amp;DY$1)</f>
        <v/>
      </c>
      <c r="DZ167" s="44" t="str">
        <f t="shared" ref="DZ167" si="2601">IF(AT167="","","|n"&amp;DZ$2&amp;"+"&amp;AT167&amp;DZ$1)</f>
        <v/>
      </c>
      <c r="EA167" s="44" t="str">
        <f t="shared" ref="EA167" si="2602">IF(AU167="","","|n"&amp;EA$2&amp;"+"&amp;AU167&amp;EA$1)</f>
        <v/>
      </c>
      <c r="EB167" s="44" t="str">
        <f t="shared" ref="EB167" si="2603">IF(AV167="","","|n"&amp;EB$2&amp;"+"&amp;AV167&amp;EB$1)</f>
        <v/>
      </c>
      <c r="EC167" s="44" t="str">
        <f t="shared" ref="EC167" si="2604">IF(AW167="","","|n"&amp;EC$2&amp;"+"&amp;AW167&amp;EC$1)</f>
        <v/>
      </c>
      <c r="ED167" s="44" t="str">
        <f t="shared" ref="ED167" si="2605">IF(AX167="","","|n"&amp;ED$2&amp;"+"&amp;AX167&amp;ED$1)</f>
        <v/>
      </c>
      <c r="EE167" s="44" t="str">
        <f t="shared" ref="EE167" si="2606">IF(AY167="","","|n"&amp;EE$2&amp;"+"&amp;AY167&amp;EE$1)</f>
        <v/>
      </c>
      <c r="EF167" s="44" t="str">
        <f t="shared" ref="EF167" si="2607">IF(AZ167="","","|n"&amp;EF$2&amp;"+"&amp;AZ167&amp;EF$1)</f>
        <v/>
      </c>
      <c r="EG167" s="44" t="str">
        <f t="shared" ref="EG167" si="2608">IF(BA167="","","|n"&amp;EG$2&amp;"+"&amp;BA167&amp;EG$1)</f>
        <v/>
      </c>
      <c r="EH167" s="44" t="str">
        <f t="shared" ref="EH167" si="2609">IF(BB167="","","|n"&amp;EH$2&amp;"+"&amp;BB167&amp;EH$1)</f>
        <v/>
      </c>
      <c r="EI167" s="44" t="str">
        <f t="shared" ref="EI167" si="2610">IF(BC167="","","|n"&amp;EI$2&amp;"+"&amp;BC167&amp;EI$1)</f>
        <v/>
      </c>
      <c r="EJ167" s="44" t="str">
        <f t="shared" ref="EJ167" si="2611">IF(BD167="","","|n"&amp;EJ$2&amp;"+"&amp;BD167&amp;EJ$1)</f>
        <v/>
      </c>
      <c r="EK167" s="44" t="str">
        <f t="shared" ref="EK167" si="2612">IF(BE167="","","|n"&amp;EK$2&amp;"+"&amp;BE167&amp;EK$1)</f>
        <v/>
      </c>
      <c r="EL167" s="44" t="str">
        <f t="shared" ref="EL167" si="2613">IF(BF167="","","|n"&amp;EL$2&amp;"+"&amp;BF167&amp;EL$1)</f>
        <v/>
      </c>
      <c r="EM167" s="44" t="str">
        <f t="shared" ref="EM167" si="2614">IF(BG167="","","|n"&amp;EM$2&amp;"+"&amp;BG167&amp;EM$1)</f>
        <v/>
      </c>
      <c r="EN167" s="44" t="str">
        <f t="shared" ref="EN167" si="2615">IF(BH167="","","|n"&amp;EN$2&amp;"+"&amp;BH167&amp;EN$1)</f>
        <v/>
      </c>
      <c r="EO167" s="44" t="str">
        <f t="shared" ref="EO167" si="2616">IF(BI167="","","|n"&amp;EO$2&amp;"+"&amp;BI167&amp;EO$1)</f>
        <v/>
      </c>
      <c r="EP167" s="44" t="str">
        <f t="shared" ref="EP167" si="2617">IF(BJ167="","","|n"&amp;EP$2&amp;"+"&amp;BJ167&amp;EP$1)</f>
        <v/>
      </c>
      <c r="EQ167" s="44" t="str">
        <f t="shared" ref="EQ167" si="2618">IF(BK167="","","|n"&amp;EQ$2&amp;"+"&amp;BK167&amp;EQ$1)</f>
        <v/>
      </c>
      <c r="ER167" s="44" t="str">
        <f t="shared" ref="ER167" si="2619">IF(BL167="","","|n"&amp;ER$2&amp;"+"&amp;BL167&amp;ER$1)</f>
        <v/>
      </c>
      <c r="ES167" s="44" t="str">
        <f t="shared" ref="ES167" si="2620">IF(BM167="","","|n"&amp;ES$2&amp;"+"&amp;BM167&amp;ES$1)</f>
        <v/>
      </c>
      <c r="ET167" s="44" t="str">
        <f t="shared" ref="ET167" si="2621">IF(BN167="","","|n"&amp;ET$2&amp;"+"&amp;BN167&amp;ET$1)</f>
        <v/>
      </c>
      <c r="EU167" s="44" t="str">
        <f t="shared" ref="EU167" si="2622">IF(BO167="","","|n"&amp;EU$2&amp;"+"&amp;BO167&amp;EU$1)</f>
        <v/>
      </c>
      <c r="EV167" s="44" t="str">
        <f t="shared" ref="EV167" si="2623">IF(BP167="","","|n"&amp;EV$2&amp;"+"&amp;BP167&amp;EV$1)</f>
        <v/>
      </c>
      <c r="EW167" s="44" t="str">
        <f t="shared" ref="EW167" si="2624">IF(BQ167="","","|n"&amp;EW$2&amp;"+"&amp;BQ167&amp;EW$1)</f>
        <v/>
      </c>
      <c r="EX167" s="44" t="str">
        <f t="shared" ref="EX167" si="2625">IF(BR167="","","|n"&amp;EX$2&amp;"+"&amp;BR167&amp;EX$1)</f>
        <v/>
      </c>
      <c r="EY167" s="44" t="str">
        <f t="shared" ref="EY167" si="2626">IF(BS167="","","|n"&amp;EY$2&amp;"+"&amp;BS167&amp;EY$1)</f>
        <v/>
      </c>
      <c r="EZ167" s="44" t="str">
        <f t="shared" ref="EZ167" si="2627">IF(BT167="","","|n"&amp;EZ$2&amp;"+"&amp;BT167&amp;EZ$1)</f>
        <v/>
      </c>
      <c r="FA167" s="44" t="str">
        <f t="shared" ref="FA167" si="2628">IF(BU167="","","|n"&amp;FA$2&amp;"+"&amp;BU167&amp;FA$1)</f>
        <v/>
      </c>
      <c r="FB167" s="44" t="str">
        <f t="shared" ref="FB167" si="2629">IF(BV167="","","|n"&amp;FB$2&amp;"+"&amp;BV167&amp;FB$1)</f>
        <v/>
      </c>
      <c r="FC167" s="44" t="str">
        <f t="shared" ref="FC167" si="2630">IF(BW167="","","|n"&amp;FC$2&amp;"+"&amp;BW167&amp;FC$1)</f>
        <v/>
      </c>
      <c r="FD167" s="44" t="str">
        <f t="shared" ref="FD167" si="2631">IF(BX167="","","|n"&amp;FD$2&amp;"+"&amp;BX167&amp;FD$1)</f>
        <v/>
      </c>
      <c r="FE167" s="44" t="str">
        <f t="shared" ref="FE167" si="2632">IF(BY167="","","|n"&amp;FE$2&amp;"+"&amp;BY167&amp;FE$1)</f>
        <v/>
      </c>
      <c r="FF167" s="44" t="str">
        <f t="shared" ref="FF167" si="2633">IF(BZ167="","","|n"&amp;FF$2&amp;"+"&amp;BZ167&amp;FF$1)</f>
        <v/>
      </c>
      <c r="FG167" s="44" t="str">
        <f t="shared" ref="FG167" si="2634">IF(CA167="","","|n"&amp;FG$2&amp;"+"&amp;CA167&amp;FG$1)</f>
        <v/>
      </c>
      <c r="FH167" s="44" t="str">
        <f t="shared" ref="FH167" si="2635">IF(CB167="","","|n"&amp;FH$2&amp;"+"&amp;CB167&amp;FH$1)</f>
        <v/>
      </c>
      <c r="FI167" s="44" t="str">
        <f t="shared" ref="FI167" si="2636">IF(CC167="","","|n"&amp;FI$2&amp;"+"&amp;CC167&amp;FI$1)</f>
        <v/>
      </c>
      <c r="FJ167" s="44" t="str">
        <f t="shared" ref="FJ167" si="2637">IF(CD167="","","|n"&amp;FJ$2&amp;"+"&amp;CD167&amp;FJ$1)</f>
        <v/>
      </c>
      <c r="FK167" s="44" t="str">
        <f t="shared" ref="FK167" si="2638">IF(CE167="","","|n"&amp;FK$2&amp;"+"&amp;CE167&amp;FK$1)</f>
        <v/>
      </c>
      <c r="FL167" s="44" t="str">
        <f t="shared" ref="FL167" si="2639">IF(CF167="","","|n"&amp;FL$2&amp;"+"&amp;CF167&amp;FL$1)</f>
        <v/>
      </c>
      <c r="FM167" s="44" t="str">
        <f t="shared" ref="FM167" si="2640">IF(CG167="","","|n"&amp;FM$2&amp;"+"&amp;CG167&amp;FM$1)</f>
        <v/>
      </c>
      <c r="FN167" s="44" t="str">
        <f t="shared" ref="FN167" si="2641">IF(CH167="","","|n"&amp;FN$2&amp;"+"&amp;CH167&amp;FN$1)</f>
        <v/>
      </c>
      <c r="FO167" s="44" t="str">
        <f t="shared" ref="FO167" si="2642">IF(CI167="","","|n"&amp;FO$2&amp;"+"&amp;CI167&amp;FO$1)</f>
        <v/>
      </c>
      <c r="FP167" s="44" t="str">
        <f t="shared" ref="FP167" si="2643">IF(CJ167="","","|n"&amp;FP$2&amp;"+"&amp;CJ167&amp;FP$1)</f>
        <v/>
      </c>
      <c r="FQ167" s="44" t="str">
        <f t="shared" ref="FQ167" si="2644">IF(CK167="","","|n"&amp;FQ$2&amp;"+"&amp;CK167&amp;FQ$1)</f>
        <v/>
      </c>
      <c r="FR167" s="44" t="str">
        <f t="shared" ref="FR167" si="2645">IF(CL167="","","|n"&amp;FR$2&amp;"+"&amp;CL167&amp;FR$1)</f>
        <v/>
      </c>
      <c r="FS167" s="44" t="str">
        <f t="shared" ref="FS167" si="2646">IF(CM167="","","|n"&amp;FS$2&amp;"+"&amp;CM167&amp;FS$1)</f>
        <v/>
      </c>
    </row>
    <row r="168" s="37" customFormat="1" ht="15" spans="1:175">
      <c r="A168" s="5"/>
      <c r="B168" s="92" t="s">
        <v>575</v>
      </c>
      <c r="C168" s="95" t="s">
        <v>576</v>
      </c>
      <c r="D168" s="74"/>
      <c r="E168" s="74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81"/>
      <c r="Q168" s="81"/>
      <c r="R168" s="81"/>
      <c r="S168" s="81"/>
      <c r="T168" s="37" t="s">
        <v>577</v>
      </c>
      <c r="U168" s="60" t="str">
        <f t="shared" si="2574"/>
        <v>ReplaceableTextures\\CommandButtons\\BTNIN20.blp</v>
      </c>
      <c r="V168" s="101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5"/>
      <c r="AS168" s="105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  <c r="BJ168" s="102"/>
      <c r="BK168" s="102"/>
      <c r="BL168" s="102"/>
      <c r="BM168" s="102"/>
      <c r="BN168" s="102"/>
      <c r="BO168" s="102"/>
      <c r="BP168" s="102"/>
      <c r="BQ168" s="102"/>
      <c r="BR168" s="102"/>
      <c r="BS168" s="102"/>
      <c r="BT168" s="102"/>
      <c r="BU168" s="102"/>
      <c r="BV168" s="102"/>
      <c r="BW168" s="102"/>
      <c r="BX168" s="102"/>
      <c r="BY168" s="102"/>
      <c r="BZ168" s="102"/>
      <c r="CA168" s="102"/>
      <c r="CB168" s="102"/>
      <c r="CC168" s="102"/>
      <c r="CD168" s="102"/>
      <c r="CE168" s="102"/>
      <c r="CF168" s="102"/>
      <c r="CG168" s="102"/>
      <c r="CH168" s="102"/>
      <c r="CI168" s="102"/>
      <c r="CJ168" s="102"/>
      <c r="CK168" s="102"/>
      <c r="CL168" s="102"/>
      <c r="CM168" s="102"/>
      <c r="CN168" s="106" t="str">
        <f t="shared" si="2136"/>
        <v>InitUnitState('IN20',,,,,,,,,,)</v>
      </c>
      <c r="CO168" s="106" t="str">
        <f t="shared" si="2137"/>
        <v>InitUnitNormal('IN20',,,,,,,,,,)</v>
      </c>
      <c r="CP168" s="106" t="str">
        <f t="shared" si="2138"/>
        <v>InitUnitMagic('IN20',,,,,,,,,,)</v>
      </c>
      <c r="CQ168" s="106" t="str">
        <f t="shared" si="2139"/>
        <v>InitUnitAdd('IN20',,,,,,,,,,)</v>
      </c>
      <c r="CR168" s="106" t="str">
        <f t="shared" ref="CR168:CR176" si="2647"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200&amp;CR$1&amp;")"</f>
        <v>InitEquipData('IN20',,"",,,,,'','','','','','',"ReplaceableTextures\\CommandButtons\\BTNIT14.blp")</v>
      </c>
      <c r="CS168" s="106"/>
      <c r="CT168" s="106"/>
      <c r="CU168" s="72" t="str">
        <f t="shared" si="2575"/>
        <v>|n</v>
      </c>
      <c r="CV168" s="37" t="str">
        <f t="shared" si="2576"/>
        <v>|CffFFD24D30|r秒内杀敌金币|Cffffd24d+10|r</v>
      </c>
      <c r="CW168" s="7"/>
      <c r="CX168" s="7"/>
      <c r="CY168" s="7"/>
      <c r="CZ168" s="7"/>
      <c r="DA168" s="7"/>
      <c r="DB168" s="107" t="str">
        <f t="shared" ref="DB168:FM168" si="2648">IF(V168="","","|n"&amp;DB$2&amp;"+"&amp;V168&amp;DB$1)</f>
        <v/>
      </c>
      <c r="DC168" s="107" t="str">
        <f t="shared" si="2648"/>
        <v/>
      </c>
      <c r="DD168" s="107" t="str">
        <f t="shared" si="2648"/>
        <v/>
      </c>
      <c r="DE168" s="107" t="str">
        <f t="shared" si="2648"/>
        <v/>
      </c>
      <c r="DF168" s="107" t="str">
        <f t="shared" si="2648"/>
        <v/>
      </c>
      <c r="DG168" s="107" t="str">
        <f t="shared" si="2648"/>
        <v/>
      </c>
      <c r="DH168" s="107" t="str">
        <f t="shared" si="2648"/>
        <v/>
      </c>
      <c r="DI168" s="107" t="str">
        <f t="shared" si="2648"/>
        <v/>
      </c>
      <c r="DJ168" s="107" t="str">
        <f t="shared" si="2648"/>
        <v/>
      </c>
      <c r="DK168" s="107" t="str">
        <f t="shared" si="2648"/>
        <v/>
      </c>
      <c r="DL168" s="107" t="str">
        <f t="shared" si="2648"/>
        <v/>
      </c>
      <c r="DM168" s="107" t="str">
        <f t="shared" si="2648"/>
        <v/>
      </c>
      <c r="DN168" s="107" t="str">
        <f t="shared" si="2648"/>
        <v/>
      </c>
      <c r="DO168" s="107" t="str">
        <f t="shared" si="2648"/>
        <v/>
      </c>
      <c r="DP168" s="107" t="str">
        <f t="shared" si="2648"/>
        <v/>
      </c>
      <c r="DQ168" s="107" t="str">
        <f t="shared" si="2648"/>
        <v/>
      </c>
      <c r="DR168" s="107" t="str">
        <f t="shared" si="2648"/>
        <v/>
      </c>
      <c r="DS168" s="107" t="str">
        <f t="shared" si="2648"/>
        <v/>
      </c>
      <c r="DT168" s="107" t="str">
        <f t="shared" si="2648"/>
        <v/>
      </c>
      <c r="DU168" s="107" t="str">
        <f t="shared" si="2648"/>
        <v/>
      </c>
      <c r="DV168" s="107" t="str">
        <f t="shared" si="2648"/>
        <v/>
      </c>
      <c r="DW168" s="107" t="str">
        <f t="shared" si="2648"/>
        <v/>
      </c>
      <c r="DX168" s="107" t="str">
        <f t="shared" si="2648"/>
        <v/>
      </c>
      <c r="DY168" s="107" t="str">
        <f t="shared" si="2648"/>
        <v/>
      </c>
      <c r="DZ168" s="107" t="str">
        <f t="shared" si="2648"/>
        <v/>
      </c>
      <c r="EA168" s="107" t="str">
        <f t="shared" si="2648"/>
        <v/>
      </c>
      <c r="EB168" s="107" t="str">
        <f t="shared" si="2648"/>
        <v/>
      </c>
      <c r="EC168" s="107" t="str">
        <f t="shared" si="2648"/>
        <v/>
      </c>
      <c r="ED168" s="107" t="str">
        <f t="shared" si="2648"/>
        <v/>
      </c>
      <c r="EE168" s="107" t="str">
        <f t="shared" si="2648"/>
        <v/>
      </c>
      <c r="EF168" s="107" t="str">
        <f t="shared" si="2648"/>
        <v/>
      </c>
      <c r="EG168" s="107" t="str">
        <f t="shared" si="2648"/>
        <v/>
      </c>
      <c r="EH168" s="107" t="str">
        <f t="shared" si="2648"/>
        <v/>
      </c>
      <c r="EI168" s="107" t="str">
        <f t="shared" si="2648"/>
        <v/>
      </c>
      <c r="EJ168" s="107" t="str">
        <f t="shared" si="2648"/>
        <v/>
      </c>
      <c r="EK168" s="107" t="str">
        <f t="shared" si="2648"/>
        <v/>
      </c>
      <c r="EL168" s="107" t="str">
        <f t="shared" si="2648"/>
        <v/>
      </c>
      <c r="EM168" s="107" t="str">
        <f t="shared" si="2648"/>
        <v/>
      </c>
      <c r="EN168" s="107" t="str">
        <f t="shared" si="2648"/>
        <v/>
      </c>
      <c r="EO168" s="107" t="str">
        <f t="shared" si="2648"/>
        <v/>
      </c>
      <c r="EP168" s="107" t="str">
        <f t="shared" si="2648"/>
        <v/>
      </c>
      <c r="EQ168" s="107" t="str">
        <f t="shared" si="2648"/>
        <v/>
      </c>
      <c r="ER168" s="107" t="str">
        <f t="shared" si="2648"/>
        <v/>
      </c>
      <c r="ES168" s="107" t="str">
        <f t="shared" si="2648"/>
        <v/>
      </c>
      <c r="ET168" s="107" t="str">
        <f t="shared" si="2648"/>
        <v/>
      </c>
      <c r="EU168" s="107" t="str">
        <f t="shared" si="2648"/>
        <v/>
      </c>
      <c r="EV168" s="107" t="str">
        <f t="shared" si="2648"/>
        <v/>
      </c>
      <c r="EW168" s="107" t="str">
        <f t="shared" si="2648"/>
        <v/>
      </c>
      <c r="EX168" s="107" t="str">
        <f t="shared" si="2648"/>
        <v/>
      </c>
      <c r="EY168" s="107" t="str">
        <f t="shared" si="2648"/>
        <v/>
      </c>
      <c r="EZ168" s="107" t="str">
        <f t="shared" si="2648"/>
        <v/>
      </c>
      <c r="FA168" s="107" t="str">
        <f t="shared" si="2648"/>
        <v/>
      </c>
      <c r="FB168" s="107" t="str">
        <f t="shared" si="2648"/>
        <v/>
      </c>
      <c r="FC168" s="107" t="str">
        <f t="shared" si="2648"/>
        <v/>
      </c>
      <c r="FD168" s="107" t="str">
        <f t="shared" si="2648"/>
        <v/>
      </c>
      <c r="FE168" s="107" t="str">
        <f t="shared" si="2648"/>
        <v/>
      </c>
      <c r="FF168" s="107" t="str">
        <f t="shared" si="2648"/>
        <v/>
      </c>
      <c r="FG168" s="107" t="str">
        <f t="shared" si="2648"/>
        <v/>
      </c>
      <c r="FH168" s="107" t="str">
        <f t="shared" si="2648"/>
        <v/>
      </c>
      <c r="FI168" s="107" t="str">
        <f t="shared" si="2648"/>
        <v/>
      </c>
      <c r="FJ168" s="107" t="str">
        <f t="shared" si="2648"/>
        <v/>
      </c>
      <c r="FK168" s="107" t="str">
        <f t="shared" si="2648"/>
        <v/>
      </c>
      <c r="FL168" s="107" t="str">
        <f t="shared" si="2648"/>
        <v/>
      </c>
      <c r="FM168" s="107" t="str">
        <f t="shared" si="2648"/>
        <v/>
      </c>
      <c r="FN168" s="107" t="str">
        <f t="shared" ref="FN168:FS168" si="2649">IF(CH168="","","|n"&amp;FN$2&amp;"+"&amp;CH168&amp;FN$1)</f>
        <v/>
      </c>
      <c r="FO168" s="107" t="str">
        <f t="shared" si="2649"/>
        <v/>
      </c>
      <c r="FP168" s="107" t="str">
        <f t="shared" si="2649"/>
        <v/>
      </c>
      <c r="FQ168" s="107" t="str">
        <f t="shared" si="2649"/>
        <v/>
      </c>
      <c r="FR168" s="107" t="str">
        <f t="shared" si="2649"/>
        <v/>
      </c>
      <c r="FS168" s="107" t="str">
        <f t="shared" si="2649"/>
        <v/>
      </c>
    </row>
    <row r="169" s="37" customFormat="1" ht="15" spans="1:175">
      <c r="A169" s="5"/>
      <c r="B169" s="92" t="s">
        <v>578</v>
      </c>
      <c r="C169" s="96" t="s">
        <v>579</v>
      </c>
      <c r="D169" s="74"/>
      <c r="E169" s="74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81"/>
      <c r="Q169" s="81"/>
      <c r="R169" s="81"/>
      <c r="S169" s="81"/>
      <c r="T169" s="37" t="s">
        <v>580</v>
      </c>
      <c r="U169" s="60" t="str">
        <f t="shared" si="2574"/>
        <v>ReplaceableTextures\\CommandButtons\\BTNIN21.blp</v>
      </c>
      <c r="V169" s="101"/>
      <c r="W169" s="102"/>
      <c r="X169" s="102"/>
      <c r="Y169" s="102"/>
      <c r="Z169" s="102"/>
      <c r="AA169" s="102"/>
      <c r="AB169" s="102"/>
      <c r="AC169" s="102"/>
      <c r="AD169" s="102"/>
      <c r="AE169" s="102"/>
      <c r="AF169" s="102"/>
      <c r="AG169" s="102"/>
      <c r="AH169" s="102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5"/>
      <c r="AS169" s="105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102"/>
      <c r="BG169" s="102"/>
      <c r="BH169" s="102"/>
      <c r="BI169" s="102"/>
      <c r="BJ169" s="102"/>
      <c r="BK169" s="102"/>
      <c r="BL169" s="102"/>
      <c r="BM169" s="102"/>
      <c r="BN169" s="102"/>
      <c r="BO169" s="102"/>
      <c r="BP169" s="102"/>
      <c r="BQ169" s="102"/>
      <c r="BR169" s="102"/>
      <c r="BS169" s="102"/>
      <c r="BT169" s="102"/>
      <c r="BU169" s="102"/>
      <c r="BV169" s="102"/>
      <c r="BW169" s="102"/>
      <c r="BX169" s="102"/>
      <c r="BY169" s="102"/>
      <c r="BZ169" s="102"/>
      <c r="CA169" s="102"/>
      <c r="CB169" s="102"/>
      <c r="CC169" s="102"/>
      <c r="CD169" s="102"/>
      <c r="CE169" s="102"/>
      <c r="CF169" s="102"/>
      <c r="CG169" s="102"/>
      <c r="CH169" s="102"/>
      <c r="CI169" s="102"/>
      <c r="CJ169" s="102"/>
      <c r="CK169" s="102"/>
      <c r="CL169" s="102"/>
      <c r="CM169" s="102"/>
      <c r="CN169" s="106" t="str">
        <f t="shared" si="2136"/>
        <v>InitUnitState('IN21',,,,,,,,,,)</v>
      </c>
      <c r="CO169" s="106" t="str">
        <f t="shared" si="2137"/>
        <v>InitUnitNormal('IN21',,,,,,,,,,)</v>
      </c>
      <c r="CP169" s="106" t="str">
        <f t="shared" si="2138"/>
        <v>InitUnitMagic('IN21',,,,,,,,,,)</v>
      </c>
      <c r="CQ169" s="106" t="str">
        <f t="shared" si="2139"/>
        <v>InitUnitAdd('IN21',,,,,,,,,,)</v>
      </c>
      <c r="CR169" s="106" t="str">
        <f t="shared" si="2647"/>
        <v>InitEquipData('IN21',,"",,,,,'','','','','','',"ReplaceableTextures\\CommandButtons\\BTNIZ0A.blp")</v>
      </c>
      <c r="CS169" s="106"/>
      <c r="CT169" s="106"/>
      <c r="CU169" s="72" t="str">
        <f t="shared" si="2575"/>
        <v>|n</v>
      </c>
      <c r="CV169" s="37" t="str">
        <f t="shared" si="2576"/>
        <v>全体队友|Cffffd24d10|r秒内提高|Cffffd24d30%|r生命恢复，|Cffffd24d物理及法术伤害提高50%|r。|n|Cff00ff7f效果结束时，所有队友当前生命值降低至20%|r|r</v>
      </c>
      <c r="CW169" s="7"/>
      <c r="CX169" s="7"/>
      <c r="CY169" s="7"/>
      <c r="CZ169" s="7"/>
      <c r="DA169" s="7"/>
      <c r="DB169" s="107" t="str">
        <f t="shared" ref="DB169:FM169" si="2650">IF(V169="","","|n"&amp;DB$2&amp;"+"&amp;V169&amp;DB$1)</f>
        <v/>
      </c>
      <c r="DC169" s="107" t="str">
        <f t="shared" si="2650"/>
        <v/>
      </c>
      <c r="DD169" s="107" t="str">
        <f t="shared" si="2650"/>
        <v/>
      </c>
      <c r="DE169" s="107" t="str">
        <f t="shared" si="2650"/>
        <v/>
      </c>
      <c r="DF169" s="107" t="str">
        <f t="shared" si="2650"/>
        <v/>
      </c>
      <c r="DG169" s="107" t="str">
        <f t="shared" si="2650"/>
        <v/>
      </c>
      <c r="DH169" s="107" t="str">
        <f t="shared" si="2650"/>
        <v/>
      </c>
      <c r="DI169" s="107" t="str">
        <f t="shared" si="2650"/>
        <v/>
      </c>
      <c r="DJ169" s="107" t="str">
        <f t="shared" si="2650"/>
        <v/>
      </c>
      <c r="DK169" s="107" t="str">
        <f t="shared" si="2650"/>
        <v/>
      </c>
      <c r="DL169" s="107" t="str">
        <f t="shared" si="2650"/>
        <v/>
      </c>
      <c r="DM169" s="107" t="str">
        <f t="shared" si="2650"/>
        <v/>
      </c>
      <c r="DN169" s="107" t="str">
        <f t="shared" si="2650"/>
        <v/>
      </c>
      <c r="DO169" s="107" t="str">
        <f t="shared" si="2650"/>
        <v/>
      </c>
      <c r="DP169" s="107" t="str">
        <f t="shared" si="2650"/>
        <v/>
      </c>
      <c r="DQ169" s="107" t="str">
        <f t="shared" si="2650"/>
        <v/>
      </c>
      <c r="DR169" s="107" t="str">
        <f t="shared" si="2650"/>
        <v/>
      </c>
      <c r="DS169" s="107" t="str">
        <f t="shared" si="2650"/>
        <v/>
      </c>
      <c r="DT169" s="107" t="str">
        <f t="shared" si="2650"/>
        <v/>
      </c>
      <c r="DU169" s="107" t="str">
        <f t="shared" si="2650"/>
        <v/>
      </c>
      <c r="DV169" s="107" t="str">
        <f t="shared" si="2650"/>
        <v/>
      </c>
      <c r="DW169" s="107" t="str">
        <f t="shared" si="2650"/>
        <v/>
      </c>
      <c r="DX169" s="107" t="str">
        <f t="shared" si="2650"/>
        <v/>
      </c>
      <c r="DY169" s="107" t="str">
        <f t="shared" si="2650"/>
        <v/>
      </c>
      <c r="DZ169" s="107" t="str">
        <f t="shared" si="2650"/>
        <v/>
      </c>
      <c r="EA169" s="107" t="str">
        <f t="shared" si="2650"/>
        <v/>
      </c>
      <c r="EB169" s="107" t="str">
        <f t="shared" si="2650"/>
        <v/>
      </c>
      <c r="EC169" s="107" t="str">
        <f t="shared" si="2650"/>
        <v/>
      </c>
      <c r="ED169" s="107" t="str">
        <f t="shared" si="2650"/>
        <v/>
      </c>
      <c r="EE169" s="107" t="str">
        <f t="shared" si="2650"/>
        <v/>
      </c>
      <c r="EF169" s="107" t="str">
        <f t="shared" si="2650"/>
        <v/>
      </c>
      <c r="EG169" s="107" t="str">
        <f t="shared" si="2650"/>
        <v/>
      </c>
      <c r="EH169" s="107" t="str">
        <f t="shared" si="2650"/>
        <v/>
      </c>
      <c r="EI169" s="107" t="str">
        <f t="shared" si="2650"/>
        <v/>
      </c>
      <c r="EJ169" s="107" t="str">
        <f t="shared" si="2650"/>
        <v/>
      </c>
      <c r="EK169" s="107" t="str">
        <f t="shared" si="2650"/>
        <v/>
      </c>
      <c r="EL169" s="107" t="str">
        <f t="shared" si="2650"/>
        <v/>
      </c>
      <c r="EM169" s="107" t="str">
        <f t="shared" si="2650"/>
        <v/>
      </c>
      <c r="EN169" s="107" t="str">
        <f t="shared" si="2650"/>
        <v/>
      </c>
      <c r="EO169" s="107" t="str">
        <f t="shared" si="2650"/>
        <v/>
      </c>
      <c r="EP169" s="107" t="str">
        <f t="shared" si="2650"/>
        <v/>
      </c>
      <c r="EQ169" s="107" t="str">
        <f t="shared" si="2650"/>
        <v/>
      </c>
      <c r="ER169" s="107" t="str">
        <f t="shared" si="2650"/>
        <v/>
      </c>
      <c r="ES169" s="107" t="str">
        <f t="shared" si="2650"/>
        <v/>
      </c>
      <c r="ET169" s="107" t="str">
        <f t="shared" si="2650"/>
        <v/>
      </c>
      <c r="EU169" s="107" t="str">
        <f t="shared" si="2650"/>
        <v/>
      </c>
      <c r="EV169" s="107" t="str">
        <f t="shared" si="2650"/>
        <v/>
      </c>
      <c r="EW169" s="107" t="str">
        <f t="shared" si="2650"/>
        <v/>
      </c>
      <c r="EX169" s="107" t="str">
        <f t="shared" si="2650"/>
        <v/>
      </c>
      <c r="EY169" s="107" t="str">
        <f t="shared" si="2650"/>
        <v/>
      </c>
      <c r="EZ169" s="107" t="str">
        <f t="shared" si="2650"/>
        <v/>
      </c>
      <c r="FA169" s="107" t="str">
        <f t="shared" si="2650"/>
        <v/>
      </c>
      <c r="FB169" s="107" t="str">
        <f t="shared" si="2650"/>
        <v/>
      </c>
      <c r="FC169" s="107" t="str">
        <f t="shared" si="2650"/>
        <v/>
      </c>
      <c r="FD169" s="107" t="str">
        <f t="shared" si="2650"/>
        <v/>
      </c>
      <c r="FE169" s="107" t="str">
        <f t="shared" si="2650"/>
        <v/>
      </c>
      <c r="FF169" s="107" t="str">
        <f t="shared" si="2650"/>
        <v/>
      </c>
      <c r="FG169" s="107" t="str">
        <f t="shared" si="2650"/>
        <v/>
      </c>
      <c r="FH169" s="107" t="str">
        <f t="shared" si="2650"/>
        <v/>
      </c>
      <c r="FI169" s="107" t="str">
        <f t="shared" si="2650"/>
        <v/>
      </c>
      <c r="FJ169" s="107" t="str">
        <f t="shared" si="2650"/>
        <v/>
      </c>
      <c r="FK169" s="107" t="str">
        <f t="shared" si="2650"/>
        <v/>
      </c>
      <c r="FL169" s="107" t="str">
        <f t="shared" si="2650"/>
        <v/>
      </c>
      <c r="FM169" s="107" t="str">
        <f t="shared" si="2650"/>
        <v/>
      </c>
      <c r="FN169" s="107" t="str">
        <f t="shared" ref="FN169:FS169" si="2651">IF(CH169="","","|n"&amp;FN$2&amp;"+"&amp;CH169&amp;FN$1)</f>
        <v/>
      </c>
      <c r="FO169" s="107" t="str">
        <f t="shared" si="2651"/>
        <v/>
      </c>
      <c r="FP169" s="107" t="str">
        <f t="shared" si="2651"/>
        <v/>
      </c>
      <c r="FQ169" s="107" t="str">
        <f t="shared" si="2651"/>
        <v/>
      </c>
      <c r="FR169" s="107" t="str">
        <f t="shared" si="2651"/>
        <v/>
      </c>
      <c r="FS169" s="107" t="str">
        <f t="shared" si="2651"/>
        <v/>
      </c>
    </row>
    <row r="170" s="37" customFormat="1" ht="15" spans="1:175">
      <c r="A170" s="5"/>
      <c r="B170" s="5" t="s">
        <v>581</v>
      </c>
      <c r="C170" s="97" t="s">
        <v>582</v>
      </c>
      <c r="D170" s="74"/>
      <c r="E170" s="74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81"/>
      <c r="Q170" s="81"/>
      <c r="R170" s="81"/>
      <c r="S170" s="81"/>
      <c r="T170" s="37" t="s">
        <v>583</v>
      </c>
      <c r="U170" s="60" t="str">
        <f t="shared" si="2574"/>
        <v>ReplaceableTextures\\CommandButtons\\BTNIN22.blp</v>
      </c>
      <c r="V170" s="101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5"/>
      <c r="AS170" s="105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  <c r="BJ170" s="102"/>
      <c r="BK170" s="102"/>
      <c r="BL170" s="102"/>
      <c r="BM170" s="102"/>
      <c r="BN170" s="102"/>
      <c r="BO170" s="102"/>
      <c r="BP170" s="102"/>
      <c r="BQ170" s="102"/>
      <c r="BR170" s="102"/>
      <c r="BS170" s="102"/>
      <c r="BT170" s="102"/>
      <c r="BU170" s="102"/>
      <c r="BV170" s="102"/>
      <c r="BW170" s="102"/>
      <c r="BX170" s="102"/>
      <c r="BY170" s="102"/>
      <c r="BZ170" s="102"/>
      <c r="CA170" s="102"/>
      <c r="CB170" s="102"/>
      <c r="CC170" s="102"/>
      <c r="CD170" s="102"/>
      <c r="CE170" s="102"/>
      <c r="CF170" s="102"/>
      <c r="CG170" s="102"/>
      <c r="CH170" s="102"/>
      <c r="CI170" s="102"/>
      <c r="CJ170" s="102"/>
      <c r="CK170" s="102"/>
      <c r="CL170" s="102"/>
      <c r="CM170" s="102"/>
      <c r="CN170" s="106" t="str">
        <f t="shared" si="2136"/>
        <v>InitUnitState('IN22',,,,,,,,,,)</v>
      </c>
      <c r="CO170" s="106" t="str">
        <f t="shared" si="2137"/>
        <v>InitUnitNormal('IN22',,,,,,,,,,)</v>
      </c>
      <c r="CP170" s="106" t="str">
        <f t="shared" si="2138"/>
        <v>InitUnitMagic('IN22',,,,,,,,,,)</v>
      </c>
      <c r="CQ170" s="106" t="str">
        <f t="shared" si="2139"/>
        <v>InitUnitAdd('IN22',,,,,,,,,,)</v>
      </c>
      <c r="CR170" s="106" t="str">
        <f t="shared" si="2647"/>
        <v>InitEquipData('IN22',,"",,,,,'','','','','','',"ReplaceableTextures\\CommandButtons\\BTNIZ01.blp")</v>
      </c>
      <c r="CS170" s="106"/>
      <c r="CT170" s="106"/>
      <c r="CU170" s="72" t="str">
        <f t="shared" si="2575"/>
        <v>|n</v>
      </c>
      <c r="CV170" s="37" t="str">
        <f t="shared" si="2576"/>
        <v>使用后|Cffffd24d5|r分钟内|Cffffd24d不使用任何主动技能/药水|r，获得|Cffffd24d1|r个|Cffff0000附魔宝箱|r</v>
      </c>
      <c r="CW170" s="7"/>
      <c r="CX170" s="7"/>
      <c r="CY170" s="7"/>
      <c r="CZ170" s="7"/>
      <c r="DA170" s="7"/>
      <c r="DB170" s="107" t="str">
        <f t="shared" ref="DB170:FM170" si="2652">IF(V170="","","|n"&amp;DB$2&amp;"+"&amp;V170&amp;DB$1)</f>
        <v/>
      </c>
      <c r="DC170" s="107" t="str">
        <f t="shared" si="2652"/>
        <v/>
      </c>
      <c r="DD170" s="107" t="str">
        <f t="shared" si="2652"/>
        <v/>
      </c>
      <c r="DE170" s="107" t="str">
        <f t="shared" si="2652"/>
        <v/>
      </c>
      <c r="DF170" s="107" t="str">
        <f t="shared" si="2652"/>
        <v/>
      </c>
      <c r="DG170" s="107" t="str">
        <f t="shared" si="2652"/>
        <v/>
      </c>
      <c r="DH170" s="107" t="str">
        <f t="shared" si="2652"/>
        <v/>
      </c>
      <c r="DI170" s="107" t="str">
        <f t="shared" si="2652"/>
        <v/>
      </c>
      <c r="DJ170" s="107" t="str">
        <f t="shared" si="2652"/>
        <v/>
      </c>
      <c r="DK170" s="107" t="str">
        <f t="shared" si="2652"/>
        <v/>
      </c>
      <c r="DL170" s="107" t="str">
        <f t="shared" si="2652"/>
        <v/>
      </c>
      <c r="DM170" s="107" t="str">
        <f t="shared" si="2652"/>
        <v/>
      </c>
      <c r="DN170" s="107" t="str">
        <f t="shared" si="2652"/>
        <v/>
      </c>
      <c r="DO170" s="107" t="str">
        <f t="shared" si="2652"/>
        <v/>
      </c>
      <c r="DP170" s="107" t="str">
        <f t="shared" si="2652"/>
        <v/>
      </c>
      <c r="DQ170" s="107" t="str">
        <f t="shared" si="2652"/>
        <v/>
      </c>
      <c r="DR170" s="107" t="str">
        <f t="shared" si="2652"/>
        <v/>
      </c>
      <c r="DS170" s="107" t="str">
        <f t="shared" si="2652"/>
        <v/>
      </c>
      <c r="DT170" s="107" t="str">
        <f t="shared" si="2652"/>
        <v/>
      </c>
      <c r="DU170" s="107" t="str">
        <f t="shared" si="2652"/>
        <v/>
      </c>
      <c r="DV170" s="107" t="str">
        <f t="shared" si="2652"/>
        <v/>
      </c>
      <c r="DW170" s="107" t="str">
        <f t="shared" si="2652"/>
        <v/>
      </c>
      <c r="DX170" s="107" t="str">
        <f t="shared" si="2652"/>
        <v/>
      </c>
      <c r="DY170" s="107" t="str">
        <f t="shared" si="2652"/>
        <v/>
      </c>
      <c r="DZ170" s="107" t="str">
        <f t="shared" si="2652"/>
        <v/>
      </c>
      <c r="EA170" s="107" t="str">
        <f t="shared" si="2652"/>
        <v/>
      </c>
      <c r="EB170" s="107" t="str">
        <f t="shared" si="2652"/>
        <v/>
      </c>
      <c r="EC170" s="107" t="str">
        <f t="shared" si="2652"/>
        <v/>
      </c>
      <c r="ED170" s="107" t="str">
        <f t="shared" si="2652"/>
        <v/>
      </c>
      <c r="EE170" s="107" t="str">
        <f t="shared" si="2652"/>
        <v/>
      </c>
      <c r="EF170" s="107" t="str">
        <f t="shared" si="2652"/>
        <v/>
      </c>
      <c r="EG170" s="107" t="str">
        <f t="shared" si="2652"/>
        <v/>
      </c>
      <c r="EH170" s="107" t="str">
        <f t="shared" si="2652"/>
        <v/>
      </c>
      <c r="EI170" s="107" t="str">
        <f t="shared" si="2652"/>
        <v/>
      </c>
      <c r="EJ170" s="107" t="str">
        <f t="shared" si="2652"/>
        <v/>
      </c>
      <c r="EK170" s="107" t="str">
        <f t="shared" si="2652"/>
        <v/>
      </c>
      <c r="EL170" s="107" t="str">
        <f t="shared" si="2652"/>
        <v/>
      </c>
      <c r="EM170" s="107" t="str">
        <f t="shared" si="2652"/>
        <v/>
      </c>
      <c r="EN170" s="107" t="str">
        <f t="shared" si="2652"/>
        <v/>
      </c>
      <c r="EO170" s="107" t="str">
        <f t="shared" si="2652"/>
        <v/>
      </c>
      <c r="EP170" s="107" t="str">
        <f t="shared" si="2652"/>
        <v/>
      </c>
      <c r="EQ170" s="107" t="str">
        <f t="shared" si="2652"/>
        <v/>
      </c>
      <c r="ER170" s="107" t="str">
        <f t="shared" si="2652"/>
        <v/>
      </c>
      <c r="ES170" s="107" t="str">
        <f t="shared" si="2652"/>
        <v/>
      </c>
      <c r="ET170" s="107" t="str">
        <f t="shared" si="2652"/>
        <v/>
      </c>
      <c r="EU170" s="107" t="str">
        <f t="shared" si="2652"/>
        <v/>
      </c>
      <c r="EV170" s="107" t="str">
        <f t="shared" si="2652"/>
        <v/>
      </c>
      <c r="EW170" s="107" t="str">
        <f t="shared" si="2652"/>
        <v/>
      </c>
      <c r="EX170" s="107" t="str">
        <f t="shared" si="2652"/>
        <v/>
      </c>
      <c r="EY170" s="107" t="str">
        <f t="shared" si="2652"/>
        <v/>
      </c>
      <c r="EZ170" s="107" t="str">
        <f t="shared" si="2652"/>
        <v/>
      </c>
      <c r="FA170" s="107" t="str">
        <f t="shared" si="2652"/>
        <v/>
      </c>
      <c r="FB170" s="107" t="str">
        <f t="shared" si="2652"/>
        <v/>
      </c>
      <c r="FC170" s="107" t="str">
        <f t="shared" si="2652"/>
        <v/>
      </c>
      <c r="FD170" s="107" t="str">
        <f t="shared" si="2652"/>
        <v/>
      </c>
      <c r="FE170" s="107" t="str">
        <f t="shared" si="2652"/>
        <v/>
      </c>
      <c r="FF170" s="107" t="str">
        <f t="shared" si="2652"/>
        <v/>
      </c>
      <c r="FG170" s="107" t="str">
        <f t="shared" si="2652"/>
        <v/>
      </c>
      <c r="FH170" s="107" t="str">
        <f t="shared" si="2652"/>
        <v/>
      </c>
      <c r="FI170" s="107" t="str">
        <f t="shared" si="2652"/>
        <v/>
      </c>
      <c r="FJ170" s="107" t="str">
        <f t="shared" si="2652"/>
        <v/>
      </c>
      <c r="FK170" s="107" t="str">
        <f t="shared" si="2652"/>
        <v/>
      </c>
      <c r="FL170" s="107" t="str">
        <f t="shared" si="2652"/>
        <v/>
      </c>
      <c r="FM170" s="107" t="str">
        <f t="shared" si="2652"/>
        <v/>
      </c>
      <c r="FN170" s="107" t="str">
        <f t="shared" ref="FN170:FS170" si="2653">IF(CH170="","","|n"&amp;FN$2&amp;"+"&amp;CH170&amp;FN$1)</f>
        <v/>
      </c>
      <c r="FO170" s="107" t="str">
        <f t="shared" si="2653"/>
        <v/>
      </c>
      <c r="FP170" s="107" t="str">
        <f t="shared" si="2653"/>
        <v/>
      </c>
      <c r="FQ170" s="107" t="str">
        <f t="shared" si="2653"/>
        <v/>
      </c>
      <c r="FR170" s="107" t="str">
        <f t="shared" si="2653"/>
        <v/>
      </c>
      <c r="FS170" s="107" t="str">
        <f t="shared" si="2653"/>
        <v/>
      </c>
    </row>
    <row r="171" s="37" customFormat="1" ht="15" spans="1:175">
      <c r="A171" s="5"/>
      <c r="B171" s="92" t="s">
        <v>584</v>
      </c>
      <c r="C171" s="95" t="s">
        <v>585</v>
      </c>
      <c r="D171" s="74"/>
      <c r="E171" s="74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81"/>
      <c r="Q171" s="81"/>
      <c r="R171" s="81"/>
      <c r="S171" s="81"/>
      <c r="T171" s="37" t="s">
        <v>586</v>
      </c>
      <c r="U171" s="60" t="str">
        <f t="shared" si="2574"/>
        <v>ReplaceableTextures\\CommandButtons\\BTNIN23.blp</v>
      </c>
      <c r="V171" s="101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5"/>
      <c r="AS171" s="105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  <c r="BJ171" s="102"/>
      <c r="BK171" s="102"/>
      <c r="BL171" s="102"/>
      <c r="BM171" s="102"/>
      <c r="BN171" s="102"/>
      <c r="BO171" s="102"/>
      <c r="BP171" s="102"/>
      <c r="BQ171" s="102"/>
      <c r="BR171" s="102"/>
      <c r="BS171" s="102"/>
      <c r="BT171" s="102"/>
      <c r="BU171" s="102"/>
      <c r="BV171" s="102"/>
      <c r="BW171" s="102"/>
      <c r="BX171" s="102"/>
      <c r="BY171" s="102"/>
      <c r="BZ171" s="102"/>
      <c r="CA171" s="102"/>
      <c r="CB171" s="102"/>
      <c r="CC171" s="102"/>
      <c r="CD171" s="102"/>
      <c r="CE171" s="102"/>
      <c r="CF171" s="102"/>
      <c r="CG171" s="102"/>
      <c r="CH171" s="102"/>
      <c r="CI171" s="102"/>
      <c r="CJ171" s="102"/>
      <c r="CK171" s="102"/>
      <c r="CL171" s="102"/>
      <c r="CM171" s="102"/>
      <c r="CN171" s="106" t="str">
        <f t="shared" si="2136"/>
        <v>InitUnitState('IN23',,,,,,,,,,)</v>
      </c>
      <c r="CO171" s="106" t="str">
        <f t="shared" si="2137"/>
        <v>InitUnitNormal('IN23',,,,,,,,,,)</v>
      </c>
      <c r="CP171" s="106" t="str">
        <f t="shared" si="2138"/>
        <v>InitUnitMagic('IN23',,,,,,,,,,)</v>
      </c>
      <c r="CQ171" s="106" t="str">
        <f t="shared" si="2139"/>
        <v>InitUnitAdd('IN23',,,,,,,,,,)</v>
      </c>
      <c r="CR171" s="106" t="str">
        <f t="shared" si="2647"/>
        <v>InitEquipData('IN23',,"",,,,,'','','','','','',"ReplaceableTextures\\CommandButtons\\BTN001.blp")</v>
      </c>
      <c r="CS171" s="106"/>
      <c r="CT171" s="106"/>
      <c r="CU171" s="72" t="str">
        <f t="shared" si="2575"/>
        <v>|n</v>
      </c>
      <c r="CV171" s="37" t="str">
        <f t="shared" si="2576"/>
        <v>使用后|Cffffd24d5|r分钟内|Cffffd24d不进行任何挑战|r，获得|Cffffd24d1|r个|Cffff0000附魔宝箱|r</v>
      </c>
      <c r="CW171" s="7"/>
      <c r="CX171" s="7"/>
      <c r="CY171" s="7"/>
      <c r="CZ171" s="7"/>
      <c r="DA171" s="7"/>
      <c r="DB171" s="107" t="str">
        <f t="shared" ref="DB171:FM171" si="2654">IF(V171="","","|n"&amp;DB$2&amp;"+"&amp;V171&amp;DB$1)</f>
        <v/>
      </c>
      <c r="DC171" s="107" t="str">
        <f t="shared" si="2654"/>
        <v/>
      </c>
      <c r="DD171" s="107" t="str">
        <f t="shared" si="2654"/>
        <v/>
      </c>
      <c r="DE171" s="107" t="str">
        <f t="shared" si="2654"/>
        <v/>
      </c>
      <c r="DF171" s="107" t="str">
        <f t="shared" si="2654"/>
        <v/>
      </c>
      <c r="DG171" s="107" t="str">
        <f t="shared" si="2654"/>
        <v/>
      </c>
      <c r="DH171" s="107" t="str">
        <f t="shared" si="2654"/>
        <v/>
      </c>
      <c r="DI171" s="107" t="str">
        <f t="shared" si="2654"/>
        <v/>
      </c>
      <c r="DJ171" s="107" t="str">
        <f t="shared" si="2654"/>
        <v/>
      </c>
      <c r="DK171" s="107" t="str">
        <f t="shared" si="2654"/>
        <v/>
      </c>
      <c r="DL171" s="107" t="str">
        <f t="shared" si="2654"/>
        <v/>
      </c>
      <c r="DM171" s="107" t="str">
        <f t="shared" si="2654"/>
        <v/>
      </c>
      <c r="DN171" s="107" t="str">
        <f t="shared" si="2654"/>
        <v/>
      </c>
      <c r="DO171" s="107" t="str">
        <f t="shared" si="2654"/>
        <v/>
      </c>
      <c r="DP171" s="107" t="str">
        <f t="shared" si="2654"/>
        <v/>
      </c>
      <c r="DQ171" s="107" t="str">
        <f t="shared" si="2654"/>
        <v/>
      </c>
      <c r="DR171" s="107" t="str">
        <f t="shared" si="2654"/>
        <v/>
      </c>
      <c r="DS171" s="107" t="str">
        <f t="shared" si="2654"/>
        <v/>
      </c>
      <c r="DT171" s="107" t="str">
        <f t="shared" si="2654"/>
        <v/>
      </c>
      <c r="DU171" s="107" t="str">
        <f t="shared" si="2654"/>
        <v/>
      </c>
      <c r="DV171" s="107" t="str">
        <f t="shared" si="2654"/>
        <v/>
      </c>
      <c r="DW171" s="107" t="str">
        <f t="shared" si="2654"/>
        <v/>
      </c>
      <c r="DX171" s="107" t="str">
        <f t="shared" si="2654"/>
        <v/>
      </c>
      <c r="DY171" s="107" t="str">
        <f t="shared" si="2654"/>
        <v/>
      </c>
      <c r="DZ171" s="107" t="str">
        <f t="shared" si="2654"/>
        <v/>
      </c>
      <c r="EA171" s="107" t="str">
        <f t="shared" si="2654"/>
        <v/>
      </c>
      <c r="EB171" s="107" t="str">
        <f t="shared" si="2654"/>
        <v/>
      </c>
      <c r="EC171" s="107" t="str">
        <f t="shared" si="2654"/>
        <v/>
      </c>
      <c r="ED171" s="107" t="str">
        <f t="shared" si="2654"/>
        <v/>
      </c>
      <c r="EE171" s="107" t="str">
        <f t="shared" si="2654"/>
        <v/>
      </c>
      <c r="EF171" s="107" t="str">
        <f t="shared" si="2654"/>
        <v/>
      </c>
      <c r="EG171" s="107" t="str">
        <f t="shared" si="2654"/>
        <v/>
      </c>
      <c r="EH171" s="107" t="str">
        <f t="shared" si="2654"/>
        <v/>
      </c>
      <c r="EI171" s="107" t="str">
        <f t="shared" si="2654"/>
        <v/>
      </c>
      <c r="EJ171" s="107" t="str">
        <f t="shared" si="2654"/>
        <v/>
      </c>
      <c r="EK171" s="107" t="str">
        <f t="shared" si="2654"/>
        <v/>
      </c>
      <c r="EL171" s="107" t="str">
        <f t="shared" si="2654"/>
        <v/>
      </c>
      <c r="EM171" s="107" t="str">
        <f t="shared" si="2654"/>
        <v/>
      </c>
      <c r="EN171" s="107" t="str">
        <f t="shared" si="2654"/>
        <v/>
      </c>
      <c r="EO171" s="107" t="str">
        <f t="shared" si="2654"/>
        <v/>
      </c>
      <c r="EP171" s="107" t="str">
        <f t="shared" si="2654"/>
        <v/>
      </c>
      <c r="EQ171" s="107" t="str">
        <f t="shared" si="2654"/>
        <v/>
      </c>
      <c r="ER171" s="107" t="str">
        <f t="shared" si="2654"/>
        <v/>
      </c>
      <c r="ES171" s="107" t="str">
        <f t="shared" si="2654"/>
        <v/>
      </c>
      <c r="ET171" s="107" t="str">
        <f t="shared" si="2654"/>
        <v/>
      </c>
      <c r="EU171" s="107" t="str">
        <f t="shared" si="2654"/>
        <v/>
      </c>
      <c r="EV171" s="107" t="str">
        <f t="shared" si="2654"/>
        <v/>
      </c>
      <c r="EW171" s="107" t="str">
        <f t="shared" si="2654"/>
        <v/>
      </c>
      <c r="EX171" s="107" t="str">
        <f t="shared" si="2654"/>
        <v/>
      </c>
      <c r="EY171" s="107" t="str">
        <f t="shared" si="2654"/>
        <v/>
      </c>
      <c r="EZ171" s="107" t="str">
        <f t="shared" si="2654"/>
        <v/>
      </c>
      <c r="FA171" s="107" t="str">
        <f t="shared" si="2654"/>
        <v/>
      </c>
      <c r="FB171" s="107" t="str">
        <f t="shared" si="2654"/>
        <v/>
      </c>
      <c r="FC171" s="107" t="str">
        <f t="shared" si="2654"/>
        <v/>
      </c>
      <c r="FD171" s="107" t="str">
        <f t="shared" si="2654"/>
        <v/>
      </c>
      <c r="FE171" s="107" t="str">
        <f t="shared" si="2654"/>
        <v/>
      </c>
      <c r="FF171" s="107" t="str">
        <f t="shared" si="2654"/>
        <v/>
      </c>
      <c r="FG171" s="107" t="str">
        <f t="shared" si="2654"/>
        <v/>
      </c>
      <c r="FH171" s="107" t="str">
        <f t="shared" si="2654"/>
        <v/>
      </c>
      <c r="FI171" s="107" t="str">
        <f t="shared" si="2654"/>
        <v/>
      </c>
      <c r="FJ171" s="107" t="str">
        <f t="shared" si="2654"/>
        <v/>
      </c>
      <c r="FK171" s="107" t="str">
        <f t="shared" si="2654"/>
        <v/>
      </c>
      <c r="FL171" s="107" t="str">
        <f t="shared" si="2654"/>
        <v/>
      </c>
      <c r="FM171" s="107" t="str">
        <f t="shared" si="2654"/>
        <v/>
      </c>
      <c r="FN171" s="107" t="str">
        <f t="shared" ref="FN171:FS171" si="2655">IF(CH171="","","|n"&amp;FN$2&amp;"+"&amp;CH171&amp;FN$1)</f>
        <v/>
      </c>
      <c r="FO171" s="107" t="str">
        <f t="shared" si="2655"/>
        <v/>
      </c>
      <c r="FP171" s="107" t="str">
        <f t="shared" si="2655"/>
        <v/>
      </c>
      <c r="FQ171" s="107" t="str">
        <f t="shared" si="2655"/>
        <v/>
      </c>
      <c r="FR171" s="107" t="str">
        <f t="shared" si="2655"/>
        <v/>
      </c>
      <c r="FS171" s="107" t="str">
        <f t="shared" si="2655"/>
        <v/>
      </c>
    </row>
    <row r="172" s="37" customFormat="1" ht="15" spans="1:175">
      <c r="A172" s="5"/>
      <c r="B172" s="92" t="s">
        <v>587</v>
      </c>
      <c r="C172" s="95" t="s">
        <v>588</v>
      </c>
      <c r="D172" s="74"/>
      <c r="E172" s="74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81"/>
      <c r="Q172" s="81"/>
      <c r="R172" s="81"/>
      <c r="S172" s="81"/>
      <c r="T172" s="37" t="s">
        <v>589</v>
      </c>
      <c r="U172" s="60" t="str">
        <f t="shared" si="2574"/>
        <v>ReplaceableTextures\\CommandButtons\\BTNIN24.blp</v>
      </c>
      <c r="V172" s="101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5"/>
      <c r="AS172" s="105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102"/>
      <c r="BU172" s="102"/>
      <c r="BV172" s="102"/>
      <c r="BW172" s="102"/>
      <c r="BX172" s="102"/>
      <c r="BY172" s="102"/>
      <c r="BZ172" s="102"/>
      <c r="CA172" s="102"/>
      <c r="CB172" s="102"/>
      <c r="CC172" s="102"/>
      <c r="CD172" s="102"/>
      <c r="CE172" s="102"/>
      <c r="CF172" s="102"/>
      <c r="CG172" s="102"/>
      <c r="CH172" s="102"/>
      <c r="CI172" s="102"/>
      <c r="CJ172" s="102"/>
      <c r="CK172" s="102"/>
      <c r="CL172" s="102"/>
      <c r="CM172" s="102"/>
      <c r="CN172" s="106" t="str">
        <f t="shared" si="2136"/>
        <v>InitUnitState('IN24',,,,,,,,,,)</v>
      </c>
      <c r="CO172" s="106" t="str">
        <f t="shared" si="2137"/>
        <v>InitUnitNormal('IN24',,,,,,,,,,)</v>
      </c>
      <c r="CP172" s="106" t="str">
        <f t="shared" si="2138"/>
        <v>InitUnitMagic('IN24',,,,,,,,,,)</v>
      </c>
      <c r="CQ172" s="106" t="str">
        <f t="shared" si="2139"/>
        <v>InitUnitAdd('IN24',,,,,,,,,,)</v>
      </c>
      <c r="CR172" s="106" t="str">
        <f t="shared" si="2647"/>
        <v>InitEquipData('IN24',,"",,,,,'','','','','','',"ReplaceableTextures\\CommandButtons\\BTN002.blp")</v>
      </c>
      <c r="CS172" s="106"/>
      <c r="CT172" s="106"/>
      <c r="CU172" s="72" t="str">
        <f t="shared" si="2575"/>
        <v>|n</v>
      </c>
      <c r="CV172" s="37" t="str">
        <f t="shared" si="2576"/>
        <v>使用后|Cffffd24d5|r分钟内|Cffffd24d不使用轻功|r，获得|Cffffd24d1|r个|Cffff0000附魔宝箱|r</v>
      </c>
      <c r="CW172" s="7"/>
      <c r="CX172" s="7"/>
      <c r="CY172" s="7"/>
      <c r="CZ172" s="7"/>
      <c r="DA172" s="7"/>
      <c r="DB172" s="107" t="str">
        <f t="shared" ref="DB172:FM172" si="2656">IF(V172="","","|n"&amp;DB$2&amp;"+"&amp;V172&amp;DB$1)</f>
        <v/>
      </c>
      <c r="DC172" s="107" t="str">
        <f t="shared" si="2656"/>
        <v/>
      </c>
      <c r="DD172" s="107" t="str">
        <f t="shared" si="2656"/>
        <v/>
      </c>
      <c r="DE172" s="107" t="str">
        <f t="shared" si="2656"/>
        <v/>
      </c>
      <c r="DF172" s="107" t="str">
        <f t="shared" si="2656"/>
        <v/>
      </c>
      <c r="DG172" s="107" t="str">
        <f t="shared" si="2656"/>
        <v/>
      </c>
      <c r="DH172" s="107" t="str">
        <f t="shared" si="2656"/>
        <v/>
      </c>
      <c r="DI172" s="107" t="str">
        <f t="shared" si="2656"/>
        <v/>
      </c>
      <c r="DJ172" s="107" t="str">
        <f t="shared" si="2656"/>
        <v/>
      </c>
      <c r="DK172" s="107" t="str">
        <f t="shared" si="2656"/>
        <v/>
      </c>
      <c r="DL172" s="107" t="str">
        <f t="shared" si="2656"/>
        <v/>
      </c>
      <c r="DM172" s="107" t="str">
        <f t="shared" si="2656"/>
        <v/>
      </c>
      <c r="DN172" s="107" t="str">
        <f t="shared" si="2656"/>
        <v/>
      </c>
      <c r="DO172" s="107" t="str">
        <f t="shared" si="2656"/>
        <v/>
      </c>
      <c r="DP172" s="107" t="str">
        <f t="shared" si="2656"/>
        <v/>
      </c>
      <c r="DQ172" s="107" t="str">
        <f t="shared" si="2656"/>
        <v/>
      </c>
      <c r="DR172" s="107" t="str">
        <f t="shared" si="2656"/>
        <v/>
      </c>
      <c r="DS172" s="107" t="str">
        <f t="shared" si="2656"/>
        <v/>
      </c>
      <c r="DT172" s="107" t="str">
        <f t="shared" si="2656"/>
        <v/>
      </c>
      <c r="DU172" s="107" t="str">
        <f t="shared" si="2656"/>
        <v/>
      </c>
      <c r="DV172" s="107" t="str">
        <f t="shared" si="2656"/>
        <v/>
      </c>
      <c r="DW172" s="107" t="str">
        <f t="shared" si="2656"/>
        <v/>
      </c>
      <c r="DX172" s="107" t="str">
        <f t="shared" si="2656"/>
        <v/>
      </c>
      <c r="DY172" s="107" t="str">
        <f t="shared" si="2656"/>
        <v/>
      </c>
      <c r="DZ172" s="107" t="str">
        <f t="shared" si="2656"/>
        <v/>
      </c>
      <c r="EA172" s="107" t="str">
        <f t="shared" si="2656"/>
        <v/>
      </c>
      <c r="EB172" s="107" t="str">
        <f t="shared" si="2656"/>
        <v/>
      </c>
      <c r="EC172" s="107" t="str">
        <f t="shared" si="2656"/>
        <v/>
      </c>
      <c r="ED172" s="107" t="str">
        <f t="shared" si="2656"/>
        <v/>
      </c>
      <c r="EE172" s="107" t="str">
        <f t="shared" si="2656"/>
        <v/>
      </c>
      <c r="EF172" s="107" t="str">
        <f t="shared" si="2656"/>
        <v/>
      </c>
      <c r="EG172" s="107" t="str">
        <f t="shared" si="2656"/>
        <v/>
      </c>
      <c r="EH172" s="107" t="str">
        <f t="shared" si="2656"/>
        <v/>
      </c>
      <c r="EI172" s="107" t="str">
        <f t="shared" si="2656"/>
        <v/>
      </c>
      <c r="EJ172" s="107" t="str">
        <f t="shared" si="2656"/>
        <v/>
      </c>
      <c r="EK172" s="107" t="str">
        <f t="shared" si="2656"/>
        <v/>
      </c>
      <c r="EL172" s="107" t="str">
        <f t="shared" si="2656"/>
        <v/>
      </c>
      <c r="EM172" s="107" t="str">
        <f t="shared" si="2656"/>
        <v/>
      </c>
      <c r="EN172" s="107" t="str">
        <f t="shared" si="2656"/>
        <v/>
      </c>
      <c r="EO172" s="107" t="str">
        <f t="shared" si="2656"/>
        <v/>
      </c>
      <c r="EP172" s="107" t="str">
        <f t="shared" si="2656"/>
        <v/>
      </c>
      <c r="EQ172" s="107" t="str">
        <f t="shared" si="2656"/>
        <v/>
      </c>
      <c r="ER172" s="107" t="str">
        <f t="shared" si="2656"/>
        <v/>
      </c>
      <c r="ES172" s="107" t="str">
        <f t="shared" si="2656"/>
        <v/>
      </c>
      <c r="ET172" s="107" t="str">
        <f t="shared" si="2656"/>
        <v/>
      </c>
      <c r="EU172" s="107" t="str">
        <f t="shared" si="2656"/>
        <v/>
      </c>
      <c r="EV172" s="107" t="str">
        <f t="shared" si="2656"/>
        <v/>
      </c>
      <c r="EW172" s="107" t="str">
        <f t="shared" si="2656"/>
        <v/>
      </c>
      <c r="EX172" s="107" t="str">
        <f t="shared" si="2656"/>
        <v/>
      </c>
      <c r="EY172" s="107" t="str">
        <f t="shared" si="2656"/>
        <v/>
      </c>
      <c r="EZ172" s="107" t="str">
        <f t="shared" si="2656"/>
        <v/>
      </c>
      <c r="FA172" s="107" t="str">
        <f t="shared" si="2656"/>
        <v/>
      </c>
      <c r="FB172" s="107" t="str">
        <f t="shared" si="2656"/>
        <v/>
      </c>
      <c r="FC172" s="107" t="str">
        <f t="shared" si="2656"/>
        <v/>
      </c>
      <c r="FD172" s="107" t="str">
        <f t="shared" si="2656"/>
        <v/>
      </c>
      <c r="FE172" s="107" t="str">
        <f t="shared" si="2656"/>
        <v/>
      </c>
      <c r="FF172" s="107" t="str">
        <f t="shared" si="2656"/>
        <v/>
      </c>
      <c r="FG172" s="107" t="str">
        <f t="shared" si="2656"/>
        <v/>
      </c>
      <c r="FH172" s="107" t="str">
        <f t="shared" si="2656"/>
        <v/>
      </c>
      <c r="FI172" s="107" t="str">
        <f t="shared" si="2656"/>
        <v/>
      </c>
      <c r="FJ172" s="107" t="str">
        <f t="shared" si="2656"/>
        <v/>
      </c>
      <c r="FK172" s="107" t="str">
        <f t="shared" si="2656"/>
        <v/>
      </c>
      <c r="FL172" s="107" t="str">
        <f t="shared" si="2656"/>
        <v/>
      </c>
      <c r="FM172" s="107" t="str">
        <f t="shared" si="2656"/>
        <v/>
      </c>
      <c r="FN172" s="107" t="str">
        <f t="shared" ref="FN172:FS172" si="2657">IF(CH172="","","|n"&amp;FN$2&amp;"+"&amp;CH172&amp;FN$1)</f>
        <v/>
      </c>
      <c r="FO172" s="107" t="str">
        <f t="shared" si="2657"/>
        <v/>
      </c>
      <c r="FP172" s="107" t="str">
        <f t="shared" si="2657"/>
        <v/>
      </c>
      <c r="FQ172" s="107" t="str">
        <f t="shared" si="2657"/>
        <v/>
      </c>
      <c r="FR172" s="107" t="str">
        <f t="shared" si="2657"/>
        <v/>
      </c>
      <c r="FS172" s="107" t="str">
        <f t="shared" si="2657"/>
        <v/>
      </c>
    </row>
    <row r="173" s="37" customFormat="1" ht="15" spans="1:175">
      <c r="A173" s="5"/>
      <c r="B173" s="98" t="s">
        <v>590</v>
      </c>
      <c r="C173" s="97" t="s">
        <v>591</v>
      </c>
      <c r="D173" s="74"/>
      <c r="E173" s="74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81"/>
      <c r="Q173" s="81"/>
      <c r="R173" s="81"/>
      <c r="S173" s="81"/>
      <c r="T173" s="37" t="s">
        <v>571</v>
      </c>
      <c r="U173" s="60" t="str">
        <f t="shared" si="2574"/>
        <v>ReplaceableTextures\\CommandButtons\\BTNIN25.blp</v>
      </c>
      <c r="V173" s="101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5"/>
      <c r="AS173" s="105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102"/>
      <c r="BU173" s="102"/>
      <c r="BV173" s="102"/>
      <c r="BW173" s="102"/>
      <c r="BX173" s="102"/>
      <c r="BY173" s="102"/>
      <c r="BZ173" s="102"/>
      <c r="CA173" s="102"/>
      <c r="CB173" s="102"/>
      <c r="CC173" s="102"/>
      <c r="CD173" s="102"/>
      <c r="CE173" s="102"/>
      <c r="CF173" s="102"/>
      <c r="CG173" s="102"/>
      <c r="CH173" s="102"/>
      <c r="CI173" s="102"/>
      <c r="CJ173" s="102"/>
      <c r="CK173" s="102"/>
      <c r="CL173" s="102"/>
      <c r="CM173" s="102"/>
      <c r="CN173" s="106" t="str">
        <f t="shared" si="2136"/>
        <v>InitUnitState('IN25',,,,,,,,,,)</v>
      </c>
      <c r="CO173" s="106" t="str">
        <f t="shared" si="2137"/>
        <v>InitUnitNormal('IN25',,,,,,,,,,)</v>
      </c>
      <c r="CP173" s="106" t="str">
        <f t="shared" si="2138"/>
        <v>InitUnitMagic('IN25',,,,,,,,,,)</v>
      </c>
      <c r="CQ173" s="106" t="str">
        <f t="shared" si="2139"/>
        <v>InitUnitAdd('IN25',,,,,,,,,,)</v>
      </c>
      <c r="CR173" s="106" t="str">
        <f t="shared" si="2647"/>
        <v>InitEquipData('IN25',,"",,,,,'','','','','','',"ReplaceableTextures\\CommandButtons\\BTN003.blp")</v>
      </c>
      <c r="CS173" s="106"/>
      <c r="CT173" s="106"/>
      <c r="CU173" s="72" t="str">
        <f t="shared" si="2575"/>
        <v>|n</v>
      </c>
      <c r="CV173" s="37" t="str">
        <f t="shared" si="2576"/>
        <v>|CffFFD24D30|r秒内增加|Cffffd24d30%|r金币加成</v>
      </c>
      <c r="CW173" s="7"/>
      <c r="CX173" s="7"/>
      <c r="CY173" s="7"/>
      <c r="CZ173" s="7"/>
      <c r="DA173" s="7"/>
      <c r="DB173" s="107" t="str">
        <f t="shared" ref="DB173:FM173" si="2658">IF(V173="","","|n"&amp;DB$2&amp;"+"&amp;V173&amp;DB$1)</f>
        <v/>
      </c>
      <c r="DC173" s="107" t="str">
        <f t="shared" si="2658"/>
        <v/>
      </c>
      <c r="DD173" s="107" t="str">
        <f t="shared" si="2658"/>
        <v/>
      </c>
      <c r="DE173" s="107" t="str">
        <f t="shared" si="2658"/>
        <v/>
      </c>
      <c r="DF173" s="107" t="str">
        <f t="shared" si="2658"/>
        <v/>
      </c>
      <c r="DG173" s="107" t="str">
        <f t="shared" si="2658"/>
        <v/>
      </c>
      <c r="DH173" s="107" t="str">
        <f t="shared" si="2658"/>
        <v/>
      </c>
      <c r="DI173" s="107" t="str">
        <f t="shared" si="2658"/>
        <v/>
      </c>
      <c r="DJ173" s="107" t="str">
        <f t="shared" si="2658"/>
        <v/>
      </c>
      <c r="DK173" s="107" t="str">
        <f t="shared" si="2658"/>
        <v/>
      </c>
      <c r="DL173" s="107" t="str">
        <f t="shared" si="2658"/>
        <v/>
      </c>
      <c r="DM173" s="107" t="str">
        <f t="shared" si="2658"/>
        <v/>
      </c>
      <c r="DN173" s="107" t="str">
        <f t="shared" si="2658"/>
        <v/>
      </c>
      <c r="DO173" s="107" t="str">
        <f t="shared" si="2658"/>
        <v/>
      </c>
      <c r="DP173" s="107" t="str">
        <f t="shared" si="2658"/>
        <v/>
      </c>
      <c r="DQ173" s="107" t="str">
        <f t="shared" si="2658"/>
        <v/>
      </c>
      <c r="DR173" s="107" t="str">
        <f t="shared" si="2658"/>
        <v/>
      </c>
      <c r="DS173" s="107" t="str">
        <f t="shared" si="2658"/>
        <v/>
      </c>
      <c r="DT173" s="107" t="str">
        <f t="shared" si="2658"/>
        <v/>
      </c>
      <c r="DU173" s="107" t="str">
        <f t="shared" si="2658"/>
        <v/>
      </c>
      <c r="DV173" s="107" t="str">
        <f t="shared" si="2658"/>
        <v/>
      </c>
      <c r="DW173" s="107" t="str">
        <f t="shared" si="2658"/>
        <v/>
      </c>
      <c r="DX173" s="107" t="str">
        <f t="shared" si="2658"/>
        <v/>
      </c>
      <c r="DY173" s="107" t="str">
        <f t="shared" si="2658"/>
        <v/>
      </c>
      <c r="DZ173" s="107" t="str">
        <f t="shared" si="2658"/>
        <v/>
      </c>
      <c r="EA173" s="107" t="str">
        <f t="shared" si="2658"/>
        <v/>
      </c>
      <c r="EB173" s="107" t="str">
        <f t="shared" si="2658"/>
        <v/>
      </c>
      <c r="EC173" s="107" t="str">
        <f t="shared" si="2658"/>
        <v/>
      </c>
      <c r="ED173" s="107" t="str">
        <f t="shared" si="2658"/>
        <v/>
      </c>
      <c r="EE173" s="107" t="str">
        <f t="shared" si="2658"/>
        <v/>
      </c>
      <c r="EF173" s="107" t="str">
        <f t="shared" si="2658"/>
        <v/>
      </c>
      <c r="EG173" s="107" t="str">
        <f t="shared" si="2658"/>
        <v/>
      </c>
      <c r="EH173" s="107" t="str">
        <f t="shared" si="2658"/>
        <v/>
      </c>
      <c r="EI173" s="107" t="str">
        <f t="shared" si="2658"/>
        <v/>
      </c>
      <c r="EJ173" s="107" t="str">
        <f t="shared" si="2658"/>
        <v/>
      </c>
      <c r="EK173" s="107" t="str">
        <f t="shared" si="2658"/>
        <v/>
      </c>
      <c r="EL173" s="107" t="str">
        <f t="shared" si="2658"/>
        <v/>
      </c>
      <c r="EM173" s="107" t="str">
        <f t="shared" si="2658"/>
        <v/>
      </c>
      <c r="EN173" s="107" t="str">
        <f t="shared" si="2658"/>
        <v/>
      </c>
      <c r="EO173" s="107" t="str">
        <f t="shared" si="2658"/>
        <v/>
      </c>
      <c r="EP173" s="107" t="str">
        <f t="shared" si="2658"/>
        <v/>
      </c>
      <c r="EQ173" s="107" t="str">
        <f t="shared" si="2658"/>
        <v/>
      </c>
      <c r="ER173" s="107" t="str">
        <f t="shared" si="2658"/>
        <v/>
      </c>
      <c r="ES173" s="107" t="str">
        <f t="shared" si="2658"/>
        <v/>
      </c>
      <c r="ET173" s="107" t="str">
        <f t="shared" si="2658"/>
        <v/>
      </c>
      <c r="EU173" s="107" t="str">
        <f t="shared" si="2658"/>
        <v/>
      </c>
      <c r="EV173" s="107" t="str">
        <f t="shared" si="2658"/>
        <v/>
      </c>
      <c r="EW173" s="107" t="str">
        <f t="shared" si="2658"/>
        <v/>
      </c>
      <c r="EX173" s="107" t="str">
        <f t="shared" si="2658"/>
        <v/>
      </c>
      <c r="EY173" s="107" t="str">
        <f t="shared" si="2658"/>
        <v/>
      </c>
      <c r="EZ173" s="107" t="str">
        <f t="shared" si="2658"/>
        <v/>
      </c>
      <c r="FA173" s="107" t="str">
        <f t="shared" si="2658"/>
        <v/>
      </c>
      <c r="FB173" s="107" t="str">
        <f t="shared" si="2658"/>
        <v/>
      </c>
      <c r="FC173" s="107" t="str">
        <f t="shared" si="2658"/>
        <v/>
      </c>
      <c r="FD173" s="107" t="str">
        <f t="shared" si="2658"/>
        <v/>
      </c>
      <c r="FE173" s="107" t="str">
        <f t="shared" si="2658"/>
        <v/>
      </c>
      <c r="FF173" s="107" t="str">
        <f t="shared" si="2658"/>
        <v/>
      </c>
      <c r="FG173" s="107" t="str">
        <f t="shared" si="2658"/>
        <v/>
      </c>
      <c r="FH173" s="107" t="str">
        <f t="shared" si="2658"/>
        <v/>
      </c>
      <c r="FI173" s="107" t="str">
        <f t="shared" si="2658"/>
        <v/>
      </c>
      <c r="FJ173" s="107" t="str">
        <f t="shared" si="2658"/>
        <v/>
      </c>
      <c r="FK173" s="107" t="str">
        <f t="shared" si="2658"/>
        <v/>
      </c>
      <c r="FL173" s="107" t="str">
        <f t="shared" si="2658"/>
        <v/>
      </c>
      <c r="FM173" s="107" t="str">
        <f t="shared" si="2658"/>
        <v/>
      </c>
      <c r="FN173" s="107" t="str">
        <f t="shared" ref="FN173:FS173" si="2659">IF(CH173="","","|n"&amp;FN$2&amp;"+"&amp;CH173&amp;FN$1)</f>
        <v/>
      </c>
      <c r="FO173" s="107" t="str">
        <f t="shared" si="2659"/>
        <v/>
      </c>
      <c r="FP173" s="107" t="str">
        <f t="shared" si="2659"/>
        <v/>
      </c>
      <c r="FQ173" s="107" t="str">
        <f t="shared" si="2659"/>
        <v/>
      </c>
      <c r="FR173" s="107" t="str">
        <f t="shared" si="2659"/>
        <v/>
      </c>
      <c r="FS173" s="107" t="str">
        <f t="shared" si="2659"/>
        <v/>
      </c>
    </row>
    <row r="174" s="37" customFormat="1" ht="15" spans="1:175">
      <c r="A174" s="5"/>
      <c r="B174" s="98" t="s">
        <v>592</v>
      </c>
      <c r="C174" s="97" t="s">
        <v>593</v>
      </c>
      <c r="D174" s="74"/>
      <c r="E174" s="74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81"/>
      <c r="Q174" s="81"/>
      <c r="R174" s="81"/>
      <c r="S174" s="81"/>
      <c r="T174" s="37" t="s">
        <v>574</v>
      </c>
      <c r="U174" s="60" t="str">
        <f t="shared" si="2574"/>
        <v>ReplaceableTextures\\CommandButtons\\BTNIN26.blp</v>
      </c>
      <c r="V174" s="101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5"/>
      <c r="AS174" s="105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102"/>
      <c r="BU174" s="102"/>
      <c r="BV174" s="102"/>
      <c r="BW174" s="102"/>
      <c r="BX174" s="102"/>
      <c r="BY174" s="102"/>
      <c r="BZ174" s="102"/>
      <c r="CA174" s="102"/>
      <c r="CB174" s="102"/>
      <c r="CC174" s="102"/>
      <c r="CD174" s="102"/>
      <c r="CE174" s="102"/>
      <c r="CF174" s="102"/>
      <c r="CG174" s="102"/>
      <c r="CH174" s="102"/>
      <c r="CI174" s="102"/>
      <c r="CJ174" s="102"/>
      <c r="CK174" s="102"/>
      <c r="CL174" s="102"/>
      <c r="CM174" s="102"/>
      <c r="CN174" s="106" t="str">
        <f t="shared" si="2136"/>
        <v>InitUnitState('IN26',,,,,,,,,,)</v>
      </c>
      <c r="CO174" s="106" t="str">
        <f t="shared" si="2137"/>
        <v>InitUnitNormal('IN26',,,,,,,,,,)</v>
      </c>
      <c r="CP174" s="106" t="str">
        <f t="shared" si="2138"/>
        <v>InitUnitMagic('IN26',,,,,,,,,,)</v>
      </c>
      <c r="CQ174" s="106" t="str">
        <f t="shared" si="2139"/>
        <v>InitUnitAdd('IN26',,,,,,,,,,)</v>
      </c>
      <c r="CR174" s="106" t="str">
        <f t="shared" si="2647"/>
        <v>InitEquipData('IN26',,"",,,,,'','','','','','',"ReplaceableTextures\\CommandButtons\\BTNIN01.blp")</v>
      </c>
      <c r="CS174" s="106"/>
      <c r="CT174" s="106"/>
      <c r="CU174" s="72" t="str">
        <f t="shared" si="2575"/>
        <v>|n</v>
      </c>
      <c r="CV174" s="37" t="str">
        <f t="shared" si="2576"/>
        <v>使用后获得|Cffffc926随机类型技能附魔卷|r</v>
      </c>
      <c r="CW174" s="7"/>
      <c r="CX174" s="7"/>
      <c r="CY174" s="7"/>
      <c r="CZ174" s="7"/>
      <c r="DA174" s="7"/>
      <c r="DB174" s="107" t="str">
        <f t="shared" ref="DB174:FM174" si="2660">IF(V174="","","|n"&amp;DB$2&amp;"+"&amp;V174&amp;DB$1)</f>
        <v/>
      </c>
      <c r="DC174" s="107" t="str">
        <f t="shared" si="2660"/>
        <v/>
      </c>
      <c r="DD174" s="107" t="str">
        <f t="shared" si="2660"/>
        <v/>
      </c>
      <c r="DE174" s="107" t="str">
        <f t="shared" si="2660"/>
        <v/>
      </c>
      <c r="DF174" s="107" t="str">
        <f t="shared" si="2660"/>
        <v/>
      </c>
      <c r="DG174" s="107" t="str">
        <f t="shared" si="2660"/>
        <v/>
      </c>
      <c r="DH174" s="107" t="str">
        <f t="shared" si="2660"/>
        <v/>
      </c>
      <c r="DI174" s="107" t="str">
        <f t="shared" si="2660"/>
        <v/>
      </c>
      <c r="DJ174" s="107" t="str">
        <f t="shared" si="2660"/>
        <v/>
      </c>
      <c r="DK174" s="107" t="str">
        <f t="shared" si="2660"/>
        <v/>
      </c>
      <c r="DL174" s="107" t="str">
        <f t="shared" si="2660"/>
        <v/>
      </c>
      <c r="DM174" s="107" t="str">
        <f t="shared" si="2660"/>
        <v/>
      </c>
      <c r="DN174" s="107" t="str">
        <f t="shared" si="2660"/>
        <v/>
      </c>
      <c r="DO174" s="107" t="str">
        <f t="shared" si="2660"/>
        <v/>
      </c>
      <c r="DP174" s="107" t="str">
        <f t="shared" si="2660"/>
        <v/>
      </c>
      <c r="DQ174" s="107" t="str">
        <f t="shared" si="2660"/>
        <v/>
      </c>
      <c r="DR174" s="107" t="str">
        <f t="shared" si="2660"/>
        <v/>
      </c>
      <c r="DS174" s="107" t="str">
        <f t="shared" si="2660"/>
        <v/>
      </c>
      <c r="DT174" s="107" t="str">
        <f t="shared" si="2660"/>
        <v/>
      </c>
      <c r="DU174" s="107" t="str">
        <f t="shared" si="2660"/>
        <v/>
      </c>
      <c r="DV174" s="107" t="str">
        <f t="shared" si="2660"/>
        <v/>
      </c>
      <c r="DW174" s="107" t="str">
        <f t="shared" si="2660"/>
        <v/>
      </c>
      <c r="DX174" s="107" t="str">
        <f t="shared" si="2660"/>
        <v/>
      </c>
      <c r="DY174" s="107" t="str">
        <f t="shared" si="2660"/>
        <v/>
      </c>
      <c r="DZ174" s="107" t="str">
        <f t="shared" si="2660"/>
        <v/>
      </c>
      <c r="EA174" s="107" t="str">
        <f t="shared" si="2660"/>
        <v/>
      </c>
      <c r="EB174" s="107" t="str">
        <f t="shared" si="2660"/>
        <v/>
      </c>
      <c r="EC174" s="107" t="str">
        <f t="shared" si="2660"/>
        <v/>
      </c>
      <c r="ED174" s="107" t="str">
        <f t="shared" si="2660"/>
        <v/>
      </c>
      <c r="EE174" s="107" t="str">
        <f t="shared" si="2660"/>
        <v/>
      </c>
      <c r="EF174" s="107" t="str">
        <f t="shared" si="2660"/>
        <v/>
      </c>
      <c r="EG174" s="107" t="str">
        <f t="shared" si="2660"/>
        <v/>
      </c>
      <c r="EH174" s="107" t="str">
        <f t="shared" si="2660"/>
        <v/>
      </c>
      <c r="EI174" s="107" t="str">
        <f t="shared" si="2660"/>
        <v/>
      </c>
      <c r="EJ174" s="107" t="str">
        <f t="shared" si="2660"/>
        <v/>
      </c>
      <c r="EK174" s="107" t="str">
        <f t="shared" si="2660"/>
        <v/>
      </c>
      <c r="EL174" s="107" t="str">
        <f t="shared" si="2660"/>
        <v/>
      </c>
      <c r="EM174" s="107" t="str">
        <f t="shared" si="2660"/>
        <v/>
      </c>
      <c r="EN174" s="107" t="str">
        <f t="shared" si="2660"/>
        <v/>
      </c>
      <c r="EO174" s="107" t="str">
        <f t="shared" si="2660"/>
        <v/>
      </c>
      <c r="EP174" s="107" t="str">
        <f t="shared" si="2660"/>
        <v/>
      </c>
      <c r="EQ174" s="107" t="str">
        <f t="shared" si="2660"/>
        <v/>
      </c>
      <c r="ER174" s="107" t="str">
        <f t="shared" si="2660"/>
        <v/>
      </c>
      <c r="ES174" s="107" t="str">
        <f t="shared" si="2660"/>
        <v/>
      </c>
      <c r="ET174" s="107" t="str">
        <f t="shared" si="2660"/>
        <v/>
      </c>
      <c r="EU174" s="107" t="str">
        <f t="shared" si="2660"/>
        <v/>
      </c>
      <c r="EV174" s="107" t="str">
        <f t="shared" si="2660"/>
        <v/>
      </c>
      <c r="EW174" s="107" t="str">
        <f t="shared" si="2660"/>
        <v/>
      </c>
      <c r="EX174" s="107" t="str">
        <f t="shared" si="2660"/>
        <v/>
      </c>
      <c r="EY174" s="107" t="str">
        <f t="shared" si="2660"/>
        <v/>
      </c>
      <c r="EZ174" s="107" t="str">
        <f t="shared" si="2660"/>
        <v/>
      </c>
      <c r="FA174" s="107" t="str">
        <f t="shared" si="2660"/>
        <v/>
      </c>
      <c r="FB174" s="107" t="str">
        <f t="shared" si="2660"/>
        <v/>
      </c>
      <c r="FC174" s="107" t="str">
        <f t="shared" si="2660"/>
        <v/>
      </c>
      <c r="FD174" s="107" t="str">
        <f t="shared" si="2660"/>
        <v/>
      </c>
      <c r="FE174" s="107" t="str">
        <f t="shared" si="2660"/>
        <v/>
      </c>
      <c r="FF174" s="107" t="str">
        <f t="shared" si="2660"/>
        <v/>
      </c>
      <c r="FG174" s="107" t="str">
        <f t="shared" si="2660"/>
        <v/>
      </c>
      <c r="FH174" s="107" t="str">
        <f t="shared" si="2660"/>
        <v/>
      </c>
      <c r="FI174" s="107" t="str">
        <f t="shared" si="2660"/>
        <v/>
      </c>
      <c r="FJ174" s="107" t="str">
        <f t="shared" si="2660"/>
        <v/>
      </c>
      <c r="FK174" s="107" t="str">
        <f t="shared" si="2660"/>
        <v/>
      </c>
      <c r="FL174" s="107" t="str">
        <f t="shared" si="2660"/>
        <v/>
      </c>
      <c r="FM174" s="107" t="str">
        <f t="shared" si="2660"/>
        <v/>
      </c>
      <c r="FN174" s="107" t="str">
        <f t="shared" ref="FN174:FS174" si="2661">IF(CH174="","","|n"&amp;FN$2&amp;"+"&amp;CH174&amp;FN$1)</f>
        <v/>
      </c>
      <c r="FO174" s="107" t="str">
        <f t="shared" si="2661"/>
        <v/>
      </c>
      <c r="FP174" s="107" t="str">
        <f t="shared" si="2661"/>
        <v/>
      </c>
      <c r="FQ174" s="107" t="str">
        <f t="shared" si="2661"/>
        <v/>
      </c>
      <c r="FR174" s="107" t="str">
        <f t="shared" si="2661"/>
        <v/>
      </c>
      <c r="FS174" s="107" t="str">
        <f t="shared" si="2661"/>
        <v/>
      </c>
    </row>
    <row r="175" s="37" customFormat="1" ht="15" spans="1:175">
      <c r="A175" s="5"/>
      <c r="B175" s="98" t="s">
        <v>594</v>
      </c>
      <c r="C175" s="97" t="s">
        <v>595</v>
      </c>
      <c r="D175" s="74"/>
      <c r="E175" s="74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81"/>
      <c r="Q175" s="81"/>
      <c r="R175" s="81"/>
      <c r="S175" s="81"/>
      <c r="T175" s="37" t="s">
        <v>571</v>
      </c>
      <c r="U175" s="60" t="str">
        <f t="shared" si="2574"/>
        <v>ReplaceableTextures\\CommandButtons\\BTNIN27.blp</v>
      </c>
      <c r="V175" s="101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5"/>
      <c r="AS175" s="105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  <c r="BJ175" s="102"/>
      <c r="BK175" s="102"/>
      <c r="BL175" s="102"/>
      <c r="BM175" s="102"/>
      <c r="BN175" s="102"/>
      <c r="BO175" s="102"/>
      <c r="BP175" s="102"/>
      <c r="BQ175" s="102"/>
      <c r="BR175" s="102"/>
      <c r="BS175" s="102"/>
      <c r="BT175" s="102"/>
      <c r="BU175" s="102"/>
      <c r="BV175" s="102"/>
      <c r="BW175" s="102"/>
      <c r="BX175" s="102"/>
      <c r="BY175" s="102"/>
      <c r="BZ175" s="102"/>
      <c r="CA175" s="102"/>
      <c r="CB175" s="102"/>
      <c r="CC175" s="102"/>
      <c r="CD175" s="102"/>
      <c r="CE175" s="102"/>
      <c r="CF175" s="102"/>
      <c r="CG175" s="102"/>
      <c r="CH175" s="102"/>
      <c r="CI175" s="102"/>
      <c r="CJ175" s="102"/>
      <c r="CK175" s="102"/>
      <c r="CL175" s="102"/>
      <c r="CM175" s="102"/>
      <c r="CN175" s="106" t="str">
        <f t="shared" si="2136"/>
        <v>InitUnitState('IN27',,,,,,,,,,)</v>
      </c>
      <c r="CO175" s="106" t="str">
        <f t="shared" si="2137"/>
        <v>InitUnitNormal('IN27',,,,,,,,,,)</v>
      </c>
      <c r="CP175" s="106" t="str">
        <f t="shared" si="2138"/>
        <v>InitUnitMagic('IN27',,,,,,,,,,)</v>
      </c>
      <c r="CQ175" s="106" t="str">
        <f t="shared" si="2139"/>
        <v>InitUnitAdd('IN27',,,,,,,,,,)</v>
      </c>
      <c r="CR175" s="106" t="str">
        <f t="shared" si="2647"/>
        <v>InitEquipData('IN27',,"",,,,,'','','','','','',"ReplaceableTextures\\CommandButtons\\BTNIN02.blp")</v>
      </c>
      <c r="CS175" s="106"/>
      <c r="CT175" s="106"/>
      <c r="CU175" s="72" t="str">
        <f t="shared" si="2575"/>
        <v>|n</v>
      </c>
      <c r="CV175" s="37" t="str">
        <f t="shared" si="2576"/>
        <v>|CffFFD24D30|r秒内增加|Cffffd24d30%|r金币加成</v>
      </c>
      <c r="CW175" s="7"/>
      <c r="CX175" s="7"/>
      <c r="CY175" s="7"/>
      <c r="CZ175" s="7"/>
      <c r="DA175" s="7"/>
      <c r="DB175" s="107" t="str">
        <f t="shared" ref="DB175:FM175" si="2662">IF(V175="","","|n"&amp;DB$2&amp;"+"&amp;V175&amp;DB$1)</f>
        <v/>
      </c>
      <c r="DC175" s="107" t="str">
        <f t="shared" si="2662"/>
        <v/>
      </c>
      <c r="DD175" s="107" t="str">
        <f t="shared" si="2662"/>
        <v/>
      </c>
      <c r="DE175" s="107" t="str">
        <f t="shared" si="2662"/>
        <v/>
      </c>
      <c r="DF175" s="107" t="str">
        <f t="shared" si="2662"/>
        <v/>
      </c>
      <c r="DG175" s="107" t="str">
        <f t="shared" si="2662"/>
        <v/>
      </c>
      <c r="DH175" s="107" t="str">
        <f t="shared" si="2662"/>
        <v/>
      </c>
      <c r="DI175" s="107" t="str">
        <f t="shared" si="2662"/>
        <v/>
      </c>
      <c r="DJ175" s="107" t="str">
        <f t="shared" si="2662"/>
        <v/>
      </c>
      <c r="DK175" s="107" t="str">
        <f t="shared" si="2662"/>
        <v/>
      </c>
      <c r="DL175" s="107" t="str">
        <f t="shared" si="2662"/>
        <v/>
      </c>
      <c r="DM175" s="107" t="str">
        <f t="shared" si="2662"/>
        <v/>
      </c>
      <c r="DN175" s="107" t="str">
        <f t="shared" si="2662"/>
        <v/>
      </c>
      <c r="DO175" s="107" t="str">
        <f t="shared" si="2662"/>
        <v/>
      </c>
      <c r="DP175" s="107" t="str">
        <f t="shared" si="2662"/>
        <v/>
      </c>
      <c r="DQ175" s="107" t="str">
        <f t="shared" si="2662"/>
        <v/>
      </c>
      <c r="DR175" s="107" t="str">
        <f t="shared" si="2662"/>
        <v/>
      </c>
      <c r="DS175" s="107" t="str">
        <f t="shared" si="2662"/>
        <v/>
      </c>
      <c r="DT175" s="107" t="str">
        <f t="shared" si="2662"/>
        <v/>
      </c>
      <c r="DU175" s="107" t="str">
        <f t="shared" si="2662"/>
        <v/>
      </c>
      <c r="DV175" s="107" t="str">
        <f t="shared" si="2662"/>
        <v/>
      </c>
      <c r="DW175" s="107" t="str">
        <f t="shared" si="2662"/>
        <v/>
      </c>
      <c r="DX175" s="107" t="str">
        <f t="shared" si="2662"/>
        <v/>
      </c>
      <c r="DY175" s="107" t="str">
        <f t="shared" si="2662"/>
        <v/>
      </c>
      <c r="DZ175" s="107" t="str">
        <f t="shared" si="2662"/>
        <v/>
      </c>
      <c r="EA175" s="107" t="str">
        <f t="shared" si="2662"/>
        <v/>
      </c>
      <c r="EB175" s="107" t="str">
        <f t="shared" si="2662"/>
        <v/>
      </c>
      <c r="EC175" s="107" t="str">
        <f t="shared" si="2662"/>
        <v/>
      </c>
      <c r="ED175" s="107" t="str">
        <f t="shared" si="2662"/>
        <v/>
      </c>
      <c r="EE175" s="107" t="str">
        <f t="shared" si="2662"/>
        <v/>
      </c>
      <c r="EF175" s="107" t="str">
        <f t="shared" si="2662"/>
        <v/>
      </c>
      <c r="EG175" s="107" t="str">
        <f t="shared" si="2662"/>
        <v/>
      </c>
      <c r="EH175" s="107" t="str">
        <f t="shared" si="2662"/>
        <v/>
      </c>
      <c r="EI175" s="107" t="str">
        <f t="shared" si="2662"/>
        <v/>
      </c>
      <c r="EJ175" s="107" t="str">
        <f t="shared" si="2662"/>
        <v/>
      </c>
      <c r="EK175" s="107" t="str">
        <f t="shared" si="2662"/>
        <v/>
      </c>
      <c r="EL175" s="107" t="str">
        <f t="shared" si="2662"/>
        <v/>
      </c>
      <c r="EM175" s="107" t="str">
        <f t="shared" si="2662"/>
        <v/>
      </c>
      <c r="EN175" s="107" t="str">
        <f t="shared" si="2662"/>
        <v/>
      </c>
      <c r="EO175" s="107" t="str">
        <f t="shared" si="2662"/>
        <v/>
      </c>
      <c r="EP175" s="107" t="str">
        <f t="shared" si="2662"/>
        <v/>
      </c>
      <c r="EQ175" s="107" t="str">
        <f t="shared" si="2662"/>
        <v/>
      </c>
      <c r="ER175" s="107" t="str">
        <f t="shared" si="2662"/>
        <v/>
      </c>
      <c r="ES175" s="107" t="str">
        <f t="shared" si="2662"/>
        <v/>
      </c>
      <c r="ET175" s="107" t="str">
        <f t="shared" si="2662"/>
        <v/>
      </c>
      <c r="EU175" s="107" t="str">
        <f t="shared" si="2662"/>
        <v/>
      </c>
      <c r="EV175" s="107" t="str">
        <f t="shared" si="2662"/>
        <v/>
      </c>
      <c r="EW175" s="107" t="str">
        <f t="shared" si="2662"/>
        <v/>
      </c>
      <c r="EX175" s="107" t="str">
        <f t="shared" si="2662"/>
        <v/>
      </c>
      <c r="EY175" s="107" t="str">
        <f t="shared" si="2662"/>
        <v/>
      </c>
      <c r="EZ175" s="107" t="str">
        <f t="shared" si="2662"/>
        <v/>
      </c>
      <c r="FA175" s="107" t="str">
        <f t="shared" si="2662"/>
        <v/>
      </c>
      <c r="FB175" s="107" t="str">
        <f t="shared" si="2662"/>
        <v/>
      </c>
      <c r="FC175" s="107" t="str">
        <f t="shared" si="2662"/>
        <v/>
      </c>
      <c r="FD175" s="107" t="str">
        <f t="shared" si="2662"/>
        <v/>
      </c>
      <c r="FE175" s="107" t="str">
        <f t="shared" si="2662"/>
        <v/>
      </c>
      <c r="FF175" s="107" t="str">
        <f t="shared" si="2662"/>
        <v/>
      </c>
      <c r="FG175" s="107" t="str">
        <f t="shared" si="2662"/>
        <v/>
      </c>
      <c r="FH175" s="107" t="str">
        <f t="shared" si="2662"/>
        <v/>
      </c>
      <c r="FI175" s="107" t="str">
        <f t="shared" si="2662"/>
        <v/>
      </c>
      <c r="FJ175" s="107" t="str">
        <f t="shared" si="2662"/>
        <v/>
      </c>
      <c r="FK175" s="107" t="str">
        <f t="shared" si="2662"/>
        <v/>
      </c>
      <c r="FL175" s="107" t="str">
        <f t="shared" si="2662"/>
        <v/>
      </c>
      <c r="FM175" s="107" t="str">
        <f t="shared" si="2662"/>
        <v/>
      </c>
      <c r="FN175" s="107" t="str">
        <f t="shared" ref="FN175:FS175" si="2663">IF(CH175="","","|n"&amp;FN$2&amp;"+"&amp;CH175&amp;FN$1)</f>
        <v/>
      </c>
      <c r="FO175" s="107" t="str">
        <f t="shared" si="2663"/>
        <v/>
      </c>
      <c r="FP175" s="107" t="str">
        <f t="shared" si="2663"/>
        <v/>
      </c>
      <c r="FQ175" s="107" t="str">
        <f t="shared" si="2663"/>
        <v/>
      </c>
      <c r="FR175" s="107" t="str">
        <f t="shared" si="2663"/>
        <v/>
      </c>
      <c r="FS175" s="107" t="str">
        <f t="shared" si="2663"/>
        <v/>
      </c>
    </row>
    <row r="176" s="37" customFormat="1" ht="15" spans="1:175">
      <c r="A176" s="5"/>
      <c r="B176" s="98" t="s">
        <v>596</v>
      </c>
      <c r="C176" s="94" t="s">
        <v>597</v>
      </c>
      <c r="D176" s="74"/>
      <c r="E176" s="74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81"/>
      <c r="Q176" s="81"/>
      <c r="R176" s="81"/>
      <c r="S176" s="81"/>
      <c r="T176" s="37" t="s">
        <v>574</v>
      </c>
      <c r="U176" s="60" t="str">
        <f t="shared" si="2574"/>
        <v>ReplaceableTextures\\CommandButtons\\BTNIN28.blp</v>
      </c>
      <c r="V176" s="101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5"/>
      <c r="AS176" s="105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  <c r="BJ176" s="102"/>
      <c r="BK176" s="102"/>
      <c r="BL176" s="102"/>
      <c r="BM176" s="102"/>
      <c r="BN176" s="102"/>
      <c r="BO176" s="102"/>
      <c r="BP176" s="102"/>
      <c r="BQ176" s="102"/>
      <c r="BR176" s="102"/>
      <c r="BS176" s="102"/>
      <c r="BT176" s="102"/>
      <c r="BU176" s="102"/>
      <c r="BV176" s="102"/>
      <c r="BW176" s="102"/>
      <c r="BX176" s="102"/>
      <c r="BY176" s="102"/>
      <c r="BZ176" s="102"/>
      <c r="CA176" s="102"/>
      <c r="CB176" s="102"/>
      <c r="CC176" s="102"/>
      <c r="CD176" s="102"/>
      <c r="CE176" s="102"/>
      <c r="CF176" s="102"/>
      <c r="CG176" s="102"/>
      <c r="CH176" s="102"/>
      <c r="CI176" s="102"/>
      <c r="CJ176" s="102"/>
      <c r="CK176" s="102"/>
      <c r="CL176" s="102"/>
      <c r="CM176" s="102"/>
      <c r="CN176" s="106" t="str">
        <f t="shared" si="2136"/>
        <v>InitUnitState('IN28',,,,,,,,,,)</v>
      </c>
      <c r="CO176" s="106" t="str">
        <f t="shared" si="2137"/>
        <v>InitUnitNormal('IN28',,,,,,,,,,)</v>
      </c>
      <c r="CP176" s="106" t="str">
        <f t="shared" si="2138"/>
        <v>InitUnitMagic('IN28',,,,,,,,,,)</v>
      </c>
      <c r="CQ176" s="106" t="str">
        <f t="shared" si="2139"/>
        <v>InitUnitAdd('IN28',,,,,,,,,,)</v>
      </c>
      <c r="CR176" s="106" t="str">
        <f t="shared" si="2647"/>
        <v>InitEquipData('IN28',,"",,,,,'','','','','','',"ReplaceableTextures\\CommandButtons\\BTNIN03.blp")</v>
      </c>
      <c r="CS176" s="106"/>
      <c r="CT176" s="106"/>
      <c r="CU176" s="72" t="str">
        <f t="shared" si="2575"/>
        <v>|n</v>
      </c>
      <c r="CV176" s="37" t="str">
        <f t="shared" si="2576"/>
        <v>使用后获得|Cffffc926随机类型技能附魔卷|r</v>
      </c>
      <c r="CW176" s="7"/>
      <c r="CX176" s="7"/>
      <c r="CY176" s="7"/>
      <c r="CZ176" s="7"/>
      <c r="DA176" s="7"/>
      <c r="DB176" s="107" t="str">
        <f t="shared" ref="DB176:FM176" si="2664">IF(V176="","","|n"&amp;DB$2&amp;"+"&amp;V176&amp;DB$1)</f>
        <v/>
      </c>
      <c r="DC176" s="107" t="str">
        <f t="shared" si="2664"/>
        <v/>
      </c>
      <c r="DD176" s="107" t="str">
        <f t="shared" si="2664"/>
        <v/>
      </c>
      <c r="DE176" s="107" t="str">
        <f t="shared" si="2664"/>
        <v/>
      </c>
      <c r="DF176" s="107" t="str">
        <f t="shared" si="2664"/>
        <v/>
      </c>
      <c r="DG176" s="107" t="str">
        <f t="shared" si="2664"/>
        <v/>
      </c>
      <c r="DH176" s="107" t="str">
        <f t="shared" si="2664"/>
        <v/>
      </c>
      <c r="DI176" s="107" t="str">
        <f t="shared" si="2664"/>
        <v/>
      </c>
      <c r="DJ176" s="107" t="str">
        <f t="shared" si="2664"/>
        <v/>
      </c>
      <c r="DK176" s="107" t="str">
        <f t="shared" si="2664"/>
        <v/>
      </c>
      <c r="DL176" s="107" t="str">
        <f t="shared" si="2664"/>
        <v/>
      </c>
      <c r="DM176" s="107" t="str">
        <f t="shared" si="2664"/>
        <v/>
      </c>
      <c r="DN176" s="107" t="str">
        <f t="shared" si="2664"/>
        <v/>
      </c>
      <c r="DO176" s="107" t="str">
        <f t="shared" si="2664"/>
        <v/>
      </c>
      <c r="DP176" s="107" t="str">
        <f t="shared" si="2664"/>
        <v/>
      </c>
      <c r="DQ176" s="107" t="str">
        <f t="shared" si="2664"/>
        <v/>
      </c>
      <c r="DR176" s="107" t="str">
        <f t="shared" si="2664"/>
        <v/>
      </c>
      <c r="DS176" s="107" t="str">
        <f t="shared" si="2664"/>
        <v/>
      </c>
      <c r="DT176" s="107" t="str">
        <f t="shared" si="2664"/>
        <v/>
      </c>
      <c r="DU176" s="107" t="str">
        <f t="shared" si="2664"/>
        <v/>
      </c>
      <c r="DV176" s="107" t="str">
        <f t="shared" si="2664"/>
        <v/>
      </c>
      <c r="DW176" s="107" t="str">
        <f t="shared" si="2664"/>
        <v/>
      </c>
      <c r="DX176" s="107" t="str">
        <f t="shared" si="2664"/>
        <v/>
      </c>
      <c r="DY176" s="107" t="str">
        <f t="shared" si="2664"/>
        <v/>
      </c>
      <c r="DZ176" s="107" t="str">
        <f t="shared" si="2664"/>
        <v/>
      </c>
      <c r="EA176" s="107" t="str">
        <f t="shared" si="2664"/>
        <v/>
      </c>
      <c r="EB176" s="107" t="str">
        <f t="shared" si="2664"/>
        <v/>
      </c>
      <c r="EC176" s="107" t="str">
        <f t="shared" si="2664"/>
        <v/>
      </c>
      <c r="ED176" s="107" t="str">
        <f t="shared" si="2664"/>
        <v/>
      </c>
      <c r="EE176" s="107" t="str">
        <f t="shared" si="2664"/>
        <v/>
      </c>
      <c r="EF176" s="107" t="str">
        <f t="shared" si="2664"/>
        <v/>
      </c>
      <c r="EG176" s="107" t="str">
        <f t="shared" si="2664"/>
        <v/>
      </c>
      <c r="EH176" s="107" t="str">
        <f t="shared" si="2664"/>
        <v/>
      </c>
      <c r="EI176" s="107" t="str">
        <f t="shared" si="2664"/>
        <v/>
      </c>
      <c r="EJ176" s="107" t="str">
        <f t="shared" si="2664"/>
        <v/>
      </c>
      <c r="EK176" s="107" t="str">
        <f t="shared" si="2664"/>
        <v/>
      </c>
      <c r="EL176" s="107" t="str">
        <f t="shared" si="2664"/>
        <v/>
      </c>
      <c r="EM176" s="107" t="str">
        <f t="shared" si="2664"/>
        <v/>
      </c>
      <c r="EN176" s="107" t="str">
        <f t="shared" si="2664"/>
        <v/>
      </c>
      <c r="EO176" s="107" t="str">
        <f t="shared" si="2664"/>
        <v/>
      </c>
      <c r="EP176" s="107" t="str">
        <f t="shared" si="2664"/>
        <v/>
      </c>
      <c r="EQ176" s="107" t="str">
        <f t="shared" si="2664"/>
        <v/>
      </c>
      <c r="ER176" s="107" t="str">
        <f t="shared" si="2664"/>
        <v/>
      </c>
      <c r="ES176" s="107" t="str">
        <f t="shared" si="2664"/>
        <v/>
      </c>
      <c r="ET176" s="107" t="str">
        <f t="shared" si="2664"/>
        <v/>
      </c>
      <c r="EU176" s="107" t="str">
        <f t="shared" si="2664"/>
        <v/>
      </c>
      <c r="EV176" s="107" t="str">
        <f t="shared" si="2664"/>
        <v/>
      </c>
      <c r="EW176" s="107" t="str">
        <f t="shared" si="2664"/>
        <v/>
      </c>
      <c r="EX176" s="107" t="str">
        <f t="shared" si="2664"/>
        <v/>
      </c>
      <c r="EY176" s="107" t="str">
        <f t="shared" si="2664"/>
        <v/>
      </c>
      <c r="EZ176" s="107" t="str">
        <f t="shared" si="2664"/>
        <v/>
      </c>
      <c r="FA176" s="107" t="str">
        <f t="shared" si="2664"/>
        <v/>
      </c>
      <c r="FB176" s="107" t="str">
        <f t="shared" si="2664"/>
        <v/>
      </c>
      <c r="FC176" s="107" t="str">
        <f t="shared" si="2664"/>
        <v/>
      </c>
      <c r="FD176" s="107" t="str">
        <f t="shared" si="2664"/>
        <v/>
      </c>
      <c r="FE176" s="107" t="str">
        <f t="shared" si="2664"/>
        <v/>
      </c>
      <c r="FF176" s="107" t="str">
        <f t="shared" si="2664"/>
        <v/>
      </c>
      <c r="FG176" s="107" t="str">
        <f t="shared" si="2664"/>
        <v/>
      </c>
      <c r="FH176" s="107" t="str">
        <f t="shared" si="2664"/>
        <v/>
      </c>
      <c r="FI176" s="107" t="str">
        <f t="shared" si="2664"/>
        <v/>
      </c>
      <c r="FJ176" s="107" t="str">
        <f t="shared" si="2664"/>
        <v/>
      </c>
      <c r="FK176" s="107" t="str">
        <f t="shared" si="2664"/>
        <v/>
      </c>
      <c r="FL176" s="107" t="str">
        <f t="shared" si="2664"/>
        <v/>
      </c>
      <c r="FM176" s="107" t="str">
        <f t="shared" si="2664"/>
        <v/>
      </c>
      <c r="FN176" s="107" t="str">
        <f t="shared" ref="FN176:FS176" si="2665">IF(CH176="","","|n"&amp;FN$2&amp;"+"&amp;CH176&amp;FN$1)</f>
        <v/>
      </c>
      <c r="FO176" s="107" t="str">
        <f t="shared" si="2665"/>
        <v/>
      </c>
      <c r="FP176" s="107" t="str">
        <f t="shared" si="2665"/>
        <v/>
      </c>
      <c r="FQ176" s="107" t="str">
        <f t="shared" si="2665"/>
        <v/>
      </c>
      <c r="FR176" s="107" t="str">
        <f t="shared" si="2665"/>
        <v/>
      </c>
      <c r="FS176" s="107" t="str">
        <f t="shared" si="2665"/>
        <v/>
      </c>
    </row>
    <row r="177" s="37" customFormat="1" ht="15" spans="1:175">
      <c r="A177" s="5"/>
      <c r="B177" s="98" t="s">
        <v>598</v>
      </c>
      <c r="C177" s="94" t="s">
        <v>599</v>
      </c>
      <c r="D177" s="74"/>
      <c r="E177" s="74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81"/>
      <c r="Q177" s="81"/>
      <c r="R177" s="81"/>
      <c r="S177" s="81"/>
      <c r="T177" s="37" t="s">
        <v>574</v>
      </c>
      <c r="U177" s="60" t="str">
        <f t="shared" si="2574"/>
        <v>ReplaceableTextures\\CommandButtons\\BTNIN29.blp</v>
      </c>
      <c r="V177" s="101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5"/>
      <c r="AS177" s="105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  <c r="BJ177" s="102"/>
      <c r="BK177" s="102"/>
      <c r="BL177" s="102"/>
      <c r="BM177" s="102"/>
      <c r="BN177" s="102"/>
      <c r="BO177" s="102"/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6" t="str">
        <f t="shared" si="2136"/>
        <v>InitUnitState('IN29',,,,,,,,,,)</v>
      </c>
      <c r="CO177" s="106" t="str">
        <f t="shared" si="2137"/>
        <v>InitUnitNormal('IN29',,,,,,,,,,)</v>
      </c>
      <c r="CP177" s="106" t="str">
        <f t="shared" si="2138"/>
        <v>InitUnitMagic('IN29',,,,,,,,,,)</v>
      </c>
      <c r="CQ177" s="106" t="str">
        <f t="shared" si="2139"/>
        <v>InitUnitAdd('IN29',,,,,,,,,,)</v>
      </c>
      <c r="CR177" s="10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209&amp;CR$1&amp;")"</f>
        <v>InitEquipData('IN29',,"",,,,,'','','','','','',"ReplaceableTextures\\CommandButtons\\BTNIN01.blp")</v>
      </c>
      <c r="CS177" s="106"/>
      <c r="CT177" s="106"/>
      <c r="CU177" s="72" t="str">
        <f t="shared" si="2575"/>
        <v>|n</v>
      </c>
      <c r="CV177" s="37" t="str">
        <f t="shared" si="2576"/>
        <v>使用后获得|Cffffc926随机类型技能附魔卷|r</v>
      </c>
      <c r="CW177" s="7"/>
      <c r="CX177" s="7"/>
      <c r="CY177" s="7"/>
      <c r="CZ177" s="7"/>
      <c r="DA177" s="7"/>
      <c r="DB177" s="107" t="str">
        <f t="shared" ref="DB177:FM177" si="2666">IF(V177="","","|n"&amp;DB$2&amp;"+"&amp;V177&amp;DB$1)</f>
        <v/>
      </c>
      <c r="DC177" s="107" t="str">
        <f t="shared" si="2666"/>
        <v/>
      </c>
      <c r="DD177" s="107" t="str">
        <f t="shared" si="2666"/>
        <v/>
      </c>
      <c r="DE177" s="107" t="str">
        <f t="shared" si="2666"/>
        <v/>
      </c>
      <c r="DF177" s="107" t="str">
        <f t="shared" si="2666"/>
        <v/>
      </c>
      <c r="DG177" s="107" t="str">
        <f t="shared" si="2666"/>
        <v/>
      </c>
      <c r="DH177" s="107" t="str">
        <f t="shared" si="2666"/>
        <v/>
      </c>
      <c r="DI177" s="107" t="str">
        <f t="shared" si="2666"/>
        <v/>
      </c>
      <c r="DJ177" s="107" t="str">
        <f t="shared" si="2666"/>
        <v/>
      </c>
      <c r="DK177" s="107" t="str">
        <f t="shared" si="2666"/>
        <v/>
      </c>
      <c r="DL177" s="107" t="str">
        <f t="shared" si="2666"/>
        <v/>
      </c>
      <c r="DM177" s="107" t="str">
        <f t="shared" si="2666"/>
        <v/>
      </c>
      <c r="DN177" s="107" t="str">
        <f t="shared" si="2666"/>
        <v/>
      </c>
      <c r="DO177" s="107" t="str">
        <f t="shared" si="2666"/>
        <v/>
      </c>
      <c r="DP177" s="107" t="str">
        <f t="shared" si="2666"/>
        <v/>
      </c>
      <c r="DQ177" s="107" t="str">
        <f t="shared" si="2666"/>
        <v/>
      </c>
      <c r="DR177" s="107" t="str">
        <f t="shared" si="2666"/>
        <v/>
      </c>
      <c r="DS177" s="107" t="str">
        <f t="shared" si="2666"/>
        <v/>
      </c>
      <c r="DT177" s="107" t="str">
        <f t="shared" si="2666"/>
        <v/>
      </c>
      <c r="DU177" s="107" t="str">
        <f t="shared" si="2666"/>
        <v/>
      </c>
      <c r="DV177" s="107" t="str">
        <f t="shared" si="2666"/>
        <v/>
      </c>
      <c r="DW177" s="107" t="str">
        <f t="shared" si="2666"/>
        <v/>
      </c>
      <c r="DX177" s="107" t="str">
        <f t="shared" si="2666"/>
        <v/>
      </c>
      <c r="DY177" s="107" t="str">
        <f t="shared" si="2666"/>
        <v/>
      </c>
      <c r="DZ177" s="107" t="str">
        <f t="shared" si="2666"/>
        <v/>
      </c>
      <c r="EA177" s="107" t="str">
        <f t="shared" si="2666"/>
        <v/>
      </c>
      <c r="EB177" s="107" t="str">
        <f t="shared" si="2666"/>
        <v/>
      </c>
      <c r="EC177" s="107" t="str">
        <f t="shared" si="2666"/>
        <v/>
      </c>
      <c r="ED177" s="107" t="str">
        <f t="shared" si="2666"/>
        <v/>
      </c>
      <c r="EE177" s="107" t="str">
        <f t="shared" si="2666"/>
        <v/>
      </c>
      <c r="EF177" s="107" t="str">
        <f t="shared" si="2666"/>
        <v/>
      </c>
      <c r="EG177" s="107" t="str">
        <f t="shared" si="2666"/>
        <v/>
      </c>
      <c r="EH177" s="107" t="str">
        <f t="shared" si="2666"/>
        <v/>
      </c>
      <c r="EI177" s="107" t="str">
        <f t="shared" si="2666"/>
        <v/>
      </c>
      <c r="EJ177" s="107" t="str">
        <f t="shared" si="2666"/>
        <v/>
      </c>
      <c r="EK177" s="107" t="str">
        <f t="shared" si="2666"/>
        <v/>
      </c>
      <c r="EL177" s="107" t="str">
        <f t="shared" si="2666"/>
        <v/>
      </c>
      <c r="EM177" s="107" t="str">
        <f t="shared" si="2666"/>
        <v/>
      </c>
      <c r="EN177" s="107" t="str">
        <f t="shared" si="2666"/>
        <v/>
      </c>
      <c r="EO177" s="107" t="str">
        <f t="shared" si="2666"/>
        <v/>
      </c>
      <c r="EP177" s="107" t="str">
        <f t="shared" si="2666"/>
        <v/>
      </c>
      <c r="EQ177" s="107" t="str">
        <f t="shared" si="2666"/>
        <v/>
      </c>
      <c r="ER177" s="107" t="str">
        <f t="shared" si="2666"/>
        <v/>
      </c>
      <c r="ES177" s="107" t="str">
        <f t="shared" si="2666"/>
        <v/>
      </c>
      <c r="ET177" s="107" t="str">
        <f t="shared" si="2666"/>
        <v/>
      </c>
      <c r="EU177" s="107" t="str">
        <f t="shared" si="2666"/>
        <v/>
      </c>
      <c r="EV177" s="107" t="str">
        <f t="shared" si="2666"/>
        <v/>
      </c>
      <c r="EW177" s="107" t="str">
        <f t="shared" si="2666"/>
        <v/>
      </c>
      <c r="EX177" s="107" t="str">
        <f t="shared" si="2666"/>
        <v/>
      </c>
      <c r="EY177" s="107" t="str">
        <f t="shared" si="2666"/>
        <v/>
      </c>
      <c r="EZ177" s="107" t="str">
        <f t="shared" si="2666"/>
        <v/>
      </c>
      <c r="FA177" s="107" t="str">
        <f t="shared" si="2666"/>
        <v/>
      </c>
      <c r="FB177" s="107" t="str">
        <f t="shared" si="2666"/>
        <v/>
      </c>
      <c r="FC177" s="107" t="str">
        <f t="shared" si="2666"/>
        <v/>
      </c>
      <c r="FD177" s="107" t="str">
        <f t="shared" si="2666"/>
        <v/>
      </c>
      <c r="FE177" s="107" t="str">
        <f t="shared" si="2666"/>
        <v/>
      </c>
      <c r="FF177" s="107" t="str">
        <f t="shared" si="2666"/>
        <v/>
      </c>
      <c r="FG177" s="107" t="str">
        <f t="shared" si="2666"/>
        <v/>
      </c>
      <c r="FH177" s="107" t="str">
        <f t="shared" si="2666"/>
        <v/>
      </c>
      <c r="FI177" s="107" t="str">
        <f t="shared" si="2666"/>
        <v/>
      </c>
      <c r="FJ177" s="107" t="str">
        <f t="shared" si="2666"/>
        <v/>
      </c>
      <c r="FK177" s="107" t="str">
        <f t="shared" si="2666"/>
        <v/>
      </c>
      <c r="FL177" s="107" t="str">
        <f t="shared" si="2666"/>
        <v/>
      </c>
      <c r="FM177" s="107" t="str">
        <f t="shared" si="2666"/>
        <v/>
      </c>
      <c r="FN177" s="107" t="str">
        <f t="shared" ref="FN177:FS177" si="2667">IF(CH177="","","|n"&amp;FN$2&amp;"+"&amp;CH177&amp;FN$1)</f>
        <v/>
      </c>
      <c r="FO177" s="107" t="str">
        <f t="shared" si="2667"/>
        <v/>
      </c>
      <c r="FP177" s="107" t="str">
        <f t="shared" si="2667"/>
        <v/>
      </c>
      <c r="FQ177" s="107" t="str">
        <f t="shared" si="2667"/>
        <v/>
      </c>
      <c r="FR177" s="107" t="str">
        <f t="shared" si="2667"/>
        <v/>
      </c>
      <c r="FS177" s="107" t="str">
        <f t="shared" si="2667"/>
        <v/>
      </c>
    </row>
    <row r="178" ht="15" spans="1:175">
      <c r="A178" s="5"/>
      <c r="B178" s="5" t="s">
        <v>600</v>
      </c>
      <c r="C178" s="5" t="s">
        <v>601</v>
      </c>
      <c r="T178" s="103" t="s">
        <v>602</v>
      </c>
      <c r="U178" s="60" t="str">
        <f t="shared" si="2574"/>
        <v>ReplaceableTextures\\CommandButtons\\BTNIP01.blp</v>
      </c>
      <c r="CN178" s="13" t="str">
        <f t="shared" ref="CN178:CN186" si="2668">"InitUnitState('"&amp;B178&amp;"',"&amp;V178&amp;","&amp;W178&amp;","&amp;X178&amp;","&amp;Y178&amp;","&amp;Z178&amp;","&amp;AA178&amp;","&amp;AB178&amp;","&amp;AC178&amp;","&amp;AD178&amp;","&amp;AE178&amp;")"</f>
        <v>InitUnitState('IP01',,,,,,,,,,)</v>
      </c>
      <c r="CO178" s="13" t="str">
        <f t="shared" ref="CO178:CO186" si="2669">"InitUnitNormal('"&amp;B178&amp;"',"&amp;AF178&amp;","&amp;AG178&amp;","&amp;AH178&amp;","&amp;AI178&amp;","&amp;AJ178&amp;","&amp;AK178&amp;","&amp;AL178&amp;","&amp;AM178&amp;","&amp;AN178&amp;","&amp;AO178&amp;")"</f>
        <v>InitUnitNormal('IP01',,,,,,,,,,)</v>
      </c>
      <c r="CP178" s="13" t="str">
        <f t="shared" ref="CP178:CP186" si="2670">"InitUnitMagic('"&amp;B178&amp;"',"&amp;AP178&amp;","&amp;AQ178&amp;","&amp;AR178&amp;","&amp;AS178&amp;","&amp;AT178&amp;","&amp;AU178&amp;","&amp;AV178&amp;","&amp;AW178&amp;","&amp;BI178&amp;","&amp;BJ178&amp;")"</f>
        <v>InitUnitMagic('IP01',,,,,,,,,,)</v>
      </c>
      <c r="CQ178" s="13" t="str">
        <f t="shared" ref="CQ178:CQ186" si="2671">"InitUnitAdd('"&amp;B178&amp;"',"&amp;BK178&amp;","&amp;BL178&amp;","&amp;BM178&amp;","&amp;BN178&amp;","&amp;BO178&amp;","&amp;BP178&amp;","&amp;BQ178&amp;","&amp;BR178&amp;","&amp;BS178&amp;","&amp;BT178&amp;")"</f>
        <v>InitUnitAdd('IP01',,,,,,,,,,)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InitEquipData('IP01',,"",,,,,'','','','','','',"ReplaceableTextures\\CommandButtons\\BTNIP02.blp")</v>
      </c>
      <c r="CU178" s="72" t="str">
        <f t="shared" ref="CU178" si="267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6" t="str">
        <f t="shared" ref="CV178" si="2673">T178</f>
        <v>每次|Cffffd24d完成|r时渊副本将消耗|Cffffd24d1|r个|Cffffd24d时渊碎片|r</v>
      </c>
      <c r="CW178" s="7"/>
      <c r="CX178" s="7"/>
      <c r="CY178" s="7"/>
      <c r="CZ178" s="7"/>
      <c r="DA178" s="7"/>
      <c r="DB178" s="44" t="str">
        <f t="shared" ref="DB178" si="2674">IF(V178="","","|n"&amp;DB$2&amp;"+"&amp;V178&amp;DB$1)</f>
        <v/>
      </c>
      <c r="DC178" s="44" t="str">
        <f t="shared" ref="DC178" si="2675">IF(W178="","","|n"&amp;DC$2&amp;"+"&amp;W178&amp;DC$1)</f>
        <v/>
      </c>
      <c r="DD178" s="44" t="str">
        <f t="shared" ref="DD178" si="2676">IF(X178="","","|n"&amp;DD$2&amp;"+"&amp;X178&amp;DD$1)</f>
        <v/>
      </c>
      <c r="DE178" s="44" t="str">
        <f t="shared" ref="DE178" si="2677">IF(Y178="","","|n"&amp;DE$2&amp;"+"&amp;Y178&amp;DE$1)</f>
        <v/>
      </c>
      <c r="DF178" s="44" t="str">
        <f t="shared" ref="DF178" si="2678">IF(Z178="","","|n"&amp;DF$2&amp;"+"&amp;Z178&amp;DF$1)</f>
        <v/>
      </c>
      <c r="DG178" s="44" t="str">
        <f t="shared" ref="DG178" si="2679">IF(AA178="","","|n"&amp;DG$2&amp;"+"&amp;AA178&amp;DG$1)</f>
        <v/>
      </c>
      <c r="DH178" s="44" t="str">
        <f t="shared" ref="DH178" si="2680">IF(AB178="","","|n"&amp;DH$2&amp;"+"&amp;AB178&amp;DH$1)</f>
        <v/>
      </c>
      <c r="DI178" s="44" t="str">
        <f t="shared" ref="DI178" si="2681">IF(AC178="","","|n"&amp;DI$2&amp;"+"&amp;AC178&amp;DI$1)</f>
        <v/>
      </c>
      <c r="DJ178" s="44" t="str">
        <f t="shared" ref="DJ178" si="2682">IF(AD178="","","|n"&amp;DJ$2&amp;"+"&amp;AD178&amp;DJ$1)</f>
        <v/>
      </c>
      <c r="DK178" s="44" t="str">
        <f t="shared" ref="DK178" si="2683">IF(AE178="","","|n"&amp;DK$2&amp;"+"&amp;AE178&amp;DK$1)</f>
        <v/>
      </c>
      <c r="DL178" s="44" t="str">
        <f t="shared" ref="DL178" si="2684">IF(AF178="","","|n"&amp;DL$2&amp;"+"&amp;AF178&amp;DL$1)</f>
        <v/>
      </c>
      <c r="DM178" s="44" t="str">
        <f t="shared" ref="DM178" si="2685">IF(AG178="","","|n"&amp;DM$2&amp;"+"&amp;AG178&amp;DM$1)</f>
        <v/>
      </c>
      <c r="DN178" s="44" t="str">
        <f t="shared" ref="DN178" si="2686">IF(AH178="","","|n"&amp;DN$2&amp;"+"&amp;AH178&amp;DN$1)</f>
        <v/>
      </c>
      <c r="DO178" s="44" t="str">
        <f t="shared" ref="DO178" si="2687">IF(AI178="","","|n"&amp;DO$2&amp;"+"&amp;AI178&amp;DO$1)</f>
        <v/>
      </c>
      <c r="DP178" s="44" t="str">
        <f t="shared" ref="DP178" si="2688">IF(AJ178="","","|n"&amp;DP$2&amp;"+"&amp;AJ178&amp;DP$1)</f>
        <v/>
      </c>
      <c r="DQ178" s="44" t="str">
        <f t="shared" ref="DQ178" si="2689">IF(AK178="","","|n"&amp;DQ$2&amp;"+"&amp;AK178&amp;DQ$1)</f>
        <v/>
      </c>
      <c r="DR178" s="44" t="str">
        <f t="shared" ref="DR178" si="2690">IF(AL178="","","|n"&amp;DR$2&amp;"+"&amp;AL178&amp;DR$1)</f>
        <v/>
      </c>
      <c r="DS178" s="44" t="str">
        <f t="shared" ref="DS178" si="2691">IF(AM178="","","|n"&amp;DS$2&amp;"+"&amp;AM178&amp;DS$1)</f>
        <v/>
      </c>
      <c r="DT178" s="44" t="str">
        <f t="shared" ref="DT178" si="2692">IF(AN178="","","|n"&amp;DT$2&amp;"+"&amp;AN178&amp;DT$1)</f>
        <v/>
      </c>
      <c r="DU178" s="44" t="str">
        <f t="shared" ref="DU178" si="2693">IF(AO178="","","|n"&amp;DU$2&amp;"+"&amp;AO178&amp;DU$1)</f>
        <v/>
      </c>
      <c r="DV178" s="44" t="str">
        <f t="shared" ref="DV178" si="2694">IF(AP178="","","|n"&amp;DV$2&amp;"+"&amp;AP178&amp;DV$1)</f>
        <v/>
      </c>
      <c r="DW178" s="44" t="str">
        <f t="shared" ref="DW178" si="2695">IF(AQ178="","","|n"&amp;DW$2&amp;"+"&amp;AQ178&amp;DW$1)</f>
        <v/>
      </c>
      <c r="DX178" s="44" t="str">
        <f t="shared" ref="DX178" si="2696">IF(AR178="","","|n"&amp;DX$2&amp;"+"&amp;AR178&amp;DX$1)</f>
        <v/>
      </c>
      <c r="DY178" s="44" t="str">
        <f t="shared" ref="DY178" si="2697">IF(AS178="","","|n"&amp;DY$2&amp;"+"&amp;AS178&amp;DY$1)</f>
        <v/>
      </c>
      <c r="DZ178" s="44" t="str">
        <f t="shared" ref="DZ178" si="2698">IF(AT178="","","|n"&amp;DZ$2&amp;"+"&amp;AT178&amp;DZ$1)</f>
        <v/>
      </c>
      <c r="EA178" s="44" t="str">
        <f t="shared" ref="EA178" si="2699">IF(AU178="","","|n"&amp;EA$2&amp;"+"&amp;AU178&amp;EA$1)</f>
        <v/>
      </c>
      <c r="EB178" s="44" t="str">
        <f t="shared" ref="EB178" si="2700">IF(AV178="","","|n"&amp;EB$2&amp;"+"&amp;AV178&amp;EB$1)</f>
        <v/>
      </c>
      <c r="EC178" s="44" t="str">
        <f t="shared" ref="EC178" si="2701">IF(AW178="","","|n"&amp;EC$2&amp;"+"&amp;AW178&amp;EC$1)</f>
        <v/>
      </c>
      <c r="ED178" s="44" t="str">
        <f t="shared" ref="ED178" si="2702">IF(AX178="","","|n"&amp;ED$2&amp;"+"&amp;AX178&amp;ED$1)</f>
        <v/>
      </c>
      <c r="EE178" s="44" t="str">
        <f t="shared" ref="EE178" si="2703">IF(AY178="","","|n"&amp;EE$2&amp;"+"&amp;AY178&amp;EE$1)</f>
        <v/>
      </c>
      <c r="EF178" s="44" t="str">
        <f t="shared" ref="EF178" si="2704">IF(AZ178="","","|n"&amp;EF$2&amp;"+"&amp;AZ178&amp;EF$1)</f>
        <v/>
      </c>
      <c r="EG178" s="44" t="str">
        <f t="shared" ref="EG178" si="2705">IF(BA178="","","|n"&amp;EG$2&amp;"+"&amp;BA178&amp;EG$1)</f>
        <v/>
      </c>
      <c r="EH178" s="44" t="str">
        <f t="shared" ref="EH178" si="2706">IF(BB178="","","|n"&amp;EH$2&amp;"+"&amp;BB178&amp;EH$1)</f>
        <v/>
      </c>
      <c r="EI178" s="44" t="str">
        <f t="shared" ref="EI178" si="2707">IF(BC178="","","|n"&amp;EI$2&amp;"+"&amp;BC178&amp;EI$1)</f>
        <v/>
      </c>
      <c r="EJ178" s="44" t="str">
        <f t="shared" ref="EJ178" si="2708">IF(BD178="","","|n"&amp;EJ$2&amp;"+"&amp;BD178&amp;EJ$1)</f>
        <v/>
      </c>
      <c r="EK178" s="44" t="str">
        <f t="shared" ref="EK178" si="2709">IF(BE178="","","|n"&amp;EK$2&amp;"+"&amp;BE178&amp;EK$1)</f>
        <v/>
      </c>
      <c r="EL178" s="44" t="str">
        <f t="shared" ref="EL178" si="2710">IF(BF178="","","|n"&amp;EL$2&amp;"+"&amp;BF178&amp;EL$1)</f>
        <v/>
      </c>
      <c r="EM178" s="44" t="str">
        <f t="shared" ref="EM178" si="2711">IF(BG178="","","|n"&amp;EM$2&amp;"+"&amp;BG178&amp;EM$1)</f>
        <v/>
      </c>
      <c r="EN178" s="44" t="str">
        <f t="shared" ref="EN178" si="2712">IF(BH178="","","|n"&amp;EN$2&amp;"+"&amp;BH178&amp;EN$1)</f>
        <v/>
      </c>
      <c r="EO178" s="44" t="str">
        <f t="shared" ref="EO178" si="2713">IF(BI178="","","|n"&amp;EO$2&amp;"+"&amp;BI178&amp;EO$1)</f>
        <v/>
      </c>
      <c r="EP178" s="44" t="str">
        <f t="shared" ref="EP178" si="2714">IF(BJ178="","","|n"&amp;EP$2&amp;"+"&amp;BJ178&amp;EP$1)</f>
        <v/>
      </c>
      <c r="EQ178" s="44" t="str">
        <f t="shared" ref="EQ178" si="2715">IF(BK178="","","|n"&amp;EQ$2&amp;"+"&amp;BK178&amp;EQ$1)</f>
        <v/>
      </c>
      <c r="ER178" s="44" t="str">
        <f t="shared" ref="ER178" si="2716">IF(BL178="","","|n"&amp;ER$2&amp;"+"&amp;BL178&amp;ER$1)</f>
        <v/>
      </c>
      <c r="ES178" s="44" t="str">
        <f t="shared" ref="ES178" si="2717">IF(BM178="","","|n"&amp;ES$2&amp;"+"&amp;BM178&amp;ES$1)</f>
        <v/>
      </c>
      <c r="ET178" s="44" t="str">
        <f t="shared" ref="ET178" si="2718">IF(BN178="","","|n"&amp;ET$2&amp;"+"&amp;BN178&amp;ET$1)</f>
        <v/>
      </c>
      <c r="EU178" s="44" t="str">
        <f t="shared" ref="EU178" si="2719">IF(BO178="","","|n"&amp;EU$2&amp;"+"&amp;BO178&amp;EU$1)</f>
        <v/>
      </c>
      <c r="EV178" s="44" t="str">
        <f t="shared" ref="EV178" si="2720">IF(BP178="","","|n"&amp;EV$2&amp;"+"&amp;BP178&amp;EV$1)</f>
        <v/>
      </c>
      <c r="EW178" s="44" t="str">
        <f t="shared" ref="EW178" si="2721">IF(BQ178="","","|n"&amp;EW$2&amp;"+"&amp;BQ178&amp;EW$1)</f>
        <v/>
      </c>
      <c r="EX178" s="44" t="str">
        <f t="shared" ref="EX178" si="2722">IF(BR178="","","|n"&amp;EX$2&amp;"+"&amp;BR178&amp;EX$1)</f>
        <v/>
      </c>
      <c r="EY178" s="44" t="str">
        <f t="shared" ref="EY178" si="2723">IF(BS178="","","|n"&amp;EY$2&amp;"+"&amp;BS178&amp;EY$1)</f>
        <v/>
      </c>
      <c r="EZ178" s="44" t="str">
        <f t="shared" ref="EZ178" si="2724">IF(BT178="","","|n"&amp;EZ$2&amp;"+"&amp;BT178&amp;EZ$1)</f>
        <v/>
      </c>
      <c r="FA178" s="44" t="str">
        <f t="shared" ref="FA178" si="2725">IF(BU178="","","|n"&amp;FA$2&amp;"+"&amp;BU178&amp;FA$1)</f>
        <v/>
      </c>
      <c r="FB178" s="44" t="str">
        <f t="shared" ref="FB178" si="2726">IF(BV178="","","|n"&amp;FB$2&amp;"+"&amp;BV178&amp;FB$1)</f>
        <v/>
      </c>
      <c r="FC178" s="44" t="str">
        <f t="shared" ref="FC178" si="2727">IF(BW178="","","|n"&amp;FC$2&amp;"+"&amp;BW178&amp;FC$1)</f>
        <v/>
      </c>
      <c r="FD178" s="44" t="str">
        <f t="shared" ref="FD178" si="2728">IF(BX178="","","|n"&amp;FD$2&amp;"+"&amp;BX178&amp;FD$1)</f>
        <v/>
      </c>
      <c r="FE178" s="44" t="str">
        <f t="shared" ref="FE178" si="2729">IF(BY178="","","|n"&amp;FE$2&amp;"+"&amp;BY178&amp;FE$1)</f>
        <v/>
      </c>
      <c r="FF178" s="44" t="str">
        <f t="shared" ref="FF178" si="2730">IF(BZ178="","","|n"&amp;FF$2&amp;"+"&amp;BZ178&amp;FF$1)</f>
        <v/>
      </c>
      <c r="FG178" s="44" t="str">
        <f t="shared" ref="FG178" si="2731">IF(CA178="","","|n"&amp;FG$2&amp;"+"&amp;CA178&amp;FG$1)</f>
        <v/>
      </c>
      <c r="FH178" s="44" t="str">
        <f t="shared" ref="FH178" si="2732">IF(CB178="","","|n"&amp;FH$2&amp;"+"&amp;CB178&amp;FH$1)</f>
        <v/>
      </c>
      <c r="FI178" s="44" t="str">
        <f t="shared" ref="FI178" si="2733">IF(CC178="","","|n"&amp;FI$2&amp;"+"&amp;CC178&amp;FI$1)</f>
        <v/>
      </c>
      <c r="FJ178" s="44" t="str">
        <f t="shared" ref="FJ178" si="2734">IF(CD178="","","|n"&amp;FJ$2&amp;"+"&amp;CD178&amp;FJ$1)</f>
        <v/>
      </c>
      <c r="FK178" s="44" t="str">
        <f t="shared" ref="FK178" si="2735">IF(CE178="","","|n"&amp;FK$2&amp;"+"&amp;CE178&amp;FK$1)</f>
        <v/>
      </c>
      <c r="FL178" s="44" t="str">
        <f t="shared" ref="FL178" si="2736">IF(CF178="","","|n"&amp;FL$2&amp;"+"&amp;CF178&amp;FL$1)</f>
        <v/>
      </c>
      <c r="FM178" s="44" t="str">
        <f t="shared" ref="FM178" si="2737">IF(CG178="","","|n"&amp;FM$2&amp;"+"&amp;CG178&amp;FM$1)</f>
        <v/>
      </c>
      <c r="FN178" s="44" t="str">
        <f t="shared" ref="FN178" si="2738">IF(CH178="","","|n"&amp;FN$2&amp;"+"&amp;CH178&amp;FN$1)</f>
        <v/>
      </c>
      <c r="FO178" s="44" t="str">
        <f t="shared" ref="FO178" si="2739">IF(CI178="","","|n"&amp;FO$2&amp;"+"&amp;CI178&amp;FO$1)</f>
        <v/>
      </c>
      <c r="FP178" s="44" t="str">
        <f t="shared" ref="FP178" si="2740">IF(CJ178="","","|n"&amp;FP$2&amp;"+"&amp;CJ178&amp;FP$1)</f>
        <v/>
      </c>
      <c r="FQ178" s="44" t="str">
        <f t="shared" ref="FQ178" si="2741">IF(CK178="","","|n"&amp;FQ$2&amp;"+"&amp;CK178&amp;FQ$1)</f>
        <v/>
      </c>
      <c r="FR178" s="44" t="str">
        <f t="shared" ref="FR178" si="2742">IF(CL178="","","|n"&amp;FR$2&amp;"+"&amp;CL178&amp;FR$1)</f>
        <v/>
      </c>
      <c r="FS178" s="44" t="str">
        <f t="shared" ref="FS178" si="2743">IF(CM178="","","|n"&amp;FS$2&amp;"+"&amp;CM178&amp;FS$1)</f>
        <v/>
      </c>
    </row>
    <row r="179" ht="15" spans="1:175">
      <c r="A179" s="78"/>
      <c r="B179" s="5" t="s">
        <v>603</v>
      </c>
      <c r="C179" s="78" t="s">
        <v>604</v>
      </c>
      <c r="T179" s="79" t="s">
        <v>605</v>
      </c>
      <c r="U179" s="60" t="str">
        <f t="shared" si="2574"/>
        <v>ReplaceableTextures\\CommandButtons\\BTNIP02.blp</v>
      </c>
      <c r="CN179" s="13" t="str">
        <f t="shared" si="2668"/>
        <v>InitUnitState('IP02',,,,,,,,,,)</v>
      </c>
      <c r="CO179" s="13" t="str">
        <f t="shared" si="2669"/>
        <v>InitUnitNormal('IP02',,,,,,,,,,)</v>
      </c>
      <c r="CP179" s="13" t="str">
        <f t="shared" si="2670"/>
        <v>InitUnitMagic('IP02',,,,,,,,,,)</v>
      </c>
      <c r="CQ179" s="13" t="str">
        <f t="shared" si="2671"/>
        <v>InitUnitAdd('IP02',,,,,,,,,,)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InitEquipData('IP02',,"",,,,,'','','','','','',"ReplaceableTextures\\CommandButtons\\BTNIP03.blp")</v>
      </c>
      <c r="CU179" s="72" t="str">
        <f t="shared" ref="CU179:CU180" si="2744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" t="str">
        <f t="shared" ref="CV179:CV180" si="2745">T179</f>
        <v>点击|Cffffc926选中指定法宝|r后，再点击|Cffffc926重铸|r，可|Cffffc926重置|r指定法宝，|Cffffc926品质不变|r。|n|n|Cff00ff7f每次重铸消耗1个补天石|r</v>
      </c>
      <c r="CW179" s="7"/>
      <c r="CX179" s="7"/>
      <c r="CY179" s="7"/>
      <c r="CZ179" s="7"/>
      <c r="DA179" s="7"/>
      <c r="DB179" s="44" t="str">
        <f t="shared" ref="DB179:DB180" si="2746">IF(V179="","","|n"&amp;DB$2&amp;"+"&amp;V179&amp;DB$1)</f>
        <v/>
      </c>
      <c r="DC179" s="44" t="str">
        <f t="shared" ref="DC179:DC180" si="2747">IF(W179="","","|n"&amp;DC$2&amp;"+"&amp;W179&amp;DC$1)</f>
        <v/>
      </c>
      <c r="DD179" s="44" t="str">
        <f t="shared" ref="DD179:DD180" si="2748">IF(X179="","","|n"&amp;DD$2&amp;"+"&amp;X179&amp;DD$1)</f>
        <v/>
      </c>
      <c r="DE179" s="44" t="str">
        <f t="shared" ref="DE179:DE180" si="2749">IF(Y179="","","|n"&amp;DE$2&amp;"+"&amp;Y179&amp;DE$1)</f>
        <v/>
      </c>
      <c r="DF179" s="44" t="str">
        <f t="shared" ref="DF179:DF180" si="2750">IF(Z179="","","|n"&amp;DF$2&amp;"+"&amp;Z179&amp;DF$1)</f>
        <v/>
      </c>
      <c r="DG179" s="44" t="str">
        <f t="shared" ref="DG179:DG180" si="2751">IF(AA179="","","|n"&amp;DG$2&amp;"+"&amp;AA179&amp;DG$1)</f>
        <v/>
      </c>
      <c r="DH179" s="44" t="str">
        <f t="shared" ref="DH179:DH180" si="2752">IF(AB179="","","|n"&amp;DH$2&amp;"+"&amp;AB179&amp;DH$1)</f>
        <v/>
      </c>
      <c r="DI179" s="44" t="str">
        <f t="shared" ref="DI179:DI180" si="2753">IF(AC179="","","|n"&amp;DI$2&amp;"+"&amp;AC179&amp;DI$1)</f>
        <v/>
      </c>
      <c r="DJ179" s="44" t="str">
        <f t="shared" ref="DJ179:DJ180" si="2754">IF(AD179="","","|n"&amp;DJ$2&amp;"+"&amp;AD179&amp;DJ$1)</f>
        <v/>
      </c>
      <c r="DK179" s="44" t="str">
        <f t="shared" ref="DK179:DK180" si="2755">IF(AE179="","","|n"&amp;DK$2&amp;"+"&amp;AE179&amp;DK$1)</f>
        <v/>
      </c>
      <c r="DL179" s="44" t="str">
        <f t="shared" ref="DL179:DL180" si="2756">IF(AF179="","","|n"&amp;DL$2&amp;"+"&amp;AF179&amp;DL$1)</f>
        <v/>
      </c>
      <c r="DM179" s="44" t="str">
        <f t="shared" ref="DM179:DM180" si="2757">IF(AG179="","","|n"&amp;DM$2&amp;"+"&amp;AG179&amp;DM$1)</f>
        <v/>
      </c>
      <c r="DN179" s="44" t="str">
        <f t="shared" ref="DN179:DN180" si="2758">IF(AH179="","","|n"&amp;DN$2&amp;"+"&amp;AH179&amp;DN$1)</f>
        <v/>
      </c>
      <c r="DO179" s="44" t="str">
        <f t="shared" ref="DO179:DO180" si="2759">IF(AI179="","","|n"&amp;DO$2&amp;"+"&amp;AI179&amp;DO$1)</f>
        <v/>
      </c>
      <c r="DP179" s="44" t="str">
        <f t="shared" ref="DP179:DP180" si="2760">IF(AJ179="","","|n"&amp;DP$2&amp;"+"&amp;AJ179&amp;DP$1)</f>
        <v/>
      </c>
      <c r="DQ179" s="44" t="str">
        <f t="shared" ref="DQ179:DQ180" si="2761">IF(AK179="","","|n"&amp;DQ$2&amp;"+"&amp;AK179&amp;DQ$1)</f>
        <v/>
      </c>
      <c r="DR179" s="44" t="str">
        <f t="shared" ref="DR179:DR180" si="2762">IF(AL179="","","|n"&amp;DR$2&amp;"+"&amp;AL179&amp;DR$1)</f>
        <v/>
      </c>
      <c r="DS179" s="44" t="str">
        <f t="shared" ref="DS179:DS180" si="2763">IF(AM179="","","|n"&amp;DS$2&amp;"+"&amp;AM179&amp;DS$1)</f>
        <v/>
      </c>
      <c r="DT179" s="44" t="str">
        <f t="shared" ref="DT179:DT180" si="2764">IF(AN179="","","|n"&amp;DT$2&amp;"+"&amp;AN179&amp;DT$1)</f>
        <v/>
      </c>
      <c r="DU179" s="44" t="str">
        <f t="shared" ref="DU179:DU180" si="2765">IF(AO179="","","|n"&amp;DU$2&amp;"+"&amp;AO179&amp;DU$1)</f>
        <v/>
      </c>
      <c r="DV179" s="44" t="str">
        <f t="shared" ref="DV179:DV180" si="2766">IF(AP179="","","|n"&amp;DV$2&amp;"+"&amp;AP179&amp;DV$1)</f>
        <v/>
      </c>
      <c r="DW179" s="44" t="str">
        <f t="shared" ref="DW179:DW180" si="2767">IF(AQ179="","","|n"&amp;DW$2&amp;"+"&amp;AQ179&amp;DW$1)</f>
        <v/>
      </c>
      <c r="DX179" s="44" t="str">
        <f t="shared" ref="DX179:DX180" si="2768">IF(AR179="","","|n"&amp;DX$2&amp;"+"&amp;AR179&amp;DX$1)</f>
        <v/>
      </c>
      <c r="DY179" s="44" t="str">
        <f t="shared" ref="DY179:DY180" si="2769">IF(AS179="","","|n"&amp;DY$2&amp;"+"&amp;AS179&amp;DY$1)</f>
        <v/>
      </c>
      <c r="DZ179" s="44" t="str">
        <f t="shared" ref="DZ179:DZ180" si="2770">IF(AT179="","","|n"&amp;DZ$2&amp;"+"&amp;AT179&amp;DZ$1)</f>
        <v/>
      </c>
      <c r="EA179" s="44" t="str">
        <f t="shared" ref="EA179:EA180" si="2771">IF(AU179="","","|n"&amp;EA$2&amp;"+"&amp;AU179&amp;EA$1)</f>
        <v/>
      </c>
      <c r="EB179" s="44" t="str">
        <f t="shared" ref="EB179:EB180" si="2772">IF(AV179="","","|n"&amp;EB$2&amp;"+"&amp;AV179&amp;EB$1)</f>
        <v/>
      </c>
      <c r="EC179" s="44" t="str">
        <f t="shared" ref="EC179:EC180" si="2773">IF(AW179="","","|n"&amp;EC$2&amp;"+"&amp;AW179&amp;EC$1)</f>
        <v/>
      </c>
      <c r="ED179" s="44" t="str">
        <f t="shared" ref="ED179:ED180" si="2774">IF(AX179="","","|n"&amp;ED$2&amp;"+"&amp;AX179&amp;ED$1)</f>
        <v/>
      </c>
      <c r="EE179" s="44" t="str">
        <f t="shared" ref="EE179:EE180" si="2775">IF(AY179="","","|n"&amp;EE$2&amp;"+"&amp;AY179&amp;EE$1)</f>
        <v/>
      </c>
      <c r="EF179" s="44" t="str">
        <f t="shared" ref="EF179:EF180" si="2776">IF(AZ179="","","|n"&amp;EF$2&amp;"+"&amp;AZ179&amp;EF$1)</f>
        <v/>
      </c>
      <c r="EG179" s="44" t="str">
        <f t="shared" ref="EG179:EG180" si="2777">IF(BA179="","","|n"&amp;EG$2&amp;"+"&amp;BA179&amp;EG$1)</f>
        <v/>
      </c>
      <c r="EH179" s="44" t="str">
        <f t="shared" ref="EH179:EH180" si="2778">IF(BB179="","","|n"&amp;EH$2&amp;"+"&amp;BB179&amp;EH$1)</f>
        <v/>
      </c>
      <c r="EI179" s="44" t="str">
        <f t="shared" ref="EI179:EI180" si="2779">IF(BC179="","","|n"&amp;EI$2&amp;"+"&amp;BC179&amp;EI$1)</f>
        <v/>
      </c>
      <c r="EJ179" s="44" t="str">
        <f t="shared" ref="EJ179:EJ180" si="2780">IF(BD179="","","|n"&amp;EJ$2&amp;"+"&amp;BD179&amp;EJ$1)</f>
        <v/>
      </c>
      <c r="EK179" s="44" t="str">
        <f t="shared" ref="EK179:EK180" si="2781">IF(BE179="","","|n"&amp;EK$2&amp;"+"&amp;BE179&amp;EK$1)</f>
        <v/>
      </c>
      <c r="EL179" s="44" t="str">
        <f t="shared" ref="EL179:EL180" si="2782">IF(BF179="","","|n"&amp;EL$2&amp;"+"&amp;BF179&amp;EL$1)</f>
        <v/>
      </c>
      <c r="EM179" s="44" t="str">
        <f t="shared" ref="EM179:EM180" si="2783">IF(BG179="","","|n"&amp;EM$2&amp;"+"&amp;BG179&amp;EM$1)</f>
        <v/>
      </c>
      <c r="EN179" s="44" t="str">
        <f t="shared" ref="EN179:EN180" si="2784">IF(BH179="","","|n"&amp;EN$2&amp;"+"&amp;BH179&amp;EN$1)</f>
        <v/>
      </c>
      <c r="EO179" s="44" t="str">
        <f t="shared" ref="EO179:EO180" si="2785">IF(BI179="","","|n"&amp;EO$2&amp;"+"&amp;BI179&amp;EO$1)</f>
        <v/>
      </c>
      <c r="EP179" s="44" t="str">
        <f t="shared" ref="EP179:EP180" si="2786">IF(BJ179="","","|n"&amp;EP$2&amp;"+"&amp;BJ179&amp;EP$1)</f>
        <v/>
      </c>
      <c r="EQ179" s="44" t="str">
        <f t="shared" ref="EQ179:EQ180" si="2787">IF(BK179="","","|n"&amp;EQ$2&amp;"+"&amp;BK179&amp;EQ$1)</f>
        <v/>
      </c>
      <c r="ER179" s="44" t="str">
        <f t="shared" ref="ER179:ER180" si="2788">IF(BL179="","","|n"&amp;ER$2&amp;"+"&amp;BL179&amp;ER$1)</f>
        <v/>
      </c>
      <c r="ES179" s="44" t="str">
        <f t="shared" ref="ES179:ES180" si="2789">IF(BM179="","","|n"&amp;ES$2&amp;"+"&amp;BM179&amp;ES$1)</f>
        <v/>
      </c>
      <c r="ET179" s="44" t="str">
        <f t="shared" ref="ET179:ET180" si="2790">IF(BN179="","","|n"&amp;ET$2&amp;"+"&amp;BN179&amp;ET$1)</f>
        <v/>
      </c>
      <c r="EU179" s="44" t="str">
        <f t="shared" ref="EU179:EU180" si="2791">IF(BO179="","","|n"&amp;EU$2&amp;"+"&amp;BO179&amp;EU$1)</f>
        <v/>
      </c>
      <c r="EV179" s="44" t="str">
        <f t="shared" ref="EV179:EV180" si="2792">IF(BP179="","","|n"&amp;EV$2&amp;"+"&amp;BP179&amp;EV$1)</f>
        <v/>
      </c>
      <c r="EW179" s="44" t="str">
        <f t="shared" ref="EW179:EW180" si="2793">IF(BQ179="","","|n"&amp;EW$2&amp;"+"&amp;BQ179&amp;EW$1)</f>
        <v/>
      </c>
      <c r="EX179" s="44" t="str">
        <f t="shared" ref="EX179:EX180" si="2794">IF(BR179="","","|n"&amp;EX$2&amp;"+"&amp;BR179&amp;EX$1)</f>
        <v/>
      </c>
      <c r="EY179" s="44" t="str">
        <f t="shared" ref="EY179:EY180" si="2795">IF(BS179="","","|n"&amp;EY$2&amp;"+"&amp;BS179&amp;EY$1)</f>
        <v/>
      </c>
      <c r="EZ179" s="44" t="str">
        <f t="shared" ref="EZ179:EZ180" si="2796">IF(BT179="","","|n"&amp;EZ$2&amp;"+"&amp;BT179&amp;EZ$1)</f>
        <v/>
      </c>
      <c r="FA179" s="44" t="str">
        <f t="shared" ref="FA179:FA180" si="2797">IF(BU179="","","|n"&amp;FA$2&amp;"+"&amp;BU179&amp;FA$1)</f>
        <v/>
      </c>
      <c r="FB179" s="44" t="str">
        <f t="shared" ref="FB179:FB180" si="2798">IF(BV179="","","|n"&amp;FB$2&amp;"+"&amp;BV179&amp;FB$1)</f>
        <v/>
      </c>
      <c r="FC179" s="44" t="str">
        <f t="shared" ref="FC179:FC180" si="2799">IF(BW179="","","|n"&amp;FC$2&amp;"+"&amp;BW179&amp;FC$1)</f>
        <v/>
      </c>
      <c r="FD179" s="44" t="str">
        <f t="shared" ref="FD179:FD180" si="2800">IF(BX179="","","|n"&amp;FD$2&amp;"+"&amp;BX179&amp;FD$1)</f>
        <v/>
      </c>
      <c r="FE179" s="44" t="str">
        <f t="shared" ref="FE179:FE180" si="2801">IF(BY179="","","|n"&amp;FE$2&amp;"+"&amp;BY179&amp;FE$1)</f>
        <v/>
      </c>
      <c r="FF179" s="44" t="str">
        <f t="shared" ref="FF179:FF180" si="2802">IF(BZ179="","","|n"&amp;FF$2&amp;"+"&amp;BZ179&amp;FF$1)</f>
        <v/>
      </c>
      <c r="FG179" s="44" t="str">
        <f t="shared" ref="FG179:FG180" si="2803">IF(CA179="","","|n"&amp;FG$2&amp;"+"&amp;CA179&amp;FG$1)</f>
        <v/>
      </c>
      <c r="FH179" s="44" t="str">
        <f t="shared" ref="FH179:FH180" si="2804">IF(CB179="","","|n"&amp;FH$2&amp;"+"&amp;CB179&amp;FH$1)</f>
        <v/>
      </c>
      <c r="FI179" s="44" t="str">
        <f t="shared" ref="FI179:FI180" si="2805">IF(CC179="","","|n"&amp;FI$2&amp;"+"&amp;CC179&amp;FI$1)</f>
        <v/>
      </c>
      <c r="FJ179" s="44" t="str">
        <f t="shared" ref="FJ179:FJ180" si="2806">IF(CD179="","","|n"&amp;FJ$2&amp;"+"&amp;CD179&amp;FJ$1)</f>
        <v/>
      </c>
      <c r="FK179" s="44" t="str">
        <f t="shared" ref="FK179:FK180" si="2807">IF(CE179="","","|n"&amp;FK$2&amp;"+"&amp;CE179&amp;FK$1)</f>
        <v/>
      </c>
      <c r="FL179" s="44" t="str">
        <f t="shared" ref="FL179:FL180" si="2808">IF(CF179="","","|n"&amp;FL$2&amp;"+"&amp;CF179&amp;FL$1)</f>
        <v/>
      </c>
      <c r="FM179" s="44" t="str">
        <f t="shared" ref="FM179:FM180" si="2809">IF(CG179="","","|n"&amp;FM$2&amp;"+"&amp;CG179&amp;FM$1)</f>
        <v/>
      </c>
      <c r="FN179" s="44" t="str">
        <f t="shared" ref="FN179:FN180" si="2810">IF(CH179="","","|n"&amp;FN$2&amp;"+"&amp;CH179&amp;FN$1)</f>
        <v/>
      </c>
      <c r="FO179" s="44" t="str">
        <f t="shared" ref="FO179:FO180" si="2811">IF(CI179="","","|n"&amp;FO$2&amp;"+"&amp;CI179&amp;FO$1)</f>
        <v/>
      </c>
      <c r="FP179" s="44" t="str">
        <f t="shared" ref="FP179:FP180" si="2812">IF(CJ179="","","|n"&amp;FP$2&amp;"+"&amp;CJ179&amp;FP$1)</f>
        <v/>
      </c>
      <c r="FQ179" s="44" t="str">
        <f t="shared" ref="FQ179:FQ180" si="2813">IF(CK179="","","|n"&amp;FQ$2&amp;"+"&amp;CK179&amp;FQ$1)</f>
        <v/>
      </c>
      <c r="FR179" s="44" t="str">
        <f t="shared" ref="FR179:FR180" si="2814">IF(CL179="","","|n"&amp;FR$2&amp;"+"&amp;CL179&amp;FR$1)</f>
        <v/>
      </c>
      <c r="FS179" s="44" t="str">
        <f t="shared" ref="FS179:FS180" si="2815">IF(CM179="","","|n"&amp;FS$2&amp;"+"&amp;CM179&amp;FS$1)</f>
        <v/>
      </c>
    </row>
    <row r="180" ht="15" spans="1:175">
      <c r="A180" s="78"/>
      <c r="B180" s="5" t="s">
        <v>606</v>
      </c>
      <c r="C180" s="78" t="s">
        <v>607</v>
      </c>
      <c r="T180" s="79" t="s">
        <v>608</v>
      </c>
      <c r="U180" s="60" t="str">
        <f t="shared" si="2574"/>
        <v>ReplaceableTextures\\CommandButtons\\BTNIP03.blp</v>
      </c>
      <c r="CN180" s="13" t="str">
        <f t="shared" si="2668"/>
        <v>InitUnitState('IP03',,,,,,,,,,)</v>
      </c>
      <c r="CO180" s="13" t="str">
        <f t="shared" si="2669"/>
        <v>InitUnitNormal('IP03',,,,,,,,,,)</v>
      </c>
      <c r="CP180" s="13" t="str">
        <f t="shared" si="2670"/>
        <v>InitUnitMagic('IP03',,,,,,,,,,)</v>
      </c>
      <c r="CQ180" s="13" t="str">
        <f t="shared" si="2671"/>
        <v>InitUnitAdd('IP03',,,,,,,,,,)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187&amp;CR$1&amp;")"</f>
        <v>InitEquipData('IP03',,"",,,,,'','','','','','',"ReplaceableTextures\\CommandButtons\\BTNIT01.blp")</v>
      </c>
      <c r="CU180" s="72" t="str">
        <f t="shared" si="2744"/>
        <v>|n</v>
      </c>
      <c r="CV180" s="6" t="str">
        <f t="shared" si="2745"/>
        <v>点击|Cffffc926选中指定法宝|r后，再点击|Cffffc926锻造|r，可|Cffffc926重置|r指定法宝，|Cffffc926品质提升一级|r。|n|n|Cff00ff7f每次重铸消耗1个鸿蒙结晶|r</v>
      </c>
      <c r="CW180" s="7"/>
      <c r="CX180" s="7"/>
      <c r="CY180" s="7"/>
      <c r="CZ180" s="7"/>
      <c r="DA180" s="7"/>
      <c r="DB180" s="44" t="str">
        <f t="shared" si="2746"/>
        <v/>
      </c>
      <c r="DC180" s="44" t="str">
        <f t="shared" si="2747"/>
        <v/>
      </c>
      <c r="DD180" s="44" t="str">
        <f t="shared" si="2748"/>
        <v/>
      </c>
      <c r="DE180" s="44" t="str">
        <f t="shared" si="2749"/>
        <v/>
      </c>
      <c r="DF180" s="44" t="str">
        <f t="shared" si="2750"/>
        <v/>
      </c>
      <c r="DG180" s="44" t="str">
        <f t="shared" si="2751"/>
        <v/>
      </c>
      <c r="DH180" s="44" t="str">
        <f t="shared" si="2752"/>
        <v/>
      </c>
      <c r="DI180" s="44" t="str">
        <f t="shared" si="2753"/>
        <v/>
      </c>
      <c r="DJ180" s="44" t="str">
        <f t="shared" si="2754"/>
        <v/>
      </c>
      <c r="DK180" s="44" t="str">
        <f t="shared" si="2755"/>
        <v/>
      </c>
      <c r="DL180" s="44" t="str">
        <f t="shared" si="2756"/>
        <v/>
      </c>
      <c r="DM180" s="44" t="str">
        <f t="shared" si="2757"/>
        <v/>
      </c>
      <c r="DN180" s="44" t="str">
        <f t="shared" si="2758"/>
        <v/>
      </c>
      <c r="DO180" s="44" t="str">
        <f t="shared" si="2759"/>
        <v/>
      </c>
      <c r="DP180" s="44" t="str">
        <f t="shared" si="2760"/>
        <v/>
      </c>
      <c r="DQ180" s="44" t="str">
        <f t="shared" si="2761"/>
        <v/>
      </c>
      <c r="DR180" s="44" t="str">
        <f t="shared" si="2762"/>
        <v/>
      </c>
      <c r="DS180" s="44" t="str">
        <f t="shared" si="2763"/>
        <v/>
      </c>
      <c r="DT180" s="44" t="str">
        <f t="shared" si="2764"/>
        <v/>
      </c>
      <c r="DU180" s="44" t="str">
        <f t="shared" si="2765"/>
        <v/>
      </c>
      <c r="DV180" s="44" t="str">
        <f t="shared" si="2766"/>
        <v/>
      </c>
      <c r="DW180" s="44" t="str">
        <f t="shared" si="2767"/>
        <v/>
      </c>
      <c r="DX180" s="44" t="str">
        <f t="shared" si="2768"/>
        <v/>
      </c>
      <c r="DY180" s="44" t="str">
        <f t="shared" si="2769"/>
        <v/>
      </c>
      <c r="DZ180" s="44" t="str">
        <f t="shared" si="2770"/>
        <v/>
      </c>
      <c r="EA180" s="44" t="str">
        <f t="shared" si="2771"/>
        <v/>
      </c>
      <c r="EB180" s="44" t="str">
        <f t="shared" si="2772"/>
        <v/>
      </c>
      <c r="EC180" s="44" t="str">
        <f t="shared" si="2773"/>
        <v/>
      </c>
      <c r="ED180" s="44" t="str">
        <f t="shared" si="2774"/>
        <v/>
      </c>
      <c r="EE180" s="44" t="str">
        <f t="shared" si="2775"/>
        <v/>
      </c>
      <c r="EF180" s="44" t="str">
        <f t="shared" si="2776"/>
        <v/>
      </c>
      <c r="EG180" s="44" t="str">
        <f t="shared" si="2777"/>
        <v/>
      </c>
      <c r="EH180" s="44" t="str">
        <f t="shared" si="2778"/>
        <v/>
      </c>
      <c r="EI180" s="44" t="str">
        <f t="shared" si="2779"/>
        <v/>
      </c>
      <c r="EJ180" s="44" t="str">
        <f t="shared" si="2780"/>
        <v/>
      </c>
      <c r="EK180" s="44" t="str">
        <f t="shared" si="2781"/>
        <v/>
      </c>
      <c r="EL180" s="44" t="str">
        <f t="shared" si="2782"/>
        <v/>
      </c>
      <c r="EM180" s="44" t="str">
        <f t="shared" si="2783"/>
        <v/>
      </c>
      <c r="EN180" s="44" t="str">
        <f t="shared" si="2784"/>
        <v/>
      </c>
      <c r="EO180" s="44" t="str">
        <f t="shared" si="2785"/>
        <v/>
      </c>
      <c r="EP180" s="44" t="str">
        <f t="shared" si="2786"/>
        <v/>
      </c>
      <c r="EQ180" s="44" t="str">
        <f t="shared" si="2787"/>
        <v/>
      </c>
      <c r="ER180" s="44" t="str">
        <f t="shared" si="2788"/>
        <v/>
      </c>
      <c r="ES180" s="44" t="str">
        <f t="shared" si="2789"/>
        <v/>
      </c>
      <c r="ET180" s="44" t="str">
        <f t="shared" si="2790"/>
        <v/>
      </c>
      <c r="EU180" s="44" t="str">
        <f t="shared" si="2791"/>
        <v/>
      </c>
      <c r="EV180" s="44" t="str">
        <f t="shared" si="2792"/>
        <v/>
      </c>
      <c r="EW180" s="44" t="str">
        <f t="shared" si="2793"/>
        <v/>
      </c>
      <c r="EX180" s="44" t="str">
        <f t="shared" si="2794"/>
        <v/>
      </c>
      <c r="EY180" s="44" t="str">
        <f t="shared" si="2795"/>
        <v/>
      </c>
      <c r="EZ180" s="44" t="str">
        <f t="shared" si="2796"/>
        <v/>
      </c>
      <c r="FA180" s="44" t="str">
        <f t="shared" si="2797"/>
        <v/>
      </c>
      <c r="FB180" s="44" t="str">
        <f t="shared" si="2798"/>
        <v/>
      </c>
      <c r="FC180" s="44" t="str">
        <f t="shared" si="2799"/>
        <v/>
      </c>
      <c r="FD180" s="44" t="str">
        <f t="shared" si="2800"/>
        <v/>
      </c>
      <c r="FE180" s="44" t="str">
        <f t="shared" si="2801"/>
        <v/>
      </c>
      <c r="FF180" s="44" t="str">
        <f t="shared" si="2802"/>
        <v/>
      </c>
      <c r="FG180" s="44" t="str">
        <f t="shared" si="2803"/>
        <v/>
      </c>
      <c r="FH180" s="44" t="str">
        <f t="shared" si="2804"/>
        <v/>
      </c>
      <c r="FI180" s="44" t="str">
        <f t="shared" si="2805"/>
        <v/>
      </c>
      <c r="FJ180" s="44" t="str">
        <f t="shared" si="2806"/>
        <v/>
      </c>
      <c r="FK180" s="44" t="str">
        <f t="shared" si="2807"/>
        <v/>
      </c>
      <c r="FL180" s="44" t="str">
        <f t="shared" si="2808"/>
        <v/>
      </c>
      <c r="FM180" s="44" t="str">
        <f t="shared" si="2809"/>
        <v/>
      </c>
      <c r="FN180" s="44" t="str">
        <f t="shared" si="2810"/>
        <v/>
      </c>
      <c r="FO180" s="44" t="str">
        <f t="shared" si="2811"/>
        <v/>
      </c>
      <c r="FP180" s="44" t="str">
        <f t="shared" si="2812"/>
        <v/>
      </c>
      <c r="FQ180" s="44" t="str">
        <f t="shared" si="2813"/>
        <v/>
      </c>
      <c r="FR180" s="44" t="str">
        <f t="shared" si="2814"/>
        <v/>
      </c>
      <c r="FS180" s="44" t="str">
        <f t="shared" si="2815"/>
        <v/>
      </c>
    </row>
    <row r="181" ht="15" spans="1:175">
      <c r="A181" s="78"/>
      <c r="B181" s="5" t="s">
        <v>609</v>
      </c>
      <c r="C181" s="78" t="s">
        <v>610</v>
      </c>
      <c r="T181" s="79" t="s">
        <v>611</v>
      </c>
      <c r="U181" s="60" t="str">
        <f t="shared" ref="U181:U186" si="2816">"ReplaceableTextures\\CommandButtons\\BTN"&amp;B181&amp;".blp"</f>
        <v>ReplaceableTextures\\CommandButtons\\BTNIP04.blp</v>
      </c>
      <c r="CN181" s="13" t="str">
        <f t="shared" si="2668"/>
        <v>InitUnitState('IP04',,,,,,,,,,)</v>
      </c>
      <c r="CO181" s="13" t="str">
        <f t="shared" si="2669"/>
        <v>InitUnitNormal('IP04',,,,,,,,,,)</v>
      </c>
      <c r="CP181" s="13" t="str">
        <f t="shared" si="2670"/>
        <v>InitUnitMagic('IP04',,,,,,,,,,)</v>
      </c>
      <c r="CQ181" s="13" t="str">
        <f t="shared" si="2671"/>
        <v>InitUnitAdd('IP04',,,,,,,,,,)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InitEquipData('IP04',,"",,,,,'','','','','','',"ReplaceableTextures\\CommandButtons\\BTNIP05.blp")</v>
      </c>
      <c r="CU181" s="72" t="str">
        <f t="shared" ref="CU181:CU186" si="2817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6" si="2818">T181</f>
        <v>使用后|Cffffd24d重置|r当前|Cffff0000神兽神通【R】|r|Cfff0f0f0。|r</v>
      </c>
      <c r="CW181" s="7"/>
      <c r="CX181" s="7"/>
      <c r="CY181" s="7"/>
      <c r="CZ181" s="7"/>
      <c r="DA181" s="7"/>
      <c r="DB181" s="44" t="str">
        <f t="shared" ref="DB181:DB182" si="2819">IF(V181="","","|n"&amp;DB$2&amp;"+"&amp;V181&amp;DB$1)</f>
        <v/>
      </c>
      <c r="DC181" s="44" t="str">
        <f t="shared" ref="DC181:DC182" si="2820">IF(W181="","","|n"&amp;DC$2&amp;"+"&amp;W181&amp;DC$1)</f>
        <v/>
      </c>
      <c r="DD181" s="44" t="str">
        <f t="shared" ref="DD181:DD182" si="2821">IF(X181="","","|n"&amp;DD$2&amp;"+"&amp;X181&amp;DD$1)</f>
        <v/>
      </c>
      <c r="DE181" s="44" t="str">
        <f t="shared" ref="DE181:DE182" si="2822">IF(Y181="","","|n"&amp;DE$2&amp;"+"&amp;Y181&amp;DE$1)</f>
        <v/>
      </c>
      <c r="DF181" s="44" t="str">
        <f t="shared" ref="DF181:DF182" si="2823">IF(Z181="","","|n"&amp;DF$2&amp;"+"&amp;Z181&amp;DF$1)</f>
        <v/>
      </c>
      <c r="DG181" s="44" t="str">
        <f t="shared" ref="DG181:DG182" si="2824">IF(AA181="","","|n"&amp;DG$2&amp;"+"&amp;AA181&amp;DG$1)</f>
        <v/>
      </c>
      <c r="DH181" s="44" t="str">
        <f t="shared" ref="DH181:DH182" si="2825">IF(AB181="","","|n"&amp;DH$2&amp;"+"&amp;AB181&amp;DH$1)</f>
        <v/>
      </c>
      <c r="DI181" s="44" t="str">
        <f t="shared" ref="DI181:DI182" si="2826">IF(AC181="","","|n"&amp;DI$2&amp;"+"&amp;AC181&amp;DI$1)</f>
        <v/>
      </c>
      <c r="DJ181" s="44" t="str">
        <f t="shared" ref="DJ181:DJ182" si="2827">IF(AD181="","","|n"&amp;DJ$2&amp;"+"&amp;AD181&amp;DJ$1)</f>
        <v/>
      </c>
      <c r="DK181" s="44" t="str">
        <f t="shared" ref="DK181:DK182" si="2828">IF(AE181="","","|n"&amp;DK$2&amp;"+"&amp;AE181&amp;DK$1)</f>
        <v/>
      </c>
      <c r="DL181" s="44" t="str">
        <f t="shared" ref="DL181:DL182" si="2829">IF(AF181="","","|n"&amp;DL$2&amp;"+"&amp;AF181&amp;DL$1)</f>
        <v/>
      </c>
      <c r="DM181" s="44" t="str">
        <f t="shared" ref="DM181:DM182" si="2830">IF(AG181="","","|n"&amp;DM$2&amp;"+"&amp;AG181&amp;DM$1)</f>
        <v/>
      </c>
      <c r="DN181" s="44" t="str">
        <f t="shared" ref="DN181:DN182" si="2831">IF(AH181="","","|n"&amp;DN$2&amp;"+"&amp;AH181&amp;DN$1)</f>
        <v/>
      </c>
      <c r="DO181" s="44" t="str">
        <f t="shared" ref="DO181:DO182" si="2832">IF(AI181="","","|n"&amp;DO$2&amp;"+"&amp;AI181&amp;DO$1)</f>
        <v/>
      </c>
      <c r="DP181" s="44" t="str">
        <f t="shared" ref="DP181:DP182" si="2833">IF(AJ181="","","|n"&amp;DP$2&amp;"+"&amp;AJ181&amp;DP$1)</f>
        <v/>
      </c>
      <c r="DQ181" s="44" t="str">
        <f t="shared" ref="DQ181:DQ182" si="2834">IF(AK181="","","|n"&amp;DQ$2&amp;"+"&amp;AK181&amp;DQ$1)</f>
        <v/>
      </c>
      <c r="DR181" s="44" t="str">
        <f t="shared" ref="DR181:DR182" si="2835">IF(AL181="","","|n"&amp;DR$2&amp;"+"&amp;AL181&amp;DR$1)</f>
        <v/>
      </c>
      <c r="DS181" s="44" t="str">
        <f t="shared" ref="DS181:DS182" si="2836">IF(AM181="","","|n"&amp;DS$2&amp;"+"&amp;AM181&amp;DS$1)</f>
        <v/>
      </c>
      <c r="DT181" s="44" t="str">
        <f t="shared" ref="DT181:DT182" si="2837">IF(AN181="","","|n"&amp;DT$2&amp;"+"&amp;AN181&amp;DT$1)</f>
        <v/>
      </c>
      <c r="DU181" s="44" t="str">
        <f t="shared" ref="DU181:DU182" si="2838">IF(AO181="","","|n"&amp;DU$2&amp;"+"&amp;AO181&amp;DU$1)</f>
        <v/>
      </c>
      <c r="DV181" s="44" t="str">
        <f t="shared" ref="DV181:DV182" si="2839">IF(AP181="","","|n"&amp;DV$2&amp;"+"&amp;AP181&amp;DV$1)</f>
        <v/>
      </c>
      <c r="DW181" s="44" t="str">
        <f t="shared" ref="DW181:DW182" si="2840">IF(AQ181="","","|n"&amp;DW$2&amp;"+"&amp;AQ181&amp;DW$1)</f>
        <v/>
      </c>
      <c r="DX181" s="44" t="str">
        <f t="shared" ref="DX181:DX182" si="2841">IF(AR181="","","|n"&amp;DX$2&amp;"+"&amp;AR181&amp;DX$1)</f>
        <v/>
      </c>
      <c r="DY181" s="44" t="str">
        <f t="shared" ref="DY181:DY182" si="2842">IF(AS181="","","|n"&amp;DY$2&amp;"+"&amp;AS181&amp;DY$1)</f>
        <v/>
      </c>
      <c r="DZ181" s="44" t="str">
        <f t="shared" ref="DZ181:DZ182" si="2843">IF(AT181="","","|n"&amp;DZ$2&amp;"+"&amp;AT181&amp;DZ$1)</f>
        <v/>
      </c>
      <c r="EA181" s="44" t="str">
        <f t="shared" ref="EA181:EA182" si="2844">IF(AU181="","","|n"&amp;EA$2&amp;"+"&amp;AU181&amp;EA$1)</f>
        <v/>
      </c>
      <c r="EB181" s="44" t="str">
        <f t="shared" ref="EB181:EB182" si="2845">IF(AV181="","","|n"&amp;EB$2&amp;"+"&amp;AV181&amp;EB$1)</f>
        <v/>
      </c>
      <c r="EC181" s="44" t="str">
        <f t="shared" ref="EC181:EC182" si="2846">IF(AW181="","","|n"&amp;EC$2&amp;"+"&amp;AW181&amp;EC$1)</f>
        <v/>
      </c>
      <c r="ED181" s="44" t="str">
        <f t="shared" ref="ED181:ED182" si="2847">IF(AX181="","","|n"&amp;ED$2&amp;"+"&amp;AX181&amp;ED$1)</f>
        <v/>
      </c>
      <c r="EE181" s="44" t="str">
        <f t="shared" ref="EE181:EE182" si="2848">IF(AY181="","","|n"&amp;EE$2&amp;"+"&amp;AY181&amp;EE$1)</f>
        <v/>
      </c>
      <c r="EF181" s="44" t="str">
        <f t="shared" ref="EF181:EF182" si="2849">IF(AZ181="","","|n"&amp;EF$2&amp;"+"&amp;AZ181&amp;EF$1)</f>
        <v/>
      </c>
      <c r="EG181" s="44" t="str">
        <f t="shared" ref="EG181:EG182" si="2850">IF(BA181="","","|n"&amp;EG$2&amp;"+"&amp;BA181&amp;EG$1)</f>
        <v/>
      </c>
      <c r="EH181" s="44" t="str">
        <f t="shared" ref="EH181:EH182" si="2851">IF(BB181="","","|n"&amp;EH$2&amp;"+"&amp;BB181&amp;EH$1)</f>
        <v/>
      </c>
      <c r="EI181" s="44" t="str">
        <f t="shared" ref="EI181:EI182" si="2852">IF(BC181="","","|n"&amp;EI$2&amp;"+"&amp;BC181&amp;EI$1)</f>
        <v/>
      </c>
      <c r="EJ181" s="44" t="str">
        <f t="shared" ref="EJ181:EJ182" si="2853">IF(BD181="","","|n"&amp;EJ$2&amp;"+"&amp;BD181&amp;EJ$1)</f>
        <v/>
      </c>
      <c r="EK181" s="44" t="str">
        <f t="shared" ref="EK181:EK182" si="2854">IF(BE181="","","|n"&amp;EK$2&amp;"+"&amp;BE181&amp;EK$1)</f>
        <v/>
      </c>
      <c r="EL181" s="44" t="str">
        <f t="shared" ref="EL181:EL182" si="2855">IF(BF181="","","|n"&amp;EL$2&amp;"+"&amp;BF181&amp;EL$1)</f>
        <v/>
      </c>
      <c r="EM181" s="44" t="str">
        <f t="shared" ref="EM181:EM182" si="2856">IF(BG181="","","|n"&amp;EM$2&amp;"+"&amp;BG181&amp;EM$1)</f>
        <v/>
      </c>
      <c r="EN181" s="44" t="str">
        <f t="shared" ref="EN181:EN182" si="2857">IF(BH181="","","|n"&amp;EN$2&amp;"+"&amp;BH181&amp;EN$1)</f>
        <v/>
      </c>
      <c r="EO181" s="44" t="str">
        <f t="shared" ref="EO181:EO182" si="2858">IF(BI181="","","|n"&amp;EO$2&amp;"+"&amp;BI181&amp;EO$1)</f>
        <v/>
      </c>
      <c r="EP181" s="44" t="str">
        <f t="shared" ref="EP181:EP182" si="2859">IF(BJ181="","","|n"&amp;EP$2&amp;"+"&amp;BJ181&amp;EP$1)</f>
        <v/>
      </c>
      <c r="EQ181" s="44" t="str">
        <f t="shared" ref="EQ181:EQ182" si="2860">IF(BK181="","","|n"&amp;EQ$2&amp;"+"&amp;BK181&amp;EQ$1)</f>
        <v/>
      </c>
      <c r="ER181" s="44" t="str">
        <f t="shared" ref="ER181:ER182" si="2861">IF(BL181="","","|n"&amp;ER$2&amp;"+"&amp;BL181&amp;ER$1)</f>
        <v/>
      </c>
      <c r="ES181" s="44" t="str">
        <f t="shared" ref="ES181:ES182" si="2862">IF(BM181="","","|n"&amp;ES$2&amp;"+"&amp;BM181&amp;ES$1)</f>
        <v/>
      </c>
      <c r="ET181" s="44" t="str">
        <f t="shared" ref="ET181:ET182" si="2863">IF(BN181="","","|n"&amp;ET$2&amp;"+"&amp;BN181&amp;ET$1)</f>
        <v/>
      </c>
      <c r="EU181" s="44" t="str">
        <f t="shared" ref="EU181:EU182" si="2864">IF(BO181="","","|n"&amp;EU$2&amp;"+"&amp;BO181&amp;EU$1)</f>
        <v/>
      </c>
      <c r="EV181" s="44" t="str">
        <f t="shared" ref="EV181:EV182" si="2865">IF(BP181="","","|n"&amp;EV$2&amp;"+"&amp;BP181&amp;EV$1)</f>
        <v/>
      </c>
      <c r="EW181" s="44" t="str">
        <f t="shared" ref="EW181:EW182" si="2866">IF(BQ181="","","|n"&amp;EW$2&amp;"+"&amp;BQ181&amp;EW$1)</f>
        <v/>
      </c>
      <c r="EX181" s="44" t="str">
        <f t="shared" ref="EX181:EX182" si="2867">IF(BR181="","","|n"&amp;EX$2&amp;"+"&amp;BR181&amp;EX$1)</f>
        <v/>
      </c>
      <c r="EY181" s="44" t="str">
        <f t="shared" ref="EY181:EY182" si="2868">IF(BS181="","","|n"&amp;EY$2&amp;"+"&amp;BS181&amp;EY$1)</f>
        <v/>
      </c>
      <c r="EZ181" s="44" t="str">
        <f t="shared" ref="EZ181:EZ182" si="2869">IF(BT181="","","|n"&amp;EZ$2&amp;"+"&amp;BT181&amp;EZ$1)</f>
        <v/>
      </c>
      <c r="FA181" s="44" t="str">
        <f t="shared" ref="FA181:FA182" si="2870">IF(BU181="","","|n"&amp;FA$2&amp;"+"&amp;BU181&amp;FA$1)</f>
        <v/>
      </c>
      <c r="FB181" s="44" t="str">
        <f t="shared" ref="FB181:FB182" si="2871">IF(BV181="","","|n"&amp;FB$2&amp;"+"&amp;BV181&amp;FB$1)</f>
        <v/>
      </c>
      <c r="FC181" s="44" t="str">
        <f t="shared" ref="FC181:FC182" si="2872">IF(BW181="","","|n"&amp;FC$2&amp;"+"&amp;BW181&amp;FC$1)</f>
        <v/>
      </c>
      <c r="FD181" s="44" t="str">
        <f t="shared" ref="FD181:FD182" si="2873">IF(BX181="","","|n"&amp;FD$2&amp;"+"&amp;BX181&amp;FD$1)</f>
        <v/>
      </c>
      <c r="FE181" s="44" t="str">
        <f t="shared" ref="FE181:FE182" si="2874">IF(BY181="","","|n"&amp;FE$2&amp;"+"&amp;BY181&amp;FE$1)</f>
        <v/>
      </c>
      <c r="FF181" s="44" t="str">
        <f t="shared" ref="FF181:FF182" si="2875">IF(BZ181="","","|n"&amp;FF$2&amp;"+"&amp;BZ181&amp;FF$1)</f>
        <v/>
      </c>
      <c r="FG181" s="44" t="str">
        <f t="shared" ref="FG181:FG182" si="2876">IF(CA181="","","|n"&amp;FG$2&amp;"+"&amp;CA181&amp;FG$1)</f>
        <v/>
      </c>
      <c r="FH181" s="44" t="str">
        <f t="shared" ref="FH181:FH182" si="2877">IF(CB181="","","|n"&amp;FH$2&amp;"+"&amp;CB181&amp;FH$1)</f>
        <v/>
      </c>
      <c r="FI181" s="44" t="str">
        <f t="shared" ref="FI181:FI182" si="2878">IF(CC181="","","|n"&amp;FI$2&amp;"+"&amp;CC181&amp;FI$1)</f>
        <v/>
      </c>
      <c r="FJ181" s="44" t="str">
        <f t="shared" ref="FJ181:FJ182" si="2879">IF(CD181="","","|n"&amp;FJ$2&amp;"+"&amp;CD181&amp;FJ$1)</f>
        <v/>
      </c>
      <c r="FK181" s="44" t="str">
        <f t="shared" ref="FK181:FK182" si="2880">IF(CE181="","","|n"&amp;FK$2&amp;"+"&amp;CE181&amp;FK$1)</f>
        <v/>
      </c>
      <c r="FL181" s="44" t="str">
        <f t="shared" ref="FL181:FL182" si="2881">IF(CF181="","","|n"&amp;FL$2&amp;"+"&amp;CF181&amp;FL$1)</f>
        <v/>
      </c>
      <c r="FM181" s="44" t="str">
        <f t="shared" ref="FM181:FM182" si="2882">IF(CG181="","","|n"&amp;FM$2&amp;"+"&amp;CG181&amp;FM$1)</f>
        <v/>
      </c>
      <c r="FN181" s="44" t="str">
        <f t="shared" ref="FN181:FN182" si="2883">IF(CH181="","","|n"&amp;FN$2&amp;"+"&amp;CH181&amp;FN$1)</f>
        <v/>
      </c>
      <c r="FO181" s="44" t="str">
        <f t="shared" ref="FO181:FO182" si="2884">IF(CI181="","","|n"&amp;FO$2&amp;"+"&amp;CI181&amp;FO$1)</f>
        <v/>
      </c>
      <c r="FP181" s="44" t="str">
        <f t="shared" ref="FP181:FP182" si="2885">IF(CJ181="","","|n"&amp;FP$2&amp;"+"&amp;CJ181&amp;FP$1)</f>
        <v/>
      </c>
      <c r="FQ181" s="44" t="str">
        <f t="shared" ref="FQ181:FQ182" si="2886">IF(CK181="","","|n"&amp;FQ$2&amp;"+"&amp;CK181&amp;FQ$1)</f>
        <v/>
      </c>
      <c r="FR181" s="44" t="str">
        <f t="shared" ref="FR181:FR182" si="2887">IF(CL181="","","|n"&amp;FR$2&amp;"+"&amp;CL181&amp;FR$1)</f>
        <v/>
      </c>
      <c r="FS181" s="44" t="str">
        <f t="shared" ref="FS181:FS182" si="2888">IF(CM181="","","|n"&amp;FS$2&amp;"+"&amp;CM181&amp;FS$1)</f>
        <v/>
      </c>
    </row>
    <row r="182" ht="15" spans="1:175">
      <c r="A182" s="78"/>
      <c r="B182" s="5" t="s">
        <v>612</v>
      </c>
      <c r="C182" s="78" t="s">
        <v>613</v>
      </c>
      <c r="T182" s="79" t="s">
        <v>614</v>
      </c>
      <c r="U182" s="60" t="str">
        <f t="shared" si="2816"/>
        <v>ReplaceableTextures\\CommandButtons\\BTNIP05.blp</v>
      </c>
      <c r="CN182" s="13" t="str">
        <f t="shared" si="2668"/>
        <v>InitUnitState('IP05',,,,,,,,,,)</v>
      </c>
      <c r="CO182" s="13" t="str">
        <f t="shared" si="2669"/>
        <v>InitUnitNormal('IP05',,,,,,,,,,)</v>
      </c>
      <c r="CP182" s="13" t="str">
        <f t="shared" si="2670"/>
        <v>InitUnitMagic('IP05',,,,,,,,,,)</v>
      </c>
      <c r="CQ182" s="13" t="str">
        <f t="shared" si="2671"/>
        <v>InitUnitAdd('IP05',,,,,,,,,,)</v>
      </c>
      <c r="CR182" s="13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InitEquipData('IP05',,"",,,,,'','','','','','',"ReplaceableTextures\\CommandButtons\\BTNIT03.blp")</v>
      </c>
      <c r="CU182" s="72" t="str">
        <f t="shared" si="2817"/>
        <v>|n</v>
      </c>
      <c r="CV182" s="6" t="str">
        <f t="shared" si="2818"/>
        <v>开启|Cffffd24d结界|r，前往虚空终止|Cffff0000封神圣战|r。</v>
      </c>
      <c r="CW182" s="7"/>
      <c r="CX182" s="7"/>
      <c r="CY182" s="7"/>
      <c r="CZ182" s="7"/>
      <c r="DA182" s="7"/>
      <c r="DB182" s="44" t="str">
        <f t="shared" si="2819"/>
        <v/>
      </c>
      <c r="DC182" s="44" t="str">
        <f t="shared" si="2820"/>
        <v/>
      </c>
      <c r="DD182" s="44" t="str">
        <f t="shared" si="2821"/>
        <v/>
      </c>
      <c r="DE182" s="44" t="str">
        <f t="shared" si="2822"/>
        <v/>
      </c>
      <c r="DF182" s="44" t="str">
        <f t="shared" si="2823"/>
        <v/>
      </c>
      <c r="DG182" s="44" t="str">
        <f t="shared" si="2824"/>
        <v/>
      </c>
      <c r="DH182" s="44" t="str">
        <f t="shared" si="2825"/>
        <v/>
      </c>
      <c r="DI182" s="44" t="str">
        <f t="shared" si="2826"/>
        <v/>
      </c>
      <c r="DJ182" s="44" t="str">
        <f t="shared" si="2827"/>
        <v/>
      </c>
      <c r="DK182" s="44" t="str">
        <f t="shared" si="2828"/>
        <v/>
      </c>
      <c r="DL182" s="44" t="str">
        <f t="shared" si="2829"/>
        <v/>
      </c>
      <c r="DM182" s="44" t="str">
        <f t="shared" si="2830"/>
        <v/>
      </c>
      <c r="DN182" s="44" t="str">
        <f t="shared" si="2831"/>
        <v/>
      </c>
      <c r="DO182" s="44" t="str">
        <f t="shared" si="2832"/>
        <v/>
      </c>
      <c r="DP182" s="44" t="str">
        <f t="shared" si="2833"/>
        <v/>
      </c>
      <c r="DQ182" s="44" t="str">
        <f t="shared" si="2834"/>
        <v/>
      </c>
      <c r="DR182" s="44" t="str">
        <f t="shared" si="2835"/>
        <v/>
      </c>
      <c r="DS182" s="44" t="str">
        <f t="shared" si="2836"/>
        <v/>
      </c>
      <c r="DT182" s="44" t="str">
        <f t="shared" si="2837"/>
        <v/>
      </c>
      <c r="DU182" s="44" t="str">
        <f t="shared" si="2838"/>
        <v/>
      </c>
      <c r="DV182" s="44" t="str">
        <f t="shared" si="2839"/>
        <v/>
      </c>
      <c r="DW182" s="44" t="str">
        <f t="shared" si="2840"/>
        <v/>
      </c>
      <c r="DX182" s="44" t="str">
        <f t="shared" si="2841"/>
        <v/>
      </c>
      <c r="DY182" s="44" t="str">
        <f t="shared" si="2842"/>
        <v/>
      </c>
      <c r="DZ182" s="44" t="str">
        <f t="shared" si="2843"/>
        <v/>
      </c>
      <c r="EA182" s="44" t="str">
        <f t="shared" si="2844"/>
        <v/>
      </c>
      <c r="EB182" s="44" t="str">
        <f t="shared" si="2845"/>
        <v/>
      </c>
      <c r="EC182" s="44" t="str">
        <f t="shared" si="2846"/>
        <v/>
      </c>
      <c r="ED182" s="44" t="str">
        <f t="shared" si="2847"/>
        <v/>
      </c>
      <c r="EE182" s="44" t="str">
        <f t="shared" si="2848"/>
        <v/>
      </c>
      <c r="EF182" s="44" t="str">
        <f t="shared" si="2849"/>
        <v/>
      </c>
      <c r="EG182" s="44" t="str">
        <f t="shared" si="2850"/>
        <v/>
      </c>
      <c r="EH182" s="44" t="str">
        <f t="shared" si="2851"/>
        <v/>
      </c>
      <c r="EI182" s="44" t="str">
        <f t="shared" si="2852"/>
        <v/>
      </c>
      <c r="EJ182" s="44" t="str">
        <f t="shared" si="2853"/>
        <v/>
      </c>
      <c r="EK182" s="44" t="str">
        <f t="shared" si="2854"/>
        <v/>
      </c>
      <c r="EL182" s="44" t="str">
        <f t="shared" si="2855"/>
        <v/>
      </c>
      <c r="EM182" s="44" t="str">
        <f t="shared" si="2856"/>
        <v/>
      </c>
      <c r="EN182" s="44" t="str">
        <f t="shared" si="2857"/>
        <v/>
      </c>
      <c r="EO182" s="44" t="str">
        <f t="shared" si="2858"/>
        <v/>
      </c>
      <c r="EP182" s="44" t="str">
        <f t="shared" si="2859"/>
        <v/>
      </c>
      <c r="EQ182" s="44" t="str">
        <f t="shared" si="2860"/>
        <v/>
      </c>
      <c r="ER182" s="44" t="str">
        <f t="shared" si="2861"/>
        <v/>
      </c>
      <c r="ES182" s="44" t="str">
        <f t="shared" si="2862"/>
        <v/>
      </c>
      <c r="ET182" s="44" t="str">
        <f t="shared" si="2863"/>
        <v/>
      </c>
      <c r="EU182" s="44" t="str">
        <f t="shared" si="2864"/>
        <v/>
      </c>
      <c r="EV182" s="44" t="str">
        <f t="shared" si="2865"/>
        <v/>
      </c>
      <c r="EW182" s="44" t="str">
        <f t="shared" si="2866"/>
        <v/>
      </c>
      <c r="EX182" s="44" t="str">
        <f t="shared" si="2867"/>
        <v/>
      </c>
      <c r="EY182" s="44" t="str">
        <f t="shared" si="2868"/>
        <v/>
      </c>
      <c r="EZ182" s="44" t="str">
        <f t="shared" si="2869"/>
        <v/>
      </c>
      <c r="FA182" s="44" t="str">
        <f t="shared" si="2870"/>
        <v/>
      </c>
      <c r="FB182" s="44" t="str">
        <f t="shared" si="2871"/>
        <v/>
      </c>
      <c r="FC182" s="44" t="str">
        <f t="shared" si="2872"/>
        <v/>
      </c>
      <c r="FD182" s="44" t="str">
        <f t="shared" si="2873"/>
        <v/>
      </c>
      <c r="FE182" s="44" t="str">
        <f t="shared" si="2874"/>
        <v/>
      </c>
      <c r="FF182" s="44" t="str">
        <f t="shared" si="2875"/>
        <v/>
      </c>
      <c r="FG182" s="44" t="str">
        <f t="shared" si="2876"/>
        <v/>
      </c>
      <c r="FH182" s="44" t="str">
        <f t="shared" si="2877"/>
        <v/>
      </c>
      <c r="FI182" s="44" t="str">
        <f t="shared" si="2878"/>
        <v/>
      </c>
      <c r="FJ182" s="44" t="str">
        <f t="shared" si="2879"/>
        <v/>
      </c>
      <c r="FK182" s="44" t="str">
        <f t="shared" si="2880"/>
        <v/>
      </c>
      <c r="FL182" s="44" t="str">
        <f t="shared" si="2881"/>
        <v/>
      </c>
      <c r="FM182" s="44" t="str">
        <f t="shared" si="2882"/>
        <v/>
      </c>
      <c r="FN182" s="44" t="str">
        <f t="shared" si="2883"/>
        <v/>
      </c>
      <c r="FO182" s="44" t="str">
        <f t="shared" si="2884"/>
        <v/>
      </c>
      <c r="FP182" s="44" t="str">
        <f t="shared" si="2885"/>
        <v/>
      </c>
      <c r="FQ182" s="44" t="str">
        <f t="shared" si="2886"/>
        <v/>
      </c>
      <c r="FR182" s="44" t="str">
        <f t="shared" si="2887"/>
        <v/>
      </c>
      <c r="FS182" s="44" t="str">
        <f t="shared" si="2888"/>
        <v/>
      </c>
    </row>
    <row r="183" s="37" customFormat="1" ht="15" spans="1:175">
      <c r="A183" s="78"/>
      <c r="B183" s="5" t="s">
        <v>615</v>
      </c>
      <c r="C183" s="68" t="s">
        <v>616</v>
      </c>
      <c r="D183" s="74"/>
      <c r="E183" s="74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81"/>
      <c r="Q183" s="81"/>
      <c r="R183" s="81"/>
      <c r="S183" s="81"/>
      <c r="T183" s="79" t="s">
        <v>617</v>
      </c>
      <c r="U183" s="60" t="str">
        <f t="shared" si="2816"/>
        <v>ReplaceableTextures\\CommandButtons\\BTNIP06.blp</v>
      </c>
      <c r="V183" s="101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5"/>
      <c r="AS183" s="105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6" t="str">
        <f t="shared" si="2668"/>
        <v>InitUnitState('IP06',,,,,,,,,,)</v>
      </c>
      <c r="CO183" s="106" t="str">
        <f t="shared" si="2669"/>
        <v>InitUnitNormal('IP06',,,,,,,,,,)</v>
      </c>
      <c r="CP183" s="106" t="str">
        <f t="shared" si="2670"/>
        <v>InitUnitMagic('IP06',,,,,,,,,,)</v>
      </c>
      <c r="CQ183" s="106" t="str">
        <f t="shared" si="2671"/>
        <v>InitUnitAdd('IP06',,,,,,,,,,)</v>
      </c>
      <c r="CR183" s="106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InitEquipData('IP06',,"",,,,,'','','','','','',"ReplaceableTextures\\CommandButtons\\BTNIT04.blp")</v>
      </c>
      <c r="CS183" s="106"/>
      <c r="CT183" s="106"/>
      <c r="CU183" s="72" t="str">
        <f t="shared" si="2817"/>
        <v>|n</v>
      </c>
      <c r="CV183" s="37" t="str">
        <f t="shared" si="2818"/>
        <v>使用后增加|Cffffd24d300点|r境界经验。</v>
      </c>
      <c r="CW183" s="7"/>
      <c r="CX183" s="7"/>
      <c r="CY183" s="7"/>
      <c r="CZ183" s="7"/>
      <c r="DA183" s="7"/>
      <c r="DB183" s="107" t="str">
        <f t="shared" ref="DB183:FM183" si="2889">IF(V183="","","|n"&amp;DB$2&amp;"+"&amp;V183&amp;DB$1)</f>
        <v/>
      </c>
      <c r="DC183" s="107" t="str">
        <f t="shared" si="2889"/>
        <v/>
      </c>
      <c r="DD183" s="107" t="str">
        <f t="shared" si="2889"/>
        <v/>
      </c>
      <c r="DE183" s="107" t="str">
        <f t="shared" si="2889"/>
        <v/>
      </c>
      <c r="DF183" s="107" t="str">
        <f t="shared" si="2889"/>
        <v/>
      </c>
      <c r="DG183" s="107" t="str">
        <f t="shared" si="2889"/>
        <v/>
      </c>
      <c r="DH183" s="107" t="str">
        <f t="shared" si="2889"/>
        <v/>
      </c>
      <c r="DI183" s="107" t="str">
        <f t="shared" si="2889"/>
        <v/>
      </c>
      <c r="DJ183" s="107" t="str">
        <f t="shared" si="2889"/>
        <v/>
      </c>
      <c r="DK183" s="107" t="str">
        <f t="shared" si="2889"/>
        <v/>
      </c>
      <c r="DL183" s="107" t="str">
        <f t="shared" si="2889"/>
        <v/>
      </c>
      <c r="DM183" s="107" t="str">
        <f t="shared" si="2889"/>
        <v/>
      </c>
      <c r="DN183" s="107" t="str">
        <f t="shared" si="2889"/>
        <v/>
      </c>
      <c r="DO183" s="107" t="str">
        <f t="shared" si="2889"/>
        <v/>
      </c>
      <c r="DP183" s="107" t="str">
        <f t="shared" si="2889"/>
        <v/>
      </c>
      <c r="DQ183" s="107" t="str">
        <f t="shared" si="2889"/>
        <v/>
      </c>
      <c r="DR183" s="107" t="str">
        <f t="shared" si="2889"/>
        <v/>
      </c>
      <c r="DS183" s="107" t="str">
        <f t="shared" si="2889"/>
        <v/>
      </c>
      <c r="DT183" s="107" t="str">
        <f t="shared" si="2889"/>
        <v/>
      </c>
      <c r="DU183" s="107" t="str">
        <f t="shared" si="2889"/>
        <v/>
      </c>
      <c r="DV183" s="107" t="str">
        <f t="shared" si="2889"/>
        <v/>
      </c>
      <c r="DW183" s="107" t="str">
        <f t="shared" si="2889"/>
        <v/>
      </c>
      <c r="DX183" s="107" t="str">
        <f t="shared" si="2889"/>
        <v/>
      </c>
      <c r="DY183" s="107" t="str">
        <f t="shared" si="2889"/>
        <v/>
      </c>
      <c r="DZ183" s="107" t="str">
        <f t="shared" si="2889"/>
        <v/>
      </c>
      <c r="EA183" s="107" t="str">
        <f t="shared" si="2889"/>
        <v/>
      </c>
      <c r="EB183" s="107" t="str">
        <f t="shared" si="2889"/>
        <v/>
      </c>
      <c r="EC183" s="107" t="str">
        <f t="shared" si="2889"/>
        <v/>
      </c>
      <c r="ED183" s="107" t="str">
        <f t="shared" si="2889"/>
        <v/>
      </c>
      <c r="EE183" s="107" t="str">
        <f t="shared" si="2889"/>
        <v/>
      </c>
      <c r="EF183" s="107" t="str">
        <f t="shared" si="2889"/>
        <v/>
      </c>
      <c r="EG183" s="107" t="str">
        <f t="shared" si="2889"/>
        <v/>
      </c>
      <c r="EH183" s="107" t="str">
        <f t="shared" si="2889"/>
        <v/>
      </c>
      <c r="EI183" s="107" t="str">
        <f t="shared" si="2889"/>
        <v/>
      </c>
      <c r="EJ183" s="107" t="str">
        <f t="shared" si="2889"/>
        <v/>
      </c>
      <c r="EK183" s="107" t="str">
        <f t="shared" si="2889"/>
        <v/>
      </c>
      <c r="EL183" s="107" t="str">
        <f t="shared" si="2889"/>
        <v/>
      </c>
      <c r="EM183" s="107" t="str">
        <f t="shared" si="2889"/>
        <v/>
      </c>
      <c r="EN183" s="107" t="str">
        <f t="shared" si="2889"/>
        <v/>
      </c>
      <c r="EO183" s="107" t="str">
        <f t="shared" si="2889"/>
        <v/>
      </c>
      <c r="EP183" s="107" t="str">
        <f t="shared" si="2889"/>
        <v/>
      </c>
      <c r="EQ183" s="107" t="str">
        <f t="shared" si="2889"/>
        <v/>
      </c>
      <c r="ER183" s="107" t="str">
        <f t="shared" si="2889"/>
        <v/>
      </c>
      <c r="ES183" s="107" t="str">
        <f t="shared" si="2889"/>
        <v/>
      </c>
      <c r="ET183" s="107" t="str">
        <f t="shared" si="2889"/>
        <v/>
      </c>
      <c r="EU183" s="107" t="str">
        <f t="shared" si="2889"/>
        <v/>
      </c>
      <c r="EV183" s="107" t="str">
        <f t="shared" si="2889"/>
        <v/>
      </c>
      <c r="EW183" s="107" t="str">
        <f t="shared" si="2889"/>
        <v/>
      </c>
      <c r="EX183" s="107" t="str">
        <f t="shared" si="2889"/>
        <v/>
      </c>
      <c r="EY183" s="107" t="str">
        <f t="shared" si="2889"/>
        <v/>
      </c>
      <c r="EZ183" s="107" t="str">
        <f t="shared" si="2889"/>
        <v/>
      </c>
      <c r="FA183" s="107" t="str">
        <f t="shared" si="2889"/>
        <v/>
      </c>
      <c r="FB183" s="107" t="str">
        <f t="shared" si="2889"/>
        <v/>
      </c>
      <c r="FC183" s="107" t="str">
        <f t="shared" si="2889"/>
        <v/>
      </c>
      <c r="FD183" s="107" t="str">
        <f t="shared" si="2889"/>
        <v/>
      </c>
      <c r="FE183" s="107" t="str">
        <f t="shared" si="2889"/>
        <v/>
      </c>
      <c r="FF183" s="107" t="str">
        <f t="shared" si="2889"/>
        <v/>
      </c>
      <c r="FG183" s="107" t="str">
        <f t="shared" si="2889"/>
        <v/>
      </c>
      <c r="FH183" s="107" t="str">
        <f t="shared" si="2889"/>
        <v/>
      </c>
      <c r="FI183" s="107" t="str">
        <f t="shared" si="2889"/>
        <v/>
      </c>
      <c r="FJ183" s="107" t="str">
        <f t="shared" si="2889"/>
        <v/>
      </c>
      <c r="FK183" s="107" t="str">
        <f t="shared" si="2889"/>
        <v/>
      </c>
      <c r="FL183" s="107" t="str">
        <f t="shared" si="2889"/>
        <v/>
      </c>
      <c r="FM183" s="107" t="str">
        <f t="shared" si="2889"/>
        <v/>
      </c>
      <c r="FN183" s="107" t="str">
        <f t="shared" ref="FN183:FS183" si="2890">IF(CH183="","","|n"&amp;FN$2&amp;"+"&amp;CH183&amp;FN$1)</f>
        <v/>
      </c>
      <c r="FO183" s="107" t="str">
        <f t="shared" si="2890"/>
        <v/>
      </c>
      <c r="FP183" s="107" t="str">
        <f t="shared" si="2890"/>
        <v/>
      </c>
      <c r="FQ183" s="107" t="str">
        <f t="shared" si="2890"/>
        <v/>
      </c>
      <c r="FR183" s="107" t="str">
        <f t="shared" si="2890"/>
        <v/>
      </c>
      <c r="FS183" s="107" t="str">
        <f t="shared" si="2890"/>
        <v/>
      </c>
    </row>
    <row r="184" s="37" customFormat="1" ht="15" spans="1:175">
      <c r="A184" s="78"/>
      <c r="B184" s="5" t="s">
        <v>618</v>
      </c>
      <c r="C184" s="68" t="s">
        <v>619</v>
      </c>
      <c r="D184" s="74"/>
      <c r="E184" s="74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81"/>
      <c r="Q184" s="81"/>
      <c r="R184" s="81"/>
      <c r="S184" s="81"/>
      <c r="T184" s="79" t="s">
        <v>620</v>
      </c>
      <c r="U184" s="60" t="str">
        <f t="shared" si="2816"/>
        <v>ReplaceableTextures\\CommandButtons\\BTNIP07.blp</v>
      </c>
      <c r="V184" s="101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5"/>
      <c r="AS184" s="105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102"/>
      <c r="BU184" s="102"/>
      <c r="BV184" s="102"/>
      <c r="BW184" s="102"/>
      <c r="BX184" s="102"/>
      <c r="BY184" s="102"/>
      <c r="BZ184" s="102"/>
      <c r="CA184" s="102"/>
      <c r="CB184" s="102"/>
      <c r="CC184" s="102"/>
      <c r="CD184" s="102"/>
      <c r="CE184" s="102"/>
      <c r="CF184" s="102"/>
      <c r="CG184" s="102"/>
      <c r="CH184" s="102"/>
      <c r="CI184" s="102"/>
      <c r="CJ184" s="102"/>
      <c r="CK184" s="102"/>
      <c r="CL184" s="102"/>
      <c r="CM184" s="102"/>
      <c r="CN184" s="106" t="str">
        <f t="shared" si="2668"/>
        <v>InitUnitState('IP07',,,,,,,,,,)</v>
      </c>
      <c r="CO184" s="106" t="str">
        <f t="shared" si="2669"/>
        <v>InitUnitNormal('IP07',,,,,,,,,,)</v>
      </c>
      <c r="CP184" s="106" t="str">
        <f t="shared" si="2670"/>
        <v>InitUnitMagic('IP07',,,,,,,,,,)</v>
      </c>
      <c r="CQ184" s="106" t="str">
        <f t="shared" si="2671"/>
        <v>InitUnitAdd('IP07',,,,,,,,,,)</v>
      </c>
      <c r="CR184" s="106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InitEquipData('IP07',,"",,,,,'','','','','','',"ReplaceableTextures\\CommandButtons\\BTNIT05.blp")</v>
      </c>
      <c r="CS184" s="106"/>
      <c r="CT184" s="106"/>
      <c r="CU184" s="72" t="str">
        <f t="shared" si="2817"/>
        <v>|n</v>
      </c>
      <c r="CV184" s="37" t="str">
        <f t="shared" si="2818"/>
        <v>可抵扣|Cffffd24d1|r次抽奖消耗</v>
      </c>
      <c r="CW184" s="7"/>
      <c r="CX184" s="7"/>
      <c r="CY184" s="7"/>
      <c r="CZ184" s="7"/>
      <c r="DA184" s="7"/>
      <c r="DB184" s="107" t="str">
        <f t="shared" ref="DB184:FM184" si="2891">IF(V184="","","|n"&amp;DB$2&amp;"+"&amp;V184&amp;DB$1)</f>
        <v/>
      </c>
      <c r="DC184" s="107" t="str">
        <f t="shared" si="2891"/>
        <v/>
      </c>
      <c r="DD184" s="107" t="str">
        <f t="shared" si="2891"/>
        <v/>
      </c>
      <c r="DE184" s="107" t="str">
        <f t="shared" si="2891"/>
        <v/>
      </c>
      <c r="DF184" s="107" t="str">
        <f t="shared" si="2891"/>
        <v/>
      </c>
      <c r="DG184" s="107" t="str">
        <f t="shared" si="2891"/>
        <v/>
      </c>
      <c r="DH184" s="107" t="str">
        <f t="shared" si="2891"/>
        <v/>
      </c>
      <c r="DI184" s="107" t="str">
        <f t="shared" si="2891"/>
        <v/>
      </c>
      <c r="DJ184" s="107" t="str">
        <f t="shared" si="2891"/>
        <v/>
      </c>
      <c r="DK184" s="107" t="str">
        <f t="shared" si="2891"/>
        <v/>
      </c>
      <c r="DL184" s="107" t="str">
        <f t="shared" si="2891"/>
        <v/>
      </c>
      <c r="DM184" s="107" t="str">
        <f t="shared" si="2891"/>
        <v/>
      </c>
      <c r="DN184" s="107" t="str">
        <f t="shared" si="2891"/>
        <v/>
      </c>
      <c r="DO184" s="107" t="str">
        <f t="shared" si="2891"/>
        <v/>
      </c>
      <c r="DP184" s="107" t="str">
        <f t="shared" si="2891"/>
        <v/>
      </c>
      <c r="DQ184" s="107" t="str">
        <f t="shared" si="2891"/>
        <v/>
      </c>
      <c r="DR184" s="107" t="str">
        <f t="shared" si="2891"/>
        <v/>
      </c>
      <c r="DS184" s="107" t="str">
        <f t="shared" si="2891"/>
        <v/>
      </c>
      <c r="DT184" s="107" t="str">
        <f t="shared" si="2891"/>
        <v/>
      </c>
      <c r="DU184" s="107" t="str">
        <f t="shared" si="2891"/>
        <v/>
      </c>
      <c r="DV184" s="107" t="str">
        <f t="shared" si="2891"/>
        <v/>
      </c>
      <c r="DW184" s="107" t="str">
        <f t="shared" si="2891"/>
        <v/>
      </c>
      <c r="DX184" s="107" t="str">
        <f t="shared" si="2891"/>
        <v/>
      </c>
      <c r="DY184" s="107" t="str">
        <f t="shared" si="2891"/>
        <v/>
      </c>
      <c r="DZ184" s="107" t="str">
        <f t="shared" si="2891"/>
        <v/>
      </c>
      <c r="EA184" s="107" t="str">
        <f t="shared" si="2891"/>
        <v/>
      </c>
      <c r="EB184" s="107" t="str">
        <f t="shared" si="2891"/>
        <v/>
      </c>
      <c r="EC184" s="107" t="str">
        <f t="shared" si="2891"/>
        <v/>
      </c>
      <c r="ED184" s="107" t="str">
        <f t="shared" si="2891"/>
        <v/>
      </c>
      <c r="EE184" s="107" t="str">
        <f t="shared" si="2891"/>
        <v/>
      </c>
      <c r="EF184" s="107" t="str">
        <f t="shared" si="2891"/>
        <v/>
      </c>
      <c r="EG184" s="107" t="str">
        <f t="shared" si="2891"/>
        <v/>
      </c>
      <c r="EH184" s="107" t="str">
        <f t="shared" si="2891"/>
        <v/>
      </c>
      <c r="EI184" s="107" t="str">
        <f t="shared" si="2891"/>
        <v/>
      </c>
      <c r="EJ184" s="107" t="str">
        <f t="shared" si="2891"/>
        <v/>
      </c>
      <c r="EK184" s="107" t="str">
        <f t="shared" si="2891"/>
        <v/>
      </c>
      <c r="EL184" s="107" t="str">
        <f t="shared" si="2891"/>
        <v/>
      </c>
      <c r="EM184" s="107" t="str">
        <f t="shared" si="2891"/>
        <v/>
      </c>
      <c r="EN184" s="107" t="str">
        <f t="shared" si="2891"/>
        <v/>
      </c>
      <c r="EO184" s="107" t="str">
        <f t="shared" si="2891"/>
        <v/>
      </c>
      <c r="EP184" s="107" t="str">
        <f t="shared" si="2891"/>
        <v/>
      </c>
      <c r="EQ184" s="107" t="str">
        <f t="shared" si="2891"/>
        <v/>
      </c>
      <c r="ER184" s="107" t="str">
        <f t="shared" si="2891"/>
        <v/>
      </c>
      <c r="ES184" s="107" t="str">
        <f t="shared" si="2891"/>
        <v/>
      </c>
      <c r="ET184" s="107" t="str">
        <f t="shared" si="2891"/>
        <v/>
      </c>
      <c r="EU184" s="107" t="str">
        <f t="shared" si="2891"/>
        <v/>
      </c>
      <c r="EV184" s="107" t="str">
        <f t="shared" si="2891"/>
        <v/>
      </c>
      <c r="EW184" s="107" t="str">
        <f t="shared" si="2891"/>
        <v/>
      </c>
      <c r="EX184" s="107" t="str">
        <f t="shared" si="2891"/>
        <v/>
      </c>
      <c r="EY184" s="107" t="str">
        <f t="shared" si="2891"/>
        <v/>
      </c>
      <c r="EZ184" s="107" t="str">
        <f t="shared" si="2891"/>
        <v/>
      </c>
      <c r="FA184" s="107" t="str">
        <f t="shared" si="2891"/>
        <v/>
      </c>
      <c r="FB184" s="107" t="str">
        <f t="shared" si="2891"/>
        <v/>
      </c>
      <c r="FC184" s="107" t="str">
        <f t="shared" si="2891"/>
        <v/>
      </c>
      <c r="FD184" s="107" t="str">
        <f t="shared" si="2891"/>
        <v/>
      </c>
      <c r="FE184" s="107" t="str">
        <f t="shared" si="2891"/>
        <v/>
      </c>
      <c r="FF184" s="107" t="str">
        <f t="shared" si="2891"/>
        <v/>
      </c>
      <c r="FG184" s="107" t="str">
        <f t="shared" si="2891"/>
        <v/>
      </c>
      <c r="FH184" s="107" t="str">
        <f t="shared" si="2891"/>
        <v/>
      </c>
      <c r="FI184" s="107" t="str">
        <f t="shared" si="2891"/>
        <v/>
      </c>
      <c r="FJ184" s="107" t="str">
        <f t="shared" si="2891"/>
        <v/>
      </c>
      <c r="FK184" s="107" t="str">
        <f t="shared" si="2891"/>
        <v/>
      </c>
      <c r="FL184" s="107" t="str">
        <f t="shared" si="2891"/>
        <v/>
      </c>
      <c r="FM184" s="107" t="str">
        <f t="shared" si="2891"/>
        <v/>
      </c>
      <c r="FN184" s="107" t="str">
        <f t="shared" ref="FN184:FS184" si="2892">IF(CH184="","","|n"&amp;FN$2&amp;"+"&amp;CH184&amp;FN$1)</f>
        <v/>
      </c>
      <c r="FO184" s="107" t="str">
        <f t="shared" si="2892"/>
        <v/>
      </c>
      <c r="FP184" s="107" t="str">
        <f t="shared" si="2892"/>
        <v/>
      </c>
      <c r="FQ184" s="107" t="str">
        <f t="shared" si="2892"/>
        <v/>
      </c>
      <c r="FR184" s="107" t="str">
        <f t="shared" si="2892"/>
        <v/>
      </c>
      <c r="FS184" s="107" t="str">
        <f t="shared" si="2892"/>
        <v/>
      </c>
    </row>
    <row r="185" s="37" customFormat="1" ht="15" spans="1:175">
      <c r="A185" s="78"/>
      <c r="B185" s="5" t="s">
        <v>621</v>
      </c>
      <c r="C185" s="68" t="s">
        <v>622</v>
      </c>
      <c r="D185" s="74"/>
      <c r="E185" s="74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81"/>
      <c r="Q185" s="81"/>
      <c r="R185" s="81"/>
      <c r="S185" s="81"/>
      <c r="T185" s="79" t="s">
        <v>623</v>
      </c>
      <c r="U185" s="60" t="str">
        <f t="shared" si="2816"/>
        <v>ReplaceableTextures\\CommandButtons\\BTNIP08.blp</v>
      </c>
      <c r="V185" s="101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5"/>
      <c r="AS185" s="105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  <c r="BJ185" s="102"/>
      <c r="BK185" s="102"/>
      <c r="BL185" s="102"/>
      <c r="BM185" s="102"/>
      <c r="BN185" s="102"/>
      <c r="BO185" s="102"/>
      <c r="BP185" s="102"/>
      <c r="BQ185" s="102"/>
      <c r="BR185" s="102"/>
      <c r="BS185" s="102"/>
      <c r="BT185" s="102"/>
      <c r="BU185" s="102"/>
      <c r="BV185" s="102"/>
      <c r="BW185" s="102"/>
      <c r="BX185" s="102"/>
      <c r="BY185" s="102"/>
      <c r="BZ185" s="102"/>
      <c r="CA185" s="102"/>
      <c r="CB185" s="102"/>
      <c r="CC185" s="102"/>
      <c r="CD185" s="102"/>
      <c r="CE185" s="102"/>
      <c r="CF185" s="102"/>
      <c r="CG185" s="102"/>
      <c r="CH185" s="102"/>
      <c r="CI185" s="102"/>
      <c r="CJ185" s="102"/>
      <c r="CK185" s="102"/>
      <c r="CL185" s="102"/>
      <c r="CM185" s="102"/>
      <c r="CN185" s="106" t="str">
        <f t="shared" si="2668"/>
        <v>InitUnitState('IP08',,,,,,,,,,)</v>
      </c>
      <c r="CO185" s="106" t="str">
        <f t="shared" si="2669"/>
        <v>InitUnitNormal('IP08',,,,,,,,,,)</v>
      </c>
      <c r="CP185" s="106" t="str">
        <f t="shared" si="2670"/>
        <v>InitUnitMagic('IP08',,,,,,,,,,)</v>
      </c>
      <c r="CQ185" s="106" t="str">
        <f t="shared" si="2671"/>
        <v>InitUnitAdd('IP08',,,,,,,,,,)</v>
      </c>
      <c r="CR185" s="10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InitEquipData('IP08',,"",,,,,'','','','','','',"ReplaceableTextures\\CommandButtons\\BTNIT06.blp")</v>
      </c>
      <c r="CS185" s="106"/>
      <c r="CT185" s="106"/>
      <c r="CU185" s="72" t="str">
        <f t="shared" si="2817"/>
        <v>|n</v>
      </c>
      <c r="CV185" s="37" t="str">
        <f t="shared" si="2818"/>
        <v>使用后增加|Cffffd24d500点|r境界经验。</v>
      </c>
      <c r="CW185" s="7"/>
      <c r="CX185" s="7"/>
      <c r="CY185" s="7"/>
      <c r="CZ185" s="7"/>
      <c r="DA185" s="7"/>
      <c r="DB185" s="107" t="str">
        <f t="shared" ref="DB185:FM185" si="2893">IF(V185="","","|n"&amp;DB$2&amp;"+"&amp;V185&amp;DB$1)</f>
        <v/>
      </c>
      <c r="DC185" s="107" t="str">
        <f t="shared" si="2893"/>
        <v/>
      </c>
      <c r="DD185" s="107" t="str">
        <f t="shared" si="2893"/>
        <v/>
      </c>
      <c r="DE185" s="107" t="str">
        <f t="shared" si="2893"/>
        <v/>
      </c>
      <c r="DF185" s="107" t="str">
        <f t="shared" si="2893"/>
        <v/>
      </c>
      <c r="DG185" s="107" t="str">
        <f t="shared" si="2893"/>
        <v/>
      </c>
      <c r="DH185" s="107" t="str">
        <f t="shared" si="2893"/>
        <v/>
      </c>
      <c r="DI185" s="107" t="str">
        <f t="shared" si="2893"/>
        <v/>
      </c>
      <c r="DJ185" s="107" t="str">
        <f t="shared" si="2893"/>
        <v/>
      </c>
      <c r="DK185" s="107" t="str">
        <f t="shared" si="2893"/>
        <v/>
      </c>
      <c r="DL185" s="107" t="str">
        <f t="shared" si="2893"/>
        <v/>
      </c>
      <c r="DM185" s="107" t="str">
        <f t="shared" si="2893"/>
        <v/>
      </c>
      <c r="DN185" s="107" t="str">
        <f t="shared" si="2893"/>
        <v/>
      </c>
      <c r="DO185" s="107" t="str">
        <f t="shared" si="2893"/>
        <v/>
      </c>
      <c r="DP185" s="107" t="str">
        <f t="shared" si="2893"/>
        <v/>
      </c>
      <c r="DQ185" s="107" t="str">
        <f t="shared" si="2893"/>
        <v/>
      </c>
      <c r="DR185" s="107" t="str">
        <f t="shared" si="2893"/>
        <v/>
      </c>
      <c r="DS185" s="107" t="str">
        <f t="shared" si="2893"/>
        <v/>
      </c>
      <c r="DT185" s="107" t="str">
        <f t="shared" si="2893"/>
        <v/>
      </c>
      <c r="DU185" s="107" t="str">
        <f t="shared" si="2893"/>
        <v/>
      </c>
      <c r="DV185" s="107" t="str">
        <f t="shared" si="2893"/>
        <v/>
      </c>
      <c r="DW185" s="107" t="str">
        <f t="shared" si="2893"/>
        <v/>
      </c>
      <c r="DX185" s="107" t="str">
        <f t="shared" si="2893"/>
        <v/>
      </c>
      <c r="DY185" s="107" t="str">
        <f t="shared" si="2893"/>
        <v/>
      </c>
      <c r="DZ185" s="107" t="str">
        <f t="shared" si="2893"/>
        <v/>
      </c>
      <c r="EA185" s="107" t="str">
        <f t="shared" si="2893"/>
        <v/>
      </c>
      <c r="EB185" s="107" t="str">
        <f t="shared" si="2893"/>
        <v/>
      </c>
      <c r="EC185" s="107" t="str">
        <f t="shared" si="2893"/>
        <v/>
      </c>
      <c r="ED185" s="107" t="str">
        <f t="shared" si="2893"/>
        <v/>
      </c>
      <c r="EE185" s="107" t="str">
        <f t="shared" si="2893"/>
        <v/>
      </c>
      <c r="EF185" s="107" t="str">
        <f t="shared" si="2893"/>
        <v/>
      </c>
      <c r="EG185" s="107" t="str">
        <f t="shared" si="2893"/>
        <v/>
      </c>
      <c r="EH185" s="107" t="str">
        <f t="shared" si="2893"/>
        <v/>
      </c>
      <c r="EI185" s="107" t="str">
        <f t="shared" si="2893"/>
        <v/>
      </c>
      <c r="EJ185" s="107" t="str">
        <f t="shared" si="2893"/>
        <v/>
      </c>
      <c r="EK185" s="107" t="str">
        <f t="shared" si="2893"/>
        <v/>
      </c>
      <c r="EL185" s="107" t="str">
        <f t="shared" si="2893"/>
        <v/>
      </c>
      <c r="EM185" s="107" t="str">
        <f t="shared" si="2893"/>
        <v/>
      </c>
      <c r="EN185" s="107" t="str">
        <f t="shared" si="2893"/>
        <v/>
      </c>
      <c r="EO185" s="107" t="str">
        <f t="shared" si="2893"/>
        <v/>
      </c>
      <c r="EP185" s="107" t="str">
        <f t="shared" si="2893"/>
        <v/>
      </c>
      <c r="EQ185" s="107" t="str">
        <f t="shared" si="2893"/>
        <v/>
      </c>
      <c r="ER185" s="107" t="str">
        <f t="shared" si="2893"/>
        <v/>
      </c>
      <c r="ES185" s="107" t="str">
        <f t="shared" si="2893"/>
        <v/>
      </c>
      <c r="ET185" s="107" t="str">
        <f t="shared" si="2893"/>
        <v/>
      </c>
      <c r="EU185" s="107" t="str">
        <f t="shared" si="2893"/>
        <v/>
      </c>
      <c r="EV185" s="107" t="str">
        <f t="shared" si="2893"/>
        <v/>
      </c>
      <c r="EW185" s="107" t="str">
        <f t="shared" si="2893"/>
        <v/>
      </c>
      <c r="EX185" s="107" t="str">
        <f t="shared" si="2893"/>
        <v/>
      </c>
      <c r="EY185" s="107" t="str">
        <f t="shared" si="2893"/>
        <v/>
      </c>
      <c r="EZ185" s="107" t="str">
        <f t="shared" si="2893"/>
        <v/>
      </c>
      <c r="FA185" s="107" t="str">
        <f t="shared" si="2893"/>
        <v/>
      </c>
      <c r="FB185" s="107" t="str">
        <f t="shared" si="2893"/>
        <v/>
      </c>
      <c r="FC185" s="107" t="str">
        <f t="shared" si="2893"/>
        <v/>
      </c>
      <c r="FD185" s="107" t="str">
        <f t="shared" si="2893"/>
        <v/>
      </c>
      <c r="FE185" s="107" t="str">
        <f t="shared" si="2893"/>
        <v/>
      </c>
      <c r="FF185" s="107" t="str">
        <f t="shared" si="2893"/>
        <v/>
      </c>
      <c r="FG185" s="107" t="str">
        <f t="shared" si="2893"/>
        <v/>
      </c>
      <c r="FH185" s="107" t="str">
        <f t="shared" si="2893"/>
        <v/>
      </c>
      <c r="FI185" s="107" t="str">
        <f t="shared" si="2893"/>
        <v/>
      </c>
      <c r="FJ185" s="107" t="str">
        <f t="shared" si="2893"/>
        <v/>
      </c>
      <c r="FK185" s="107" t="str">
        <f t="shared" si="2893"/>
        <v/>
      </c>
      <c r="FL185" s="107" t="str">
        <f t="shared" si="2893"/>
        <v/>
      </c>
      <c r="FM185" s="107" t="str">
        <f t="shared" si="2893"/>
        <v/>
      </c>
      <c r="FN185" s="107" t="str">
        <f t="shared" ref="FN185:FS185" si="2894">IF(CH185="","","|n"&amp;FN$2&amp;"+"&amp;CH185&amp;FN$1)</f>
        <v/>
      </c>
      <c r="FO185" s="107" t="str">
        <f t="shared" si="2894"/>
        <v/>
      </c>
      <c r="FP185" s="107" t="str">
        <f t="shared" si="2894"/>
        <v/>
      </c>
      <c r="FQ185" s="107" t="str">
        <f t="shared" si="2894"/>
        <v/>
      </c>
      <c r="FR185" s="107" t="str">
        <f t="shared" si="2894"/>
        <v/>
      </c>
      <c r="FS185" s="107" t="str">
        <f t="shared" si="2894"/>
        <v/>
      </c>
    </row>
    <row r="186" s="37" customFormat="1" ht="15" spans="1:175">
      <c r="A186" s="78"/>
      <c r="B186" s="5" t="s">
        <v>624</v>
      </c>
      <c r="C186" s="68" t="s">
        <v>625</v>
      </c>
      <c r="D186" s="74"/>
      <c r="E186" s="74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81"/>
      <c r="Q186" s="81"/>
      <c r="R186" s="81"/>
      <c r="S186" s="81"/>
      <c r="T186" s="79" t="s">
        <v>626</v>
      </c>
      <c r="U186" s="60" t="str">
        <f t="shared" si="2816"/>
        <v>ReplaceableTextures\\CommandButtons\\BTNIP09.blp</v>
      </c>
      <c r="V186" s="101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5"/>
      <c r="AS186" s="105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102"/>
      <c r="BU186" s="102"/>
      <c r="BV186" s="102"/>
      <c r="BW186" s="102"/>
      <c r="BX186" s="102"/>
      <c r="BY186" s="102"/>
      <c r="BZ186" s="102"/>
      <c r="CA186" s="102"/>
      <c r="CB186" s="102"/>
      <c r="CC186" s="102"/>
      <c r="CD186" s="102"/>
      <c r="CE186" s="102"/>
      <c r="CF186" s="102"/>
      <c r="CG186" s="102"/>
      <c r="CH186" s="102"/>
      <c r="CI186" s="102"/>
      <c r="CJ186" s="102"/>
      <c r="CK186" s="102"/>
      <c r="CL186" s="102"/>
      <c r="CM186" s="102"/>
      <c r="CN186" s="106" t="str">
        <f t="shared" si="2668"/>
        <v>InitUnitState('IP09',,,,,,,,,,)</v>
      </c>
      <c r="CO186" s="106" t="str">
        <f t="shared" si="2669"/>
        <v>InitUnitNormal('IP09',,,,,,,,,,)</v>
      </c>
      <c r="CP186" s="106" t="str">
        <f t="shared" si="2670"/>
        <v>InitUnitMagic('IP09',,,,,,,,,,)</v>
      </c>
      <c r="CQ186" s="106" t="str">
        <f t="shared" si="2671"/>
        <v>InitUnitAdd('IP09',,,,,,,,,,)</v>
      </c>
      <c r="CR186" s="10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InitEquipData('IP09',,"",,,,,'','','','','','',"ReplaceableTextures\\CommandButtons\\BTNIT07.blp")</v>
      </c>
      <c r="CS186" s="106"/>
      <c r="CT186" s="106"/>
      <c r="CU186" s="72" t="str">
        <f t="shared" si="2817"/>
        <v>|n</v>
      </c>
      <c r="CV186" s="37" t="str">
        <f t="shared" si="2818"/>
        <v>使用后增加|Cffffd24d700点|r境界经验。</v>
      </c>
      <c r="CW186" s="7"/>
      <c r="CX186" s="7"/>
      <c r="CY186" s="7"/>
      <c r="CZ186" s="7"/>
      <c r="DA186" s="7"/>
      <c r="DB186" s="107" t="str">
        <f t="shared" ref="DB186:FM186" si="2895">IF(V186="","","|n"&amp;DB$2&amp;"+"&amp;V186&amp;DB$1)</f>
        <v/>
      </c>
      <c r="DC186" s="107" t="str">
        <f t="shared" si="2895"/>
        <v/>
      </c>
      <c r="DD186" s="107" t="str">
        <f t="shared" si="2895"/>
        <v/>
      </c>
      <c r="DE186" s="107" t="str">
        <f t="shared" si="2895"/>
        <v/>
      </c>
      <c r="DF186" s="107" t="str">
        <f t="shared" si="2895"/>
        <v/>
      </c>
      <c r="DG186" s="107" t="str">
        <f t="shared" si="2895"/>
        <v/>
      </c>
      <c r="DH186" s="107" t="str">
        <f t="shared" si="2895"/>
        <v/>
      </c>
      <c r="DI186" s="107" t="str">
        <f t="shared" si="2895"/>
        <v/>
      </c>
      <c r="DJ186" s="107" t="str">
        <f t="shared" si="2895"/>
        <v/>
      </c>
      <c r="DK186" s="107" t="str">
        <f t="shared" si="2895"/>
        <v/>
      </c>
      <c r="DL186" s="107" t="str">
        <f t="shared" si="2895"/>
        <v/>
      </c>
      <c r="DM186" s="107" t="str">
        <f t="shared" si="2895"/>
        <v/>
      </c>
      <c r="DN186" s="107" t="str">
        <f t="shared" si="2895"/>
        <v/>
      </c>
      <c r="DO186" s="107" t="str">
        <f t="shared" si="2895"/>
        <v/>
      </c>
      <c r="DP186" s="107" t="str">
        <f t="shared" si="2895"/>
        <v/>
      </c>
      <c r="DQ186" s="107" t="str">
        <f t="shared" si="2895"/>
        <v/>
      </c>
      <c r="DR186" s="107" t="str">
        <f t="shared" si="2895"/>
        <v/>
      </c>
      <c r="DS186" s="107" t="str">
        <f t="shared" si="2895"/>
        <v/>
      </c>
      <c r="DT186" s="107" t="str">
        <f t="shared" si="2895"/>
        <v/>
      </c>
      <c r="DU186" s="107" t="str">
        <f t="shared" si="2895"/>
        <v/>
      </c>
      <c r="DV186" s="107" t="str">
        <f t="shared" si="2895"/>
        <v/>
      </c>
      <c r="DW186" s="107" t="str">
        <f t="shared" si="2895"/>
        <v/>
      </c>
      <c r="DX186" s="107" t="str">
        <f t="shared" si="2895"/>
        <v/>
      </c>
      <c r="DY186" s="107" t="str">
        <f t="shared" si="2895"/>
        <v/>
      </c>
      <c r="DZ186" s="107" t="str">
        <f t="shared" si="2895"/>
        <v/>
      </c>
      <c r="EA186" s="107" t="str">
        <f t="shared" si="2895"/>
        <v/>
      </c>
      <c r="EB186" s="107" t="str">
        <f t="shared" si="2895"/>
        <v/>
      </c>
      <c r="EC186" s="107" t="str">
        <f t="shared" si="2895"/>
        <v/>
      </c>
      <c r="ED186" s="107" t="str">
        <f t="shared" si="2895"/>
        <v/>
      </c>
      <c r="EE186" s="107" t="str">
        <f t="shared" si="2895"/>
        <v/>
      </c>
      <c r="EF186" s="107" t="str">
        <f t="shared" si="2895"/>
        <v/>
      </c>
      <c r="EG186" s="107" t="str">
        <f t="shared" si="2895"/>
        <v/>
      </c>
      <c r="EH186" s="107" t="str">
        <f t="shared" si="2895"/>
        <v/>
      </c>
      <c r="EI186" s="107" t="str">
        <f t="shared" si="2895"/>
        <v/>
      </c>
      <c r="EJ186" s="107" t="str">
        <f t="shared" si="2895"/>
        <v/>
      </c>
      <c r="EK186" s="107" t="str">
        <f t="shared" si="2895"/>
        <v/>
      </c>
      <c r="EL186" s="107" t="str">
        <f t="shared" si="2895"/>
        <v/>
      </c>
      <c r="EM186" s="107" t="str">
        <f t="shared" si="2895"/>
        <v/>
      </c>
      <c r="EN186" s="107" t="str">
        <f t="shared" si="2895"/>
        <v/>
      </c>
      <c r="EO186" s="107" t="str">
        <f t="shared" si="2895"/>
        <v/>
      </c>
      <c r="EP186" s="107" t="str">
        <f t="shared" si="2895"/>
        <v/>
      </c>
      <c r="EQ186" s="107" t="str">
        <f t="shared" si="2895"/>
        <v/>
      </c>
      <c r="ER186" s="107" t="str">
        <f t="shared" si="2895"/>
        <v/>
      </c>
      <c r="ES186" s="107" t="str">
        <f t="shared" si="2895"/>
        <v/>
      </c>
      <c r="ET186" s="107" t="str">
        <f t="shared" si="2895"/>
        <v/>
      </c>
      <c r="EU186" s="107" t="str">
        <f t="shared" si="2895"/>
        <v/>
      </c>
      <c r="EV186" s="107" t="str">
        <f t="shared" si="2895"/>
        <v/>
      </c>
      <c r="EW186" s="107" t="str">
        <f t="shared" si="2895"/>
        <v/>
      </c>
      <c r="EX186" s="107" t="str">
        <f t="shared" si="2895"/>
        <v/>
      </c>
      <c r="EY186" s="107" t="str">
        <f t="shared" si="2895"/>
        <v/>
      </c>
      <c r="EZ186" s="107" t="str">
        <f t="shared" si="2895"/>
        <v/>
      </c>
      <c r="FA186" s="107" t="str">
        <f t="shared" si="2895"/>
        <v/>
      </c>
      <c r="FB186" s="107" t="str">
        <f t="shared" si="2895"/>
        <v/>
      </c>
      <c r="FC186" s="107" t="str">
        <f t="shared" si="2895"/>
        <v/>
      </c>
      <c r="FD186" s="107" t="str">
        <f t="shared" si="2895"/>
        <v/>
      </c>
      <c r="FE186" s="107" t="str">
        <f t="shared" si="2895"/>
        <v/>
      </c>
      <c r="FF186" s="107" t="str">
        <f t="shared" si="2895"/>
        <v/>
      </c>
      <c r="FG186" s="107" t="str">
        <f t="shared" si="2895"/>
        <v/>
      </c>
      <c r="FH186" s="107" t="str">
        <f t="shared" si="2895"/>
        <v/>
      </c>
      <c r="FI186" s="107" t="str">
        <f t="shared" si="2895"/>
        <v/>
      </c>
      <c r="FJ186" s="107" t="str">
        <f t="shared" si="2895"/>
        <v/>
      </c>
      <c r="FK186" s="107" t="str">
        <f t="shared" si="2895"/>
        <v/>
      </c>
      <c r="FL186" s="107" t="str">
        <f t="shared" si="2895"/>
        <v/>
      </c>
      <c r="FM186" s="107" t="str">
        <f t="shared" si="2895"/>
        <v/>
      </c>
      <c r="FN186" s="107" t="str">
        <f t="shared" ref="FN186:FS186" si="2896">IF(CH186="","","|n"&amp;FN$2&amp;"+"&amp;CH186&amp;FN$1)</f>
        <v/>
      </c>
      <c r="FO186" s="107" t="str">
        <f t="shared" si="2896"/>
        <v/>
      </c>
      <c r="FP186" s="107" t="str">
        <f t="shared" si="2896"/>
        <v/>
      </c>
      <c r="FQ186" s="107" t="str">
        <f t="shared" si="2896"/>
        <v/>
      </c>
      <c r="FR186" s="107" t="str">
        <f t="shared" si="2896"/>
        <v/>
      </c>
      <c r="FS186" s="107" t="str">
        <f t="shared" si="2896"/>
        <v/>
      </c>
    </row>
    <row r="187" ht="55.2" spans="1:175">
      <c r="A187" s="78"/>
      <c r="B187" s="5" t="s">
        <v>627</v>
      </c>
      <c r="C187" s="78" t="s">
        <v>628</v>
      </c>
      <c r="R187" s="38">
        <v>-8086</v>
      </c>
      <c r="S187" s="38">
        <v>-3245</v>
      </c>
      <c r="T187" s="104" t="s">
        <v>629</v>
      </c>
      <c r="U187" s="60" t="str">
        <f t="shared" ref="U187:U200" si="2897">"ReplaceableTextures\\CommandButtons\\BTN"&amp;B187&amp;".blp"</f>
        <v>ReplaceableTextures\\CommandButtons\\BTNIT01.blp</v>
      </c>
      <c r="CN187" s="13" t="str">
        <f t="shared" ref="CN187:CN213" si="2898">"InitUnitState('"&amp;B187&amp;"',"&amp;V187&amp;","&amp;W187&amp;","&amp;X187&amp;","&amp;Y187&amp;","&amp;Z187&amp;","&amp;AA187&amp;","&amp;AB187&amp;","&amp;AC187&amp;","&amp;AD187&amp;","&amp;AE187&amp;")"</f>
        <v>InitUnitState('IT01',,,,,,,,,,)</v>
      </c>
      <c r="CO187" s="13" t="str">
        <f t="shared" ref="CO187:CO213" si="2899">"InitUnitNormal('"&amp;B187&amp;"',"&amp;AF187&amp;","&amp;AG187&amp;","&amp;AH187&amp;","&amp;AI187&amp;","&amp;AJ187&amp;","&amp;AK187&amp;","&amp;AL187&amp;","&amp;AM187&amp;","&amp;AN187&amp;","&amp;AO187&amp;")"</f>
        <v>InitUnitNormal('IT01',,,,,,,,,,)</v>
      </c>
      <c r="CP187" s="13" t="str">
        <f t="shared" ref="CP187:CP213" si="2900">"InitUnitMagic('"&amp;B187&amp;"',"&amp;AP187&amp;","&amp;AQ187&amp;","&amp;AR187&amp;","&amp;AS187&amp;","&amp;AT187&amp;","&amp;AU187&amp;","&amp;AV187&amp;","&amp;AW187&amp;","&amp;BI187&amp;","&amp;BJ187&amp;")"</f>
        <v>InitUnitMagic('IT01',,,,,,,,,,)</v>
      </c>
      <c r="CQ187" s="13" t="str">
        <f t="shared" ref="CQ187:CQ213" si="2901">"InitUnitAdd('"&amp;B187&amp;"',"&amp;BK187&amp;","&amp;BL187&amp;","&amp;BM187&amp;","&amp;BN187&amp;","&amp;BO187&amp;","&amp;BP187&amp;","&amp;BQ187&amp;","&amp;BR187&amp;","&amp;BS187&amp;","&amp;BT187&amp;")"</f>
        <v>InitUnitAdd('IT01',,,,,,,,,,)</v>
      </c>
      <c r="CR187" s="13" t="str">
        <f t="shared" ref="CR187:CR195" si="2902"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InitEquipData('IT01',,"",,,,,'','','','','','',"ReplaceableTextures\\CommandButtons\\BTNIT02.blp")</v>
      </c>
      <c r="CU187" s="72" t="str">
        <f t="shared" ref="CU187" si="2903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2904">T187</f>
        <v>渡过该劫后可结成低级道果。|n|n|Cfff0f0f0低级道果：|r|n攻击+1000|n法强+1000|n生命值+2000|n|Cffffd24d元神力+2|r|n|n|Cff00ff7f战力推荐：|r|n</v>
      </c>
      <c r="CW187" s="7"/>
      <c r="CX187" s="7"/>
      <c r="CY187" s="7"/>
      <c r="CZ187" s="7"/>
      <c r="DA187" s="7"/>
      <c r="DB187" s="44" t="str">
        <f t="shared" ref="DB187" si="2905">IF(V187="","","|n"&amp;DB$2&amp;"+"&amp;V187&amp;DB$1)</f>
        <v/>
      </c>
      <c r="DC187" s="44" t="str">
        <f t="shared" ref="DC187" si="2906">IF(W187="","","|n"&amp;DC$2&amp;"+"&amp;W187&amp;DC$1)</f>
        <v/>
      </c>
      <c r="DD187" s="44" t="str">
        <f t="shared" ref="DD187" si="2907">IF(X187="","","|n"&amp;DD$2&amp;"+"&amp;X187&amp;DD$1)</f>
        <v/>
      </c>
      <c r="DE187" s="44" t="str">
        <f t="shared" ref="DE187" si="2908">IF(Y187="","","|n"&amp;DE$2&amp;"+"&amp;Y187&amp;DE$1)</f>
        <v/>
      </c>
      <c r="DF187" s="44" t="str">
        <f t="shared" ref="DF187" si="2909">IF(Z187="","","|n"&amp;DF$2&amp;"+"&amp;Z187&amp;DF$1)</f>
        <v/>
      </c>
      <c r="DG187" s="44" t="str">
        <f t="shared" ref="DG187" si="2910">IF(AA187="","","|n"&amp;DG$2&amp;"+"&amp;AA187&amp;DG$1)</f>
        <v/>
      </c>
      <c r="DH187" s="44" t="str">
        <f t="shared" ref="DH187" si="2911">IF(AB187="","","|n"&amp;DH$2&amp;"+"&amp;AB187&amp;DH$1)</f>
        <v/>
      </c>
      <c r="DI187" s="44" t="str">
        <f t="shared" ref="DI187" si="2912">IF(AC187="","","|n"&amp;DI$2&amp;"+"&amp;AC187&amp;DI$1)</f>
        <v/>
      </c>
      <c r="DJ187" s="44" t="str">
        <f t="shared" ref="DJ187" si="2913">IF(AD187="","","|n"&amp;DJ$2&amp;"+"&amp;AD187&amp;DJ$1)</f>
        <v/>
      </c>
      <c r="DK187" s="44" t="str">
        <f t="shared" ref="DK187" si="2914">IF(AE187="","","|n"&amp;DK$2&amp;"+"&amp;AE187&amp;DK$1)</f>
        <v/>
      </c>
      <c r="DL187" s="44" t="str">
        <f t="shared" ref="DL187" si="2915">IF(AF187="","","|n"&amp;DL$2&amp;"+"&amp;AF187&amp;DL$1)</f>
        <v/>
      </c>
      <c r="DM187" s="44" t="str">
        <f t="shared" ref="DM187" si="2916">IF(AG187="","","|n"&amp;DM$2&amp;"+"&amp;AG187&amp;DM$1)</f>
        <v/>
      </c>
      <c r="DN187" s="44" t="str">
        <f t="shared" ref="DN187" si="2917">IF(AH187="","","|n"&amp;DN$2&amp;"+"&amp;AH187&amp;DN$1)</f>
        <v/>
      </c>
      <c r="DO187" s="44" t="str">
        <f t="shared" ref="DO187" si="2918">IF(AI187="","","|n"&amp;DO$2&amp;"+"&amp;AI187&amp;DO$1)</f>
        <v/>
      </c>
      <c r="DP187" s="44" t="str">
        <f t="shared" ref="DP187" si="2919">IF(AJ187="","","|n"&amp;DP$2&amp;"+"&amp;AJ187&amp;DP$1)</f>
        <v/>
      </c>
      <c r="DQ187" s="44" t="str">
        <f t="shared" ref="DQ187" si="2920">IF(AK187="","","|n"&amp;DQ$2&amp;"+"&amp;AK187&amp;DQ$1)</f>
        <v/>
      </c>
      <c r="DR187" s="44" t="str">
        <f t="shared" ref="DR187" si="2921">IF(AL187="","","|n"&amp;DR$2&amp;"+"&amp;AL187&amp;DR$1)</f>
        <v/>
      </c>
      <c r="DS187" s="44" t="str">
        <f t="shared" ref="DS187" si="2922">IF(AM187="","","|n"&amp;DS$2&amp;"+"&amp;AM187&amp;DS$1)</f>
        <v/>
      </c>
      <c r="DT187" s="44" t="str">
        <f t="shared" ref="DT187" si="2923">IF(AN187="","","|n"&amp;DT$2&amp;"+"&amp;AN187&amp;DT$1)</f>
        <v/>
      </c>
      <c r="DU187" s="44" t="str">
        <f t="shared" ref="DU187" si="2924">IF(AO187="","","|n"&amp;DU$2&amp;"+"&amp;AO187&amp;DU$1)</f>
        <v/>
      </c>
      <c r="DV187" s="44" t="str">
        <f t="shared" ref="DV187" si="2925">IF(AP187="","","|n"&amp;DV$2&amp;"+"&amp;AP187&amp;DV$1)</f>
        <v/>
      </c>
      <c r="DW187" s="44" t="str">
        <f t="shared" ref="DW187" si="2926">IF(AQ187="","","|n"&amp;DW$2&amp;"+"&amp;AQ187&amp;DW$1)</f>
        <v/>
      </c>
      <c r="DX187" s="44" t="str">
        <f t="shared" ref="DX187" si="2927">IF(AR187="","","|n"&amp;DX$2&amp;"+"&amp;AR187&amp;DX$1)</f>
        <v/>
      </c>
      <c r="DY187" s="44" t="str">
        <f t="shared" ref="DY187" si="2928">IF(AS187="","","|n"&amp;DY$2&amp;"+"&amp;AS187&amp;DY$1)</f>
        <v/>
      </c>
      <c r="DZ187" s="44" t="str">
        <f t="shared" ref="DZ187" si="2929">IF(AT187="","","|n"&amp;DZ$2&amp;"+"&amp;AT187&amp;DZ$1)</f>
        <v/>
      </c>
      <c r="EA187" s="44" t="str">
        <f t="shared" ref="EA187" si="2930">IF(AU187="","","|n"&amp;EA$2&amp;"+"&amp;AU187&amp;EA$1)</f>
        <v/>
      </c>
      <c r="EB187" s="44" t="str">
        <f t="shared" ref="EB187" si="2931">IF(AV187="","","|n"&amp;EB$2&amp;"+"&amp;AV187&amp;EB$1)</f>
        <v/>
      </c>
      <c r="EC187" s="44" t="str">
        <f t="shared" ref="EC187" si="2932">IF(AW187="","","|n"&amp;EC$2&amp;"+"&amp;AW187&amp;EC$1)</f>
        <v/>
      </c>
      <c r="ED187" s="44" t="str">
        <f t="shared" ref="ED187" si="2933">IF(AX187="","","|n"&amp;ED$2&amp;"+"&amp;AX187&amp;ED$1)</f>
        <v/>
      </c>
      <c r="EE187" s="44" t="str">
        <f t="shared" ref="EE187" si="2934">IF(AY187="","","|n"&amp;EE$2&amp;"+"&amp;AY187&amp;EE$1)</f>
        <v/>
      </c>
      <c r="EF187" s="44" t="str">
        <f t="shared" ref="EF187" si="2935">IF(AZ187="","","|n"&amp;EF$2&amp;"+"&amp;AZ187&amp;EF$1)</f>
        <v/>
      </c>
      <c r="EG187" s="44" t="str">
        <f t="shared" ref="EG187" si="2936">IF(BA187="","","|n"&amp;EG$2&amp;"+"&amp;BA187&amp;EG$1)</f>
        <v/>
      </c>
      <c r="EH187" s="44" t="str">
        <f t="shared" ref="EH187" si="2937">IF(BB187="","","|n"&amp;EH$2&amp;"+"&amp;BB187&amp;EH$1)</f>
        <v/>
      </c>
      <c r="EI187" s="44" t="str">
        <f t="shared" ref="EI187" si="2938">IF(BC187="","","|n"&amp;EI$2&amp;"+"&amp;BC187&amp;EI$1)</f>
        <v/>
      </c>
      <c r="EJ187" s="44" t="str">
        <f t="shared" ref="EJ187" si="2939">IF(BD187="","","|n"&amp;EJ$2&amp;"+"&amp;BD187&amp;EJ$1)</f>
        <v/>
      </c>
      <c r="EK187" s="44" t="str">
        <f t="shared" ref="EK187" si="2940">IF(BE187="","","|n"&amp;EK$2&amp;"+"&amp;BE187&amp;EK$1)</f>
        <v/>
      </c>
      <c r="EL187" s="44" t="str">
        <f t="shared" ref="EL187" si="2941">IF(BF187="","","|n"&amp;EL$2&amp;"+"&amp;BF187&amp;EL$1)</f>
        <v/>
      </c>
      <c r="EM187" s="44" t="str">
        <f t="shared" ref="EM187" si="2942">IF(BG187="","","|n"&amp;EM$2&amp;"+"&amp;BG187&amp;EM$1)</f>
        <v/>
      </c>
      <c r="EN187" s="44" t="str">
        <f t="shared" ref="EN187" si="2943">IF(BH187="","","|n"&amp;EN$2&amp;"+"&amp;BH187&amp;EN$1)</f>
        <v/>
      </c>
      <c r="EO187" s="44" t="str">
        <f t="shared" ref="EO187" si="2944">IF(BI187="","","|n"&amp;EO$2&amp;"+"&amp;BI187&amp;EO$1)</f>
        <v/>
      </c>
      <c r="EP187" s="44" t="str">
        <f t="shared" ref="EP187" si="2945">IF(BJ187="","","|n"&amp;EP$2&amp;"+"&amp;BJ187&amp;EP$1)</f>
        <v/>
      </c>
      <c r="EQ187" s="44" t="str">
        <f t="shared" ref="EQ187" si="2946">IF(BK187="","","|n"&amp;EQ$2&amp;"+"&amp;BK187&amp;EQ$1)</f>
        <v/>
      </c>
      <c r="ER187" s="44" t="str">
        <f t="shared" ref="ER187" si="2947">IF(BL187="","","|n"&amp;ER$2&amp;"+"&amp;BL187&amp;ER$1)</f>
        <v/>
      </c>
      <c r="ES187" s="44" t="str">
        <f t="shared" ref="ES187" si="2948">IF(BM187="","","|n"&amp;ES$2&amp;"+"&amp;BM187&amp;ES$1)</f>
        <v/>
      </c>
      <c r="ET187" s="44" t="str">
        <f t="shared" ref="ET187" si="2949">IF(BN187="","","|n"&amp;ET$2&amp;"+"&amp;BN187&amp;ET$1)</f>
        <v/>
      </c>
      <c r="EU187" s="44" t="str">
        <f t="shared" ref="EU187" si="2950">IF(BO187="","","|n"&amp;EU$2&amp;"+"&amp;BO187&amp;EU$1)</f>
        <v/>
      </c>
      <c r="EV187" s="44" t="str">
        <f t="shared" ref="EV187" si="2951">IF(BP187="","","|n"&amp;EV$2&amp;"+"&amp;BP187&amp;EV$1)</f>
        <v/>
      </c>
      <c r="EW187" s="44" t="str">
        <f t="shared" ref="EW187" si="2952">IF(BQ187="","","|n"&amp;EW$2&amp;"+"&amp;BQ187&amp;EW$1)</f>
        <v/>
      </c>
      <c r="EX187" s="44" t="str">
        <f t="shared" ref="EX187" si="2953">IF(BR187="","","|n"&amp;EX$2&amp;"+"&amp;BR187&amp;EX$1)</f>
        <v/>
      </c>
      <c r="EY187" s="44" t="str">
        <f t="shared" ref="EY187" si="2954">IF(BS187="","","|n"&amp;EY$2&amp;"+"&amp;BS187&amp;EY$1)</f>
        <v/>
      </c>
      <c r="EZ187" s="44" t="str">
        <f t="shared" ref="EZ187" si="2955">IF(BT187="","","|n"&amp;EZ$2&amp;"+"&amp;BT187&amp;EZ$1)</f>
        <v/>
      </c>
      <c r="FA187" s="44" t="str">
        <f t="shared" ref="FA187" si="2956">IF(BU187="","","|n"&amp;FA$2&amp;"+"&amp;BU187&amp;FA$1)</f>
        <v/>
      </c>
      <c r="FB187" s="44" t="str">
        <f t="shared" ref="FB187" si="2957">IF(BV187="","","|n"&amp;FB$2&amp;"+"&amp;BV187&amp;FB$1)</f>
        <v/>
      </c>
      <c r="FC187" s="44" t="str">
        <f t="shared" ref="FC187" si="2958">IF(BW187="","","|n"&amp;FC$2&amp;"+"&amp;BW187&amp;FC$1)</f>
        <v/>
      </c>
      <c r="FD187" s="44" t="str">
        <f t="shared" ref="FD187" si="2959">IF(BX187="","","|n"&amp;FD$2&amp;"+"&amp;BX187&amp;FD$1)</f>
        <v/>
      </c>
      <c r="FE187" s="44" t="str">
        <f t="shared" ref="FE187" si="2960">IF(BY187="","","|n"&amp;FE$2&amp;"+"&amp;BY187&amp;FE$1)</f>
        <v/>
      </c>
      <c r="FF187" s="44" t="str">
        <f t="shared" ref="FF187" si="2961">IF(BZ187="","","|n"&amp;FF$2&amp;"+"&amp;BZ187&amp;FF$1)</f>
        <v/>
      </c>
      <c r="FG187" s="44" t="str">
        <f t="shared" ref="FG187" si="2962">IF(CA187="","","|n"&amp;FG$2&amp;"+"&amp;CA187&amp;FG$1)</f>
        <v/>
      </c>
      <c r="FH187" s="44" t="str">
        <f t="shared" ref="FH187" si="2963">IF(CB187="","","|n"&amp;FH$2&amp;"+"&amp;CB187&amp;FH$1)</f>
        <v/>
      </c>
      <c r="FI187" s="44" t="str">
        <f t="shared" ref="FI187" si="2964">IF(CC187="","","|n"&amp;FI$2&amp;"+"&amp;CC187&amp;FI$1)</f>
        <v/>
      </c>
      <c r="FJ187" s="44" t="str">
        <f t="shared" ref="FJ187" si="2965">IF(CD187="","","|n"&amp;FJ$2&amp;"+"&amp;CD187&amp;FJ$1)</f>
        <v/>
      </c>
      <c r="FK187" s="44" t="str">
        <f t="shared" ref="FK187" si="2966">IF(CE187="","","|n"&amp;FK$2&amp;"+"&amp;CE187&amp;FK$1)</f>
        <v/>
      </c>
      <c r="FL187" s="44" t="str">
        <f t="shared" ref="FL187" si="2967">IF(CF187="","","|n"&amp;FL$2&amp;"+"&amp;CF187&amp;FL$1)</f>
        <v/>
      </c>
      <c r="FM187" s="44" t="str">
        <f t="shared" ref="FM187" si="2968">IF(CG187="","","|n"&amp;FM$2&amp;"+"&amp;CG187&amp;FM$1)</f>
        <v/>
      </c>
      <c r="FN187" s="44" t="str">
        <f t="shared" ref="FN187" si="2969">IF(CH187="","","|n"&amp;FN$2&amp;"+"&amp;CH187&amp;FN$1)</f>
        <v/>
      </c>
      <c r="FO187" s="44" t="str">
        <f t="shared" ref="FO187" si="2970">IF(CI187="","","|n"&amp;FO$2&amp;"+"&amp;CI187&amp;FO$1)</f>
        <v/>
      </c>
      <c r="FP187" s="44" t="str">
        <f t="shared" ref="FP187" si="2971">IF(CJ187="","","|n"&amp;FP$2&amp;"+"&amp;CJ187&amp;FP$1)</f>
        <v/>
      </c>
      <c r="FQ187" s="44" t="str">
        <f t="shared" ref="FQ187" si="2972">IF(CK187="","","|n"&amp;FQ$2&amp;"+"&amp;CK187&amp;FQ$1)</f>
        <v/>
      </c>
      <c r="FR187" s="44" t="str">
        <f t="shared" ref="FR187" si="2973">IF(CL187="","","|n"&amp;FR$2&amp;"+"&amp;CL187&amp;FR$1)</f>
        <v/>
      </c>
      <c r="FS187" s="44" t="str">
        <f t="shared" ref="FS187" si="2974">IF(CM187="","","|n"&amp;FS$2&amp;"+"&amp;CM187&amp;FS$1)</f>
        <v/>
      </c>
    </row>
    <row r="188" ht="15" spans="1:175">
      <c r="A188" s="78"/>
      <c r="B188" s="5" t="s">
        <v>630</v>
      </c>
      <c r="C188" s="78" t="s">
        <v>631</v>
      </c>
      <c r="R188" s="38">
        <v>-7991</v>
      </c>
      <c r="S188" s="38">
        <v>-2312</v>
      </c>
      <c r="T188" s="78" t="s">
        <v>632</v>
      </c>
      <c r="U188" s="60" t="str">
        <f t="shared" si="2897"/>
        <v>ReplaceableTextures\\CommandButtons\\BTNIT02.blp</v>
      </c>
      <c r="CN188" s="13" t="str">
        <f t="shared" si="2898"/>
        <v>InitUnitState('IT02',,,,,,,,,,)</v>
      </c>
      <c r="CO188" s="13" t="str">
        <f t="shared" si="2899"/>
        <v>InitUnitNormal('IT02',,,,,,,,,,)</v>
      </c>
      <c r="CP188" s="13" t="str">
        <f t="shared" si="2900"/>
        <v>InitUnitMagic('IT02',,,,,,,,,,)</v>
      </c>
      <c r="CQ188" s="13" t="str">
        <f t="shared" si="2901"/>
        <v>InitUnitAdd('IT02',,,,,,,,,,)</v>
      </c>
      <c r="CR188" s="13" t="str">
        <f t="shared" si="2902"/>
        <v>InitEquipData('IT02',,"",,,,,'','','','','','',"ReplaceableTextures\\CommandButtons\\BTNIT03.blp")</v>
      </c>
      <c r="CU188" s="72" t="str">
        <f t="shared" ref="CU188:CU196" si="2975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" t="str">
        <f t="shared" si="2904"/>
        <v>渡过该劫后可结成中级道果。|n|n|Cfff0f0f0中级道果：|r|n攻击+1500|n法强+1500|n生命值+3000 |n|Cffffd24d元神力+4|r|n|n|Cff00ff7f战力推荐：|r|n</v>
      </c>
      <c r="CW188" s="7"/>
      <c r="CX188" s="7"/>
      <c r="CY188" s="7"/>
      <c r="CZ188" s="7"/>
      <c r="DA188" s="7"/>
      <c r="DB188" s="44" t="str">
        <f t="shared" ref="DB188:DB196" si="2976">IF(V188="","","|n"&amp;DB$2&amp;"+"&amp;V188&amp;DB$1)</f>
        <v/>
      </c>
      <c r="DC188" s="44" t="str">
        <f t="shared" ref="DC188:DC196" si="2977">IF(W188="","","|n"&amp;DC$2&amp;"+"&amp;W188&amp;DC$1)</f>
        <v/>
      </c>
      <c r="DD188" s="44" t="str">
        <f t="shared" ref="DD188:DD196" si="2978">IF(X188="","","|n"&amp;DD$2&amp;"+"&amp;X188&amp;DD$1)</f>
        <v/>
      </c>
      <c r="DE188" s="44" t="str">
        <f t="shared" ref="DE188:DE196" si="2979">IF(Y188="","","|n"&amp;DE$2&amp;"+"&amp;Y188&amp;DE$1)</f>
        <v/>
      </c>
      <c r="DF188" s="44" t="str">
        <f t="shared" ref="DF188:DF196" si="2980">IF(Z188="","","|n"&amp;DF$2&amp;"+"&amp;Z188&amp;DF$1)</f>
        <v/>
      </c>
      <c r="DG188" s="44" t="str">
        <f t="shared" ref="DG188:DG196" si="2981">IF(AA188="","","|n"&amp;DG$2&amp;"+"&amp;AA188&amp;DG$1)</f>
        <v/>
      </c>
      <c r="DH188" s="44" t="str">
        <f t="shared" ref="DH188:DH196" si="2982">IF(AB188="","","|n"&amp;DH$2&amp;"+"&amp;AB188&amp;DH$1)</f>
        <v/>
      </c>
      <c r="DI188" s="44" t="str">
        <f t="shared" ref="DI188:DI196" si="2983">IF(AC188="","","|n"&amp;DI$2&amp;"+"&amp;AC188&amp;DI$1)</f>
        <v/>
      </c>
      <c r="DJ188" s="44" t="str">
        <f t="shared" ref="DJ188:DJ196" si="2984">IF(AD188="","","|n"&amp;DJ$2&amp;"+"&amp;AD188&amp;DJ$1)</f>
        <v/>
      </c>
      <c r="DK188" s="44" t="str">
        <f t="shared" ref="DK188:DK196" si="2985">IF(AE188="","","|n"&amp;DK$2&amp;"+"&amp;AE188&amp;DK$1)</f>
        <v/>
      </c>
      <c r="DL188" s="44" t="str">
        <f t="shared" ref="DL188:DL196" si="2986">IF(AF188="","","|n"&amp;DL$2&amp;"+"&amp;AF188&amp;DL$1)</f>
        <v/>
      </c>
      <c r="DM188" s="44" t="str">
        <f t="shared" ref="DM188:DM196" si="2987">IF(AG188="","","|n"&amp;DM$2&amp;"+"&amp;AG188&amp;DM$1)</f>
        <v/>
      </c>
      <c r="DN188" s="44" t="str">
        <f t="shared" ref="DN188:DN196" si="2988">IF(AH188="","","|n"&amp;DN$2&amp;"+"&amp;AH188&amp;DN$1)</f>
        <v/>
      </c>
      <c r="DO188" s="44" t="str">
        <f t="shared" ref="DO188:DO196" si="2989">IF(AI188="","","|n"&amp;DO$2&amp;"+"&amp;AI188&amp;DO$1)</f>
        <v/>
      </c>
      <c r="DP188" s="44" t="str">
        <f t="shared" ref="DP188:DP196" si="2990">IF(AJ188="","","|n"&amp;DP$2&amp;"+"&amp;AJ188&amp;DP$1)</f>
        <v/>
      </c>
      <c r="DQ188" s="44" t="str">
        <f t="shared" ref="DQ188:DQ196" si="2991">IF(AK188="","","|n"&amp;DQ$2&amp;"+"&amp;AK188&amp;DQ$1)</f>
        <v/>
      </c>
      <c r="DR188" s="44" t="str">
        <f t="shared" ref="DR188:DR196" si="2992">IF(AL188="","","|n"&amp;DR$2&amp;"+"&amp;AL188&amp;DR$1)</f>
        <v/>
      </c>
      <c r="DS188" s="44" t="str">
        <f t="shared" ref="DS188:DS196" si="2993">IF(AM188="","","|n"&amp;DS$2&amp;"+"&amp;AM188&amp;DS$1)</f>
        <v/>
      </c>
      <c r="DT188" s="44" t="str">
        <f t="shared" ref="DT188:DT196" si="2994">IF(AN188="","","|n"&amp;DT$2&amp;"+"&amp;AN188&amp;DT$1)</f>
        <v/>
      </c>
      <c r="DU188" s="44" t="str">
        <f t="shared" ref="DU188:DU196" si="2995">IF(AO188="","","|n"&amp;DU$2&amp;"+"&amp;AO188&amp;DU$1)</f>
        <v/>
      </c>
      <c r="DV188" s="44" t="str">
        <f t="shared" ref="DV188:DV196" si="2996">IF(AP188="","","|n"&amp;DV$2&amp;"+"&amp;AP188&amp;DV$1)</f>
        <v/>
      </c>
      <c r="DW188" s="44" t="str">
        <f t="shared" ref="DW188:DW196" si="2997">IF(AQ188="","","|n"&amp;DW$2&amp;"+"&amp;AQ188&amp;DW$1)</f>
        <v/>
      </c>
      <c r="DX188" s="44" t="str">
        <f t="shared" ref="DX188:DX196" si="2998">IF(AR188="","","|n"&amp;DX$2&amp;"+"&amp;AR188&amp;DX$1)</f>
        <v/>
      </c>
      <c r="DY188" s="44" t="str">
        <f t="shared" ref="DY188:DY196" si="2999">IF(AS188="","","|n"&amp;DY$2&amp;"+"&amp;AS188&amp;DY$1)</f>
        <v/>
      </c>
      <c r="DZ188" s="44" t="str">
        <f t="shared" ref="DZ188:DZ196" si="3000">IF(AT188="","","|n"&amp;DZ$2&amp;"+"&amp;AT188&amp;DZ$1)</f>
        <v/>
      </c>
      <c r="EA188" s="44" t="str">
        <f t="shared" ref="EA188:EA196" si="3001">IF(AU188="","","|n"&amp;EA$2&amp;"+"&amp;AU188&amp;EA$1)</f>
        <v/>
      </c>
      <c r="EB188" s="44" t="str">
        <f t="shared" ref="EB188:EB196" si="3002">IF(AV188="","","|n"&amp;EB$2&amp;"+"&amp;AV188&amp;EB$1)</f>
        <v/>
      </c>
      <c r="EC188" s="44" t="str">
        <f t="shared" ref="EC188:EC196" si="3003">IF(AW188="","","|n"&amp;EC$2&amp;"+"&amp;AW188&amp;EC$1)</f>
        <v/>
      </c>
      <c r="ED188" s="44" t="str">
        <f t="shared" ref="ED188:ED196" si="3004">IF(AX188="","","|n"&amp;ED$2&amp;"+"&amp;AX188&amp;ED$1)</f>
        <v/>
      </c>
      <c r="EE188" s="44" t="str">
        <f t="shared" ref="EE188:EE196" si="3005">IF(AY188="","","|n"&amp;EE$2&amp;"+"&amp;AY188&amp;EE$1)</f>
        <v/>
      </c>
      <c r="EF188" s="44" t="str">
        <f t="shared" ref="EF188:EF196" si="3006">IF(AZ188="","","|n"&amp;EF$2&amp;"+"&amp;AZ188&amp;EF$1)</f>
        <v/>
      </c>
      <c r="EG188" s="44" t="str">
        <f t="shared" ref="EG188:EG196" si="3007">IF(BA188="","","|n"&amp;EG$2&amp;"+"&amp;BA188&amp;EG$1)</f>
        <v/>
      </c>
      <c r="EH188" s="44" t="str">
        <f t="shared" ref="EH188:EH196" si="3008">IF(BB188="","","|n"&amp;EH$2&amp;"+"&amp;BB188&amp;EH$1)</f>
        <v/>
      </c>
      <c r="EI188" s="44" t="str">
        <f t="shared" ref="EI188:EI196" si="3009">IF(BC188="","","|n"&amp;EI$2&amp;"+"&amp;BC188&amp;EI$1)</f>
        <v/>
      </c>
      <c r="EJ188" s="44" t="str">
        <f t="shared" ref="EJ188:EJ196" si="3010">IF(BD188="","","|n"&amp;EJ$2&amp;"+"&amp;BD188&amp;EJ$1)</f>
        <v/>
      </c>
      <c r="EK188" s="44" t="str">
        <f t="shared" ref="EK188:EK196" si="3011">IF(BE188="","","|n"&amp;EK$2&amp;"+"&amp;BE188&amp;EK$1)</f>
        <v/>
      </c>
      <c r="EL188" s="44" t="str">
        <f t="shared" ref="EL188:EL196" si="3012">IF(BF188="","","|n"&amp;EL$2&amp;"+"&amp;BF188&amp;EL$1)</f>
        <v/>
      </c>
      <c r="EM188" s="44" t="str">
        <f t="shared" ref="EM188:EM196" si="3013">IF(BG188="","","|n"&amp;EM$2&amp;"+"&amp;BG188&amp;EM$1)</f>
        <v/>
      </c>
      <c r="EN188" s="44" t="str">
        <f t="shared" ref="EN188:EN196" si="3014">IF(BH188="","","|n"&amp;EN$2&amp;"+"&amp;BH188&amp;EN$1)</f>
        <v/>
      </c>
      <c r="EO188" s="44" t="str">
        <f t="shared" ref="EO188:EO196" si="3015">IF(BI188="","","|n"&amp;EO$2&amp;"+"&amp;BI188&amp;EO$1)</f>
        <v/>
      </c>
      <c r="EP188" s="44" t="str">
        <f t="shared" ref="EP188:EP196" si="3016">IF(BJ188="","","|n"&amp;EP$2&amp;"+"&amp;BJ188&amp;EP$1)</f>
        <v/>
      </c>
      <c r="EQ188" s="44" t="str">
        <f t="shared" ref="EQ188:EQ196" si="3017">IF(BK188="","","|n"&amp;EQ$2&amp;"+"&amp;BK188&amp;EQ$1)</f>
        <v/>
      </c>
      <c r="ER188" s="44" t="str">
        <f t="shared" ref="ER188:ER196" si="3018">IF(BL188="","","|n"&amp;ER$2&amp;"+"&amp;BL188&amp;ER$1)</f>
        <v/>
      </c>
      <c r="ES188" s="44" t="str">
        <f t="shared" ref="ES188:ES196" si="3019">IF(BM188="","","|n"&amp;ES$2&amp;"+"&amp;BM188&amp;ES$1)</f>
        <v/>
      </c>
      <c r="ET188" s="44" t="str">
        <f t="shared" ref="ET188:ET196" si="3020">IF(BN188="","","|n"&amp;ET$2&amp;"+"&amp;BN188&amp;ET$1)</f>
        <v/>
      </c>
      <c r="EU188" s="44" t="str">
        <f t="shared" ref="EU188:EU196" si="3021">IF(BO188="","","|n"&amp;EU$2&amp;"+"&amp;BO188&amp;EU$1)</f>
        <v/>
      </c>
      <c r="EV188" s="44" t="str">
        <f t="shared" ref="EV188:EV196" si="3022">IF(BP188="","","|n"&amp;EV$2&amp;"+"&amp;BP188&amp;EV$1)</f>
        <v/>
      </c>
      <c r="EW188" s="44" t="str">
        <f t="shared" ref="EW188:EW196" si="3023">IF(BQ188="","","|n"&amp;EW$2&amp;"+"&amp;BQ188&amp;EW$1)</f>
        <v/>
      </c>
      <c r="EX188" s="44" t="str">
        <f t="shared" ref="EX188:EX196" si="3024">IF(BR188="","","|n"&amp;EX$2&amp;"+"&amp;BR188&amp;EX$1)</f>
        <v/>
      </c>
      <c r="EY188" s="44" t="str">
        <f t="shared" ref="EY188:EY196" si="3025">IF(BS188="","","|n"&amp;EY$2&amp;"+"&amp;BS188&amp;EY$1)</f>
        <v/>
      </c>
      <c r="EZ188" s="44" t="str">
        <f t="shared" ref="EZ188:EZ196" si="3026">IF(BT188="","","|n"&amp;EZ$2&amp;"+"&amp;BT188&amp;EZ$1)</f>
        <v/>
      </c>
      <c r="FA188" s="44" t="str">
        <f t="shared" ref="FA188:FA196" si="3027">IF(BU188="","","|n"&amp;FA$2&amp;"+"&amp;BU188&amp;FA$1)</f>
        <v/>
      </c>
      <c r="FB188" s="44" t="str">
        <f t="shared" ref="FB188:FB196" si="3028">IF(BV188="","","|n"&amp;FB$2&amp;"+"&amp;BV188&amp;FB$1)</f>
        <v/>
      </c>
      <c r="FC188" s="44" t="str">
        <f t="shared" ref="FC188:FC196" si="3029">IF(BW188="","","|n"&amp;FC$2&amp;"+"&amp;BW188&amp;FC$1)</f>
        <v/>
      </c>
      <c r="FD188" s="44" t="str">
        <f t="shared" ref="FD188:FD196" si="3030">IF(BX188="","","|n"&amp;FD$2&amp;"+"&amp;BX188&amp;FD$1)</f>
        <v/>
      </c>
      <c r="FE188" s="44" t="str">
        <f t="shared" ref="FE188:FE196" si="3031">IF(BY188="","","|n"&amp;FE$2&amp;"+"&amp;BY188&amp;FE$1)</f>
        <v/>
      </c>
      <c r="FF188" s="44" t="str">
        <f t="shared" ref="FF188:FF196" si="3032">IF(BZ188="","","|n"&amp;FF$2&amp;"+"&amp;BZ188&amp;FF$1)</f>
        <v/>
      </c>
      <c r="FG188" s="44" t="str">
        <f t="shared" ref="FG188:FG196" si="3033">IF(CA188="","","|n"&amp;FG$2&amp;"+"&amp;CA188&amp;FG$1)</f>
        <v/>
      </c>
      <c r="FH188" s="44" t="str">
        <f t="shared" ref="FH188:FH196" si="3034">IF(CB188="","","|n"&amp;FH$2&amp;"+"&amp;CB188&amp;FH$1)</f>
        <v/>
      </c>
      <c r="FI188" s="44" t="str">
        <f t="shared" ref="FI188:FI196" si="3035">IF(CC188="","","|n"&amp;FI$2&amp;"+"&amp;CC188&amp;FI$1)</f>
        <v/>
      </c>
      <c r="FJ188" s="44" t="str">
        <f t="shared" ref="FJ188:FJ196" si="3036">IF(CD188="","","|n"&amp;FJ$2&amp;"+"&amp;CD188&amp;FJ$1)</f>
        <v/>
      </c>
      <c r="FK188" s="44" t="str">
        <f t="shared" ref="FK188:FK196" si="3037">IF(CE188="","","|n"&amp;FK$2&amp;"+"&amp;CE188&amp;FK$1)</f>
        <v/>
      </c>
      <c r="FL188" s="44" t="str">
        <f t="shared" ref="FL188:FL196" si="3038">IF(CF188="","","|n"&amp;FL$2&amp;"+"&amp;CF188&amp;FL$1)</f>
        <v/>
      </c>
      <c r="FM188" s="44" t="str">
        <f t="shared" ref="FM188:FM196" si="3039">IF(CG188="","","|n"&amp;FM$2&amp;"+"&amp;CG188&amp;FM$1)</f>
        <v/>
      </c>
      <c r="FN188" s="44" t="str">
        <f t="shared" ref="FN188:FN196" si="3040">IF(CH188="","","|n"&amp;FN$2&amp;"+"&amp;CH188&amp;FN$1)</f>
        <v/>
      </c>
      <c r="FO188" s="44" t="str">
        <f t="shared" ref="FO188:FO196" si="3041">IF(CI188="","","|n"&amp;FO$2&amp;"+"&amp;CI188&amp;FO$1)</f>
        <v/>
      </c>
      <c r="FP188" s="44" t="str">
        <f t="shared" ref="FP188:FP196" si="3042">IF(CJ188="","","|n"&amp;FP$2&amp;"+"&amp;CJ188&amp;FP$1)</f>
        <v/>
      </c>
      <c r="FQ188" s="44" t="str">
        <f t="shared" ref="FQ188:FQ196" si="3043">IF(CK188="","","|n"&amp;FQ$2&amp;"+"&amp;CK188&amp;FQ$1)</f>
        <v/>
      </c>
      <c r="FR188" s="44" t="str">
        <f t="shared" ref="FR188:FR196" si="3044">IF(CL188="","","|n"&amp;FR$2&amp;"+"&amp;CL188&amp;FR$1)</f>
        <v/>
      </c>
      <c r="FS188" s="44" t="str">
        <f t="shared" ref="FS188:FS196" si="3045">IF(CM188="","","|n"&amp;FS$2&amp;"+"&amp;CM188&amp;FS$1)</f>
        <v/>
      </c>
    </row>
    <row r="189" ht="15" spans="1:175">
      <c r="A189" s="78"/>
      <c r="B189" s="5" t="s">
        <v>633</v>
      </c>
      <c r="C189" s="78" t="s">
        <v>634</v>
      </c>
      <c r="R189" s="38">
        <v>-8089</v>
      </c>
      <c r="S189" s="38">
        <v>-1230</v>
      </c>
      <c r="T189" s="78" t="s">
        <v>635</v>
      </c>
      <c r="U189" s="60" t="str">
        <f t="shared" si="2897"/>
        <v>ReplaceableTextures\\CommandButtons\\BTNIT03.blp</v>
      </c>
      <c r="CN189" s="13" t="str">
        <f t="shared" si="2898"/>
        <v>InitUnitState('IT03',,,,,,,,,,)</v>
      </c>
      <c r="CO189" s="13" t="str">
        <f t="shared" si="2899"/>
        <v>InitUnitNormal('IT03',,,,,,,,,,)</v>
      </c>
      <c r="CP189" s="13" t="str">
        <f t="shared" si="2900"/>
        <v>InitUnitMagic('IT03',,,,,,,,,,)</v>
      </c>
      <c r="CQ189" s="13" t="str">
        <f t="shared" si="2901"/>
        <v>InitUnitAdd('IT03',,,,,,,,,,)</v>
      </c>
      <c r="CR189" s="13" t="str">
        <f t="shared" si="2902"/>
        <v>InitEquipData('IT03',,"",,,,,'','','','','','',"ReplaceableTextures\\CommandButtons\\BTNIT04.blp")</v>
      </c>
      <c r="CU189" s="72" t="str">
        <f t="shared" si="2975"/>
        <v>|n</v>
      </c>
      <c r="CV189" s="6" t="str">
        <f t="shared" ref="CV189:CV196" si="3046">T189</f>
        <v>渡过该劫后可结成|Cff00ff7f高级道果|r。|n|n|Cff00ff7f高级道果：|r|n攻击+2000|n法强+2000|n生命值+4000 |n|Cffffd24d元神力+5|r|n|n|Cff00ff7f战力推荐：|r|n</v>
      </c>
      <c r="CW189" s="7"/>
      <c r="CX189" s="7"/>
      <c r="CY189" s="7"/>
      <c r="CZ189" s="7"/>
      <c r="DA189" s="7"/>
      <c r="DB189" s="44" t="str">
        <f t="shared" si="2976"/>
        <v/>
      </c>
      <c r="DC189" s="44" t="str">
        <f t="shared" si="2977"/>
        <v/>
      </c>
      <c r="DD189" s="44" t="str">
        <f t="shared" si="2978"/>
        <v/>
      </c>
      <c r="DE189" s="44" t="str">
        <f t="shared" si="2979"/>
        <v/>
      </c>
      <c r="DF189" s="44" t="str">
        <f t="shared" si="2980"/>
        <v/>
      </c>
      <c r="DG189" s="44" t="str">
        <f t="shared" si="2981"/>
        <v/>
      </c>
      <c r="DH189" s="44" t="str">
        <f t="shared" si="2982"/>
        <v/>
      </c>
      <c r="DI189" s="44" t="str">
        <f t="shared" si="2983"/>
        <v/>
      </c>
      <c r="DJ189" s="44" t="str">
        <f t="shared" si="2984"/>
        <v/>
      </c>
      <c r="DK189" s="44" t="str">
        <f t="shared" si="2985"/>
        <v/>
      </c>
      <c r="DL189" s="44" t="str">
        <f t="shared" si="2986"/>
        <v/>
      </c>
      <c r="DM189" s="44" t="str">
        <f t="shared" si="2987"/>
        <v/>
      </c>
      <c r="DN189" s="44" t="str">
        <f t="shared" si="2988"/>
        <v/>
      </c>
      <c r="DO189" s="44" t="str">
        <f t="shared" si="2989"/>
        <v/>
      </c>
      <c r="DP189" s="44" t="str">
        <f t="shared" si="2990"/>
        <v/>
      </c>
      <c r="DQ189" s="44" t="str">
        <f t="shared" si="2991"/>
        <v/>
      </c>
      <c r="DR189" s="44" t="str">
        <f t="shared" si="2992"/>
        <v/>
      </c>
      <c r="DS189" s="44" t="str">
        <f t="shared" si="2993"/>
        <v/>
      </c>
      <c r="DT189" s="44" t="str">
        <f t="shared" si="2994"/>
        <v/>
      </c>
      <c r="DU189" s="44" t="str">
        <f t="shared" si="2995"/>
        <v/>
      </c>
      <c r="DV189" s="44" t="str">
        <f t="shared" si="2996"/>
        <v/>
      </c>
      <c r="DW189" s="44" t="str">
        <f t="shared" si="2997"/>
        <v/>
      </c>
      <c r="DX189" s="44" t="str">
        <f t="shared" si="2998"/>
        <v/>
      </c>
      <c r="DY189" s="44" t="str">
        <f t="shared" si="2999"/>
        <v/>
      </c>
      <c r="DZ189" s="44" t="str">
        <f t="shared" si="3000"/>
        <v/>
      </c>
      <c r="EA189" s="44" t="str">
        <f t="shared" si="3001"/>
        <v/>
      </c>
      <c r="EB189" s="44" t="str">
        <f t="shared" si="3002"/>
        <v/>
      </c>
      <c r="EC189" s="44" t="str">
        <f t="shared" si="3003"/>
        <v/>
      </c>
      <c r="ED189" s="44" t="str">
        <f t="shared" si="3004"/>
        <v/>
      </c>
      <c r="EE189" s="44" t="str">
        <f t="shared" si="3005"/>
        <v/>
      </c>
      <c r="EF189" s="44" t="str">
        <f t="shared" si="3006"/>
        <v/>
      </c>
      <c r="EG189" s="44" t="str">
        <f t="shared" si="3007"/>
        <v/>
      </c>
      <c r="EH189" s="44" t="str">
        <f t="shared" si="3008"/>
        <v/>
      </c>
      <c r="EI189" s="44" t="str">
        <f t="shared" si="3009"/>
        <v/>
      </c>
      <c r="EJ189" s="44" t="str">
        <f t="shared" si="3010"/>
        <v/>
      </c>
      <c r="EK189" s="44" t="str">
        <f t="shared" si="3011"/>
        <v/>
      </c>
      <c r="EL189" s="44" t="str">
        <f t="shared" si="3012"/>
        <v/>
      </c>
      <c r="EM189" s="44" t="str">
        <f t="shared" si="3013"/>
        <v/>
      </c>
      <c r="EN189" s="44" t="str">
        <f t="shared" si="3014"/>
        <v/>
      </c>
      <c r="EO189" s="44" t="str">
        <f t="shared" si="3015"/>
        <v/>
      </c>
      <c r="EP189" s="44" t="str">
        <f t="shared" si="3016"/>
        <v/>
      </c>
      <c r="EQ189" s="44" t="str">
        <f t="shared" si="3017"/>
        <v/>
      </c>
      <c r="ER189" s="44" t="str">
        <f t="shared" si="3018"/>
        <v/>
      </c>
      <c r="ES189" s="44" t="str">
        <f t="shared" si="3019"/>
        <v/>
      </c>
      <c r="ET189" s="44" t="str">
        <f t="shared" si="3020"/>
        <v/>
      </c>
      <c r="EU189" s="44" t="str">
        <f t="shared" si="3021"/>
        <v/>
      </c>
      <c r="EV189" s="44" t="str">
        <f t="shared" si="3022"/>
        <v/>
      </c>
      <c r="EW189" s="44" t="str">
        <f t="shared" si="3023"/>
        <v/>
      </c>
      <c r="EX189" s="44" t="str">
        <f t="shared" si="3024"/>
        <v/>
      </c>
      <c r="EY189" s="44" t="str">
        <f t="shared" si="3025"/>
        <v/>
      </c>
      <c r="EZ189" s="44" t="str">
        <f t="shared" si="3026"/>
        <v/>
      </c>
      <c r="FA189" s="44" t="str">
        <f t="shared" si="3027"/>
        <v/>
      </c>
      <c r="FB189" s="44" t="str">
        <f t="shared" si="3028"/>
        <v/>
      </c>
      <c r="FC189" s="44" t="str">
        <f t="shared" si="3029"/>
        <v/>
      </c>
      <c r="FD189" s="44" t="str">
        <f t="shared" si="3030"/>
        <v/>
      </c>
      <c r="FE189" s="44" t="str">
        <f t="shared" si="3031"/>
        <v/>
      </c>
      <c r="FF189" s="44" t="str">
        <f t="shared" si="3032"/>
        <v/>
      </c>
      <c r="FG189" s="44" t="str">
        <f t="shared" si="3033"/>
        <v/>
      </c>
      <c r="FH189" s="44" t="str">
        <f t="shared" si="3034"/>
        <v/>
      </c>
      <c r="FI189" s="44" t="str">
        <f t="shared" si="3035"/>
        <v/>
      </c>
      <c r="FJ189" s="44" t="str">
        <f t="shared" si="3036"/>
        <v/>
      </c>
      <c r="FK189" s="44" t="str">
        <f t="shared" si="3037"/>
        <v/>
      </c>
      <c r="FL189" s="44" t="str">
        <f t="shared" si="3038"/>
        <v/>
      </c>
      <c r="FM189" s="44" t="str">
        <f t="shared" si="3039"/>
        <v/>
      </c>
      <c r="FN189" s="44" t="str">
        <f t="shared" si="3040"/>
        <v/>
      </c>
      <c r="FO189" s="44" t="str">
        <f t="shared" si="3041"/>
        <v/>
      </c>
      <c r="FP189" s="44" t="str">
        <f t="shared" si="3042"/>
        <v/>
      </c>
      <c r="FQ189" s="44" t="str">
        <f t="shared" si="3043"/>
        <v/>
      </c>
      <c r="FR189" s="44" t="str">
        <f t="shared" si="3044"/>
        <v/>
      </c>
      <c r="FS189" s="44" t="str">
        <f t="shared" si="3045"/>
        <v/>
      </c>
    </row>
    <row r="190" ht="15" spans="1:175">
      <c r="A190" s="78"/>
      <c r="B190" s="5" t="s">
        <v>636</v>
      </c>
      <c r="C190" s="78" t="s">
        <v>637</v>
      </c>
      <c r="R190" s="38">
        <v>-7794</v>
      </c>
      <c r="S190" s="38">
        <v>195</v>
      </c>
      <c r="T190" s="78" t="s">
        <v>638</v>
      </c>
      <c r="U190" s="60" t="str">
        <f t="shared" si="2897"/>
        <v>ReplaceableTextures\\CommandButtons\\BTNIT04.blp</v>
      </c>
      <c r="CN190" s="13" t="str">
        <f t="shared" si="2898"/>
        <v>InitUnitState('IT04',,,,,,,,,,)</v>
      </c>
      <c r="CO190" s="13" t="str">
        <f t="shared" si="2899"/>
        <v>InitUnitNormal('IT04',,,,,,,,,,)</v>
      </c>
      <c r="CP190" s="13" t="str">
        <f t="shared" si="2900"/>
        <v>InitUnitMagic('IT04',,,,,,,,,,)</v>
      </c>
      <c r="CQ190" s="13" t="str">
        <f t="shared" si="2901"/>
        <v>InitUnitAdd('IT04',,,,,,,,,,)</v>
      </c>
      <c r="CR190" s="13" t="str">
        <f t="shared" si="2902"/>
        <v>InitEquipData('IT04',,"",,,,,'','','','','','',"ReplaceableTextures\\CommandButtons\\BTNIT05.blp")</v>
      </c>
      <c r="CU190" s="72" t="str">
        <f t="shared" si="2975"/>
        <v>|n</v>
      </c>
      <c r="CV190" s="6" t="str">
        <f t="shared" si="3046"/>
        <v>渡过该劫后可结成|Cff00ff7f黄级道果|r。|n|n|Cff00ff7f黄级道果：|r|n攻击+2500|n法强+2500|n生命值+5000|n|Cffffd24d元神力+6|r|n|n|Cff00ff7f战力推荐：|r|n</v>
      </c>
      <c r="CW190" s="7"/>
      <c r="CX190" s="7"/>
      <c r="CY190" s="7"/>
      <c r="CZ190" s="7"/>
      <c r="DA190" s="7"/>
      <c r="DB190" s="44" t="str">
        <f t="shared" si="2976"/>
        <v/>
      </c>
      <c r="DC190" s="44" t="str">
        <f t="shared" si="2977"/>
        <v/>
      </c>
      <c r="DD190" s="44" t="str">
        <f t="shared" si="2978"/>
        <v/>
      </c>
      <c r="DE190" s="44" t="str">
        <f t="shared" si="2979"/>
        <v/>
      </c>
      <c r="DF190" s="44" t="str">
        <f t="shared" si="2980"/>
        <v/>
      </c>
      <c r="DG190" s="44" t="str">
        <f t="shared" si="2981"/>
        <v/>
      </c>
      <c r="DH190" s="44" t="str">
        <f t="shared" si="2982"/>
        <v/>
      </c>
      <c r="DI190" s="44" t="str">
        <f t="shared" si="2983"/>
        <v/>
      </c>
      <c r="DJ190" s="44" t="str">
        <f t="shared" si="2984"/>
        <v/>
      </c>
      <c r="DK190" s="44" t="str">
        <f t="shared" si="2985"/>
        <v/>
      </c>
      <c r="DL190" s="44" t="str">
        <f t="shared" si="2986"/>
        <v/>
      </c>
      <c r="DM190" s="44" t="str">
        <f t="shared" si="2987"/>
        <v/>
      </c>
      <c r="DN190" s="44" t="str">
        <f t="shared" si="2988"/>
        <v/>
      </c>
      <c r="DO190" s="44" t="str">
        <f t="shared" si="2989"/>
        <v/>
      </c>
      <c r="DP190" s="44" t="str">
        <f t="shared" si="2990"/>
        <v/>
      </c>
      <c r="DQ190" s="44" t="str">
        <f t="shared" si="2991"/>
        <v/>
      </c>
      <c r="DR190" s="44" t="str">
        <f t="shared" si="2992"/>
        <v/>
      </c>
      <c r="DS190" s="44" t="str">
        <f t="shared" si="2993"/>
        <v/>
      </c>
      <c r="DT190" s="44" t="str">
        <f t="shared" si="2994"/>
        <v/>
      </c>
      <c r="DU190" s="44" t="str">
        <f t="shared" si="2995"/>
        <v/>
      </c>
      <c r="DV190" s="44" t="str">
        <f t="shared" si="2996"/>
        <v/>
      </c>
      <c r="DW190" s="44" t="str">
        <f t="shared" si="2997"/>
        <v/>
      </c>
      <c r="DX190" s="44" t="str">
        <f t="shared" si="2998"/>
        <v/>
      </c>
      <c r="DY190" s="44" t="str">
        <f t="shared" si="2999"/>
        <v/>
      </c>
      <c r="DZ190" s="44" t="str">
        <f t="shared" si="3000"/>
        <v/>
      </c>
      <c r="EA190" s="44" t="str">
        <f t="shared" si="3001"/>
        <v/>
      </c>
      <c r="EB190" s="44" t="str">
        <f t="shared" si="3002"/>
        <v/>
      </c>
      <c r="EC190" s="44" t="str">
        <f t="shared" si="3003"/>
        <v/>
      </c>
      <c r="ED190" s="44" t="str">
        <f t="shared" si="3004"/>
        <v/>
      </c>
      <c r="EE190" s="44" t="str">
        <f t="shared" si="3005"/>
        <v/>
      </c>
      <c r="EF190" s="44" t="str">
        <f t="shared" si="3006"/>
        <v/>
      </c>
      <c r="EG190" s="44" t="str">
        <f t="shared" si="3007"/>
        <v/>
      </c>
      <c r="EH190" s="44" t="str">
        <f t="shared" si="3008"/>
        <v/>
      </c>
      <c r="EI190" s="44" t="str">
        <f t="shared" si="3009"/>
        <v/>
      </c>
      <c r="EJ190" s="44" t="str">
        <f t="shared" si="3010"/>
        <v/>
      </c>
      <c r="EK190" s="44" t="str">
        <f t="shared" si="3011"/>
        <v/>
      </c>
      <c r="EL190" s="44" t="str">
        <f t="shared" si="3012"/>
        <v/>
      </c>
      <c r="EM190" s="44" t="str">
        <f t="shared" si="3013"/>
        <v/>
      </c>
      <c r="EN190" s="44" t="str">
        <f t="shared" si="3014"/>
        <v/>
      </c>
      <c r="EO190" s="44" t="str">
        <f t="shared" si="3015"/>
        <v/>
      </c>
      <c r="EP190" s="44" t="str">
        <f t="shared" si="3016"/>
        <v/>
      </c>
      <c r="EQ190" s="44" t="str">
        <f t="shared" si="3017"/>
        <v/>
      </c>
      <c r="ER190" s="44" t="str">
        <f t="shared" si="3018"/>
        <v/>
      </c>
      <c r="ES190" s="44" t="str">
        <f t="shared" si="3019"/>
        <v/>
      </c>
      <c r="ET190" s="44" t="str">
        <f t="shared" si="3020"/>
        <v/>
      </c>
      <c r="EU190" s="44" t="str">
        <f t="shared" si="3021"/>
        <v/>
      </c>
      <c r="EV190" s="44" t="str">
        <f t="shared" si="3022"/>
        <v/>
      </c>
      <c r="EW190" s="44" t="str">
        <f t="shared" si="3023"/>
        <v/>
      </c>
      <c r="EX190" s="44" t="str">
        <f t="shared" si="3024"/>
        <v/>
      </c>
      <c r="EY190" s="44" t="str">
        <f t="shared" si="3025"/>
        <v/>
      </c>
      <c r="EZ190" s="44" t="str">
        <f t="shared" si="3026"/>
        <v/>
      </c>
      <c r="FA190" s="44" t="str">
        <f t="shared" si="3027"/>
        <v/>
      </c>
      <c r="FB190" s="44" t="str">
        <f t="shared" si="3028"/>
        <v/>
      </c>
      <c r="FC190" s="44" t="str">
        <f t="shared" si="3029"/>
        <v/>
      </c>
      <c r="FD190" s="44" t="str">
        <f t="shared" si="3030"/>
        <v/>
      </c>
      <c r="FE190" s="44" t="str">
        <f t="shared" si="3031"/>
        <v/>
      </c>
      <c r="FF190" s="44" t="str">
        <f t="shared" si="3032"/>
        <v/>
      </c>
      <c r="FG190" s="44" t="str">
        <f t="shared" si="3033"/>
        <v/>
      </c>
      <c r="FH190" s="44" t="str">
        <f t="shared" si="3034"/>
        <v/>
      </c>
      <c r="FI190" s="44" t="str">
        <f t="shared" si="3035"/>
        <v/>
      </c>
      <c r="FJ190" s="44" t="str">
        <f t="shared" si="3036"/>
        <v/>
      </c>
      <c r="FK190" s="44" t="str">
        <f t="shared" si="3037"/>
        <v/>
      </c>
      <c r="FL190" s="44" t="str">
        <f t="shared" si="3038"/>
        <v/>
      </c>
      <c r="FM190" s="44" t="str">
        <f t="shared" si="3039"/>
        <v/>
      </c>
      <c r="FN190" s="44" t="str">
        <f t="shared" si="3040"/>
        <v/>
      </c>
      <c r="FO190" s="44" t="str">
        <f t="shared" si="3041"/>
        <v/>
      </c>
      <c r="FP190" s="44" t="str">
        <f t="shared" si="3042"/>
        <v/>
      </c>
      <c r="FQ190" s="44" t="str">
        <f t="shared" si="3043"/>
        <v/>
      </c>
      <c r="FR190" s="44" t="str">
        <f t="shared" si="3044"/>
        <v/>
      </c>
      <c r="FS190" s="44" t="str">
        <f t="shared" si="3045"/>
        <v/>
      </c>
    </row>
    <row r="191" ht="15" spans="1:175">
      <c r="A191" s="78"/>
      <c r="B191" s="5" t="s">
        <v>639</v>
      </c>
      <c r="C191" s="78" t="s">
        <v>640</v>
      </c>
      <c r="R191" s="38">
        <v>-8110</v>
      </c>
      <c r="S191" s="38">
        <v>1810</v>
      </c>
      <c r="T191" s="78" t="s">
        <v>641</v>
      </c>
      <c r="U191" s="60" t="str">
        <f t="shared" si="2897"/>
        <v>ReplaceableTextures\\CommandButtons\\BTNIT05.blp</v>
      </c>
      <c r="CN191" s="13" t="str">
        <f t="shared" si="2898"/>
        <v>InitUnitState('IT05',,,,,,,,,,)</v>
      </c>
      <c r="CO191" s="13" t="str">
        <f t="shared" si="2899"/>
        <v>InitUnitNormal('IT05',,,,,,,,,,)</v>
      </c>
      <c r="CP191" s="13" t="str">
        <f t="shared" si="2900"/>
        <v>InitUnitMagic('IT05',,,,,,,,,,)</v>
      </c>
      <c r="CQ191" s="13" t="str">
        <f t="shared" si="2901"/>
        <v>InitUnitAdd('IT05',,,,,,,,,,)</v>
      </c>
      <c r="CR191" s="13" t="str">
        <f t="shared" si="2902"/>
        <v>InitEquipData('IT05',,"",,,,,'','','','','','',"ReplaceableTextures\\CommandButtons\\BTNIT06.blp")</v>
      </c>
      <c r="CU191" s="72" t="str">
        <f t="shared" si="2975"/>
        <v>|n</v>
      </c>
      <c r="CV191" s="6" t="str">
        <f t="shared" si="3046"/>
        <v>渡过该劫后可结成|Cff00bfff玄级道果|r。|n|n|Cff00bfff玄级道果：|r|n攻击+3000|n法强+3000|n生命值+6000|n|Cffffd24d元神力+7|r|n|n|Cff00ff7f战力推荐：|r|n</v>
      </c>
      <c r="CW191" s="7"/>
      <c r="CX191" s="7"/>
      <c r="CY191" s="7"/>
      <c r="CZ191" s="7"/>
      <c r="DA191" s="7"/>
      <c r="DB191" s="44" t="str">
        <f t="shared" si="2976"/>
        <v/>
      </c>
      <c r="DC191" s="44" t="str">
        <f t="shared" si="2977"/>
        <v/>
      </c>
      <c r="DD191" s="44" t="str">
        <f t="shared" si="2978"/>
        <v/>
      </c>
      <c r="DE191" s="44" t="str">
        <f t="shared" si="2979"/>
        <v/>
      </c>
      <c r="DF191" s="44" t="str">
        <f t="shared" si="2980"/>
        <v/>
      </c>
      <c r="DG191" s="44" t="str">
        <f t="shared" si="2981"/>
        <v/>
      </c>
      <c r="DH191" s="44" t="str">
        <f t="shared" si="2982"/>
        <v/>
      </c>
      <c r="DI191" s="44" t="str">
        <f t="shared" si="2983"/>
        <v/>
      </c>
      <c r="DJ191" s="44" t="str">
        <f t="shared" si="2984"/>
        <v/>
      </c>
      <c r="DK191" s="44" t="str">
        <f t="shared" si="2985"/>
        <v/>
      </c>
      <c r="DL191" s="44" t="str">
        <f t="shared" si="2986"/>
        <v/>
      </c>
      <c r="DM191" s="44" t="str">
        <f t="shared" si="2987"/>
        <v/>
      </c>
      <c r="DN191" s="44" t="str">
        <f t="shared" si="2988"/>
        <v/>
      </c>
      <c r="DO191" s="44" t="str">
        <f t="shared" si="2989"/>
        <v/>
      </c>
      <c r="DP191" s="44" t="str">
        <f t="shared" si="2990"/>
        <v/>
      </c>
      <c r="DQ191" s="44" t="str">
        <f t="shared" si="2991"/>
        <v/>
      </c>
      <c r="DR191" s="44" t="str">
        <f t="shared" si="2992"/>
        <v/>
      </c>
      <c r="DS191" s="44" t="str">
        <f t="shared" si="2993"/>
        <v/>
      </c>
      <c r="DT191" s="44" t="str">
        <f t="shared" si="2994"/>
        <v/>
      </c>
      <c r="DU191" s="44" t="str">
        <f t="shared" si="2995"/>
        <v/>
      </c>
      <c r="DV191" s="44" t="str">
        <f t="shared" si="2996"/>
        <v/>
      </c>
      <c r="DW191" s="44" t="str">
        <f t="shared" si="2997"/>
        <v/>
      </c>
      <c r="DX191" s="44" t="str">
        <f t="shared" si="2998"/>
        <v/>
      </c>
      <c r="DY191" s="44" t="str">
        <f t="shared" si="2999"/>
        <v/>
      </c>
      <c r="DZ191" s="44" t="str">
        <f t="shared" si="3000"/>
        <v/>
      </c>
      <c r="EA191" s="44" t="str">
        <f t="shared" si="3001"/>
        <v/>
      </c>
      <c r="EB191" s="44" t="str">
        <f t="shared" si="3002"/>
        <v/>
      </c>
      <c r="EC191" s="44" t="str">
        <f t="shared" si="3003"/>
        <v/>
      </c>
      <c r="ED191" s="44" t="str">
        <f t="shared" si="3004"/>
        <v/>
      </c>
      <c r="EE191" s="44" t="str">
        <f t="shared" si="3005"/>
        <v/>
      </c>
      <c r="EF191" s="44" t="str">
        <f t="shared" si="3006"/>
        <v/>
      </c>
      <c r="EG191" s="44" t="str">
        <f t="shared" si="3007"/>
        <v/>
      </c>
      <c r="EH191" s="44" t="str">
        <f t="shared" si="3008"/>
        <v/>
      </c>
      <c r="EI191" s="44" t="str">
        <f t="shared" si="3009"/>
        <v/>
      </c>
      <c r="EJ191" s="44" t="str">
        <f t="shared" si="3010"/>
        <v/>
      </c>
      <c r="EK191" s="44" t="str">
        <f t="shared" si="3011"/>
        <v/>
      </c>
      <c r="EL191" s="44" t="str">
        <f t="shared" si="3012"/>
        <v/>
      </c>
      <c r="EM191" s="44" t="str">
        <f t="shared" si="3013"/>
        <v/>
      </c>
      <c r="EN191" s="44" t="str">
        <f t="shared" si="3014"/>
        <v/>
      </c>
      <c r="EO191" s="44" t="str">
        <f t="shared" si="3015"/>
        <v/>
      </c>
      <c r="EP191" s="44" t="str">
        <f t="shared" si="3016"/>
        <v/>
      </c>
      <c r="EQ191" s="44" t="str">
        <f t="shared" si="3017"/>
        <v/>
      </c>
      <c r="ER191" s="44" t="str">
        <f t="shared" si="3018"/>
        <v/>
      </c>
      <c r="ES191" s="44" t="str">
        <f t="shared" si="3019"/>
        <v/>
      </c>
      <c r="ET191" s="44" t="str">
        <f t="shared" si="3020"/>
        <v/>
      </c>
      <c r="EU191" s="44" t="str">
        <f t="shared" si="3021"/>
        <v/>
      </c>
      <c r="EV191" s="44" t="str">
        <f t="shared" si="3022"/>
        <v/>
      </c>
      <c r="EW191" s="44" t="str">
        <f t="shared" si="3023"/>
        <v/>
      </c>
      <c r="EX191" s="44" t="str">
        <f t="shared" si="3024"/>
        <v/>
      </c>
      <c r="EY191" s="44" t="str">
        <f t="shared" si="3025"/>
        <v/>
      </c>
      <c r="EZ191" s="44" t="str">
        <f t="shared" si="3026"/>
        <v/>
      </c>
      <c r="FA191" s="44" t="str">
        <f t="shared" si="3027"/>
        <v/>
      </c>
      <c r="FB191" s="44" t="str">
        <f t="shared" si="3028"/>
        <v/>
      </c>
      <c r="FC191" s="44" t="str">
        <f t="shared" si="3029"/>
        <v/>
      </c>
      <c r="FD191" s="44" t="str">
        <f t="shared" si="3030"/>
        <v/>
      </c>
      <c r="FE191" s="44" t="str">
        <f t="shared" si="3031"/>
        <v/>
      </c>
      <c r="FF191" s="44" t="str">
        <f t="shared" si="3032"/>
        <v/>
      </c>
      <c r="FG191" s="44" t="str">
        <f t="shared" si="3033"/>
        <v/>
      </c>
      <c r="FH191" s="44" t="str">
        <f t="shared" si="3034"/>
        <v/>
      </c>
      <c r="FI191" s="44" t="str">
        <f t="shared" si="3035"/>
        <v/>
      </c>
      <c r="FJ191" s="44" t="str">
        <f t="shared" si="3036"/>
        <v/>
      </c>
      <c r="FK191" s="44" t="str">
        <f t="shared" si="3037"/>
        <v/>
      </c>
      <c r="FL191" s="44" t="str">
        <f t="shared" si="3038"/>
        <v/>
      </c>
      <c r="FM191" s="44" t="str">
        <f t="shared" si="3039"/>
        <v/>
      </c>
      <c r="FN191" s="44" t="str">
        <f t="shared" si="3040"/>
        <v/>
      </c>
      <c r="FO191" s="44" t="str">
        <f t="shared" si="3041"/>
        <v/>
      </c>
      <c r="FP191" s="44" t="str">
        <f t="shared" si="3042"/>
        <v/>
      </c>
      <c r="FQ191" s="44" t="str">
        <f t="shared" si="3043"/>
        <v/>
      </c>
      <c r="FR191" s="44" t="str">
        <f t="shared" si="3044"/>
        <v/>
      </c>
      <c r="FS191" s="44" t="str">
        <f t="shared" si="3045"/>
        <v/>
      </c>
    </row>
    <row r="192" ht="15" spans="1:175">
      <c r="A192" s="78"/>
      <c r="B192" s="5" t="s">
        <v>642</v>
      </c>
      <c r="C192" s="78" t="s">
        <v>643</v>
      </c>
      <c r="R192" s="38">
        <v>-7896</v>
      </c>
      <c r="S192" s="38">
        <v>3839</v>
      </c>
      <c r="T192" s="78" t="s">
        <v>644</v>
      </c>
      <c r="U192" s="60" t="str">
        <f t="shared" si="2897"/>
        <v>ReplaceableTextures\\CommandButtons\\BTNIT06.blp</v>
      </c>
      <c r="CN192" s="13" t="str">
        <f t="shared" si="2898"/>
        <v>InitUnitState('IT06',,,,,,,,,,)</v>
      </c>
      <c r="CO192" s="13" t="str">
        <f t="shared" si="2899"/>
        <v>InitUnitNormal('IT06',,,,,,,,,,)</v>
      </c>
      <c r="CP192" s="13" t="str">
        <f t="shared" si="2900"/>
        <v>InitUnitMagic('IT06',,,,,,,,,,)</v>
      </c>
      <c r="CQ192" s="13" t="str">
        <f t="shared" si="2901"/>
        <v>InitUnitAdd('IT06',,,,,,,,,,)</v>
      </c>
      <c r="CR192" s="13" t="str">
        <f t="shared" si="2902"/>
        <v>InitEquipData('IT06',,"",,,,,'','','','','','',"ReplaceableTextures\\CommandButtons\\BTNIT07.blp")</v>
      </c>
      <c r="CU192" s="72" t="str">
        <f t="shared" si="2975"/>
        <v>|n</v>
      </c>
      <c r="CV192" s="6" t="str">
        <f t="shared" si="3046"/>
        <v>渡过该劫后可结成|Cff00bfff地级道果|r。|n|n|Cff00bfff地级道果：|r|n攻击+4000|n法强+4000|n生命值+8000|n|Cffffd24d元神力+9|r|n|n|n|Cff00ff7f战力推荐：|r|n</v>
      </c>
      <c r="CW192" s="7"/>
      <c r="CX192" s="7"/>
      <c r="CY192" s="7"/>
      <c r="CZ192" s="7"/>
      <c r="DA192" s="7"/>
      <c r="DB192" s="44" t="str">
        <f t="shared" si="2976"/>
        <v/>
      </c>
      <c r="DC192" s="44" t="str">
        <f t="shared" si="2977"/>
        <v/>
      </c>
      <c r="DD192" s="44" t="str">
        <f t="shared" si="2978"/>
        <v/>
      </c>
      <c r="DE192" s="44" t="str">
        <f t="shared" si="2979"/>
        <v/>
      </c>
      <c r="DF192" s="44" t="str">
        <f t="shared" si="2980"/>
        <v/>
      </c>
      <c r="DG192" s="44" t="str">
        <f t="shared" si="2981"/>
        <v/>
      </c>
      <c r="DH192" s="44" t="str">
        <f t="shared" si="2982"/>
        <v/>
      </c>
      <c r="DI192" s="44" t="str">
        <f t="shared" si="2983"/>
        <v/>
      </c>
      <c r="DJ192" s="44" t="str">
        <f t="shared" si="2984"/>
        <v/>
      </c>
      <c r="DK192" s="44" t="str">
        <f t="shared" si="2985"/>
        <v/>
      </c>
      <c r="DL192" s="44" t="str">
        <f t="shared" si="2986"/>
        <v/>
      </c>
      <c r="DM192" s="44" t="str">
        <f t="shared" si="2987"/>
        <v/>
      </c>
      <c r="DN192" s="44" t="str">
        <f t="shared" si="2988"/>
        <v/>
      </c>
      <c r="DO192" s="44" t="str">
        <f t="shared" si="2989"/>
        <v/>
      </c>
      <c r="DP192" s="44" t="str">
        <f t="shared" si="2990"/>
        <v/>
      </c>
      <c r="DQ192" s="44" t="str">
        <f t="shared" si="2991"/>
        <v/>
      </c>
      <c r="DR192" s="44" t="str">
        <f t="shared" si="2992"/>
        <v/>
      </c>
      <c r="DS192" s="44" t="str">
        <f t="shared" si="2993"/>
        <v/>
      </c>
      <c r="DT192" s="44" t="str">
        <f t="shared" si="2994"/>
        <v/>
      </c>
      <c r="DU192" s="44" t="str">
        <f t="shared" si="2995"/>
        <v/>
      </c>
      <c r="DV192" s="44" t="str">
        <f t="shared" si="2996"/>
        <v/>
      </c>
      <c r="DW192" s="44" t="str">
        <f t="shared" si="2997"/>
        <v/>
      </c>
      <c r="DX192" s="44" t="str">
        <f t="shared" si="2998"/>
        <v/>
      </c>
      <c r="DY192" s="44" t="str">
        <f t="shared" si="2999"/>
        <v/>
      </c>
      <c r="DZ192" s="44" t="str">
        <f t="shared" si="3000"/>
        <v/>
      </c>
      <c r="EA192" s="44" t="str">
        <f t="shared" si="3001"/>
        <v/>
      </c>
      <c r="EB192" s="44" t="str">
        <f t="shared" si="3002"/>
        <v/>
      </c>
      <c r="EC192" s="44" t="str">
        <f t="shared" si="3003"/>
        <v/>
      </c>
      <c r="ED192" s="44" t="str">
        <f t="shared" si="3004"/>
        <v/>
      </c>
      <c r="EE192" s="44" t="str">
        <f t="shared" si="3005"/>
        <v/>
      </c>
      <c r="EF192" s="44" t="str">
        <f t="shared" si="3006"/>
        <v/>
      </c>
      <c r="EG192" s="44" t="str">
        <f t="shared" si="3007"/>
        <v/>
      </c>
      <c r="EH192" s="44" t="str">
        <f t="shared" si="3008"/>
        <v/>
      </c>
      <c r="EI192" s="44" t="str">
        <f t="shared" si="3009"/>
        <v/>
      </c>
      <c r="EJ192" s="44" t="str">
        <f t="shared" si="3010"/>
        <v/>
      </c>
      <c r="EK192" s="44" t="str">
        <f t="shared" si="3011"/>
        <v/>
      </c>
      <c r="EL192" s="44" t="str">
        <f t="shared" si="3012"/>
        <v/>
      </c>
      <c r="EM192" s="44" t="str">
        <f t="shared" si="3013"/>
        <v/>
      </c>
      <c r="EN192" s="44" t="str">
        <f t="shared" si="3014"/>
        <v/>
      </c>
      <c r="EO192" s="44" t="str">
        <f t="shared" si="3015"/>
        <v/>
      </c>
      <c r="EP192" s="44" t="str">
        <f t="shared" si="3016"/>
        <v/>
      </c>
      <c r="EQ192" s="44" t="str">
        <f t="shared" si="3017"/>
        <v/>
      </c>
      <c r="ER192" s="44" t="str">
        <f t="shared" si="3018"/>
        <v/>
      </c>
      <c r="ES192" s="44" t="str">
        <f t="shared" si="3019"/>
        <v/>
      </c>
      <c r="ET192" s="44" t="str">
        <f t="shared" si="3020"/>
        <v/>
      </c>
      <c r="EU192" s="44" t="str">
        <f t="shared" si="3021"/>
        <v/>
      </c>
      <c r="EV192" s="44" t="str">
        <f t="shared" si="3022"/>
        <v/>
      </c>
      <c r="EW192" s="44" t="str">
        <f t="shared" si="3023"/>
        <v/>
      </c>
      <c r="EX192" s="44" t="str">
        <f t="shared" si="3024"/>
        <v/>
      </c>
      <c r="EY192" s="44" t="str">
        <f t="shared" si="3025"/>
        <v/>
      </c>
      <c r="EZ192" s="44" t="str">
        <f t="shared" si="3026"/>
        <v/>
      </c>
      <c r="FA192" s="44" t="str">
        <f t="shared" si="3027"/>
        <v/>
      </c>
      <c r="FB192" s="44" t="str">
        <f t="shared" si="3028"/>
        <v/>
      </c>
      <c r="FC192" s="44" t="str">
        <f t="shared" si="3029"/>
        <v/>
      </c>
      <c r="FD192" s="44" t="str">
        <f t="shared" si="3030"/>
        <v/>
      </c>
      <c r="FE192" s="44" t="str">
        <f t="shared" si="3031"/>
        <v/>
      </c>
      <c r="FF192" s="44" t="str">
        <f t="shared" si="3032"/>
        <v/>
      </c>
      <c r="FG192" s="44" t="str">
        <f t="shared" si="3033"/>
        <v/>
      </c>
      <c r="FH192" s="44" t="str">
        <f t="shared" si="3034"/>
        <v/>
      </c>
      <c r="FI192" s="44" t="str">
        <f t="shared" si="3035"/>
        <v/>
      </c>
      <c r="FJ192" s="44" t="str">
        <f t="shared" si="3036"/>
        <v/>
      </c>
      <c r="FK192" s="44" t="str">
        <f t="shared" si="3037"/>
        <v/>
      </c>
      <c r="FL192" s="44" t="str">
        <f t="shared" si="3038"/>
        <v/>
      </c>
      <c r="FM192" s="44" t="str">
        <f t="shared" si="3039"/>
        <v/>
      </c>
      <c r="FN192" s="44" t="str">
        <f t="shared" si="3040"/>
        <v/>
      </c>
      <c r="FO192" s="44" t="str">
        <f t="shared" si="3041"/>
        <v/>
      </c>
      <c r="FP192" s="44" t="str">
        <f t="shared" si="3042"/>
        <v/>
      </c>
      <c r="FQ192" s="44" t="str">
        <f t="shared" si="3043"/>
        <v/>
      </c>
      <c r="FR192" s="44" t="str">
        <f t="shared" si="3044"/>
        <v/>
      </c>
      <c r="FS192" s="44" t="str">
        <f t="shared" si="3045"/>
        <v/>
      </c>
    </row>
    <row r="193" ht="15" spans="1:175">
      <c r="A193" s="78"/>
      <c r="B193" s="5" t="s">
        <v>645</v>
      </c>
      <c r="C193" s="78" t="s">
        <v>646</v>
      </c>
      <c r="R193" s="38">
        <v>-7896</v>
      </c>
      <c r="S193" s="38">
        <v>5906</v>
      </c>
      <c r="T193" s="78" t="s">
        <v>647</v>
      </c>
      <c r="U193" s="60" t="str">
        <f t="shared" si="2897"/>
        <v>ReplaceableTextures\\CommandButtons\\BTNIT07.blp</v>
      </c>
      <c r="CN193" s="13" t="str">
        <f t="shared" si="2898"/>
        <v>InitUnitState('IT07',,,,,,,,,,)</v>
      </c>
      <c r="CO193" s="13" t="str">
        <f t="shared" si="2899"/>
        <v>InitUnitNormal('IT07',,,,,,,,,,)</v>
      </c>
      <c r="CP193" s="13" t="str">
        <f t="shared" si="2900"/>
        <v>InitUnitMagic('IT07',,,,,,,,,,)</v>
      </c>
      <c r="CQ193" s="13" t="str">
        <f t="shared" si="2901"/>
        <v>InitUnitAdd('IT07',,,,,,,,,,)</v>
      </c>
      <c r="CR193" s="13" t="str">
        <f t="shared" si="2902"/>
        <v>InitEquipData('IT07',,"",,,,,'','','','','','',"ReplaceableTextures\\CommandButtons\\BTNIT08.blp")</v>
      </c>
      <c r="CU193" s="72" t="str">
        <f t="shared" si="2975"/>
        <v>|n</v>
      </c>
      <c r="CV193" s="6" t="str">
        <f t="shared" si="3046"/>
        <v>渡过该劫后可结成|Cffffc926天级道果|r。|n|n|Cffffc926天级道果：|r|n攻击+5000|n法强+5000|n生命值+10000|n|Cffffd24d元神力+11|r|n|n|Cff00ff7f战力推荐：|r|n</v>
      </c>
      <c r="CW193" s="7"/>
      <c r="CX193" s="7"/>
      <c r="CY193" s="7"/>
      <c r="CZ193" s="7"/>
      <c r="DA193" s="7"/>
      <c r="DB193" s="44" t="str">
        <f t="shared" si="2976"/>
        <v/>
      </c>
      <c r="DC193" s="44" t="str">
        <f t="shared" si="2977"/>
        <v/>
      </c>
      <c r="DD193" s="44" t="str">
        <f t="shared" si="2978"/>
        <v/>
      </c>
      <c r="DE193" s="44" t="str">
        <f t="shared" si="2979"/>
        <v/>
      </c>
      <c r="DF193" s="44" t="str">
        <f t="shared" si="2980"/>
        <v/>
      </c>
      <c r="DG193" s="44" t="str">
        <f t="shared" si="2981"/>
        <v/>
      </c>
      <c r="DH193" s="44" t="str">
        <f t="shared" si="2982"/>
        <v/>
      </c>
      <c r="DI193" s="44" t="str">
        <f t="shared" si="2983"/>
        <v/>
      </c>
      <c r="DJ193" s="44" t="str">
        <f t="shared" si="2984"/>
        <v/>
      </c>
      <c r="DK193" s="44" t="str">
        <f t="shared" si="2985"/>
        <v/>
      </c>
      <c r="DL193" s="44" t="str">
        <f t="shared" si="2986"/>
        <v/>
      </c>
      <c r="DM193" s="44" t="str">
        <f t="shared" si="2987"/>
        <v/>
      </c>
      <c r="DN193" s="44" t="str">
        <f t="shared" si="2988"/>
        <v/>
      </c>
      <c r="DO193" s="44" t="str">
        <f t="shared" si="2989"/>
        <v/>
      </c>
      <c r="DP193" s="44" t="str">
        <f t="shared" si="2990"/>
        <v/>
      </c>
      <c r="DQ193" s="44" t="str">
        <f t="shared" si="2991"/>
        <v/>
      </c>
      <c r="DR193" s="44" t="str">
        <f t="shared" si="2992"/>
        <v/>
      </c>
      <c r="DS193" s="44" t="str">
        <f t="shared" si="2993"/>
        <v/>
      </c>
      <c r="DT193" s="44" t="str">
        <f t="shared" si="2994"/>
        <v/>
      </c>
      <c r="DU193" s="44" t="str">
        <f t="shared" si="2995"/>
        <v/>
      </c>
      <c r="DV193" s="44" t="str">
        <f t="shared" si="2996"/>
        <v/>
      </c>
      <c r="DW193" s="44" t="str">
        <f t="shared" si="2997"/>
        <v/>
      </c>
      <c r="DX193" s="44" t="str">
        <f t="shared" si="2998"/>
        <v/>
      </c>
      <c r="DY193" s="44" t="str">
        <f t="shared" si="2999"/>
        <v/>
      </c>
      <c r="DZ193" s="44" t="str">
        <f t="shared" si="3000"/>
        <v/>
      </c>
      <c r="EA193" s="44" t="str">
        <f t="shared" si="3001"/>
        <v/>
      </c>
      <c r="EB193" s="44" t="str">
        <f t="shared" si="3002"/>
        <v/>
      </c>
      <c r="EC193" s="44" t="str">
        <f t="shared" si="3003"/>
        <v/>
      </c>
      <c r="ED193" s="44" t="str">
        <f t="shared" si="3004"/>
        <v/>
      </c>
      <c r="EE193" s="44" t="str">
        <f t="shared" si="3005"/>
        <v/>
      </c>
      <c r="EF193" s="44" t="str">
        <f t="shared" si="3006"/>
        <v/>
      </c>
      <c r="EG193" s="44" t="str">
        <f t="shared" si="3007"/>
        <v/>
      </c>
      <c r="EH193" s="44" t="str">
        <f t="shared" si="3008"/>
        <v/>
      </c>
      <c r="EI193" s="44" t="str">
        <f t="shared" si="3009"/>
        <v/>
      </c>
      <c r="EJ193" s="44" t="str">
        <f t="shared" si="3010"/>
        <v/>
      </c>
      <c r="EK193" s="44" t="str">
        <f t="shared" si="3011"/>
        <v/>
      </c>
      <c r="EL193" s="44" t="str">
        <f t="shared" si="3012"/>
        <v/>
      </c>
      <c r="EM193" s="44" t="str">
        <f t="shared" si="3013"/>
        <v/>
      </c>
      <c r="EN193" s="44" t="str">
        <f t="shared" si="3014"/>
        <v/>
      </c>
      <c r="EO193" s="44" t="str">
        <f t="shared" si="3015"/>
        <v/>
      </c>
      <c r="EP193" s="44" t="str">
        <f t="shared" si="3016"/>
        <v/>
      </c>
      <c r="EQ193" s="44" t="str">
        <f t="shared" si="3017"/>
        <v/>
      </c>
      <c r="ER193" s="44" t="str">
        <f t="shared" si="3018"/>
        <v/>
      </c>
      <c r="ES193" s="44" t="str">
        <f t="shared" si="3019"/>
        <v/>
      </c>
      <c r="ET193" s="44" t="str">
        <f t="shared" si="3020"/>
        <v/>
      </c>
      <c r="EU193" s="44" t="str">
        <f t="shared" si="3021"/>
        <v/>
      </c>
      <c r="EV193" s="44" t="str">
        <f t="shared" si="3022"/>
        <v/>
      </c>
      <c r="EW193" s="44" t="str">
        <f t="shared" si="3023"/>
        <v/>
      </c>
      <c r="EX193" s="44" t="str">
        <f t="shared" si="3024"/>
        <v/>
      </c>
      <c r="EY193" s="44" t="str">
        <f t="shared" si="3025"/>
        <v/>
      </c>
      <c r="EZ193" s="44" t="str">
        <f t="shared" si="3026"/>
        <v/>
      </c>
      <c r="FA193" s="44" t="str">
        <f t="shared" si="3027"/>
        <v/>
      </c>
      <c r="FB193" s="44" t="str">
        <f t="shared" si="3028"/>
        <v/>
      </c>
      <c r="FC193" s="44" t="str">
        <f t="shared" si="3029"/>
        <v/>
      </c>
      <c r="FD193" s="44" t="str">
        <f t="shared" si="3030"/>
        <v/>
      </c>
      <c r="FE193" s="44" t="str">
        <f t="shared" si="3031"/>
        <v/>
      </c>
      <c r="FF193" s="44" t="str">
        <f t="shared" si="3032"/>
        <v/>
      </c>
      <c r="FG193" s="44" t="str">
        <f t="shared" si="3033"/>
        <v/>
      </c>
      <c r="FH193" s="44" t="str">
        <f t="shared" si="3034"/>
        <v/>
      </c>
      <c r="FI193" s="44" t="str">
        <f t="shared" si="3035"/>
        <v/>
      </c>
      <c r="FJ193" s="44" t="str">
        <f t="shared" si="3036"/>
        <v/>
      </c>
      <c r="FK193" s="44" t="str">
        <f t="shared" si="3037"/>
        <v/>
      </c>
      <c r="FL193" s="44" t="str">
        <f t="shared" si="3038"/>
        <v/>
      </c>
      <c r="FM193" s="44" t="str">
        <f t="shared" si="3039"/>
        <v/>
      </c>
      <c r="FN193" s="44" t="str">
        <f t="shared" si="3040"/>
        <v/>
      </c>
      <c r="FO193" s="44" t="str">
        <f t="shared" si="3041"/>
        <v/>
      </c>
      <c r="FP193" s="44" t="str">
        <f t="shared" si="3042"/>
        <v/>
      </c>
      <c r="FQ193" s="44" t="str">
        <f t="shared" si="3043"/>
        <v/>
      </c>
      <c r="FR193" s="44" t="str">
        <f t="shared" si="3044"/>
        <v/>
      </c>
      <c r="FS193" s="44" t="str">
        <f t="shared" si="3045"/>
        <v/>
      </c>
    </row>
    <row r="194" ht="15" spans="1:175">
      <c r="A194" s="78" t="s">
        <v>648</v>
      </c>
      <c r="B194" s="5" t="s">
        <v>649</v>
      </c>
      <c r="C194" s="78" t="s">
        <v>650</v>
      </c>
      <c r="R194" s="38">
        <v>-7970</v>
      </c>
      <c r="S194" s="38">
        <v>7965</v>
      </c>
      <c r="T194" s="78" t="s">
        <v>651</v>
      </c>
      <c r="U194" s="60" t="str">
        <f t="shared" si="2897"/>
        <v>ReplaceableTextures\\CommandButtons\\BTNIT08.blp</v>
      </c>
      <c r="CN194" s="13" t="str">
        <f t="shared" si="2898"/>
        <v>InitUnitState('IT08',,,,,,,,,,)</v>
      </c>
      <c r="CO194" s="13" t="str">
        <f t="shared" si="2899"/>
        <v>InitUnitNormal('IT08',,,,,,,,,,)</v>
      </c>
      <c r="CP194" s="13" t="str">
        <f t="shared" si="2900"/>
        <v>InitUnitMagic('IT08',,,,,,,,,,)</v>
      </c>
      <c r="CQ194" s="13" t="str">
        <f t="shared" si="2901"/>
        <v>InitUnitAdd('IT08',,,,,,,,,,)</v>
      </c>
      <c r="CR194" s="13" t="str">
        <f t="shared" si="2902"/>
        <v>InitEquipData('IT08',,".",,,,,'','','','','','',"ReplaceableTextures\\CommandButtons\\BTNIT09.blp")</v>
      </c>
      <c r="CU194" s="72" t="str">
        <f t="shared" si="2975"/>
        <v>|n</v>
      </c>
      <c r="CV194" s="6" t="str">
        <f t="shared" si="3046"/>
        <v>渡过该劫后可结成|Cffffc926仙品道果|r。|n|n|Cffffc926仙品道果：|r|n攻击+6500|n法强+6500|n生命值+13000|n|Cffffd24d元神力+13|r|n|n|Cff00ff7f战力推荐：|r</v>
      </c>
      <c r="CW194" s="7"/>
      <c r="CX194" s="7"/>
      <c r="CY194" s="7"/>
      <c r="CZ194" s="7"/>
      <c r="DA194" s="7"/>
      <c r="DB194" s="44" t="str">
        <f t="shared" si="2976"/>
        <v/>
      </c>
      <c r="DC194" s="44" t="str">
        <f t="shared" si="2977"/>
        <v/>
      </c>
      <c r="DD194" s="44" t="str">
        <f t="shared" si="2978"/>
        <v/>
      </c>
      <c r="DE194" s="44" t="str">
        <f t="shared" si="2979"/>
        <v/>
      </c>
      <c r="DF194" s="44" t="str">
        <f t="shared" si="2980"/>
        <v/>
      </c>
      <c r="DG194" s="44" t="str">
        <f t="shared" si="2981"/>
        <v/>
      </c>
      <c r="DH194" s="44" t="str">
        <f t="shared" si="2982"/>
        <v/>
      </c>
      <c r="DI194" s="44" t="str">
        <f t="shared" si="2983"/>
        <v/>
      </c>
      <c r="DJ194" s="44" t="str">
        <f t="shared" si="2984"/>
        <v/>
      </c>
      <c r="DK194" s="44" t="str">
        <f t="shared" si="2985"/>
        <v/>
      </c>
      <c r="DL194" s="44" t="str">
        <f t="shared" si="2986"/>
        <v/>
      </c>
      <c r="DM194" s="44" t="str">
        <f t="shared" si="2987"/>
        <v/>
      </c>
      <c r="DN194" s="44" t="str">
        <f t="shared" si="2988"/>
        <v/>
      </c>
      <c r="DO194" s="44" t="str">
        <f t="shared" si="2989"/>
        <v/>
      </c>
      <c r="DP194" s="44" t="str">
        <f t="shared" si="2990"/>
        <v/>
      </c>
      <c r="DQ194" s="44" t="str">
        <f t="shared" si="2991"/>
        <v/>
      </c>
      <c r="DR194" s="44" t="str">
        <f t="shared" si="2992"/>
        <v/>
      </c>
      <c r="DS194" s="44" t="str">
        <f t="shared" si="2993"/>
        <v/>
      </c>
      <c r="DT194" s="44" t="str">
        <f t="shared" si="2994"/>
        <v/>
      </c>
      <c r="DU194" s="44" t="str">
        <f t="shared" si="2995"/>
        <v/>
      </c>
      <c r="DV194" s="44" t="str">
        <f t="shared" si="2996"/>
        <v/>
      </c>
      <c r="DW194" s="44" t="str">
        <f t="shared" si="2997"/>
        <v/>
      </c>
      <c r="DX194" s="44" t="str">
        <f t="shared" si="2998"/>
        <v/>
      </c>
      <c r="DY194" s="44" t="str">
        <f t="shared" si="2999"/>
        <v/>
      </c>
      <c r="DZ194" s="44" t="str">
        <f t="shared" si="3000"/>
        <v/>
      </c>
      <c r="EA194" s="44" t="str">
        <f t="shared" si="3001"/>
        <v/>
      </c>
      <c r="EB194" s="44" t="str">
        <f t="shared" si="3002"/>
        <v/>
      </c>
      <c r="EC194" s="44" t="str">
        <f t="shared" si="3003"/>
        <v/>
      </c>
      <c r="ED194" s="44" t="str">
        <f t="shared" si="3004"/>
        <v/>
      </c>
      <c r="EE194" s="44" t="str">
        <f t="shared" si="3005"/>
        <v/>
      </c>
      <c r="EF194" s="44" t="str">
        <f t="shared" si="3006"/>
        <v/>
      </c>
      <c r="EG194" s="44" t="str">
        <f t="shared" si="3007"/>
        <v/>
      </c>
      <c r="EH194" s="44" t="str">
        <f t="shared" si="3008"/>
        <v/>
      </c>
      <c r="EI194" s="44" t="str">
        <f t="shared" si="3009"/>
        <v/>
      </c>
      <c r="EJ194" s="44" t="str">
        <f t="shared" si="3010"/>
        <v/>
      </c>
      <c r="EK194" s="44" t="str">
        <f t="shared" si="3011"/>
        <v/>
      </c>
      <c r="EL194" s="44" t="str">
        <f t="shared" si="3012"/>
        <v/>
      </c>
      <c r="EM194" s="44" t="str">
        <f t="shared" si="3013"/>
        <v/>
      </c>
      <c r="EN194" s="44" t="str">
        <f t="shared" si="3014"/>
        <v/>
      </c>
      <c r="EO194" s="44" t="str">
        <f t="shared" si="3015"/>
        <v/>
      </c>
      <c r="EP194" s="44" t="str">
        <f t="shared" si="3016"/>
        <v/>
      </c>
      <c r="EQ194" s="44" t="str">
        <f t="shared" si="3017"/>
        <v/>
      </c>
      <c r="ER194" s="44" t="str">
        <f t="shared" si="3018"/>
        <v/>
      </c>
      <c r="ES194" s="44" t="str">
        <f t="shared" si="3019"/>
        <v/>
      </c>
      <c r="ET194" s="44" t="str">
        <f t="shared" si="3020"/>
        <v/>
      </c>
      <c r="EU194" s="44" t="str">
        <f t="shared" si="3021"/>
        <v/>
      </c>
      <c r="EV194" s="44" t="str">
        <f t="shared" si="3022"/>
        <v/>
      </c>
      <c r="EW194" s="44" t="str">
        <f t="shared" si="3023"/>
        <v/>
      </c>
      <c r="EX194" s="44" t="str">
        <f t="shared" si="3024"/>
        <v/>
      </c>
      <c r="EY194" s="44" t="str">
        <f t="shared" si="3025"/>
        <v/>
      </c>
      <c r="EZ194" s="44" t="str">
        <f t="shared" si="3026"/>
        <v/>
      </c>
      <c r="FA194" s="44" t="str">
        <f t="shared" si="3027"/>
        <v/>
      </c>
      <c r="FB194" s="44" t="str">
        <f t="shared" si="3028"/>
        <v/>
      </c>
      <c r="FC194" s="44" t="str">
        <f t="shared" si="3029"/>
        <v/>
      </c>
      <c r="FD194" s="44" t="str">
        <f t="shared" si="3030"/>
        <v/>
      </c>
      <c r="FE194" s="44" t="str">
        <f t="shared" si="3031"/>
        <v/>
      </c>
      <c r="FF194" s="44" t="str">
        <f t="shared" si="3032"/>
        <v/>
      </c>
      <c r="FG194" s="44" t="str">
        <f t="shared" si="3033"/>
        <v/>
      </c>
      <c r="FH194" s="44" t="str">
        <f t="shared" si="3034"/>
        <v/>
      </c>
      <c r="FI194" s="44" t="str">
        <f t="shared" si="3035"/>
        <v/>
      </c>
      <c r="FJ194" s="44" t="str">
        <f t="shared" si="3036"/>
        <v/>
      </c>
      <c r="FK194" s="44" t="str">
        <f t="shared" si="3037"/>
        <v/>
      </c>
      <c r="FL194" s="44" t="str">
        <f t="shared" si="3038"/>
        <v/>
      </c>
      <c r="FM194" s="44" t="str">
        <f t="shared" si="3039"/>
        <v/>
      </c>
      <c r="FN194" s="44" t="str">
        <f t="shared" si="3040"/>
        <v/>
      </c>
      <c r="FO194" s="44" t="str">
        <f t="shared" si="3041"/>
        <v/>
      </c>
      <c r="FP194" s="44" t="str">
        <f t="shared" si="3042"/>
        <v/>
      </c>
      <c r="FQ194" s="44" t="str">
        <f t="shared" si="3043"/>
        <v/>
      </c>
      <c r="FR194" s="44" t="str">
        <f t="shared" si="3044"/>
        <v/>
      </c>
      <c r="FS194" s="44" t="str">
        <f t="shared" si="3045"/>
        <v/>
      </c>
    </row>
    <row r="195" ht="15" spans="1:175">
      <c r="A195" s="78"/>
      <c r="B195" s="5" t="s">
        <v>652</v>
      </c>
      <c r="C195" s="78" t="s">
        <v>653</v>
      </c>
      <c r="R195" s="38">
        <v>2100</v>
      </c>
      <c r="S195" s="38">
        <v>-5120</v>
      </c>
      <c r="T195" s="78" t="s">
        <v>654</v>
      </c>
      <c r="U195" s="60" t="str">
        <f t="shared" si="2897"/>
        <v>ReplaceableTextures\\CommandButtons\\BTNIT09.blp</v>
      </c>
      <c r="CN195" s="13" t="str">
        <f t="shared" si="2898"/>
        <v>InitUnitState('IT09',,,,,,,,,,)</v>
      </c>
      <c r="CO195" s="13" t="str">
        <f t="shared" si="2899"/>
        <v>InitUnitNormal('IT09',,,,,,,,,,)</v>
      </c>
      <c r="CP195" s="13" t="str">
        <f t="shared" si="2900"/>
        <v>InitUnitMagic('IT09',,,,,,,,,,)</v>
      </c>
      <c r="CQ195" s="13" t="str">
        <f t="shared" si="2901"/>
        <v>InitUnitAdd('IT09',,,,,,,,,,)</v>
      </c>
      <c r="CR195" s="13" t="str">
        <f t="shared" si="2902"/>
        <v>InitEquipData('IT09',,"",,,,,'','','','','','',"ReplaceableTextures\\CommandButtons\\BTNIT10.blp")</v>
      </c>
      <c r="CU195" s="72" t="str">
        <f t="shared" si="2975"/>
        <v>|n</v>
      </c>
      <c r="CV195" s="6" t="str">
        <f t="shared" si="3046"/>
        <v>渡过该劫后可结成|Cffff0000至圣道果|r。|n|n|Cffff0000至圣道果：|r|n攻击+8000|n法强+8000|n生命值+16000|n|Cffffd24d元神力+16|r|n|n|Cff00ff7f战力推荐：|r</v>
      </c>
      <c r="CW195" s="7"/>
      <c r="CX195" s="7"/>
      <c r="CY195" s="7"/>
      <c r="CZ195" s="7"/>
      <c r="DA195" s="7"/>
      <c r="DB195" s="44" t="str">
        <f t="shared" si="2976"/>
        <v/>
      </c>
      <c r="DC195" s="44" t="str">
        <f t="shared" si="2977"/>
        <v/>
      </c>
      <c r="DD195" s="44" t="str">
        <f t="shared" si="2978"/>
        <v/>
      </c>
      <c r="DE195" s="44" t="str">
        <f t="shared" si="2979"/>
        <v/>
      </c>
      <c r="DF195" s="44" t="str">
        <f t="shared" si="2980"/>
        <v/>
      </c>
      <c r="DG195" s="44" t="str">
        <f t="shared" si="2981"/>
        <v/>
      </c>
      <c r="DH195" s="44" t="str">
        <f t="shared" si="2982"/>
        <v/>
      </c>
      <c r="DI195" s="44" t="str">
        <f t="shared" si="2983"/>
        <v/>
      </c>
      <c r="DJ195" s="44" t="str">
        <f t="shared" si="2984"/>
        <v/>
      </c>
      <c r="DK195" s="44" t="str">
        <f t="shared" si="2985"/>
        <v/>
      </c>
      <c r="DL195" s="44" t="str">
        <f t="shared" si="2986"/>
        <v/>
      </c>
      <c r="DM195" s="44" t="str">
        <f t="shared" si="2987"/>
        <v/>
      </c>
      <c r="DN195" s="44" t="str">
        <f t="shared" si="2988"/>
        <v/>
      </c>
      <c r="DO195" s="44" t="str">
        <f t="shared" si="2989"/>
        <v/>
      </c>
      <c r="DP195" s="44" t="str">
        <f t="shared" si="2990"/>
        <v/>
      </c>
      <c r="DQ195" s="44" t="str">
        <f t="shared" si="2991"/>
        <v/>
      </c>
      <c r="DR195" s="44" t="str">
        <f t="shared" si="2992"/>
        <v/>
      </c>
      <c r="DS195" s="44" t="str">
        <f t="shared" si="2993"/>
        <v/>
      </c>
      <c r="DT195" s="44" t="str">
        <f t="shared" si="2994"/>
        <v/>
      </c>
      <c r="DU195" s="44" t="str">
        <f t="shared" si="2995"/>
        <v/>
      </c>
      <c r="DV195" s="44" t="str">
        <f t="shared" si="2996"/>
        <v/>
      </c>
      <c r="DW195" s="44" t="str">
        <f t="shared" si="2997"/>
        <v/>
      </c>
      <c r="DX195" s="44" t="str">
        <f t="shared" si="2998"/>
        <v/>
      </c>
      <c r="DY195" s="44" t="str">
        <f t="shared" si="2999"/>
        <v/>
      </c>
      <c r="DZ195" s="44" t="str">
        <f t="shared" si="3000"/>
        <v/>
      </c>
      <c r="EA195" s="44" t="str">
        <f t="shared" si="3001"/>
        <v/>
      </c>
      <c r="EB195" s="44" t="str">
        <f t="shared" si="3002"/>
        <v/>
      </c>
      <c r="EC195" s="44" t="str">
        <f t="shared" si="3003"/>
        <v/>
      </c>
      <c r="ED195" s="44" t="str">
        <f t="shared" si="3004"/>
        <v/>
      </c>
      <c r="EE195" s="44" t="str">
        <f t="shared" si="3005"/>
        <v/>
      </c>
      <c r="EF195" s="44" t="str">
        <f t="shared" si="3006"/>
        <v/>
      </c>
      <c r="EG195" s="44" t="str">
        <f t="shared" si="3007"/>
        <v/>
      </c>
      <c r="EH195" s="44" t="str">
        <f t="shared" si="3008"/>
        <v/>
      </c>
      <c r="EI195" s="44" t="str">
        <f t="shared" si="3009"/>
        <v/>
      </c>
      <c r="EJ195" s="44" t="str">
        <f t="shared" si="3010"/>
        <v/>
      </c>
      <c r="EK195" s="44" t="str">
        <f t="shared" si="3011"/>
        <v/>
      </c>
      <c r="EL195" s="44" t="str">
        <f t="shared" si="3012"/>
        <v/>
      </c>
      <c r="EM195" s="44" t="str">
        <f t="shared" si="3013"/>
        <v/>
      </c>
      <c r="EN195" s="44" t="str">
        <f t="shared" si="3014"/>
        <v/>
      </c>
      <c r="EO195" s="44" t="str">
        <f t="shared" si="3015"/>
        <v/>
      </c>
      <c r="EP195" s="44" t="str">
        <f t="shared" si="3016"/>
        <v/>
      </c>
      <c r="EQ195" s="44" t="str">
        <f t="shared" si="3017"/>
        <v/>
      </c>
      <c r="ER195" s="44" t="str">
        <f t="shared" si="3018"/>
        <v/>
      </c>
      <c r="ES195" s="44" t="str">
        <f t="shared" si="3019"/>
        <v/>
      </c>
      <c r="ET195" s="44" t="str">
        <f t="shared" si="3020"/>
        <v/>
      </c>
      <c r="EU195" s="44" t="str">
        <f t="shared" si="3021"/>
        <v/>
      </c>
      <c r="EV195" s="44" t="str">
        <f t="shared" si="3022"/>
        <v/>
      </c>
      <c r="EW195" s="44" t="str">
        <f t="shared" si="3023"/>
        <v/>
      </c>
      <c r="EX195" s="44" t="str">
        <f t="shared" si="3024"/>
        <v/>
      </c>
      <c r="EY195" s="44" t="str">
        <f t="shared" si="3025"/>
        <v/>
      </c>
      <c r="EZ195" s="44" t="str">
        <f t="shared" si="3026"/>
        <v/>
      </c>
      <c r="FA195" s="44" t="str">
        <f t="shared" si="3027"/>
        <v/>
      </c>
      <c r="FB195" s="44" t="str">
        <f t="shared" si="3028"/>
        <v/>
      </c>
      <c r="FC195" s="44" t="str">
        <f t="shared" si="3029"/>
        <v/>
      </c>
      <c r="FD195" s="44" t="str">
        <f t="shared" si="3030"/>
        <v/>
      </c>
      <c r="FE195" s="44" t="str">
        <f t="shared" si="3031"/>
        <v/>
      </c>
      <c r="FF195" s="44" t="str">
        <f t="shared" si="3032"/>
        <v/>
      </c>
      <c r="FG195" s="44" t="str">
        <f t="shared" si="3033"/>
        <v/>
      </c>
      <c r="FH195" s="44" t="str">
        <f t="shared" si="3034"/>
        <v/>
      </c>
      <c r="FI195" s="44" t="str">
        <f t="shared" si="3035"/>
        <v/>
      </c>
      <c r="FJ195" s="44" t="str">
        <f t="shared" si="3036"/>
        <v/>
      </c>
      <c r="FK195" s="44" t="str">
        <f t="shared" si="3037"/>
        <v/>
      </c>
      <c r="FL195" s="44" t="str">
        <f t="shared" si="3038"/>
        <v/>
      </c>
      <c r="FM195" s="44" t="str">
        <f t="shared" si="3039"/>
        <v/>
      </c>
      <c r="FN195" s="44" t="str">
        <f t="shared" si="3040"/>
        <v/>
      </c>
      <c r="FO195" s="44" t="str">
        <f t="shared" si="3041"/>
        <v/>
      </c>
      <c r="FP195" s="44" t="str">
        <f t="shared" si="3042"/>
        <v/>
      </c>
      <c r="FQ195" s="44" t="str">
        <f t="shared" si="3043"/>
        <v/>
      </c>
      <c r="FR195" s="44" t="str">
        <f t="shared" si="3044"/>
        <v/>
      </c>
      <c r="FS195" s="44" t="str">
        <f t="shared" si="3045"/>
        <v/>
      </c>
    </row>
    <row r="196" ht="15" spans="1:175">
      <c r="A196" s="78"/>
      <c r="B196" s="5" t="s">
        <v>655</v>
      </c>
      <c r="C196" s="78" t="s">
        <v>656</v>
      </c>
      <c r="R196" s="38">
        <v>2268</v>
      </c>
      <c r="S196" s="38">
        <v>-8065</v>
      </c>
      <c r="T196" s="78" t="s">
        <v>657</v>
      </c>
      <c r="U196" s="60" t="str">
        <f t="shared" si="2897"/>
        <v>ReplaceableTextures\\CommandButtons\\BTNIT10.blp</v>
      </c>
      <c r="CN196" s="13" t="str">
        <f t="shared" si="2898"/>
        <v>InitUnitState('IT10',,,,,,,,,,)</v>
      </c>
      <c r="CO196" s="13" t="str">
        <f t="shared" si="2899"/>
        <v>InitUnitNormal('IT10',,,,,,,,,,)</v>
      </c>
      <c r="CP196" s="13" t="str">
        <f t="shared" si="2900"/>
        <v>InitUnitMagic('IT10',,,,,,,,,,)</v>
      </c>
      <c r="CQ196" s="13" t="str">
        <f t="shared" si="2901"/>
        <v>InitUnitAdd('IT10',,,,,,,,,,)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204&amp;CR$1&amp;")"</f>
        <v>InitEquipData('IT10',,"",,,,,'','','','','','',"ReplaceableTextures\\CommandButtons\\BTN002.blp")</v>
      </c>
      <c r="CU196" s="72" t="str">
        <f t="shared" si="2975"/>
        <v>|n</v>
      </c>
      <c r="CV196" s="6" t="str">
        <f t="shared" si="3046"/>
        <v>渡过该劫后可结成|Cffff0000混沌道果|r。|n|n|Cffff0000混沌道果：|r|n攻击+10000|n法强+10000|n生命值+20000|n|Cffffd24d元神力+20|r|n|n|Cff00ff7f战力推荐：|r</v>
      </c>
      <c r="CW196" s="7"/>
      <c r="CX196" s="7"/>
      <c r="CY196" s="7"/>
      <c r="CZ196" s="7"/>
      <c r="DA196" s="7"/>
      <c r="DB196" s="44" t="str">
        <f t="shared" si="2976"/>
        <v/>
      </c>
      <c r="DC196" s="44" t="str">
        <f t="shared" si="2977"/>
        <v/>
      </c>
      <c r="DD196" s="44" t="str">
        <f t="shared" si="2978"/>
        <v/>
      </c>
      <c r="DE196" s="44" t="str">
        <f t="shared" si="2979"/>
        <v/>
      </c>
      <c r="DF196" s="44" t="str">
        <f t="shared" si="2980"/>
        <v/>
      </c>
      <c r="DG196" s="44" t="str">
        <f t="shared" si="2981"/>
        <v/>
      </c>
      <c r="DH196" s="44" t="str">
        <f t="shared" si="2982"/>
        <v/>
      </c>
      <c r="DI196" s="44" t="str">
        <f t="shared" si="2983"/>
        <v/>
      </c>
      <c r="DJ196" s="44" t="str">
        <f t="shared" si="2984"/>
        <v/>
      </c>
      <c r="DK196" s="44" t="str">
        <f t="shared" si="2985"/>
        <v/>
      </c>
      <c r="DL196" s="44" t="str">
        <f t="shared" si="2986"/>
        <v/>
      </c>
      <c r="DM196" s="44" t="str">
        <f t="shared" si="2987"/>
        <v/>
      </c>
      <c r="DN196" s="44" t="str">
        <f t="shared" si="2988"/>
        <v/>
      </c>
      <c r="DO196" s="44" t="str">
        <f t="shared" si="2989"/>
        <v/>
      </c>
      <c r="DP196" s="44" t="str">
        <f t="shared" si="2990"/>
        <v/>
      </c>
      <c r="DQ196" s="44" t="str">
        <f t="shared" si="2991"/>
        <v/>
      </c>
      <c r="DR196" s="44" t="str">
        <f t="shared" si="2992"/>
        <v/>
      </c>
      <c r="DS196" s="44" t="str">
        <f t="shared" si="2993"/>
        <v/>
      </c>
      <c r="DT196" s="44" t="str">
        <f t="shared" si="2994"/>
        <v/>
      </c>
      <c r="DU196" s="44" t="str">
        <f t="shared" si="2995"/>
        <v/>
      </c>
      <c r="DV196" s="44" t="str">
        <f t="shared" si="2996"/>
        <v/>
      </c>
      <c r="DW196" s="44" t="str">
        <f t="shared" si="2997"/>
        <v/>
      </c>
      <c r="DX196" s="44" t="str">
        <f t="shared" si="2998"/>
        <v/>
      </c>
      <c r="DY196" s="44" t="str">
        <f t="shared" si="2999"/>
        <v/>
      </c>
      <c r="DZ196" s="44" t="str">
        <f t="shared" si="3000"/>
        <v/>
      </c>
      <c r="EA196" s="44" t="str">
        <f t="shared" si="3001"/>
        <v/>
      </c>
      <c r="EB196" s="44" t="str">
        <f t="shared" si="3002"/>
        <v/>
      </c>
      <c r="EC196" s="44" t="str">
        <f t="shared" si="3003"/>
        <v/>
      </c>
      <c r="ED196" s="44" t="str">
        <f t="shared" si="3004"/>
        <v/>
      </c>
      <c r="EE196" s="44" t="str">
        <f t="shared" si="3005"/>
        <v/>
      </c>
      <c r="EF196" s="44" t="str">
        <f t="shared" si="3006"/>
        <v/>
      </c>
      <c r="EG196" s="44" t="str">
        <f t="shared" si="3007"/>
        <v/>
      </c>
      <c r="EH196" s="44" t="str">
        <f t="shared" si="3008"/>
        <v/>
      </c>
      <c r="EI196" s="44" t="str">
        <f t="shared" si="3009"/>
        <v/>
      </c>
      <c r="EJ196" s="44" t="str">
        <f t="shared" si="3010"/>
        <v/>
      </c>
      <c r="EK196" s="44" t="str">
        <f t="shared" si="3011"/>
        <v/>
      </c>
      <c r="EL196" s="44" t="str">
        <f t="shared" si="3012"/>
        <v/>
      </c>
      <c r="EM196" s="44" t="str">
        <f t="shared" si="3013"/>
        <v/>
      </c>
      <c r="EN196" s="44" t="str">
        <f t="shared" si="3014"/>
        <v/>
      </c>
      <c r="EO196" s="44" t="str">
        <f t="shared" si="3015"/>
        <v/>
      </c>
      <c r="EP196" s="44" t="str">
        <f t="shared" si="3016"/>
        <v/>
      </c>
      <c r="EQ196" s="44" t="str">
        <f t="shared" si="3017"/>
        <v/>
      </c>
      <c r="ER196" s="44" t="str">
        <f t="shared" si="3018"/>
        <v/>
      </c>
      <c r="ES196" s="44" t="str">
        <f t="shared" si="3019"/>
        <v/>
      </c>
      <c r="ET196" s="44" t="str">
        <f t="shared" si="3020"/>
        <v/>
      </c>
      <c r="EU196" s="44" t="str">
        <f t="shared" si="3021"/>
        <v/>
      </c>
      <c r="EV196" s="44" t="str">
        <f t="shared" si="3022"/>
        <v/>
      </c>
      <c r="EW196" s="44" t="str">
        <f t="shared" si="3023"/>
        <v/>
      </c>
      <c r="EX196" s="44" t="str">
        <f t="shared" si="3024"/>
        <v/>
      </c>
      <c r="EY196" s="44" t="str">
        <f t="shared" si="3025"/>
        <v/>
      </c>
      <c r="EZ196" s="44" t="str">
        <f t="shared" si="3026"/>
        <v/>
      </c>
      <c r="FA196" s="44" t="str">
        <f t="shared" si="3027"/>
        <v/>
      </c>
      <c r="FB196" s="44" t="str">
        <f t="shared" si="3028"/>
        <v/>
      </c>
      <c r="FC196" s="44" t="str">
        <f t="shared" si="3029"/>
        <v/>
      </c>
      <c r="FD196" s="44" t="str">
        <f t="shared" si="3030"/>
        <v/>
      </c>
      <c r="FE196" s="44" t="str">
        <f t="shared" si="3031"/>
        <v/>
      </c>
      <c r="FF196" s="44" t="str">
        <f t="shared" si="3032"/>
        <v/>
      </c>
      <c r="FG196" s="44" t="str">
        <f t="shared" si="3033"/>
        <v/>
      </c>
      <c r="FH196" s="44" t="str">
        <f t="shared" si="3034"/>
        <v/>
      </c>
      <c r="FI196" s="44" t="str">
        <f t="shared" si="3035"/>
        <v/>
      </c>
      <c r="FJ196" s="44" t="str">
        <f t="shared" si="3036"/>
        <v/>
      </c>
      <c r="FK196" s="44" t="str">
        <f t="shared" si="3037"/>
        <v/>
      </c>
      <c r="FL196" s="44" t="str">
        <f t="shared" si="3038"/>
        <v/>
      </c>
      <c r="FM196" s="44" t="str">
        <f t="shared" si="3039"/>
        <v/>
      </c>
      <c r="FN196" s="44" t="str">
        <f t="shared" si="3040"/>
        <v/>
      </c>
      <c r="FO196" s="44" t="str">
        <f t="shared" si="3041"/>
        <v/>
      </c>
      <c r="FP196" s="44" t="str">
        <f t="shared" si="3042"/>
        <v/>
      </c>
      <c r="FQ196" s="44" t="str">
        <f t="shared" si="3043"/>
        <v/>
      </c>
      <c r="FR196" s="44" t="str">
        <f t="shared" si="3044"/>
        <v/>
      </c>
      <c r="FS196" s="44" t="str">
        <f t="shared" si="3045"/>
        <v/>
      </c>
    </row>
    <row r="197" ht="15" spans="1:175">
      <c r="A197" s="78" t="s">
        <v>648</v>
      </c>
      <c r="B197" s="5" t="s">
        <v>658</v>
      </c>
      <c r="C197" s="78" t="s">
        <v>659</v>
      </c>
      <c r="T197" s="78" t="s">
        <v>660</v>
      </c>
      <c r="U197" s="60" t="str">
        <f t="shared" si="2897"/>
        <v>ReplaceableTextures\\CommandButtons\\BTNIT11.blp</v>
      </c>
      <c r="CN197" s="13" t="str">
        <f t="shared" si="2898"/>
        <v>InitUnitState('IT11',,,,,,,,,,)</v>
      </c>
      <c r="CO197" s="13" t="str">
        <f t="shared" si="2899"/>
        <v>InitUnitNormal('IT11',,,,,,,,,,)</v>
      </c>
      <c r="CP197" s="13" t="str">
        <f t="shared" si="2900"/>
        <v>InitUnitMagic('IT11',,,,,,,,,,)</v>
      </c>
      <c r="CQ197" s="13" t="str">
        <f t="shared" si="2901"/>
        <v>InitUnitAdd('IT11',,,,,,,,,,)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InitEquipData('IT11',,".",,,,,'','','','','','',"ReplaceableTextures\\CommandButtons\\BTNIT12.blp")</v>
      </c>
      <c r="CU197" s="72" t="str">
        <f t="shared" ref="CU197:CU207" si="3047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" t="str">
        <f t="shared" ref="CV197:CV207" si="3048">T197</f>
        <v>境界挑战11</v>
      </c>
      <c r="CW197" s="7"/>
      <c r="CX197" s="7"/>
      <c r="CY197" s="7"/>
      <c r="CZ197" s="7"/>
      <c r="DA197" s="7"/>
      <c r="DB197" s="44" t="str">
        <f t="shared" ref="DB197:DB199" si="3049">IF(V197="","","|n"&amp;DB$2&amp;"+"&amp;V197&amp;DB$1)</f>
        <v/>
      </c>
      <c r="DC197" s="44" t="str">
        <f t="shared" ref="DC197:DC199" si="3050">IF(W197="","","|n"&amp;DC$2&amp;"+"&amp;W197&amp;DC$1)</f>
        <v/>
      </c>
      <c r="DD197" s="44" t="str">
        <f t="shared" ref="DD197:DD199" si="3051">IF(X197="","","|n"&amp;DD$2&amp;"+"&amp;X197&amp;DD$1)</f>
        <v/>
      </c>
      <c r="DE197" s="44" t="str">
        <f t="shared" ref="DE197:DE199" si="3052">IF(Y197="","","|n"&amp;DE$2&amp;"+"&amp;Y197&amp;DE$1)</f>
        <v/>
      </c>
      <c r="DF197" s="44" t="str">
        <f t="shared" ref="DF197:DF199" si="3053">IF(Z197="","","|n"&amp;DF$2&amp;"+"&amp;Z197&amp;DF$1)</f>
        <v/>
      </c>
      <c r="DG197" s="44" t="str">
        <f t="shared" ref="DG197:DG199" si="3054">IF(AA197="","","|n"&amp;DG$2&amp;"+"&amp;AA197&amp;DG$1)</f>
        <v/>
      </c>
      <c r="DH197" s="44" t="str">
        <f t="shared" ref="DH197:DH199" si="3055">IF(AB197="","","|n"&amp;DH$2&amp;"+"&amp;AB197&amp;DH$1)</f>
        <v/>
      </c>
      <c r="DI197" s="44" t="str">
        <f t="shared" ref="DI197:DI199" si="3056">IF(AC197="","","|n"&amp;DI$2&amp;"+"&amp;AC197&amp;DI$1)</f>
        <v/>
      </c>
      <c r="DJ197" s="44" t="str">
        <f t="shared" ref="DJ197:DJ199" si="3057">IF(AD197="","","|n"&amp;DJ$2&amp;"+"&amp;AD197&amp;DJ$1)</f>
        <v/>
      </c>
      <c r="DK197" s="44" t="str">
        <f t="shared" ref="DK197:DK199" si="3058">IF(AE197="","","|n"&amp;DK$2&amp;"+"&amp;AE197&amp;DK$1)</f>
        <v/>
      </c>
      <c r="DL197" s="44" t="str">
        <f t="shared" ref="DL197:DL199" si="3059">IF(AF197="","","|n"&amp;DL$2&amp;"+"&amp;AF197&amp;DL$1)</f>
        <v/>
      </c>
      <c r="DM197" s="44" t="str">
        <f t="shared" ref="DM197:DM199" si="3060">IF(AG197="","","|n"&amp;DM$2&amp;"+"&amp;AG197&amp;DM$1)</f>
        <v/>
      </c>
      <c r="DN197" s="44" t="str">
        <f t="shared" ref="DN197:DN199" si="3061">IF(AH197="","","|n"&amp;DN$2&amp;"+"&amp;AH197&amp;DN$1)</f>
        <v/>
      </c>
      <c r="DO197" s="44" t="str">
        <f t="shared" ref="DO197:DO199" si="3062">IF(AI197="","","|n"&amp;DO$2&amp;"+"&amp;AI197&amp;DO$1)</f>
        <v/>
      </c>
      <c r="DP197" s="44" t="str">
        <f t="shared" ref="DP197:DP199" si="3063">IF(AJ197="","","|n"&amp;DP$2&amp;"+"&amp;AJ197&amp;DP$1)</f>
        <v/>
      </c>
      <c r="DQ197" s="44" t="str">
        <f t="shared" ref="DQ197:DQ199" si="3064">IF(AK197="","","|n"&amp;DQ$2&amp;"+"&amp;AK197&amp;DQ$1)</f>
        <v/>
      </c>
      <c r="DR197" s="44" t="str">
        <f t="shared" ref="DR197:DR199" si="3065">IF(AL197="","","|n"&amp;DR$2&amp;"+"&amp;AL197&amp;DR$1)</f>
        <v/>
      </c>
      <c r="DS197" s="44" t="str">
        <f t="shared" ref="DS197:DS199" si="3066">IF(AM197="","","|n"&amp;DS$2&amp;"+"&amp;AM197&amp;DS$1)</f>
        <v/>
      </c>
      <c r="DT197" s="44" t="str">
        <f t="shared" ref="DT197:DT199" si="3067">IF(AN197="","","|n"&amp;DT$2&amp;"+"&amp;AN197&amp;DT$1)</f>
        <v/>
      </c>
      <c r="DU197" s="44" t="str">
        <f t="shared" ref="DU197:DU199" si="3068">IF(AO197="","","|n"&amp;DU$2&amp;"+"&amp;AO197&amp;DU$1)</f>
        <v/>
      </c>
      <c r="DV197" s="44" t="str">
        <f t="shared" ref="DV197:DV199" si="3069">IF(AP197="","","|n"&amp;DV$2&amp;"+"&amp;AP197&amp;DV$1)</f>
        <v/>
      </c>
      <c r="DW197" s="44" t="str">
        <f t="shared" ref="DW197:DW199" si="3070">IF(AQ197="","","|n"&amp;DW$2&amp;"+"&amp;AQ197&amp;DW$1)</f>
        <v/>
      </c>
      <c r="DX197" s="44" t="str">
        <f t="shared" ref="DX197:DX199" si="3071">IF(AR197="","","|n"&amp;DX$2&amp;"+"&amp;AR197&amp;DX$1)</f>
        <v/>
      </c>
      <c r="DY197" s="44" t="str">
        <f t="shared" ref="DY197:DY199" si="3072">IF(AS197="","","|n"&amp;DY$2&amp;"+"&amp;AS197&amp;DY$1)</f>
        <v/>
      </c>
      <c r="DZ197" s="44" t="str">
        <f t="shared" ref="DZ197:DZ199" si="3073">IF(AT197="","","|n"&amp;DZ$2&amp;"+"&amp;AT197&amp;DZ$1)</f>
        <v/>
      </c>
      <c r="EA197" s="44" t="str">
        <f t="shared" ref="EA197:EA199" si="3074">IF(AU197="","","|n"&amp;EA$2&amp;"+"&amp;AU197&amp;EA$1)</f>
        <v/>
      </c>
      <c r="EB197" s="44" t="str">
        <f t="shared" ref="EB197:EB199" si="3075">IF(AV197="","","|n"&amp;EB$2&amp;"+"&amp;AV197&amp;EB$1)</f>
        <v/>
      </c>
      <c r="EC197" s="44" t="str">
        <f t="shared" ref="EC197:EC199" si="3076">IF(AW197="","","|n"&amp;EC$2&amp;"+"&amp;AW197&amp;EC$1)</f>
        <v/>
      </c>
      <c r="ED197" s="44" t="str">
        <f t="shared" ref="ED197:ED199" si="3077">IF(AX197="","","|n"&amp;ED$2&amp;"+"&amp;AX197&amp;ED$1)</f>
        <v/>
      </c>
      <c r="EE197" s="44" t="str">
        <f t="shared" ref="EE197:EE199" si="3078">IF(AY197="","","|n"&amp;EE$2&amp;"+"&amp;AY197&amp;EE$1)</f>
        <v/>
      </c>
      <c r="EF197" s="44" t="str">
        <f t="shared" ref="EF197:EF199" si="3079">IF(AZ197="","","|n"&amp;EF$2&amp;"+"&amp;AZ197&amp;EF$1)</f>
        <v/>
      </c>
      <c r="EG197" s="44" t="str">
        <f t="shared" ref="EG197:EG199" si="3080">IF(BA197="","","|n"&amp;EG$2&amp;"+"&amp;BA197&amp;EG$1)</f>
        <v/>
      </c>
      <c r="EH197" s="44" t="str">
        <f t="shared" ref="EH197:EH199" si="3081">IF(BB197="","","|n"&amp;EH$2&amp;"+"&amp;BB197&amp;EH$1)</f>
        <v/>
      </c>
      <c r="EI197" s="44" t="str">
        <f t="shared" ref="EI197:EI199" si="3082">IF(BC197="","","|n"&amp;EI$2&amp;"+"&amp;BC197&amp;EI$1)</f>
        <v/>
      </c>
      <c r="EJ197" s="44" t="str">
        <f t="shared" ref="EJ197:EJ199" si="3083">IF(BD197="","","|n"&amp;EJ$2&amp;"+"&amp;BD197&amp;EJ$1)</f>
        <v/>
      </c>
      <c r="EK197" s="44" t="str">
        <f t="shared" ref="EK197:EK199" si="3084">IF(BE197="","","|n"&amp;EK$2&amp;"+"&amp;BE197&amp;EK$1)</f>
        <v/>
      </c>
      <c r="EL197" s="44" t="str">
        <f t="shared" ref="EL197:EL199" si="3085">IF(BF197="","","|n"&amp;EL$2&amp;"+"&amp;BF197&amp;EL$1)</f>
        <v/>
      </c>
      <c r="EM197" s="44" t="str">
        <f t="shared" ref="EM197:EM199" si="3086">IF(BG197="","","|n"&amp;EM$2&amp;"+"&amp;BG197&amp;EM$1)</f>
        <v/>
      </c>
      <c r="EN197" s="44" t="str">
        <f t="shared" ref="EN197:EN199" si="3087">IF(BH197="","","|n"&amp;EN$2&amp;"+"&amp;BH197&amp;EN$1)</f>
        <v/>
      </c>
      <c r="EO197" s="44" t="str">
        <f t="shared" ref="EO197:EO199" si="3088">IF(BI197="","","|n"&amp;EO$2&amp;"+"&amp;BI197&amp;EO$1)</f>
        <v/>
      </c>
      <c r="EP197" s="44" t="str">
        <f t="shared" ref="EP197:EP199" si="3089">IF(BJ197="","","|n"&amp;EP$2&amp;"+"&amp;BJ197&amp;EP$1)</f>
        <v/>
      </c>
      <c r="EQ197" s="44" t="str">
        <f t="shared" ref="EQ197:EQ199" si="3090">IF(BK197="","","|n"&amp;EQ$2&amp;"+"&amp;BK197&amp;EQ$1)</f>
        <v/>
      </c>
      <c r="ER197" s="44" t="str">
        <f t="shared" ref="ER197:ER199" si="3091">IF(BL197="","","|n"&amp;ER$2&amp;"+"&amp;BL197&amp;ER$1)</f>
        <v/>
      </c>
      <c r="ES197" s="44" t="str">
        <f t="shared" ref="ES197:ES199" si="3092">IF(BM197="","","|n"&amp;ES$2&amp;"+"&amp;BM197&amp;ES$1)</f>
        <v/>
      </c>
      <c r="ET197" s="44" t="str">
        <f t="shared" ref="ET197:ET199" si="3093">IF(BN197="","","|n"&amp;ET$2&amp;"+"&amp;BN197&amp;ET$1)</f>
        <v/>
      </c>
      <c r="EU197" s="44" t="str">
        <f t="shared" ref="EU197:EU199" si="3094">IF(BO197="","","|n"&amp;EU$2&amp;"+"&amp;BO197&amp;EU$1)</f>
        <v/>
      </c>
      <c r="EV197" s="44" t="str">
        <f t="shared" ref="EV197:EV199" si="3095">IF(BP197="","","|n"&amp;EV$2&amp;"+"&amp;BP197&amp;EV$1)</f>
        <v/>
      </c>
      <c r="EW197" s="44" t="str">
        <f t="shared" ref="EW197:EW199" si="3096">IF(BQ197="","","|n"&amp;EW$2&amp;"+"&amp;BQ197&amp;EW$1)</f>
        <v/>
      </c>
      <c r="EX197" s="44" t="str">
        <f t="shared" ref="EX197:EX199" si="3097">IF(BR197="","","|n"&amp;EX$2&amp;"+"&amp;BR197&amp;EX$1)</f>
        <v/>
      </c>
      <c r="EY197" s="44" t="str">
        <f t="shared" ref="EY197:EY199" si="3098">IF(BS197="","","|n"&amp;EY$2&amp;"+"&amp;BS197&amp;EY$1)</f>
        <v/>
      </c>
      <c r="EZ197" s="44" t="str">
        <f t="shared" ref="EZ197:EZ199" si="3099">IF(BT197="","","|n"&amp;EZ$2&amp;"+"&amp;BT197&amp;EZ$1)</f>
        <v/>
      </c>
      <c r="FA197" s="44" t="str">
        <f t="shared" ref="FA197:FA199" si="3100">IF(BU197="","","|n"&amp;FA$2&amp;"+"&amp;BU197&amp;FA$1)</f>
        <v/>
      </c>
      <c r="FB197" s="44" t="str">
        <f t="shared" ref="FB197:FB199" si="3101">IF(BV197="","","|n"&amp;FB$2&amp;"+"&amp;BV197&amp;FB$1)</f>
        <v/>
      </c>
      <c r="FC197" s="44" t="str">
        <f t="shared" ref="FC197:FC199" si="3102">IF(BW197="","","|n"&amp;FC$2&amp;"+"&amp;BW197&amp;FC$1)</f>
        <v/>
      </c>
      <c r="FD197" s="44" t="str">
        <f t="shared" ref="FD197:FD199" si="3103">IF(BX197="","","|n"&amp;FD$2&amp;"+"&amp;BX197&amp;FD$1)</f>
        <v/>
      </c>
      <c r="FE197" s="44" t="str">
        <f t="shared" ref="FE197:FE199" si="3104">IF(BY197="","","|n"&amp;FE$2&amp;"+"&amp;BY197&amp;FE$1)</f>
        <v/>
      </c>
      <c r="FF197" s="44" t="str">
        <f t="shared" ref="FF197:FF199" si="3105">IF(BZ197="","","|n"&amp;FF$2&amp;"+"&amp;BZ197&amp;FF$1)</f>
        <v/>
      </c>
      <c r="FG197" s="44" t="str">
        <f t="shared" ref="FG197:FG199" si="3106">IF(CA197="","","|n"&amp;FG$2&amp;"+"&amp;CA197&amp;FG$1)</f>
        <v/>
      </c>
      <c r="FH197" s="44" t="str">
        <f t="shared" ref="FH197:FH199" si="3107">IF(CB197="","","|n"&amp;FH$2&amp;"+"&amp;CB197&amp;FH$1)</f>
        <v/>
      </c>
      <c r="FI197" s="44" t="str">
        <f t="shared" ref="FI197:FI199" si="3108">IF(CC197="","","|n"&amp;FI$2&amp;"+"&amp;CC197&amp;FI$1)</f>
        <v/>
      </c>
      <c r="FJ197" s="44" t="str">
        <f t="shared" ref="FJ197:FJ199" si="3109">IF(CD197="","","|n"&amp;FJ$2&amp;"+"&amp;CD197&amp;FJ$1)</f>
        <v/>
      </c>
      <c r="FK197" s="44" t="str">
        <f t="shared" ref="FK197:FK199" si="3110">IF(CE197="","","|n"&amp;FK$2&amp;"+"&amp;CE197&amp;FK$1)</f>
        <v/>
      </c>
      <c r="FL197" s="44" t="str">
        <f t="shared" ref="FL197:FL199" si="3111">IF(CF197="","","|n"&amp;FL$2&amp;"+"&amp;CF197&amp;FL$1)</f>
        <v/>
      </c>
      <c r="FM197" s="44" t="str">
        <f t="shared" ref="FM197:FM199" si="3112">IF(CG197="","","|n"&amp;FM$2&amp;"+"&amp;CG197&amp;FM$1)</f>
        <v/>
      </c>
      <c r="FN197" s="44" t="str">
        <f t="shared" ref="FN197:FN199" si="3113">IF(CH197="","","|n"&amp;FN$2&amp;"+"&amp;CH197&amp;FN$1)</f>
        <v/>
      </c>
      <c r="FO197" s="44" t="str">
        <f t="shared" ref="FO197:FO199" si="3114">IF(CI197="","","|n"&amp;FO$2&amp;"+"&amp;CI197&amp;FO$1)</f>
        <v/>
      </c>
      <c r="FP197" s="44" t="str">
        <f t="shared" ref="FP197:FP199" si="3115">IF(CJ197="","","|n"&amp;FP$2&amp;"+"&amp;CJ197&amp;FP$1)</f>
        <v/>
      </c>
      <c r="FQ197" s="44" t="str">
        <f t="shared" ref="FQ197:FQ199" si="3116">IF(CK197="","","|n"&amp;FQ$2&amp;"+"&amp;CK197&amp;FQ$1)</f>
        <v/>
      </c>
      <c r="FR197" s="44" t="str">
        <f t="shared" ref="FR197:FR199" si="3117">IF(CL197="","","|n"&amp;FR$2&amp;"+"&amp;CL197&amp;FR$1)</f>
        <v/>
      </c>
      <c r="FS197" s="44" t="str">
        <f t="shared" ref="FS197:FS199" si="3118">IF(CM197="","","|n"&amp;FS$2&amp;"+"&amp;CM197&amp;FS$1)</f>
        <v/>
      </c>
    </row>
    <row r="198" ht="15" spans="1:175">
      <c r="A198" s="78"/>
      <c r="B198" s="5" t="s">
        <v>661</v>
      </c>
      <c r="C198" s="78" t="s">
        <v>662</v>
      </c>
      <c r="T198" s="78" t="s">
        <v>663</v>
      </c>
      <c r="U198" s="60" t="str">
        <f t="shared" si="2897"/>
        <v>ReplaceableTextures\\CommandButtons\\BTNIT12.blp</v>
      </c>
      <c r="CN198" s="13" t="str">
        <f t="shared" si="2898"/>
        <v>InitUnitState('IT12',,,,,,,,,,)</v>
      </c>
      <c r="CO198" s="13" t="str">
        <f t="shared" si="2899"/>
        <v>InitUnitNormal('IT12',,,,,,,,,,)</v>
      </c>
      <c r="CP198" s="13" t="str">
        <f t="shared" si="2900"/>
        <v>InitUnitMagic('IT12',,,,,,,,,,)</v>
      </c>
      <c r="CQ198" s="13" t="str">
        <f t="shared" si="2901"/>
        <v>InitUnitAdd('IT12',,,,,,,,,,)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InitEquipData('IT12',,"",,,,,'','','','','','',"ReplaceableTextures\\CommandButtons\\BTNIT13.blp")</v>
      </c>
      <c r="CU198" s="72" t="str">
        <f t="shared" si="3047"/>
        <v>|n</v>
      </c>
      <c r="CV198" s="6" t="str">
        <f t="shared" si="3048"/>
        <v>境界挑战12</v>
      </c>
      <c r="CW198" s="7"/>
      <c r="CX198" s="7"/>
      <c r="CY198" s="7"/>
      <c r="CZ198" s="7"/>
      <c r="DA198" s="7"/>
      <c r="DB198" s="44" t="str">
        <f t="shared" si="3049"/>
        <v/>
      </c>
      <c r="DC198" s="44" t="str">
        <f t="shared" si="3050"/>
        <v/>
      </c>
      <c r="DD198" s="44" t="str">
        <f t="shared" si="3051"/>
        <v/>
      </c>
      <c r="DE198" s="44" t="str">
        <f t="shared" si="3052"/>
        <v/>
      </c>
      <c r="DF198" s="44" t="str">
        <f t="shared" si="3053"/>
        <v/>
      </c>
      <c r="DG198" s="44" t="str">
        <f t="shared" si="3054"/>
        <v/>
      </c>
      <c r="DH198" s="44" t="str">
        <f t="shared" si="3055"/>
        <v/>
      </c>
      <c r="DI198" s="44" t="str">
        <f t="shared" si="3056"/>
        <v/>
      </c>
      <c r="DJ198" s="44" t="str">
        <f t="shared" si="3057"/>
        <v/>
      </c>
      <c r="DK198" s="44" t="str">
        <f t="shared" si="3058"/>
        <v/>
      </c>
      <c r="DL198" s="44" t="str">
        <f t="shared" si="3059"/>
        <v/>
      </c>
      <c r="DM198" s="44" t="str">
        <f t="shared" si="3060"/>
        <v/>
      </c>
      <c r="DN198" s="44" t="str">
        <f t="shared" si="3061"/>
        <v/>
      </c>
      <c r="DO198" s="44" t="str">
        <f t="shared" si="3062"/>
        <v/>
      </c>
      <c r="DP198" s="44" t="str">
        <f t="shared" si="3063"/>
        <v/>
      </c>
      <c r="DQ198" s="44" t="str">
        <f t="shared" si="3064"/>
        <v/>
      </c>
      <c r="DR198" s="44" t="str">
        <f t="shared" si="3065"/>
        <v/>
      </c>
      <c r="DS198" s="44" t="str">
        <f t="shared" si="3066"/>
        <v/>
      </c>
      <c r="DT198" s="44" t="str">
        <f t="shared" si="3067"/>
        <v/>
      </c>
      <c r="DU198" s="44" t="str">
        <f t="shared" si="3068"/>
        <v/>
      </c>
      <c r="DV198" s="44" t="str">
        <f t="shared" si="3069"/>
        <v/>
      </c>
      <c r="DW198" s="44" t="str">
        <f t="shared" si="3070"/>
        <v/>
      </c>
      <c r="DX198" s="44" t="str">
        <f t="shared" si="3071"/>
        <v/>
      </c>
      <c r="DY198" s="44" t="str">
        <f t="shared" si="3072"/>
        <v/>
      </c>
      <c r="DZ198" s="44" t="str">
        <f t="shared" si="3073"/>
        <v/>
      </c>
      <c r="EA198" s="44" t="str">
        <f t="shared" si="3074"/>
        <v/>
      </c>
      <c r="EB198" s="44" t="str">
        <f t="shared" si="3075"/>
        <v/>
      </c>
      <c r="EC198" s="44" t="str">
        <f t="shared" si="3076"/>
        <v/>
      </c>
      <c r="ED198" s="44" t="str">
        <f t="shared" si="3077"/>
        <v/>
      </c>
      <c r="EE198" s="44" t="str">
        <f t="shared" si="3078"/>
        <v/>
      </c>
      <c r="EF198" s="44" t="str">
        <f t="shared" si="3079"/>
        <v/>
      </c>
      <c r="EG198" s="44" t="str">
        <f t="shared" si="3080"/>
        <v/>
      </c>
      <c r="EH198" s="44" t="str">
        <f t="shared" si="3081"/>
        <v/>
      </c>
      <c r="EI198" s="44" t="str">
        <f t="shared" si="3082"/>
        <v/>
      </c>
      <c r="EJ198" s="44" t="str">
        <f t="shared" si="3083"/>
        <v/>
      </c>
      <c r="EK198" s="44" t="str">
        <f t="shared" si="3084"/>
        <v/>
      </c>
      <c r="EL198" s="44" t="str">
        <f t="shared" si="3085"/>
        <v/>
      </c>
      <c r="EM198" s="44" t="str">
        <f t="shared" si="3086"/>
        <v/>
      </c>
      <c r="EN198" s="44" t="str">
        <f t="shared" si="3087"/>
        <v/>
      </c>
      <c r="EO198" s="44" t="str">
        <f t="shared" si="3088"/>
        <v/>
      </c>
      <c r="EP198" s="44" t="str">
        <f t="shared" si="3089"/>
        <v/>
      </c>
      <c r="EQ198" s="44" t="str">
        <f t="shared" si="3090"/>
        <v/>
      </c>
      <c r="ER198" s="44" t="str">
        <f t="shared" si="3091"/>
        <v/>
      </c>
      <c r="ES198" s="44" t="str">
        <f t="shared" si="3092"/>
        <v/>
      </c>
      <c r="ET198" s="44" t="str">
        <f t="shared" si="3093"/>
        <v/>
      </c>
      <c r="EU198" s="44" t="str">
        <f t="shared" si="3094"/>
        <v/>
      </c>
      <c r="EV198" s="44" t="str">
        <f t="shared" si="3095"/>
        <v/>
      </c>
      <c r="EW198" s="44" t="str">
        <f t="shared" si="3096"/>
        <v/>
      </c>
      <c r="EX198" s="44" t="str">
        <f t="shared" si="3097"/>
        <v/>
      </c>
      <c r="EY198" s="44" t="str">
        <f t="shared" si="3098"/>
        <v/>
      </c>
      <c r="EZ198" s="44" t="str">
        <f t="shared" si="3099"/>
        <v/>
      </c>
      <c r="FA198" s="44" t="str">
        <f t="shared" si="3100"/>
        <v/>
      </c>
      <c r="FB198" s="44" t="str">
        <f t="shared" si="3101"/>
        <v/>
      </c>
      <c r="FC198" s="44" t="str">
        <f t="shared" si="3102"/>
        <v/>
      </c>
      <c r="FD198" s="44" t="str">
        <f t="shared" si="3103"/>
        <v/>
      </c>
      <c r="FE198" s="44" t="str">
        <f t="shared" si="3104"/>
        <v/>
      </c>
      <c r="FF198" s="44" t="str">
        <f t="shared" si="3105"/>
        <v/>
      </c>
      <c r="FG198" s="44" t="str">
        <f t="shared" si="3106"/>
        <v/>
      </c>
      <c r="FH198" s="44" t="str">
        <f t="shared" si="3107"/>
        <v/>
      </c>
      <c r="FI198" s="44" t="str">
        <f t="shared" si="3108"/>
        <v/>
      </c>
      <c r="FJ198" s="44" t="str">
        <f t="shared" si="3109"/>
        <v/>
      </c>
      <c r="FK198" s="44" t="str">
        <f t="shared" si="3110"/>
        <v/>
      </c>
      <c r="FL198" s="44" t="str">
        <f t="shared" si="3111"/>
        <v/>
      </c>
      <c r="FM198" s="44" t="str">
        <f t="shared" si="3112"/>
        <v/>
      </c>
      <c r="FN198" s="44" t="str">
        <f t="shared" si="3113"/>
        <v/>
      </c>
      <c r="FO198" s="44" t="str">
        <f t="shared" si="3114"/>
        <v/>
      </c>
      <c r="FP198" s="44" t="str">
        <f t="shared" si="3115"/>
        <v/>
      </c>
      <c r="FQ198" s="44" t="str">
        <f t="shared" si="3116"/>
        <v/>
      </c>
      <c r="FR198" s="44" t="str">
        <f t="shared" si="3117"/>
        <v/>
      </c>
      <c r="FS198" s="44" t="str">
        <f t="shared" si="3118"/>
        <v/>
      </c>
    </row>
    <row r="199" ht="15" spans="1:175">
      <c r="A199" s="78"/>
      <c r="B199" s="5" t="s">
        <v>664</v>
      </c>
      <c r="C199" s="78" t="s">
        <v>665</v>
      </c>
      <c r="T199" s="78" t="s">
        <v>666</v>
      </c>
      <c r="U199" s="60" t="str">
        <f t="shared" si="2897"/>
        <v>ReplaceableTextures\\CommandButtons\\BTNIT13.blp</v>
      </c>
      <c r="CN199" s="13" t="str">
        <f t="shared" si="2898"/>
        <v>InitUnitState('IT13',,,,,,,,,,)</v>
      </c>
      <c r="CO199" s="13" t="str">
        <f t="shared" si="2899"/>
        <v>InitUnitNormal('IT13',,,,,,,,,,)</v>
      </c>
      <c r="CP199" s="13" t="str">
        <f t="shared" si="2900"/>
        <v>InitUnitMagic('IT13',,,,,,,,,,)</v>
      </c>
      <c r="CQ199" s="13" t="str">
        <f t="shared" si="2901"/>
        <v>InitUnitAdd('IT13',,,,,,,,,,)</v>
      </c>
      <c r="CR199" s="13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72" t="str">
        <f t="shared" si="3047"/>
        <v>|n</v>
      </c>
      <c r="CV199" s="6" t="str">
        <f t="shared" si="3048"/>
        <v>境界挑战13</v>
      </c>
      <c r="CW199" s="7"/>
      <c r="CX199" s="7"/>
      <c r="CY199" s="7"/>
      <c r="CZ199" s="7"/>
      <c r="DA199" s="7"/>
      <c r="DB199" s="44" t="str">
        <f t="shared" si="3049"/>
        <v/>
      </c>
      <c r="DC199" s="44" t="str">
        <f t="shared" si="3050"/>
        <v/>
      </c>
      <c r="DD199" s="44" t="str">
        <f t="shared" si="3051"/>
        <v/>
      </c>
      <c r="DE199" s="44" t="str">
        <f t="shared" si="3052"/>
        <v/>
      </c>
      <c r="DF199" s="44" t="str">
        <f t="shared" si="3053"/>
        <v/>
      </c>
      <c r="DG199" s="44" t="str">
        <f t="shared" si="3054"/>
        <v/>
      </c>
      <c r="DH199" s="44" t="str">
        <f t="shared" si="3055"/>
        <v/>
      </c>
      <c r="DI199" s="44" t="str">
        <f t="shared" si="3056"/>
        <v/>
      </c>
      <c r="DJ199" s="44" t="str">
        <f t="shared" si="3057"/>
        <v/>
      </c>
      <c r="DK199" s="44" t="str">
        <f t="shared" si="3058"/>
        <v/>
      </c>
      <c r="DL199" s="44" t="str">
        <f t="shared" si="3059"/>
        <v/>
      </c>
      <c r="DM199" s="44" t="str">
        <f t="shared" si="3060"/>
        <v/>
      </c>
      <c r="DN199" s="44" t="str">
        <f t="shared" si="3061"/>
        <v/>
      </c>
      <c r="DO199" s="44" t="str">
        <f t="shared" si="3062"/>
        <v/>
      </c>
      <c r="DP199" s="44" t="str">
        <f t="shared" si="3063"/>
        <v/>
      </c>
      <c r="DQ199" s="44" t="str">
        <f t="shared" si="3064"/>
        <v/>
      </c>
      <c r="DR199" s="44" t="str">
        <f t="shared" si="3065"/>
        <v/>
      </c>
      <c r="DS199" s="44" t="str">
        <f t="shared" si="3066"/>
        <v/>
      </c>
      <c r="DT199" s="44" t="str">
        <f t="shared" si="3067"/>
        <v/>
      </c>
      <c r="DU199" s="44" t="str">
        <f t="shared" si="3068"/>
        <v/>
      </c>
      <c r="DV199" s="44" t="str">
        <f t="shared" si="3069"/>
        <v/>
      </c>
      <c r="DW199" s="44" t="str">
        <f t="shared" si="3070"/>
        <v/>
      </c>
      <c r="DX199" s="44" t="str">
        <f t="shared" si="3071"/>
        <v/>
      </c>
      <c r="DY199" s="44" t="str">
        <f t="shared" si="3072"/>
        <v/>
      </c>
      <c r="DZ199" s="44" t="str">
        <f t="shared" si="3073"/>
        <v/>
      </c>
      <c r="EA199" s="44" t="str">
        <f t="shared" si="3074"/>
        <v/>
      </c>
      <c r="EB199" s="44" t="str">
        <f t="shared" si="3075"/>
        <v/>
      </c>
      <c r="EC199" s="44" t="str">
        <f t="shared" si="3076"/>
        <v/>
      </c>
      <c r="ED199" s="44" t="str">
        <f t="shared" si="3077"/>
        <v/>
      </c>
      <c r="EE199" s="44" t="str">
        <f t="shared" si="3078"/>
        <v/>
      </c>
      <c r="EF199" s="44" t="str">
        <f t="shared" si="3079"/>
        <v/>
      </c>
      <c r="EG199" s="44" t="str">
        <f t="shared" si="3080"/>
        <v/>
      </c>
      <c r="EH199" s="44" t="str">
        <f t="shared" si="3081"/>
        <v/>
      </c>
      <c r="EI199" s="44" t="str">
        <f t="shared" si="3082"/>
        <v/>
      </c>
      <c r="EJ199" s="44" t="str">
        <f t="shared" si="3083"/>
        <v/>
      </c>
      <c r="EK199" s="44" t="str">
        <f t="shared" si="3084"/>
        <v/>
      </c>
      <c r="EL199" s="44" t="str">
        <f t="shared" si="3085"/>
        <v/>
      </c>
      <c r="EM199" s="44" t="str">
        <f t="shared" si="3086"/>
        <v/>
      </c>
      <c r="EN199" s="44" t="str">
        <f t="shared" si="3087"/>
        <v/>
      </c>
      <c r="EO199" s="44" t="str">
        <f t="shared" si="3088"/>
        <v/>
      </c>
      <c r="EP199" s="44" t="str">
        <f t="shared" si="3089"/>
        <v/>
      </c>
      <c r="EQ199" s="44" t="str">
        <f t="shared" si="3090"/>
        <v/>
      </c>
      <c r="ER199" s="44" t="str">
        <f t="shared" si="3091"/>
        <v/>
      </c>
      <c r="ES199" s="44" t="str">
        <f t="shared" si="3092"/>
        <v/>
      </c>
      <c r="ET199" s="44" t="str">
        <f t="shared" si="3093"/>
        <v/>
      </c>
      <c r="EU199" s="44" t="str">
        <f t="shared" si="3094"/>
        <v/>
      </c>
      <c r="EV199" s="44" t="str">
        <f t="shared" si="3095"/>
        <v/>
      </c>
      <c r="EW199" s="44" t="str">
        <f t="shared" si="3096"/>
        <v/>
      </c>
      <c r="EX199" s="44" t="str">
        <f t="shared" si="3097"/>
        <v/>
      </c>
      <c r="EY199" s="44" t="str">
        <f t="shared" si="3098"/>
        <v/>
      </c>
      <c r="EZ199" s="44" t="str">
        <f t="shared" si="3099"/>
        <v/>
      </c>
      <c r="FA199" s="44" t="str">
        <f t="shared" si="3100"/>
        <v/>
      </c>
      <c r="FB199" s="44" t="str">
        <f t="shared" si="3101"/>
        <v/>
      </c>
      <c r="FC199" s="44" t="str">
        <f t="shared" si="3102"/>
        <v/>
      </c>
      <c r="FD199" s="44" t="str">
        <f t="shared" si="3103"/>
        <v/>
      </c>
      <c r="FE199" s="44" t="str">
        <f t="shared" si="3104"/>
        <v/>
      </c>
      <c r="FF199" s="44" t="str">
        <f t="shared" si="3105"/>
        <v/>
      </c>
      <c r="FG199" s="44" t="str">
        <f t="shared" si="3106"/>
        <v/>
      </c>
      <c r="FH199" s="44" t="str">
        <f t="shared" si="3107"/>
        <v/>
      </c>
      <c r="FI199" s="44" t="str">
        <f t="shared" si="3108"/>
        <v/>
      </c>
      <c r="FJ199" s="44" t="str">
        <f t="shared" si="3109"/>
        <v/>
      </c>
      <c r="FK199" s="44" t="str">
        <f t="shared" si="3110"/>
        <v/>
      </c>
      <c r="FL199" s="44" t="str">
        <f t="shared" si="3111"/>
        <v/>
      </c>
      <c r="FM199" s="44" t="str">
        <f t="shared" si="3112"/>
        <v/>
      </c>
      <c r="FN199" s="44" t="str">
        <f t="shared" si="3113"/>
        <v/>
      </c>
      <c r="FO199" s="44" t="str">
        <f t="shared" si="3114"/>
        <v/>
      </c>
      <c r="FP199" s="44" t="str">
        <f t="shared" si="3115"/>
        <v/>
      </c>
      <c r="FQ199" s="44" t="str">
        <f t="shared" si="3116"/>
        <v/>
      </c>
      <c r="FR199" s="44" t="str">
        <f t="shared" si="3117"/>
        <v/>
      </c>
      <c r="FS199" s="44" t="str">
        <f t="shared" si="3118"/>
        <v/>
      </c>
    </row>
    <row r="200" ht="15" spans="1:175">
      <c r="A200" s="78"/>
      <c r="B200" s="5" t="s">
        <v>667</v>
      </c>
      <c r="C200" s="78" t="s">
        <v>668</v>
      </c>
      <c r="T200" s="78" t="s">
        <v>668</v>
      </c>
      <c r="U200" s="60" t="str">
        <f t="shared" si="2897"/>
        <v>ReplaceableTextures\\CommandButtons\\BTNIT14.blp</v>
      </c>
      <c r="CN200" s="13" t="str">
        <f t="shared" si="2898"/>
        <v>InitUnitState('IT14',,,,,,,,,,)</v>
      </c>
      <c r="CO200" s="13" t="str">
        <f t="shared" si="2899"/>
        <v>InitUnitNormal('IT14',,,,,,,,,,)</v>
      </c>
      <c r="CP200" s="13" t="str">
        <f t="shared" si="2900"/>
        <v>InitUnitMagic('IT14',,,,,,,,,,)</v>
      </c>
      <c r="CQ200" s="13" t="str">
        <f t="shared" si="2901"/>
        <v>InitUnitAdd('IT14',,,,,,,,,,)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213&amp;CR$1&amp;")"</f>
        <v>InitEquipData('IT14',,"",,,,,'','','','','','',"ReplaceableTextures\\CommandButtons\\BTNIS12.blp")</v>
      </c>
      <c r="CU200" s="72" t="str">
        <f t="shared" si="3047"/>
        <v>|n</v>
      </c>
      <c r="CV200" s="6" t="str">
        <f t="shared" si="3048"/>
        <v>境界挑战14</v>
      </c>
      <c r="CW200" s="7"/>
      <c r="CX200" s="7"/>
      <c r="CY200" s="7"/>
      <c r="CZ200" s="7"/>
      <c r="DA200" s="7"/>
      <c r="DB200" s="44" t="str">
        <f t="shared" ref="DB200:EG201" si="3119">IF(V200="","","|n"&amp;DB$2&amp;"+"&amp;V200&amp;DB$1)</f>
        <v/>
      </c>
      <c r="DC200" s="44" t="str">
        <f t="shared" si="3119"/>
        <v/>
      </c>
      <c r="DD200" s="44" t="str">
        <f t="shared" si="3119"/>
        <v/>
      </c>
      <c r="DE200" s="44" t="str">
        <f t="shared" si="3119"/>
        <v/>
      </c>
      <c r="DF200" s="44" t="str">
        <f t="shared" si="3119"/>
        <v/>
      </c>
      <c r="DG200" s="44" t="str">
        <f t="shared" si="3119"/>
        <v/>
      </c>
      <c r="DH200" s="44" t="str">
        <f t="shared" si="3119"/>
        <v/>
      </c>
      <c r="DI200" s="44" t="str">
        <f t="shared" si="3119"/>
        <v/>
      </c>
      <c r="DJ200" s="44" t="str">
        <f t="shared" si="3119"/>
        <v/>
      </c>
      <c r="DK200" s="44" t="str">
        <f t="shared" si="3119"/>
        <v/>
      </c>
      <c r="DL200" s="44" t="str">
        <f t="shared" si="3119"/>
        <v/>
      </c>
      <c r="DM200" s="44" t="str">
        <f t="shared" si="3119"/>
        <v/>
      </c>
      <c r="DN200" s="44" t="str">
        <f t="shared" si="3119"/>
        <v/>
      </c>
      <c r="DO200" s="44" t="str">
        <f t="shared" si="3119"/>
        <v/>
      </c>
      <c r="DP200" s="44" t="str">
        <f t="shared" si="3119"/>
        <v/>
      </c>
      <c r="DQ200" s="44" t="str">
        <f t="shared" si="3119"/>
        <v/>
      </c>
      <c r="DR200" s="44" t="str">
        <f t="shared" si="3119"/>
        <v/>
      </c>
      <c r="DS200" s="44" t="str">
        <f t="shared" si="3119"/>
        <v/>
      </c>
      <c r="DT200" s="44" t="str">
        <f t="shared" si="3119"/>
        <v/>
      </c>
      <c r="DU200" s="44" t="str">
        <f t="shared" si="3119"/>
        <v/>
      </c>
      <c r="DV200" s="44" t="str">
        <f t="shared" si="3119"/>
        <v/>
      </c>
      <c r="DW200" s="44" t="str">
        <f t="shared" si="3119"/>
        <v/>
      </c>
      <c r="DX200" s="44" t="str">
        <f t="shared" si="3119"/>
        <v/>
      </c>
      <c r="DY200" s="44" t="str">
        <f t="shared" si="3119"/>
        <v/>
      </c>
      <c r="DZ200" s="44" t="str">
        <f t="shared" si="3119"/>
        <v/>
      </c>
      <c r="EA200" s="44" t="str">
        <f t="shared" si="3119"/>
        <v/>
      </c>
      <c r="EB200" s="44" t="str">
        <f t="shared" si="3119"/>
        <v/>
      </c>
      <c r="EC200" s="44" t="str">
        <f t="shared" si="3119"/>
        <v/>
      </c>
      <c r="ED200" s="44" t="str">
        <f t="shared" si="3119"/>
        <v/>
      </c>
      <c r="EE200" s="44" t="str">
        <f t="shared" si="3119"/>
        <v/>
      </c>
      <c r="EF200" s="44" t="str">
        <f t="shared" si="3119"/>
        <v/>
      </c>
      <c r="EG200" s="44" t="str">
        <f t="shared" si="3119"/>
        <v/>
      </c>
      <c r="EH200" s="44" t="str">
        <f t="shared" ref="EH200:FM201" si="3120">IF(BB200="","","|n"&amp;EH$2&amp;"+"&amp;BB200&amp;EH$1)</f>
        <v/>
      </c>
      <c r="EI200" s="44" t="str">
        <f t="shared" si="3120"/>
        <v/>
      </c>
      <c r="EJ200" s="44" t="str">
        <f t="shared" si="3120"/>
        <v/>
      </c>
      <c r="EK200" s="44" t="str">
        <f t="shared" si="3120"/>
        <v/>
      </c>
      <c r="EL200" s="44" t="str">
        <f t="shared" si="3120"/>
        <v/>
      </c>
      <c r="EM200" s="44" t="str">
        <f t="shared" si="3120"/>
        <v/>
      </c>
      <c r="EN200" s="44" t="str">
        <f t="shared" si="3120"/>
        <v/>
      </c>
      <c r="EO200" s="44" t="str">
        <f t="shared" si="3120"/>
        <v/>
      </c>
      <c r="EP200" s="44" t="str">
        <f t="shared" si="3120"/>
        <v/>
      </c>
      <c r="EQ200" s="44" t="str">
        <f t="shared" si="3120"/>
        <v/>
      </c>
      <c r="ER200" s="44" t="str">
        <f t="shared" si="3120"/>
        <v/>
      </c>
      <c r="ES200" s="44" t="str">
        <f t="shared" si="3120"/>
        <v/>
      </c>
      <c r="ET200" s="44" t="str">
        <f t="shared" si="3120"/>
        <v/>
      </c>
      <c r="EU200" s="44" t="str">
        <f t="shared" si="3120"/>
        <v/>
      </c>
      <c r="EV200" s="44" t="str">
        <f t="shared" si="3120"/>
        <v/>
      </c>
      <c r="EW200" s="44" t="str">
        <f t="shared" si="3120"/>
        <v/>
      </c>
      <c r="EX200" s="44" t="str">
        <f t="shared" si="3120"/>
        <v/>
      </c>
      <c r="EY200" s="44" t="str">
        <f t="shared" si="3120"/>
        <v/>
      </c>
      <c r="EZ200" s="44" t="str">
        <f t="shared" si="3120"/>
        <v/>
      </c>
      <c r="FA200" s="44" t="str">
        <f t="shared" si="3120"/>
        <v/>
      </c>
      <c r="FB200" s="44" t="str">
        <f t="shared" si="3120"/>
        <v/>
      </c>
      <c r="FC200" s="44" t="str">
        <f t="shared" si="3120"/>
        <v/>
      </c>
      <c r="FD200" s="44" t="str">
        <f t="shared" si="3120"/>
        <v/>
      </c>
      <c r="FE200" s="44" t="str">
        <f t="shared" si="3120"/>
        <v/>
      </c>
      <c r="FF200" s="44" t="str">
        <f t="shared" si="3120"/>
        <v/>
      </c>
      <c r="FG200" s="44" t="str">
        <f t="shared" si="3120"/>
        <v/>
      </c>
      <c r="FH200" s="44" t="str">
        <f t="shared" si="3120"/>
        <v/>
      </c>
      <c r="FI200" s="44" t="str">
        <f t="shared" si="3120"/>
        <v/>
      </c>
      <c r="FJ200" s="44" t="str">
        <f t="shared" si="3120"/>
        <v/>
      </c>
      <c r="FK200" s="44" t="str">
        <f t="shared" si="3120"/>
        <v/>
      </c>
      <c r="FL200" s="44" t="str">
        <f t="shared" si="3120"/>
        <v/>
      </c>
      <c r="FM200" s="44" t="str">
        <f t="shared" si="3120"/>
        <v/>
      </c>
      <c r="FN200" s="44" t="str">
        <f t="shared" ref="FN200:FS201" si="3121">IF(CH200="","","|n"&amp;FN$2&amp;"+"&amp;CH200&amp;FN$1)</f>
        <v/>
      </c>
      <c r="FO200" s="44" t="str">
        <f t="shared" si="3121"/>
        <v/>
      </c>
      <c r="FP200" s="44" t="str">
        <f t="shared" si="3121"/>
        <v/>
      </c>
      <c r="FQ200" s="44" t="str">
        <f t="shared" si="3121"/>
        <v/>
      </c>
      <c r="FR200" s="44" t="str">
        <f t="shared" si="3121"/>
        <v/>
      </c>
      <c r="FS200" s="44" t="str">
        <f t="shared" si="3121"/>
        <v/>
      </c>
    </row>
    <row r="201" s="37" customFormat="1" ht="15" spans="1:175">
      <c r="A201" s="78"/>
      <c r="B201" s="5" t="s">
        <v>669</v>
      </c>
      <c r="C201" s="78" t="s">
        <v>670</v>
      </c>
      <c r="D201" s="74"/>
      <c r="E201" s="74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81"/>
      <c r="Q201" s="81"/>
      <c r="R201" s="81"/>
      <c r="S201" s="81"/>
      <c r="T201" s="78" t="s">
        <v>670</v>
      </c>
      <c r="U201" s="60" t="str">
        <f t="shared" ref="U201:U202" si="3122">"ReplaceableTextures\\CommandButtons\\BTN"&amp;B201&amp;".blp"</f>
        <v>ReplaceableTextures\\CommandButtons\\BTNIZ0A.blp</v>
      </c>
      <c r="V201" s="101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43"/>
      <c r="AS201" s="43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  <c r="BJ201" s="102"/>
      <c r="BK201" s="102"/>
      <c r="BL201" s="102"/>
      <c r="BM201" s="102"/>
      <c r="BN201" s="102"/>
      <c r="BO201" s="102"/>
      <c r="BP201" s="102"/>
      <c r="BQ201" s="102"/>
      <c r="BR201" s="102"/>
      <c r="BS201" s="102"/>
      <c r="BT201" s="102"/>
      <c r="BU201" s="102"/>
      <c r="BV201" s="102"/>
      <c r="BW201" s="102"/>
      <c r="BX201" s="102"/>
      <c r="BY201" s="102"/>
      <c r="BZ201" s="102"/>
      <c r="CA201" s="102"/>
      <c r="CB201" s="102"/>
      <c r="CC201" s="102"/>
      <c r="CD201" s="102"/>
      <c r="CE201" s="102"/>
      <c r="CF201" s="102"/>
      <c r="CG201" s="102"/>
      <c r="CH201" s="102"/>
      <c r="CI201" s="102"/>
      <c r="CJ201" s="102"/>
      <c r="CK201" s="102"/>
      <c r="CL201" s="102"/>
      <c r="CM201" s="102"/>
      <c r="CN201" s="106" t="str">
        <f t="shared" ref="CN201" si="3123">"InitUnitState('"&amp;B201&amp;"',"&amp;V201&amp;","&amp;W201&amp;","&amp;X201&amp;","&amp;Y201&amp;","&amp;Z201&amp;","&amp;AA201&amp;","&amp;AB201&amp;","&amp;AC201&amp;","&amp;AD201&amp;","&amp;AE201&amp;")"</f>
        <v>InitUnitState('IZ0A',,,,,,,,,,)</v>
      </c>
      <c r="CO201" s="106" t="str">
        <f t="shared" ref="CO201" si="3124">"InitUnitNormal('"&amp;B201&amp;"',"&amp;AF201&amp;","&amp;AG201&amp;","&amp;AH201&amp;","&amp;AI201&amp;","&amp;AJ201&amp;","&amp;AK201&amp;","&amp;AL201&amp;","&amp;AM201&amp;","&amp;AN201&amp;","&amp;AO201&amp;")"</f>
        <v>InitUnitNormal('IZ0A',,,,,,,,,,)</v>
      </c>
      <c r="CP201" s="106" t="str">
        <f t="shared" ref="CP201" si="3125">"InitUnitMagic('"&amp;B201&amp;"',"&amp;AP201&amp;","&amp;AQ201&amp;","&amp;AR201&amp;","&amp;AS201&amp;","&amp;AT201&amp;","&amp;AU201&amp;","&amp;AV201&amp;","&amp;AW201&amp;","&amp;BI201&amp;","&amp;BJ201&amp;")"</f>
        <v>InitUnitMagic('IZ0A',,,,,,,,,,)</v>
      </c>
      <c r="CQ201" s="106" t="str">
        <f t="shared" ref="CQ201" si="3126">"InitUnitAdd('"&amp;B201&amp;"',"&amp;BK201&amp;","&amp;BL201&amp;","&amp;BM201&amp;","&amp;BN201&amp;","&amp;BO201&amp;","&amp;BP201&amp;","&amp;BQ201&amp;","&amp;BR201&amp;","&amp;BS201&amp;","&amp;BT201&amp;")"</f>
        <v>InitUnitAdd('IZ0A',,,,,,,,,,)</v>
      </c>
      <c r="CR201" s="10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InitEquipData('IZ0A',,"",,,,,'','','','','','',"ReplaceableTextures\\CommandButtons\\BTNIZ01.blp")</v>
      </c>
      <c r="CS201" s="106"/>
      <c r="CT201" s="106"/>
      <c r="CU201" s="72" t="str">
        <f t="shared" ref="CU201" si="3127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37" t="str">
        <f t="shared" ref="CV201" si="3128">T201</f>
        <v>暂停进攻</v>
      </c>
      <c r="CW201" s="7"/>
      <c r="CX201" s="7"/>
      <c r="CY201" s="7"/>
      <c r="CZ201" s="7"/>
      <c r="DA201" s="7"/>
      <c r="DB201" s="107" t="str">
        <f t="shared" si="3119"/>
        <v/>
      </c>
      <c r="DC201" s="107" t="str">
        <f t="shared" si="3119"/>
        <v/>
      </c>
      <c r="DD201" s="107" t="str">
        <f t="shared" si="3119"/>
        <v/>
      </c>
      <c r="DE201" s="107" t="str">
        <f t="shared" si="3119"/>
        <v/>
      </c>
      <c r="DF201" s="107" t="str">
        <f t="shared" si="3119"/>
        <v/>
      </c>
      <c r="DG201" s="107" t="str">
        <f t="shared" si="3119"/>
        <v/>
      </c>
      <c r="DH201" s="107" t="str">
        <f t="shared" si="3119"/>
        <v/>
      </c>
      <c r="DI201" s="107" t="str">
        <f t="shared" si="3119"/>
        <v/>
      </c>
      <c r="DJ201" s="107" t="str">
        <f t="shared" si="3119"/>
        <v/>
      </c>
      <c r="DK201" s="107" t="str">
        <f t="shared" si="3119"/>
        <v/>
      </c>
      <c r="DL201" s="107" t="str">
        <f t="shared" si="3119"/>
        <v/>
      </c>
      <c r="DM201" s="107" t="str">
        <f t="shared" si="3119"/>
        <v/>
      </c>
      <c r="DN201" s="107" t="str">
        <f t="shared" si="3119"/>
        <v/>
      </c>
      <c r="DO201" s="107" t="str">
        <f t="shared" si="3119"/>
        <v/>
      </c>
      <c r="DP201" s="107" t="str">
        <f t="shared" si="3119"/>
        <v/>
      </c>
      <c r="DQ201" s="107" t="str">
        <f t="shared" si="3119"/>
        <v/>
      </c>
      <c r="DR201" s="107" t="str">
        <f t="shared" si="3119"/>
        <v/>
      </c>
      <c r="DS201" s="107" t="str">
        <f t="shared" si="3119"/>
        <v/>
      </c>
      <c r="DT201" s="107" t="str">
        <f t="shared" si="3119"/>
        <v/>
      </c>
      <c r="DU201" s="107" t="str">
        <f t="shared" si="3119"/>
        <v/>
      </c>
      <c r="DV201" s="107" t="str">
        <f t="shared" si="3119"/>
        <v/>
      </c>
      <c r="DW201" s="107" t="str">
        <f t="shared" si="3119"/>
        <v/>
      </c>
      <c r="DX201" s="107" t="str">
        <f t="shared" si="3119"/>
        <v/>
      </c>
      <c r="DY201" s="107" t="str">
        <f t="shared" si="3119"/>
        <v/>
      </c>
      <c r="DZ201" s="107" t="str">
        <f t="shared" si="3119"/>
        <v/>
      </c>
      <c r="EA201" s="107" t="str">
        <f t="shared" si="3119"/>
        <v/>
      </c>
      <c r="EB201" s="107" t="str">
        <f t="shared" si="3119"/>
        <v/>
      </c>
      <c r="EC201" s="107" t="str">
        <f t="shared" si="3119"/>
        <v/>
      </c>
      <c r="ED201" s="107" t="str">
        <f t="shared" si="3119"/>
        <v/>
      </c>
      <c r="EE201" s="107" t="str">
        <f t="shared" si="3119"/>
        <v/>
      </c>
      <c r="EF201" s="107" t="str">
        <f t="shared" si="3119"/>
        <v/>
      </c>
      <c r="EG201" s="107" t="str">
        <f t="shared" si="3119"/>
        <v/>
      </c>
      <c r="EH201" s="107" t="str">
        <f t="shared" si="3120"/>
        <v/>
      </c>
      <c r="EI201" s="107" t="str">
        <f t="shared" si="3120"/>
        <v/>
      </c>
      <c r="EJ201" s="107" t="str">
        <f t="shared" si="3120"/>
        <v/>
      </c>
      <c r="EK201" s="107" t="str">
        <f t="shared" si="3120"/>
        <v/>
      </c>
      <c r="EL201" s="107" t="str">
        <f t="shared" si="3120"/>
        <v/>
      </c>
      <c r="EM201" s="107" t="str">
        <f t="shared" si="3120"/>
        <v/>
      </c>
      <c r="EN201" s="107" t="str">
        <f t="shared" si="3120"/>
        <v/>
      </c>
      <c r="EO201" s="107" t="str">
        <f t="shared" si="3120"/>
        <v/>
      </c>
      <c r="EP201" s="107" t="str">
        <f t="shared" si="3120"/>
        <v/>
      </c>
      <c r="EQ201" s="107" t="str">
        <f t="shared" si="3120"/>
        <v/>
      </c>
      <c r="ER201" s="107" t="str">
        <f t="shared" si="3120"/>
        <v/>
      </c>
      <c r="ES201" s="107" t="str">
        <f t="shared" si="3120"/>
        <v/>
      </c>
      <c r="ET201" s="107" t="str">
        <f t="shared" si="3120"/>
        <v/>
      </c>
      <c r="EU201" s="107" t="str">
        <f t="shared" si="3120"/>
        <v/>
      </c>
      <c r="EV201" s="107" t="str">
        <f t="shared" si="3120"/>
        <v/>
      </c>
      <c r="EW201" s="107" t="str">
        <f t="shared" si="3120"/>
        <v/>
      </c>
      <c r="EX201" s="107" t="str">
        <f t="shared" si="3120"/>
        <v/>
      </c>
      <c r="EY201" s="107" t="str">
        <f t="shared" si="3120"/>
        <v/>
      </c>
      <c r="EZ201" s="107" t="str">
        <f t="shared" si="3120"/>
        <v/>
      </c>
      <c r="FA201" s="107" t="str">
        <f t="shared" si="3120"/>
        <v/>
      </c>
      <c r="FB201" s="107" t="str">
        <f t="shared" si="3120"/>
        <v/>
      </c>
      <c r="FC201" s="107" t="str">
        <f t="shared" si="3120"/>
        <v/>
      </c>
      <c r="FD201" s="107" t="str">
        <f t="shared" si="3120"/>
        <v/>
      </c>
      <c r="FE201" s="107" t="str">
        <f t="shared" si="3120"/>
        <v/>
      </c>
      <c r="FF201" s="107" t="str">
        <f t="shared" si="3120"/>
        <v/>
      </c>
      <c r="FG201" s="107" t="str">
        <f t="shared" si="3120"/>
        <v/>
      </c>
      <c r="FH201" s="107" t="str">
        <f t="shared" si="3120"/>
        <v/>
      </c>
      <c r="FI201" s="107" t="str">
        <f t="shared" si="3120"/>
        <v/>
      </c>
      <c r="FJ201" s="107" t="str">
        <f t="shared" si="3120"/>
        <v/>
      </c>
      <c r="FK201" s="107" t="str">
        <f t="shared" si="3120"/>
        <v/>
      </c>
      <c r="FL201" s="107" t="str">
        <f t="shared" si="3120"/>
        <v/>
      </c>
      <c r="FM201" s="107" t="str">
        <f t="shared" si="3120"/>
        <v/>
      </c>
      <c r="FN201" s="107" t="str">
        <f t="shared" si="3121"/>
        <v/>
      </c>
      <c r="FO201" s="107" t="str">
        <f t="shared" si="3121"/>
        <v/>
      </c>
      <c r="FP201" s="107" t="str">
        <f t="shared" si="3121"/>
        <v/>
      </c>
      <c r="FQ201" s="107" t="str">
        <f t="shared" si="3121"/>
        <v/>
      </c>
      <c r="FR201" s="107" t="str">
        <f t="shared" si="3121"/>
        <v/>
      </c>
      <c r="FS201" s="107" t="str">
        <f t="shared" si="3121"/>
        <v/>
      </c>
    </row>
    <row r="202" s="37" customFormat="1" ht="15" spans="1:175">
      <c r="A202" s="78"/>
      <c r="B202" s="5" t="s">
        <v>671</v>
      </c>
      <c r="C202" s="78" t="s">
        <v>672</v>
      </c>
      <c r="D202" s="74"/>
      <c r="E202" s="74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81"/>
      <c r="Q202" s="81"/>
      <c r="R202" s="81"/>
      <c r="S202" s="81"/>
      <c r="T202" s="78" t="s">
        <v>673</v>
      </c>
      <c r="U202" s="60" t="str">
        <f t="shared" si="3122"/>
        <v>ReplaceableTextures\\CommandButtons\\BTNIZ01.blp</v>
      </c>
      <c r="V202" s="101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43"/>
      <c r="AS202" s="43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  <c r="BJ202" s="102"/>
      <c r="BK202" s="102"/>
      <c r="BL202" s="102"/>
      <c r="BM202" s="102"/>
      <c r="BN202" s="102"/>
      <c r="BO202" s="102"/>
      <c r="BP202" s="102"/>
      <c r="BQ202" s="102"/>
      <c r="BR202" s="102"/>
      <c r="BS202" s="102"/>
      <c r="BT202" s="102"/>
      <c r="BU202" s="102"/>
      <c r="BV202" s="102"/>
      <c r="BW202" s="102"/>
      <c r="BX202" s="102"/>
      <c r="BY202" s="102"/>
      <c r="BZ202" s="102"/>
      <c r="CA202" s="102"/>
      <c r="CB202" s="102"/>
      <c r="CC202" s="102"/>
      <c r="CD202" s="102"/>
      <c r="CE202" s="102"/>
      <c r="CF202" s="102"/>
      <c r="CG202" s="102"/>
      <c r="CH202" s="102"/>
      <c r="CI202" s="102"/>
      <c r="CJ202" s="102"/>
      <c r="CK202" s="102"/>
      <c r="CL202" s="102"/>
      <c r="CM202" s="102"/>
      <c r="CN202" s="106" t="str">
        <f t="shared" si="2898"/>
        <v>InitUnitState('IZ01',,,,,,,,,,)</v>
      </c>
      <c r="CO202" s="106" t="str">
        <f t="shared" si="2899"/>
        <v>InitUnitNormal('IZ01',,,,,,,,,,)</v>
      </c>
      <c r="CP202" s="106" t="str">
        <f t="shared" si="2900"/>
        <v>InitUnitMagic('IZ01',,,,,,,,,,)</v>
      </c>
      <c r="CQ202" s="106" t="str">
        <f t="shared" si="2901"/>
        <v>InitUnitAdd('IZ01',,,,,,,,,,)</v>
      </c>
      <c r="CR202" s="10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InitEquipData('IZ01',,"",,,,,'','','','','','',"ReplaceableTextures\\CommandButtons\\BTN001.blp")</v>
      </c>
      <c r="CS202" s="106"/>
      <c r="CT202" s="106"/>
      <c r="CU202" s="72" t="str">
        <f t="shared" si="3047"/>
        <v>|n</v>
      </c>
      <c r="CV202" s="37" t="str">
        <f t="shared" si="304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202" s="7"/>
      <c r="CX202" s="7"/>
      <c r="CY202" s="7"/>
      <c r="CZ202" s="7"/>
      <c r="DA202" s="7"/>
      <c r="DB202" s="107" t="str">
        <f t="shared" ref="DB202:FM202" si="3129">IF(V202="","","|n"&amp;DB$2&amp;"+"&amp;V202&amp;DB$1)</f>
        <v/>
      </c>
      <c r="DC202" s="107" t="str">
        <f t="shared" si="3129"/>
        <v/>
      </c>
      <c r="DD202" s="107" t="str">
        <f t="shared" si="3129"/>
        <v/>
      </c>
      <c r="DE202" s="107" t="str">
        <f t="shared" si="3129"/>
        <v/>
      </c>
      <c r="DF202" s="107" t="str">
        <f t="shared" si="3129"/>
        <v/>
      </c>
      <c r="DG202" s="107" t="str">
        <f t="shared" si="3129"/>
        <v/>
      </c>
      <c r="DH202" s="107" t="str">
        <f t="shared" si="3129"/>
        <v/>
      </c>
      <c r="DI202" s="107" t="str">
        <f t="shared" si="3129"/>
        <v/>
      </c>
      <c r="DJ202" s="107" t="str">
        <f t="shared" si="3129"/>
        <v/>
      </c>
      <c r="DK202" s="107" t="str">
        <f t="shared" si="3129"/>
        <v/>
      </c>
      <c r="DL202" s="107" t="str">
        <f t="shared" si="3129"/>
        <v/>
      </c>
      <c r="DM202" s="107" t="str">
        <f t="shared" si="3129"/>
        <v/>
      </c>
      <c r="DN202" s="107" t="str">
        <f t="shared" si="3129"/>
        <v/>
      </c>
      <c r="DO202" s="107" t="str">
        <f t="shared" si="3129"/>
        <v/>
      </c>
      <c r="DP202" s="107" t="str">
        <f t="shared" si="3129"/>
        <v/>
      </c>
      <c r="DQ202" s="107" t="str">
        <f t="shared" si="3129"/>
        <v/>
      </c>
      <c r="DR202" s="107" t="str">
        <f t="shared" si="3129"/>
        <v/>
      </c>
      <c r="DS202" s="107" t="str">
        <f t="shared" si="3129"/>
        <v/>
      </c>
      <c r="DT202" s="107" t="str">
        <f t="shared" si="3129"/>
        <v/>
      </c>
      <c r="DU202" s="107" t="str">
        <f t="shared" si="3129"/>
        <v/>
      </c>
      <c r="DV202" s="107" t="str">
        <f t="shared" si="3129"/>
        <v/>
      </c>
      <c r="DW202" s="107" t="str">
        <f t="shared" si="3129"/>
        <v/>
      </c>
      <c r="DX202" s="107" t="str">
        <f t="shared" si="3129"/>
        <v/>
      </c>
      <c r="DY202" s="107" t="str">
        <f t="shared" si="3129"/>
        <v/>
      </c>
      <c r="DZ202" s="107" t="str">
        <f t="shared" si="3129"/>
        <v/>
      </c>
      <c r="EA202" s="107" t="str">
        <f t="shared" si="3129"/>
        <v/>
      </c>
      <c r="EB202" s="107" t="str">
        <f t="shared" si="3129"/>
        <v/>
      </c>
      <c r="EC202" s="107" t="str">
        <f t="shared" si="3129"/>
        <v/>
      </c>
      <c r="ED202" s="107" t="str">
        <f t="shared" si="3129"/>
        <v/>
      </c>
      <c r="EE202" s="107" t="str">
        <f t="shared" si="3129"/>
        <v/>
      </c>
      <c r="EF202" s="107" t="str">
        <f t="shared" si="3129"/>
        <v/>
      </c>
      <c r="EG202" s="107" t="str">
        <f t="shared" si="3129"/>
        <v/>
      </c>
      <c r="EH202" s="107" t="str">
        <f t="shared" si="3129"/>
        <v/>
      </c>
      <c r="EI202" s="107" t="str">
        <f t="shared" si="3129"/>
        <v/>
      </c>
      <c r="EJ202" s="107" t="str">
        <f t="shared" si="3129"/>
        <v/>
      </c>
      <c r="EK202" s="107" t="str">
        <f t="shared" si="3129"/>
        <v/>
      </c>
      <c r="EL202" s="107" t="str">
        <f t="shared" si="3129"/>
        <v/>
      </c>
      <c r="EM202" s="107" t="str">
        <f t="shared" si="3129"/>
        <v/>
      </c>
      <c r="EN202" s="107" t="str">
        <f t="shared" si="3129"/>
        <v/>
      </c>
      <c r="EO202" s="107" t="str">
        <f t="shared" si="3129"/>
        <v/>
      </c>
      <c r="EP202" s="107" t="str">
        <f t="shared" si="3129"/>
        <v/>
      </c>
      <c r="EQ202" s="107" t="str">
        <f t="shared" si="3129"/>
        <v/>
      </c>
      <c r="ER202" s="107" t="str">
        <f t="shared" si="3129"/>
        <v/>
      </c>
      <c r="ES202" s="107" t="str">
        <f t="shared" si="3129"/>
        <v/>
      </c>
      <c r="ET202" s="107" t="str">
        <f t="shared" si="3129"/>
        <v/>
      </c>
      <c r="EU202" s="107" t="str">
        <f t="shared" si="3129"/>
        <v/>
      </c>
      <c r="EV202" s="107" t="str">
        <f t="shared" si="3129"/>
        <v/>
      </c>
      <c r="EW202" s="107" t="str">
        <f t="shared" si="3129"/>
        <v/>
      </c>
      <c r="EX202" s="107" t="str">
        <f t="shared" si="3129"/>
        <v/>
      </c>
      <c r="EY202" s="107" t="str">
        <f t="shared" si="3129"/>
        <v/>
      </c>
      <c r="EZ202" s="107" t="str">
        <f t="shared" si="3129"/>
        <v/>
      </c>
      <c r="FA202" s="107" t="str">
        <f t="shared" si="3129"/>
        <v/>
      </c>
      <c r="FB202" s="107" t="str">
        <f t="shared" si="3129"/>
        <v/>
      </c>
      <c r="FC202" s="107" t="str">
        <f t="shared" si="3129"/>
        <v/>
      </c>
      <c r="FD202" s="107" t="str">
        <f t="shared" si="3129"/>
        <v/>
      </c>
      <c r="FE202" s="107" t="str">
        <f t="shared" si="3129"/>
        <v/>
      </c>
      <c r="FF202" s="107" t="str">
        <f t="shared" si="3129"/>
        <v/>
      </c>
      <c r="FG202" s="107" t="str">
        <f t="shared" si="3129"/>
        <v/>
      </c>
      <c r="FH202" s="107" t="str">
        <f t="shared" si="3129"/>
        <v/>
      </c>
      <c r="FI202" s="107" t="str">
        <f t="shared" si="3129"/>
        <v/>
      </c>
      <c r="FJ202" s="107" t="str">
        <f t="shared" si="3129"/>
        <v/>
      </c>
      <c r="FK202" s="107" t="str">
        <f t="shared" si="3129"/>
        <v/>
      </c>
      <c r="FL202" s="107" t="str">
        <f t="shared" si="3129"/>
        <v/>
      </c>
      <c r="FM202" s="107" t="str">
        <f t="shared" si="3129"/>
        <v/>
      </c>
      <c r="FN202" s="107" t="str">
        <f t="shared" ref="FN202:FS202" si="3130">IF(CH202="","","|n"&amp;FN$2&amp;"+"&amp;CH202&amp;FN$1)</f>
        <v/>
      </c>
      <c r="FO202" s="107" t="str">
        <f t="shared" si="3130"/>
        <v/>
      </c>
      <c r="FP202" s="107" t="str">
        <f t="shared" si="3130"/>
        <v/>
      </c>
      <c r="FQ202" s="107" t="str">
        <f t="shared" si="3130"/>
        <v/>
      </c>
      <c r="FR202" s="107" t="str">
        <f t="shared" si="3130"/>
        <v/>
      </c>
      <c r="FS202" s="107" t="str">
        <f t="shared" si="3130"/>
        <v/>
      </c>
    </row>
    <row r="203" ht="15" spans="1:175">
      <c r="A203" s="78"/>
      <c r="B203" s="5" t="s">
        <v>674</v>
      </c>
      <c r="C203" s="78" t="s">
        <v>675</v>
      </c>
      <c r="T203" s="3" t="s">
        <v>676</v>
      </c>
      <c r="U203" s="60" t="s">
        <v>436</v>
      </c>
      <c r="CN203" s="13" t="str">
        <f t="shared" si="2898"/>
        <v>InitUnitState('IS01',,,,,,,,,,)</v>
      </c>
      <c r="CO203" s="13" t="str">
        <f t="shared" si="2899"/>
        <v>InitUnitNormal('IS01',,,,,,,,,,)</v>
      </c>
      <c r="CP203" s="13" t="str">
        <f t="shared" si="2900"/>
        <v>InitUnitMagic('IS01',,,,,,,,,,)</v>
      </c>
      <c r="CQ203" s="13" t="str">
        <f t="shared" si="2901"/>
        <v>InitUnitAdd('IS01',,,,,,,,,,)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InitEquipData('IS01',,"",,,,,'','','','','','',"ReplaceableTextures\\CommandButtons\\BTN002.blp")</v>
      </c>
      <c r="CU203" s="72" t="str">
        <f t="shared" si="3047"/>
        <v>|n</v>
      </c>
      <c r="CV203" s="6" t="str">
        <f t="shared" si="3048"/>
        <v>学习或重置当前|cffffd24dQ技能|r。|n|cffffcc00抽取消耗：|r2000金币*次数|n|cffffcc00抽取次数：|r0/10|n|n|cff00ff7f单局最多抽取10次|r</v>
      </c>
      <c r="CW203" s="7"/>
      <c r="CX203" s="7"/>
      <c r="CY203" s="7"/>
      <c r="CZ203" s="7"/>
      <c r="DA203" s="7"/>
      <c r="DB203" s="44" t="str">
        <f t="shared" ref="DB203:DK204" si="3131">IF(V203="","","|n"&amp;DB$2&amp;"+"&amp;V203&amp;DB$1)</f>
        <v/>
      </c>
      <c r="DC203" s="44" t="str">
        <f t="shared" si="3131"/>
        <v/>
      </c>
      <c r="DD203" s="44" t="str">
        <f t="shared" si="3131"/>
        <v/>
      </c>
      <c r="DE203" s="44" t="str">
        <f t="shared" si="3131"/>
        <v/>
      </c>
      <c r="DF203" s="44" t="str">
        <f t="shared" si="3131"/>
        <v/>
      </c>
      <c r="DG203" s="44" t="str">
        <f t="shared" si="3131"/>
        <v/>
      </c>
      <c r="DH203" s="44" t="str">
        <f t="shared" si="3131"/>
        <v/>
      </c>
      <c r="DI203" s="44" t="str">
        <f t="shared" si="3131"/>
        <v/>
      </c>
      <c r="DJ203" s="44" t="str">
        <f t="shared" si="3131"/>
        <v/>
      </c>
      <c r="DK203" s="44" t="str">
        <f t="shared" si="3131"/>
        <v/>
      </c>
      <c r="DL203" s="44" t="str">
        <f t="shared" ref="DL203:DU204" si="3132">IF(AF203="","","|n"&amp;DL$2&amp;"+"&amp;AF203&amp;DL$1)</f>
        <v/>
      </c>
      <c r="DM203" s="44" t="str">
        <f t="shared" si="3132"/>
        <v/>
      </c>
      <c r="DN203" s="44" t="str">
        <f t="shared" si="3132"/>
        <v/>
      </c>
      <c r="DO203" s="44" t="str">
        <f t="shared" si="3132"/>
        <v/>
      </c>
      <c r="DP203" s="44" t="str">
        <f t="shared" si="3132"/>
        <v/>
      </c>
      <c r="DQ203" s="44" t="str">
        <f t="shared" si="3132"/>
        <v/>
      </c>
      <c r="DR203" s="44" t="str">
        <f t="shared" si="3132"/>
        <v/>
      </c>
      <c r="DS203" s="44" t="str">
        <f t="shared" si="3132"/>
        <v/>
      </c>
      <c r="DT203" s="44" t="str">
        <f t="shared" si="3132"/>
        <v/>
      </c>
      <c r="DU203" s="44" t="str">
        <f t="shared" si="3132"/>
        <v/>
      </c>
      <c r="DV203" s="44" t="str">
        <f t="shared" ref="DV203:EE204" si="3133">IF(AP203="","","|n"&amp;DV$2&amp;"+"&amp;AP203&amp;DV$1)</f>
        <v/>
      </c>
      <c r="DW203" s="44" t="str">
        <f t="shared" si="3133"/>
        <v/>
      </c>
      <c r="DX203" s="44" t="str">
        <f t="shared" si="3133"/>
        <v/>
      </c>
      <c r="DY203" s="44" t="str">
        <f t="shared" si="3133"/>
        <v/>
      </c>
      <c r="DZ203" s="44" t="str">
        <f t="shared" si="3133"/>
        <v/>
      </c>
      <c r="EA203" s="44" t="str">
        <f t="shared" si="3133"/>
        <v/>
      </c>
      <c r="EB203" s="44" t="str">
        <f t="shared" si="3133"/>
        <v/>
      </c>
      <c r="EC203" s="44" t="str">
        <f t="shared" si="3133"/>
        <v/>
      </c>
      <c r="ED203" s="44" t="str">
        <f t="shared" si="3133"/>
        <v/>
      </c>
      <c r="EE203" s="44" t="str">
        <f t="shared" si="3133"/>
        <v/>
      </c>
      <c r="EF203" s="44" t="str">
        <f t="shared" ref="EF203:EO204" si="3134">IF(AZ203="","","|n"&amp;EF$2&amp;"+"&amp;AZ203&amp;EF$1)</f>
        <v/>
      </c>
      <c r="EG203" s="44" t="str">
        <f t="shared" si="3134"/>
        <v/>
      </c>
      <c r="EH203" s="44" t="str">
        <f t="shared" si="3134"/>
        <v/>
      </c>
      <c r="EI203" s="44" t="str">
        <f t="shared" si="3134"/>
        <v/>
      </c>
      <c r="EJ203" s="44" t="str">
        <f t="shared" si="3134"/>
        <v/>
      </c>
      <c r="EK203" s="44" t="str">
        <f t="shared" si="3134"/>
        <v/>
      </c>
      <c r="EL203" s="44" t="str">
        <f t="shared" si="3134"/>
        <v/>
      </c>
      <c r="EM203" s="44" t="str">
        <f t="shared" si="3134"/>
        <v/>
      </c>
      <c r="EN203" s="44" t="str">
        <f t="shared" si="3134"/>
        <v/>
      </c>
      <c r="EO203" s="44" t="str">
        <f t="shared" si="3134"/>
        <v/>
      </c>
      <c r="EP203" s="44" t="str">
        <f t="shared" ref="EP203:EY204" si="3135">IF(BJ203="","","|n"&amp;EP$2&amp;"+"&amp;BJ203&amp;EP$1)</f>
        <v/>
      </c>
      <c r="EQ203" s="44" t="str">
        <f t="shared" si="3135"/>
        <v/>
      </c>
      <c r="ER203" s="44" t="str">
        <f t="shared" si="3135"/>
        <v/>
      </c>
      <c r="ES203" s="44" t="str">
        <f t="shared" si="3135"/>
        <v/>
      </c>
      <c r="ET203" s="44" t="str">
        <f t="shared" si="3135"/>
        <v/>
      </c>
      <c r="EU203" s="44" t="str">
        <f t="shared" si="3135"/>
        <v/>
      </c>
      <c r="EV203" s="44" t="str">
        <f t="shared" si="3135"/>
        <v/>
      </c>
      <c r="EW203" s="44" t="str">
        <f t="shared" si="3135"/>
        <v/>
      </c>
      <c r="EX203" s="44" t="str">
        <f t="shared" si="3135"/>
        <v/>
      </c>
      <c r="EY203" s="44" t="str">
        <f t="shared" si="3135"/>
        <v/>
      </c>
      <c r="EZ203" s="44" t="str">
        <f t="shared" ref="EZ203:FI204" si="3136">IF(BT203="","","|n"&amp;EZ$2&amp;"+"&amp;BT203&amp;EZ$1)</f>
        <v/>
      </c>
      <c r="FA203" s="44" t="str">
        <f t="shared" si="3136"/>
        <v/>
      </c>
      <c r="FB203" s="44" t="str">
        <f t="shared" si="3136"/>
        <v/>
      </c>
      <c r="FC203" s="44" t="str">
        <f t="shared" si="3136"/>
        <v/>
      </c>
      <c r="FD203" s="44" t="str">
        <f t="shared" si="3136"/>
        <v/>
      </c>
      <c r="FE203" s="44" t="str">
        <f t="shared" si="3136"/>
        <v/>
      </c>
      <c r="FF203" s="44" t="str">
        <f t="shared" si="3136"/>
        <v/>
      </c>
      <c r="FG203" s="44" t="str">
        <f t="shared" si="3136"/>
        <v/>
      </c>
      <c r="FH203" s="44" t="str">
        <f t="shared" si="3136"/>
        <v/>
      </c>
      <c r="FI203" s="44" t="str">
        <f t="shared" si="3136"/>
        <v/>
      </c>
      <c r="FJ203" s="44" t="str">
        <f t="shared" ref="FJ203:FS204" si="3137">IF(CD203="","","|n"&amp;FJ$2&amp;"+"&amp;CD203&amp;FJ$1)</f>
        <v/>
      </c>
      <c r="FK203" s="44" t="str">
        <f t="shared" si="3137"/>
        <v/>
      </c>
      <c r="FL203" s="44" t="str">
        <f t="shared" si="3137"/>
        <v/>
      </c>
      <c r="FM203" s="44" t="str">
        <f t="shared" si="3137"/>
        <v/>
      </c>
      <c r="FN203" s="44" t="str">
        <f t="shared" si="3137"/>
        <v/>
      </c>
      <c r="FO203" s="44" t="str">
        <f t="shared" si="3137"/>
        <v/>
      </c>
      <c r="FP203" s="44" t="str">
        <f t="shared" si="3137"/>
        <v/>
      </c>
      <c r="FQ203" s="44" t="str">
        <f t="shared" si="3137"/>
        <v/>
      </c>
      <c r="FR203" s="44" t="str">
        <f t="shared" si="3137"/>
        <v/>
      </c>
      <c r="FS203" s="44" t="str">
        <f t="shared" si="3137"/>
        <v/>
      </c>
    </row>
    <row r="204" ht="15" spans="1:175">
      <c r="A204" s="78"/>
      <c r="B204" s="5" t="s">
        <v>677</v>
      </c>
      <c r="C204" s="78" t="s">
        <v>678</v>
      </c>
      <c r="T204" s="3" t="s">
        <v>679</v>
      </c>
      <c r="U204" s="60" t="s">
        <v>680</v>
      </c>
      <c r="CN204" s="13" t="str">
        <f t="shared" si="2898"/>
        <v>InitUnitState('IS02',,,,,,,,,,)</v>
      </c>
      <c r="CO204" s="13" t="str">
        <f t="shared" si="2899"/>
        <v>InitUnitNormal('IS02',,,,,,,,,,)</v>
      </c>
      <c r="CP204" s="13" t="str">
        <f t="shared" si="2900"/>
        <v>InitUnitMagic('IS02',,,,,,,,,,)</v>
      </c>
      <c r="CQ204" s="13" t="str">
        <f t="shared" si="2901"/>
        <v>InitUnitAdd('IS02',,,,,,,,,,)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InitEquipData('IS02',,"",,,,,'','','','','','',"ReplaceableTextures\\CommandButtons\\BTN003.blp")</v>
      </c>
      <c r="CU204" s="72" t="str">
        <f t="shared" si="3047"/>
        <v>|n</v>
      </c>
      <c r="CV204" s="6" t="str">
        <f t="shared" si="3048"/>
        <v>学习或重置当前|cffffd24dW技能|r。|n|cffffcc00抽取消耗：|r5000金币*次数|n|cffffcc00抽取次数：|r0/10|n|n|cff00ff7f单局最多抽取10次|r</v>
      </c>
      <c r="CW204" s="7"/>
      <c r="CX204" s="7"/>
      <c r="CY204" s="7"/>
      <c r="CZ204" s="7"/>
      <c r="DA204" s="7"/>
      <c r="DB204" s="44" t="str">
        <f t="shared" si="3131"/>
        <v/>
      </c>
      <c r="DC204" s="44" t="str">
        <f t="shared" si="3131"/>
        <v/>
      </c>
      <c r="DD204" s="44" t="str">
        <f t="shared" si="3131"/>
        <v/>
      </c>
      <c r="DE204" s="44" t="str">
        <f t="shared" si="3131"/>
        <v/>
      </c>
      <c r="DF204" s="44" t="str">
        <f t="shared" si="3131"/>
        <v/>
      </c>
      <c r="DG204" s="44" t="str">
        <f t="shared" si="3131"/>
        <v/>
      </c>
      <c r="DH204" s="44" t="str">
        <f t="shared" si="3131"/>
        <v/>
      </c>
      <c r="DI204" s="44" t="str">
        <f t="shared" si="3131"/>
        <v/>
      </c>
      <c r="DJ204" s="44" t="str">
        <f t="shared" si="3131"/>
        <v/>
      </c>
      <c r="DK204" s="44" t="str">
        <f t="shared" si="3131"/>
        <v/>
      </c>
      <c r="DL204" s="44" t="str">
        <f t="shared" si="3132"/>
        <v/>
      </c>
      <c r="DM204" s="44" t="str">
        <f t="shared" si="3132"/>
        <v/>
      </c>
      <c r="DN204" s="44" t="str">
        <f t="shared" si="3132"/>
        <v/>
      </c>
      <c r="DO204" s="44" t="str">
        <f t="shared" si="3132"/>
        <v/>
      </c>
      <c r="DP204" s="44" t="str">
        <f t="shared" si="3132"/>
        <v/>
      </c>
      <c r="DQ204" s="44" t="str">
        <f t="shared" si="3132"/>
        <v/>
      </c>
      <c r="DR204" s="44" t="str">
        <f t="shared" si="3132"/>
        <v/>
      </c>
      <c r="DS204" s="44" t="str">
        <f t="shared" si="3132"/>
        <v/>
      </c>
      <c r="DT204" s="44" t="str">
        <f t="shared" si="3132"/>
        <v/>
      </c>
      <c r="DU204" s="44" t="str">
        <f t="shared" si="3132"/>
        <v/>
      </c>
      <c r="DV204" s="44" t="str">
        <f t="shared" si="3133"/>
        <v/>
      </c>
      <c r="DW204" s="44" t="str">
        <f t="shared" si="3133"/>
        <v/>
      </c>
      <c r="DX204" s="44" t="str">
        <f t="shared" si="3133"/>
        <v/>
      </c>
      <c r="DY204" s="44" t="str">
        <f t="shared" si="3133"/>
        <v/>
      </c>
      <c r="DZ204" s="44" t="str">
        <f t="shared" si="3133"/>
        <v/>
      </c>
      <c r="EA204" s="44" t="str">
        <f t="shared" si="3133"/>
        <v/>
      </c>
      <c r="EB204" s="44" t="str">
        <f t="shared" si="3133"/>
        <v/>
      </c>
      <c r="EC204" s="44" t="str">
        <f t="shared" si="3133"/>
        <v/>
      </c>
      <c r="ED204" s="44" t="str">
        <f t="shared" si="3133"/>
        <v/>
      </c>
      <c r="EE204" s="44" t="str">
        <f t="shared" si="3133"/>
        <v/>
      </c>
      <c r="EF204" s="44" t="str">
        <f t="shared" si="3134"/>
        <v/>
      </c>
      <c r="EG204" s="44" t="str">
        <f t="shared" si="3134"/>
        <v/>
      </c>
      <c r="EH204" s="44" t="str">
        <f t="shared" si="3134"/>
        <v/>
      </c>
      <c r="EI204" s="44" t="str">
        <f t="shared" si="3134"/>
        <v/>
      </c>
      <c r="EJ204" s="44" t="str">
        <f t="shared" si="3134"/>
        <v/>
      </c>
      <c r="EK204" s="44" t="str">
        <f t="shared" si="3134"/>
        <v/>
      </c>
      <c r="EL204" s="44" t="str">
        <f t="shared" si="3134"/>
        <v/>
      </c>
      <c r="EM204" s="44" t="str">
        <f t="shared" si="3134"/>
        <v/>
      </c>
      <c r="EN204" s="44" t="str">
        <f t="shared" si="3134"/>
        <v/>
      </c>
      <c r="EO204" s="44" t="str">
        <f t="shared" si="3134"/>
        <v/>
      </c>
      <c r="EP204" s="44" t="str">
        <f t="shared" si="3135"/>
        <v/>
      </c>
      <c r="EQ204" s="44" t="str">
        <f t="shared" si="3135"/>
        <v/>
      </c>
      <c r="ER204" s="44" t="str">
        <f t="shared" si="3135"/>
        <v/>
      </c>
      <c r="ES204" s="44" t="str">
        <f t="shared" si="3135"/>
        <v/>
      </c>
      <c r="ET204" s="44" t="str">
        <f t="shared" si="3135"/>
        <v/>
      </c>
      <c r="EU204" s="44" t="str">
        <f t="shared" si="3135"/>
        <v/>
      </c>
      <c r="EV204" s="44" t="str">
        <f t="shared" si="3135"/>
        <v/>
      </c>
      <c r="EW204" s="44" t="str">
        <f t="shared" si="3135"/>
        <v/>
      </c>
      <c r="EX204" s="44" t="str">
        <f t="shared" si="3135"/>
        <v/>
      </c>
      <c r="EY204" s="44" t="str">
        <f t="shared" si="3135"/>
        <v/>
      </c>
      <c r="EZ204" s="44" t="str">
        <f t="shared" si="3136"/>
        <v/>
      </c>
      <c r="FA204" s="44" t="str">
        <f t="shared" si="3136"/>
        <v/>
      </c>
      <c r="FB204" s="44" t="str">
        <f t="shared" si="3136"/>
        <v/>
      </c>
      <c r="FC204" s="44" t="str">
        <f t="shared" si="3136"/>
        <v/>
      </c>
      <c r="FD204" s="44" t="str">
        <f t="shared" si="3136"/>
        <v/>
      </c>
      <c r="FE204" s="44" t="str">
        <f t="shared" si="3136"/>
        <v/>
      </c>
      <c r="FF204" s="44" t="str">
        <f t="shared" si="3136"/>
        <v/>
      </c>
      <c r="FG204" s="44" t="str">
        <f t="shared" si="3136"/>
        <v/>
      </c>
      <c r="FH204" s="44" t="str">
        <f t="shared" si="3136"/>
        <v/>
      </c>
      <c r="FI204" s="44" t="str">
        <f t="shared" si="3136"/>
        <v/>
      </c>
      <c r="FJ204" s="44" t="str">
        <f t="shared" si="3137"/>
        <v/>
      </c>
      <c r="FK204" s="44" t="str">
        <f t="shared" si="3137"/>
        <v/>
      </c>
      <c r="FL204" s="44" t="str">
        <f t="shared" si="3137"/>
        <v/>
      </c>
      <c r="FM204" s="44" t="str">
        <f t="shared" si="3137"/>
        <v/>
      </c>
      <c r="FN204" s="44" t="str">
        <f t="shared" si="3137"/>
        <v/>
      </c>
      <c r="FO204" s="44" t="str">
        <f t="shared" si="3137"/>
        <v/>
      </c>
      <c r="FP204" s="44" t="str">
        <f t="shared" si="3137"/>
        <v/>
      </c>
      <c r="FQ204" s="44" t="str">
        <f t="shared" si="3137"/>
        <v/>
      </c>
      <c r="FR204" s="44" t="str">
        <f t="shared" si="3137"/>
        <v/>
      </c>
      <c r="FS204" s="44" t="str">
        <f t="shared" si="3137"/>
        <v/>
      </c>
    </row>
    <row r="205" ht="15" spans="1:175">
      <c r="A205" s="78"/>
      <c r="B205" s="5" t="s">
        <v>681</v>
      </c>
      <c r="C205" s="78" t="s">
        <v>682</v>
      </c>
      <c r="T205" s="3" t="s">
        <v>683</v>
      </c>
      <c r="U205" s="60" t="s">
        <v>684</v>
      </c>
      <c r="CN205" s="13" t="str">
        <f t="shared" si="2898"/>
        <v>InitUnitState('IS03',,,,,,,,,,)</v>
      </c>
      <c r="CO205" s="13" t="str">
        <f t="shared" si="2899"/>
        <v>InitUnitNormal('IS03',,,,,,,,,,)</v>
      </c>
      <c r="CP205" s="13" t="str">
        <f t="shared" si="2900"/>
        <v>InitUnitMagic('IS03',,,,,,,,,,)</v>
      </c>
      <c r="CQ205" s="13" t="str">
        <f t="shared" si="2901"/>
        <v>InitUnitAdd('IS03',,,,,,,,,,)</v>
      </c>
      <c r="CR205" s="13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72" t="str">
        <f t="shared" si="3047"/>
        <v>|n</v>
      </c>
      <c r="CV205" s="6" t="str">
        <f t="shared" si="3048"/>
        <v>学习或重置当前|cffffd24dE技能|r。|n|cffffcc00抽取消耗：|r20000金币*次数|n|cffffcc00抽取次数：|r0/10|n|n|cff00ff7f单局最多抽取10次|r</v>
      </c>
      <c r="CW205" s="7"/>
      <c r="CX205" s="7"/>
      <c r="CY205" s="7"/>
      <c r="CZ205" s="7"/>
      <c r="DA205" s="7"/>
      <c r="DB205" s="44" t="str">
        <f t="shared" ref="DB205:DK207" si="3138">IF(V205="","","|n"&amp;DB$2&amp;"+"&amp;V205&amp;DB$1)</f>
        <v/>
      </c>
      <c r="DC205" s="44" t="str">
        <f t="shared" si="3138"/>
        <v/>
      </c>
      <c r="DD205" s="44" t="str">
        <f t="shared" si="3138"/>
        <v/>
      </c>
      <c r="DE205" s="44" t="str">
        <f t="shared" si="3138"/>
        <v/>
      </c>
      <c r="DF205" s="44" t="str">
        <f t="shared" si="3138"/>
        <v/>
      </c>
      <c r="DG205" s="44" t="str">
        <f t="shared" si="3138"/>
        <v/>
      </c>
      <c r="DH205" s="44" t="str">
        <f t="shared" si="3138"/>
        <v/>
      </c>
      <c r="DI205" s="44" t="str">
        <f t="shared" si="3138"/>
        <v/>
      </c>
      <c r="DJ205" s="44" t="str">
        <f t="shared" si="3138"/>
        <v/>
      </c>
      <c r="DK205" s="44" t="str">
        <f t="shared" si="3138"/>
        <v/>
      </c>
      <c r="DL205" s="44" t="str">
        <f t="shared" ref="DL205:DU207" si="3139">IF(AF205="","","|n"&amp;DL$2&amp;"+"&amp;AF205&amp;DL$1)</f>
        <v/>
      </c>
      <c r="DM205" s="44" t="str">
        <f t="shared" si="3139"/>
        <v/>
      </c>
      <c r="DN205" s="44" t="str">
        <f t="shared" si="3139"/>
        <v/>
      </c>
      <c r="DO205" s="44" t="str">
        <f t="shared" si="3139"/>
        <v/>
      </c>
      <c r="DP205" s="44" t="str">
        <f t="shared" si="3139"/>
        <v/>
      </c>
      <c r="DQ205" s="44" t="str">
        <f t="shared" si="3139"/>
        <v/>
      </c>
      <c r="DR205" s="44" t="str">
        <f t="shared" si="3139"/>
        <v/>
      </c>
      <c r="DS205" s="44" t="str">
        <f t="shared" si="3139"/>
        <v/>
      </c>
      <c r="DT205" s="44" t="str">
        <f t="shared" si="3139"/>
        <v/>
      </c>
      <c r="DU205" s="44" t="str">
        <f t="shared" si="3139"/>
        <v/>
      </c>
      <c r="DV205" s="44" t="str">
        <f t="shared" ref="DV205:EE207" si="3140">IF(AP205="","","|n"&amp;DV$2&amp;"+"&amp;AP205&amp;DV$1)</f>
        <v/>
      </c>
      <c r="DW205" s="44" t="str">
        <f t="shared" si="3140"/>
        <v/>
      </c>
      <c r="DX205" s="44" t="str">
        <f t="shared" si="3140"/>
        <v/>
      </c>
      <c r="DY205" s="44" t="str">
        <f t="shared" si="3140"/>
        <v/>
      </c>
      <c r="DZ205" s="44" t="str">
        <f t="shared" si="3140"/>
        <v/>
      </c>
      <c r="EA205" s="44" t="str">
        <f t="shared" si="3140"/>
        <v/>
      </c>
      <c r="EB205" s="44" t="str">
        <f t="shared" si="3140"/>
        <v/>
      </c>
      <c r="EC205" s="44" t="str">
        <f t="shared" si="3140"/>
        <v/>
      </c>
      <c r="ED205" s="44" t="str">
        <f t="shared" si="3140"/>
        <v/>
      </c>
      <c r="EE205" s="44" t="str">
        <f t="shared" si="3140"/>
        <v/>
      </c>
      <c r="EF205" s="44" t="str">
        <f t="shared" ref="EF205:EO207" si="3141">IF(AZ205="","","|n"&amp;EF$2&amp;"+"&amp;AZ205&amp;EF$1)</f>
        <v/>
      </c>
      <c r="EG205" s="44" t="str">
        <f t="shared" si="3141"/>
        <v/>
      </c>
      <c r="EH205" s="44" t="str">
        <f t="shared" si="3141"/>
        <v/>
      </c>
      <c r="EI205" s="44" t="str">
        <f t="shared" si="3141"/>
        <v/>
      </c>
      <c r="EJ205" s="44" t="str">
        <f t="shared" si="3141"/>
        <v/>
      </c>
      <c r="EK205" s="44" t="str">
        <f t="shared" si="3141"/>
        <v/>
      </c>
      <c r="EL205" s="44" t="str">
        <f t="shared" si="3141"/>
        <v/>
      </c>
      <c r="EM205" s="44" t="str">
        <f t="shared" si="3141"/>
        <v/>
      </c>
      <c r="EN205" s="44" t="str">
        <f t="shared" si="3141"/>
        <v/>
      </c>
      <c r="EO205" s="44" t="str">
        <f t="shared" si="3141"/>
        <v/>
      </c>
      <c r="EP205" s="44" t="str">
        <f t="shared" ref="EP205:EY207" si="3142">IF(BJ205="","","|n"&amp;EP$2&amp;"+"&amp;BJ205&amp;EP$1)</f>
        <v/>
      </c>
      <c r="EQ205" s="44" t="str">
        <f t="shared" si="3142"/>
        <v/>
      </c>
      <c r="ER205" s="44" t="str">
        <f t="shared" si="3142"/>
        <v/>
      </c>
      <c r="ES205" s="44" t="str">
        <f t="shared" si="3142"/>
        <v/>
      </c>
      <c r="ET205" s="44" t="str">
        <f t="shared" si="3142"/>
        <v/>
      </c>
      <c r="EU205" s="44" t="str">
        <f t="shared" si="3142"/>
        <v/>
      </c>
      <c r="EV205" s="44" t="str">
        <f t="shared" si="3142"/>
        <v/>
      </c>
      <c r="EW205" s="44" t="str">
        <f t="shared" si="3142"/>
        <v/>
      </c>
      <c r="EX205" s="44" t="str">
        <f t="shared" si="3142"/>
        <v/>
      </c>
      <c r="EY205" s="44" t="str">
        <f t="shared" si="3142"/>
        <v/>
      </c>
      <c r="EZ205" s="44" t="str">
        <f t="shared" ref="EZ205:FI207" si="3143">IF(BT205="","","|n"&amp;EZ$2&amp;"+"&amp;BT205&amp;EZ$1)</f>
        <v/>
      </c>
      <c r="FA205" s="44" t="str">
        <f t="shared" si="3143"/>
        <v/>
      </c>
      <c r="FB205" s="44" t="str">
        <f t="shared" si="3143"/>
        <v/>
      </c>
      <c r="FC205" s="44" t="str">
        <f t="shared" si="3143"/>
        <v/>
      </c>
      <c r="FD205" s="44" t="str">
        <f t="shared" si="3143"/>
        <v/>
      </c>
      <c r="FE205" s="44" t="str">
        <f t="shared" si="3143"/>
        <v/>
      </c>
      <c r="FF205" s="44" t="str">
        <f t="shared" si="3143"/>
        <v/>
      </c>
      <c r="FG205" s="44" t="str">
        <f t="shared" si="3143"/>
        <v/>
      </c>
      <c r="FH205" s="44" t="str">
        <f t="shared" si="3143"/>
        <v/>
      </c>
      <c r="FI205" s="44" t="str">
        <f t="shared" si="3143"/>
        <v/>
      </c>
      <c r="FJ205" s="44" t="str">
        <f t="shared" ref="FJ205:FS207" si="3144">IF(CD205="","","|n"&amp;FJ$2&amp;"+"&amp;CD205&amp;FJ$1)</f>
        <v/>
      </c>
      <c r="FK205" s="44" t="str">
        <f t="shared" si="3144"/>
        <v/>
      </c>
      <c r="FL205" s="44" t="str">
        <f t="shared" si="3144"/>
        <v/>
      </c>
      <c r="FM205" s="44" t="str">
        <f t="shared" si="3144"/>
        <v/>
      </c>
      <c r="FN205" s="44" t="str">
        <f t="shared" si="3144"/>
        <v/>
      </c>
      <c r="FO205" s="44" t="str">
        <f t="shared" si="3144"/>
        <v/>
      </c>
      <c r="FP205" s="44" t="str">
        <f t="shared" si="3144"/>
        <v/>
      </c>
      <c r="FQ205" s="44" t="str">
        <f t="shared" si="3144"/>
        <v/>
      </c>
      <c r="FR205" s="44" t="str">
        <f t="shared" si="3144"/>
        <v/>
      </c>
      <c r="FS205" s="44" t="str">
        <f t="shared" si="3144"/>
        <v/>
      </c>
    </row>
    <row r="206" ht="15" spans="1:175">
      <c r="A206" s="78"/>
      <c r="B206" s="5" t="s">
        <v>685</v>
      </c>
      <c r="C206" s="78" t="s">
        <v>686</v>
      </c>
      <c r="T206" s="78" t="s">
        <v>686</v>
      </c>
      <c r="U206" s="60" t="s">
        <v>687</v>
      </c>
      <c r="CN206" s="13" t="str">
        <f t="shared" si="2898"/>
        <v>InitUnitState('IS21',,,,,,,,,,)</v>
      </c>
      <c r="CO206" s="13" t="str">
        <f t="shared" si="2899"/>
        <v>InitUnitNormal('IS21',,,,,,,,,,)</v>
      </c>
      <c r="CP206" s="13" t="str">
        <f t="shared" si="2900"/>
        <v>InitUnitMagic('IS21',,,,,,,,,,)</v>
      </c>
      <c r="CQ206" s="13" t="str">
        <f t="shared" si="2901"/>
        <v>InitUnitAdd('IS21',,,,,,,,,,)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InitEquipData('IS21',,"",,,,,'','','','','','',"ReplaceableTextures\\CommandButtons\\BTNIN02.blp")</v>
      </c>
      <c r="CU206" s="72" t="str">
        <f t="shared" si="3047"/>
        <v>|n</v>
      </c>
      <c r="CV206" s="6" t="str">
        <f t="shared" si="3048"/>
        <v>Q附魔</v>
      </c>
      <c r="CW206" s="7"/>
      <c r="CX206" s="7"/>
      <c r="CY206" s="7"/>
      <c r="CZ206" s="7"/>
      <c r="DA206" s="7"/>
      <c r="DB206" s="44" t="str">
        <f t="shared" si="3138"/>
        <v/>
      </c>
      <c r="DC206" s="44" t="str">
        <f t="shared" si="3138"/>
        <v/>
      </c>
      <c r="DD206" s="44" t="str">
        <f t="shared" si="3138"/>
        <v/>
      </c>
      <c r="DE206" s="44" t="str">
        <f t="shared" si="3138"/>
        <v/>
      </c>
      <c r="DF206" s="44" t="str">
        <f t="shared" si="3138"/>
        <v/>
      </c>
      <c r="DG206" s="44" t="str">
        <f t="shared" si="3138"/>
        <v/>
      </c>
      <c r="DH206" s="44" t="str">
        <f t="shared" si="3138"/>
        <v/>
      </c>
      <c r="DI206" s="44" t="str">
        <f t="shared" si="3138"/>
        <v/>
      </c>
      <c r="DJ206" s="44" t="str">
        <f t="shared" si="3138"/>
        <v/>
      </c>
      <c r="DK206" s="44" t="str">
        <f t="shared" si="3138"/>
        <v/>
      </c>
      <c r="DL206" s="44" t="str">
        <f t="shared" si="3139"/>
        <v/>
      </c>
      <c r="DM206" s="44" t="str">
        <f t="shared" si="3139"/>
        <v/>
      </c>
      <c r="DN206" s="44" t="str">
        <f t="shared" si="3139"/>
        <v/>
      </c>
      <c r="DO206" s="44" t="str">
        <f t="shared" si="3139"/>
        <v/>
      </c>
      <c r="DP206" s="44" t="str">
        <f t="shared" si="3139"/>
        <v/>
      </c>
      <c r="DQ206" s="44" t="str">
        <f t="shared" si="3139"/>
        <v/>
      </c>
      <c r="DR206" s="44" t="str">
        <f t="shared" si="3139"/>
        <v/>
      </c>
      <c r="DS206" s="44" t="str">
        <f t="shared" si="3139"/>
        <v/>
      </c>
      <c r="DT206" s="44" t="str">
        <f t="shared" si="3139"/>
        <v/>
      </c>
      <c r="DU206" s="44" t="str">
        <f t="shared" si="3139"/>
        <v/>
      </c>
      <c r="DV206" s="44" t="str">
        <f t="shared" si="3140"/>
        <v/>
      </c>
      <c r="DW206" s="44" t="str">
        <f t="shared" si="3140"/>
        <v/>
      </c>
      <c r="DX206" s="44" t="str">
        <f t="shared" si="3140"/>
        <v/>
      </c>
      <c r="DY206" s="44" t="str">
        <f t="shared" si="3140"/>
        <v/>
      </c>
      <c r="DZ206" s="44" t="str">
        <f t="shared" si="3140"/>
        <v/>
      </c>
      <c r="EA206" s="44" t="str">
        <f t="shared" si="3140"/>
        <v/>
      </c>
      <c r="EB206" s="44" t="str">
        <f t="shared" si="3140"/>
        <v/>
      </c>
      <c r="EC206" s="44" t="str">
        <f t="shared" si="3140"/>
        <v/>
      </c>
      <c r="ED206" s="44" t="str">
        <f t="shared" si="3140"/>
        <v/>
      </c>
      <c r="EE206" s="44" t="str">
        <f t="shared" si="3140"/>
        <v/>
      </c>
      <c r="EF206" s="44" t="str">
        <f t="shared" si="3141"/>
        <v/>
      </c>
      <c r="EG206" s="44" t="str">
        <f t="shared" si="3141"/>
        <v/>
      </c>
      <c r="EH206" s="44" t="str">
        <f t="shared" si="3141"/>
        <v/>
      </c>
      <c r="EI206" s="44" t="str">
        <f t="shared" si="3141"/>
        <v/>
      </c>
      <c r="EJ206" s="44" t="str">
        <f t="shared" si="3141"/>
        <v/>
      </c>
      <c r="EK206" s="44" t="str">
        <f t="shared" si="3141"/>
        <v/>
      </c>
      <c r="EL206" s="44" t="str">
        <f t="shared" si="3141"/>
        <v/>
      </c>
      <c r="EM206" s="44" t="str">
        <f t="shared" si="3141"/>
        <v/>
      </c>
      <c r="EN206" s="44" t="str">
        <f t="shared" si="3141"/>
        <v/>
      </c>
      <c r="EO206" s="44" t="str">
        <f t="shared" si="3141"/>
        <v/>
      </c>
      <c r="EP206" s="44" t="str">
        <f t="shared" si="3142"/>
        <v/>
      </c>
      <c r="EQ206" s="44" t="str">
        <f t="shared" si="3142"/>
        <v/>
      </c>
      <c r="ER206" s="44" t="str">
        <f t="shared" si="3142"/>
        <v/>
      </c>
      <c r="ES206" s="44" t="str">
        <f t="shared" si="3142"/>
        <v/>
      </c>
      <c r="ET206" s="44" t="str">
        <f t="shared" si="3142"/>
        <v/>
      </c>
      <c r="EU206" s="44" t="str">
        <f t="shared" si="3142"/>
        <v/>
      </c>
      <c r="EV206" s="44" t="str">
        <f t="shared" si="3142"/>
        <v/>
      </c>
      <c r="EW206" s="44" t="str">
        <f t="shared" si="3142"/>
        <v/>
      </c>
      <c r="EX206" s="44" t="str">
        <f t="shared" si="3142"/>
        <v/>
      </c>
      <c r="EY206" s="44" t="str">
        <f t="shared" si="3142"/>
        <v/>
      </c>
      <c r="EZ206" s="44" t="str">
        <f t="shared" si="3143"/>
        <v/>
      </c>
      <c r="FA206" s="44" t="str">
        <f t="shared" si="3143"/>
        <v/>
      </c>
      <c r="FB206" s="44" t="str">
        <f t="shared" si="3143"/>
        <v/>
      </c>
      <c r="FC206" s="44" t="str">
        <f t="shared" si="3143"/>
        <v/>
      </c>
      <c r="FD206" s="44" t="str">
        <f t="shared" si="3143"/>
        <v/>
      </c>
      <c r="FE206" s="44" t="str">
        <f t="shared" si="3143"/>
        <v/>
      </c>
      <c r="FF206" s="44" t="str">
        <f t="shared" si="3143"/>
        <v/>
      </c>
      <c r="FG206" s="44" t="str">
        <f t="shared" si="3143"/>
        <v/>
      </c>
      <c r="FH206" s="44" t="str">
        <f t="shared" si="3143"/>
        <v/>
      </c>
      <c r="FI206" s="44" t="str">
        <f t="shared" si="3143"/>
        <v/>
      </c>
      <c r="FJ206" s="44" t="str">
        <f t="shared" si="3144"/>
        <v/>
      </c>
      <c r="FK206" s="44" t="str">
        <f t="shared" si="3144"/>
        <v/>
      </c>
      <c r="FL206" s="44" t="str">
        <f t="shared" si="3144"/>
        <v/>
      </c>
      <c r="FM206" s="44" t="str">
        <f t="shared" si="3144"/>
        <v/>
      </c>
      <c r="FN206" s="44" t="str">
        <f t="shared" si="3144"/>
        <v/>
      </c>
      <c r="FO206" s="44" t="str">
        <f t="shared" si="3144"/>
        <v/>
      </c>
      <c r="FP206" s="44" t="str">
        <f t="shared" si="3144"/>
        <v/>
      </c>
      <c r="FQ206" s="44" t="str">
        <f t="shared" si="3144"/>
        <v/>
      </c>
      <c r="FR206" s="44" t="str">
        <f t="shared" si="3144"/>
        <v/>
      </c>
      <c r="FS206" s="44" t="str">
        <f t="shared" si="3144"/>
        <v/>
      </c>
    </row>
    <row r="207" ht="15" spans="1:175">
      <c r="A207" s="78"/>
      <c r="B207" s="5" t="s">
        <v>688</v>
      </c>
      <c r="C207" s="78" t="s">
        <v>689</v>
      </c>
      <c r="T207" s="78" t="s">
        <v>689</v>
      </c>
      <c r="U207" s="60" t="s">
        <v>690</v>
      </c>
      <c r="CN207" s="13" t="str">
        <f t="shared" si="2898"/>
        <v>InitUnitState('IS22',,,,,,,,,,)</v>
      </c>
      <c r="CO207" s="13" t="str">
        <f t="shared" si="2899"/>
        <v>InitUnitNormal('IS22',,,,,,,,,,)</v>
      </c>
      <c r="CP207" s="13" t="str">
        <f t="shared" si="2900"/>
        <v>InitUnitMagic('IS22',,,,,,,,,,)</v>
      </c>
      <c r="CQ207" s="13" t="str">
        <f t="shared" si="2901"/>
        <v>InitUnitAdd('IS22',,,,,,,,,,)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InitEquipData('IS22',,"",,,,,'','','','','','',"ReplaceableTextures\\CommandButtons\\BTNIN03.blp")</v>
      </c>
      <c r="CU207" s="72" t="str">
        <f t="shared" si="3047"/>
        <v>|n</v>
      </c>
      <c r="CV207" s="6" t="str">
        <f t="shared" si="3048"/>
        <v>W附魔</v>
      </c>
      <c r="CW207" s="7"/>
      <c r="CX207" s="7"/>
      <c r="CY207" s="7"/>
      <c r="CZ207" s="7"/>
      <c r="DA207" s="7"/>
      <c r="DB207" s="44" t="str">
        <f t="shared" si="3138"/>
        <v/>
      </c>
      <c r="DC207" s="44" t="str">
        <f t="shared" si="3138"/>
        <v/>
      </c>
      <c r="DD207" s="44" t="str">
        <f t="shared" si="3138"/>
        <v/>
      </c>
      <c r="DE207" s="44" t="str">
        <f t="shared" si="3138"/>
        <v/>
      </c>
      <c r="DF207" s="44" t="str">
        <f t="shared" si="3138"/>
        <v/>
      </c>
      <c r="DG207" s="44" t="str">
        <f t="shared" si="3138"/>
        <v/>
      </c>
      <c r="DH207" s="44" t="str">
        <f t="shared" si="3138"/>
        <v/>
      </c>
      <c r="DI207" s="44" t="str">
        <f t="shared" si="3138"/>
        <v/>
      </c>
      <c r="DJ207" s="44" t="str">
        <f t="shared" si="3138"/>
        <v/>
      </c>
      <c r="DK207" s="44" t="str">
        <f t="shared" si="3138"/>
        <v/>
      </c>
      <c r="DL207" s="44" t="str">
        <f t="shared" si="3139"/>
        <v/>
      </c>
      <c r="DM207" s="44" t="str">
        <f t="shared" si="3139"/>
        <v/>
      </c>
      <c r="DN207" s="44" t="str">
        <f t="shared" si="3139"/>
        <v/>
      </c>
      <c r="DO207" s="44" t="str">
        <f t="shared" si="3139"/>
        <v/>
      </c>
      <c r="DP207" s="44" t="str">
        <f t="shared" si="3139"/>
        <v/>
      </c>
      <c r="DQ207" s="44" t="str">
        <f t="shared" si="3139"/>
        <v/>
      </c>
      <c r="DR207" s="44" t="str">
        <f t="shared" si="3139"/>
        <v/>
      </c>
      <c r="DS207" s="44" t="str">
        <f t="shared" si="3139"/>
        <v/>
      </c>
      <c r="DT207" s="44" t="str">
        <f t="shared" si="3139"/>
        <v/>
      </c>
      <c r="DU207" s="44" t="str">
        <f t="shared" si="3139"/>
        <v/>
      </c>
      <c r="DV207" s="44" t="str">
        <f t="shared" si="3140"/>
        <v/>
      </c>
      <c r="DW207" s="44" t="str">
        <f t="shared" si="3140"/>
        <v/>
      </c>
      <c r="DX207" s="44" t="str">
        <f t="shared" si="3140"/>
        <v/>
      </c>
      <c r="DY207" s="44" t="str">
        <f t="shared" si="3140"/>
        <v/>
      </c>
      <c r="DZ207" s="44" t="str">
        <f t="shared" si="3140"/>
        <v/>
      </c>
      <c r="EA207" s="44" t="str">
        <f t="shared" si="3140"/>
        <v/>
      </c>
      <c r="EB207" s="44" t="str">
        <f t="shared" si="3140"/>
        <v/>
      </c>
      <c r="EC207" s="44" t="str">
        <f t="shared" si="3140"/>
        <v/>
      </c>
      <c r="ED207" s="44" t="str">
        <f t="shared" si="3140"/>
        <v/>
      </c>
      <c r="EE207" s="44" t="str">
        <f t="shared" si="3140"/>
        <v/>
      </c>
      <c r="EF207" s="44" t="str">
        <f t="shared" si="3141"/>
        <v/>
      </c>
      <c r="EG207" s="44" t="str">
        <f t="shared" si="3141"/>
        <v/>
      </c>
      <c r="EH207" s="44" t="str">
        <f t="shared" si="3141"/>
        <v/>
      </c>
      <c r="EI207" s="44" t="str">
        <f t="shared" si="3141"/>
        <v/>
      </c>
      <c r="EJ207" s="44" t="str">
        <f t="shared" si="3141"/>
        <v/>
      </c>
      <c r="EK207" s="44" t="str">
        <f t="shared" si="3141"/>
        <v/>
      </c>
      <c r="EL207" s="44" t="str">
        <f t="shared" si="3141"/>
        <v/>
      </c>
      <c r="EM207" s="44" t="str">
        <f t="shared" si="3141"/>
        <v/>
      </c>
      <c r="EN207" s="44" t="str">
        <f t="shared" si="3141"/>
        <v/>
      </c>
      <c r="EO207" s="44" t="str">
        <f t="shared" si="3141"/>
        <v/>
      </c>
      <c r="EP207" s="44" t="str">
        <f t="shared" si="3142"/>
        <v/>
      </c>
      <c r="EQ207" s="44" t="str">
        <f t="shared" si="3142"/>
        <v/>
      </c>
      <c r="ER207" s="44" t="str">
        <f t="shared" si="3142"/>
        <v/>
      </c>
      <c r="ES207" s="44" t="str">
        <f t="shared" si="3142"/>
        <v/>
      </c>
      <c r="ET207" s="44" t="str">
        <f t="shared" si="3142"/>
        <v/>
      </c>
      <c r="EU207" s="44" t="str">
        <f t="shared" si="3142"/>
        <v/>
      </c>
      <c r="EV207" s="44" t="str">
        <f t="shared" si="3142"/>
        <v/>
      </c>
      <c r="EW207" s="44" t="str">
        <f t="shared" si="3142"/>
        <v/>
      </c>
      <c r="EX207" s="44" t="str">
        <f t="shared" si="3142"/>
        <v/>
      </c>
      <c r="EY207" s="44" t="str">
        <f t="shared" si="3142"/>
        <v/>
      </c>
      <c r="EZ207" s="44" t="str">
        <f t="shared" si="3143"/>
        <v/>
      </c>
      <c r="FA207" s="44" t="str">
        <f t="shared" si="3143"/>
        <v/>
      </c>
      <c r="FB207" s="44" t="str">
        <f t="shared" si="3143"/>
        <v/>
      </c>
      <c r="FC207" s="44" t="str">
        <f t="shared" si="3143"/>
        <v/>
      </c>
      <c r="FD207" s="44" t="str">
        <f t="shared" si="3143"/>
        <v/>
      </c>
      <c r="FE207" s="44" t="str">
        <f t="shared" si="3143"/>
        <v/>
      </c>
      <c r="FF207" s="44" t="str">
        <f t="shared" si="3143"/>
        <v/>
      </c>
      <c r="FG207" s="44" t="str">
        <f t="shared" si="3143"/>
        <v/>
      </c>
      <c r="FH207" s="44" t="str">
        <f t="shared" si="3143"/>
        <v/>
      </c>
      <c r="FI207" s="44" t="str">
        <f t="shared" si="3143"/>
        <v/>
      </c>
      <c r="FJ207" s="44" t="str">
        <f t="shared" si="3144"/>
        <v/>
      </c>
      <c r="FK207" s="44" t="str">
        <f t="shared" si="3144"/>
        <v/>
      </c>
      <c r="FL207" s="44" t="str">
        <f t="shared" si="3144"/>
        <v/>
      </c>
      <c r="FM207" s="44" t="str">
        <f t="shared" si="3144"/>
        <v/>
      </c>
      <c r="FN207" s="44" t="str">
        <f t="shared" si="3144"/>
        <v/>
      </c>
      <c r="FO207" s="44" t="str">
        <f t="shared" si="3144"/>
        <v/>
      </c>
      <c r="FP207" s="44" t="str">
        <f t="shared" si="3144"/>
        <v/>
      </c>
      <c r="FQ207" s="44" t="str">
        <f t="shared" si="3144"/>
        <v/>
      </c>
      <c r="FR207" s="44" t="str">
        <f t="shared" si="3144"/>
        <v/>
      </c>
      <c r="FS207" s="44" t="str">
        <f t="shared" si="3144"/>
        <v/>
      </c>
    </row>
    <row r="208" ht="15" spans="1:175">
      <c r="A208" s="78"/>
      <c r="B208" s="5" t="s">
        <v>691</v>
      </c>
      <c r="C208" s="78" t="s">
        <v>692</v>
      </c>
      <c r="T208" s="78" t="s">
        <v>692</v>
      </c>
      <c r="U208" s="60" t="s">
        <v>693</v>
      </c>
      <c r="CN208" s="13" t="str">
        <f t="shared" si="2898"/>
        <v>InitUnitState('IS23',,,,,,,,,,)</v>
      </c>
      <c r="CO208" s="13" t="str">
        <f t="shared" si="2899"/>
        <v>InitUnitNormal('IS23',,,,,,,,,,)</v>
      </c>
      <c r="CP208" s="13" t="str">
        <f t="shared" si="2900"/>
        <v>InitUnitMagic('IS23',,,,,,,,,,)</v>
      </c>
      <c r="CQ208" s="13" t="str">
        <f t="shared" si="2901"/>
        <v>InitUnitAdd('IS23',,,,,,,,,,)</v>
      </c>
      <c r="CR208" s="13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72" t="str">
        <f t="shared" ref="CU208:CU211" si="3145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" t="str">
        <f t="shared" ref="CV208:CV211" si="3146">T208</f>
        <v>E附魔</v>
      </c>
      <c r="CW208" s="7"/>
      <c r="CX208" s="7"/>
      <c r="CY208" s="7"/>
      <c r="CZ208" s="7"/>
      <c r="DA208" s="7"/>
      <c r="DB208" s="44" t="str">
        <f t="shared" ref="DB208" si="3147">IF(V208="","","|n"&amp;DB$2&amp;"+"&amp;V208&amp;DB$1)</f>
        <v/>
      </c>
      <c r="DC208" s="44" t="str">
        <f t="shared" ref="DC208" si="3148">IF(W208="","","|n"&amp;DC$2&amp;"+"&amp;W208&amp;DC$1)</f>
        <v/>
      </c>
      <c r="DD208" s="44" t="str">
        <f t="shared" ref="DD208" si="3149">IF(X208="","","|n"&amp;DD$2&amp;"+"&amp;X208&amp;DD$1)</f>
        <v/>
      </c>
      <c r="DE208" s="44" t="str">
        <f t="shared" ref="DE208" si="3150">IF(Y208="","","|n"&amp;DE$2&amp;"+"&amp;Y208&amp;DE$1)</f>
        <v/>
      </c>
      <c r="DF208" s="44" t="str">
        <f t="shared" ref="DF208" si="3151">IF(Z208="","","|n"&amp;DF$2&amp;"+"&amp;Z208&amp;DF$1)</f>
        <v/>
      </c>
      <c r="DG208" s="44" t="str">
        <f t="shared" ref="DG208" si="3152">IF(AA208="","","|n"&amp;DG$2&amp;"+"&amp;AA208&amp;DG$1)</f>
        <v/>
      </c>
      <c r="DH208" s="44" t="str">
        <f t="shared" ref="DH208" si="3153">IF(AB208="","","|n"&amp;DH$2&amp;"+"&amp;AB208&amp;DH$1)</f>
        <v/>
      </c>
      <c r="DI208" s="44" t="str">
        <f t="shared" ref="DI208" si="3154">IF(AC208="","","|n"&amp;DI$2&amp;"+"&amp;AC208&amp;DI$1)</f>
        <v/>
      </c>
      <c r="DJ208" s="44" t="str">
        <f t="shared" ref="DJ208" si="3155">IF(AD208="","","|n"&amp;DJ$2&amp;"+"&amp;AD208&amp;DJ$1)</f>
        <v/>
      </c>
      <c r="DK208" s="44" t="str">
        <f t="shared" ref="DK208" si="3156">IF(AE208="","","|n"&amp;DK$2&amp;"+"&amp;AE208&amp;DK$1)</f>
        <v/>
      </c>
      <c r="DL208" s="44" t="str">
        <f t="shared" ref="DL208" si="3157">IF(AF208="","","|n"&amp;DL$2&amp;"+"&amp;AF208&amp;DL$1)</f>
        <v/>
      </c>
      <c r="DM208" s="44" t="str">
        <f t="shared" ref="DM208" si="3158">IF(AG208="","","|n"&amp;DM$2&amp;"+"&amp;AG208&amp;DM$1)</f>
        <v/>
      </c>
      <c r="DN208" s="44" t="str">
        <f t="shared" ref="DN208" si="3159">IF(AH208="","","|n"&amp;DN$2&amp;"+"&amp;AH208&amp;DN$1)</f>
        <v/>
      </c>
      <c r="DO208" s="44" t="str">
        <f t="shared" ref="DO208" si="3160">IF(AI208="","","|n"&amp;DO$2&amp;"+"&amp;AI208&amp;DO$1)</f>
        <v/>
      </c>
      <c r="DP208" s="44" t="str">
        <f t="shared" ref="DP208" si="3161">IF(AJ208="","","|n"&amp;DP$2&amp;"+"&amp;AJ208&amp;DP$1)</f>
        <v/>
      </c>
      <c r="DQ208" s="44" t="str">
        <f t="shared" ref="DQ208" si="3162">IF(AK208="","","|n"&amp;DQ$2&amp;"+"&amp;AK208&amp;DQ$1)</f>
        <v/>
      </c>
      <c r="DR208" s="44" t="str">
        <f t="shared" ref="DR208" si="3163">IF(AL208="","","|n"&amp;DR$2&amp;"+"&amp;AL208&amp;DR$1)</f>
        <v/>
      </c>
      <c r="DS208" s="44" t="str">
        <f t="shared" ref="DS208" si="3164">IF(AM208="","","|n"&amp;DS$2&amp;"+"&amp;AM208&amp;DS$1)</f>
        <v/>
      </c>
      <c r="DT208" s="44" t="str">
        <f t="shared" ref="DT208" si="3165">IF(AN208="","","|n"&amp;DT$2&amp;"+"&amp;AN208&amp;DT$1)</f>
        <v/>
      </c>
      <c r="DU208" s="44" t="str">
        <f t="shared" ref="DU208" si="3166">IF(AO208="","","|n"&amp;DU$2&amp;"+"&amp;AO208&amp;DU$1)</f>
        <v/>
      </c>
      <c r="DV208" s="44" t="str">
        <f t="shared" ref="DV208" si="3167">IF(AP208="","","|n"&amp;DV$2&amp;"+"&amp;AP208&amp;DV$1)</f>
        <v/>
      </c>
      <c r="DW208" s="44" t="str">
        <f t="shared" ref="DW208" si="3168">IF(AQ208="","","|n"&amp;DW$2&amp;"+"&amp;AQ208&amp;DW$1)</f>
        <v/>
      </c>
      <c r="DX208" s="44" t="str">
        <f t="shared" ref="DX208" si="3169">IF(AR208="","","|n"&amp;DX$2&amp;"+"&amp;AR208&amp;DX$1)</f>
        <v/>
      </c>
      <c r="DY208" s="44" t="str">
        <f t="shared" ref="DY208" si="3170">IF(AS208="","","|n"&amp;DY$2&amp;"+"&amp;AS208&amp;DY$1)</f>
        <v/>
      </c>
      <c r="DZ208" s="44" t="str">
        <f t="shared" ref="DZ208" si="3171">IF(AT208="","","|n"&amp;DZ$2&amp;"+"&amp;AT208&amp;DZ$1)</f>
        <v/>
      </c>
      <c r="EA208" s="44" t="str">
        <f t="shared" ref="EA208" si="3172">IF(AU208="","","|n"&amp;EA$2&amp;"+"&amp;AU208&amp;EA$1)</f>
        <v/>
      </c>
      <c r="EB208" s="44" t="str">
        <f t="shared" ref="EB208" si="3173">IF(AV208="","","|n"&amp;EB$2&amp;"+"&amp;AV208&amp;EB$1)</f>
        <v/>
      </c>
      <c r="EC208" s="44" t="str">
        <f t="shared" ref="EC208" si="3174">IF(AW208="","","|n"&amp;EC$2&amp;"+"&amp;AW208&amp;EC$1)</f>
        <v/>
      </c>
      <c r="ED208" s="44" t="str">
        <f t="shared" ref="ED208" si="3175">IF(AX208="","","|n"&amp;ED$2&amp;"+"&amp;AX208&amp;ED$1)</f>
        <v/>
      </c>
      <c r="EE208" s="44" t="str">
        <f t="shared" ref="EE208" si="3176">IF(AY208="","","|n"&amp;EE$2&amp;"+"&amp;AY208&amp;EE$1)</f>
        <v/>
      </c>
      <c r="EF208" s="44" t="str">
        <f t="shared" ref="EF208" si="3177">IF(AZ208="","","|n"&amp;EF$2&amp;"+"&amp;AZ208&amp;EF$1)</f>
        <v/>
      </c>
      <c r="EG208" s="44" t="str">
        <f t="shared" ref="EG208" si="3178">IF(BA208="","","|n"&amp;EG$2&amp;"+"&amp;BA208&amp;EG$1)</f>
        <v/>
      </c>
      <c r="EH208" s="44" t="str">
        <f t="shared" ref="EH208" si="3179">IF(BB208="","","|n"&amp;EH$2&amp;"+"&amp;BB208&amp;EH$1)</f>
        <v/>
      </c>
      <c r="EI208" s="44" t="str">
        <f t="shared" ref="EI208" si="3180">IF(BC208="","","|n"&amp;EI$2&amp;"+"&amp;BC208&amp;EI$1)</f>
        <v/>
      </c>
      <c r="EJ208" s="44" t="str">
        <f t="shared" ref="EJ208" si="3181">IF(BD208="","","|n"&amp;EJ$2&amp;"+"&amp;BD208&amp;EJ$1)</f>
        <v/>
      </c>
      <c r="EK208" s="44" t="str">
        <f t="shared" ref="EK208" si="3182">IF(BE208="","","|n"&amp;EK$2&amp;"+"&amp;BE208&amp;EK$1)</f>
        <v/>
      </c>
      <c r="EL208" s="44" t="str">
        <f t="shared" ref="EL208" si="3183">IF(BF208="","","|n"&amp;EL$2&amp;"+"&amp;BF208&amp;EL$1)</f>
        <v/>
      </c>
      <c r="EM208" s="44" t="str">
        <f t="shared" ref="EM208" si="3184">IF(BG208="","","|n"&amp;EM$2&amp;"+"&amp;BG208&amp;EM$1)</f>
        <v/>
      </c>
      <c r="EN208" s="44" t="str">
        <f t="shared" ref="EN208" si="3185">IF(BH208="","","|n"&amp;EN$2&amp;"+"&amp;BH208&amp;EN$1)</f>
        <v/>
      </c>
      <c r="EO208" s="44" t="str">
        <f t="shared" ref="EO208" si="3186">IF(BI208="","","|n"&amp;EO$2&amp;"+"&amp;BI208&amp;EO$1)</f>
        <v/>
      </c>
      <c r="EP208" s="44" t="str">
        <f t="shared" ref="EP208" si="3187">IF(BJ208="","","|n"&amp;EP$2&amp;"+"&amp;BJ208&amp;EP$1)</f>
        <v/>
      </c>
      <c r="EQ208" s="44" t="str">
        <f t="shared" ref="EQ208" si="3188">IF(BK208="","","|n"&amp;EQ$2&amp;"+"&amp;BK208&amp;EQ$1)</f>
        <v/>
      </c>
      <c r="ER208" s="44" t="str">
        <f t="shared" ref="ER208" si="3189">IF(BL208="","","|n"&amp;ER$2&amp;"+"&amp;BL208&amp;ER$1)</f>
        <v/>
      </c>
      <c r="ES208" s="44" t="str">
        <f t="shared" ref="ES208" si="3190">IF(BM208="","","|n"&amp;ES$2&amp;"+"&amp;BM208&amp;ES$1)</f>
        <v/>
      </c>
      <c r="ET208" s="44" t="str">
        <f t="shared" ref="ET208" si="3191">IF(BN208="","","|n"&amp;ET$2&amp;"+"&amp;BN208&amp;ET$1)</f>
        <v/>
      </c>
      <c r="EU208" s="44" t="str">
        <f t="shared" ref="EU208" si="3192">IF(BO208="","","|n"&amp;EU$2&amp;"+"&amp;BO208&amp;EU$1)</f>
        <v/>
      </c>
      <c r="EV208" s="44" t="str">
        <f t="shared" ref="EV208" si="3193">IF(BP208="","","|n"&amp;EV$2&amp;"+"&amp;BP208&amp;EV$1)</f>
        <v/>
      </c>
      <c r="EW208" s="44" t="str">
        <f t="shared" ref="EW208" si="3194">IF(BQ208="","","|n"&amp;EW$2&amp;"+"&amp;BQ208&amp;EW$1)</f>
        <v/>
      </c>
      <c r="EX208" s="44" t="str">
        <f t="shared" ref="EX208" si="3195">IF(BR208="","","|n"&amp;EX$2&amp;"+"&amp;BR208&amp;EX$1)</f>
        <v/>
      </c>
      <c r="EY208" s="44" t="str">
        <f t="shared" ref="EY208" si="3196">IF(BS208="","","|n"&amp;EY$2&amp;"+"&amp;BS208&amp;EY$1)</f>
        <v/>
      </c>
      <c r="EZ208" s="44" t="str">
        <f t="shared" ref="EZ208" si="3197">IF(BT208="","","|n"&amp;EZ$2&amp;"+"&amp;BT208&amp;EZ$1)</f>
        <v/>
      </c>
      <c r="FA208" s="44" t="str">
        <f t="shared" ref="FA208" si="3198">IF(BU208="","","|n"&amp;FA$2&amp;"+"&amp;BU208&amp;FA$1)</f>
        <v/>
      </c>
      <c r="FB208" s="44" t="str">
        <f t="shared" ref="FB208" si="3199">IF(BV208="","","|n"&amp;FB$2&amp;"+"&amp;BV208&amp;FB$1)</f>
        <v/>
      </c>
      <c r="FC208" s="44" t="str">
        <f t="shared" ref="FC208" si="3200">IF(BW208="","","|n"&amp;FC$2&amp;"+"&amp;BW208&amp;FC$1)</f>
        <v/>
      </c>
      <c r="FD208" s="44" t="str">
        <f t="shared" ref="FD208" si="3201">IF(BX208="","","|n"&amp;FD$2&amp;"+"&amp;BX208&amp;FD$1)</f>
        <v/>
      </c>
      <c r="FE208" s="44" t="str">
        <f t="shared" ref="FE208" si="3202">IF(BY208="","","|n"&amp;FE$2&amp;"+"&amp;BY208&amp;FE$1)</f>
        <v/>
      </c>
      <c r="FF208" s="44" t="str">
        <f t="shared" ref="FF208" si="3203">IF(BZ208="","","|n"&amp;FF$2&amp;"+"&amp;BZ208&amp;FF$1)</f>
        <v/>
      </c>
      <c r="FG208" s="44" t="str">
        <f t="shared" ref="FG208" si="3204">IF(CA208="","","|n"&amp;FG$2&amp;"+"&amp;CA208&amp;FG$1)</f>
        <v/>
      </c>
      <c r="FH208" s="44" t="str">
        <f t="shared" ref="FH208" si="3205">IF(CB208="","","|n"&amp;FH$2&amp;"+"&amp;CB208&amp;FH$1)</f>
        <v/>
      </c>
      <c r="FI208" s="44" t="str">
        <f t="shared" ref="FI208" si="3206">IF(CC208="","","|n"&amp;FI$2&amp;"+"&amp;CC208&amp;FI$1)</f>
        <v/>
      </c>
      <c r="FJ208" s="44" t="str">
        <f t="shared" ref="FJ208" si="3207">IF(CD208="","","|n"&amp;FJ$2&amp;"+"&amp;CD208&amp;FJ$1)</f>
        <v/>
      </c>
      <c r="FK208" s="44" t="str">
        <f t="shared" ref="FK208" si="3208">IF(CE208="","","|n"&amp;FK$2&amp;"+"&amp;CE208&amp;FK$1)</f>
        <v/>
      </c>
      <c r="FL208" s="44" t="str">
        <f t="shared" ref="FL208" si="3209">IF(CF208="","","|n"&amp;FL$2&amp;"+"&amp;CF208&amp;FL$1)</f>
        <v/>
      </c>
      <c r="FM208" s="44" t="str">
        <f t="shared" ref="FM208" si="3210">IF(CG208="","","|n"&amp;FM$2&amp;"+"&amp;CG208&amp;FM$1)</f>
        <v/>
      </c>
      <c r="FN208" s="44" t="str">
        <f t="shared" ref="FN208" si="3211">IF(CH208="","","|n"&amp;FN$2&amp;"+"&amp;CH208&amp;FN$1)</f>
        <v/>
      </c>
      <c r="FO208" s="44" t="str">
        <f t="shared" ref="FO208" si="3212">IF(CI208="","","|n"&amp;FO$2&amp;"+"&amp;CI208&amp;FO$1)</f>
        <v/>
      </c>
      <c r="FP208" s="44" t="str">
        <f t="shared" ref="FP208" si="3213">IF(CJ208="","","|n"&amp;FP$2&amp;"+"&amp;CJ208&amp;FP$1)</f>
        <v/>
      </c>
      <c r="FQ208" s="44" t="str">
        <f t="shared" ref="FQ208" si="3214">IF(CK208="","","|n"&amp;FQ$2&amp;"+"&amp;CK208&amp;FQ$1)</f>
        <v/>
      </c>
      <c r="FR208" s="44" t="str">
        <f t="shared" ref="FR208" si="3215">IF(CL208="","","|n"&amp;FR$2&amp;"+"&amp;CL208&amp;FR$1)</f>
        <v/>
      </c>
      <c r="FS208" s="44" t="str">
        <f t="shared" ref="FS208" si="3216">IF(CM208="","","|n"&amp;FS$2&amp;"+"&amp;CM208&amp;FS$1)</f>
        <v/>
      </c>
    </row>
    <row r="209" s="37" customFormat="1" ht="15" spans="1:175">
      <c r="A209" s="78"/>
      <c r="B209" s="5" t="s">
        <v>694</v>
      </c>
      <c r="C209" s="68" t="s">
        <v>695</v>
      </c>
      <c r="D209" s="74"/>
      <c r="E209" s="74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81"/>
      <c r="Q209" s="81"/>
      <c r="R209" s="81"/>
      <c r="S209" s="81"/>
      <c r="T209" s="78" t="s">
        <v>686</v>
      </c>
      <c r="U209" s="60" t="s">
        <v>687</v>
      </c>
      <c r="V209" s="101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5"/>
      <c r="AS209" s="105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  <c r="BJ209" s="102"/>
      <c r="BK209" s="102"/>
      <c r="BL209" s="102"/>
      <c r="BM209" s="102"/>
      <c r="BN209" s="102"/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6" t="str">
        <f t="shared" si="2898"/>
        <v>InitUnitState('IS24',,,,,,,,,,)</v>
      </c>
      <c r="CO209" s="106" t="str">
        <f t="shared" si="2899"/>
        <v>InitUnitNormal('IS24',,,,,,,,,,)</v>
      </c>
      <c r="CP209" s="106" t="str">
        <f t="shared" si="2900"/>
        <v>InitUnitMagic('IS24',,,,,,,,,,)</v>
      </c>
      <c r="CQ209" s="106" t="str">
        <f t="shared" si="2901"/>
        <v>InitUnitAdd('IS24',,,,,,,,,,)</v>
      </c>
      <c r="CR209" s="10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InitEquipData('IS24',,"",,,,,'','','','','','',"ReplaceableTextures\\CommandButtons\\BTNIN02.blp")</v>
      </c>
      <c r="CS209" s="106"/>
      <c r="CT209" s="106"/>
      <c r="CU209" s="72" t="str">
        <f t="shared" si="3145"/>
        <v>|n</v>
      </c>
      <c r="CV209" s="37" t="str">
        <f t="shared" si="3146"/>
        <v>Q附魔</v>
      </c>
      <c r="CW209" s="7"/>
      <c r="CX209" s="7"/>
      <c r="CY209" s="7"/>
      <c r="CZ209" s="7"/>
      <c r="DA209" s="7"/>
      <c r="DB209" s="107" t="str">
        <f t="shared" ref="DB209:FM209" si="3217">IF(V209="","","|n"&amp;DB$2&amp;"+"&amp;V209&amp;DB$1)</f>
        <v/>
      </c>
      <c r="DC209" s="107" t="str">
        <f t="shared" si="3217"/>
        <v/>
      </c>
      <c r="DD209" s="107" t="str">
        <f t="shared" si="3217"/>
        <v/>
      </c>
      <c r="DE209" s="107" t="str">
        <f t="shared" si="3217"/>
        <v/>
      </c>
      <c r="DF209" s="107" t="str">
        <f t="shared" si="3217"/>
        <v/>
      </c>
      <c r="DG209" s="107" t="str">
        <f t="shared" si="3217"/>
        <v/>
      </c>
      <c r="DH209" s="107" t="str">
        <f t="shared" si="3217"/>
        <v/>
      </c>
      <c r="DI209" s="107" t="str">
        <f t="shared" si="3217"/>
        <v/>
      </c>
      <c r="DJ209" s="107" t="str">
        <f t="shared" si="3217"/>
        <v/>
      </c>
      <c r="DK209" s="107" t="str">
        <f t="shared" si="3217"/>
        <v/>
      </c>
      <c r="DL209" s="107" t="str">
        <f t="shared" si="3217"/>
        <v/>
      </c>
      <c r="DM209" s="107" t="str">
        <f t="shared" si="3217"/>
        <v/>
      </c>
      <c r="DN209" s="107" t="str">
        <f t="shared" si="3217"/>
        <v/>
      </c>
      <c r="DO209" s="107" t="str">
        <f t="shared" si="3217"/>
        <v/>
      </c>
      <c r="DP209" s="107" t="str">
        <f t="shared" si="3217"/>
        <v/>
      </c>
      <c r="DQ209" s="107" t="str">
        <f t="shared" si="3217"/>
        <v/>
      </c>
      <c r="DR209" s="107" t="str">
        <f t="shared" si="3217"/>
        <v/>
      </c>
      <c r="DS209" s="107" t="str">
        <f t="shared" si="3217"/>
        <v/>
      </c>
      <c r="DT209" s="107" t="str">
        <f t="shared" si="3217"/>
        <v/>
      </c>
      <c r="DU209" s="107" t="str">
        <f t="shared" si="3217"/>
        <v/>
      </c>
      <c r="DV209" s="107" t="str">
        <f t="shared" si="3217"/>
        <v/>
      </c>
      <c r="DW209" s="107" t="str">
        <f t="shared" si="3217"/>
        <v/>
      </c>
      <c r="DX209" s="107" t="str">
        <f t="shared" si="3217"/>
        <v/>
      </c>
      <c r="DY209" s="107" t="str">
        <f t="shared" si="3217"/>
        <v/>
      </c>
      <c r="DZ209" s="107" t="str">
        <f t="shared" si="3217"/>
        <v/>
      </c>
      <c r="EA209" s="107" t="str">
        <f t="shared" si="3217"/>
        <v/>
      </c>
      <c r="EB209" s="107" t="str">
        <f t="shared" si="3217"/>
        <v/>
      </c>
      <c r="EC209" s="107" t="str">
        <f t="shared" si="3217"/>
        <v/>
      </c>
      <c r="ED209" s="107" t="str">
        <f t="shared" si="3217"/>
        <v/>
      </c>
      <c r="EE209" s="107" t="str">
        <f t="shared" si="3217"/>
        <v/>
      </c>
      <c r="EF209" s="107" t="str">
        <f t="shared" si="3217"/>
        <v/>
      </c>
      <c r="EG209" s="107" t="str">
        <f t="shared" si="3217"/>
        <v/>
      </c>
      <c r="EH209" s="107" t="str">
        <f t="shared" si="3217"/>
        <v/>
      </c>
      <c r="EI209" s="107" t="str">
        <f t="shared" si="3217"/>
        <v/>
      </c>
      <c r="EJ209" s="107" t="str">
        <f t="shared" si="3217"/>
        <v/>
      </c>
      <c r="EK209" s="107" t="str">
        <f t="shared" si="3217"/>
        <v/>
      </c>
      <c r="EL209" s="107" t="str">
        <f t="shared" si="3217"/>
        <v/>
      </c>
      <c r="EM209" s="107" t="str">
        <f t="shared" si="3217"/>
        <v/>
      </c>
      <c r="EN209" s="107" t="str">
        <f t="shared" si="3217"/>
        <v/>
      </c>
      <c r="EO209" s="107" t="str">
        <f t="shared" si="3217"/>
        <v/>
      </c>
      <c r="EP209" s="107" t="str">
        <f t="shared" si="3217"/>
        <v/>
      </c>
      <c r="EQ209" s="107" t="str">
        <f t="shared" si="3217"/>
        <v/>
      </c>
      <c r="ER209" s="107" t="str">
        <f t="shared" si="3217"/>
        <v/>
      </c>
      <c r="ES209" s="107" t="str">
        <f t="shared" si="3217"/>
        <v/>
      </c>
      <c r="ET209" s="107" t="str">
        <f t="shared" si="3217"/>
        <v/>
      </c>
      <c r="EU209" s="107" t="str">
        <f t="shared" si="3217"/>
        <v/>
      </c>
      <c r="EV209" s="107" t="str">
        <f t="shared" si="3217"/>
        <v/>
      </c>
      <c r="EW209" s="107" t="str">
        <f t="shared" si="3217"/>
        <v/>
      </c>
      <c r="EX209" s="107" t="str">
        <f t="shared" si="3217"/>
        <v/>
      </c>
      <c r="EY209" s="107" t="str">
        <f t="shared" si="3217"/>
        <v/>
      </c>
      <c r="EZ209" s="107" t="str">
        <f t="shared" si="3217"/>
        <v/>
      </c>
      <c r="FA209" s="107" t="str">
        <f t="shared" si="3217"/>
        <v/>
      </c>
      <c r="FB209" s="107" t="str">
        <f t="shared" si="3217"/>
        <v/>
      </c>
      <c r="FC209" s="107" t="str">
        <f t="shared" si="3217"/>
        <v/>
      </c>
      <c r="FD209" s="107" t="str">
        <f t="shared" si="3217"/>
        <v/>
      </c>
      <c r="FE209" s="107" t="str">
        <f t="shared" si="3217"/>
        <v/>
      </c>
      <c r="FF209" s="107" t="str">
        <f t="shared" si="3217"/>
        <v/>
      </c>
      <c r="FG209" s="107" t="str">
        <f t="shared" si="3217"/>
        <v/>
      </c>
      <c r="FH209" s="107" t="str">
        <f t="shared" si="3217"/>
        <v/>
      </c>
      <c r="FI209" s="107" t="str">
        <f t="shared" si="3217"/>
        <v/>
      </c>
      <c r="FJ209" s="107" t="str">
        <f t="shared" si="3217"/>
        <v/>
      </c>
      <c r="FK209" s="107" t="str">
        <f t="shared" si="3217"/>
        <v/>
      </c>
      <c r="FL209" s="107" t="str">
        <f t="shared" si="3217"/>
        <v/>
      </c>
      <c r="FM209" s="107" t="str">
        <f t="shared" si="3217"/>
        <v/>
      </c>
      <c r="FN209" s="107" t="str">
        <f t="shared" ref="FN209:FS209" si="3218">IF(CH209="","","|n"&amp;FN$2&amp;"+"&amp;CH209&amp;FN$1)</f>
        <v/>
      </c>
      <c r="FO209" s="107" t="str">
        <f t="shared" si="3218"/>
        <v/>
      </c>
      <c r="FP209" s="107" t="str">
        <f t="shared" si="3218"/>
        <v/>
      </c>
      <c r="FQ209" s="107" t="str">
        <f t="shared" si="3218"/>
        <v/>
      </c>
      <c r="FR209" s="107" t="str">
        <f t="shared" si="3218"/>
        <v/>
      </c>
      <c r="FS209" s="107" t="str">
        <f t="shared" si="3218"/>
        <v/>
      </c>
    </row>
    <row r="210" s="37" customFormat="1" ht="15" spans="1:175">
      <c r="A210" s="78"/>
      <c r="B210" s="5" t="s">
        <v>696</v>
      </c>
      <c r="C210" s="108" t="s">
        <v>697</v>
      </c>
      <c r="D210" s="74"/>
      <c r="E210" s="74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81"/>
      <c r="Q210" s="81"/>
      <c r="R210" s="81"/>
      <c r="S210" s="81"/>
      <c r="T210" s="78" t="s">
        <v>689</v>
      </c>
      <c r="U210" s="60" t="s">
        <v>690</v>
      </c>
      <c r="V210" s="101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5"/>
      <c r="AS210" s="105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  <c r="BJ210" s="102"/>
      <c r="BK210" s="102"/>
      <c r="BL210" s="102"/>
      <c r="BM210" s="102"/>
      <c r="BN210" s="102"/>
      <c r="BO210" s="102"/>
      <c r="BP210" s="102"/>
      <c r="BQ210" s="102"/>
      <c r="BR210" s="102"/>
      <c r="BS210" s="102"/>
      <c r="BT210" s="102"/>
      <c r="BU210" s="102"/>
      <c r="BV210" s="102"/>
      <c r="BW210" s="102"/>
      <c r="BX210" s="102"/>
      <c r="BY210" s="102"/>
      <c r="BZ210" s="102"/>
      <c r="CA210" s="102"/>
      <c r="CB210" s="102"/>
      <c r="CC210" s="102"/>
      <c r="CD210" s="102"/>
      <c r="CE210" s="102"/>
      <c r="CF210" s="102"/>
      <c r="CG210" s="102"/>
      <c r="CH210" s="102"/>
      <c r="CI210" s="102"/>
      <c r="CJ210" s="102"/>
      <c r="CK210" s="102"/>
      <c r="CL210" s="102"/>
      <c r="CM210" s="102"/>
      <c r="CN210" s="106" t="str">
        <f t="shared" si="2898"/>
        <v>InitUnitState('IS25',,,,,,,,,,)</v>
      </c>
      <c r="CO210" s="106" t="str">
        <f t="shared" si="2899"/>
        <v>InitUnitNormal('IS25',,,,,,,,,,)</v>
      </c>
      <c r="CP210" s="106" t="str">
        <f t="shared" si="2900"/>
        <v>InitUnitMagic('IS25',,,,,,,,,,)</v>
      </c>
      <c r="CQ210" s="106" t="str">
        <f t="shared" si="2901"/>
        <v>InitUnitAdd('IS25',,,,,,,,,,)</v>
      </c>
      <c r="CR210" s="10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InitEquipData('IS25',,"",,,,,'','','','','','',"ReplaceableTextures\\CommandButtons\\BTNIN03.blp")</v>
      </c>
      <c r="CS210" s="106"/>
      <c r="CT210" s="106"/>
      <c r="CU210" s="72" t="str">
        <f t="shared" si="3145"/>
        <v>|n</v>
      </c>
      <c r="CV210" s="37" t="str">
        <f t="shared" si="3146"/>
        <v>W附魔</v>
      </c>
      <c r="CW210" s="7"/>
      <c r="CX210" s="7"/>
      <c r="CY210" s="7"/>
      <c r="CZ210" s="7"/>
      <c r="DA210" s="7"/>
      <c r="DB210" s="107" t="str">
        <f t="shared" ref="DB210:FM210" si="3219">IF(V210="","","|n"&amp;DB$2&amp;"+"&amp;V210&amp;DB$1)</f>
        <v/>
      </c>
      <c r="DC210" s="107" t="str">
        <f t="shared" si="3219"/>
        <v/>
      </c>
      <c r="DD210" s="107" t="str">
        <f t="shared" si="3219"/>
        <v/>
      </c>
      <c r="DE210" s="107" t="str">
        <f t="shared" si="3219"/>
        <v/>
      </c>
      <c r="DF210" s="107" t="str">
        <f t="shared" si="3219"/>
        <v/>
      </c>
      <c r="DG210" s="107" t="str">
        <f t="shared" si="3219"/>
        <v/>
      </c>
      <c r="DH210" s="107" t="str">
        <f t="shared" si="3219"/>
        <v/>
      </c>
      <c r="DI210" s="107" t="str">
        <f t="shared" si="3219"/>
        <v/>
      </c>
      <c r="DJ210" s="107" t="str">
        <f t="shared" si="3219"/>
        <v/>
      </c>
      <c r="DK210" s="107" t="str">
        <f t="shared" si="3219"/>
        <v/>
      </c>
      <c r="DL210" s="107" t="str">
        <f t="shared" si="3219"/>
        <v/>
      </c>
      <c r="DM210" s="107" t="str">
        <f t="shared" si="3219"/>
        <v/>
      </c>
      <c r="DN210" s="107" t="str">
        <f t="shared" si="3219"/>
        <v/>
      </c>
      <c r="DO210" s="107" t="str">
        <f t="shared" si="3219"/>
        <v/>
      </c>
      <c r="DP210" s="107" t="str">
        <f t="shared" si="3219"/>
        <v/>
      </c>
      <c r="DQ210" s="107" t="str">
        <f t="shared" si="3219"/>
        <v/>
      </c>
      <c r="DR210" s="107" t="str">
        <f t="shared" si="3219"/>
        <v/>
      </c>
      <c r="DS210" s="107" t="str">
        <f t="shared" si="3219"/>
        <v/>
      </c>
      <c r="DT210" s="107" t="str">
        <f t="shared" si="3219"/>
        <v/>
      </c>
      <c r="DU210" s="107" t="str">
        <f t="shared" si="3219"/>
        <v/>
      </c>
      <c r="DV210" s="107" t="str">
        <f t="shared" si="3219"/>
        <v/>
      </c>
      <c r="DW210" s="107" t="str">
        <f t="shared" si="3219"/>
        <v/>
      </c>
      <c r="DX210" s="107" t="str">
        <f t="shared" si="3219"/>
        <v/>
      </c>
      <c r="DY210" s="107" t="str">
        <f t="shared" si="3219"/>
        <v/>
      </c>
      <c r="DZ210" s="107" t="str">
        <f t="shared" si="3219"/>
        <v/>
      </c>
      <c r="EA210" s="107" t="str">
        <f t="shared" si="3219"/>
        <v/>
      </c>
      <c r="EB210" s="107" t="str">
        <f t="shared" si="3219"/>
        <v/>
      </c>
      <c r="EC210" s="107" t="str">
        <f t="shared" si="3219"/>
        <v/>
      </c>
      <c r="ED210" s="107" t="str">
        <f t="shared" si="3219"/>
        <v/>
      </c>
      <c r="EE210" s="107" t="str">
        <f t="shared" si="3219"/>
        <v/>
      </c>
      <c r="EF210" s="107" t="str">
        <f t="shared" si="3219"/>
        <v/>
      </c>
      <c r="EG210" s="107" t="str">
        <f t="shared" si="3219"/>
        <v/>
      </c>
      <c r="EH210" s="107" t="str">
        <f t="shared" si="3219"/>
        <v/>
      </c>
      <c r="EI210" s="107" t="str">
        <f t="shared" si="3219"/>
        <v/>
      </c>
      <c r="EJ210" s="107" t="str">
        <f t="shared" si="3219"/>
        <v/>
      </c>
      <c r="EK210" s="107" t="str">
        <f t="shared" si="3219"/>
        <v/>
      </c>
      <c r="EL210" s="107" t="str">
        <f t="shared" si="3219"/>
        <v/>
      </c>
      <c r="EM210" s="107" t="str">
        <f t="shared" si="3219"/>
        <v/>
      </c>
      <c r="EN210" s="107" t="str">
        <f t="shared" si="3219"/>
        <v/>
      </c>
      <c r="EO210" s="107" t="str">
        <f t="shared" si="3219"/>
        <v/>
      </c>
      <c r="EP210" s="107" t="str">
        <f t="shared" si="3219"/>
        <v/>
      </c>
      <c r="EQ210" s="107" t="str">
        <f t="shared" si="3219"/>
        <v/>
      </c>
      <c r="ER210" s="107" t="str">
        <f t="shared" si="3219"/>
        <v/>
      </c>
      <c r="ES210" s="107" t="str">
        <f t="shared" si="3219"/>
        <v/>
      </c>
      <c r="ET210" s="107" t="str">
        <f t="shared" si="3219"/>
        <v/>
      </c>
      <c r="EU210" s="107" t="str">
        <f t="shared" si="3219"/>
        <v/>
      </c>
      <c r="EV210" s="107" t="str">
        <f t="shared" si="3219"/>
        <v/>
      </c>
      <c r="EW210" s="107" t="str">
        <f t="shared" si="3219"/>
        <v/>
      </c>
      <c r="EX210" s="107" t="str">
        <f t="shared" si="3219"/>
        <v/>
      </c>
      <c r="EY210" s="107" t="str">
        <f t="shared" si="3219"/>
        <v/>
      </c>
      <c r="EZ210" s="107" t="str">
        <f t="shared" si="3219"/>
        <v/>
      </c>
      <c r="FA210" s="107" t="str">
        <f t="shared" si="3219"/>
        <v/>
      </c>
      <c r="FB210" s="107" t="str">
        <f t="shared" si="3219"/>
        <v/>
      </c>
      <c r="FC210" s="107" t="str">
        <f t="shared" si="3219"/>
        <v/>
      </c>
      <c r="FD210" s="107" t="str">
        <f t="shared" si="3219"/>
        <v/>
      </c>
      <c r="FE210" s="107" t="str">
        <f t="shared" si="3219"/>
        <v/>
      </c>
      <c r="FF210" s="107" t="str">
        <f t="shared" si="3219"/>
        <v/>
      </c>
      <c r="FG210" s="107" t="str">
        <f t="shared" si="3219"/>
        <v/>
      </c>
      <c r="FH210" s="107" t="str">
        <f t="shared" si="3219"/>
        <v/>
      </c>
      <c r="FI210" s="107" t="str">
        <f t="shared" si="3219"/>
        <v/>
      </c>
      <c r="FJ210" s="107" t="str">
        <f t="shared" si="3219"/>
        <v/>
      </c>
      <c r="FK210" s="107" t="str">
        <f t="shared" si="3219"/>
        <v/>
      </c>
      <c r="FL210" s="107" t="str">
        <f t="shared" si="3219"/>
        <v/>
      </c>
      <c r="FM210" s="107" t="str">
        <f t="shared" si="3219"/>
        <v/>
      </c>
      <c r="FN210" s="107" t="str">
        <f t="shared" ref="FN210:FS210" si="3220">IF(CH210="","","|n"&amp;FN$2&amp;"+"&amp;CH210&amp;FN$1)</f>
        <v/>
      </c>
      <c r="FO210" s="107" t="str">
        <f t="shared" si="3220"/>
        <v/>
      </c>
      <c r="FP210" s="107" t="str">
        <f t="shared" si="3220"/>
        <v/>
      </c>
      <c r="FQ210" s="107" t="str">
        <f t="shared" si="3220"/>
        <v/>
      </c>
      <c r="FR210" s="107" t="str">
        <f t="shared" si="3220"/>
        <v/>
      </c>
      <c r="FS210" s="107" t="str">
        <f t="shared" si="3220"/>
        <v/>
      </c>
    </row>
    <row r="211" s="37" customFormat="1" ht="15" spans="1:175">
      <c r="A211" s="78"/>
      <c r="B211" s="5" t="s">
        <v>698</v>
      </c>
      <c r="C211" s="108" t="s">
        <v>699</v>
      </c>
      <c r="D211" s="74"/>
      <c r="E211" s="74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81"/>
      <c r="Q211" s="81"/>
      <c r="R211" s="81"/>
      <c r="S211" s="81"/>
      <c r="T211" s="78" t="s">
        <v>692</v>
      </c>
      <c r="U211" s="60" t="s">
        <v>693</v>
      </c>
      <c r="V211" s="101"/>
      <c r="W211" s="102"/>
      <c r="X211" s="102"/>
      <c r="Y211" s="102"/>
      <c r="Z211" s="102"/>
      <c r="AA211" s="102"/>
      <c r="AB211" s="102"/>
      <c r="AC211" s="102"/>
      <c r="AD211" s="102"/>
      <c r="AE211" s="102"/>
      <c r="AF211" s="102"/>
      <c r="AG211" s="102"/>
      <c r="AH211" s="102"/>
      <c r="AI211" s="102"/>
      <c r="AJ211" s="102"/>
      <c r="AK211" s="102"/>
      <c r="AL211" s="102"/>
      <c r="AM211" s="102"/>
      <c r="AN211" s="102"/>
      <c r="AO211" s="102"/>
      <c r="AP211" s="102"/>
      <c r="AQ211" s="102"/>
      <c r="AR211" s="105"/>
      <c r="AS211" s="105"/>
      <c r="AT211" s="102"/>
      <c r="AU211" s="102"/>
      <c r="AV211" s="102"/>
      <c r="AW211" s="102"/>
      <c r="AX211" s="102"/>
      <c r="AY211" s="102"/>
      <c r="AZ211" s="102"/>
      <c r="BA211" s="102"/>
      <c r="BB211" s="102"/>
      <c r="BC211" s="102"/>
      <c r="BD211" s="102"/>
      <c r="BE211" s="102"/>
      <c r="BF211" s="102"/>
      <c r="BG211" s="102"/>
      <c r="BH211" s="102"/>
      <c r="BI211" s="102"/>
      <c r="BJ211" s="102"/>
      <c r="BK211" s="102"/>
      <c r="BL211" s="102"/>
      <c r="BM211" s="102"/>
      <c r="BN211" s="102"/>
      <c r="BO211" s="102"/>
      <c r="BP211" s="102"/>
      <c r="BQ211" s="102"/>
      <c r="BR211" s="102"/>
      <c r="BS211" s="102"/>
      <c r="BT211" s="102"/>
      <c r="BU211" s="102"/>
      <c r="BV211" s="102"/>
      <c r="BW211" s="102"/>
      <c r="BX211" s="102"/>
      <c r="BY211" s="102"/>
      <c r="BZ211" s="102"/>
      <c r="CA211" s="102"/>
      <c r="CB211" s="102"/>
      <c r="CC211" s="102"/>
      <c r="CD211" s="102"/>
      <c r="CE211" s="102"/>
      <c r="CF211" s="102"/>
      <c r="CG211" s="102"/>
      <c r="CH211" s="102"/>
      <c r="CI211" s="102"/>
      <c r="CJ211" s="102"/>
      <c r="CK211" s="102"/>
      <c r="CL211" s="102"/>
      <c r="CM211" s="102"/>
      <c r="CN211" s="106" t="str">
        <f t="shared" si="2898"/>
        <v>InitUnitState('IS26',,,,,,,,,,)</v>
      </c>
      <c r="CO211" s="106" t="str">
        <f t="shared" si="2899"/>
        <v>InitUnitNormal('IS26',,,,,,,,,,)</v>
      </c>
      <c r="CP211" s="106" t="str">
        <f t="shared" si="2900"/>
        <v>InitUnitMagic('IS26',,,,,,,,,,)</v>
      </c>
      <c r="CQ211" s="106" t="str">
        <f t="shared" si="2901"/>
        <v>InitUnitAdd('IS26',,,,,,,,,,)</v>
      </c>
      <c r="CR211" s="106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S211" s="106"/>
      <c r="CT211" s="106"/>
      <c r="CU211" s="72" t="str">
        <f t="shared" si="3145"/>
        <v>|n</v>
      </c>
      <c r="CV211" s="37" t="str">
        <f t="shared" si="3146"/>
        <v>E附魔</v>
      </c>
      <c r="CW211" s="7"/>
      <c r="CX211" s="7"/>
      <c r="CY211" s="7"/>
      <c r="CZ211" s="7"/>
      <c r="DA211" s="7"/>
      <c r="DB211" s="107" t="str">
        <f t="shared" ref="DB211:FM211" si="3221">IF(V211="","","|n"&amp;DB$2&amp;"+"&amp;V211&amp;DB$1)</f>
        <v/>
      </c>
      <c r="DC211" s="107" t="str">
        <f t="shared" si="3221"/>
        <v/>
      </c>
      <c r="DD211" s="107" t="str">
        <f t="shared" si="3221"/>
        <v/>
      </c>
      <c r="DE211" s="107" t="str">
        <f t="shared" si="3221"/>
        <v/>
      </c>
      <c r="DF211" s="107" t="str">
        <f t="shared" si="3221"/>
        <v/>
      </c>
      <c r="DG211" s="107" t="str">
        <f t="shared" si="3221"/>
        <v/>
      </c>
      <c r="DH211" s="107" t="str">
        <f t="shared" si="3221"/>
        <v/>
      </c>
      <c r="DI211" s="107" t="str">
        <f t="shared" si="3221"/>
        <v/>
      </c>
      <c r="DJ211" s="107" t="str">
        <f t="shared" si="3221"/>
        <v/>
      </c>
      <c r="DK211" s="107" t="str">
        <f t="shared" si="3221"/>
        <v/>
      </c>
      <c r="DL211" s="107" t="str">
        <f t="shared" si="3221"/>
        <v/>
      </c>
      <c r="DM211" s="107" t="str">
        <f t="shared" si="3221"/>
        <v/>
      </c>
      <c r="DN211" s="107" t="str">
        <f t="shared" si="3221"/>
        <v/>
      </c>
      <c r="DO211" s="107" t="str">
        <f t="shared" si="3221"/>
        <v/>
      </c>
      <c r="DP211" s="107" t="str">
        <f t="shared" si="3221"/>
        <v/>
      </c>
      <c r="DQ211" s="107" t="str">
        <f t="shared" si="3221"/>
        <v/>
      </c>
      <c r="DR211" s="107" t="str">
        <f t="shared" si="3221"/>
        <v/>
      </c>
      <c r="DS211" s="107" t="str">
        <f t="shared" si="3221"/>
        <v/>
      </c>
      <c r="DT211" s="107" t="str">
        <f t="shared" si="3221"/>
        <v/>
      </c>
      <c r="DU211" s="107" t="str">
        <f t="shared" si="3221"/>
        <v/>
      </c>
      <c r="DV211" s="107" t="str">
        <f t="shared" si="3221"/>
        <v/>
      </c>
      <c r="DW211" s="107" t="str">
        <f t="shared" si="3221"/>
        <v/>
      </c>
      <c r="DX211" s="107" t="str">
        <f t="shared" si="3221"/>
        <v/>
      </c>
      <c r="DY211" s="107" t="str">
        <f t="shared" si="3221"/>
        <v/>
      </c>
      <c r="DZ211" s="107" t="str">
        <f t="shared" si="3221"/>
        <v/>
      </c>
      <c r="EA211" s="107" t="str">
        <f t="shared" si="3221"/>
        <v/>
      </c>
      <c r="EB211" s="107" t="str">
        <f t="shared" si="3221"/>
        <v/>
      </c>
      <c r="EC211" s="107" t="str">
        <f t="shared" si="3221"/>
        <v/>
      </c>
      <c r="ED211" s="107" t="str">
        <f t="shared" si="3221"/>
        <v/>
      </c>
      <c r="EE211" s="107" t="str">
        <f t="shared" si="3221"/>
        <v/>
      </c>
      <c r="EF211" s="107" t="str">
        <f t="shared" si="3221"/>
        <v/>
      </c>
      <c r="EG211" s="107" t="str">
        <f t="shared" si="3221"/>
        <v/>
      </c>
      <c r="EH211" s="107" t="str">
        <f t="shared" si="3221"/>
        <v/>
      </c>
      <c r="EI211" s="107" t="str">
        <f t="shared" si="3221"/>
        <v/>
      </c>
      <c r="EJ211" s="107" t="str">
        <f t="shared" si="3221"/>
        <v/>
      </c>
      <c r="EK211" s="107" t="str">
        <f t="shared" si="3221"/>
        <v/>
      </c>
      <c r="EL211" s="107" t="str">
        <f t="shared" si="3221"/>
        <v/>
      </c>
      <c r="EM211" s="107" t="str">
        <f t="shared" si="3221"/>
        <v/>
      </c>
      <c r="EN211" s="107" t="str">
        <f t="shared" si="3221"/>
        <v/>
      </c>
      <c r="EO211" s="107" t="str">
        <f t="shared" si="3221"/>
        <v/>
      </c>
      <c r="EP211" s="107" t="str">
        <f t="shared" si="3221"/>
        <v/>
      </c>
      <c r="EQ211" s="107" t="str">
        <f t="shared" si="3221"/>
        <v/>
      </c>
      <c r="ER211" s="107" t="str">
        <f t="shared" si="3221"/>
        <v/>
      </c>
      <c r="ES211" s="107" t="str">
        <f t="shared" si="3221"/>
        <v/>
      </c>
      <c r="ET211" s="107" t="str">
        <f t="shared" si="3221"/>
        <v/>
      </c>
      <c r="EU211" s="107" t="str">
        <f t="shared" si="3221"/>
        <v/>
      </c>
      <c r="EV211" s="107" t="str">
        <f t="shared" si="3221"/>
        <v/>
      </c>
      <c r="EW211" s="107" t="str">
        <f t="shared" si="3221"/>
        <v/>
      </c>
      <c r="EX211" s="107" t="str">
        <f t="shared" si="3221"/>
        <v/>
      </c>
      <c r="EY211" s="107" t="str">
        <f t="shared" si="3221"/>
        <v/>
      </c>
      <c r="EZ211" s="107" t="str">
        <f t="shared" si="3221"/>
        <v/>
      </c>
      <c r="FA211" s="107" t="str">
        <f t="shared" si="3221"/>
        <v/>
      </c>
      <c r="FB211" s="107" t="str">
        <f t="shared" si="3221"/>
        <v/>
      </c>
      <c r="FC211" s="107" t="str">
        <f t="shared" si="3221"/>
        <v/>
      </c>
      <c r="FD211" s="107" t="str">
        <f t="shared" si="3221"/>
        <v/>
      </c>
      <c r="FE211" s="107" t="str">
        <f t="shared" si="3221"/>
        <v/>
      </c>
      <c r="FF211" s="107" t="str">
        <f t="shared" si="3221"/>
        <v/>
      </c>
      <c r="FG211" s="107" t="str">
        <f t="shared" si="3221"/>
        <v/>
      </c>
      <c r="FH211" s="107" t="str">
        <f t="shared" si="3221"/>
        <v/>
      </c>
      <c r="FI211" s="107" t="str">
        <f t="shared" si="3221"/>
        <v/>
      </c>
      <c r="FJ211" s="107" t="str">
        <f t="shared" si="3221"/>
        <v/>
      </c>
      <c r="FK211" s="107" t="str">
        <f t="shared" si="3221"/>
        <v/>
      </c>
      <c r="FL211" s="107" t="str">
        <f t="shared" si="3221"/>
        <v/>
      </c>
      <c r="FM211" s="107" t="str">
        <f t="shared" si="3221"/>
        <v/>
      </c>
      <c r="FN211" s="107" t="str">
        <f t="shared" ref="FN211:FS211" si="3222">IF(CH211="","","|n"&amp;FN$2&amp;"+"&amp;CH211&amp;FN$1)</f>
        <v/>
      </c>
      <c r="FO211" s="107" t="str">
        <f t="shared" si="3222"/>
        <v/>
      </c>
      <c r="FP211" s="107" t="str">
        <f t="shared" si="3222"/>
        <v/>
      </c>
      <c r="FQ211" s="107" t="str">
        <f t="shared" si="3222"/>
        <v/>
      </c>
      <c r="FR211" s="107" t="str">
        <f t="shared" si="3222"/>
        <v/>
      </c>
      <c r="FS211" s="107" t="str">
        <f t="shared" si="3222"/>
        <v/>
      </c>
    </row>
    <row r="212" ht="15" spans="1:175">
      <c r="A212" s="78"/>
      <c r="B212" s="5" t="s">
        <v>700</v>
      </c>
      <c r="C212" s="78" t="s">
        <v>701</v>
      </c>
      <c r="T212" s="78" t="str">
        <f t="shared" ref="T212:T215" si="3223">C212</f>
        <v>|CffFF0000占星|r</v>
      </c>
      <c r="U212" s="60" t="str">
        <f t="shared" ref="U212:U213" si="3224">"ReplaceableTextures\\CommandButtons\\BTN"&amp;B212&amp;".blp"</f>
        <v>ReplaceableTextures\\CommandButtons\\BTNIS11.blp</v>
      </c>
      <c r="CN212" s="13" t="str">
        <f t="shared" si="2898"/>
        <v>InitUnitState('IS11',,,,,,,,,,)</v>
      </c>
      <c r="CO212" s="13" t="str">
        <f t="shared" si="2899"/>
        <v>InitUnitNormal('IS11',,,,,,,,,,)</v>
      </c>
      <c r="CP212" s="13" t="str">
        <f t="shared" si="2900"/>
        <v>InitUnitMagic('IS11',,,,,,,,,,)</v>
      </c>
      <c r="CQ212" s="13" t="str">
        <f t="shared" si="2901"/>
        <v>InitUnitAdd('IS11',,,,,,,,,,)</v>
      </c>
      <c r="CR212" s="13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72" t="str">
        <f t="shared" ref="CU212:CU213" si="3225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" t="str">
        <f t="shared" ref="CV212:CV213" si="3226">T212</f>
        <v>|CffFF0000占星|r</v>
      </c>
      <c r="CW212" s="7"/>
      <c r="CX212" s="7"/>
      <c r="CY212" s="7"/>
      <c r="CZ212" s="7"/>
      <c r="DA212" s="7"/>
      <c r="DB212" s="44" t="str">
        <f t="shared" ref="DB212" si="3227">IF(V212="","","|n"&amp;DB$2&amp;"+"&amp;V212&amp;DB$1)</f>
        <v/>
      </c>
      <c r="DC212" s="44" t="str">
        <f t="shared" ref="DC212" si="3228">IF(W212="","","|n"&amp;DC$2&amp;"+"&amp;W212&amp;DC$1)</f>
        <v/>
      </c>
      <c r="DD212" s="44" t="str">
        <f t="shared" ref="DD212" si="3229">IF(X212="","","|n"&amp;DD$2&amp;"+"&amp;X212&amp;DD$1)</f>
        <v/>
      </c>
      <c r="DE212" s="44" t="str">
        <f t="shared" ref="DE212" si="3230">IF(Y212="","","|n"&amp;DE$2&amp;"+"&amp;Y212&amp;DE$1)</f>
        <v/>
      </c>
      <c r="DF212" s="44" t="str">
        <f t="shared" ref="DF212" si="3231">IF(Z212="","","|n"&amp;DF$2&amp;"+"&amp;Z212&amp;DF$1)</f>
        <v/>
      </c>
      <c r="DG212" s="44" t="str">
        <f t="shared" ref="DG212" si="3232">IF(AA212="","","|n"&amp;DG$2&amp;"+"&amp;AA212&amp;DG$1)</f>
        <v/>
      </c>
      <c r="DH212" s="44" t="str">
        <f t="shared" ref="DH212" si="3233">IF(AB212="","","|n"&amp;DH$2&amp;"+"&amp;AB212&amp;DH$1)</f>
        <v/>
      </c>
      <c r="DI212" s="44" t="str">
        <f t="shared" ref="DI212" si="3234">IF(AC212="","","|n"&amp;DI$2&amp;"+"&amp;AC212&amp;DI$1)</f>
        <v/>
      </c>
      <c r="DJ212" s="44" t="str">
        <f t="shared" ref="DJ212" si="3235">IF(AD212="","","|n"&amp;DJ$2&amp;"+"&amp;AD212&amp;DJ$1)</f>
        <v/>
      </c>
      <c r="DK212" s="44" t="str">
        <f t="shared" ref="DK212" si="3236">IF(AE212="","","|n"&amp;DK$2&amp;"+"&amp;AE212&amp;DK$1)</f>
        <v/>
      </c>
      <c r="DL212" s="44" t="str">
        <f t="shared" ref="DL212" si="3237">IF(AF212="","","|n"&amp;DL$2&amp;"+"&amp;AF212&amp;DL$1)</f>
        <v/>
      </c>
      <c r="DM212" s="44" t="str">
        <f t="shared" ref="DM212" si="3238">IF(AG212="","","|n"&amp;DM$2&amp;"+"&amp;AG212&amp;DM$1)</f>
        <v/>
      </c>
      <c r="DN212" s="44" t="str">
        <f t="shared" ref="DN212" si="3239">IF(AH212="","","|n"&amp;DN$2&amp;"+"&amp;AH212&amp;DN$1)</f>
        <v/>
      </c>
      <c r="DO212" s="44" t="str">
        <f t="shared" ref="DO212" si="3240">IF(AI212="","","|n"&amp;DO$2&amp;"+"&amp;AI212&amp;DO$1)</f>
        <v/>
      </c>
      <c r="DP212" s="44" t="str">
        <f t="shared" ref="DP212" si="3241">IF(AJ212="","","|n"&amp;DP$2&amp;"+"&amp;AJ212&amp;DP$1)</f>
        <v/>
      </c>
      <c r="DQ212" s="44" t="str">
        <f t="shared" ref="DQ212" si="3242">IF(AK212="","","|n"&amp;DQ$2&amp;"+"&amp;AK212&amp;DQ$1)</f>
        <v/>
      </c>
      <c r="DR212" s="44" t="str">
        <f t="shared" ref="DR212" si="3243">IF(AL212="","","|n"&amp;DR$2&amp;"+"&amp;AL212&amp;DR$1)</f>
        <v/>
      </c>
      <c r="DS212" s="44" t="str">
        <f t="shared" ref="DS212" si="3244">IF(AM212="","","|n"&amp;DS$2&amp;"+"&amp;AM212&amp;DS$1)</f>
        <v/>
      </c>
      <c r="DT212" s="44" t="str">
        <f t="shared" ref="DT212" si="3245">IF(AN212="","","|n"&amp;DT$2&amp;"+"&amp;AN212&amp;DT$1)</f>
        <v/>
      </c>
      <c r="DU212" s="44" t="str">
        <f t="shared" ref="DU212" si="3246">IF(AO212="","","|n"&amp;DU$2&amp;"+"&amp;AO212&amp;DU$1)</f>
        <v/>
      </c>
      <c r="DV212" s="44" t="str">
        <f t="shared" ref="DV212" si="3247">IF(AP212="","","|n"&amp;DV$2&amp;"+"&amp;AP212&amp;DV$1)</f>
        <v/>
      </c>
      <c r="DW212" s="44" t="str">
        <f t="shared" ref="DW212" si="3248">IF(AQ212="","","|n"&amp;DW$2&amp;"+"&amp;AQ212&amp;DW$1)</f>
        <v/>
      </c>
      <c r="DX212" s="44" t="str">
        <f t="shared" ref="DX212" si="3249">IF(AR212="","","|n"&amp;DX$2&amp;"+"&amp;AR212&amp;DX$1)</f>
        <v/>
      </c>
      <c r="DY212" s="44" t="str">
        <f t="shared" ref="DY212" si="3250">IF(AS212="","","|n"&amp;DY$2&amp;"+"&amp;AS212&amp;DY$1)</f>
        <v/>
      </c>
      <c r="DZ212" s="44" t="str">
        <f t="shared" ref="DZ212" si="3251">IF(AT212="","","|n"&amp;DZ$2&amp;"+"&amp;AT212&amp;DZ$1)</f>
        <v/>
      </c>
      <c r="EA212" s="44" t="str">
        <f t="shared" ref="EA212" si="3252">IF(AU212="","","|n"&amp;EA$2&amp;"+"&amp;AU212&amp;EA$1)</f>
        <v/>
      </c>
      <c r="EB212" s="44" t="str">
        <f t="shared" ref="EB212" si="3253">IF(AV212="","","|n"&amp;EB$2&amp;"+"&amp;AV212&amp;EB$1)</f>
        <v/>
      </c>
      <c r="EC212" s="44" t="str">
        <f t="shared" ref="EC212" si="3254">IF(AW212="","","|n"&amp;EC$2&amp;"+"&amp;AW212&amp;EC$1)</f>
        <v/>
      </c>
      <c r="ED212" s="44" t="str">
        <f t="shared" ref="ED212" si="3255">IF(AX212="","","|n"&amp;ED$2&amp;"+"&amp;AX212&amp;ED$1)</f>
        <v/>
      </c>
      <c r="EE212" s="44" t="str">
        <f t="shared" ref="EE212" si="3256">IF(AY212="","","|n"&amp;EE$2&amp;"+"&amp;AY212&amp;EE$1)</f>
        <v/>
      </c>
      <c r="EF212" s="44" t="str">
        <f t="shared" ref="EF212" si="3257">IF(AZ212="","","|n"&amp;EF$2&amp;"+"&amp;AZ212&amp;EF$1)</f>
        <v/>
      </c>
      <c r="EG212" s="44" t="str">
        <f t="shared" ref="EG212" si="3258">IF(BA212="","","|n"&amp;EG$2&amp;"+"&amp;BA212&amp;EG$1)</f>
        <v/>
      </c>
      <c r="EH212" s="44" t="str">
        <f t="shared" ref="EH212" si="3259">IF(BB212="","","|n"&amp;EH$2&amp;"+"&amp;BB212&amp;EH$1)</f>
        <v/>
      </c>
      <c r="EI212" s="44" t="str">
        <f t="shared" ref="EI212" si="3260">IF(BC212="","","|n"&amp;EI$2&amp;"+"&amp;BC212&amp;EI$1)</f>
        <v/>
      </c>
      <c r="EJ212" s="44" t="str">
        <f t="shared" ref="EJ212" si="3261">IF(BD212="","","|n"&amp;EJ$2&amp;"+"&amp;BD212&amp;EJ$1)</f>
        <v/>
      </c>
      <c r="EK212" s="44" t="str">
        <f t="shared" ref="EK212" si="3262">IF(BE212="","","|n"&amp;EK$2&amp;"+"&amp;BE212&amp;EK$1)</f>
        <v/>
      </c>
      <c r="EL212" s="44" t="str">
        <f t="shared" ref="EL212" si="3263">IF(BF212="","","|n"&amp;EL$2&amp;"+"&amp;BF212&amp;EL$1)</f>
        <v/>
      </c>
      <c r="EM212" s="44" t="str">
        <f t="shared" ref="EM212" si="3264">IF(BG212="","","|n"&amp;EM$2&amp;"+"&amp;BG212&amp;EM$1)</f>
        <v/>
      </c>
      <c r="EN212" s="44" t="str">
        <f t="shared" ref="EN212" si="3265">IF(BH212="","","|n"&amp;EN$2&amp;"+"&amp;BH212&amp;EN$1)</f>
        <v/>
      </c>
      <c r="EO212" s="44" t="str">
        <f t="shared" ref="EO212" si="3266">IF(BI212="","","|n"&amp;EO$2&amp;"+"&amp;BI212&amp;EO$1)</f>
        <v/>
      </c>
      <c r="EP212" s="44" t="str">
        <f t="shared" ref="EP212" si="3267">IF(BJ212="","","|n"&amp;EP$2&amp;"+"&amp;BJ212&amp;EP$1)</f>
        <v/>
      </c>
      <c r="EQ212" s="44" t="str">
        <f t="shared" ref="EQ212" si="3268">IF(BK212="","","|n"&amp;EQ$2&amp;"+"&amp;BK212&amp;EQ$1)</f>
        <v/>
      </c>
      <c r="ER212" s="44" t="str">
        <f t="shared" ref="ER212" si="3269">IF(BL212="","","|n"&amp;ER$2&amp;"+"&amp;BL212&amp;ER$1)</f>
        <v/>
      </c>
      <c r="ES212" s="44" t="str">
        <f t="shared" ref="ES212" si="3270">IF(BM212="","","|n"&amp;ES$2&amp;"+"&amp;BM212&amp;ES$1)</f>
        <v/>
      </c>
      <c r="ET212" s="44" t="str">
        <f t="shared" ref="ET212" si="3271">IF(BN212="","","|n"&amp;ET$2&amp;"+"&amp;BN212&amp;ET$1)</f>
        <v/>
      </c>
      <c r="EU212" s="44" t="str">
        <f t="shared" ref="EU212" si="3272">IF(BO212="","","|n"&amp;EU$2&amp;"+"&amp;BO212&amp;EU$1)</f>
        <v/>
      </c>
      <c r="EV212" s="44" t="str">
        <f t="shared" ref="EV212" si="3273">IF(BP212="","","|n"&amp;EV$2&amp;"+"&amp;BP212&amp;EV$1)</f>
        <v/>
      </c>
      <c r="EW212" s="44" t="str">
        <f t="shared" ref="EW212" si="3274">IF(BQ212="","","|n"&amp;EW$2&amp;"+"&amp;BQ212&amp;EW$1)</f>
        <v/>
      </c>
      <c r="EX212" s="44" t="str">
        <f t="shared" ref="EX212" si="3275">IF(BR212="","","|n"&amp;EX$2&amp;"+"&amp;BR212&amp;EX$1)</f>
        <v/>
      </c>
      <c r="EY212" s="44" t="str">
        <f t="shared" ref="EY212" si="3276">IF(BS212="","","|n"&amp;EY$2&amp;"+"&amp;BS212&amp;EY$1)</f>
        <v/>
      </c>
      <c r="EZ212" s="44" t="str">
        <f t="shared" ref="EZ212" si="3277">IF(BT212="","","|n"&amp;EZ$2&amp;"+"&amp;BT212&amp;EZ$1)</f>
        <v/>
      </c>
      <c r="FA212" s="44" t="str">
        <f t="shared" ref="FA212" si="3278">IF(BU212="","","|n"&amp;FA$2&amp;"+"&amp;BU212&amp;FA$1)</f>
        <v/>
      </c>
      <c r="FB212" s="44" t="str">
        <f t="shared" ref="FB212" si="3279">IF(BV212="","","|n"&amp;FB$2&amp;"+"&amp;BV212&amp;FB$1)</f>
        <v/>
      </c>
      <c r="FC212" s="44" t="str">
        <f t="shared" ref="FC212" si="3280">IF(BW212="","","|n"&amp;FC$2&amp;"+"&amp;BW212&amp;FC$1)</f>
        <v/>
      </c>
      <c r="FD212" s="44" t="str">
        <f t="shared" ref="FD212" si="3281">IF(BX212="","","|n"&amp;FD$2&amp;"+"&amp;BX212&amp;FD$1)</f>
        <v/>
      </c>
      <c r="FE212" s="44" t="str">
        <f t="shared" ref="FE212" si="3282">IF(BY212="","","|n"&amp;FE$2&amp;"+"&amp;BY212&amp;FE$1)</f>
        <v/>
      </c>
      <c r="FF212" s="44" t="str">
        <f t="shared" ref="FF212" si="3283">IF(BZ212="","","|n"&amp;FF$2&amp;"+"&amp;BZ212&amp;FF$1)</f>
        <v/>
      </c>
      <c r="FG212" s="44" t="str">
        <f t="shared" ref="FG212" si="3284">IF(CA212="","","|n"&amp;FG$2&amp;"+"&amp;CA212&amp;FG$1)</f>
        <v/>
      </c>
      <c r="FH212" s="44" t="str">
        <f t="shared" ref="FH212" si="3285">IF(CB212="","","|n"&amp;FH$2&amp;"+"&amp;CB212&amp;FH$1)</f>
        <v/>
      </c>
      <c r="FI212" s="44" t="str">
        <f t="shared" ref="FI212" si="3286">IF(CC212="","","|n"&amp;FI$2&amp;"+"&amp;CC212&amp;FI$1)</f>
        <v/>
      </c>
      <c r="FJ212" s="44" t="str">
        <f t="shared" ref="FJ212" si="3287">IF(CD212="","","|n"&amp;FJ$2&amp;"+"&amp;CD212&amp;FJ$1)</f>
        <v/>
      </c>
      <c r="FK212" s="44" t="str">
        <f t="shared" ref="FK212" si="3288">IF(CE212="","","|n"&amp;FK$2&amp;"+"&amp;CE212&amp;FK$1)</f>
        <v/>
      </c>
      <c r="FL212" s="44" t="str">
        <f t="shared" ref="FL212" si="3289">IF(CF212="","","|n"&amp;FL$2&amp;"+"&amp;CF212&amp;FL$1)</f>
        <v/>
      </c>
      <c r="FM212" s="44" t="str">
        <f t="shared" ref="FM212" si="3290">IF(CG212="","","|n"&amp;FM$2&amp;"+"&amp;CG212&amp;FM$1)</f>
        <v/>
      </c>
      <c r="FN212" s="44" t="str">
        <f t="shared" ref="FN212" si="3291">IF(CH212="","","|n"&amp;FN$2&amp;"+"&amp;CH212&amp;FN$1)</f>
        <v/>
      </c>
      <c r="FO212" s="44" t="str">
        <f t="shared" ref="FO212" si="3292">IF(CI212="","","|n"&amp;FO$2&amp;"+"&amp;CI212&amp;FO$1)</f>
        <v/>
      </c>
      <c r="FP212" s="44" t="str">
        <f t="shared" ref="FP212" si="3293">IF(CJ212="","","|n"&amp;FP$2&amp;"+"&amp;CJ212&amp;FP$1)</f>
        <v/>
      </c>
      <c r="FQ212" s="44" t="str">
        <f t="shared" ref="FQ212" si="3294">IF(CK212="","","|n"&amp;FQ$2&amp;"+"&amp;CK212&amp;FQ$1)</f>
        <v/>
      </c>
      <c r="FR212" s="44" t="str">
        <f t="shared" ref="FR212" si="3295">IF(CL212="","","|n"&amp;FR$2&amp;"+"&amp;CL212&amp;FR$1)</f>
        <v/>
      </c>
      <c r="FS212" s="44" t="str">
        <f t="shared" ref="FS212" si="3296">IF(CM212="","","|n"&amp;FS$2&amp;"+"&amp;CM212&amp;FS$1)</f>
        <v/>
      </c>
    </row>
    <row r="213" ht="15" spans="1:175">
      <c r="A213" s="78"/>
      <c r="B213" s="5" t="s">
        <v>702</v>
      </c>
      <c r="C213" s="78" t="s">
        <v>703</v>
      </c>
      <c r="T213" s="78" t="str">
        <f t="shared" si="3223"/>
        <v>|CffFFD24D兽魂抽奖|r</v>
      </c>
      <c r="U213" s="60" t="str">
        <f t="shared" si="3224"/>
        <v>ReplaceableTextures\\CommandButtons\\BTNIS12.blp</v>
      </c>
      <c r="CN213" s="13" t="str">
        <f t="shared" si="2898"/>
        <v>InitUnitState('IS12',,,,,,,,,,)</v>
      </c>
      <c r="CO213" s="13" t="str">
        <f t="shared" si="2899"/>
        <v>InitUnitNormal('IS12',,,,,,,,,,)</v>
      </c>
      <c r="CP213" s="13" t="str">
        <f t="shared" si="2900"/>
        <v>InitUnitMagic('IS12',,,,,,,,,,)</v>
      </c>
      <c r="CQ213" s="13" t="str">
        <f t="shared" si="2901"/>
        <v>InitUnitAdd('IS12',,,,,,,,,,)</v>
      </c>
      <c r="CR213" s="13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72" t="str">
        <f t="shared" si="3225"/>
        <v>|n</v>
      </c>
      <c r="CV213" s="6" t="str">
        <f t="shared" si="3226"/>
        <v>|CffFFD24D兽魂抽奖|r</v>
      </c>
      <c r="CW213" s="7"/>
      <c r="CX213" s="7"/>
      <c r="CY213" s="7"/>
      <c r="CZ213" s="7"/>
      <c r="DA213" s="7"/>
      <c r="DB213" s="44" t="str">
        <f t="shared" ref="DB213:EG213" si="3297">IF(V213="","","|n"&amp;DB$2&amp;"+"&amp;V213&amp;DB$1)</f>
        <v/>
      </c>
      <c r="DC213" s="44" t="str">
        <f t="shared" si="3297"/>
        <v/>
      </c>
      <c r="DD213" s="44" t="str">
        <f t="shared" si="3297"/>
        <v/>
      </c>
      <c r="DE213" s="44" t="str">
        <f t="shared" si="3297"/>
        <v/>
      </c>
      <c r="DF213" s="44" t="str">
        <f t="shared" si="3297"/>
        <v/>
      </c>
      <c r="DG213" s="44" t="str">
        <f t="shared" si="3297"/>
        <v/>
      </c>
      <c r="DH213" s="44" t="str">
        <f t="shared" si="3297"/>
        <v/>
      </c>
      <c r="DI213" s="44" t="str">
        <f t="shared" si="3297"/>
        <v/>
      </c>
      <c r="DJ213" s="44" t="str">
        <f t="shared" si="3297"/>
        <v/>
      </c>
      <c r="DK213" s="44" t="str">
        <f t="shared" si="3297"/>
        <v/>
      </c>
      <c r="DL213" s="44" t="str">
        <f t="shared" si="3297"/>
        <v/>
      </c>
      <c r="DM213" s="44" t="str">
        <f t="shared" si="3297"/>
        <v/>
      </c>
      <c r="DN213" s="44" t="str">
        <f t="shared" si="3297"/>
        <v/>
      </c>
      <c r="DO213" s="44" t="str">
        <f t="shared" si="3297"/>
        <v/>
      </c>
      <c r="DP213" s="44" t="str">
        <f t="shared" si="3297"/>
        <v/>
      </c>
      <c r="DQ213" s="44" t="str">
        <f t="shared" si="3297"/>
        <v/>
      </c>
      <c r="DR213" s="44" t="str">
        <f t="shared" si="3297"/>
        <v/>
      </c>
      <c r="DS213" s="44" t="str">
        <f t="shared" si="3297"/>
        <v/>
      </c>
      <c r="DT213" s="44" t="str">
        <f t="shared" si="3297"/>
        <v/>
      </c>
      <c r="DU213" s="44" t="str">
        <f t="shared" si="3297"/>
        <v/>
      </c>
      <c r="DV213" s="44" t="str">
        <f t="shared" si="3297"/>
        <v/>
      </c>
      <c r="DW213" s="44" t="str">
        <f t="shared" si="3297"/>
        <v/>
      </c>
      <c r="DX213" s="44" t="str">
        <f t="shared" si="3297"/>
        <v/>
      </c>
      <c r="DY213" s="44" t="str">
        <f t="shared" si="3297"/>
        <v/>
      </c>
      <c r="DZ213" s="44" t="str">
        <f t="shared" si="3297"/>
        <v/>
      </c>
      <c r="EA213" s="44" t="str">
        <f t="shared" si="3297"/>
        <v/>
      </c>
      <c r="EB213" s="44" t="str">
        <f t="shared" si="3297"/>
        <v/>
      </c>
      <c r="EC213" s="44" t="str">
        <f t="shared" si="3297"/>
        <v/>
      </c>
      <c r="ED213" s="44" t="str">
        <f t="shared" si="3297"/>
        <v/>
      </c>
      <c r="EE213" s="44" t="str">
        <f t="shared" si="3297"/>
        <v/>
      </c>
      <c r="EF213" s="44" t="str">
        <f t="shared" si="3297"/>
        <v/>
      </c>
      <c r="EG213" s="44" t="str">
        <f t="shared" si="3297"/>
        <v/>
      </c>
      <c r="EH213" s="44" t="str">
        <f t="shared" ref="EH213:FM213" si="3298">IF(BB213="","","|n"&amp;EH$2&amp;"+"&amp;BB213&amp;EH$1)</f>
        <v/>
      </c>
      <c r="EI213" s="44" t="str">
        <f t="shared" si="3298"/>
        <v/>
      </c>
      <c r="EJ213" s="44" t="str">
        <f t="shared" si="3298"/>
        <v/>
      </c>
      <c r="EK213" s="44" t="str">
        <f t="shared" si="3298"/>
        <v/>
      </c>
      <c r="EL213" s="44" t="str">
        <f t="shared" si="3298"/>
        <v/>
      </c>
      <c r="EM213" s="44" t="str">
        <f t="shared" si="3298"/>
        <v/>
      </c>
      <c r="EN213" s="44" t="str">
        <f t="shared" si="3298"/>
        <v/>
      </c>
      <c r="EO213" s="44" t="str">
        <f t="shared" si="3298"/>
        <v/>
      </c>
      <c r="EP213" s="44" t="str">
        <f t="shared" si="3298"/>
        <v/>
      </c>
      <c r="EQ213" s="44" t="str">
        <f t="shared" si="3298"/>
        <v/>
      </c>
      <c r="ER213" s="44" t="str">
        <f t="shared" si="3298"/>
        <v/>
      </c>
      <c r="ES213" s="44" t="str">
        <f t="shared" si="3298"/>
        <v/>
      </c>
      <c r="ET213" s="44" t="str">
        <f t="shared" si="3298"/>
        <v/>
      </c>
      <c r="EU213" s="44" t="str">
        <f t="shared" si="3298"/>
        <v/>
      </c>
      <c r="EV213" s="44" t="str">
        <f t="shared" si="3298"/>
        <v/>
      </c>
      <c r="EW213" s="44" t="str">
        <f t="shared" si="3298"/>
        <v/>
      </c>
      <c r="EX213" s="44" t="str">
        <f t="shared" si="3298"/>
        <v/>
      </c>
      <c r="EY213" s="44" t="str">
        <f t="shared" si="3298"/>
        <v/>
      </c>
      <c r="EZ213" s="44" t="str">
        <f t="shared" si="3298"/>
        <v/>
      </c>
      <c r="FA213" s="44" t="str">
        <f t="shared" si="3298"/>
        <v/>
      </c>
      <c r="FB213" s="44" t="str">
        <f t="shared" si="3298"/>
        <v/>
      </c>
      <c r="FC213" s="44" t="str">
        <f t="shared" si="3298"/>
        <v/>
      </c>
      <c r="FD213" s="44" t="str">
        <f t="shared" si="3298"/>
        <v/>
      </c>
      <c r="FE213" s="44" t="str">
        <f t="shared" si="3298"/>
        <v/>
      </c>
      <c r="FF213" s="44" t="str">
        <f t="shared" si="3298"/>
        <v/>
      </c>
      <c r="FG213" s="44" t="str">
        <f t="shared" si="3298"/>
        <v/>
      </c>
      <c r="FH213" s="44" t="str">
        <f t="shared" si="3298"/>
        <v/>
      </c>
      <c r="FI213" s="44" t="str">
        <f t="shared" si="3298"/>
        <v/>
      </c>
      <c r="FJ213" s="44" t="str">
        <f t="shared" si="3298"/>
        <v/>
      </c>
      <c r="FK213" s="44" t="str">
        <f t="shared" si="3298"/>
        <v/>
      </c>
      <c r="FL213" s="44" t="str">
        <f t="shared" si="3298"/>
        <v/>
      </c>
      <c r="FM213" s="44" t="str">
        <f t="shared" si="3298"/>
        <v/>
      </c>
      <c r="FN213" s="44" t="str">
        <f t="shared" ref="FN213:FS213" si="3299">IF(CH213="","","|n"&amp;FN$2&amp;"+"&amp;CH213&amp;FN$1)</f>
        <v/>
      </c>
      <c r="FO213" s="44" t="str">
        <f t="shared" si="3299"/>
        <v/>
      </c>
      <c r="FP213" s="44" t="str">
        <f t="shared" si="3299"/>
        <v/>
      </c>
      <c r="FQ213" s="44" t="str">
        <f t="shared" si="3299"/>
        <v/>
      </c>
      <c r="FR213" s="44" t="str">
        <f t="shared" si="3299"/>
        <v/>
      </c>
      <c r="FS213" s="44" t="str">
        <f t="shared" si="3299"/>
        <v/>
      </c>
    </row>
    <row r="214" ht="15" spans="1:175">
      <c r="A214" s="78"/>
      <c r="B214" s="5" t="s">
        <v>704</v>
      </c>
      <c r="C214" s="78" t="s">
        <v>705</v>
      </c>
      <c r="T214" s="5" t="s">
        <v>706</v>
      </c>
      <c r="U214" s="60" t="str">
        <f t="shared" ref="U214" si="3300">"ReplaceableTextures\\CommandButtons\\BTN"&amp;B214&amp;".blp"</f>
        <v>ReplaceableTextures\\CommandButtons\\BTNIS13.blp</v>
      </c>
      <c r="CN214" s="13" t="str">
        <f t="shared" ref="CN214" si="3301">"InitUnitState('"&amp;B214&amp;"',"&amp;V214&amp;","&amp;W214&amp;","&amp;X214&amp;","&amp;Y214&amp;","&amp;Z214&amp;","&amp;AA214&amp;","&amp;AB214&amp;","&amp;AC214&amp;","&amp;AD214&amp;","&amp;AE214&amp;")"</f>
        <v>InitUnitState('IS13',,,,,,,,,,)</v>
      </c>
      <c r="CO214" s="13" t="str">
        <f t="shared" ref="CO214" si="3302">"InitUnitNormal('"&amp;B214&amp;"',"&amp;AF214&amp;","&amp;AG214&amp;","&amp;AH214&amp;","&amp;AI214&amp;","&amp;AJ214&amp;","&amp;AK214&amp;","&amp;AL214&amp;","&amp;AM214&amp;","&amp;AN214&amp;","&amp;AO214&amp;")"</f>
        <v>InitUnitNormal('IS13',,,,,,,,,,)</v>
      </c>
      <c r="CP214" s="13" t="str">
        <f t="shared" ref="CP214" si="3303">"InitUnitMagic('"&amp;B214&amp;"',"&amp;AP214&amp;","&amp;AQ214&amp;","&amp;AR214&amp;","&amp;AS214&amp;","&amp;AT214&amp;","&amp;AU214&amp;","&amp;AV214&amp;","&amp;AW214&amp;","&amp;BI214&amp;","&amp;BJ214&amp;")"</f>
        <v>InitUnitMagic('IS13',,,,,,,,,,)</v>
      </c>
      <c r="CQ214" s="13" t="str">
        <f t="shared" ref="CQ214" si="3304">"InitUnitAdd('"&amp;B214&amp;"',"&amp;BK214&amp;","&amp;BL214&amp;","&amp;BM214&amp;","&amp;BN214&amp;","&amp;BO214&amp;","&amp;BP214&amp;","&amp;BQ214&amp;","&amp;BR214&amp;","&amp;BS214&amp;","&amp;BT214&amp;")"</f>
        <v>InitUnitAdd('IS13',,,,,,,,,,)</v>
      </c>
      <c r="CR214" s="13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72" t="str">
        <f t="shared" ref="CU214:CU215" si="3305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" t="str">
        <f t="shared" ref="CV214:CV215" si="3306">T214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214" s="7"/>
      <c r="CX214" s="7"/>
      <c r="CY214" s="7"/>
      <c r="CZ214" s="7"/>
      <c r="DA214" s="7"/>
      <c r="DB214" s="44" t="str">
        <f t="shared" ref="DB214" si="3307">IF(V214="","","|n"&amp;DB$2&amp;"+"&amp;V214&amp;DB$1)</f>
        <v/>
      </c>
      <c r="DC214" s="44" t="str">
        <f t="shared" ref="DC214" si="3308">IF(W214="","","|n"&amp;DC$2&amp;"+"&amp;W214&amp;DC$1)</f>
        <v/>
      </c>
      <c r="DD214" s="44" t="str">
        <f t="shared" ref="DD214" si="3309">IF(X214="","","|n"&amp;DD$2&amp;"+"&amp;X214&amp;DD$1)</f>
        <v/>
      </c>
      <c r="DE214" s="44" t="str">
        <f t="shared" ref="DE214" si="3310">IF(Y214="","","|n"&amp;DE$2&amp;"+"&amp;Y214&amp;DE$1)</f>
        <v/>
      </c>
      <c r="DF214" s="44" t="str">
        <f t="shared" ref="DF214" si="3311">IF(Z214="","","|n"&amp;DF$2&amp;"+"&amp;Z214&amp;DF$1)</f>
        <v/>
      </c>
      <c r="DG214" s="44" t="str">
        <f t="shared" ref="DG214" si="3312">IF(AA214="","","|n"&amp;DG$2&amp;"+"&amp;AA214&amp;DG$1)</f>
        <v/>
      </c>
      <c r="DH214" s="44" t="str">
        <f t="shared" ref="DH214" si="3313">IF(AB214="","","|n"&amp;DH$2&amp;"+"&amp;AB214&amp;DH$1)</f>
        <v/>
      </c>
      <c r="DI214" s="44" t="str">
        <f t="shared" ref="DI214" si="3314">IF(AC214="","","|n"&amp;DI$2&amp;"+"&amp;AC214&amp;DI$1)</f>
        <v/>
      </c>
      <c r="DJ214" s="44" t="str">
        <f t="shared" ref="DJ214" si="3315">IF(AD214="","","|n"&amp;DJ$2&amp;"+"&amp;AD214&amp;DJ$1)</f>
        <v/>
      </c>
      <c r="DK214" s="44" t="str">
        <f t="shared" ref="DK214" si="3316">IF(AE214="","","|n"&amp;DK$2&amp;"+"&amp;AE214&amp;DK$1)</f>
        <v/>
      </c>
      <c r="DL214" s="44" t="str">
        <f t="shared" ref="DL214" si="3317">IF(AF214="","","|n"&amp;DL$2&amp;"+"&amp;AF214&amp;DL$1)</f>
        <v/>
      </c>
      <c r="DM214" s="44" t="str">
        <f t="shared" ref="DM214" si="3318">IF(AG214="","","|n"&amp;DM$2&amp;"+"&amp;AG214&amp;DM$1)</f>
        <v/>
      </c>
      <c r="DN214" s="44" t="str">
        <f t="shared" ref="DN214" si="3319">IF(AH214="","","|n"&amp;DN$2&amp;"+"&amp;AH214&amp;DN$1)</f>
        <v/>
      </c>
      <c r="DO214" s="44" t="str">
        <f t="shared" ref="DO214" si="3320">IF(AI214="","","|n"&amp;DO$2&amp;"+"&amp;AI214&amp;DO$1)</f>
        <v/>
      </c>
      <c r="DP214" s="44" t="str">
        <f t="shared" ref="DP214" si="3321">IF(AJ214="","","|n"&amp;DP$2&amp;"+"&amp;AJ214&amp;DP$1)</f>
        <v/>
      </c>
      <c r="DQ214" s="44" t="str">
        <f t="shared" ref="DQ214" si="3322">IF(AK214="","","|n"&amp;DQ$2&amp;"+"&amp;AK214&amp;DQ$1)</f>
        <v/>
      </c>
      <c r="DR214" s="44" t="str">
        <f t="shared" ref="DR214" si="3323">IF(AL214="","","|n"&amp;DR$2&amp;"+"&amp;AL214&amp;DR$1)</f>
        <v/>
      </c>
      <c r="DS214" s="44" t="str">
        <f t="shared" ref="DS214" si="3324">IF(AM214="","","|n"&amp;DS$2&amp;"+"&amp;AM214&amp;DS$1)</f>
        <v/>
      </c>
      <c r="DT214" s="44" t="str">
        <f t="shared" ref="DT214" si="3325">IF(AN214="","","|n"&amp;DT$2&amp;"+"&amp;AN214&amp;DT$1)</f>
        <v/>
      </c>
      <c r="DU214" s="44" t="str">
        <f t="shared" ref="DU214" si="3326">IF(AO214="","","|n"&amp;DU$2&amp;"+"&amp;AO214&amp;DU$1)</f>
        <v/>
      </c>
      <c r="DV214" s="44" t="str">
        <f t="shared" ref="DV214" si="3327">IF(AP214="","","|n"&amp;DV$2&amp;"+"&amp;AP214&amp;DV$1)</f>
        <v/>
      </c>
      <c r="DW214" s="44" t="str">
        <f t="shared" ref="DW214" si="3328">IF(AQ214="","","|n"&amp;DW$2&amp;"+"&amp;AQ214&amp;DW$1)</f>
        <v/>
      </c>
      <c r="DX214" s="44" t="str">
        <f t="shared" ref="DX214" si="3329">IF(AR214="","","|n"&amp;DX$2&amp;"+"&amp;AR214&amp;DX$1)</f>
        <v/>
      </c>
      <c r="DY214" s="44" t="str">
        <f t="shared" ref="DY214" si="3330">IF(AS214="","","|n"&amp;DY$2&amp;"+"&amp;AS214&amp;DY$1)</f>
        <v/>
      </c>
      <c r="DZ214" s="44" t="str">
        <f t="shared" ref="DZ214" si="3331">IF(AT214="","","|n"&amp;DZ$2&amp;"+"&amp;AT214&amp;DZ$1)</f>
        <v/>
      </c>
      <c r="EA214" s="44" t="str">
        <f t="shared" ref="EA214" si="3332">IF(AU214="","","|n"&amp;EA$2&amp;"+"&amp;AU214&amp;EA$1)</f>
        <v/>
      </c>
      <c r="EB214" s="44" t="str">
        <f t="shared" ref="EB214" si="3333">IF(AV214="","","|n"&amp;EB$2&amp;"+"&amp;AV214&amp;EB$1)</f>
        <v/>
      </c>
      <c r="EC214" s="44" t="str">
        <f t="shared" ref="EC214" si="3334">IF(AW214="","","|n"&amp;EC$2&amp;"+"&amp;AW214&amp;EC$1)</f>
        <v/>
      </c>
      <c r="ED214" s="44" t="str">
        <f t="shared" ref="ED214" si="3335">IF(AX214="","","|n"&amp;ED$2&amp;"+"&amp;AX214&amp;ED$1)</f>
        <v/>
      </c>
      <c r="EE214" s="44" t="str">
        <f t="shared" ref="EE214" si="3336">IF(AY214="","","|n"&amp;EE$2&amp;"+"&amp;AY214&amp;EE$1)</f>
        <v/>
      </c>
      <c r="EF214" s="44" t="str">
        <f t="shared" ref="EF214" si="3337">IF(AZ214="","","|n"&amp;EF$2&amp;"+"&amp;AZ214&amp;EF$1)</f>
        <v/>
      </c>
      <c r="EG214" s="44" t="str">
        <f t="shared" ref="EG214" si="3338">IF(BA214="","","|n"&amp;EG$2&amp;"+"&amp;BA214&amp;EG$1)</f>
        <v/>
      </c>
      <c r="EH214" s="44" t="str">
        <f t="shared" ref="EH214" si="3339">IF(BB214="","","|n"&amp;EH$2&amp;"+"&amp;BB214&amp;EH$1)</f>
        <v/>
      </c>
      <c r="EI214" s="44" t="str">
        <f t="shared" ref="EI214" si="3340">IF(BC214="","","|n"&amp;EI$2&amp;"+"&amp;BC214&amp;EI$1)</f>
        <v/>
      </c>
      <c r="EJ214" s="44" t="str">
        <f t="shared" ref="EJ214" si="3341">IF(BD214="","","|n"&amp;EJ$2&amp;"+"&amp;BD214&amp;EJ$1)</f>
        <v/>
      </c>
      <c r="EK214" s="44" t="str">
        <f t="shared" ref="EK214" si="3342">IF(BE214="","","|n"&amp;EK$2&amp;"+"&amp;BE214&amp;EK$1)</f>
        <v/>
      </c>
      <c r="EL214" s="44" t="str">
        <f t="shared" ref="EL214" si="3343">IF(BF214="","","|n"&amp;EL$2&amp;"+"&amp;BF214&amp;EL$1)</f>
        <v/>
      </c>
      <c r="EM214" s="44" t="str">
        <f t="shared" ref="EM214" si="3344">IF(BG214="","","|n"&amp;EM$2&amp;"+"&amp;BG214&amp;EM$1)</f>
        <v/>
      </c>
      <c r="EN214" s="44" t="str">
        <f t="shared" ref="EN214" si="3345">IF(BH214="","","|n"&amp;EN$2&amp;"+"&amp;BH214&amp;EN$1)</f>
        <v/>
      </c>
      <c r="EO214" s="44" t="str">
        <f t="shared" ref="EO214" si="3346">IF(BI214="","","|n"&amp;EO$2&amp;"+"&amp;BI214&amp;EO$1)</f>
        <v/>
      </c>
      <c r="EP214" s="44" t="str">
        <f t="shared" ref="EP214" si="3347">IF(BJ214="","","|n"&amp;EP$2&amp;"+"&amp;BJ214&amp;EP$1)</f>
        <v/>
      </c>
      <c r="EQ214" s="44" t="str">
        <f t="shared" ref="EQ214" si="3348">IF(BK214="","","|n"&amp;EQ$2&amp;"+"&amp;BK214&amp;EQ$1)</f>
        <v/>
      </c>
      <c r="ER214" s="44" t="str">
        <f t="shared" ref="ER214" si="3349">IF(BL214="","","|n"&amp;ER$2&amp;"+"&amp;BL214&amp;ER$1)</f>
        <v/>
      </c>
      <c r="ES214" s="44" t="str">
        <f t="shared" ref="ES214" si="3350">IF(BM214="","","|n"&amp;ES$2&amp;"+"&amp;BM214&amp;ES$1)</f>
        <v/>
      </c>
      <c r="ET214" s="44" t="str">
        <f t="shared" ref="ET214" si="3351">IF(BN214="","","|n"&amp;ET$2&amp;"+"&amp;BN214&amp;ET$1)</f>
        <v/>
      </c>
      <c r="EU214" s="44" t="str">
        <f t="shared" ref="EU214" si="3352">IF(BO214="","","|n"&amp;EU$2&amp;"+"&amp;BO214&amp;EU$1)</f>
        <v/>
      </c>
      <c r="EV214" s="44" t="str">
        <f t="shared" ref="EV214" si="3353">IF(BP214="","","|n"&amp;EV$2&amp;"+"&amp;BP214&amp;EV$1)</f>
        <v/>
      </c>
      <c r="EW214" s="44" t="str">
        <f t="shared" ref="EW214" si="3354">IF(BQ214="","","|n"&amp;EW$2&amp;"+"&amp;BQ214&amp;EW$1)</f>
        <v/>
      </c>
      <c r="EX214" s="44" t="str">
        <f t="shared" ref="EX214" si="3355">IF(BR214="","","|n"&amp;EX$2&amp;"+"&amp;BR214&amp;EX$1)</f>
        <v/>
      </c>
      <c r="EY214" s="44" t="str">
        <f t="shared" ref="EY214" si="3356">IF(BS214="","","|n"&amp;EY$2&amp;"+"&amp;BS214&amp;EY$1)</f>
        <v/>
      </c>
      <c r="EZ214" s="44" t="str">
        <f t="shared" ref="EZ214" si="3357">IF(BT214="","","|n"&amp;EZ$2&amp;"+"&amp;BT214&amp;EZ$1)</f>
        <v/>
      </c>
      <c r="FA214" s="44" t="str">
        <f t="shared" ref="FA214" si="3358">IF(BU214="","","|n"&amp;FA$2&amp;"+"&amp;BU214&amp;FA$1)</f>
        <v/>
      </c>
      <c r="FB214" s="44" t="str">
        <f t="shared" ref="FB214" si="3359">IF(BV214="","","|n"&amp;FB$2&amp;"+"&amp;BV214&amp;FB$1)</f>
        <v/>
      </c>
      <c r="FC214" s="44" t="str">
        <f t="shared" ref="FC214" si="3360">IF(BW214="","","|n"&amp;FC$2&amp;"+"&amp;BW214&amp;FC$1)</f>
        <v/>
      </c>
      <c r="FD214" s="44" t="str">
        <f t="shared" ref="FD214" si="3361">IF(BX214="","","|n"&amp;FD$2&amp;"+"&amp;BX214&amp;FD$1)</f>
        <v/>
      </c>
      <c r="FE214" s="44" t="str">
        <f t="shared" ref="FE214" si="3362">IF(BY214="","","|n"&amp;FE$2&amp;"+"&amp;BY214&amp;FE$1)</f>
        <v/>
      </c>
      <c r="FF214" s="44" t="str">
        <f t="shared" ref="FF214" si="3363">IF(BZ214="","","|n"&amp;FF$2&amp;"+"&amp;BZ214&amp;FF$1)</f>
        <v/>
      </c>
      <c r="FG214" s="44" t="str">
        <f t="shared" ref="FG214" si="3364">IF(CA214="","","|n"&amp;FG$2&amp;"+"&amp;CA214&amp;FG$1)</f>
        <v/>
      </c>
      <c r="FH214" s="44" t="str">
        <f t="shared" ref="FH214" si="3365">IF(CB214="","","|n"&amp;FH$2&amp;"+"&amp;CB214&amp;FH$1)</f>
        <v/>
      </c>
      <c r="FI214" s="44" t="str">
        <f t="shared" ref="FI214" si="3366">IF(CC214="","","|n"&amp;FI$2&amp;"+"&amp;CC214&amp;FI$1)</f>
        <v/>
      </c>
      <c r="FJ214" s="44" t="str">
        <f t="shared" ref="FJ214" si="3367">IF(CD214="","","|n"&amp;FJ$2&amp;"+"&amp;CD214&amp;FJ$1)</f>
        <v/>
      </c>
      <c r="FK214" s="44" t="str">
        <f t="shared" ref="FK214" si="3368">IF(CE214="","","|n"&amp;FK$2&amp;"+"&amp;CE214&amp;FK$1)</f>
        <v/>
      </c>
      <c r="FL214" s="44" t="str">
        <f t="shared" ref="FL214" si="3369">IF(CF214="","","|n"&amp;FL$2&amp;"+"&amp;CF214&amp;FL$1)</f>
        <v/>
      </c>
      <c r="FM214" s="44" t="str">
        <f t="shared" ref="FM214" si="3370">IF(CG214="","","|n"&amp;FM$2&amp;"+"&amp;CG214&amp;FM$1)</f>
        <v/>
      </c>
      <c r="FN214" s="44" t="str">
        <f t="shared" ref="FN214" si="3371">IF(CH214="","","|n"&amp;FN$2&amp;"+"&amp;CH214&amp;FN$1)</f>
        <v/>
      </c>
      <c r="FO214" s="44" t="str">
        <f t="shared" ref="FO214" si="3372">IF(CI214="","","|n"&amp;FO$2&amp;"+"&amp;CI214&amp;FO$1)</f>
        <v/>
      </c>
      <c r="FP214" s="44" t="str">
        <f t="shared" ref="FP214" si="3373">IF(CJ214="","","|n"&amp;FP$2&amp;"+"&amp;CJ214&amp;FP$1)</f>
        <v/>
      </c>
      <c r="FQ214" s="44" t="str">
        <f t="shared" ref="FQ214" si="3374">IF(CK214="","","|n"&amp;FQ$2&amp;"+"&amp;CK214&amp;FQ$1)</f>
        <v/>
      </c>
      <c r="FR214" s="44" t="str">
        <f t="shared" ref="FR214" si="3375">IF(CL214="","","|n"&amp;FR$2&amp;"+"&amp;CL214&amp;FR$1)</f>
        <v/>
      </c>
      <c r="FS214" s="44" t="str">
        <f t="shared" ref="FS214" si="3376">IF(CM214="","","|n"&amp;FS$2&amp;"+"&amp;CM214&amp;FS$1)</f>
        <v/>
      </c>
    </row>
    <row r="215" ht="15" spans="1:175">
      <c r="A215" s="78"/>
      <c r="B215" s="5" t="s">
        <v>707</v>
      </c>
      <c r="C215" s="78" t="s">
        <v>708</v>
      </c>
      <c r="T215" s="78" t="str">
        <f t="shared" si="3223"/>
        <v>|CffFFD24D强化药品等级|r</v>
      </c>
      <c r="U215" s="60" t="s">
        <v>709</v>
      </c>
      <c r="CN215" s="13" t="str">
        <f t="shared" ref="CN215:CN218" si="3377">"InitUnitState('"&amp;B215&amp;"',"&amp;V215&amp;","&amp;W215&amp;","&amp;X215&amp;","&amp;Y215&amp;","&amp;Z215&amp;","&amp;AA215&amp;","&amp;AB215&amp;","&amp;AC215&amp;","&amp;AD215&amp;","&amp;AE215&amp;")"</f>
        <v>InitUnitState('IS14',,,,,,,,,,)</v>
      </c>
      <c r="CO215" s="13" t="str">
        <f t="shared" ref="CO215:CO218" si="3378">"InitUnitNormal('"&amp;B215&amp;"',"&amp;AF215&amp;","&amp;AG215&amp;","&amp;AH215&amp;","&amp;AI215&amp;","&amp;AJ215&amp;","&amp;AK215&amp;","&amp;AL215&amp;","&amp;AM215&amp;","&amp;AN215&amp;","&amp;AO215&amp;")"</f>
        <v>InitUnitNormal('IS14',,,,,,,,,,)</v>
      </c>
      <c r="CP215" s="13" t="str">
        <f t="shared" ref="CP215:CP218" si="3379">"InitUnitMagic('"&amp;B215&amp;"',"&amp;AP215&amp;","&amp;AQ215&amp;","&amp;AR215&amp;","&amp;AS215&amp;","&amp;AT215&amp;","&amp;AU215&amp;","&amp;AV215&amp;","&amp;AW215&amp;","&amp;BI215&amp;","&amp;BJ215&amp;")"</f>
        <v>InitUnitMagic('IS14',,,,,,,,,,)</v>
      </c>
      <c r="CQ215" s="13" t="str">
        <f t="shared" ref="CQ215:CQ218" si="3380">"InitUnitAdd('"&amp;B215&amp;"',"&amp;BK215&amp;","&amp;BL215&amp;","&amp;BM215&amp;","&amp;BN215&amp;","&amp;BO215&amp;","&amp;BP215&amp;","&amp;BQ215&amp;","&amp;BR215&amp;","&amp;BS215&amp;","&amp;BT215&amp;")"</f>
        <v>InitUnitAdd('IS14',,,,,,,,,,)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206&amp;CR$1&amp;")"</f>
        <v>InitEquipData('IS14',,"",,,,,'','','','','','',"ReplaceableTextures\\CommandButtons\\BTNIN01.blp")</v>
      </c>
      <c r="CU215" s="72" t="str">
        <f t="shared" si="3305"/>
        <v>|n</v>
      </c>
      <c r="CV215" s="6" t="str">
        <f t="shared" si="3306"/>
        <v>|CffFFD24D强化药品等级|r</v>
      </c>
      <c r="CW215" s="7"/>
      <c r="CX215" s="7"/>
      <c r="CY215" s="7"/>
      <c r="CZ215" s="7"/>
      <c r="DA215" s="7"/>
      <c r="DB215" s="44" t="str">
        <f t="shared" ref="DB215:EG215" si="3381">IF(V215="","","|n"&amp;DB$2&amp;"+"&amp;V215&amp;DB$1)</f>
        <v/>
      </c>
      <c r="DC215" s="44" t="str">
        <f t="shared" si="3381"/>
        <v/>
      </c>
      <c r="DD215" s="44" t="str">
        <f t="shared" si="3381"/>
        <v/>
      </c>
      <c r="DE215" s="44" t="str">
        <f t="shared" si="3381"/>
        <v/>
      </c>
      <c r="DF215" s="44" t="str">
        <f t="shared" si="3381"/>
        <v/>
      </c>
      <c r="DG215" s="44" t="str">
        <f t="shared" si="3381"/>
        <v/>
      </c>
      <c r="DH215" s="44" t="str">
        <f t="shared" si="3381"/>
        <v/>
      </c>
      <c r="DI215" s="44" t="str">
        <f t="shared" si="3381"/>
        <v/>
      </c>
      <c r="DJ215" s="44" t="str">
        <f t="shared" si="3381"/>
        <v/>
      </c>
      <c r="DK215" s="44" t="str">
        <f t="shared" si="3381"/>
        <v/>
      </c>
      <c r="DL215" s="44" t="str">
        <f t="shared" si="3381"/>
        <v/>
      </c>
      <c r="DM215" s="44" t="str">
        <f t="shared" si="3381"/>
        <v/>
      </c>
      <c r="DN215" s="44" t="str">
        <f t="shared" si="3381"/>
        <v/>
      </c>
      <c r="DO215" s="44" t="str">
        <f t="shared" si="3381"/>
        <v/>
      </c>
      <c r="DP215" s="44" t="str">
        <f t="shared" si="3381"/>
        <v/>
      </c>
      <c r="DQ215" s="44" t="str">
        <f t="shared" si="3381"/>
        <v/>
      </c>
      <c r="DR215" s="44" t="str">
        <f t="shared" si="3381"/>
        <v/>
      </c>
      <c r="DS215" s="44" t="str">
        <f t="shared" si="3381"/>
        <v/>
      </c>
      <c r="DT215" s="44" t="str">
        <f t="shared" si="3381"/>
        <v/>
      </c>
      <c r="DU215" s="44" t="str">
        <f t="shared" si="3381"/>
        <v/>
      </c>
      <c r="DV215" s="44" t="str">
        <f t="shared" si="3381"/>
        <v/>
      </c>
      <c r="DW215" s="44" t="str">
        <f t="shared" si="3381"/>
        <v/>
      </c>
      <c r="DX215" s="44" t="str">
        <f t="shared" si="3381"/>
        <v/>
      </c>
      <c r="DY215" s="44" t="str">
        <f t="shared" si="3381"/>
        <v/>
      </c>
      <c r="DZ215" s="44" t="str">
        <f t="shared" si="3381"/>
        <v/>
      </c>
      <c r="EA215" s="44" t="str">
        <f t="shared" si="3381"/>
        <v/>
      </c>
      <c r="EB215" s="44" t="str">
        <f t="shared" si="3381"/>
        <v/>
      </c>
      <c r="EC215" s="44" t="str">
        <f t="shared" si="3381"/>
        <v/>
      </c>
      <c r="ED215" s="44" t="str">
        <f t="shared" si="3381"/>
        <v/>
      </c>
      <c r="EE215" s="44" t="str">
        <f t="shared" si="3381"/>
        <v/>
      </c>
      <c r="EF215" s="44" t="str">
        <f t="shared" si="3381"/>
        <v/>
      </c>
      <c r="EG215" s="44" t="str">
        <f t="shared" si="3381"/>
        <v/>
      </c>
      <c r="EH215" s="44" t="str">
        <f t="shared" ref="EH215:FM215" si="3382">IF(BB215="","","|n"&amp;EH$2&amp;"+"&amp;BB215&amp;EH$1)</f>
        <v/>
      </c>
      <c r="EI215" s="44" t="str">
        <f t="shared" si="3382"/>
        <v/>
      </c>
      <c r="EJ215" s="44" t="str">
        <f t="shared" si="3382"/>
        <v/>
      </c>
      <c r="EK215" s="44" t="str">
        <f t="shared" si="3382"/>
        <v/>
      </c>
      <c r="EL215" s="44" t="str">
        <f t="shared" si="3382"/>
        <v/>
      </c>
      <c r="EM215" s="44" t="str">
        <f t="shared" si="3382"/>
        <v/>
      </c>
      <c r="EN215" s="44" t="str">
        <f t="shared" si="3382"/>
        <v/>
      </c>
      <c r="EO215" s="44" t="str">
        <f t="shared" si="3382"/>
        <v/>
      </c>
      <c r="EP215" s="44" t="str">
        <f t="shared" si="3382"/>
        <v/>
      </c>
      <c r="EQ215" s="44" t="str">
        <f t="shared" si="3382"/>
        <v/>
      </c>
      <c r="ER215" s="44" t="str">
        <f t="shared" si="3382"/>
        <v/>
      </c>
      <c r="ES215" s="44" t="str">
        <f t="shared" si="3382"/>
        <v/>
      </c>
      <c r="ET215" s="44" t="str">
        <f t="shared" si="3382"/>
        <v/>
      </c>
      <c r="EU215" s="44" t="str">
        <f t="shared" si="3382"/>
        <v/>
      </c>
      <c r="EV215" s="44" t="str">
        <f t="shared" si="3382"/>
        <v/>
      </c>
      <c r="EW215" s="44" t="str">
        <f t="shared" si="3382"/>
        <v/>
      </c>
      <c r="EX215" s="44" t="str">
        <f t="shared" si="3382"/>
        <v/>
      </c>
      <c r="EY215" s="44" t="str">
        <f t="shared" si="3382"/>
        <v/>
      </c>
      <c r="EZ215" s="44" t="str">
        <f t="shared" si="3382"/>
        <v/>
      </c>
      <c r="FA215" s="44" t="str">
        <f t="shared" si="3382"/>
        <v/>
      </c>
      <c r="FB215" s="44" t="str">
        <f t="shared" si="3382"/>
        <v/>
      </c>
      <c r="FC215" s="44" t="str">
        <f t="shared" si="3382"/>
        <v/>
      </c>
      <c r="FD215" s="44" t="str">
        <f t="shared" si="3382"/>
        <v/>
      </c>
      <c r="FE215" s="44" t="str">
        <f t="shared" si="3382"/>
        <v/>
      </c>
      <c r="FF215" s="44" t="str">
        <f t="shared" si="3382"/>
        <v/>
      </c>
      <c r="FG215" s="44" t="str">
        <f t="shared" si="3382"/>
        <v/>
      </c>
      <c r="FH215" s="44" t="str">
        <f t="shared" si="3382"/>
        <v/>
      </c>
      <c r="FI215" s="44" t="str">
        <f t="shared" si="3382"/>
        <v/>
      </c>
      <c r="FJ215" s="44" t="str">
        <f t="shared" si="3382"/>
        <v/>
      </c>
      <c r="FK215" s="44" t="str">
        <f t="shared" si="3382"/>
        <v/>
      </c>
      <c r="FL215" s="44" t="str">
        <f t="shared" si="3382"/>
        <v/>
      </c>
      <c r="FM215" s="44" t="str">
        <f t="shared" si="3382"/>
        <v/>
      </c>
      <c r="FN215" s="44" t="str">
        <f t="shared" ref="FN215:FS215" si="3383">IF(CH215="","","|n"&amp;FN$2&amp;"+"&amp;CH215&amp;FN$1)</f>
        <v/>
      </c>
      <c r="FO215" s="44" t="str">
        <f t="shared" si="3383"/>
        <v/>
      </c>
      <c r="FP215" s="44" t="str">
        <f t="shared" si="3383"/>
        <v/>
      </c>
      <c r="FQ215" s="44" t="str">
        <f t="shared" si="3383"/>
        <v/>
      </c>
      <c r="FR215" s="44" t="str">
        <f t="shared" si="3383"/>
        <v/>
      </c>
      <c r="FS215" s="44" t="str">
        <f t="shared" si="3383"/>
        <v/>
      </c>
    </row>
    <row r="216" ht="14.4" spans="1:175">
      <c r="A216" s="78"/>
      <c r="B216" s="8" t="s">
        <v>710</v>
      </c>
      <c r="C216" s="109" t="s">
        <v>711</v>
      </c>
      <c r="T216" s="37" t="s">
        <v>712</v>
      </c>
      <c r="U216" s="60" t="str">
        <f t="shared" ref="U216:U224" si="3384">"ReplaceableTextures\\CommandButtons\\BTN"&amp;B216&amp;".blp"</f>
        <v>ReplaceableTextures\\CommandButtons\\BTNIB01.blp</v>
      </c>
      <c r="CN216" s="13" t="str">
        <f t="shared" si="3377"/>
        <v>InitUnitState('IB01',,,,,,,,,,)</v>
      </c>
      <c r="CO216" s="13" t="str">
        <f t="shared" si="3378"/>
        <v>InitUnitNormal('IB01',,,,,,,,,,)</v>
      </c>
      <c r="CP216" s="13" t="str">
        <f t="shared" si="3379"/>
        <v>InitUnitMagic('IB01',,,,,,,,,,)</v>
      </c>
      <c r="CQ216" s="13" t="str">
        <f t="shared" si="3380"/>
        <v>InitUnitAdd('IB01',,,,,,,,,,)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InitEquipData('IB01',,"",,,,,'','','','','','',"ReplaceableTextures\\CommandButtons\\BTNIB02.blp")</v>
      </c>
      <c r="CU216" s="72" t="str">
        <f t="shared" ref="CU216:CU224" si="3385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" t="str">
        <f t="shared" ref="CV216:CV224" si="3386">T216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6" s="7"/>
      <c r="CX216" s="7"/>
      <c r="CY216" s="7"/>
      <c r="CZ216" s="7"/>
      <c r="DA216" s="7"/>
      <c r="DB216" s="44" t="str">
        <f t="shared" ref="DB216:DB223" si="3387">IF(V216="","","|n"&amp;DB$2&amp;"+"&amp;V216&amp;DB$1)</f>
        <v/>
      </c>
      <c r="DC216" s="44" t="str">
        <f t="shared" ref="DC216:DC223" si="3388">IF(W216="","","|n"&amp;DC$2&amp;"+"&amp;W216&amp;DC$1)</f>
        <v/>
      </c>
      <c r="DD216" s="44" t="str">
        <f t="shared" ref="DD216:DD223" si="3389">IF(X216="","","|n"&amp;DD$2&amp;"+"&amp;X216&amp;DD$1)</f>
        <v/>
      </c>
      <c r="DE216" s="44" t="str">
        <f t="shared" ref="DE216:DE223" si="3390">IF(Y216="","","|n"&amp;DE$2&amp;"+"&amp;Y216&amp;DE$1)</f>
        <v/>
      </c>
      <c r="DF216" s="44" t="str">
        <f t="shared" ref="DF216:DF223" si="3391">IF(Z216="","","|n"&amp;DF$2&amp;"+"&amp;Z216&amp;DF$1)</f>
        <v/>
      </c>
      <c r="DG216" s="44" t="str">
        <f t="shared" ref="DG216:DG223" si="3392">IF(AA216="","","|n"&amp;DG$2&amp;"+"&amp;AA216&amp;DG$1)</f>
        <v/>
      </c>
      <c r="DH216" s="44" t="str">
        <f t="shared" ref="DH216:DH223" si="3393">IF(AB216="","","|n"&amp;DH$2&amp;"+"&amp;AB216&amp;DH$1)</f>
        <v/>
      </c>
      <c r="DI216" s="44" t="str">
        <f t="shared" ref="DI216:DI223" si="3394">IF(AC216="","","|n"&amp;DI$2&amp;"+"&amp;AC216&amp;DI$1)</f>
        <v/>
      </c>
      <c r="DJ216" s="44" t="str">
        <f t="shared" ref="DJ216:DJ223" si="3395">IF(AD216="","","|n"&amp;DJ$2&amp;"+"&amp;AD216&amp;DJ$1)</f>
        <v/>
      </c>
      <c r="DK216" s="44" t="str">
        <f t="shared" ref="DK216:DK223" si="3396">IF(AE216="","","|n"&amp;DK$2&amp;"+"&amp;AE216&amp;DK$1)</f>
        <v/>
      </c>
      <c r="DL216" s="44" t="str">
        <f t="shared" ref="DL216:DL223" si="3397">IF(AF216="","","|n"&amp;DL$2&amp;"+"&amp;AF216&amp;DL$1)</f>
        <v/>
      </c>
      <c r="DM216" s="44" t="str">
        <f t="shared" ref="DM216:DM223" si="3398">IF(AG216="","","|n"&amp;DM$2&amp;"+"&amp;AG216&amp;DM$1)</f>
        <v/>
      </c>
      <c r="DN216" s="44" t="str">
        <f t="shared" ref="DN216:DN223" si="3399">IF(AH216="","","|n"&amp;DN$2&amp;"+"&amp;AH216&amp;DN$1)</f>
        <v/>
      </c>
      <c r="DO216" s="44" t="str">
        <f t="shared" ref="DO216:DO223" si="3400">IF(AI216="","","|n"&amp;DO$2&amp;"+"&amp;AI216&amp;DO$1)</f>
        <v/>
      </c>
      <c r="DP216" s="44" t="str">
        <f t="shared" ref="DP216:DP223" si="3401">IF(AJ216="","","|n"&amp;DP$2&amp;"+"&amp;AJ216&amp;DP$1)</f>
        <v/>
      </c>
      <c r="DQ216" s="44" t="str">
        <f t="shared" ref="DQ216:DQ223" si="3402">IF(AK216="","","|n"&amp;DQ$2&amp;"+"&amp;AK216&amp;DQ$1)</f>
        <v/>
      </c>
      <c r="DR216" s="44" t="str">
        <f t="shared" ref="DR216:DR223" si="3403">IF(AL216="","","|n"&amp;DR$2&amp;"+"&amp;AL216&amp;DR$1)</f>
        <v/>
      </c>
      <c r="DS216" s="44" t="str">
        <f t="shared" ref="DS216:DS223" si="3404">IF(AM216="","","|n"&amp;DS$2&amp;"+"&amp;AM216&amp;DS$1)</f>
        <v/>
      </c>
      <c r="DT216" s="44" t="str">
        <f t="shared" ref="DT216:DT223" si="3405">IF(AN216="","","|n"&amp;DT$2&amp;"+"&amp;AN216&amp;DT$1)</f>
        <v/>
      </c>
      <c r="DU216" s="44" t="str">
        <f t="shared" ref="DU216:DU223" si="3406">IF(AO216="","","|n"&amp;DU$2&amp;"+"&amp;AO216&amp;DU$1)</f>
        <v/>
      </c>
      <c r="DV216" s="44" t="str">
        <f t="shared" ref="DV216:DV223" si="3407">IF(AP216="","","|n"&amp;DV$2&amp;"+"&amp;AP216&amp;DV$1)</f>
        <v/>
      </c>
      <c r="DW216" s="44" t="str">
        <f t="shared" ref="DW216:DW223" si="3408">IF(AQ216="","","|n"&amp;DW$2&amp;"+"&amp;AQ216&amp;DW$1)</f>
        <v/>
      </c>
      <c r="DX216" s="44" t="str">
        <f t="shared" ref="DX216:DX223" si="3409">IF(AR216="","","|n"&amp;DX$2&amp;"+"&amp;AR216&amp;DX$1)</f>
        <v/>
      </c>
      <c r="DY216" s="44" t="str">
        <f t="shared" ref="DY216:DY223" si="3410">IF(AS216="","","|n"&amp;DY$2&amp;"+"&amp;AS216&amp;DY$1)</f>
        <v/>
      </c>
      <c r="DZ216" s="44" t="str">
        <f t="shared" ref="DZ216:DZ223" si="3411">IF(AT216="","","|n"&amp;DZ$2&amp;"+"&amp;AT216&amp;DZ$1)</f>
        <v/>
      </c>
      <c r="EA216" s="44" t="str">
        <f t="shared" ref="EA216:EA223" si="3412">IF(AU216="","","|n"&amp;EA$2&amp;"+"&amp;AU216&amp;EA$1)</f>
        <v/>
      </c>
      <c r="EB216" s="44" t="str">
        <f t="shared" ref="EB216:EB223" si="3413">IF(AV216="","","|n"&amp;EB$2&amp;"+"&amp;AV216&amp;EB$1)</f>
        <v/>
      </c>
      <c r="EC216" s="44" t="str">
        <f t="shared" ref="EC216:EC223" si="3414">IF(AW216="","","|n"&amp;EC$2&amp;"+"&amp;AW216&amp;EC$1)</f>
        <v/>
      </c>
      <c r="ED216" s="44" t="str">
        <f t="shared" ref="ED216:ED223" si="3415">IF(AX216="","","|n"&amp;ED$2&amp;"+"&amp;AX216&amp;ED$1)</f>
        <v/>
      </c>
      <c r="EE216" s="44" t="str">
        <f t="shared" ref="EE216:EE223" si="3416">IF(AY216="","","|n"&amp;EE$2&amp;"+"&amp;AY216&amp;EE$1)</f>
        <v/>
      </c>
      <c r="EF216" s="44" t="str">
        <f t="shared" ref="EF216:EF223" si="3417">IF(AZ216="","","|n"&amp;EF$2&amp;"+"&amp;AZ216&amp;EF$1)</f>
        <v/>
      </c>
      <c r="EG216" s="44" t="str">
        <f t="shared" ref="EG216:EG223" si="3418">IF(BA216="","","|n"&amp;EG$2&amp;"+"&amp;BA216&amp;EG$1)</f>
        <v/>
      </c>
      <c r="EH216" s="44" t="str">
        <f t="shared" ref="EH216:EH223" si="3419">IF(BB216="","","|n"&amp;EH$2&amp;"+"&amp;BB216&amp;EH$1)</f>
        <v/>
      </c>
      <c r="EI216" s="44" t="str">
        <f t="shared" ref="EI216:EI223" si="3420">IF(BC216="","","|n"&amp;EI$2&amp;"+"&amp;BC216&amp;EI$1)</f>
        <v/>
      </c>
      <c r="EJ216" s="44" t="str">
        <f t="shared" ref="EJ216:EJ223" si="3421">IF(BD216="","","|n"&amp;EJ$2&amp;"+"&amp;BD216&amp;EJ$1)</f>
        <v/>
      </c>
      <c r="EK216" s="44" t="str">
        <f t="shared" ref="EK216:EK223" si="3422">IF(BE216="","","|n"&amp;EK$2&amp;"+"&amp;BE216&amp;EK$1)</f>
        <v/>
      </c>
      <c r="EL216" s="44" t="str">
        <f t="shared" ref="EL216:EL223" si="3423">IF(BF216="","","|n"&amp;EL$2&amp;"+"&amp;BF216&amp;EL$1)</f>
        <v/>
      </c>
      <c r="EM216" s="44" t="str">
        <f t="shared" ref="EM216:EM223" si="3424">IF(BG216="","","|n"&amp;EM$2&amp;"+"&amp;BG216&amp;EM$1)</f>
        <v/>
      </c>
      <c r="EN216" s="44" t="str">
        <f t="shared" ref="EN216:EN223" si="3425">IF(BH216="","","|n"&amp;EN$2&amp;"+"&amp;BH216&amp;EN$1)</f>
        <v/>
      </c>
      <c r="EO216" s="44" t="str">
        <f t="shared" ref="EO216:EO223" si="3426">IF(BI216="","","|n"&amp;EO$2&amp;"+"&amp;BI216&amp;EO$1)</f>
        <v/>
      </c>
      <c r="EP216" s="44" t="str">
        <f t="shared" ref="EP216:EP223" si="3427">IF(BJ216="","","|n"&amp;EP$2&amp;"+"&amp;BJ216&amp;EP$1)</f>
        <v/>
      </c>
      <c r="EQ216" s="44" t="str">
        <f t="shared" ref="EQ216:EQ223" si="3428">IF(BK216="","","|n"&amp;EQ$2&amp;"+"&amp;BK216&amp;EQ$1)</f>
        <v/>
      </c>
      <c r="ER216" s="44" t="str">
        <f t="shared" ref="ER216:ER223" si="3429">IF(BL216="","","|n"&amp;ER$2&amp;"+"&amp;BL216&amp;ER$1)</f>
        <v/>
      </c>
      <c r="ES216" s="44" t="str">
        <f t="shared" ref="ES216:ES223" si="3430">IF(BM216="","","|n"&amp;ES$2&amp;"+"&amp;BM216&amp;ES$1)</f>
        <v/>
      </c>
      <c r="ET216" s="44" t="str">
        <f t="shared" ref="ET216:ET223" si="3431">IF(BN216="","","|n"&amp;ET$2&amp;"+"&amp;BN216&amp;ET$1)</f>
        <v/>
      </c>
      <c r="EU216" s="44" t="str">
        <f t="shared" ref="EU216:EU223" si="3432">IF(BO216="","","|n"&amp;EU$2&amp;"+"&amp;BO216&amp;EU$1)</f>
        <v/>
      </c>
      <c r="EV216" s="44" t="str">
        <f t="shared" ref="EV216:EV223" si="3433">IF(BP216="","","|n"&amp;EV$2&amp;"+"&amp;BP216&amp;EV$1)</f>
        <v/>
      </c>
      <c r="EW216" s="44" t="str">
        <f t="shared" ref="EW216:EW223" si="3434">IF(BQ216="","","|n"&amp;EW$2&amp;"+"&amp;BQ216&amp;EW$1)</f>
        <v/>
      </c>
      <c r="EX216" s="44" t="str">
        <f t="shared" ref="EX216:EX223" si="3435">IF(BR216="","","|n"&amp;EX$2&amp;"+"&amp;BR216&amp;EX$1)</f>
        <v/>
      </c>
      <c r="EY216" s="44" t="str">
        <f t="shared" ref="EY216:EY223" si="3436">IF(BS216="","","|n"&amp;EY$2&amp;"+"&amp;BS216&amp;EY$1)</f>
        <v/>
      </c>
      <c r="EZ216" s="44" t="str">
        <f t="shared" ref="EZ216:EZ223" si="3437">IF(BT216="","","|n"&amp;EZ$2&amp;"+"&amp;BT216&amp;EZ$1)</f>
        <v/>
      </c>
      <c r="FA216" s="44" t="str">
        <f t="shared" ref="FA216:FA223" si="3438">IF(BU216="","","|n"&amp;FA$2&amp;"+"&amp;BU216&amp;FA$1)</f>
        <v/>
      </c>
      <c r="FB216" s="44" t="str">
        <f t="shared" ref="FB216:FB223" si="3439">IF(BV216="","","|n"&amp;FB$2&amp;"+"&amp;BV216&amp;FB$1)</f>
        <v/>
      </c>
      <c r="FC216" s="44" t="str">
        <f t="shared" ref="FC216:FC223" si="3440">IF(BW216="","","|n"&amp;FC$2&amp;"+"&amp;BW216&amp;FC$1)</f>
        <v/>
      </c>
      <c r="FD216" s="44" t="str">
        <f t="shared" ref="FD216:FD223" si="3441">IF(BX216="","","|n"&amp;FD$2&amp;"+"&amp;BX216&amp;FD$1)</f>
        <v/>
      </c>
      <c r="FE216" s="44" t="str">
        <f t="shared" ref="FE216:FE223" si="3442">IF(BY216="","","|n"&amp;FE$2&amp;"+"&amp;BY216&amp;FE$1)</f>
        <v/>
      </c>
      <c r="FF216" s="44" t="str">
        <f t="shared" ref="FF216:FF223" si="3443">IF(BZ216="","","|n"&amp;FF$2&amp;"+"&amp;BZ216&amp;FF$1)</f>
        <v/>
      </c>
      <c r="FG216" s="44" t="str">
        <f t="shared" ref="FG216:FG223" si="3444">IF(CA216="","","|n"&amp;FG$2&amp;"+"&amp;CA216&amp;FG$1)</f>
        <v/>
      </c>
      <c r="FH216" s="44" t="str">
        <f t="shared" ref="FH216:FH223" si="3445">IF(CB216="","","|n"&amp;FH$2&amp;"+"&amp;CB216&amp;FH$1)</f>
        <v/>
      </c>
      <c r="FI216" s="44" t="str">
        <f t="shared" ref="FI216:FI223" si="3446">IF(CC216="","","|n"&amp;FI$2&amp;"+"&amp;CC216&amp;FI$1)</f>
        <v/>
      </c>
      <c r="FJ216" s="44" t="str">
        <f t="shared" ref="FJ216:FJ223" si="3447">IF(CD216="","","|n"&amp;FJ$2&amp;"+"&amp;CD216&amp;FJ$1)</f>
        <v/>
      </c>
      <c r="FK216" s="44" t="str">
        <f t="shared" ref="FK216:FK223" si="3448">IF(CE216="","","|n"&amp;FK$2&amp;"+"&amp;CE216&amp;FK$1)</f>
        <v/>
      </c>
      <c r="FL216" s="44" t="str">
        <f t="shared" ref="FL216:FL223" si="3449">IF(CF216="","","|n"&amp;FL$2&amp;"+"&amp;CF216&amp;FL$1)</f>
        <v/>
      </c>
      <c r="FM216" s="44" t="str">
        <f t="shared" ref="FM216:FM223" si="3450">IF(CG216="","","|n"&amp;FM$2&amp;"+"&amp;CG216&amp;FM$1)</f>
        <v/>
      </c>
      <c r="FN216" s="44" t="str">
        <f t="shared" ref="FN216:FN223" si="3451">IF(CH216="","","|n"&amp;FN$2&amp;"+"&amp;CH216&amp;FN$1)</f>
        <v/>
      </c>
      <c r="FO216" s="44" t="str">
        <f t="shared" ref="FO216:FO223" si="3452">IF(CI216="","","|n"&amp;FO$2&amp;"+"&amp;CI216&amp;FO$1)</f>
        <v/>
      </c>
      <c r="FP216" s="44" t="str">
        <f t="shared" ref="FP216:FP223" si="3453">IF(CJ216="","","|n"&amp;FP$2&amp;"+"&amp;CJ216&amp;FP$1)</f>
        <v/>
      </c>
      <c r="FQ216" s="44" t="str">
        <f t="shared" ref="FQ216:FQ223" si="3454">IF(CK216="","","|n"&amp;FQ$2&amp;"+"&amp;CK216&amp;FQ$1)</f>
        <v/>
      </c>
      <c r="FR216" s="44" t="str">
        <f t="shared" ref="FR216:FR223" si="3455">IF(CL216="","","|n"&amp;FR$2&amp;"+"&amp;CL216&amp;FR$1)</f>
        <v/>
      </c>
      <c r="FS216" s="44" t="str">
        <f t="shared" ref="FS216:FS223" si="3456">IF(CM216="","","|n"&amp;FS$2&amp;"+"&amp;CM216&amp;FS$1)</f>
        <v/>
      </c>
    </row>
    <row r="217" ht="14.4" spans="1:175">
      <c r="A217" s="78"/>
      <c r="B217" s="8" t="s">
        <v>713</v>
      </c>
      <c r="C217" s="109" t="s">
        <v>714</v>
      </c>
      <c r="T217" s="37" t="s">
        <v>715</v>
      </c>
      <c r="U217" s="60" t="str">
        <f t="shared" si="3384"/>
        <v>ReplaceableTextures\\CommandButtons\\BTNIB02.blp</v>
      </c>
      <c r="CN217" s="13" t="str">
        <f t="shared" si="3377"/>
        <v>InitUnitState('IB02',,,,,,,,,,)</v>
      </c>
      <c r="CO217" s="13" t="str">
        <f t="shared" si="3378"/>
        <v>InitUnitNormal('IB02',,,,,,,,,,)</v>
      </c>
      <c r="CP217" s="13" t="str">
        <f t="shared" si="3379"/>
        <v>InitUnitMagic('IB02',,,,,,,,,,)</v>
      </c>
      <c r="CQ217" s="13" t="str">
        <f t="shared" si="3380"/>
        <v>InitUnitAdd('IB02',,,,,,,,,,)</v>
      </c>
      <c r="CR217" s="13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InitEquipData('IB02',,"",,,,,'','','','','','',"ReplaceableTextures\\CommandButtons\\BTNIB03.blp")</v>
      </c>
      <c r="CU217" s="72" t="str">
        <f t="shared" si="3385"/>
        <v>|n</v>
      </c>
      <c r="CV217" s="6" t="str">
        <f t="shared" si="3386"/>
        <v>加入《|cff00ffcc全民封神|r》官方QQ群，即可获得入群礼包码！|n|n输入礼包码即可获得：|n|cffffcc33金币+2000|n每秒攻击+2|n每秒业力+1|r</v>
      </c>
      <c r="CW217" s="7"/>
      <c r="CX217" s="7"/>
      <c r="CY217" s="7"/>
      <c r="CZ217" s="7"/>
      <c r="DA217" s="7"/>
      <c r="DB217" s="44" t="str">
        <f t="shared" si="3387"/>
        <v/>
      </c>
      <c r="DC217" s="44" t="str">
        <f t="shared" si="3388"/>
        <v/>
      </c>
      <c r="DD217" s="44" t="str">
        <f t="shared" si="3389"/>
        <v/>
      </c>
      <c r="DE217" s="44" t="str">
        <f t="shared" si="3390"/>
        <v/>
      </c>
      <c r="DF217" s="44" t="str">
        <f t="shared" si="3391"/>
        <v/>
      </c>
      <c r="DG217" s="44" t="str">
        <f t="shared" si="3392"/>
        <v/>
      </c>
      <c r="DH217" s="44" t="str">
        <f t="shared" si="3393"/>
        <v/>
      </c>
      <c r="DI217" s="44" t="str">
        <f t="shared" si="3394"/>
        <v/>
      </c>
      <c r="DJ217" s="44" t="str">
        <f t="shared" si="3395"/>
        <v/>
      </c>
      <c r="DK217" s="44" t="str">
        <f t="shared" si="3396"/>
        <v/>
      </c>
      <c r="DL217" s="44" t="str">
        <f t="shared" si="3397"/>
        <v/>
      </c>
      <c r="DM217" s="44" t="str">
        <f t="shared" si="3398"/>
        <v/>
      </c>
      <c r="DN217" s="44" t="str">
        <f t="shared" si="3399"/>
        <v/>
      </c>
      <c r="DO217" s="44" t="str">
        <f t="shared" si="3400"/>
        <v/>
      </c>
      <c r="DP217" s="44" t="str">
        <f t="shared" si="3401"/>
        <v/>
      </c>
      <c r="DQ217" s="44" t="str">
        <f t="shared" si="3402"/>
        <v/>
      </c>
      <c r="DR217" s="44" t="str">
        <f t="shared" si="3403"/>
        <v/>
      </c>
      <c r="DS217" s="44" t="str">
        <f t="shared" si="3404"/>
        <v/>
      </c>
      <c r="DT217" s="44" t="str">
        <f t="shared" si="3405"/>
        <v/>
      </c>
      <c r="DU217" s="44" t="str">
        <f t="shared" si="3406"/>
        <v/>
      </c>
      <c r="DV217" s="44" t="str">
        <f t="shared" si="3407"/>
        <v/>
      </c>
      <c r="DW217" s="44" t="str">
        <f t="shared" si="3408"/>
        <v/>
      </c>
      <c r="DX217" s="44" t="str">
        <f t="shared" si="3409"/>
        <v/>
      </c>
      <c r="DY217" s="44" t="str">
        <f t="shared" si="3410"/>
        <v/>
      </c>
      <c r="DZ217" s="44" t="str">
        <f t="shared" si="3411"/>
        <v/>
      </c>
      <c r="EA217" s="44" t="str">
        <f t="shared" si="3412"/>
        <v/>
      </c>
      <c r="EB217" s="44" t="str">
        <f t="shared" si="3413"/>
        <v/>
      </c>
      <c r="EC217" s="44" t="str">
        <f t="shared" si="3414"/>
        <v/>
      </c>
      <c r="ED217" s="44" t="str">
        <f t="shared" si="3415"/>
        <v/>
      </c>
      <c r="EE217" s="44" t="str">
        <f t="shared" si="3416"/>
        <v/>
      </c>
      <c r="EF217" s="44" t="str">
        <f t="shared" si="3417"/>
        <v/>
      </c>
      <c r="EG217" s="44" t="str">
        <f t="shared" si="3418"/>
        <v/>
      </c>
      <c r="EH217" s="44" t="str">
        <f t="shared" si="3419"/>
        <v/>
      </c>
      <c r="EI217" s="44" t="str">
        <f t="shared" si="3420"/>
        <v/>
      </c>
      <c r="EJ217" s="44" t="str">
        <f t="shared" si="3421"/>
        <v/>
      </c>
      <c r="EK217" s="44" t="str">
        <f t="shared" si="3422"/>
        <v/>
      </c>
      <c r="EL217" s="44" t="str">
        <f t="shared" si="3423"/>
        <v/>
      </c>
      <c r="EM217" s="44" t="str">
        <f t="shared" si="3424"/>
        <v/>
      </c>
      <c r="EN217" s="44" t="str">
        <f t="shared" si="3425"/>
        <v/>
      </c>
      <c r="EO217" s="44" t="str">
        <f t="shared" si="3426"/>
        <v/>
      </c>
      <c r="EP217" s="44" t="str">
        <f t="shared" si="3427"/>
        <v/>
      </c>
      <c r="EQ217" s="44" t="str">
        <f t="shared" si="3428"/>
        <v/>
      </c>
      <c r="ER217" s="44" t="str">
        <f t="shared" si="3429"/>
        <v/>
      </c>
      <c r="ES217" s="44" t="str">
        <f t="shared" si="3430"/>
        <v/>
      </c>
      <c r="ET217" s="44" t="str">
        <f t="shared" si="3431"/>
        <v/>
      </c>
      <c r="EU217" s="44" t="str">
        <f t="shared" si="3432"/>
        <v/>
      </c>
      <c r="EV217" s="44" t="str">
        <f t="shared" si="3433"/>
        <v/>
      </c>
      <c r="EW217" s="44" t="str">
        <f t="shared" si="3434"/>
        <v/>
      </c>
      <c r="EX217" s="44" t="str">
        <f t="shared" si="3435"/>
        <v/>
      </c>
      <c r="EY217" s="44" t="str">
        <f t="shared" si="3436"/>
        <v/>
      </c>
      <c r="EZ217" s="44" t="str">
        <f t="shared" si="3437"/>
        <v/>
      </c>
      <c r="FA217" s="44" t="str">
        <f t="shared" si="3438"/>
        <v/>
      </c>
      <c r="FB217" s="44" t="str">
        <f t="shared" si="3439"/>
        <v/>
      </c>
      <c r="FC217" s="44" t="str">
        <f t="shared" si="3440"/>
        <v/>
      </c>
      <c r="FD217" s="44" t="str">
        <f t="shared" si="3441"/>
        <v/>
      </c>
      <c r="FE217" s="44" t="str">
        <f t="shared" si="3442"/>
        <v/>
      </c>
      <c r="FF217" s="44" t="str">
        <f t="shared" si="3443"/>
        <v/>
      </c>
      <c r="FG217" s="44" t="str">
        <f t="shared" si="3444"/>
        <v/>
      </c>
      <c r="FH217" s="44" t="str">
        <f t="shared" si="3445"/>
        <v/>
      </c>
      <c r="FI217" s="44" t="str">
        <f t="shared" si="3446"/>
        <v/>
      </c>
      <c r="FJ217" s="44" t="str">
        <f t="shared" si="3447"/>
        <v/>
      </c>
      <c r="FK217" s="44" t="str">
        <f t="shared" si="3448"/>
        <v/>
      </c>
      <c r="FL217" s="44" t="str">
        <f t="shared" si="3449"/>
        <v/>
      </c>
      <c r="FM217" s="44" t="str">
        <f t="shared" si="3450"/>
        <v/>
      </c>
      <c r="FN217" s="44" t="str">
        <f t="shared" si="3451"/>
        <v/>
      </c>
      <c r="FO217" s="44" t="str">
        <f t="shared" si="3452"/>
        <v/>
      </c>
      <c r="FP217" s="44" t="str">
        <f t="shared" si="3453"/>
        <v/>
      </c>
      <c r="FQ217" s="44" t="str">
        <f t="shared" si="3454"/>
        <v/>
      </c>
      <c r="FR217" s="44" t="str">
        <f t="shared" si="3455"/>
        <v/>
      </c>
      <c r="FS217" s="44" t="str">
        <f t="shared" si="3456"/>
        <v/>
      </c>
    </row>
    <row r="218" ht="14.4" spans="1:175">
      <c r="A218" s="78"/>
      <c r="B218" s="8" t="s">
        <v>716</v>
      </c>
      <c r="C218" s="109" t="s">
        <v>717</v>
      </c>
      <c r="T218" s="37" t="s">
        <v>718</v>
      </c>
      <c r="U218" s="60" t="str">
        <f t="shared" si="3384"/>
        <v>ReplaceableTextures\\CommandButtons\\BTNIB03.blp</v>
      </c>
      <c r="CN218" s="13" t="str">
        <f t="shared" si="3377"/>
        <v>InitUnitState('IB03',,,,,,,,,,)</v>
      </c>
      <c r="CO218" s="13" t="str">
        <f t="shared" si="3378"/>
        <v>InitUnitNormal('IB03',,,,,,,,,,)</v>
      </c>
      <c r="CP218" s="13" t="str">
        <f t="shared" si="3379"/>
        <v>InitUnitMagic('IB03',,,,,,,,,,)</v>
      </c>
      <c r="CQ218" s="13" t="str">
        <f t="shared" si="3380"/>
        <v>InitUnitAdd('IB03',,,,,,,,,,)</v>
      </c>
      <c r="CR218" s="13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InitEquipData('IB03',,"",,,,,'','','','','','',"ReplaceableTextures\\CommandButtons\\BTNIB04.blp")</v>
      </c>
      <c r="CU218" s="72" t="str">
        <f t="shared" si="3385"/>
        <v>|n</v>
      </c>
      <c r="CV218" s="6" t="str">
        <f t="shared" si="3386"/>
        <v>|cff99ccff给与地图有效评论建议|r即可领取：|n|cffffff00杀敌生命+5+3*通行证等级|n杀敌业力+1|n|n|r|cff808080地图等级达到3级可领取|r</v>
      </c>
      <c r="CW218" s="7"/>
      <c r="CX218" s="7"/>
      <c r="CY218" s="7"/>
      <c r="CZ218" s="7"/>
      <c r="DA218" s="7"/>
      <c r="DB218" s="44" t="str">
        <f t="shared" si="3387"/>
        <v/>
      </c>
      <c r="DC218" s="44" t="str">
        <f t="shared" si="3388"/>
        <v/>
      </c>
      <c r="DD218" s="44" t="str">
        <f t="shared" si="3389"/>
        <v/>
      </c>
      <c r="DE218" s="44" t="str">
        <f t="shared" si="3390"/>
        <v/>
      </c>
      <c r="DF218" s="44" t="str">
        <f t="shared" si="3391"/>
        <v/>
      </c>
      <c r="DG218" s="44" t="str">
        <f t="shared" si="3392"/>
        <v/>
      </c>
      <c r="DH218" s="44" t="str">
        <f t="shared" si="3393"/>
        <v/>
      </c>
      <c r="DI218" s="44" t="str">
        <f t="shared" si="3394"/>
        <v/>
      </c>
      <c r="DJ218" s="44" t="str">
        <f t="shared" si="3395"/>
        <v/>
      </c>
      <c r="DK218" s="44" t="str">
        <f t="shared" si="3396"/>
        <v/>
      </c>
      <c r="DL218" s="44" t="str">
        <f t="shared" si="3397"/>
        <v/>
      </c>
      <c r="DM218" s="44" t="str">
        <f t="shared" si="3398"/>
        <v/>
      </c>
      <c r="DN218" s="44" t="str">
        <f t="shared" si="3399"/>
        <v/>
      </c>
      <c r="DO218" s="44" t="str">
        <f t="shared" si="3400"/>
        <v/>
      </c>
      <c r="DP218" s="44" t="str">
        <f t="shared" si="3401"/>
        <v/>
      </c>
      <c r="DQ218" s="44" t="str">
        <f t="shared" si="3402"/>
        <v/>
      </c>
      <c r="DR218" s="44" t="str">
        <f t="shared" si="3403"/>
        <v/>
      </c>
      <c r="DS218" s="44" t="str">
        <f t="shared" si="3404"/>
        <v/>
      </c>
      <c r="DT218" s="44" t="str">
        <f t="shared" si="3405"/>
        <v/>
      </c>
      <c r="DU218" s="44" t="str">
        <f t="shared" si="3406"/>
        <v/>
      </c>
      <c r="DV218" s="44" t="str">
        <f t="shared" si="3407"/>
        <v/>
      </c>
      <c r="DW218" s="44" t="str">
        <f t="shared" si="3408"/>
        <v/>
      </c>
      <c r="DX218" s="44" t="str">
        <f t="shared" si="3409"/>
        <v/>
      </c>
      <c r="DY218" s="44" t="str">
        <f t="shared" si="3410"/>
        <v/>
      </c>
      <c r="DZ218" s="44" t="str">
        <f t="shared" si="3411"/>
        <v/>
      </c>
      <c r="EA218" s="44" t="str">
        <f t="shared" si="3412"/>
        <v/>
      </c>
      <c r="EB218" s="44" t="str">
        <f t="shared" si="3413"/>
        <v/>
      </c>
      <c r="EC218" s="44" t="str">
        <f t="shared" si="3414"/>
        <v/>
      </c>
      <c r="ED218" s="44" t="str">
        <f t="shared" si="3415"/>
        <v/>
      </c>
      <c r="EE218" s="44" t="str">
        <f t="shared" si="3416"/>
        <v/>
      </c>
      <c r="EF218" s="44" t="str">
        <f t="shared" si="3417"/>
        <v/>
      </c>
      <c r="EG218" s="44" t="str">
        <f t="shared" si="3418"/>
        <v/>
      </c>
      <c r="EH218" s="44" t="str">
        <f t="shared" si="3419"/>
        <v/>
      </c>
      <c r="EI218" s="44" t="str">
        <f t="shared" si="3420"/>
        <v/>
      </c>
      <c r="EJ218" s="44" t="str">
        <f t="shared" si="3421"/>
        <v/>
      </c>
      <c r="EK218" s="44" t="str">
        <f t="shared" si="3422"/>
        <v/>
      </c>
      <c r="EL218" s="44" t="str">
        <f t="shared" si="3423"/>
        <v/>
      </c>
      <c r="EM218" s="44" t="str">
        <f t="shared" si="3424"/>
        <v/>
      </c>
      <c r="EN218" s="44" t="str">
        <f t="shared" si="3425"/>
        <v/>
      </c>
      <c r="EO218" s="44" t="str">
        <f t="shared" si="3426"/>
        <v/>
      </c>
      <c r="EP218" s="44" t="str">
        <f t="shared" si="3427"/>
        <v/>
      </c>
      <c r="EQ218" s="44" t="str">
        <f t="shared" si="3428"/>
        <v/>
      </c>
      <c r="ER218" s="44" t="str">
        <f t="shared" si="3429"/>
        <v/>
      </c>
      <c r="ES218" s="44" t="str">
        <f t="shared" si="3430"/>
        <v/>
      </c>
      <c r="ET218" s="44" t="str">
        <f t="shared" si="3431"/>
        <v/>
      </c>
      <c r="EU218" s="44" t="str">
        <f t="shared" si="3432"/>
        <v/>
      </c>
      <c r="EV218" s="44" t="str">
        <f t="shared" si="3433"/>
        <v/>
      </c>
      <c r="EW218" s="44" t="str">
        <f t="shared" si="3434"/>
        <v/>
      </c>
      <c r="EX218" s="44" t="str">
        <f t="shared" si="3435"/>
        <v/>
      </c>
      <c r="EY218" s="44" t="str">
        <f t="shared" si="3436"/>
        <v/>
      </c>
      <c r="EZ218" s="44" t="str">
        <f t="shared" si="3437"/>
        <v/>
      </c>
      <c r="FA218" s="44" t="str">
        <f t="shared" si="3438"/>
        <v/>
      </c>
      <c r="FB218" s="44" t="str">
        <f t="shared" si="3439"/>
        <v/>
      </c>
      <c r="FC218" s="44" t="str">
        <f t="shared" si="3440"/>
        <v/>
      </c>
      <c r="FD218" s="44" t="str">
        <f t="shared" si="3441"/>
        <v/>
      </c>
      <c r="FE218" s="44" t="str">
        <f t="shared" si="3442"/>
        <v/>
      </c>
      <c r="FF218" s="44" t="str">
        <f t="shared" si="3443"/>
        <v/>
      </c>
      <c r="FG218" s="44" t="str">
        <f t="shared" si="3444"/>
        <v/>
      </c>
      <c r="FH218" s="44" t="str">
        <f t="shared" si="3445"/>
        <v/>
      </c>
      <c r="FI218" s="44" t="str">
        <f t="shared" si="3446"/>
        <v/>
      </c>
      <c r="FJ218" s="44" t="str">
        <f t="shared" si="3447"/>
        <v/>
      </c>
      <c r="FK218" s="44" t="str">
        <f t="shared" si="3448"/>
        <v/>
      </c>
      <c r="FL218" s="44" t="str">
        <f t="shared" si="3449"/>
        <v/>
      </c>
      <c r="FM218" s="44" t="str">
        <f t="shared" si="3450"/>
        <v/>
      </c>
      <c r="FN218" s="44" t="str">
        <f t="shared" si="3451"/>
        <v/>
      </c>
      <c r="FO218" s="44" t="str">
        <f t="shared" si="3452"/>
        <v/>
      </c>
      <c r="FP218" s="44" t="str">
        <f t="shared" si="3453"/>
        <v/>
      </c>
      <c r="FQ218" s="44" t="str">
        <f t="shared" si="3454"/>
        <v/>
      </c>
      <c r="FR218" s="44" t="str">
        <f t="shared" si="3455"/>
        <v/>
      </c>
      <c r="FS218" s="44" t="str">
        <f t="shared" si="3456"/>
        <v/>
      </c>
    </row>
    <row r="219" ht="14.4" spans="1:175">
      <c r="A219" s="78"/>
      <c r="B219" s="8" t="s">
        <v>719</v>
      </c>
      <c r="C219" s="109" t="s">
        <v>720</v>
      </c>
      <c r="T219" s="37" t="s">
        <v>721</v>
      </c>
      <c r="U219" s="60" t="str">
        <f t="shared" si="3384"/>
        <v>ReplaceableTextures\\CommandButtons\\BTNIB04.blp</v>
      </c>
      <c r="CN219" s="13" t="str">
        <f t="shared" ref="CN219:CN225" si="3457">"InitUnitState('"&amp;B219&amp;"',"&amp;V219&amp;","&amp;W219&amp;","&amp;X219&amp;","&amp;Y219&amp;","&amp;Z219&amp;","&amp;AA219&amp;","&amp;AB219&amp;","&amp;AC219&amp;","&amp;AD219&amp;","&amp;AE219&amp;")"</f>
        <v>InitUnitState('IB04',,,,,,,,,,)</v>
      </c>
      <c r="CO219" s="13" t="str">
        <f t="shared" ref="CO219:CO225" si="3458">"InitUnitNormal('"&amp;B219&amp;"',"&amp;AF219&amp;","&amp;AG219&amp;","&amp;AH219&amp;","&amp;AI219&amp;","&amp;AJ219&amp;","&amp;AK219&amp;","&amp;AL219&amp;","&amp;AM219&amp;","&amp;AN219&amp;","&amp;AO219&amp;")"</f>
        <v>InitUnitNormal('IB04',,,,,,,,,,)</v>
      </c>
      <c r="CP219" s="13" t="str">
        <f t="shared" ref="CP219:CP225" si="3459">"InitUnitMagic('"&amp;B219&amp;"',"&amp;AP219&amp;","&amp;AQ219&amp;","&amp;AR219&amp;","&amp;AS219&amp;","&amp;AT219&amp;","&amp;AU219&amp;","&amp;AV219&amp;","&amp;AW219&amp;","&amp;BI219&amp;","&amp;BJ219&amp;")"</f>
        <v>InitUnitMagic('IB04',,,,,,,,,,)</v>
      </c>
      <c r="CQ219" s="13" t="str">
        <f t="shared" ref="CQ219:CQ225" si="3460">"InitUnitAdd('"&amp;B219&amp;"',"&amp;BK219&amp;","&amp;BL219&amp;","&amp;BM219&amp;","&amp;BN219&amp;","&amp;BO219&amp;","&amp;BP219&amp;","&amp;BQ219&amp;","&amp;BR219&amp;","&amp;BS219&amp;","&amp;BT219&amp;")"</f>
        <v>InitUnitAdd('IB04',,,,,,,,,,)</v>
      </c>
      <c r="CR219" s="13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InitEquipData('IB04',,"",,,,,'','','','','','',"ReplaceableTextures\\CommandButtons\\BTNIB05.blp")</v>
      </c>
      <c r="CU219" s="72" t="str">
        <f t="shared" si="3385"/>
        <v>|n</v>
      </c>
      <c r="CV219" s="6" t="str">
        <f t="shared" si="3386"/>
        <v>|cff99ccff房间大厅界面点击右上角《|r|cffcc99ff收藏|r|cff99ccff》后可领取该礼包。|n|n|r属性：|n|cffffcc33物理伤害+5%|n法术伤害+5%|r</v>
      </c>
      <c r="CW219" s="7"/>
      <c r="CX219" s="7"/>
      <c r="CY219" s="7"/>
      <c r="CZ219" s="7"/>
      <c r="DA219" s="7"/>
      <c r="DB219" s="44" t="str">
        <f t="shared" si="3387"/>
        <v/>
      </c>
      <c r="DC219" s="44" t="str">
        <f t="shared" si="3388"/>
        <v/>
      </c>
      <c r="DD219" s="44" t="str">
        <f t="shared" si="3389"/>
        <v/>
      </c>
      <c r="DE219" s="44" t="str">
        <f t="shared" si="3390"/>
        <v/>
      </c>
      <c r="DF219" s="44" t="str">
        <f t="shared" si="3391"/>
        <v/>
      </c>
      <c r="DG219" s="44" t="str">
        <f t="shared" si="3392"/>
        <v/>
      </c>
      <c r="DH219" s="44" t="str">
        <f t="shared" si="3393"/>
        <v/>
      </c>
      <c r="DI219" s="44" t="str">
        <f t="shared" si="3394"/>
        <v/>
      </c>
      <c r="DJ219" s="44" t="str">
        <f t="shared" si="3395"/>
        <v/>
      </c>
      <c r="DK219" s="44" t="str">
        <f t="shared" si="3396"/>
        <v/>
      </c>
      <c r="DL219" s="44" t="str">
        <f t="shared" si="3397"/>
        <v/>
      </c>
      <c r="DM219" s="44" t="str">
        <f t="shared" si="3398"/>
        <v/>
      </c>
      <c r="DN219" s="44" t="str">
        <f t="shared" si="3399"/>
        <v/>
      </c>
      <c r="DO219" s="44" t="str">
        <f t="shared" si="3400"/>
        <v/>
      </c>
      <c r="DP219" s="44" t="str">
        <f t="shared" si="3401"/>
        <v/>
      </c>
      <c r="DQ219" s="44" t="str">
        <f t="shared" si="3402"/>
        <v/>
      </c>
      <c r="DR219" s="44" t="str">
        <f t="shared" si="3403"/>
        <v/>
      </c>
      <c r="DS219" s="44" t="str">
        <f t="shared" si="3404"/>
        <v/>
      </c>
      <c r="DT219" s="44" t="str">
        <f t="shared" si="3405"/>
        <v/>
      </c>
      <c r="DU219" s="44" t="str">
        <f t="shared" si="3406"/>
        <v/>
      </c>
      <c r="DV219" s="44" t="str">
        <f t="shared" si="3407"/>
        <v/>
      </c>
      <c r="DW219" s="44" t="str">
        <f t="shared" si="3408"/>
        <v/>
      </c>
      <c r="DX219" s="44" t="str">
        <f t="shared" si="3409"/>
        <v/>
      </c>
      <c r="DY219" s="44" t="str">
        <f t="shared" si="3410"/>
        <v/>
      </c>
      <c r="DZ219" s="44" t="str">
        <f t="shared" si="3411"/>
        <v/>
      </c>
      <c r="EA219" s="44" t="str">
        <f t="shared" si="3412"/>
        <v/>
      </c>
      <c r="EB219" s="44" t="str">
        <f t="shared" si="3413"/>
        <v/>
      </c>
      <c r="EC219" s="44" t="str">
        <f t="shared" si="3414"/>
        <v/>
      </c>
      <c r="ED219" s="44" t="str">
        <f t="shared" si="3415"/>
        <v/>
      </c>
      <c r="EE219" s="44" t="str">
        <f t="shared" si="3416"/>
        <v/>
      </c>
      <c r="EF219" s="44" t="str">
        <f t="shared" si="3417"/>
        <v/>
      </c>
      <c r="EG219" s="44" t="str">
        <f t="shared" si="3418"/>
        <v/>
      </c>
      <c r="EH219" s="44" t="str">
        <f t="shared" si="3419"/>
        <v/>
      </c>
      <c r="EI219" s="44" t="str">
        <f t="shared" si="3420"/>
        <v/>
      </c>
      <c r="EJ219" s="44" t="str">
        <f t="shared" si="3421"/>
        <v/>
      </c>
      <c r="EK219" s="44" t="str">
        <f t="shared" si="3422"/>
        <v/>
      </c>
      <c r="EL219" s="44" t="str">
        <f t="shared" si="3423"/>
        <v/>
      </c>
      <c r="EM219" s="44" t="str">
        <f t="shared" si="3424"/>
        <v/>
      </c>
      <c r="EN219" s="44" t="str">
        <f t="shared" si="3425"/>
        <v/>
      </c>
      <c r="EO219" s="44" t="str">
        <f t="shared" si="3426"/>
        <v/>
      </c>
      <c r="EP219" s="44" t="str">
        <f t="shared" si="3427"/>
        <v/>
      </c>
      <c r="EQ219" s="44" t="str">
        <f t="shared" si="3428"/>
        <v/>
      </c>
      <c r="ER219" s="44" t="str">
        <f t="shared" si="3429"/>
        <v/>
      </c>
      <c r="ES219" s="44" t="str">
        <f t="shared" si="3430"/>
        <v/>
      </c>
      <c r="ET219" s="44" t="str">
        <f t="shared" si="3431"/>
        <v/>
      </c>
      <c r="EU219" s="44" t="str">
        <f t="shared" si="3432"/>
        <v/>
      </c>
      <c r="EV219" s="44" t="str">
        <f t="shared" si="3433"/>
        <v/>
      </c>
      <c r="EW219" s="44" t="str">
        <f t="shared" si="3434"/>
        <v/>
      </c>
      <c r="EX219" s="44" t="str">
        <f t="shared" si="3435"/>
        <v/>
      </c>
      <c r="EY219" s="44" t="str">
        <f t="shared" si="3436"/>
        <v/>
      </c>
      <c r="EZ219" s="44" t="str">
        <f t="shared" si="3437"/>
        <v/>
      </c>
      <c r="FA219" s="44" t="str">
        <f t="shared" si="3438"/>
        <v/>
      </c>
      <c r="FB219" s="44" t="str">
        <f t="shared" si="3439"/>
        <v/>
      </c>
      <c r="FC219" s="44" t="str">
        <f t="shared" si="3440"/>
        <v/>
      </c>
      <c r="FD219" s="44" t="str">
        <f t="shared" si="3441"/>
        <v/>
      </c>
      <c r="FE219" s="44" t="str">
        <f t="shared" si="3442"/>
        <v/>
      </c>
      <c r="FF219" s="44" t="str">
        <f t="shared" si="3443"/>
        <v/>
      </c>
      <c r="FG219" s="44" t="str">
        <f t="shared" si="3444"/>
        <v/>
      </c>
      <c r="FH219" s="44" t="str">
        <f t="shared" si="3445"/>
        <v/>
      </c>
      <c r="FI219" s="44" t="str">
        <f t="shared" si="3446"/>
        <v/>
      </c>
      <c r="FJ219" s="44" t="str">
        <f t="shared" si="3447"/>
        <v/>
      </c>
      <c r="FK219" s="44" t="str">
        <f t="shared" si="3448"/>
        <v/>
      </c>
      <c r="FL219" s="44" t="str">
        <f t="shared" si="3449"/>
        <v/>
      </c>
      <c r="FM219" s="44" t="str">
        <f t="shared" si="3450"/>
        <v/>
      </c>
      <c r="FN219" s="44" t="str">
        <f t="shared" si="3451"/>
        <v/>
      </c>
      <c r="FO219" s="44" t="str">
        <f t="shared" si="3452"/>
        <v/>
      </c>
      <c r="FP219" s="44" t="str">
        <f t="shared" si="3453"/>
        <v/>
      </c>
      <c r="FQ219" s="44" t="str">
        <f t="shared" si="3454"/>
        <v/>
      </c>
      <c r="FR219" s="44" t="str">
        <f t="shared" si="3455"/>
        <v/>
      </c>
      <c r="FS219" s="44" t="str">
        <f t="shared" si="3456"/>
        <v/>
      </c>
    </row>
    <row r="220" ht="14.4" spans="1:175">
      <c r="A220" s="78"/>
      <c r="B220" s="8" t="s">
        <v>722</v>
      </c>
      <c r="C220" s="109" t="s">
        <v>723</v>
      </c>
      <c r="T220" s="37" t="s">
        <v>724</v>
      </c>
      <c r="U220" s="60" t="str">
        <f t="shared" si="3384"/>
        <v>ReplaceableTextures\\CommandButtons\\BTNIB05.blp</v>
      </c>
      <c r="CN220" s="13" t="str">
        <f t="shared" si="3457"/>
        <v>InitUnitState('IB05',,,,,,,,,,)</v>
      </c>
      <c r="CO220" s="13" t="str">
        <f t="shared" si="3458"/>
        <v>InitUnitNormal('IB05',,,,,,,,,,)</v>
      </c>
      <c r="CP220" s="13" t="str">
        <f t="shared" si="3459"/>
        <v>InitUnitMagic('IB05',,,,,,,,,,)</v>
      </c>
      <c r="CQ220" s="13" t="str">
        <f t="shared" si="3460"/>
        <v>InitUnitAdd('IB05',,,,,,,,,,)</v>
      </c>
      <c r="CR220" s="13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239&amp;CR$1&amp;")"</f>
        <v>InitEquipData('IB05',,"",,,,,'','','','','','',"")</v>
      </c>
      <c r="CU220" s="72" t="str">
        <f t="shared" si="3385"/>
        <v>|n</v>
      </c>
      <c r="CV220" s="6" t="str">
        <f t="shared" si="3386"/>
        <v>|cff33ff00购买魔兽重制版可领取该礼包！|n|n|r属性：|n|cffffcc33高级聚宝盆|r</v>
      </c>
      <c r="CW220" s="7"/>
      <c r="CX220" s="7"/>
      <c r="CY220" s="7"/>
      <c r="CZ220" s="7"/>
      <c r="DA220" s="7"/>
      <c r="DB220" s="44" t="str">
        <f t="shared" si="3387"/>
        <v/>
      </c>
      <c r="DC220" s="44" t="str">
        <f t="shared" si="3388"/>
        <v/>
      </c>
      <c r="DD220" s="44" t="str">
        <f t="shared" si="3389"/>
        <v/>
      </c>
      <c r="DE220" s="44" t="str">
        <f t="shared" si="3390"/>
        <v/>
      </c>
      <c r="DF220" s="44" t="str">
        <f t="shared" si="3391"/>
        <v/>
      </c>
      <c r="DG220" s="44" t="str">
        <f t="shared" si="3392"/>
        <v/>
      </c>
      <c r="DH220" s="44" t="str">
        <f t="shared" si="3393"/>
        <v/>
      </c>
      <c r="DI220" s="44" t="str">
        <f t="shared" si="3394"/>
        <v/>
      </c>
      <c r="DJ220" s="44" t="str">
        <f t="shared" si="3395"/>
        <v/>
      </c>
      <c r="DK220" s="44" t="str">
        <f t="shared" si="3396"/>
        <v/>
      </c>
      <c r="DL220" s="44" t="str">
        <f t="shared" si="3397"/>
        <v/>
      </c>
      <c r="DM220" s="44" t="str">
        <f t="shared" si="3398"/>
        <v/>
      </c>
      <c r="DN220" s="44" t="str">
        <f t="shared" si="3399"/>
        <v/>
      </c>
      <c r="DO220" s="44" t="str">
        <f t="shared" si="3400"/>
        <v/>
      </c>
      <c r="DP220" s="44" t="str">
        <f t="shared" si="3401"/>
        <v/>
      </c>
      <c r="DQ220" s="44" t="str">
        <f t="shared" si="3402"/>
        <v/>
      </c>
      <c r="DR220" s="44" t="str">
        <f t="shared" si="3403"/>
        <v/>
      </c>
      <c r="DS220" s="44" t="str">
        <f t="shared" si="3404"/>
        <v/>
      </c>
      <c r="DT220" s="44" t="str">
        <f t="shared" si="3405"/>
        <v/>
      </c>
      <c r="DU220" s="44" t="str">
        <f t="shared" si="3406"/>
        <v/>
      </c>
      <c r="DV220" s="44" t="str">
        <f t="shared" si="3407"/>
        <v/>
      </c>
      <c r="DW220" s="44" t="str">
        <f t="shared" si="3408"/>
        <v/>
      </c>
      <c r="DX220" s="44" t="str">
        <f t="shared" si="3409"/>
        <v/>
      </c>
      <c r="DY220" s="44" t="str">
        <f t="shared" si="3410"/>
        <v/>
      </c>
      <c r="DZ220" s="44" t="str">
        <f t="shared" si="3411"/>
        <v/>
      </c>
      <c r="EA220" s="44" t="str">
        <f t="shared" si="3412"/>
        <v/>
      </c>
      <c r="EB220" s="44" t="str">
        <f t="shared" si="3413"/>
        <v/>
      </c>
      <c r="EC220" s="44" t="str">
        <f t="shared" si="3414"/>
        <v/>
      </c>
      <c r="ED220" s="44" t="str">
        <f t="shared" si="3415"/>
        <v/>
      </c>
      <c r="EE220" s="44" t="str">
        <f t="shared" si="3416"/>
        <v/>
      </c>
      <c r="EF220" s="44" t="str">
        <f t="shared" si="3417"/>
        <v/>
      </c>
      <c r="EG220" s="44" t="str">
        <f t="shared" si="3418"/>
        <v/>
      </c>
      <c r="EH220" s="44" t="str">
        <f t="shared" si="3419"/>
        <v/>
      </c>
      <c r="EI220" s="44" t="str">
        <f t="shared" si="3420"/>
        <v/>
      </c>
      <c r="EJ220" s="44" t="str">
        <f t="shared" si="3421"/>
        <v/>
      </c>
      <c r="EK220" s="44" t="str">
        <f t="shared" si="3422"/>
        <v/>
      </c>
      <c r="EL220" s="44" t="str">
        <f t="shared" si="3423"/>
        <v/>
      </c>
      <c r="EM220" s="44" t="str">
        <f t="shared" si="3424"/>
        <v/>
      </c>
      <c r="EN220" s="44" t="str">
        <f t="shared" si="3425"/>
        <v/>
      </c>
      <c r="EO220" s="44" t="str">
        <f t="shared" si="3426"/>
        <v/>
      </c>
      <c r="EP220" s="44" t="str">
        <f t="shared" si="3427"/>
        <v/>
      </c>
      <c r="EQ220" s="44" t="str">
        <f t="shared" si="3428"/>
        <v/>
      </c>
      <c r="ER220" s="44" t="str">
        <f t="shared" si="3429"/>
        <v/>
      </c>
      <c r="ES220" s="44" t="str">
        <f t="shared" si="3430"/>
        <v/>
      </c>
      <c r="ET220" s="44" t="str">
        <f t="shared" si="3431"/>
        <v/>
      </c>
      <c r="EU220" s="44" t="str">
        <f t="shared" si="3432"/>
        <v/>
      </c>
      <c r="EV220" s="44" t="str">
        <f t="shared" si="3433"/>
        <v/>
      </c>
      <c r="EW220" s="44" t="str">
        <f t="shared" si="3434"/>
        <v/>
      </c>
      <c r="EX220" s="44" t="str">
        <f t="shared" si="3435"/>
        <v/>
      </c>
      <c r="EY220" s="44" t="str">
        <f t="shared" si="3436"/>
        <v/>
      </c>
      <c r="EZ220" s="44" t="str">
        <f t="shared" si="3437"/>
        <v/>
      </c>
      <c r="FA220" s="44" t="str">
        <f t="shared" si="3438"/>
        <v/>
      </c>
      <c r="FB220" s="44" t="str">
        <f t="shared" si="3439"/>
        <v/>
      </c>
      <c r="FC220" s="44" t="str">
        <f t="shared" si="3440"/>
        <v/>
      </c>
      <c r="FD220" s="44" t="str">
        <f t="shared" si="3441"/>
        <v/>
      </c>
      <c r="FE220" s="44" t="str">
        <f t="shared" si="3442"/>
        <v/>
      </c>
      <c r="FF220" s="44" t="str">
        <f t="shared" si="3443"/>
        <v/>
      </c>
      <c r="FG220" s="44" t="str">
        <f t="shared" si="3444"/>
        <v/>
      </c>
      <c r="FH220" s="44" t="str">
        <f t="shared" si="3445"/>
        <v/>
      </c>
      <c r="FI220" s="44" t="str">
        <f t="shared" si="3446"/>
        <v/>
      </c>
      <c r="FJ220" s="44" t="str">
        <f t="shared" si="3447"/>
        <v/>
      </c>
      <c r="FK220" s="44" t="str">
        <f t="shared" si="3448"/>
        <v/>
      </c>
      <c r="FL220" s="44" t="str">
        <f t="shared" si="3449"/>
        <v/>
      </c>
      <c r="FM220" s="44" t="str">
        <f t="shared" si="3450"/>
        <v/>
      </c>
      <c r="FN220" s="44" t="str">
        <f t="shared" si="3451"/>
        <v/>
      </c>
      <c r="FO220" s="44" t="str">
        <f t="shared" si="3452"/>
        <v/>
      </c>
      <c r="FP220" s="44" t="str">
        <f t="shared" si="3453"/>
        <v/>
      </c>
      <c r="FQ220" s="44" t="str">
        <f t="shared" si="3454"/>
        <v/>
      </c>
      <c r="FR220" s="44" t="str">
        <f t="shared" si="3455"/>
        <v/>
      </c>
      <c r="FS220" s="44" t="str">
        <f t="shared" si="3456"/>
        <v/>
      </c>
    </row>
    <row r="221" ht="14.4" spans="1:175">
      <c r="A221" s="78"/>
      <c r="B221" s="8" t="s">
        <v>725</v>
      </c>
      <c r="C221" s="109" t="s">
        <v>726</v>
      </c>
      <c r="T221" s="37" t="s">
        <v>727</v>
      </c>
      <c r="U221" s="60" t="str">
        <f t="shared" si="3384"/>
        <v>ReplaceableTextures\\CommandButtons\\BTNIB06.blp</v>
      </c>
      <c r="CN221" s="13" t="str">
        <f t="shared" si="3457"/>
        <v>InitUnitState('IB06',,,,,,,,,,)</v>
      </c>
      <c r="CO221" s="13" t="str">
        <f t="shared" si="3458"/>
        <v>InitUnitNormal('IB06',,,,,,,,,,)</v>
      </c>
      <c r="CP221" s="13" t="str">
        <f t="shared" si="3459"/>
        <v>InitUnitMagic('IB06',,,,,,,,,,)</v>
      </c>
      <c r="CQ221" s="13" t="str">
        <f t="shared" si="3460"/>
        <v>InitUnitAdd('IB06',,,,,,,,,,)</v>
      </c>
      <c r="CR221" s="13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InitEquipData('IB06',,"",,,,,'','','','','','',"ReplaceableTextures\\CommandButtons\\BTNIB07.blp")</v>
      </c>
      <c r="CU221" s="72" t="str">
        <f t="shared" si="3385"/>
        <v>|n</v>
      </c>
      <c r="CV221" s="6" t="str">
        <f t="shared" si="338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1" s="7"/>
      <c r="CX221" s="7"/>
      <c r="CY221" s="7"/>
      <c r="CZ221" s="7"/>
      <c r="DA221" s="7"/>
      <c r="DB221" s="44" t="str">
        <f t="shared" si="3387"/>
        <v/>
      </c>
      <c r="DC221" s="44" t="str">
        <f t="shared" si="3388"/>
        <v/>
      </c>
      <c r="DD221" s="44" t="str">
        <f t="shared" si="3389"/>
        <v/>
      </c>
      <c r="DE221" s="44" t="str">
        <f t="shared" si="3390"/>
        <v/>
      </c>
      <c r="DF221" s="44" t="str">
        <f t="shared" si="3391"/>
        <v/>
      </c>
      <c r="DG221" s="44" t="str">
        <f t="shared" si="3392"/>
        <v/>
      </c>
      <c r="DH221" s="44" t="str">
        <f t="shared" si="3393"/>
        <v/>
      </c>
      <c r="DI221" s="44" t="str">
        <f t="shared" si="3394"/>
        <v/>
      </c>
      <c r="DJ221" s="44" t="str">
        <f t="shared" si="3395"/>
        <v/>
      </c>
      <c r="DK221" s="44" t="str">
        <f t="shared" si="3396"/>
        <v/>
      </c>
      <c r="DL221" s="44" t="str">
        <f t="shared" si="3397"/>
        <v/>
      </c>
      <c r="DM221" s="44" t="str">
        <f t="shared" si="3398"/>
        <v/>
      </c>
      <c r="DN221" s="44" t="str">
        <f t="shared" si="3399"/>
        <v/>
      </c>
      <c r="DO221" s="44" t="str">
        <f t="shared" si="3400"/>
        <v/>
      </c>
      <c r="DP221" s="44" t="str">
        <f t="shared" si="3401"/>
        <v/>
      </c>
      <c r="DQ221" s="44" t="str">
        <f t="shared" si="3402"/>
        <v/>
      </c>
      <c r="DR221" s="44" t="str">
        <f t="shared" si="3403"/>
        <v/>
      </c>
      <c r="DS221" s="44" t="str">
        <f t="shared" si="3404"/>
        <v/>
      </c>
      <c r="DT221" s="44" t="str">
        <f t="shared" si="3405"/>
        <v/>
      </c>
      <c r="DU221" s="44" t="str">
        <f t="shared" si="3406"/>
        <v/>
      </c>
      <c r="DV221" s="44" t="str">
        <f t="shared" si="3407"/>
        <v/>
      </c>
      <c r="DW221" s="44" t="str">
        <f t="shared" si="3408"/>
        <v/>
      </c>
      <c r="DX221" s="44" t="str">
        <f t="shared" si="3409"/>
        <v/>
      </c>
      <c r="DY221" s="44" t="str">
        <f t="shared" si="3410"/>
        <v/>
      </c>
      <c r="DZ221" s="44" t="str">
        <f t="shared" si="3411"/>
        <v/>
      </c>
      <c r="EA221" s="44" t="str">
        <f t="shared" si="3412"/>
        <v/>
      </c>
      <c r="EB221" s="44" t="str">
        <f t="shared" si="3413"/>
        <v/>
      </c>
      <c r="EC221" s="44" t="str">
        <f t="shared" si="3414"/>
        <v/>
      </c>
      <c r="ED221" s="44" t="str">
        <f t="shared" si="3415"/>
        <v/>
      </c>
      <c r="EE221" s="44" t="str">
        <f t="shared" si="3416"/>
        <v/>
      </c>
      <c r="EF221" s="44" t="str">
        <f t="shared" si="3417"/>
        <v/>
      </c>
      <c r="EG221" s="44" t="str">
        <f t="shared" si="3418"/>
        <v/>
      </c>
      <c r="EH221" s="44" t="str">
        <f t="shared" si="3419"/>
        <v/>
      </c>
      <c r="EI221" s="44" t="str">
        <f t="shared" si="3420"/>
        <v/>
      </c>
      <c r="EJ221" s="44" t="str">
        <f t="shared" si="3421"/>
        <v/>
      </c>
      <c r="EK221" s="44" t="str">
        <f t="shared" si="3422"/>
        <v/>
      </c>
      <c r="EL221" s="44" t="str">
        <f t="shared" si="3423"/>
        <v/>
      </c>
      <c r="EM221" s="44" t="str">
        <f t="shared" si="3424"/>
        <v/>
      </c>
      <c r="EN221" s="44" t="str">
        <f t="shared" si="3425"/>
        <v/>
      </c>
      <c r="EO221" s="44" t="str">
        <f t="shared" si="3426"/>
        <v/>
      </c>
      <c r="EP221" s="44" t="str">
        <f t="shared" si="3427"/>
        <v/>
      </c>
      <c r="EQ221" s="44" t="str">
        <f t="shared" si="3428"/>
        <v/>
      </c>
      <c r="ER221" s="44" t="str">
        <f t="shared" si="3429"/>
        <v/>
      </c>
      <c r="ES221" s="44" t="str">
        <f t="shared" si="3430"/>
        <v/>
      </c>
      <c r="ET221" s="44" t="str">
        <f t="shared" si="3431"/>
        <v/>
      </c>
      <c r="EU221" s="44" t="str">
        <f t="shared" si="3432"/>
        <v/>
      </c>
      <c r="EV221" s="44" t="str">
        <f t="shared" si="3433"/>
        <v/>
      </c>
      <c r="EW221" s="44" t="str">
        <f t="shared" si="3434"/>
        <v/>
      </c>
      <c r="EX221" s="44" t="str">
        <f t="shared" si="3435"/>
        <v/>
      </c>
      <c r="EY221" s="44" t="str">
        <f t="shared" si="3436"/>
        <v/>
      </c>
      <c r="EZ221" s="44" t="str">
        <f t="shared" si="3437"/>
        <v/>
      </c>
      <c r="FA221" s="44" t="str">
        <f t="shared" si="3438"/>
        <v/>
      </c>
      <c r="FB221" s="44" t="str">
        <f t="shared" si="3439"/>
        <v/>
      </c>
      <c r="FC221" s="44" t="str">
        <f t="shared" si="3440"/>
        <v/>
      </c>
      <c r="FD221" s="44" t="str">
        <f t="shared" si="3441"/>
        <v/>
      </c>
      <c r="FE221" s="44" t="str">
        <f t="shared" si="3442"/>
        <v/>
      </c>
      <c r="FF221" s="44" t="str">
        <f t="shared" si="3443"/>
        <v/>
      </c>
      <c r="FG221" s="44" t="str">
        <f t="shared" si="3444"/>
        <v/>
      </c>
      <c r="FH221" s="44" t="str">
        <f t="shared" si="3445"/>
        <v/>
      </c>
      <c r="FI221" s="44" t="str">
        <f t="shared" si="3446"/>
        <v/>
      </c>
      <c r="FJ221" s="44" t="str">
        <f t="shared" si="3447"/>
        <v/>
      </c>
      <c r="FK221" s="44" t="str">
        <f t="shared" si="3448"/>
        <v/>
      </c>
      <c r="FL221" s="44" t="str">
        <f t="shared" si="3449"/>
        <v/>
      </c>
      <c r="FM221" s="44" t="str">
        <f t="shared" si="3450"/>
        <v/>
      </c>
      <c r="FN221" s="44" t="str">
        <f t="shared" si="3451"/>
        <v/>
      </c>
      <c r="FO221" s="44" t="str">
        <f t="shared" si="3452"/>
        <v/>
      </c>
      <c r="FP221" s="44" t="str">
        <f t="shared" si="3453"/>
        <v/>
      </c>
      <c r="FQ221" s="44" t="str">
        <f t="shared" si="3454"/>
        <v/>
      </c>
      <c r="FR221" s="44" t="str">
        <f t="shared" si="3455"/>
        <v/>
      </c>
      <c r="FS221" s="44" t="str">
        <f t="shared" si="3456"/>
        <v/>
      </c>
    </row>
    <row r="222" ht="14.4" spans="1:175">
      <c r="A222" s="78"/>
      <c r="B222" s="8" t="s">
        <v>728</v>
      </c>
      <c r="C222" s="109" t="s">
        <v>729</v>
      </c>
      <c r="T222" s="37" t="s">
        <v>730</v>
      </c>
      <c r="U222" s="60" t="str">
        <f t="shared" si="3384"/>
        <v>ReplaceableTextures\\CommandButtons\\BTNIB07.blp</v>
      </c>
      <c r="CN222" s="13" t="str">
        <f t="shared" si="3457"/>
        <v>InitUnitState('IB07',,,,,,,,,,)</v>
      </c>
      <c r="CO222" s="13" t="str">
        <f t="shared" si="3458"/>
        <v>InitUnitNormal('IB07',,,,,,,,,,)</v>
      </c>
      <c r="CP222" s="13" t="str">
        <f t="shared" si="3459"/>
        <v>InitUnitMagic('IB07',,,,,,,,,,)</v>
      </c>
      <c r="CQ222" s="13" t="str">
        <f t="shared" si="3460"/>
        <v>InitUnitAdd('IB07',,,,,,,,,,)</v>
      </c>
      <c r="CR222" s="13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InitEquipData('IB07',,"",,,,,'','','','','','',"ReplaceableTextures\\CommandButtons\\BTNIB08.blp")</v>
      </c>
      <c r="CU222" s="72" t="str">
        <f t="shared" si="3385"/>
        <v>|n</v>
      </c>
      <c r="CV222" s="6" t="str">
        <f t="shared" si="338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2" s="7"/>
      <c r="CX222" s="7"/>
      <c r="CY222" s="7"/>
      <c r="CZ222" s="7"/>
      <c r="DA222" s="7"/>
      <c r="DB222" s="44" t="str">
        <f t="shared" si="3387"/>
        <v/>
      </c>
      <c r="DC222" s="44" t="str">
        <f t="shared" si="3388"/>
        <v/>
      </c>
      <c r="DD222" s="44" t="str">
        <f t="shared" si="3389"/>
        <v/>
      </c>
      <c r="DE222" s="44" t="str">
        <f t="shared" si="3390"/>
        <v/>
      </c>
      <c r="DF222" s="44" t="str">
        <f t="shared" si="3391"/>
        <v/>
      </c>
      <c r="DG222" s="44" t="str">
        <f t="shared" si="3392"/>
        <v/>
      </c>
      <c r="DH222" s="44" t="str">
        <f t="shared" si="3393"/>
        <v/>
      </c>
      <c r="DI222" s="44" t="str">
        <f t="shared" si="3394"/>
        <v/>
      </c>
      <c r="DJ222" s="44" t="str">
        <f t="shared" si="3395"/>
        <v/>
      </c>
      <c r="DK222" s="44" t="str">
        <f t="shared" si="3396"/>
        <v/>
      </c>
      <c r="DL222" s="44" t="str">
        <f t="shared" si="3397"/>
        <v/>
      </c>
      <c r="DM222" s="44" t="str">
        <f t="shared" si="3398"/>
        <v/>
      </c>
      <c r="DN222" s="44" t="str">
        <f t="shared" si="3399"/>
        <v/>
      </c>
      <c r="DO222" s="44" t="str">
        <f t="shared" si="3400"/>
        <v/>
      </c>
      <c r="DP222" s="44" t="str">
        <f t="shared" si="3401"/>
        <v/>
      </c>
      <c r="DQ222" s="44" t="str">
        <f t="shared" si="3402"/>
        <v/>
      </c>
      <c r="DR222" s="44" t="str">
        <f t="shared" si="3403"/>
        <v/>
      </c>
      <c r="DS222" s="44" t="str">
        <f t="shared" si="3404"/>
        <v/>
      </c>
      <c r="DT222" s="44" t="str">
        <f t="shared" si="3405"/>
        <v/>
      </c>
      <c r="DU222" s="44" t="str">
        <f t="shared" si="3406"/>
        <v/>
      </c>
      <c r="DV222" s="44" t="str">
        <f t="shared" si="3407"/>
        <v/>
      </c>
      <c r="DW222" s="44" t="str">
        <f t="shared" si="3408"/>
        <v/>
      </c>
      <c r="DX222" s="44" t="str">
        <f t="shared" si="3409"/>
        <v/>
      </c>
      <c r="DY222" s="44" t="str">
        <f t="shared" si="3410"/>
        <v/>
      </c>
      <c r="DZ222" s="44" t="str">
        <f t="shared" si="3411"/>
        <v/>
      </c>
      <c r="EA222" s="44" t="str">
        <f t="shared" si="3412"/>
        <v/>
      </c>
      <c r="EB222" s="44" t="str">
        <f t="shared" si="3413"/>
        <v/>
      </c>
      <c r="EC222" s="44" t="str">
        <f t="shared" si="3414"/>
        <v/>
      </c>
      <c r="ED222" s="44" t="str">
        <f t="shared" si="3415"/>
        <v/>
      </c>
      <c r="EE222" s="44" t="str">
        <f t="shared" si="3416"/>
        <v/>
      </c>
      <c r="EF222" s="44" t="str">
        <f t="shared" si="3417"/>
        <v/>
      </c>
      <c r="EG222" s="44" t="str">
        <f t="shared" si="3418"/>
        <v/>
      </c>
      <c r="EH222" s="44" t="str">
        <f t="shared" si="3419"/>
        <v/>
      </c>
      <c r="EI222" s="44" t="str">
        <f t="shared" si="3420"/>
        <v/>
      </c>
      <c r="EJ222" s="44" t="str">
        <f t="shared" si="3421"/>
        <v/>
      </c>
      <c r="EK222" s="44" t="str">
        <f t="shared" si="3422"/>
        <v/>
      </c>
      <c r="EL222" s="44" t="str">
        <f t="shared" si="3423"/>
        <v/>
      </c>
      <c r="EM222" s="44" t="str">
        <f t="shared" si="3424"/>
        <v/>
      </c>
      <c r="EN222" s="44" t="str">
        <f t="shared" si="3425"/>
        <v/>
      </c>
      <c r="EO222" s="44" t="str">
        <f t="shared" si="3426"/>
        <v/>
      </c>
      <c r="EP222" s="44" t="str">
        <f t="shared" si="3427"/>
        <v/>
      </c>
      <c r="EQ222" s="44" t="str">
        <f t="shared" si="3428"/>
        <v/>
      </c>
      <c r="ER222" s="44" t="str">
        <f t="shared" si="3429"/>
        <v/>
      </c>
      <c r="ES222" s="44" t="str">
        <f t="shared" si="3430"/>
        <v/>
      </c>
      <c r="ET222" s="44" t="str">
        <f t="shared" si="3431"/>
        <v/>
      </c>
      <c r="EU222" s="44" t="str">
        <f t="shared" si="3432"/>
        <v/>
      </c>
      <c r="EV222" s="44" t="str">
        <f t="shared" si="3433"/>
        <v/>
      </c>
      <c r="EW222" s="44" t="str">
        <f t="shared" si="3434"/>
        <v/>
      </c>
      <c r="EX222" s="44" t="str">
        <f t="shared" si="3435"/>
        <v/>
      </c>
      <c r="EY222" s="44" t="str">
        <f t="shared" si="3436"/>
        <v/>
      </c>
      <c r="EZ222" s="44" t="str">
        <f t="shared" si="3437"/>
        <v/>
      </c>
      <c r="FA222" s="44" t="str">
        <f t="shared" si="3438"/>
        <v/>
      </c>
      <c r="FB222" s="44" t="str">
        <f t="shared" si="3439"/>
        <v/>
      </c>
      <c r="FC222" s="44" t="str">
        <f t="shared" si="3440"/>
        <v/>
      </c>
      <c r="FD222" s="44" t="str">
        <f t="shared" si="3441"/>
        <v/>
      </c>
      <c r="FE222" s="44" t="str">
        <f t="shared" si="3442"/>
        <v/>
      </c>
      <c r="FF222" s="44" t="str">
        <f t="shared" si="3443"/>
        <v/>
      </c>
      <c r="FG222" s="44" t="str">
        <f t="shared" si="3444"/>
        <v/>
      </c>
      <c r="FH222" s="44" t="str">
        <f t="shared" si="3445"/>
        <v/>
      </c>
      <c r="FI222" s="44" t="str">
        <f t="shared" si="3446"/>
        <v/>
      </c>
      <c r="FJ222" s="44" t="str">
        <f t="shared" si="3447"/>
        <v/>
      </c>
      <c r="FK222" s="44" t="str">
        <f t="shared" si="3448"/>
        <v/>
      </c>
      <c r="FL222" s="44" t="str">
        <f t="shared" si="3449"/>
        <v/>
      </c>
      <c r="FM222" s="44" t="str">
        <f t="shared" si="3450"/>
        <v/>
      </c>
      <c r="FN222" s="44" t="str">
        <f t="shared" si="3451"/>
        <v/>
      </c>
      <c r="FO222" s="44" t="str">
        <f t="shared" si="3452"/>
        <v/>
      </c>
      <c r="FP222" s="44" t="str">
        <f t="shared" si="3453"/>
        <v/>
      </c>
      <c r="FQ222" s="44" t="str">
        <f t="shared" si="3454"/>
        <v/>
      </c>
      <c r="FR222" s="44" t="str">
        <f t="shared" si="3455"/>
        <v/>
      </c>
      <c r="FS222" s="44" t="str">
        <f t="shared" si="3456"/>
        <v/>
      </c>
    </row>
    <row r="223" ht="14.4" spans="1:175">
      <c r="A223" s="78"/>
      <c r="B223" s="8" t="s">
        <v>731</v>
      </c>
      <c r="C223" s="109" t="s">
        <v>732</v>
      </c>
      <c r="T223" s="37" t="s">
        <v>733</v>
      </c>
      <c r="U223" s="60" t="str">
        <f t="shared" si="3384"/>
        <v>ReplaceableTextures\\CommandButtons\\BTNIB08.blp</v>
      </c>
      <c r="CN223" s="13" t="str">
        <f t="shared" si="3457"/>
        <v>InitUnitState('IB08',,,,,,,,,,)</v>
      </c>
      <c r="CO223" s="13" t="str">
        <f t="shared" si="3458"/>
        <v>InitUnitNormal('IB08',,,,,,,,,,)</v>
      </c>
      <c r="CP223" s="13" t="str">
        <f t="shared" si="3459"/>
        <v>InitUnitMagic('IB08',,,,,,,,,,)</v>
      </c>
      <c r="CQ223" s="13" t="str">
        <f t="shared" si="3460"/>
        <v>InitUnitAdd('IB08',,,,,,,,,,)</v>
      </c>
      <c r="CR223" s="13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242&amp;CR$1&amp;")"</f>
        <v>InitEquipData('IB08',,"",,,,,'','','','','','',"")</v>
      </c>
      <c r="CU223" s="72" t="str">
        <f t="shared" si="3385"/>
        <v>|n</v>
      </c>
      <c r="CV223" s="6" t="str">
        <f t="shared" si="338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3" s="7"/>
      <c r="CX223" s="7"/>
      <c r="CY223" s="7"/>
      <c r="CZ223" s="7"/>
      <c r="DA223" s="7"/>
      <c r="DB223" s="44" t="str">
        <f t="shared" si="3387"/>
        <v/>
      </c>
      <c r="DC223" s="44" t="str">
        <f t="shared" si="3388"/>
        <v/>
      </c>
      <c r="DD223" s="44" t="str">
        <f t="shared" si="3389"/>
        <v/>
      </c>
      <c r="DE223" s="44" t="str">
        <f t="shared" si="3390"/>
        <v/>
      </c>
      <c r="DF223" s="44" t="str">
        <f t="shared" si="3391"/>
        <v/>
      </c>
      <c r="DG223" s="44" t="str">
        <f t="shared" si="3392"/>
        <v/>
      </c>
      <c r="DH223" s="44" t="str">
        <f t="shared" si="3393"/>
        <v/>
      </c>
      <c r="DI223" s="44" t="str">
        <f t="shared" si="3394"/>
        <v/>
      </c>
      <c r="DJ223" s="44" t="str">
        <f t="shared" si="3395"/>
        <v/>
      </c>
      <c r="DK223" s="44" t="str">
        <f t="shared" si="3396"/>
        <v/>
      </c>
      <c r="DL223" s="44" t="str">
        <f t="shared" si="3397"/>
        <v/>
      </c>
      <c r="DM223" s="44" t="str">
        <f t="shared" si="3398"/>
        <v/>
      </c>
      <c r="DN223" s="44" t="str">
        <f t="shared" si="3399"/>
        <v/>
      </c>
      <c r="DO223" s="44" t="str">
        <f t="shared" si="3400"/>
        <v/>
      </c>
      <c r="DP223" s="44" t="str">
        <f t="shared" si="3401"/>
        <v/>
      </c>
      <c r="DQ223" s="44" t="str">
        <f t="shared" si="3402"/>
        <v/>
      </c>
      <c r="DR223" s="44" t="str">
        <f t="shared" si="3403"/>
        <v/>
      </c>
      <c r="DS223" s="44" t="str">
        <f t="shared" si="3404"/>
        <v/>
      </c>
      <c r="DT223" s="44" t="str">
        <f t="shared" si="3405"/>
        <v/>
      </c>
      <c r="DU223" s="44" t="str">
        <f t="shared" si="3406"/>
        <v/>
      </c>
      <c r="DV223" s="44" t="str">
        <f t="shared" si="3407"/>
        <v/>
      </c>
      <c r="DW223" s="44" t="str">
        <f t="shared" si="3408"/>
        <v/>
      </c>
      <c r="DX223" s="44" t="str">
        <f t="shared" si="3409"/>
        <v/>
      </c>
      <c r="DY223" s="44" t="str">
        <f t="shared" si="3410"/>
        <v/>
      </c>
      <c r="DZ223" s="44" t="str">
        <f t="shared" si="3411"/>
        <v/>
      </c>
      <c r="EA223" s="44" t="str">
        <f t="shared" si="3412"/>
        <v/>
      </c>
      <c r="EB223" s="44" t="str">
        <f t="shared" si="3413"/>
        <v/>
      </c>
      <c r="EC223" s="44" t="str">
        <f t="shared" si="3414"/>
        <v/>
      </c>
      <c r="ED223" s="44" t="str">
        <f t="shared" si="3415"/>
        <v/>
      </c>
      <c r="EE223" s="44" t="str">
        <f t="shared" si="3416"/>
        <v/>
      </c>
      <c r="EF223" s="44" t="str">
        <f t="shared" si="3417"/>
        <v/>
      </c>
      <c r="EG223" s="44" t="str">
        <f t="shared" si="3418"/>
        <v/>
      </c>
      <c r="EH223" s="44" t="str">
        <f t="shared" si="3419"/>
        <v/>
      </c>
      <c r="EI223" s="44" t="str">
        <f t="shared" si="3420"/>
        <v/>
      </c>
      <c r="EJ223" s="44" t="str">
        <f t="shared" si="3421"/>
        <v/>
      </c>
      <c r="EK223" s="44" t="str">
        <f t="shared" si="3422"/>
        <v/>
      </c>
      <c r="EL223" s="44" t="str">
        <f t="shared" si="3423"/>
        <v/>
      </c>
      <c r="EM223" s="44" t="str">
        <f t="shared" si="3424"/>
        <v/>
      </c>
      <c r="EN223" s="44" t="str">
        <f t="shared" si="3425"/>
        <v/>
      </c>
      <c r="EO223" s="44" t="str">
        <f t="shared" si="3426"/>
        <v/>
      </c>
      <c r="EP223" s="44" t="str">
        <f t="shared" si="3427"/>
        <v/>
      </c>
      <c r="EQ223" s="44" t="str">
        <f t="shared" si="3428"/>
        <v/>
      </c>
      <c r="ER223" s="44" t="str">
        <f t="shared" si="3429"/>
        <v/>
      </c>
      <c r="ES223" s="44" t="str">
        <f t="shared" si="3430"/>
        <v/>
      </c>
      <c r="ET223" s="44" t="str">
        <f t="shared" si="3431"/>
        <v/>
      </c>
      <c r="EU223" s="44" t="str">
        <f t="shared" si="3432"/>
        <v/>
      </c>
      <c r="EV223" s="44" t="str">
        <f t="shared" si="3433"/>
        <v/>
      </c>
      <c r="EW223" s="44" t="str">
        <f t="shared" si="3434"/>
        <v/>
      </c>
      <c r="EX223" s="44" t="str">
        <f t="shared" si="3435"/>
        <v/>
      </c>
      <c r="EY223" s="44" t="str">
        <f t="shared" si="3436"/>
        <v/>
      </c>
      <c r="EZ223" s="44" t="str">
        <f t="shared" si="3437"/>
        <v/>
      </c>
      <c r="FA223" s="44" t="str">
        <f t="shared" si="3438"/>
        <v/>
      </c>
      <c r="FB223" s="44" t="str">
        <f t="shared" si="3439"/>
        <v/>
      </c>
      <c r="FC223" s="44" t="str">
        <f t="shared" si="3440"/>
        <v/>
      </c>
      <c r="FD223" s="44" t="str">
        <f t="shared" si="3441"/>
        <v/>
      </c>
      <c r="FE223" s="44" t="str">
        <f t="shared" si="3442"/>
        <v/>
      </c>
      <c r="FF223" s="44" t="str">
        <f t="shared" si="3443"/>
        <v/>
      </c>
      <c r="FG223" s="44" t="str">
        <f t="shared" si="3444"/>
        <v/>
      </c>
      <c r="FH223" s="44" t="str">
        <f t="shared" si="3445"/>
        <v/>
      </c>
      <c r="FI223" s="44" t="str">
        <f t="shared" si="3446"/>
        <v/>
      </c>
      <c r="FJ223" s="44" t="str">
        <f t="shared" si="3447"/>
        <v/>
      </c>
      <c r="FK223" s="44" t="str">
        <f t="shared" si="3448"/>
        <v/>
      </c>
      <c r="FL223" s="44" t="str">
        <f t="shared" si="3449"/>
        <v/>
      </c>
      <c r="FM223" s="44" t="str">
        <f t="shared" si="3450"/>
        <v/>
      </c>
      <c r="FN223" s="44" t="str">
        <f t="shared" si="3451"/>
        <v/>
      </c>
      <c r="FO223" s="44" t="str">
        <f t="shared" si="3452"/>
        <v/>
      </c>
      <c r="FP223" s="44" t="str">
        <f t="shared" si="3453"/>
        <v/>
      </c>
      <c r="FQ223" s="44" t="str">
        <f t="shared" si="3454"/>
        <v/>
      </c>
      <c r="FR223" s="44" t="str">
        <f t="shared" si="3455"/>
        <v/>
      </c>
      <c r="FS223" s="44" t="str">
        <f t="shared" si="3456"/>
        <v/>
      </c>
    </row>
    <row r="224" ht="14.4" spans="1:175">
      <c r="A224" s="78"/>
      <c r="B224" s="8" t="s">
        <v>734</v>
      </c>
      <c r="C224" s="109" t="s">
        <v>735</v>
      </c>
      <c r="T224" s="109"/>
      <c r="U224" s="60" t="str">
        <f t="shared" si="3384"/>
        <v>ReplaceableTextures\\CommandButtons\\BTNIB09.blp</v>
      </c>
      <c r="CN224" s="13" t="str">
        <f t="shared" si="3457"/>
        <v>InitUnitState('IB09',,,,,,,,,,)</v>
      </c>
      <c r="CO224" s="13" t="str">
        <f t="shared" si="3458"/>
        <v>InitUnitNormal('IB09',,,,,,,,,,)</v>
      </c>
      <c r="CP224" s="13" t="str">
        <f t="shared" si="3459"/>
        <v>InitUnitMagic('IB09',,,,,,,,,,)</v>
      </c>
      <c r="CQ224" s="13" t="str">
        <f t="shared" si="3460"/>
        <v>InitUnitAdd('IB09',,,,,,,,,,)</v>
      </c>
      <c r="CR224" s="13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243&amp;CR$1&amp;")"</f>
        <v>InitEquipData('IB09',,"",,,,,'','','','','','',"")</v>
      </c>
      <c r="CU224" s="72" t="str">
        <f t="shared" si="3385"/>
        <v>|n</v>
      </c>
      <c r="CV224" s="6">
        <f t="shared" si="3386"/>
        <v>0</v>
      </c>
      <c r="CW224" s="7"/>
      <c r="CX224" s="7"/>
      <c r="CY224" s="7"/>
      <c r="CZ224" s="7"/>
      <c r="DA224" s="7"/>
      <c r="DB224" s="44" t="str">
        <f t="shared" ref="DB224:FM224" si="3461">IF(V224="","","|n"&amp;DB$2&amp;"+"&amp;V224&amp;DB$1)</f>
        <v/>
      </c>
      <c r="DC224" s="44" t="str">
        <f t="shared" si="3461"/>
        <v/>
      </c>
      <c r="DD224" s="44" t="str">
        <f t="shared" si="3461"/>
        <v/>
      </c>
      <c r="DE224" s="44" t="str">
        <f t="shared" si="3461"/>
        <v/>
      </c>
      <c r="DF224" s="44" t="str">
        <f t="shared" si="3461"/>
        <v/>
      </c>
      <c r="DG224" s="44" t="str">
        <f t="shared" si="3461"/>
        <v/>
      </c>
      <c r="DH224" s="44" t="str">
        <f t="shared" si="3461"/>
        <v/>
      </c>
      <c r="DI224" s="44" t="str">
        <f t="shared" si="3461"/>
        <v/>
      </c>
      <c r="DJ224" s="44" t="str">
        <f t="shared" si="3461"/>
        <v/>
      </c>
      <c r="DK224" s="44" t="str">
        <f t="shared" si="3461"/>
        <v/>
      </c>
      <c r="DL224" s="44" t="str">
        <f t="shared" si="3461"/>
        <v/>
      </c>
      <c r="DM224" s="44" t="str">
        <f t="shared" si="3461"/>
        <v/>
      </c>
      <c r="DN224" s="44" t="str">
        <f t="shared" si="3461"/>
        <v/>
      </c>
      <c r="DO224" s="44" t="str">
        <f t="shared" si="3461"/>
        <v/>
      </c>
      <c r="DP224" s="44" t="str">
        <f t="shared" si="3461"/>
        <v/>
      </c>
      <c r="DQ224" s="44" t="str">
        <f t="shared" si="3461"/>
        <v/>
      </c>
      <c r="DR224" s="44" t="str">
        <f t="shared" si="3461"/>
        <v/>
      </c>
      <c r="DS224" s="44" t="str">
        <f t="shared" si="3461"/>
        <v/>
      </c>
      <c r="DT224" s="44" t="str">
        <f t="shared" si="3461"/>
        <v/>
      </c>
      <c r="DU224" s="44" t="str">
        <f t="shared" si="3461"/>
        <v/>
      </c>
      <c r="DV224" s="44" t="str">
        <f t="shared" si="3461"/>
        <v/>
      </c>
      <c r="DW224" s="44" t="str">
        <f t="shared" si="3461"/>
        <v/>
      </c>
      <c r="DX224" s="44" t="str">
        <f t="shared" si="3461"/>
        <v/>
      </c>
      <c r="DY224" s="44" t="str">
        <f t="shared" si="3461"/>
        <v/>
      </c>
      <c r="DZ224" s="44" t="str">
        <f t="shared" si="3461"/>
        <v/>
      </c>
      <c r="EA224" s="44" t="str">
        <f t="shared" si="3461"/>
        <v/>
      </c>
      <c r="EB224" s="44" t="str">
        <f t="shared" si="3461"/>
        <v/>
      </c>
      <c r="EC224" s="44" t="str">
        <f t="shared" si="3461"/>
        <v/>
      </c>
      <c r="ED224" s="44" t="str">
        <f t="shared" si="3461"/>
        <v/>
      </c>
      <c r="EE224" s="44" t="str">
        <f t="shared" si="3461"/>
        <v/>
      </c>
      <c r="EF224" s="44" t="str">
        <f t="shared" si="3461"/>
        <v/>
      </c>
      <c r="EG224" s="44" t="str">
        <f t="shared" si="3461"/>
        <v/>
      </c>
      <c r="EH224" s="44" t="str">
        <f t="shared" si="3461"/>
        <v/>
      </c>
      <c r="EI224" s="44" t="str">
        <f t="shared" si="3461"/>
        <v/>
      </c>
      <c r="EJ224" s="44" t="str">
        <f t="shared" si="3461"/>
        <v/>
      </c>
      <c r="EK224" s="44" t="str">
        <f t="shared" si="3461"/>
        <v/>
      </c>
      <c r="EL224" s="44" t="str">
        <f t="shared" si="3461"/>
        <v/>
      </c>
      <c r="EM224" s="44" t="str">
        <f t="shared" si="3461"/>
        <v/>
      </c>
      <c r="EN224" s="44" t="str">
        <f t="shared" si="3461"/>
        <v/>
      </c>
      <c r="EO224" s="44" t="str">
        <f t="shared" si="3461"/>
        <v/>
      </c>
      <c r="EP224" s="44" t="str">
        <f t="shared" si="3461"/>
        <v/>
      </c>
      <c r="EQ224" s="44" t="str">
        <f t="shared" si="3461"/>
        <v/>
      </c>
      <c r="ER224" s="44" t="str">
        <f t="shared" si="3461"/>
        <v/>
      </c>
      <c r="ES224" s="44" t="str">
        <f t="shared" si="3461"/>
        <v/>
      </c>
      <c r="ET224" s="44" t="str">
        <f t="shared" si="3461"/>
        <v/>
      </c>
      <c r="EU224" s="44" t="str">
        <f t="shared" si="3461"/>
        <v/>
      </c>
      <c r="EV224" s="44" t="str">
        <f t="shared" si="3461"/>
        <v/>
      </c>
      <c r="EW224" s="44" t="str">
        <f t="shared" si="3461"/>
        <v/>
      </c>
      <c r="EX224" s="44" t="str">
        <f t="shared" si="3461"/>
        <v/>
      </c>
      <c r="EY224" s="44" t="str">
        <f t="shared" si="3461"/>
        <v/>
      </c>
      <c r="EZ224" s="44" t="str">
        <f t="shared" si="3461"/>
        <v/>
      </c>
      <c r="FA224" s="44" t="str">
        <f t="shared" si="3461"/>
        <v/>
      </c>
      <c r="FB224" s="44" t="str">
        <f t="shared" si="3461"/>
        <v/>
      </c>
      <c r="FC224" s="44" t="str">
        <f t="shared" si="3461"/>
        <v/>
      </c>
      <c r="FD224" s="44" t="str">
        <f t="shared" si="3461"/>
        <v/>
      </c>
      <c r="FE224" s="44" t="str">
        <f t="shared" si="3461"/>
        <v/>
      </c>
      <c r="FF224" s="44" t="str">
        <f t="shared" si="3461"/>
        <v/>
      </c>
      <c r="FG224" s="44" t="str">
        <f t="shared" si="3461"/>
        <v/>
      </c>
      <c r="FH224" s="44" t="str">
        <f t="shared" si="3461"/>
        <v/>
      </c>
      <c r="FI224" s="44" t="str">
        <f t="shared" si="3461"/>
        <v/>
      </c>
      <c r="FJ224" s="44" t="str">
        <f t="shared" si="3461"/>
        <v/>
      </c>
      <c r="FK224" s="44" t="str">
        <f t="shared" si="3461"/>
        <v/>
      </c>
      <c r="FL224" s="44" t="str">
        <f t="shared" si="3461"/>
        <v/>
      </c>
      <c r="FM224" s="44" t="str">
        <f t="shared" si="3461"/>
        <v/>
      </c>
      <c r="FN224" s="44" t="str">
        <f t="shared" ref="FN224:FS224" si="3462">IF(CH224="","","|n"&amp;FN$2&amp;"+"&amp;CH224&amp;FN$1)</f>
        <v/>
      </c>
      <c r="FO224" s="44" t="str">
        <f t="shared" si="3462"/>
        <v/>
      </c>
      <c r="FP224" s="44" t="str">
        <f t="shared" si="3462"/>
        <v/>
      </c>
      <c r="FQ224" s="44" t="str">
        <f t="shared" si="3462"/>
        <v/>
      </c>
      <c r="FR224" s="44" t="str">
        <f t="shared" si="3462"/>
        <v/>
      </c>
      <c r="FS224" s="44" t="str">
        <f t="shared" si="3462"/>
        <v/>
      </c>
    </row>
    <row r="225" ht="14.4" spans="1:175">
      <c r="A225" s="78"/>
      <c r="B225" s="8" t="s">
        <v>736</v>
      </c>
      <c r="C225" s="109" t="str">
        <f>"已领取"&amp;C216</f>
        <v>已领取公众号礼包</v>
      </c>
      <c r="T225" s="109" t="s">
        <v>737</v>
      </c>
      <c r="U225" s="3" t="s">
        <v>738</v>
      </c>
      <c r="CN225" s="13" t="str">
        <f t="shared" si="3457"/>
        <v>InitUnitState('IB51',,,,,,,,,,)</v>
      </c>
      <c r="CO225" s="13" t="str">
        <f t="shared" si="3458"/>
        <v>InitUnitNormal('IB51',,,,,,,,,,)</v>
      </c>
      <c r="CP225" s="13" t="str">
        <f t="shared" si="3459"/>
        <v>InitUnitMagic('IB51',,,,,,,,,,)</v>
      </c>
      <c r="CQ225" s="13" t="str">
        <f t="shared" si="3460"/>
        <v>InitUnitAdd('IB51',,,,,,,,,,)</v>
      </c>
      <c r="CR225" s="13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InitEquipData('IB51',,"",,,,,'','','','','','',"ReplaceableTextures\\commandButtons\\BTNLBUI01.blp")</v>
      </c>
      <c r="CU225" s="72" t="str">
        <f t="shared" ref="CU225:CU233" si="3463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" t="str">
        <f t="shared" ref="CV225:CV233" si="3464">T225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5" s="7"/>
      <c r="CX225" s="7"/>
      <c r="CY225" s="7"/>
      <c r="CZ225" s="7"/>
      <c r="DA225" s="7"/>
      <c r="DB225" s="44" t="str">
        <f t="shared" ref="DB225:DB231" si="3465">IF(V225="","","|n"&amp;DB$2&amp;"+"&amp;V225&amp;DB$1)</f>
        <v/>
      </c>
      <c r="DC225" s="44" t="str">
        <f t="shared" ref="DC225:DC231" si="3466">IF(W225="","","|n"&amp;DC$2&amp;"+"&amp;W225&amp;DC$1)</f>
        <v/>
      </c>
      <c r="DD225" s="44" t="str">
        <f t="shared" ref="DD225:DD231" si="3467">IF(X225="","","|n"&amp;DD$2&amp;"+"&amp;X225&amp;DD$1)</f>
        <v/>
      </c>
      <c r="DE225" s="44" t="str">
        <f t="shared" ref="DE225:DE231" si="3468">IF(Y225="","","|n"&amp;DE$2&amp;"+"&amp;Y225&amp;DE$1)</f>
        <v/>
      </c>
      <c r="DF225" s="44" t="str">
        <f t="shared" ref="DF225:DF231" si="3469">IF(Z225="","","|n"&amp;DF$2&amp;"+"&amp;Z225&amp;DF$1)</f>
        <v/>
      </c>
      <c r="DG225" s="44" t="str">
        <f t="shared" ref="DG225:DG231" si="3470">IF(AA225="","","|n"&amp;DG$2&amp;"+"&amp;AA225&amp;DG$1)</f>
        <v/>
      </c>
      <c r="DH225" s="44" t="str">
        <f t="shared" ref="DH225:DH231" si="3471">IF(AB225="","","|n"&amp;DH$2&amp;"+"&amp;AB225&amp;DH$1)</f>
        <v/>
      </c>
      <c r="DI225" s="44" t="str">
        <f t="shared" ref="DI225:DI231" si="3472">IF(AC225="","","|n"&amp;DI$2&amp;"+"&amp;AC225&amp;DI$1)</f>
        <v/>
      </c>
      <c r="DJ225" s="44" t="str">
        <f t="shared" ref="DJ225:DJ231" si="3473">IF(AD225="","","|n"&amp;DJ$2&amp;"+"&amp;AD225&amp;DJ$1)</f>
        <v/>
      </c>
      <c r="DK225" s="44" t="str">
        <f t="shared" ref="DK225:DK231" si="3474">IF(AE225="","","|n"&amp;DK$2&amp;"+"&amp;AE225&amp;DK$1)</f>
        <v/>
      </c>
      <c r="DL225" s="44" t="str">
        <f t="shared" ref="DL225:DL231" si="3475">IF(AF225="","","|n"&amp;DL$2&amp;"+"&amp;AF225&amp;DL$1)</f>
        <v/>
      </c>
      <c r="DM225" s="44" t="str">
        <f t="shared" ref="DM225:DM231" si="3476">IF(AG225="","","|n"&amp;DM$2&amp;"+"&amp;AG225&amp;DM$1)</f>
        <v/>
      </c>
      <c r="DN225" s="44" t="str">
        <f t="shared" ref="DN225:DN231" si="3477">IF(AH225="","","|n"&amp;DN$2&amp;"+"&amp;AH225&amp;DN$1)</f>
        <v/>
      </c>
      <c r="DO225" s="44" t="str">
        <f t="shared" ref="DO225:DO231" si="3478">IF(AI225="","","|n"&amp;DO$2&amp;"+"&amp;AI225&amp;DO$1)</f>
        <v/>
      </c>
      <c r="DP225" s="44" t="str">
        <f t="shared" ref="DP225:DP231" si="3479">IF(AJ225="","","|n"&amp;DP$2&amp;"+"&amp;AJ225&amp;DP$1)</f>
        <v/>
      </c>
      <c r="DQ225" s="44" t="str">
        <f t="shared" ref="DQ225:DQ231" si="3480">IF(AK225="","","|n"&amp;DQ$2&amp;"+"&amp;AK225&amp;DQ$1)</f>
        <v/>
      </c>
      <c r="DR225" s="44" t="str">
        <f t="shared" ref="DR225:DR231" si="3481">IF(AL225="","","|n"&amp;DR$2&amp;"+"&amp;AL225&amp;DR$1)</f>
        <v/>
      </c>
      <c r="DS225" s="44" t="str">
        <f t="shared" ref="DS225:DS231" si="3482">IF(AM225="","","|n"&amp;DS$2&amp;"+"&amp;AM225&amp;DS$1)</f>
        <v/>
      </c>
      <c r="DT225" s="44" t="str">
        <f t="shared" ref="DT225:DT231" si="3483">IF(AN225="","","|n"&amp;DT$2&amp;"+"&amp;AN225&amp;DT$1)</f>
        <v/>
      </c>
      <c r="DU225" s="44" t="str">
        <f t="shared" ref="DU225:DU231" si="3484">IF(AO225="","","|n"&amp;DU$2&amp;"+"&amp;AO225&amp;DU$1)</f>
        <v/>
      </c>
      <c r="DV225" s="44" t="str">
        <f t="shared" ref="DV225:DV231" si="3485">IF(AP225="","","|n"&amp;DV$2&amp;"+"&amp;AP225&amp;DV$1)</f>
        <v/>
      </c>
      <c r="DW225" s="44" t="str">
        <f t="shared" ref="DW225:DW231" si="3486">IF(AQ225="","","|n"&amp;DW$2&amp;"+"&amp;AQ225&amp;DW$1)</f>
        <v/>
      </c>
      <c r="DX225" s="44" t="str">
        <f t="shared" ref="DX225:DX231" si="3487">IF(AR225="","","|n"&amp;DX$2&amp;"+"&amp;AR225&amp;DX$1)</f>
        <v/>
      </c>
      <c r="DY225" s="44" t="str">
        <f t="shared" ref="DY225:DY231" si="3488">IF(AS225="","","|n"&amp;DY$2&amp;"+"&amp;AS225&amp;DY$1)</f>
        <v/>
      </c>
      <c r="DZ225" s="44" t="str">
        <f t="shared" ref="DZ225:DZ231" si="3489">IF(AT225="","","|n"&amp;DZ$2&amp;"+"&amp;AT225&amp;DZ$1)</f>
        <v/>
      </c>
      <c r="EA225" s="44" t="str">
        <f t="shared" ref="EA225:EA231" si="3490">IF(AU225="","","|n"&amp;EA$2&amp;"+"&amp;AU225&amp;EA$1)</f>
        <v/>
      </c>
      <c r="EB225" s="44" t="str">
        <f t="shared" ref="EB225:EB231" si="3491">IF(AV225="","","|n"&amp;EB$2&amp;"+"&amp;AV225&amp;EB$1)</f>
        <v/>
      </c>
      <c r="EC225" s="44" t="str">
        <f t="shared" ref="EC225:EC231" si="3492">IF(AW225="","","|n"&amp;EC$2&amp;"+"&amp;AW225&amp;EC$1)</f>
        <v/>
      </c>
      <c r="ED225" s="44" t="str">
        <f t="shared" ref="ED225:ED231" si="3493">IF(AX225="","","|n"&amp;ED$2&amp;"+"&amp;AX225&amp;ED$1)</f>
        <v/>
      </c>
      <c r="EE225" s="44" t="str">
        <f t="shared" ref="EE225:EE231" si="3494">IF(AY225="","","|n"&amp;EE$2&amp;"+"&amp;AY225&amp;EE$1)</f>
        <v/>
      </c>
      <c r="EF225" s="44" t="str">
        <f t="shared" ref="EF225:EF231" si="3495">IF(AZ225="","","|n"&amp;EF$2&amp;"+"&amp;AZ225&amp;EF$1)</f>
        <v/>
      </c>
      <c r="EG225" s="44" t="str">
        <f t="shared" ref="EG225:EG231" si="3496">IF(BA225="","","|n"&amp;EG$2&amp;"+"&amp;BA225&amp;EG$1)</f>
        <v/>
      </c>
      <c r="EH225" s="44" t="str">
        <f t="shared" ref="EH225:EH231" si="3497">IF(BB225="","","|n"&amp;EH$2&amp;"+"&amp;BB225&amp;EH$1)</f>
        <v/>
      </c>
      <c r="EI225" s="44" t="str">
        <f t="shared" ref="EI225:EI231" si="3498">IF(BC225="","","|n"&amp;EI$2&amp;"+"&amp;BC225&amp;EI$1)</f>
        <v/>
      </c>
      <c r="EJ225" s="44" t="str">
        <f t="shared" ref="EJ225:EJ231" si="3499">IF(BD225="","","|n"&amp;EJ$2&amp;"+"&amp;BD225&amp;EJ$1)</f>
        <v/>
      </c>
      <c r="EK225" s="44" t="str">
        <f t="shared" ref="EK225:EK231" si="3500">IF(BE225="","","|n"&amp;EK$2&amp;"+"&amp;BE225&amp;EK$1)</f>
        <v/>
      </c>
      <c r="EL225" s="44" t="str">
        <f t="shared" ref="EL225:EL231" si="3501">IF(BF225="","","|n"&amp;EL$2&amp;"+"&amp;BF225&amp;EL$1)</f>
        <v/>
      </c>
      <c r="EM225" s="44" t="str">
        <f t="shared" ref="EM225:EM231" si="3502">IF(BG225="","","|n"&amp;EM$2&amp;"+"&amp;BG225&amp;EM$1)</f>
        <v/>
      </c>
      <c r="EN225" s="44" t="str">
        <f t="shared" ref="EN225:EN231" si="3503">IF(BH225="","","|n"&amp;EN$2&amp;"+"&amp;BH225&amp;EN$1)</f>
        <v/>
      </c>
      <c r="EO225" s="44" t="str">
        <f t="shared" ref="EO225:EO231" si="3504">IF(BI225="","","|n"&amp;EO$2&amp;"+"&amp;BI225&amp;EO$1)</f>
        <v/>
      </c>
      <c r="EP225" s="44" t="str">
        <f t="shared" ref="EP225:EP231" si="3505">IF(BJ225="","","|n"&amp;EP$2&amp;"+"&amp;BJ225&amp;EP$1)</f>
        <v/>
      </c>
      <c r="EQ225" s="44" t="str">
        <f t="shared" ref="EQ225:EQ231" si="3506">IF(BK225="","","|n"&amp;EQ$2&amp;"+"&amp;BK225&amp;EQ$1)</f>
        <v/>
      </c>
      <c r="ER225" s="44" t="str">
        <f t="shared" ref="ER225:ER231" si="3507">IF(BL225="","","|n"&amp;ER$2&amp;"+"&amp;BL225&amp;ER$1)</f>
        <v/>
      </c>
      <c r="ES225" s="44" t="str">
        <f t="shared" ref="ES225:ES231" si="3508">IF(BM225="","","|n"&amp;ES$2&amp;"+"&amp;BM225&amp;ES$1)</f>
        <v/>
      </c>
      <c r="ET225" s="44" t="str">
        <f t="shared" ref="ET225:ET231" si="3509">IF(BN225="","","|n"&amp;ET$2&amp;"+"&amp;BN225&amp;ET$1)</f>
        <v/>
      </c>
      <c r="EU225" s="44" t="str">
        <f t="shared" ref="EU225:EU231" si="3510">IF(BO225="","","|n"&amp;EU$2&amp;"+"&amp;BO225&amp;EU$1)</f>
        <v/>
      </c>
      <c r="EV225" s="44" t="str">
        <f t="shared" ref="EV225:EV231" si="3511">IF(BP225="","","|n"&amp;EV$2&amp;"+"&amp;BP225&amp;EV$1)</f>
        <v/>
      </c>
      <c r="EW225" s="44" t="str">
        <f t="shared" ref="EW225:EW231" si="3512">IF(BQ225="","","|n"&amp;EW$2&amp;"+"&amp;BQ225&amp;EW$1)</f>
        <v/>
      </c>
      <c r="EX225" s="44" t="str">
        <f t="shared" ref="EX225:EX231" si="3513">IF(BR225="","","|n"&amp;EX$2&amp;"+"&amp;BR225&amp;EX$1)</f>
        <v/>
      </c>
      <c r="EY225" s="44" t="str">
        <f t="shared" ref="EY225:EY231" si="3514">IF(BS225="","","|n"&amp;EY$2&amp;"+"&amp;BS225&amp;EY$1)</f>
        <v/>
      </c>
      <c r="EZ225" s="44" t="str">
        <f t="shared" ref="EZ225:EZ231" si="3515">IF(BT225="","","|n"&amp;EZ$2&amp;"+"&amp;BT225&amp;EZ$1)</f>
        <v/>
      </c>
      <c r="FA225" s="44" t="str">
        <f t="shared" ref="FA225:FA231" si="3516">IF(BU225="","","|n"&amp;FA$2&amp;"+"&amp;BU225&amp;FA$1)</f>
        <v/>
      </c>
      <c r="FB225" s="44" t="str">
        <f t="shared" ref="FB225:FB231" si="3517">IF(BV225="","","|n"&amp;FB$2&amp;"+"&amp;BV225&amp;FB$1)</f>
        <v/>
      </c>
      <c r="FC225" s="44" t="str">
        <f t="shared" ref="FC225:FC231" si="3518">IF(BW225="","","|n"&amp;FC$2&amp;"+"&amp;BW225&amp;FC$1)</f>
        <v/>
      </c>
      <c r="FD225" s="44" t="str">
        <f t="shared" ref="FD225:FD231" si="3519">IF(BX225="","","|n"&amp;FD$2&amp;"+"&amp;BX225&amp;FD$1)</f>
        <v/>
      </c>
      <c r="FE225" s="44" t="str">
        <f t="shared" ref="FE225:FE231" si="3520">IF(BY225="","","|n"&amp;FE$2&amp;"+"&amp;BY225&amp;FE$1)</f>
        <v/>
      </c>
      <c r="FF225" s="44" t="str">
        <f t="shared" ref="FF225:FF231" si="3521">IF(BZ225="","","|n"&amp;FF$2&amp;"+"&amp;BZ225&amp;FF$1)</f>
        <v/>
      </c>
      <c r="FG225" s="44" t="str">
        <f t="shared" ref="FG225:FG231" si="3522">IF(CA225="","","|n"&amp;FG$2&amp;"+"&amp;CA225&amp;FG$1)</f>
        <v/>
      </c>
      <c r="FH225" s="44" t="str">
        <f t="shared" ref="FH225:FH231" si="3523">IF(CB225="","","|n"&amp;FH$2&amp;"+"&amp;CB225&amp;FH$1)</f>
        <v/>
      </c>
      <c r="FI225" s="44" t="str">
        <f t="shared" ref="FI225:FI231" si="3524">IF(CC225="","","|n"&amp;FI$2&amp;"+"&amp;CC225&amp;FI$1)</f>
        <v/>
      </c>
      <c r="FJ225" s="44" t="str">
        <f t="shared" ref="FJ225:FJ231" si="3525">IF(CD225="","","|n"&amp;FJ$2&amp;"+"&amp;CD225&amp;FJ$1)</f>
        <v/>
      </c>
      <c r="FK225" s="44" t="str">
        <f t="shared" ref="FK225:FK231" si="3526">IF(CE225="","","|n"&amp;FK$2&amp;"+"&amp;CE225&amp;FK$1)</f>
        <v/>
      </c>
      <c r="FL225" s="44" t="str">
        <f t="shared" ref="FL225:FL231" si="3527">IF(CF225="","","|n"&amp;FL$2&amp;"+"&amp;CF225&amp;FL$1)</f>
        <v/>
      </c>
      <c r="FM225" s="44" t="str">
        <f t="shared" ref="FM225:FM231" si="3528">IF(CG225="","","|n"&amp;FM$2&amp;"+"&amp;CG225&amp;FM$1)</f>
        <v/>
      </c>
      <c r="FN225" s="44" t="str">
        <f t="shared" ref="FN225:FN231" si="3529">IF(CH225="","","|n"&amp;FN$2&amp;"+"&amp;CH225&amp;FN$1)</f>
        <v/>
      </c>
      <c r="FO225" s="44" t="str">
        <f t="shared" ref="FO225:FO231" si="3530">IF(CI225="","","|n"&amp;FO$2&amp;"+"&amp;CI225&amp;FO$1)</f>
        <v/>
      </c>
      <c r="FP225" s="44" t="str">
        <f t="shared" ref="FP225:FP231" si="3531">IF(CJ225="","","|n"&amp;FP$2&amp;"+"&amp;CJ225&amp;FP$1)</f>
        <v/>
      </c>
      <c r="FQ225" s="44" t="str">
        <f t="shared" ref="FQ225:FQ231" si="3532">IF(CK225="","","|n"&amp;FQ$2&amp;"+"&amp;CK225&amp;FQ$1)</f>
        <v/>
      </c>
      <c r="FR225" s="44" t="str">
        <f t="shared" ref="FR225:FR231" si="3533">IF(CL225="","","|n"&amp;FR$2&amp;"+"&amp;CL225&amp;FR$1)</f>
        <v/>
      </c>
      <c r="FS225" s="44" t="str">
        <f t="shared" ref="FS225:FS231" si="3534">IF(CM225="","","|n"&amp;FS$2&amp;"+"&amp;CM225&amp;FS$1)</f>
        <v/>
      </c>
    </row>
    <row r="226" ht="14.4" spans="1:175">
      <c r="A226" s="78"/>
      <c r="B226" s="8" t="s">
        <v>739</v>
      </c>
      <c r="C226" s="109" t="str">
        <f t="shared" ref="C226:C233" si="3535">"已领取"&amp;C217</f>
        <v>已领取入群礼包</v>
      </c>
      <c r="T226" s="109" t="s">
        <v>740</v>
      </c>
      <c r="U226" s="3" t="s">
        <v>738</v>
      </c>
      <c r="CN226" s="13" t="str">
        <f t="shared" ref="CN226:CN233" si="3536">"InitUnitState('"&amp;B226&amp;"',"&amp;V226&amp;","&amp;W226&amp;","&amp;X226&amp;","&amp;Y226&amp;","&amp;Z226&amp;","&amp;AA226&amp;","&amp;AB226&amp;","&amp;AC226&amp;","&amp;AD226&amp;","&amp;AE226&amp;")"</f>
        <v>InitUnitState('IB52',,,,,,,,,,)</v>
      </c>
      <c r="CO226" s="13" t="str">
        <f t="shared" ref="CO226:CO233" si="3537">"InitUnitNormal('"&amp;B226&amp;"',"&amp;AF226&amp;","&amp;AG226&amp;","&amp;AH226&amp;","&amp;AI226&amp;","&amp;AJ226&amp;","&amp;AK226&amp;","&amp;AL226&amp;","&amp;AM226&amp;","&amp;AN226&amp;","&amp;AO226&amp;")"</f>
        <v>InitUnitNormal('IB52',,,,,,,,,,)</v>
      </c>
      <c r="CP226" s="13" t="str">
        <f t="shared" ref="CP226:CP233" si="3538">"InitUnitMagic('"&amp;B226&amp;"',"&amp;AP226&amp;","&amp;AQ226&amp;","&amp;AR226&amp;","&amp;AS226&amp;","&amp;AT226&amp;","&amp;AU226&amp;","&amp;AV226&amp;","&amp;AW226&amp;","&amp;BI226&amp;","&amp;BJ226&amp;")"</f>
        <v>InitUnitMagic('IB52',,,,,,,,,,)</v>
      </c>
      <c r="CQ226" s="13" t="str">
        <f t="shared" ref="CQ226:CQ233" si="3539">"InitUnitAdd('"&amp;B226&amp;"',"&amp;BK226&amp;","&amp;BL226&amp;","&amp;BM226&amp;","&amp;BN226&amp;","&amp;BO226&amp;","&amp;BP226&amp;","&amp;BQ226&amp;","&amp;BR226&amp;","&amp;BS226&amp;","&amp;BT226&amp;")"</f>
        <v>InitUnitAdd('IB52',,,,,,,,,,)</v>
      </c>
      <c r="CR226" s="13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InitEquipData('IB52',,"",,,,,'','','','','','',"ReplaceableTextures\\commandButtons\\BTNLBUI01.blp")</v>
      </c>
      <c r="CU226" s="72" t="str">
        <f t="shared" si="3463"/>
        <v>|n</v>
      </c>
      <c r="CV226" s="6" t="str">
        <f t="shared" si="3464"/>
        <v>加入《|cff00ffcc全民封神|r》官方QQ群，即可获得入群礼包码！|n|n输入礼包码即可获得：|n|cffffcc33金币+2000|n每秒攻击+2|n每秒业力+1|r</v>
      </c>
      <c r="CW226" s="7"/>
      <c r="CX226" s="7"/>
      <c r="CY226" s="7"/>
      <c r="CZ226" s="7"/>
      <c r="DA226" s="7"/>
      <c r="DB226" s="44" t="str">
        <f t="shared" si="3465"/>
        <v/>
      </c>
      <c r="DC226" s="44" t="str">
        <f t="shared" si="3466"/>
        <v/>
      </c>
      <c r="DD226" s="44" t="str">
        <f t="shared" si="3467"/>
        <v/>
      </c>
      <c r="DE226" s="44" t="str">
        <f t="shared" si="3468"/>
        <v/>
      </c>
      <c r="DF226" s="44" t="str">
        <f t="shared" si="3469"/>
        <v/>
      </c>
      <c r="DG226" s="44" t="str">
        <f t="shared" si="3470"/>
        <v/>
      </c>
      <c r="DH226" s="44" t="str">
        <f t="shared" si="3471"/>
        <v/>
      </c>
      <c r="DI226" s="44" t="str">
        <f t="shared" si="3472"/>
        <v/>
      </c>
      <c r="DJ226" s="44" t="str">
        <f t="shared" si="3473"/>
        <v/>
      </c>
      <c r="DK226" s="44" t="str">
        <f t="shared" si="3474"/>
        <v/>
      </c>
      <c r="DL226" s="44" t="str">
        <f t="shared" si="3475"/>
        <v/>
      </c>
      <c r="DM226" s="44" t="str">
        <f t="shared" si="3476"/>
        <v/>
      </c>
      <c r="DN226" s="44" t="str">
        <f t="shared" si="3477"/>
        <v/>
      </c>
      <c r="DO226" s="44" t="str">
        <f t="shared" si="3478"/>
        <v/>
      </c>
      <c r="DP226" s="44" t="str">
        <f t="shared" si="3479"/>
        <v/>
      </c>
      <c r="DQ226" s="44" t="str">
        <f t="shared" si="3480"/>
        <v/>
      </c>
      <c r="DR226" s="44" t="str">
        <f t="shared" si="3481"/>
        <v/>
      </c>
      <c r="DS226" s="44" t="str">
        <f t="shared" si="3482"/>
        <v/>
      </c>
      <c r="DT226" s="44" t="str">
        <f t="shared" si="3483"/>
        <v/>
      </c>
      <c r="DU226" s="44" t="str">
        <f t="shared" si="3484"/>
        <v/>
      </c>
      <c r="DV226" s="44" t="str">
        <f t="shared" si="3485"/>
        <v/>
      </c>
      <c r="DW226" s="44" t="str">
        <f t="shared" si="3486"/>
        <v/>
      </c>
      <c r="DX226" s="44" t="str">
        <f t="shared" si="3487"/>
        <v/>
      </c>
      <c r="DY226" s="44" t="str">
        <f t="shared" si="3488"/>
        <v/>
      </c>
      <c r="DZ226" s="44" t="str">
        <f t="shared" si="3489"/>
        <v/>
      </c>
      <c r="EA226" s="44" t="str">
        <f t="shared" si="3490"/>
        <v/>
      </c>
      <c r="EB226" s="44" t="str">
        <f t="shared" si="3491"/>
        <v/>
      </c>
      <c r="EC226" s="44" t="str">
        <f t="shared" si="3492"/>
        <v/>
      </c>
      <c r="ED226" s="44" t="str">
        <f t="shared" si="3493"/>
        <v/>
      </c>
      <c r="EE226" s="44" t="str">
        <f t="shared" si="3494"/>
        <v/>
      </c>
      <c r="EF226" s="44" t="str">
        <f t="shared" si="3495"/>
        <v/>
      </c>
      <c r="EG226" s="44" t="str">
        <f t="shared" si="3496"/>
        <v/>
      </c>
      <c r="EH226" s="44" t="str">
        <f t="shared" si="3497"/>
        <v/>
      </c>
      <c r="EI226" s="44" t="str">
        <f t="shared" si="3498"/>
        <v/>
      </c>
      <c r="EJ226" s="44" t="str">
        <f t="shared" si="3499"/>
        <v/>
      </c>
      <c r="EK226" s="44" t="str">
        <f t="shared" si="3500"/>
        <v/>
      </c>
      <c r="EL226" s="44" t="str">
        <f t="shared" si="3501"/>
        <v/>
      </c>
      <c r="EM226" s="44" t="str">
        <f t="shared" si="3502"/>
        <v/>
      </c>
      <c r="EN226" s="44" t="str">
        <f t="shared" si="3503"/>
        <v/>
      </c>
      <c r="EO226" s="44" t="str">
        <f t="shared" si="3504"/>
        <v/>
      </c>
      <c r="EP226" s="44" t="str">
        <f t="shared" si="3505"/>
        <v/>
      </c>
      <c r="EQ226" s="44" t="str">
        <f t="shared" si="3506"/>
        <v/>
      </c>
      <c r="ER226" s="44" t="str">
        <f t="shared" si="3507"/>
        <v/>
      </c>
      <c r="ES226" s="44" t="str">
        <f t="shared" si="3508"/>
        <v/>
      </c>
      <c r="ET226" s="44" t="str">
        <f t="shared" si="3509"/>
        <v/>
      </c>
      <c r="EU226" s="44" t="str">
        <f t="shared" si="3510"/>
        <v/>
      </c>
      <c r="EV226" s="44" t="str">
        <f t="shared" si="3511"/>
        <v/>
      </c>
      <c r="EW226" s="44" t="str">
        <f t="shared" si="3512"/>
        <v/>
      </c>
      <c r="EX226" s="44" t="str">
        <f t="shared" si="3513"/>
        <v/>
      </c>
      <c r="EY226" s="44" t="str">
        <f t="shared" si="3514"/>
        <v/>
      </c>
      <c r="EZ226" s="44" t="str">
        <f t="shared" si="3515"/>
        <v/>
      </c>
      <c r="FA226" s="44" t="str">
        <f t="shared" si="3516"/>
        <v/>
      </c>
      <c r="FB226" s="44" t="str">
        <f t="shared" si="3517"/>
        <v/>
      </c>
      <c r="FC226" s="44" t="str">
        <f t="shared" si="3518"/>
        <v/>
      </c>
      <c r="FD226" s="44" t="str">
        <f t="shared" si="3519"/>
        <v/>
      </c>
      <c r="FE226" s="44" t="str">
        <f t="shared" si="3520"/>
        <v/>
      </c>
      <c r="FF226" s="44" t="str">
        <f t="shared" si="3521"/>
        <v/>
      </c>
      <c r="FG226" s="44" t="str">
        <f t="shared" si="3522"/>
        <v/>
      </c>
      <c r="FH226" s="44" t="str">
        <f t="shared" si="3523"/>
        <v/>
      </c>
      <c r="FI226" s="44" t="str">
        <f t="shared" si="3524"/>
        <v/>
      </c>
      <c r="FJ226" s="44" t="str">
        <f t="shared" si="3525"/>
        <v/>
      </c>
      <c r="FK226" s="44" t="str">
        <f t="shared" si="3526"/>
        <v/>
      </c>
      <c r="FL226" s="44" t="str">
        <f t="shared" si="3527"/>
        <v/>
      </c>
      <c r="FM226" s="44" t="str">
        <f t="shared" si="3528"/>
        <v/>
      </c>
      <c r="FN226" s="44" t="str">
        <f t="shared" si="3529"/>
        <v/>
      </c>
      <c r="FO226" s="44" t="str">
        <f t="shared" si="3530"/>
        <v/>
      </c>
      <c r="FP226" s="44" t="str">
        <f t="shared" si="3531"/>
        <v/>
      </c>
      <c r="FQ226" s="44" t="str">
        <f t="shared" si="3532"/>
        <v/>
      </c>
      <c r="FR226" s="44" t="str">
        <f t="shared" si="3533"/>
        <v/>
      </c>
      <c r="FS226" s="44" t="str">
        <f t="shared" si="3534"/>
        <v/>
      </c>
    </row>
    <row r="227" ht="14.4" spans="1:175">
      <c r="A227" s="78"/>
      <c r="B227" s="8" t="s">
        <v>741</v>
      </c>
      <c r="C227" s="109" t="str">
        <f t="shared" si="3535"/>
        <v>已领取拜年礼包</v>
      </c>
      <c r="T227" s="109" t="s">
        <v>742</v>
      </c>
      <c r="U227" s="3" t="s">
        <v>738</v>
      </c>
      <c r="CN227" s="13" t="str">
        <f t="shared" si="3536"/>
        <v>InitUnitState('IB53',,,,,,,,,,)</v>
      </c>
      <c r="CO227" s="13" t="str">
        <f t="shared" si="3537"/>
        <v>InitUnitNormal('IB53',,,,,,,,,,)</v>
      </c>
      <c r="CP227" s="13" t="str">
        <f t="shared" si="3538"/>
        <v>InitUnitMagic('IB53',,,,,,,,,,)</v>
      </c>
      <c r="CQ227" s="13" t="str">
        <f t="shared" si="3539"/>
        <v>InitUnitAdd('IB53',,,,,,,,,,)</v>
      </c>
      <c r="CR227" s="13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InitEquipData('IB53',,"",,,,,'','','','','','',"ReplaceableTextures\\commandButtons\\BTNLBUI01.blp")</v>
      </c>
      <c r="CU227" s="72" t="str">
        <f t="shared" si="3463"/>
        <v>|n</v>
      </c>
      <c r="CV227" s="6" t="str">
        <f t="shared" si="3464"/>
        <v>|cff99ccff给与地图有效评论建议|r即可领取：|n|cffffff00杀敌生命+5|n杀敌业力+1|n|r|cffffcc33每级通行证永久增加3点杀敌生命奖励！|n|n|r|cff808080地图等级达到3级可领取|r</v>
      </c>
      <c r="CW227" s="7"/>
      <c r="CX227" s="7"/>
      <c r="CY227" s="7"/>
      <c r="CZ227" s="7"/>
      <c r="DA227" s="7"/>
      <c r="DB227" s="44" t="str">
        <f t="shared" si="3465"/>
        <v/>
      </c>
      <c r="DC227" s="44" t="str">
        <f t="shared" si="3466"/>
        <v/>
      </c>
      <c r="DD227" s="44" t="str">
        <f t="shared" si="3467"/>
        <v/>
      </c>
      <c r="DE227" s="44" t="str">
        <f t="shared" si="3468"/>
        <v/>
      </c>
      <c r="DF227" s="44" t="str">
        <f t="shared" si="3469"/>
        <v/>
      </c>
      <c r="DG227" s="44" t="str">
        <f t="shared" si="3470"/>
        <v/>
      </c>
      <c r="DH227" s="44" t="str">
        <f t="shared" si="3471"/>
        <v/>
      </c>
      <c r="DI227" s="44" t="str">
        <f t="shared" si="3472"/>
        <v/>
      </c>
      <c r="DJ227" s="44" t="str">
        <f t="shared" si="3473"/>
        <v/>
      </c>
      <c r="DK227" s="44" t="str">
        <f t="shared" si="3474"/>
        <v/>
      </c>
      <c r="DL227" s="44" t="str">
        <f t="shared" si="3475"/>
        <v/>
      </c>
      <c r="DM227" s="44" t="str">
        <f t="shared" si="3476"/>
        <v/>
      </c>
      <c r="DN227" s="44" t="str">
        <f t="shared" si="3477"/>
        <v/>
      </c>
      <c r="DO227" s="44" t="str">
        <f t="shared" si="3478"/>
        <v/>
      </c>
      <c r="DP227" s="44" t="str">
        <f t="shared" si="3479"/>
        <v/>
      </c>
      <c r="DQ227" s="44" t="str">
        <f t="shared" si="3480"/>
        <v/>
      </c>
      <c r="DR227" s="44" t="str">
        <f t="shared" si="3481"/>
        <v/>
      </c>
      <c r="DS227" s="44" t="str">
        <f t="shared" si="3482"/>
        <v/>
      </c>
      <c r="DT227" s="44" t="str">
        <f t="shared" si="3483"/>
        <v/>
      </c>
      <c r="DU227" s="44" t="str">
        <f t="shared" si="3484"/>
        <v/>
      </c>
      <c r="DV227" s="44" t="str">
        <f t="shared" si="3485"/>
        <v/>
      </c>
      <c r="DW227" s="44" t="str">
        <f t="shared" si="3486"/>
        <v/>
      </c>
      <c r="DX227" s="44" t="str">
        <f t="shared" si="3487"/>
        <v/>
      </c>
      <c r="DY227" s="44" t="str">
        <f t="shared" si="3488"/>
        <v/>
      </c>
      <c r="DZ227" s="44" t="str">
        <f t="shared" si="3489"/>
        <v/>
      </c>
      <c r="EA227" s="44" t="str">
        <f t="shared" si="3490"/>
        <v/>
      </c>
      <c r="EB227" s="44" t="str">
        <f t="shared" si="3491"/>
        <v/>
      </c>
      <c r="EC227" s="44" t="str">
        <f t="shared" si="3492"/>
        <v/>
      </c>
      <c r="ED227" s="44" t="str">
        <f t="shared" si="3493"/>
        <v/>
      </c>
      <c r="EE227" s="44" t="str">
        <f t="shared" si="3494"/>
        <v/>
      </c>
      <c r="EF227" s="44" t="str">
        <f t="shared" si="3495"/>
        <v/>
      </c>
      <c r="EG227" s="44" t="str">
        <f t="shared" si="3496"/>
        <v/>
      </c>
      <c r="EH227" s="44" t="str">
        <f t="shared" si="3497"/>
        <v/>
      </c>
      <c r="EI227" s="44" t="str">
        <f t="shared" si="3498"/>
        <v/>
      </c>
      <c r="EJ227" s="44" t="str">
        <f t="shared" si="3499"/>
        <v/>
      </c>
      <c r="EK227" s="44" t="str">
        <f t="shared" si="3500"/>
        <v/>
      </c>
      <c r="EL227" s="44" t="str">
        <f t="shared" si="3501"/>
        <v/>
      </c>
      <c r="EM227" s="44" t="str">
        <f t="shared" si="3502"/>
        <v/>
      </c>
      <c r="EN227" s="44" t="str">
        <f t="shared" si="3503"/>
        <v/>
      </c>
      <c r="EO227" s="44" t="str">
        <f t="shared" si="3504"/>
        <v/>
      </c>
      <c r="EP227" s="44" t="str">
        <f t="shared" si="3505"/>
        <v/>
      </c>
      <c r="EQ227" s="44" t="str">
        <f t="shared" si="3506"/>
        <v/>
      </c>
      <c r="ER227" s="44" t="str">
        <f t="shared" si="3507"/>
        <v/>
      </c>
      <c r="ES227" s="44" t="str">
        <f t="shared" si="3508"/>
        <v/>
      </c>
      <c r="ET227" s="44" t="str">
        <f t="shared" si="3509"/>
        <v/>
      </c>
      <c r="EU227" s="44" t="str">
        <f t="shared" si="3510"/>
        <v/>
      </c>
      <c r="EV227" s="44" t="str">
        <f t="shared" si="3511"/>
        <v/>
      </c>
      <c r="EW227" s="44" t="str">
        <f t="shared" si="3512"/>
        <v/>
      </c>
      <c r="EX227" s="44" t="str">
        <f t="shared" si="3513"/>
        <v/>
      </c>
      <c r="EY227" s="44" t="str">
        <f t="shared" si="3514"/>
        <v/>
      </c>
      <c r="EZ227" s="44" t="str">
        <f t="shared" si="3515"/>
        <v/>
      </c>
      <c r="FA227" s="44" t="str">
        <f t="shared" si="3516"/>
        <v/>
      </c>
      <c r="FB227" s="44" t="str">
        <f t="shared" si="3517"/>
        <v/>
      </c>
      <c r="FC227" s="44" t="str">
        <f t="shared" si="3518"/>
        <v/>
      </c>
      <c r="FD227" s="44" t="str">
        <f t="shared" si="3519"/>
        <v/>
      </c>
      <c r="FE227" s="44" t="str">
        <f t="shared" si="3520"/>
        <v/>
      </c>
      <c r="FF227" s="44" t="str">
        <f t="shared" si="3521"/>
        <v/>
      </c>
      <c r="FG227" s="44" t="str">
        <f t="shared" si="3522"/>
        <v/>
      </c>
      <c r="FH227" s="44" t="str">
        <f t="shared" si="3523"/>
        <v/>
      </c>
      <c r="FI227" s="44" t="str">
        <f t="shared" si="3524"/>
        <v/>
      </c>
      <c r="FJ227" s="44" t="str">
        <f t="shared" si="3525"/>
        <v/>
      </c>
      <c r="FK227" s="44" t="str">
        <f t="shared" si="3526"/>
        <v/>
      </c>
      <c r="FL227" s="44" t="str">
        <f t="shared" si="3527"/>
        <v/>
      </c>
      <c r="FM227" s="44" t="str">
        <f t="shared" si="3528"/>
        <v/>
      </c>
      <c r="FN227" s="44" t="str">
        <f t="shared" si="3529"/>
        <v/>
      </c>
      <c r="FO227" s="44" t="str">
        <f t="shared" si="3530"/>
        <v/>
      </c>
      <c r="FP227" s="44" t="str">
        <f t="shared" si="3531"/>
        <v/>
      </c>
      <c r="FQ227" s="44" t="str">
        <f t="shared" si="3532"/>
        <v/>
      </c>
      <c r="FR227" s="44" t="str">
        <f t="shared" si="3533"/>
        <v/>
      </c>
      <c r="FS227" s="44" t="str">
        <f t="shared" si="3534"/>
        <v/>
      </c>
    </row>
    <row r="228" ht="14.4" spans="1:175">
      <c r="A228" s="78"/>
      <c r="B228" s="8" t="s">
        <v>743</v>
      </c>
      <c r="C228" s="109" t="str">
        <f t="shared" si="3535"/>
        <v>已领取收藏礼包</v>
      </c>
      <c r="T228" s="109" t="s">
        <v>744</v>
      </c>
      <c r="U228" s="3" t="s">
        <v>738</v>
      </c>
      <c r="CN228" s="13" t="str">
        <f t="shared" si="3536"/>
        <v>InitUnitState('IB54',,,,,,,,,,)</v>
      </c>
      <c r="CO228" s="13" t="str">
        <f t="shared" si="3537"/>
        <v>InitUnitNormal('IB54',,,,,,,,,,)</v>
      </c>
      <c r="CP228" s="13" t="str">
        <f t="shared" si="3538"/>
        <v>InitUnitMagic('IB54',,,,,,,,,,)</v>
      </c>
      <c r="CQ228" s="13" t="str">
        <f t="shared" si="3539"/>
        <v>InitUnitAdd('IB54',,,,,,,,,,)</v>
      </c>
      <c r="CR228" s="13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InitEquipData('IB54',,"",,,,,'','','','','','',"ReplaceableTextures\\commandButtons\\BTNLBUI01.blp")</v>
      </c>
      <c r="CU228" s="72" t="str">
        <f t="shared" si="3463"/>
        <v>|n</v>
      </c>
      <c r="CV228" s="6" t="str">
        <f t="shared" si="3464"/>
        <v>|cff99ccff房间大厅界面点击右上角《|r|cffcc99ff收藏|r|cff99ccff》后可领取该礼包。|n|n|r属性：|n|cffffcc33物理伤害+5%|n法术伤害+5%|r</v>
      </c>
      <c r="CW228" s="7"/>
      <c r="CX228" s="7"/>
      <c r="CY228" s="7"/>
      <c r="CZ228" s="7"/>
      <c r="DA228" s="7"/>
      <c r="DB228" s="44" t="str">
        <f t="shared" si="3465"/>
        <v/>
      </c>
      <c r="DC228" s="44" t="str">
        <f t="shared" si="3466"/>
        <v/>
      </c>
      <c r="DD228" s="44" t="str">
        <f t="shared" si="3467"/>
        <v/>
      </c>
      <c r="DE228" s="44" t="str">
        <f t="shared" si="3468"/>
        <v/>
      </c>
      <c r="DF228" s="44" t="str">
        <f t="shared" si="3469"/>
        <v/>
      </c>
      <c r="DG228" s="44" t="str">
        <f t="shared" si="3470"/>
        <v/>
      </c>
      <c r="DH228" s="44" t="str">
        <f t="shared" si="3471"/>
        <v/>
      </c>
      <c r="DI228" s="44" t="str">
        <f t="shared" si="3472"/>
        <v/>
      </c>
      <c r="DJ228" s="44" t="str">
        <f t="shared" si="3473"/>
        <v/>
      </c>
      <c r="DK228" s="44" t="str">
        <f t="shared" si="3474"/>
        <v/>
      </c>
      <c r="DL228" s="44" t="str">
        <f t="shared" si="3475"/>
        <v/>
      </c>
      <c r="DM228" s="44" t="str">
        <f t="shared" si="3476"/>
        <v/>
      </c>
      <c r="DN228" s="44" t="str">
        <f t="shared" si="3477"/>
        <v/>
      </c>
      <c r="DO228" s="44" t="str">
        <f t="shared" si="3478"/>
        <v/>
      </c>
      <c r="DP228" s="44" t="str">
        <f t="shared" si="3479"/>
        <v/>
      </c>
      <c r="DQ228" s="44" t="str">
        <f t="shared" si="3480"/>
        <v/>
      </c>
      <c r="DR228" s="44" t="str">
        <f t="shared" si="3481"/>
        <v/>
      </c>
      <c r="DS228" s="44" t="str">
        <f t="shared" si="3482"/>
        <v/>
      </c>
      <c r="DT228" s="44" t="str">
        <f t="shared" si="3483"/>
        <v/>
      </c>
      <c r="DU228" s="44" t="str">
        <f t="shared" si="3484"/>
        <v/>
      </c>
      <c r="DV228" s="44" t="str">
        <f t="shared" si="3485"/>
        <v/>
      </c>
      <c r="DW228" s="44" t="str">
        <f t="shared" si="3486"/>
        <v/>
      </c>
      <c r="DX228" s="44" t="str">
        <f t="shared" si="3487"/>
        <v/>
      </c>
      <c r="DY228" s="44" t="str">
        <f t="shared" si="3488"/>
        <v/>
      </c>
      <c r="DZ228" s="44" t="str">
        <f t="shared" si="3489"/>
        <v/>
      </c>
      <c r="EA228" s="44" t="str">
        <f t="shared" si="3490"/>
        <v/>
      </c>
      <c r="EB228" s="44" t="str">
        <f t="shared" si="3491"/>
        <v/>
      </c>
      <c r="EC228" s="44" t="str">
        <f t="shared" si="3492"/>
        <v/>
      </c>
      <c r="ED228" s="44" t="str">
        <f t="shared" si="3493"/>
        <v/>
      </c>
      <c r="EE228" s="44" t="str">
        <f t="shared" si="3494"/>
        <v/>
      </c>
      <c r="EF228" s="44" t="str">
        <f t="shared" si="3495"/>
        <v/>
      </c>
      <c r="EG228" s="44" t="str">
        <f t="shared" si="3496"/>
        <v/>
      </c>
      <c r="EH228" s="44" t="str">
        <f t="shared" si="3497"/>
        <v/>
      </c>
      <c r="EI228" s="44" t="str">
        <f t="shared" si="3498"/>
        <v/>
      </c>
      <c r="EJ228" s="44" t="str">
        <f t="shared" si="3499"/>
        <v/>
      </c>
      <c r="EK228" s="44" t="str">
        <f t="shared" si="3500"/>
        <v/>
      </c>
      <c r="EL228" s="44" t="str">
        <f t="shared" si="3501"/>
        <v/>
      </c>
      <c r="EM228" s="44" t="str">
        <f t="shared" si="3502"/>
        <v/>
      </c>
      <c r="EN228" s="44" t="str">
        <f t="shared" si="3503"/>
        <v/>
      </c>
      <c r="EO228" s="44" t="str">
        <f t="shared" si="3504"/>
        <v/>
      </c>
      <c r="EP228" s="44" t="str">
        <f t="shared" si="3505"/>
        <v/>
      </c>
      <c r="EQ228" s="44" t="str">
        <f t="shared" si="3506"/>
        <v/>
      </c>
      <c r="ER228" s="44" t="str">
        <f t="shared" si="3507"/>
        <v/>
      </c>
      <c r="ES228" s="44" t="str">
        <f t="shared" si="3508"/>
        <v/>
      </c>
      <c r="ET228" s="44" t="str">
        <f t="shared" si="3509"/>
        <v/>
      </c>
      <c r="EU228" s="44" t="str">
        <f t="shared" si="3510"/>
        <v/>
      </c>
      <c r="EV228" s="44" t="str">
        <f t="shared" si="3511"/>
        <v/>
      </c>
      <c r="EW228" s="44" t="str">
        <f t="shared" si="3512"/>
        <v/>
      </c>
      <c r="EX228" s="44" t="str">
        <f t="shared" si="3513"/>
        <v/>
      </c>
      <c r="EY228" s="44" t="str">
        <f t="shared" si="3514"/>
        <v/>
      </c>
      <c r="EZ228" s="44" t="str">
        <f t="shared" si="3515"/>
        <v/>
      </c>
      <c r="FA228" s="44" t="str">
        <f t="shared" si="3516"/>
        <v/>
      </c>
      <c r="FB228" s="44" t="str">
        <f t="shared" si="3517"/>
        <v/>
      </c>
      <c r="FC228" s="44" t="str">
        <f t="shared" si="3518"/>
        <v/>
      </c>
      <c r="FD228" s="44" t="str">
        <f t="shared" si="3519"/>
        <v/>
      </c>
      <c r="FE228" s="44" t="str">
        <f t="shared" si="3520"/>
        <v/>
      </c>
      <c r="FF228" s="44" t="str">
        <f t="shared" si="3521"/>
        <v/>
      </c>
      <c r="FG228" s="44" t="str">
        <f t="shared" si="3522"/>
        <v/>
      </c>
      <c r="FH228" s="44" t="str">
        <f t="shared" si="3523"/>
        <v/>
      </c>
      <c r="FI228" s="44" t="str">
        <f t="shared" si="3524"/>
        <v/>
      </c>
      <c r="FJ228" s="44" t="str">
        <f t="shared" si="3525"/>
        <v/>
      </c>
      <c r="FK228" s="44" t="str">
        <f t="shared" si="3526"/>
        <v/>
      </c>
      <c r="FL228" s="44" t="str">
        <f t="shared" si="3527"/>
        <v/>
      </c>
      <c r="FM228" s="44" t="str">
        <f t="shared" si="3528"/>
        <v/>
      </c>
      <c r="FN228" s="44" t="str">
        <f t="shared" si="3529"/>
        <v/>
      </c>
      <c r="FO228" s="44" t="str">
        <f t="shared" si="3530"/>
        <v/>
      </c>
      <c r="FP228" s="44" t="str">
        <f t="shared" si="3531"/>
        <v/>
      </c>
      <c r="FQ228" s="44" t="str">
        <f t="shared" si="3532"/>
        <v/>
      </c>
      <c r="FR228" s="44" t="str">
        <f t="shared" si="3533"/>
        <v/>
      </c>
      <c r="FS228" s="44" t="str">
        <f t="shared" si="3534"/>
        <v/>
      </c>
    </row>
    <row r="229" ht="14.4" spans="1:175">
      <c r="A229" s="78"/>
      <c r="B229" s="8" t="s">
        <v>745</v>
      </c>
      <c r="C229" s="109" t="str">
        <f t="shared" si="3535"/>
        <v>已领取重置版礼包</v>
      </c>
      <c r="T229" s="109" t="s">
        <v>724</v>
      </c>
      <c r="U229" s="3" t="s">
        <v>738</v>
      </c>
      <c r="CN229" s="13" t="str">
        <f t="shared" si="3536"/>
        <v>InitUnitState('IB55',,,,,,,,,,)</v>
      </c>
      <c r="CO229" s="13" t="str">
        <f t="shared" si="3537"/>
        <v>InitUnitNormal('IB55',,,,,,,,,,)</v>
      </c>
      <c r="CP229" s="13" t="str">
        <f t="shared" si="3538"/>
        <v>InitUnitMagic('IB55',,,,,,,,,,)</v>
      </c>
      <c r="CQ229" s="13" t="str">
        <f t="shared" si="3539"/>
        <v>InitUnitAdd('IB55',,,,,,,,,,)</v>
      </c>
      <c r="CR229" s="13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247&amp;CR$1&amp;")"</f>
        <v>InitEquipData('IB55',,"",,,,,'','','','','','',"")</v>
      </c>
      <c r="CU229" s="72" t="str">
        <f t="shared" si="3463"/>
        <v>|n</v>
      </c>
      <c r="CV229" s="6" t="str">
        <f t="shared" si="3464"/>
        <v>|cff33ff00购买魔兽重制版可领取该礼包！|n|n|r属性：|n|cffffcc33高级聚宝盆|r</v>
      </c>
      <c r="CW229" s="7"/>
      <c r="CX229" s="7"/>
      <c r="CY229" s="7"/>
      <c r="CZ229" s="7"/>
      <c r="DA229" s="7"/>
      <c r="DB229" s="44" t="str">
        <f t="shared" si="3465"/>
        <v/>
      </c>
      <c r="DC229" s="44" t="str">
        <f t="shared" si="3466"/>
        <v/>
      </c>
      <c r="DD229" s="44" t="str">
        <f t="shared" si="3467"/>
        <v/>
      </c>
      <c r="DE229" s="44" t="str">
        <f t="shared" si="3468"/>
        <v/>
      </c>
      <c r="DF229" s="44" t="str">
        <f t="shared" si="3469"/>
        <v/>
      </c>
      <c r="DG229" s="44" t="str">
        <f t="shared" si="3470"/>
        <v/>
      </c>
      <c r="DH229" s="44" t="str">
        <f t="shared" si="3471"/>
        <v/>
      </c>
      <c r="DI229" s="44" t="str">
        <f t="shared" si="3472"/>
        <v/>
      </c>
      <c r="DJ229" s="44" t="str">
        <f t="shared" si="3473"/>
        <v/>
      </c>
      <c r="DK229" s="44" t="str">
        <f t="shared" si="3474"/>
        <v/>
      </c>
      <c r="DL229" s="44" t="str">
        <f t="shared" si="3475"/>
        <v/>
      </c>
      <c r="DM229" s="44" t="str">
        <f t="shared" si="3476"/>
        <v/>
      </c>
      <c r="DN229" s="44" t="str">
        <f t="shared" si="3477"/>
        <v/>
      </c>
      <c r="DO229" s="44" t="str">
        <f t="shared" si="3478"/>
        <v/>
      </c>
      <c r="DP229" s="44" t="str">
        <f t="shared" si="3479"/>
        <v/>
      </c>
      <c r="DQ229" s="44" t="str">
        <f t="shared" si="3480"/>
        <v/>
      </c>
      <c r="DR229" s="44" t="str">
        <f t="shared" si="3481"/>
        <v/>
      </c>
      <c r="DS229" s="44" t="str">
        <f t="shared" si="3482"/>
        <v/>
      </c>
      <c r="DT229" s="44" t="str">
        <f t="shared" si="3483"/>
        <v/>
      </c>
      <c r="DU229" s="44" t="str">
        <f t="shared" si="3484"/>
        <v/>
      </c>
      <c r="DV229" s="44" t="str">
        <f t="shared" si="3485"/>
        <v/>
      </c>
      <c r="DW229" s="44" t="str">
        <f t="shared" si="3486"/>
        <v/>
      </c>
      <c r="DX229" s="44" t="str">
        <f t="shared" si="3487"/>
        <v/>
      </c>
      <c r="DY229" s="44" t="str">
        <f t="shared" si="3488"/>
        <v/>
      </c>
      <c r="DZ229" s="44" t="str">
        <f t="shared" si="3489"/>
        <v/>
      </c>
      <c r="EA229" s="44" t="str">
        <f t="shared" si="3490"/>
        <v/>
      </c>
      <c r="EB229" s="44" t="str">
        <f t="shared" si="3491"/>
        <v/>
      </c>
      <c r="EC229" s="44" t="str">
        <f t="shared" si="3492"/>
        <v/>
      </c>
      <c r="ED229" s="44" t="str">
        <f t="shared" si="3493"/>
        <v/>
      </c>
      <c r="EE229" s="44" t="str">
        <f t="shared" si="3494"/>
        <v/>
      </c>
      <c r="EF229" s="44" t="str">
        <f t="shared" si="3495"/>
        <v/>
      </c>
      <c r="EG229" s="44" t="str">
        <f t="shared" si="3496"/>
        <v/>
      </c>
      <c r="EH229" s="44" t="str">
        <f t="shared" si="3497"/>
        <v/>
      </c>
      <c r="EI229" s="44" t="str">
        <f t="shared" si="3498"/>
        <v/>
      </c>
      <c r="EJ229" s="44" t="str">
        <f t="shared" si="3499"/>
        <v/>
      </c>
      <c r="EK229" s="44" t="str">
        <f t="shared" si="3500"/>
        <v/>
      </c>
      <c r="EL229" s="44" t="str">
        <f t="shared" si="3501"/>
        <v/>
      </c>
      <c r="EM229" s="44" t="str">
        <f t="shared" si="3502"/>
        <v/>
      </c>
      <c r="EN229" s="44" t="str">
        <f t="shared" si="3503"/>
        <v/>
      </c>
      <c r="EO229" s="44" t="str">
        <f t="shared" si="3504"/>
        <v/>
      </c>
      <c r="EP229" s="44" t="str">
        <f t="shared" si="3505"/>
        <v/>
      </c>
      <c r="EQ229" s="44" t="str">
        <f t="shared" si="3506"/>
        <v/>
      </c>
      <c r="ER229" s="44" t="str">
        <f t="shared" si="3507"/>
        <v/>
      </c>
      <c r="ES229" s="44" t="str">
        <f t="shared" si="3508"/>
        <v/>
      </c>
      <c r="ET229" s="44" t="str">
        <f t="shared" si="3509"/>
        <v/>
      </c>
      <c r="EU229" s="44" t="str">
        <f t="shared" si="3510"/>
        <v/>
      </c>
      <c r="EV229" s="44" t="str">
        <f t="shared" si="3511"/>
        <v/>
      </c>
      <c r="EW229" s="44" t="str">
        <f t="shared" si="3512"/>
        <v/>
      </c>
      <c r="EX229" s="44" t="str">
        <f t="shared" si="3513"/>
        <v/>
      </c>
      <c r="EY229" s="44" t="str">
        <f t="shared" si="3514"/>
        <v/>
      </c>
      <c r="EZ229" s="44" t="str">
        <f t="shared" si="3515"/>
        <v/>
      </c>
      <c r="FA229" s="44" t="str">
        <f t="shared" si="3516"/>
        <v/>
      </c>
      <c r="FB229" s="44" t="str">
        <f t="shared" si="3517"/>
        <v/>
      </c>
      <c r="FC229" s="44" t="str">
        <f t="shared" si="3518"/>
        <v/>
      </c>
      <c r="FD229" s="44" t="str">
        <f t="shared" si="3519"/>
        <v/>
      </c>
      <c r="FE229" s="44" t="str">
        <f t="shared" si="3520"/>
        <v/>
      </c>
      <c r="FF229" s="44" t="str">
        <f t="shared" si="3521"/>
        <v/>
      </c>
      <c r="FG229" s="44" t="str">
        <f t="shared" si="3522"/>
        <v/>
      </c>
      <c r="FH229" s="44" t="str">
        <f t="shared" si="3523"/>
        <v/>
      </c>
      <c r="FI229" s="44" t="str">
        <f t="shared" si="3524"/>
        <v/>
      </c>
      <c r="FJ229" s="44" t="str">
        <f t="shared" si="3525"/>
        <v/>
      </c>
      <c r="FK229" s="44" t="str">
        <f t="shared" si="3526"/>
        <v/>
      </c>
      <c r="FL229" s="44" t="str">
        <f t="shared" si="3527"/>
        <v/>
      </c>
      <c r="FM229" s="44" t="str">
        <f t="shared" si="3528"/>
        <v/>
      </c>
      <c r="FN229" s="44" t="str">
        <f t="shared" si="3529"/>
        <v/>
      </c>
      <c r="FO229" s="44" t="str">
        <f t="shared" si="3530"/>
        <v/>
      </c>
      <c r="FP229" s="44" t="str">
        <f t="shared" si="3531"/>
        <v/>
      </c>
      <c r="FQ229" s="44" t="str">
        <f t="shared" si="3532"/>
        <v/>
      </c>
      <c r="FR229" s="44" t="str">
        <f t="shared" si="3533"/>
        <v/>
      </c>
      <c r="FS229" s="44" t="str">
        <f t="shared" si="3534"/>
        <v/>
      </c>
    </row>
    <row r="230" ht="14.4" spans="1:175">
      <c r="A230" s="78"/>
      <c r="B230" s="8" t="s">
        <v>746</v>
      </c>
      <c r="C230" s="109" t="str">
        <f t="shared" si="3535"/>
        <v>已领取公会福利</v>
      </c>
      <c r="T230" s="109" t="s">
        <v>727</v>
      </c>
      <c r="U230" s="3" t="s">
        <v>738</v>
      </c>
      <c r="CN230" s="13" t="str">
        <f t="shared" si="3536"/>
        <v>InitUnitState('IB56',,,,,,,,,,)</v>
      </c>
      <c r="CO230" s="13" t="str">
        <f t="shared" si="3537"/>
        <v>InitUnitNormal('IB56',,,,,,,,,,)</v>
      </c>
      <c r="CP230" s="13" t="str">
        <f t="shared" si="3538"/>
        <v>InitUnitMagic('IB56',,,,,,,,,,)</v>
      </c>
      <c r="CQ230" s="13" t="str">
        <f t="shared" si="3539"/>
        <v>InitUnitAdd('IB56',,,,,,,,,,)</v>
      </c>
      <c r="CR230" s="13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InitEquipData('IB56',,"",,,,,'','','','','','',"ReplaceableTextures\\commandButtons\\BTNLBUI01.blp")</v>
      </c>
      <c r="CU230" s="72" t="str">
        <f t="shared" si="3463"/>
        <v>|n</v>
      </c>
      <c r="CV230" s="6" t="str">
        <f t="shared" si="3464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30" s="7"/>
      <c r="CX230" s="7"/>
      <c r="CY230" s="7"/>
      <c r="CZ230" s="7"/>
      <c r="DA230" s="7"/>
      <c r="DB230" s="44" t="str">
        <f t="shared" si="3465"/>
        <v/>
      </c>
      <c r="DC230" s="44" t="str">
        <f t="shared" si="3466"/>
        <v/>
      </c>
      <c r="DD230" s="44" t="str">
        <f t="shared" si="3467"/>
        <v/>
      </c>
      <c r="DE230" s="44" t="str">
        <f t="shared" si="3468"/>
        <v/>
      </c>
      <c r="DF230" s="44" t="str">
        <f t="shared" si="3469"/>
        <v/>
      </c>
      <c r="DG230" s="44" t="str">
        <f t="shared" si="3470"/>
        <v/>
      </c>
      <c r="DH230" s="44" t="str">
        <f t="shared" si="3471"/>
        <v/>
      </c>
      <c r="DI230" s="44" t="str">
        <f t="shared" si="3472"/>
        <v/>
      </c>
      <c r="DJ230" s="44" t="str">
        <f t="shared" si="3473"/>
        <v/>
      </c>
      <c r="DK230" s="44" t="str">
        <f t="shared" si="3474"/>
        <v/>
      </c>
      <c r="DL230" s="44" t="str">
        <f t="shared" si="3475"/>
        <v/>
      </c>
      <c r="DM230" s="44" t="str">
        <f t="shared" si="3476"/>
        <v/>
      </c>
      <c r="DN230" s="44" t="str">
        <f t="shared" si="3477"/>
        <v/>
      </c>
      <c r="DO230" s="44" t="str">
        <f t="shared" si="3478"/>
        <v/>
      </c>
      <c r="DP230" s="44" t="str">
        <f t="shared" si="3479"/>
        <v/>
      </c>
      <c r="DQ230" s="44" t="str">
        <f t="shared" si="3480"/>
        <v/>
      </c>
      <c r="DR230" s="44" t="str">
        <f t="shared" si="3481"/>
        <v/>
      </c>
      <c r="DS230" s="44" t="str">
        <f t="shared" si="3482"/>
        <v/>
      </c>
      <c r="DT230" s="44" t="str">
        <f t="shared" si="3483"/>
        <v/>
      </c>
      <c r="DU230" s="44" t="str">
        <f t="shared" si="3484"/>
        <v/>
      </c>
      <c r="DV230" s="44" t="str">
        <f t="shared" si="3485"/>
        <v/>
      </c>
      <c r="DW230" s="44" t="str">
        <f t="shared" si="3486"/>
        <v/>
      </c>
      <c r="DX230" s="44" t="str">
        <f t="shared" si="3487"/>
        <v/>
      </c>
      <c r="DY230" s="44" t="str">
        <f t="shared" si="3488"/>
        <v/>
      </c>
      <c r="DZ230" s="44" t="str">
        <f t="shared" si="3489"/>
        <v/>
      </c>
      <c r="EA230" s="44" t="str">
        <f t="shared" si="3490"/>
        <v/>
      </c>
      <c r="EB230" s="44" t="str">
        <f t="shared" si="3491"/>
        <v/>
      </c>
      <c r="EC230" s="44" t="str">
        <f t="shared" si="3492"/>
        <v/>
      </c>
      <c r="ED230" s="44" t="str">
        <f t="shared" si="3493"/>
        <v/>
      </c>
      <c r="EE230" s="44" t="str">
        <f t="shared" si="3494"/>
        <v/>
      </c>
      <c r="EF230" s="44" t="str">
        <f t="shared" si="3495"/>
        <v/>
      </c>
      <c r="EG230" s="44" t="str">
        <f t="shared" si="3496"/>
        <v/>
      </c>
      <c r="EH230" s="44" t="str">
        <f t="shared" si="3497"/>
        <v/>
      </c>
      <c r="EI230" s="44" t="str">
        <f t="shared" si="3498"/>
        <v/>
      </c>
      <c r="EJ230" s="44" t="str">
        <f t="shared" si="3499"/>
        <v/>
      </c>
      <c r="EK230" s="44" t="str">
        <f t="shared" si="3500"/>
        <v/>
      </c>
      <c r="EL230" s="44" t="str">
        <f t="shared" si="3501"/>
        <v/>
      </c>
      <c r="EM230" s="44" t="str">
        <f t="shared" si="3502"/>
        <v/>
      </c>
      <c r="EN230" s="44" t="str">
        <f t="shared" si="3503"/>
        <v/>
      </c>
      <c r="EO230" s="44" t="str">
        <f t="shared" si="3504"/>
        <v/>
      </c>
      <c r="EP230" s="44" t="str">
        <f t="shared" si="3505"/>
        <v/>
      </c>
      <c r="EQ230" s="44" t="str">
        <f t="shared" si="3506"/>
        <v/>
      </c>
      <c r="ER230" s="44" t="str">
        <f t="shared" si="3507"/>
        <v/>
      </c>
      <c r="ES230" s="44" t="str">
        <f t="shared" si="3508"/>
        <v/>
      </c>
      <c r="ET230" s="44" t="str">
        <f t="shared" si="3509"/>
        <v/>
      </c>
      <c r="EU230" s="44" t="str">
        <f t="shared" si="3510"/>
        <v/>
      </c>
      <c r="EV230" s="44" t="str">
        <f t="shared" si="3511"/>
        <v/>
      </c>
      <c r="EW230" s="44" t="str">
        <f t="shared" si="3512"/>
        <v/>
      </c>
      <c r="EX230" s="44" t="str">
        <f t="shared" si="3513"/>
        <v/>
      </c>
      <c r="EY230" s="44" t="str">
        <f t="shared" si="3514"/>
        <v/>
      </c>
      <c r="EZ230" s="44" t="str">
        <f t="shared" si="3515"/>
        <v/>
      </c>
      <c r="FA230" s="44" t="str">
        <f t="shared" si="3516"/>
        <v/>
      </c>
      <c r="FB230" s="44" t="str">
        <f t="shared" si="3517"/>
        <v/>
      </c>
      <c r="FC230" s="44" t="str">
        <f t="shared" si="3518"/>
        <v/>
      </c>
      <c r="FD230" s="44" t="str">
        <f t="shared" si="3519"/>
        <v/>
      </c>
      <c r="FE230" s="44" t="str">
        <f t="shared" si="3520"/>
        <v/>
      </c>
      <c r="FF230" s="44" t="str">
        <f t="shared" si="3521"/>
        <v/>
      </c>
      <c r="FG230" s="44" t="str">
        <f t="shared" si="3522"/>
        <v/>
      </c>
      <c r="FH230" s="44" t="str">
        <f t="shared" si="3523"/>
        <v/>
      </c>
      <c r="FI230" s="44" t="str">
        <f t="shared" si="3524"/>
        <v/>
      </c>
      <c r="FJ230" s="44" t="str">
        <f t="shared" si="3525"/>
        <v/>
      </c>
      <c r="FK230" s="44" t="str">
        <f t="shared" si="3526"/>
        <v/>
      </c>
      <c r="FL230" s="44" t="str">
        <f t="shared" si="3527"/>
        <v/>
      </c>
      <c r="FM230" s="44" t="str">
        <f t="shared" si="3528"/>
        <v/>
      </c>
      <c r="FN230" s="44" t="str">
        <f t="shared" si="3529"/>
        <v/>
      </c>
      <c r="FO230" s="44" t="str">
        <f t="shared" si="3530"/>
        <v/>
      </c>
      <c r="FP230" s="44" t="str">
        <f t="shared" si="3531"/>
        <v/>
      </c>
      <c r="FQ230" s="44" t="str">
        <f t="shared" si="3532"/>
        <v/>
      </c>
      <c r="FR230" s="44" t="str">
        <f t="shared" si="3533"/>
        <v/>
      </c>
      <c r="FS230" s="44" t="str">
        <f t="shared" si="3534"/>
        <v/>
      </c>
    </row>
    <row r="231" ht="14.4" spans="1:175">
      <c r="A231" s="78"/>
      <c r="B231" s="8" t="s">
        <v>747</v>
      </c>
      <c r="C231" s="109" t="str">
        <f t="shared" si="3535"/>
        <v>已领取星耀礼包</v>
      </c>
      <c r="T231" s="109" t="s">
        <v>748</v>
      </c>
      <c r="U231" s="3" t="s">
        <v>738</v>
      </c>
      <c r="CN231" s="13" t="str">
        <f t="shared" si="3536"/>
        <v>InitUnitState('IB57',,,,,,,,,,)</v>
      </c>
      <c r="CO231" s="13" t="str">
        <f t="shared" si="3537"/>
        <v>InitUnitNormal('IB57',,,,,,,,,,)</v>
      </c>
      <c r="CP231" s="13" t="str">
        <f t="shared" si="3538"/>
        <v>InitUnitMagic('IB57',,,,,,,,,,)</v>
      </c>
      <c r="CQ231" s="13" t="str">
        <f t="shared" si="3539"/>
        <v>InitUnitAdd('IB57',,,,,,,,,,)</v>
      </c>
      <c r="CR231" s="13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233&amp;CR$1&amp;")"</f>
        <v>InitEquipData('IB57',,"",,,,,'','','','','','',"ReplaceableTextures\\commandButtons\\BTNLBUI01.blp")</v>
      </c>
      <c r="CU231" s="72" t="str">
        <f t="shared" si="3463"/>
        <v>|n</v>
      </c>
      <c r="CV231" s="6" t="str">
        <f t="shared" si="3464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31" s="7"/>
      <c r="CX231" s="7"/>
      <c r="CY231" s="7"/>
      <c r="CZ231" s="7"/>
      <c r="DA231" s="7"/>
      <c r="DB231" s="44" t="str">
        <f t="shared" si="3465"/>
        <v/>
      </c>
      <c r="DC231" s="44" t="str">
        <f t="shared" si="3466"/>
        <v/>
      </c>
      <c r="DD231" s="44" t="str">
        <f t="shared" si="3467"/>
        <v/>
      </c>
      <c r="DE231" s="44" t="str">
        <f t="shared" si="3468"/>
        <v/>
      </c>
      <c r="DF231" s="44" t="str">
        <f t="shared" si="3469"/>
        <v/>
      </c>
      <c r="DG231" s="44" t="str">
        <f t="shared" si="3470"/>
        <v/>
      </c>
      <c r="DH231" s="44" t="str">
        <f t="shared" si="3471"/>
        <v/>
      </c>
      <c r="DI231" s="44" t="str">
        <f t="shared" si="3472"/>
        <v/>
      </c>
      <c r="DJ231" s="44" t="str">
        <f t="shared" si="3473"/>
        <v/>
      </c>
      <c r="DK231" s="44" t="str">
        <f t="shared" si="3474"/>
        <v/>
      </c>
      <c r="DL231" s="44" t="str">
        <f t="shared" si="3475"/>
        <v/>
      </c>
      <c r="DM231" s="44" t="str">
        <f t="shared" si="3476"/>
        <v/>
      </c>
      <c r="DN231" s="44" t="str">
        <f t="shared" si="3477"/>
        <v/>
      </c>
      <c r="DO231" s="44" t="str">
        <f t="shared" si="3478"/>
        <v/>
      </c>
      <c r="DP231" s="44" t="str">
        <f t="shared" si="3479"/>
        <v/>
      </c>
      <c r="DQ231" s="44" t="str">
        <f t="shared" si="3480"/>
        <v/>
      </c>
      <c r="DR231" s="44" t="str">
        <f t="shared" si="3481"/>
        <v/>
      </c>
      <c r="DS231" s="44" t="str">
        <f t="shared" si="3482"/>
        <v/>
      </c>
      <c r="DT231" s="44" t="str">
        <f t="shared" si="3483"/>
        <v/>
      </c>
      <c r="DU231" s="44" t="str">
        <f t="shared" si="3484"/>
        <v/>
      </c>
      <c r="DV231" s="44" t="str">
        <f t="shared" si="3485"/>
        <v/>
      </c>
      <c r="DW231" s="44" t="str">
        <f t="shared" si="3486"/>
        <v/>
      </c>
      <c r="DX231" s="44" t="str">
        <f t="shared" si="3487"/>
        <v/>
      </c>
      <c r="DY231" s="44" t="str">
        <f t="shared" si="3488"/>
        <v/>
      </c>
      <c r="DZ231" s="44" t="str">
        <f t="shared" si="3489"/>
        <v/>
      </c>
      <c r="EA231" s="44" t="str">
        <f t="shared" si="3490"/>
        <v/>
      </c>
      <c r="EB231" s="44" t="str">
        <f t="shared" si="3491"/>
        <v/>
      </c>
      <c r="EC231" s="44" t="str">
        <f t="shared" si="3492"/>
        <v/>
      </c>
      <c r="ED231" s="44" t="str">
        <f t="shared" si="3493"/>
        <v/>
      </c>
      <c r="EE231" s="44" t="str">
        <f t="shared" si="3494"/>
        <v/>
      </c>
      <c r="EF231" s="44" t="str">
        <f t="shared" si="3495"/>
        <v/>
      </c>
      <c r="EG231" s="44" t="str">
        <f t="shared" si="3496"/>
        <v/>
      </c>
      <c r="EH231" s="44" t="str">
        <f t="shared" si="3497"/>
        <v/>
      </c>
      <c r="EI231" s="44" t="str">
        <f t="shared" si="3498"/>
        <v/>
      </c>
      <c r="EJ231" s="44" t="str">
        <f t="shared" si="3499"/>
        <v/>
      </c>
      <c r="EK231" s="44" t="str">
        <f t="shared" si="3500"/>
        <v/>
      </c>
      <c r="EL231" s="44" t="str">
        <f t="shared" si="3501"/>
        <v/>
      </c>
      <c r="EM231" s="44" t="str">
        <f t="shared" si="3502"/>
        <v/>
      </c>
      <c r="EN231" s="44" t="str">
        <f t="shared" si="3503"/>
        <v/>
      </c>
      <c r="EO231" s="44" t="str">
        <f t="shared" si="3504"/>
        <v/>
      </c>
      <c r="EP231" s="44" t="str">
        <f t="shared" si="3505"/>
        <v/>
      </c>
      <c r="EQ231" s="44" t="str">
        <f t="shared" si="3506"/>
        <v/>
      </c>
      <c r="ER231" s="44" t="str">
        <f t="shared" si="3507"/>
        <v/>
      </c>
      <c r="ES231" s="44" t="str">
        <f t="shared" si="3508"/>
        <v/>
      </c>
      <c r="ET231" s="44" t="str">
        <f t="shared" si="3509"/>
        <v/>
      </c>
      <c r="EU231" s="44" t="str">
        <f t="shared" si="3510"/>
        <v/>
      </c>
      <c r="EV231" s="44" t="str">
        <f t="shared" si="3511"/>
        <v/>
      </c>
      <c r="EW231" s="44" t="str">
        <f t="shared" si="3512"/>
        <v/>
      </c>
      <c r="EX231" s="44" t="str">
        <f t="shared" si="3513"/>
        <v/>
      </c>
      <c r="EY231" s="44" t="str">
        <f t="shared" si="3514"/>
        <v/>
      </c>
      <c r="EZ231" s="44" t="str">
        <f t="shared" si="3515"/>
        <v/>
      </c>
      <c r="FA231" s="44" t="str">
        <f t="shared" si="3516"/>
        <v/>
      </c>
      <c r="FB231" s="44" t="str">
        <f t="shared" si="3517"/>
        <v/>
      </c>
      <c r="FC231" s="44" t="str">
        <f t="shared" si="3518"/>
        <v/>
      </c>
      <c r="FD231" s="44" t="str">
        <f t="shared" si="3519"/>
        <v/>
      </c>
      <c r="FE231" s="44" t="str">
        <f t="shared" si="3520"/>
        <v/>
      </c>
      <c r="FF231" s="44" t="str">
        <f t="shared" si="3521"/>
        <v/>
      </c>
      <c r="FG231" s="44" t="str">
        <f t="shared" si="3522"/>
        <v/>
      </c>
      <c r="FH231" s="44" t="str">
        <f t="shared" si="3523"/>
        <v/>
      </c>
      <c r="FI231" s="44" t="str">
        <f t="shared" si="3524"/>
        <v/>
      </c>
      <c r="FJ231" s="44" t="str">
        <f t="shared" si="3525"/>
        <v/>
      </c>
      <c r="FK231" s="44" t="str">
        <f t="shared" si="3526"/>
        <v/>
      </c>
      <c r="FL231" s="44" t="str">
        <f t="shared" si="3527"/>
        <v/>
      </c>
      <c r="FM231" s="44" t="str">
        <f t="shared" si="3528"/>
        <v/>
      </c>
      <c r="FN231" s="44" t="str">
        <f t="shared" si="3529"/>
        <v/>
      </c>
      <c r="FO231" s="44" t="str">
        <f t="shared" si="3530"/>
        <v/>
      </c>
      <c r="FP231" s="44" t="str">
        <f t="shared" si="3531"/>
        <v/>
      </c>
      <c r="FQ231" s="44" t="str">
        <f t="shared" si="3532"/>
        <v/>
      </c>
      <c r="FR231" s="44" t="str">
        <f t="shared" si="3533"/>
        <v/>
      </c>
      <c r="FS231" s="44" t="str">
        <f t="shared" si="3534"/>
        <v/>
      </c>
    </row>
    <row r="232" ht="14.4" spans="1:175">
      <c r="A232" s="78"/>
      <c r="B232" s="8" t="s">
        <v>749</v>
      </c>
      <c r="C232" s="109" t="str">
        <f t="shared" si="3535"/>
        <v>已领取魔芝RPG礼包</v>
      </c>
      <c r="T232" s="109" t="s">
        <v>750</v>
      </c>
      <c r="U232" s="3" t="s">
        <v>738</v>
      </c>
      <c r="CN232" s="13" t="str">
        <f t="shared" si="3536"/>
        <v>InitUnitState('IB58',,,,,,,,,,)</v>
      </c>
      <c r="CO232" s="13" t="str">
        <f t="shared" si="3537"/>
        <v>InitUnitNormal('IB58',,,,,,,,,,)</v>
      </c>
      <c r="CP232" s="13" t="str">
        <f t="shared" si="3538"/>
        <v>InitUnitMagic('IB58',,,,,,,,,,)</v>
      </c>
      <c r="CQ232" s="13" t="str">
        <f t="shared" si="3539"/>
        <v>InitUnitAdd('IB58',,,,,,,,,,)</v>
      </c>
      <c r="CR232" s="13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249&amp;CR$1&amp;")"</f>
        <v>InitEquipData('IB58',,"",,,,,'','','','','','',"")</v>
      </c>
      <c r="CU232" s="72" t="str">
        <f t="shared" si="3463"/>
        <v>|n</v>
      </c>
      <c r="CV232" s="6" t="str">
        <f t="shared" si="3464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32" s="7"/>
      <c r="CX232" s="7"/>
      <c r="CY232" s="7"/>
      <c r="CZ232" s="7"/>
      <c r="DA232" s="7"/>
      <c r="DB232" s="44" t="str">
        <f t="shared" ref="DB232:FM232" si="3540">IF(V232="","","|n"&amp;DB$2&amp;"+"&amp;V232&amp;DB$1)</f>
        <v/>
      </c>
      <c r="DC232" s="44" t="str">
        <f t="shared" si="3540"/>
        <v/>
      </c>
      <c r="DD232" s="44" t="str">
        <f t="shared" si="3540"/>
        <v/>
      </c>
      <c r="DE232" s="44" t="str">
        <f t="shared" si="3540"/>
        <v/>
      </c>
      <c r="DF232" s="44" t="str">
        <f t="shared" si="3540"/>
        <v/>
      </c>
      <c r="DG232" s="44" t="str">
        <f t="shared" si="3540"/>
        <v/>
      </c>
      <c r="DH232" s="44" t="str">
        <f t="shared" si="3540"/>
        <v/>
      </c>
      <c r="DI232" s="44" t="str">
        <f t="shared" si="3540"/>
        <v/>
      </c>
      <c r="DJ232" s="44" t="str">
        <f t="shared" si="3540"/>
        <v/>
      </c>
      <c r="DK232" s="44" t="str">
        <f t="shared" si="3540"/>
        <v/>
      </c>
      <c r="DL232" s="44" t="str">
        <f t="shared" si="3540"/>
        <v/>
      </c>
      <c r="DM232" s="44" t="str">
        <f t="shared" si="3540"/>
        <v/>
      </c>
      <c r="DN232" s="44" t="str">
        <f t="shared" si="3540"/>
        <v/>
      </c>
      <c r="DO232" s="44" t="str">
        <f t="shared" si="3540"/>
        <v/>
      </c>
      <c r="DP232" s="44" t="str">
        <f t="shared" si="3540"/>
        <v/>
      </c>
      <c r="DQ232" s="44" t="str">
        <f t="shared" si="3540"/>
        <v/>
      </c>
      <c r="DR232" s="44" t="str">
        <f t="shared" si="3540"/>
        <v/>
      </c>
      <c r="DS232" s="44" t="str">
        <f t="shared" si="3540"/>
        <v/>
      </c>
      <c r="DT232" s="44" t="str">
        <f t="shared" si="3540"/>
        <v/>
      </c>
      <c r="DU232" s="44" t="str">
        <f t="shared" si="3540"/>
        <v/>
      </c>
      <c r="DV232" s="44" t="str">
        <f t="shared" si="3540"/>
        <v/>
      </c>
      <c r="DW232" s="44" t="str">
        <f t="shared" si="3540"/>
        <v/>
      </c>
      <c r="DX232" s="44" t="str">
        <f t="shared" si="3540"/>
        <v/>
      </c>
      <c r="DY232" s="44" t="str">
        <f t="shared" si="3540"/>
        <v/>
      </c>
      <c r="DZ232" s="44" t="str">
        <f t="shared" si="3540"/>
        <v/>
      </c>
      <c r="EA232" s="44" t="str">
        <f t="shared" si="3540"/>
        <v/>
      </c>
      <c r="EB232" s="44" t="str">
        <f t="shared" si="3540"/>
        <v/>
      </c>
      <c r="EC232" s="44" t="str">
        <f t="shared" si="3540"/>
        <v/>
      </c>
      <c r="ED232" s="44" t="str">
        <f t="shared" si="3540"/>
        <v/>
      </c>
      <c r="EE232" s="44" t="str">
        <f t="shared" si="3540"/>
        <v/>
      </c>
      <c r="EF232" s="44" t="str">
        <f t="shared" si="3540"/>
        <v/>
      </c>
      <c r="EG232" s="44" t="str">
        <f t="shared" si="3540"/>
        <v/>
      </c>
      <c r="EH232" s="44" t="str">
        <f t="shared" si="3540"/>
        <v/>
      </c>
      <c r="EI232" s="44" t="str">
        <f t="shared" si="3540"/>
        <v/>
      </c>
      <c r="EJ232" s="44" t="str">
        <f t="shared" si="3540"/>
        <v/>
      </c>
      <c r="EK232" s="44" t="str">
        <f t="shared" si="3540"/>
        <v/>
      </c>
      <c r="EL232" s="44" t="str">
        <f t="shared" si="3540"/>
        <v/>
      </c>
      <c r="EM232" s="44" t="str">
        <f t="shared" si="3540"/>
        <v/>
      </c>
      <c r="EN232" s="44" t="str">
        <f t="shared" si="3540"/>
        <v/>
      </c>
      <c r="EO232" s="44" t="str">
        <f t="shared" si="3540"/>
        <v/>
      </c>
      <c r="EP232" s="44" t="str">
        <f t="shared" si="3540"/>
        <v/>
      </c>
      <c r="EQ232" s="44" t="str">
        <f t="shared" si="3540"/>
        <v/>
      </c>
      <c r="ER232" s="44" t="str">
        <f t="shared" si="3540"/>
        <v/>
      </c>
      <c r="ES232" s="44" t="str">
        <f t="shared" si="3540"/>
        <v/>
      </c>
      <c r="ET232" s="44" t="str">
        <f t="shared" si="3540"/>
        <v/>
      </c>
      <c r="EU232" s="44" t="str">
        <f t="shared" si="3540"/>
        <v/>
      </c>
      <c r="EV232" s="44" t="str">
        <f t="shared" si="3540"/>
        <v/>
      </c>
      <c r="EW232" s="44" t="str">
        <f t="shared" si="3540"/>
        <v/>
      </c>
      <c r="EX232" s="44" t="str">
        <f t="shared" si="3540"/>
        <v/>
      </c>
      <c r="EY232" s="44" t="str">
        <f t="shared" si="3540"/>
        <v/>
      </c>
      <c r="EZ232" s="44" t="str">
        <f t="shared" si="3540"/>
        <v/>
      </c>
      <c r="FA232" s="44" t="str">
        <f t="shared" si="3540"/>
        <v/>
      </c>
      <c r="FB232" s="44" t="str">
        <f t="shared" si="3540"/>
        <v/>
      </c>
      <c r="FC232" s="44" t="str">
        <f t="shared" si="3540"/>
        <v/>
      </c>
      <c r="FD232" s="44" t="str">
        <f t="shared" si="3540"/>
        <v/>
      </c>
      <c r="FE232" s="44" t="str">
        <f t="shared" si="3540"/>
        <v/>
      </c>
      <c r="FF232" s="44" t="str">
        <f t="shared" si="3540"/>
        <v/>
      </c>
      <c r="FG232" s="44" t="str">
        <f t="shared" si="3540"/>
        <v/>
      </c>
      <c r="FH232" s="44" t="str">
        <f t="shared" si="3540"/>
        <v/>
      </c>
      <c r="FI232" s="44" t="str">
        <f t="shared" si="3540"/>
        <v/>
      </c>
      <c r="FJ232" s="44" t="str">
        <f t="shared" si="3540"/>
        <v/>
      </c>
      <c r="FK232" s="44" t="str">
        <f t="shared" si="3540"/>
        <v/>
      </c>
      <c r="FL232" s="44" t="str">
        <f t="shared" si="3540"/>
        <v/>
      </c>
      <c r="FM232" s="44" t="str">
        <f t="shared" si="3540"/>
        <v/>
      </c>
      <c r="FN232" s="44" t="str">
        <f t="shared" ref="FN232:FS232" si="3541">IF(CH232="","","|n"&amp;FN$2&amp;"+"&amp;CH232&amp;FN$1)</f>
        <v/>
      </c>
      <c r="FO232" s="44" t="str">
        <f t="shared" si="3541"/>
        <v/>
      </c>
      <c r="FP232" s="44" t="str">
        <f t="shared" si="3541"/>
        <v/>
      </c>
      <c r="FQ232" s="44" t="str">
        <f t="shared" si="3541"/>
        <v/>
      </c>
      <c r="FR232" s="44" t="str">
        <f t="shared" si="3541"/>
        <v/>
      </c>
      <c r="FS232" s="44" t="str">
        <f t="shared" si="3541"/>
        <v/>
      </c>
    </row>
    <row r="233" ht="14.4" spans="1:175">
      <c r="A233" s="78"/>
      <c r="B233" s="8" t="s">
        <v>751</v>
      </c>
      <c r="C233" s="109" t="str">
        <f t="shared" si="3535"/>
        <v>已领取老铁礼包</v>
      </c>
      <c r="T233" s="109" t="s">
        <v>752</v>
      </c>
      <c r="U233" s="3" t="s">
        <v>738</v>
      </c>
      <c r="CN233" s="13" t="str">
        <f t="shared" si="3536"/>
        <v>InitUnitState('IB59',,,,,,,,,,)</v>
      </c>
      <c r="CO233" s="13" t="str">
        <f t="shared" si="3537"/>
        <v>InitUnitNormal('IB59',,,,,,,,,,)</v>
      </c>
      <c r="CP233" s="13" t="str">
        <f t="shared" si="3538"/>
        <v>InitUnitMagic('IB59',,,,,,,,,,)</v>
      </c>
      <c r="CQ233" s="13" t="str">
        <f t="shared" si="3539"/>
        <v>InitUnitAdd('IB59',,,,,,,,,,)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250&amp;CR$1&amp;")"</f>
        <v>InitEquipData('IB59',,"",,,,,'','','','','','',"")</v>
      </c>
      <c r="CU233" s="72" t="str">
        <f t="shared" si="3463"/>
        <v>|n</v>
      </c>
      <c r="CV233" s="6" t="str">
        <f t="shared" si="3464"/>
        <v>已领取老铁礼包</v>
      </c>
      <c r="CW233" s="7"/>
      <c r="CX233" s="7"/>
      <c r="CY233" s="7"/>
      <c r="CZ233" s="7"/>
      <c r="DA233" s="7"/>
      <c r="DB233" s="44" t="str">
        <f t="shared" ref="DB233:FM233" si="3542">IF(V233="","","|n"&amp;DB$2&amp;"+"&amp;V233&amp;DB$1)</f>
        <v/>
      </c>
      <c r="DC233" s="44" t="str">
        <f t="shared" si="3542"/>
        <v/>
      </c>
      <c r="DD233" s="44" t="str">
        <f t="shared" si="3542"/>
        <v/>
      </c>
      <c r="DE233" s="44" t="str">
        <f t="shared" si="3542"/>
        <v/>
      </c>
      <c r="DF233" s="44" t="str">
        <f t="shared" si="3542"/>
        <v/>
      </c>
      <c r="DG233" s="44" t="str">
        <f t="shared" si="3542"/>
        <v/>
      </c>
      <c r="DH233" s="44" t="str">
        <f t="shared" si="3542"/>
        <v/>
      </c>
      <c r="DI233" s="44" t="str">
        <f t="shared" si="3542"/>
        <v/>
      </c>
      <c r="DJ233" s="44" t="str">
        <f t="shared" si="3542"/>
        <v/>
      </c>
      <c r="DK233" s="44" t="str">
        <f t="shared" si="3542"/>
        <v/>
      </c>
      <c r="DL233" s="44" t="str">
        <f t="shared" si="3542"/>
        <v/>
      </c>
      <c r="DM233" s="44" t="str">
        <f t="shared" si="3542"/>
        <v/>
      </c>
      <c r="DN233" s="44" t="str">
        <f t="shared" si="3542"/>
        <v/>
      </c>
      <c r="DO233" s="44" t="str">
        <f t="shared" si="3542"/>
        <v/>
      </c>
      <c r="DP233" s="44" t="str">
        <f t="shared" si="3542"/>
        <v/>
      </c>
      <c r="DQ233" s="44" t="str">
        <f t="shared" si="3542"/>
        <v/>
      </c>
      <c r="DR233" s="44" t="str">
        <f t="shared" si="3542"/>
        <v/>
      </c>
      <c r="DS233" s="44" t="str">
        <f t="shared" si="3542"/>
        <v/>
      </c>
      <c r="DT233" s="44" t="str">
        <f t="shared" si="3542"/>
        <v/>
      </c>
      <c r="DU233" s="44" t="str">
        <f t="shared" si="3542"/>
        <v/>
      </c>
      <c r="DV233" s="44" t="str">
        <f t="shared" si="3542"/>
        <v/>
      </c>
      <c r="DW233" s="44" t="str">
        <f t="shared" si="3542"/>
        <v/>
      </c>
      <c r="DX233" s="44" t="str">
        <f t="shared" si="3542"/>
        <v/>
      </c>
      <c r="DY233" s="44" t="str">
        <f t="shared" si="3542"/>
        <v/>
      </c>
      <c r="DZ233" s="44" t="str">
        <f t="shared" si="3542"/>
        <v/>
      </c>
      <c r="EA233" s="44" t="str">
        <f t="shared" si="3542"/>
        <v/>
      </c>
      <c r="EB233" s="44" t="str">
        <f t="shared" si="3542"/>
        <v/>
      </c>
      <c r="EC233" s="44" t="str">
        <f t="shared" si="3542"/>
        <v/>
      </c>
      <c r="ED233" s="44" t="str">
        <f t="shared" si="3542"/>
        <v/>
      </c>
      <c r="EE233" s="44" t="str">
        <f t="shared" si="3542"/>
        <v/>
      </c>
      <c r="EF233" s="44" t="str">
        <f t="shared" si="3542"/>
        <v/>
      </c>
      <c r="EG233" s="44" t="str">
        <f t="shared" si="3542"/>
        <v/>
      </c>
      <c r="EH233" s="44" t="str">
        <f t="shared" si="3542"/>
        <v/>
      </c>
      <c r="EI233" s="44" t="str">
        <f t="shared" si="3542"/>
        <v/>
      </c>
      <c r="EJ233" s="44" t="str">
        <f t="shared" si="3542"/>
        <v/>
      </c>
      <c r="EK233" s="44" t="str">
        <f t="shared" si="3542"/>
        <v/>
      </c>
      <c r="EL233" s="44" t="str">
        <f t="shared" si="3542"/>
        <v/>
      </c>
      <c r="EM233" s="44" t="str">
        <f t="shared" si="3542"/>
        <v/>
      </c>
      <c r="EN233" s="44" t="str">
        <f t="shared" si="3542"/>
        <v/>
      </c>
      <c r="EO233" s="44" t="str">
        <f t="shared" si="3542"/>
        <v/>
      </c>
      <c r="EP233" s="44" t="str">
        <f t="shared" si="3542"/>
        <v/>
      </c>
      <c r="EQ233" s="44" t="str">
        <f t="shared" si="3542"/>
        <v/>
      </c>
      <c r="ER233" s="44" t="str">
        <f t="shared" si="3542"/>
        <v/>
      </c>
      <c r="ES233" s="44" t="str">
        <f t="shared" si="3542"/>
        <v/>
      </c>
      <c r="ET233" s="44" t="str">
        <f t="shared" si="3542"/>
        <v/>
      </c>
      <c r="EU233" s="44" t="str">
        <f t="shared" si="3542"/>
        <v/>
      </c>
      <c r="EV233" s="44" t="str">
        <f t="shared" si="3542"/>
        <v/>
      </c>
      <c r="EW233" s="44" t="str">
        <f t="shared" si="3542"/>
        <v/>
      </c>
      <c r="EX233" s="44" t="str">
        <f t="shared" si="3542"/>
        <v/>
      </c>
      <c r="EY233" s="44" t="str">
        <f t="shared" si="3542"/>
        <v/>
      </c>
      <c r="EZ233" s="44" t="str">
        <f t="shared" si="3542"/>
        <v/>
      </c>
      <c r="FA233" s="44" t="str">
        <f t="shared" si="3542"/>
        <v/>
      </c>
      <c r="FB233" s="44" t="str">
        <f t="shared" si="3542"/>
        <v/>
      </c>
      <c r="FC233" s="44" t="str">
        <f t="shared" si="3542"/>
        <v/>
      </c>
      <c r="FD233" s="44" t="str">
        <f t="shared" si="3542"/>
        <v/>
      </c>
      <c r="FE233" s="44" t="str">
        <f t="shared" si="3542"/>
        <v/>
      </c>
      <c r="FF233" s="44" t="str">
        <f t="shared" si="3542"/>
        <v/>
      </c>
      <c r="FG233" s="44" t="str">
        <f t="shared" si="3542"/>
        <v/>
      </c>
      <c r="FH233" s="44" t="str">
        <f t="shared" si="3542"/>
        <v/>
      </c>
      <c r="FI233" s="44" t="str">
        <f t="shared" si="3542"/>
        <v/>
      </c>
      <c r="FJ233" s="44" t="str">
        <f t="shared" si="3542"/>
        <v/>
      </c>
      <c r="FK233" s="44" t="str">
        <f t="shared" si="3542"/>
        <v/>
      </c>
      <c r="FL233" s="44" t="str">
        <f t="shared" si="3542"/>
        <v/>
      </c>
      <c r="FM233" s="44" t="str">
        <f t="shared" si="3542"/>
        <v/>
      </c>
      <c r="FN233" s="44" t="str">
        <f t="shared" ref="FN233:FS233" si="3543">IF(CH233="","","|n"&amp;FN$2&amp;"+"&amp;CH233&amp;FN$1)</f>
        <v/>
      </c>
      <c r="FO233" s="44" t="str">
        <f t="shared" si="3543"/>
        <v/>
      </c>
      <c r="FP233" s="44" t="str">
        <f t="shared" si="3543"/>
        <v/>
      </c>
      <c r="FQ233" s="44" t="str">
        <f t="shared" si="3543"/>
        <v/>
      </c>
      <c r="FR233" s="44" t="str">
        <f t="shared" si="3543"/>
        <v/>
      </c>
      <c r="FS233" s="44" t="str">
        <f t="shared" si="3543"/>
        <v/>
      </c>
    </row>
    <row r="234" ht="15" spans="1:175">
      <c r="A234" s="110"/>
      <c r="B234" s="8" t="s">
        <v>753</v>
      </c>
      <c r="C234" s="6" t="s">
        <v>117</v>
      </c>
      <c r="T234" s="112"/>
      <c r="U234" s="60"/>
      <c r="CN234" s="13" t="str">
        <f t="shared" ref="CN234:CN261" si="3544">"InitUnitState('"&amp;B234&amp;"',"&amp;V234&amp;","&amp;W234&amp;","&amp;X234&amp;","&amp;Y234&amp;","&amp;Z234&amp;","&amp;AA234&amp;","&amp;AB234&amp;","&amp;AC234&amp;","&amp;AD234&amp;","&amp;AE234&amp;")"</f>
        <v>InitUnitState('IF01',,,,,,,,,,)</v>
      </c>
      <c r="CO234" s="13" t="str">
        <f t="shared" ref="CO234:CO261" si="3545">"InitUnitNormal('"&amp;B234&amp;"',"&amp;AF234&amp;","&amp;AG234&amp;","&amp;AH234&amp;","&amp;AI234&amp;","&amp;AJ234&amp;","&amp;AK234&amp;","&amp;AL234&amp;","&amp;AM234&amp;","&amp;AN234&amp;","&amp;AO234&amp;")"</f>
        <v>InitUnitNormal('IF01',,,,,,,,,,)</v>
      </c>
      <c r="CP234" s="13" t="str">
        <f t="shared" ref="CP234:CP261" si="3546">"InitUnitMagic('"&amp;B234&amp;"',"&amp;AP234&amp;","&amp;AQ234&amp;","&amp;AR234&amp;","&amp;AS234&amp;","&amp;AT234&amp;","&amp;AU234&amp;","&amp;AV234&amp;","&amp;AW234&amp;","&amp;BI234&amp;","&amp;BJ234&amp;")"</f>
        <v>InitUnitMagic('IF01',,,,,,,,,,)</v>
      </c>
      <c r="CQ234" s="13" t="str">
        <f t="shared" ref="CQ234:CQ261" si="3547">"InitUnitAdd('"&amp;B234&amp;"',"&amp;BK234&amp;","&amp;BL234&amp;","&amp;BM234&amp;","&amp;BN234&amp;","&amp;BO234&amp;","&amp;BP234&amp;","&amp;BQ234&amp;","&amp;BR234&amp;","&amp;BS234&amp;","&amp;BT234&amp;")"</f>
        <v>InitUnitAdd('IF01',,,,,,,,,,)</v>
      </c>
      <c r="CR234" s="13" t="str">
        <f t="shared" ref="CR234:CR270" si="3548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InitEquipData('IF01',,"",,,,,'','','','','','',"")</v>
      </c>
      <c r="CU234" s="72" t="str">
        <f t="shared" ref="CU234:CU256" si="3549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56" si="3550">IF(V234="","","|n"&amp;DB$2&amp;"+"&amp;V234&amp;DB$1)</f>
        <v/>
      </c>
      <c r="DC234" s="44" t="str">
        <f t="shared" ref="DC234:DC256" si="3551">IF(W234="","","|n"&amp;DC$2&amp;"+"&amp;W234&amp;DC$1)</f>
        <v/>
      </c>
      <c r="DD234" s="44" t="str">
        <f t="shared" ref="DD234:DD256" si="3552">IF(X234="","","|n"&amp;DD$2&amp;"+"&amp;X234&amp;DD$1)</f>
        <v/>
      </c>
      <c r="DE234" s="44" t="str">
        <f t="shared" ref="DE234:DE256" si="3553">IF(Y234="","","|n"&amp;DE$2&amp;"+"&amp;Y234&amp;DE$1)</f>
        <v/>
      </c>
      <c r="DF234" s="44" t="str">
        <f t="shared" ref="DF234:DF256" si="3554">IF(Z234="","","|n"&amp;DF$2&amp;"+"&amp;Z234&amp;DF$1)</f>
        <v/>
      </c>
      <c r="DG234" s="44" t="str">
        <f t="shared" ref="DG234:DG256" si="3555">IF(AA234="","","|n"&amp;DG$2&amp;"+"&amp;AA234&amp;DG$1)</f>
        <v/>
      </c>
      <c r="DH234" s="44" t="str">
        <f t="shared" ref="DH234:DH256" si="3556">IF(AB234="","","|n"&amp;DH$2&amp;"+"&amp;AB234&amp;DH$1)</f>
        <v/>
      </c>
      <c r="DI234" s="44" t="str">
        <f t="shared" ref="DI234:DI256" si="3557">IF(AC234="","","|n"&amp;DI$2&amp;"+"&amp;AC234&amp;DI$1)</f>
        <v/>
      </c>
      <c r="DJ234" s="44" t="str">
        <f t="shared" ref="DJ234:DJ256" si="3558">IF(AD234="","","|n"&amp;DJ$2&amp;"+"&amp;AD234&amp;DJ$1)</f>
        <v/>
      </c>
      <c r="DK234" s="44" t="str">
        <f t="shared" ref="DK234:DK256" si="3559">IF(AE234="","","|n"&amp;DK$2&amp;"+"&amp;AE234&amp;DK$1)</f>
        <v/>
      </c>
      <c r="DL234" s="44" t="str">
        <f t="shared" ref="DL234:DL256" si="3560">IF(AF234="","","|n"&amp;DL$2&amp;"+"&amp;AF234&amp;DL$1)</f>
        <v/>
      </c>
      <c r="DM234" s="44" t="str">
        <f t="shared" ref="DM234:DM256" si="3561">IF(AG234="","","|n"&amp;DM$2&amp;"+"&amp;AG234&amp;DM$1)</f>
        <v/>
      </c>
      <c r="DN234" s="44" t="str">
        <f t="shared" ref="DN234:DN256" si="3562">IF(AH234="","","|n"&amp;DN$2&amp;"+"&amp;AH234&amp;DN$1)</f>
        <v/>
      </c>
      <c r="DO234" s="44" t="str">
        <f t="shared" ref="DO234:DO256" si="3563">IF(AI234="","","|n"&amp;DO$2&amp;"+"&amp;AI234&amp;DO$1)</f>
        <v/>
      </c>
      <c r="DP234" s="44" t="str">
        <f t="shared" ref="DP234:DP256" si="3564">IF(AJ234="","","|n"&amp;DP$2&amp;"+"&amp;AJ234&amp;DP$1)</f>
        <v/>
      </c>
      <c r="DQ234" s="44" t="str">
        <f t="shared" ref="DQ234:DQ256" si="3565">IF(AK234="","","|n"&amp;DQ$2&amp;"+"&amp;AK234&amp;DQ$1)</f>
        <v/>
      </c>
      <c r="DR234" s="44" t="str">
        <f t="shared" ref="DR234:DR256" si="3566">IF(AL234="","","|n"&amp;DR$2&amp;"+"&amp;AL234&amp;DR$1)</f>
        <v/>
      </c>
      <c r="DS234" s="44" t="str">
        <f t="shared" ref="DS234:DS256" si="3567">IF(AM234="","","|n"&amp;DS$2&amp;"+"&amp;AM234&amp;DS$1)</f>
        <v/>
      </c>
      <c r="DT234" s="44" t="str">
        <f t="shared" ref="DT234:DT256" si="3568">IF(AN234="","","|n"&amp;DT$2&amp;"+"&amp;AN234&amp;DT$1)</f>
        <v/>
      </c>
      <c r="DU234" s="44" t="str">
        <f t="shared" ref="DU234:DU256" si="3569">IF(AO234="","","|n"&amp;DU$2&amp;"+"&amp;AO234&amp;DU$1)</f>
        <v/>
      </c>
      <c r="DV234" s="44" t="str">
        <f t="shared" ref="DV234:DV256" si="3570">IF(AP234="","","|n"&amp;DV$2&amp;"+"&amp;AP234&amp;DV$1)</f>
        <v/>
      </c>
      <c r="DW234" s="44" t="str">
        <f t="shared" ref="DW234:DW256" si="3571">IF(AQ234="","","|n"&amp;DW$2&amp;"+"&amp;AQ234&amp;DW$1)</f>
        <v/>
      </c>
      <c r="DX234" s="44" t="str">
        <f t="shared" ref="DX234:DX256" si="3572">IF(AR234="","","|n"&amp;DX$2&amp;"+"&amp;AR234&amp;DX$1)</f>
        <v/>
      </c>
      <c r="DY234" s="44" t="str">
        <f t="shared" ref="DY234:DY256" si="3573">IF(AS234="","","|n"&amp;DY$2&amp;"+"&amp;AS234&amp;DY$1)</f>
        <v/>
      </c>
      <c r="DZ234" s="44" t="str">
        <f t="shared" ref="DZ234:DZ256" si="3574">IF(AT234="","","|n"&amp;DZ$2&amp;"+"&amp;AT234&amp;DZ$1)</f>
        <v/>
      </c>
      <c r="EA234" s="44" t="str">
        <f t="shared" ref="EA234:EA256" si="3575">IF(AU234="","","|n"&amp;EA$2&amp;"+"&amp;AU234&amp;EA$1)</f>
        <v/>
      </c>
      <c r="EB234" s="44" t="str">
        <f t="shared" ref="EB234:EB256" si="3576">IF(AV234="","","|n"&amp;EB$2&amp;"+"&amp;AV234&amp;EB$1)</f>
        <v/>
      </c>
      <c r="EC234" s="44" t="str">
        <f t="shared" ref="EC234:EC256" si="3577">IF(AW234="","","|n"&amp;EC$2&amp;"+"&amp;AW234&amp;EC$1)</f>
        <v/>
      </c>
      <c r="ED234" s="44" t="str">
        <f t="shared" ref="ED234:ED256" si="3578">IF(AX234="","","|n"&amp;ED$2&amp;"+"&amp;AX234&amp;ED$1)</f>
        <v/>
      </c>
      <c r="EE234" s="44" t="str">
        <f t="shared" ref="EE234:EE256" si="3579">IF(AY234="","","|n"&amp;EE$2&amp;"+"&amp;AY234&amp;EE$1)</f>
        <v/>
      </c>
      <c r="EF234" s="44" t="str">
        <f t="shared" ref="EF234:EF256" si="3580">IF(AZ234="","","|n"&amp;EF$2&amp;"+"&amp;AZ234&amp;EF$1)</f>
        <v/>
      </c>
      <c r="EG234" s="44" t="str">
        <f t="shared" ref="EG234:EG256" si="3581">IF(BA234="","","|n"&amp;EG$2&amp;"+"&amp;BA234&amp;EG$1)</f>
        <v/>
      </c>
      <c r="EH234" s="44" t="str">
        <f t="shared" ref="EH234:EH256" si="3582">IF(BB234="","","|n"&amp;EH$2&amp;"+"&amp;BB234&amp;EH$1)</f>
        <v/>
      </c>
      <c r="EI234" s="44" t="str">
        <f t="shared" ref="EI234:EI256" si="3583">IF(BC234="","","|n"&amp;EI$2&amp;"+"&amp;BC234&amp;EI$1)</f>
        <v/>
      </c>
      <c r="EJ234" s="44" t="str">
        <f t="shared" ref="EJ234:EJ256" si="3584">IF(BD234="","","|n"&amp;EJ$2&amp;"+"&amp;BD234&amp;EJ$1)</f>
        <v/>
      </c>
      <c r="EK234" s="44" t="str">
        <f t="shared" ref="EK234:EK256" si="3585">IF(BE234="","","|n"&amp;EK$2&amp;"+"&amp;BE234&amp;EK$1)</f>
        <v/>
      </c>
      <c r="EL234" s="44" t="str">
        <f t="shared" ref="EL234:EL256" si="3586">IF(BF234="","","|n"&amp;EL$2&amp;"+"&amp;BF234&amp;EL$1)</f>
        <v/>
      </c>
      <c r="EM234" s="44" t="str">
        <f t="shared" ref="EM234:EM256" si="3587">IF(BG234="","","|n"&amp;EM$2&amp;"+"&amp;BG234&amp;EM$1)</f>
        <v/>
      </c>
      <c r="EN234" s="44" t="str">
        <f t="shared" ref="EN234:EN256" si="3588">IF(BH234="","","|n"&amp;EN$2&amp;"+"&amp;BH234&amp;EN$1)</f>
        <v/>
      </c>
      <c r="EO234" s="44" t="str">
        <f t="shared" ref="EO234:EO256" si="3589">IF(BI234="","","|n"&amp;EO$2&amp;"+"&amp;BI234&amp;EO$1)</f>
        <v/>
      </c>
      <c r="EP234" s="44" t="str">
        <f t="shared" ref="EP234:EP256" si="3590">IF(BJ234="","","|n"&amp;EP$2&amp;"+"&amp;BJ234&amp;EP$1)</f>
        <v/>
      </c>
      <c r="EQ234" s="44" t="str">
        <f t="shared" ref="EQ234:EQ256" si="3591">IF(BK234="","","|n"&amp;EQ$2&amp;"+"&amp;BK234&amp;EQ$1)</f>
        <v/>
      </c>
      <c r="ER234" s="44" t="str">
        <f t="shared" ref="ER234:ER256" si="3592">IF(BL234="","","|n"&amp;ER$2&amp;"+"&amp;BL234&amp;ER$1)</f>
        <v/>
      </c>
      <c r="ES234" s="44" t="str">
        <f t="shared" ref="ES234:ES256" si="3593">IF(BM234="","","|n"&amp;ES$2&amp;"+"&amp;BM234&amp;ES$1)</f>
        <v/>
      </c>
      <c r="ET234" s="44" t="str">
        <f t="shared" ref="ET234:ET256" si="3594">IF(BN234="","","|n"&amp;ET$2&amp;"+"&amp;BN234&amp;ET$1)</f>
        <v/>
      </c>
      <c r="EU234" s="44" t="str">
        <f t="shared" ref="EU234:EU256" si="3595">IF(BO234="","","|n"&amp;EU$2&amp;"+"&amp;BO234&amp;EU$1)</f>
        <v/>
      </c>
      <c r="EV234" s="44" t="str">
        <f t="shared" ref="EV234:EV256" si="3596">IF(BP234="","","|n"&amp;EV$2&amp;"+"&amp;BP234&amp;EV$1)</f>
        <v/>
      </c>
      <c r="EW234" s="44" t="str">
        <f t="shared" ref="EW234:EW256" si="3597">IF(BQ234="","","|n"&amp;EW$2&amp;"+"&amp;BQ234&amp;EW$1)</f>
        <v/>
      </c>
      <c r="EX234" s="44" t="str">
        <f t="shared" ref="EX234:EX256" si="3598">IF(BR234="","","|n"&amp;EX$2&amp;"+"&amp;BR234&amp;EX$1)</f>
        <v/>
      </c>
      <c r="EY234" s="44" t="str">
        <f t="shared" ref="EY234:EY256" si="3599">IF(BS234="","","|n"&amp;EY$2&amp;"+"&amp;BS234&amp;EY$1)</f>
        <v/>
      </c>
      <c r="EZ234" s="44" t="str">
        <f t="shared" ref="EZ234:EZ256" si="3600">IF(BT234="","","|n"&amp;EZ$2&amp;"+"&amp;BT234&amp;EZ$1)</f>
        <v/>
      </c>
      <c r="FA234" s="44" t="str">
        <f t="shared" ref="FA234:FA256" si="3601">IF(BU234="","","|n"&amp;FA$2&amp;"+"&amp;BU234&amp;FA$1)</f>
        <v/>
      </c>
      <c r="FB234" s="44" t="str">
        <f t="shared" ref="FB234:FB256" si="3602">IF(BV234="","","|n"&amp;FB$2&amp;"+"&amp;BV234&amp;FB$1)</f>
        <v/>
      </c>
      <c r="FC234" s="44" t="str">
        <f t="shared" ref="FC234:FC256" si="3603">IF(BW234="","","|n"&amp;FC$2&amp;"+"&amp;BW234&amp;FC$1)</f>
        <v/>
      </c>
      <c r="FD234" s="44" t="str">
        <f t="shared" ref="FD234:FD256" si="3604">IF(BX234="","","|n"&amp;FD$2&amp;"+"&amp;BX234&amp;FD$1)</f>
        <v/>
      </c>
      <c r="FE234" s="44" t="str">
        <f t="shared" ref="FE234:FE256" si="3605">IF(BY234="","","|n"&amp;FE$2&amp;"+"&amp;BY234&amp;FE$1)</f>
        <v/>
      </c>
      <c r="FF234" s="44" t="str">
        <f t="shared" ref="FF234:FF256" si="3606">IF(BZ234="","","|n"&amp;FF$2&amp;"+"&amp;BZ234&amp;FF$1)</f>
        <v/>
      </c>
      <c r="FG234" s="44" t="str">
        <f t="shared" ref="FG234:FG256" si="3607">IF(CA234="","","|n"&amp;FG$2&amp;"+"&amp;CA234&amp;FG$1)</f>
        <v/>
      </c>
      <c r="FH234" s="44" t="str">
        <f t="shared" ref="FH234:FH256" si="3608">IF(CB234="","","|n"&amp;FH$2&amp;"+"&amp;CB234&amp;FH$1)</f>
        <v/>
      </c>
      <c r="FI234" s="44" t="str">
        <f t="shared" ref="FI234:FI256" si="3609">IF(CC234="","","|n"&amp;FI$2&amp;"+"&amp;CC234&amp;FI$1)</f>
        <v/>
      </c>
      <c r="FJ234" s="44" t="str">
        <f t="shared" ref="FJ234:FJ256" si="3610">IF(CD234="","","|n"&amp;FJ$2&amp;"+"&amp;CD234&amp;FJ$1)</f>
        <v/>
      </c>
      <c r="FK234" s="44" t="str">
        <f t="shared" ref="FK234:FK256" si="3611">IF(CE234="","","|n"&amp;FK$2&amp;"+"&amp;CE234&amp;FK$1)</f>
        <v/>
      </c>
      <c r="FL234" s="44" t="str">
        <f t="shared" ref="FL234:FL256" si="3612">IF(CF234="","","|n"&amp;FL$2&amp;"+"&amp;CF234&amp;FL$1)</f>
        <v/>
      </c>
      <c r="FM234" s="44" t="str">
        <f t="shared" ref="FM234:FM256" si="3613">IF(CG234="","","|n"&amp;FM$2&amp;"+"&amp;CG234&amp;FM$1)</f>
        <v/>
      </c>
      <c r="FN234" s="44" t="str">
        <f t="shared" ref="FN234:FN256" si="3614">IF(CH234="","","|n"&amp;FN$2&amp;"+"&amp;CH234&amp;FN$1)</f>
        <v/>
      </c>
      <c r="FO234" s="44" t="str">
        <f t="shared" ref="FO234:FO256" si="3615">IF(CI234="","","|n"&amp;FO$2&amp;"+"&amp;CI234&amp;FO$1)</f>
        <v/>
      </c>
      <c r="FP234" s="44" t="str">
        <f t="shared" ref="FP234:FP256" si="3616">IF(CJ234="","","|n"&amp;FP$2&amp;"+"&amp;CJ234&amp;FP$1)</f>
        <v/>
      </c>
      <c r="FQ234" s="44" t="str">
        <f t="shared" ref="FQ234:FQ256" si="3617">IF(CK234="","","|n"&amp;FQ$2&amp;"+"&amp;CK234&amp;FQ$1)</f>
        <v/>
      </c>
      <c r="FR234" s="44" t="str">
        <f t="shared" ref="FR234:FR256" si="3618">IF(CL234="","","|n"&amp;FR$2&amp;"+"&amp;CL234&amp;FR$1)</f>
        <v/>
      </c>
      <c r="FS234" s="44" t="str">
        <f t="shared" ref="FS234:FS256" si="3619">IF(CM234="","","|n"&amp;FS$2&amp;"+"&amp;CM234&amp;FS$1)</f>
        <v/>
      </c>
    </row>
    <row r="235" ht="15" spans="1:175">
      <c r="A235" s="110"/>
      <c r="B235" s="8" t="s">
        <v>754</v>
      </c>
      <c r="C235" s="6" t="s">
        <v>755</v>
      </c>
      <c r="T235" s="112"/>
      <c r="U235" s="60"/>
      <c r="CN235" s="13" t="str">
        <f t="shared" si="3544"/>
        <v>InitUnitState('IF02',,,,,,,,,,)</v>
      </c>
      <c r="CO235" s="13" t="str">
        <f t="shared" si="3545"/>
        <v>InitUnitNormal('IF02',,,,,,,,,,)</v>
      </c>
      <c r="CP235" s="13" t="str">
        <f t="shared" si="3546"/>
        <v>InitUnitMagic('IF02',,,,,,,,,,)</v>
      </c>
      <c r="CQ235" s="13" t="str">
        <f t="shared" si="3547"/>
        <v>InitUnitAdd('IF02',,,,,,,,,,)</v>
      </c>
      <c r="CR235" s="13" t="str">
        <f t="shared" si="3548"/>
        <v>InitEquipData('IF02',,"",,,,,'','','','','','',"")</v>
      </c>
      <c r="CU235" s="72" t="str">
        <f t="shared" si="3549"/>
        <v>|n</v>
      </c>
      <c r="CW235" s="7"/>
      <c r="CX235" s="7"/>
      <c r="CY235" s="7"/>
      <c r="CZ235" s="7"/>
      <c r="DA235" s="7"/>
      <c r="DB235" s="44" t="str">
        <f t="shared" si="3550"/>
        <v/>
      </c>
      <c r="DC235" s="44" t="str">
        <f t="shared" si="3551"/>
        <v/>
      </c>
      <c r="DD235" s="44" t="str">
        <f t="shared" si="3552"/>
        <v/>
      </c>
      <c r="DE235" s="44" t="str">
        <f t="shared" si="3553"/>
        <v/>
      </c>
      <c r="DF235" s="44" t="str">
        <f t="shared" si="3554"/>
        <v/>
      </c>
      <c r="DG235" s="44" t="str">
        <f t="shared" si="3555"/>
        <v/>
      </c>
      <c r="DH235" s="44" t="str">
        <f t="shared" si="3556"/>
        <v/>
      </c>
      <c r="DI235" s="44" t="str">
        <f t="shared" si="3557"/>
        <v/>
      </c>
      <c r="DJ235" s="44" t="str">
        <f t="shared" si="3558"/>
        <v/>
      </c>
      <c r="DK235" s="44" t="str">
        <f t="shared" si="3559"/>
        <v/>
      </c>
      <c r="DL235" s="44" t="str">
        <f t="shared" si="3560"/>
        <v/>
      </c>
      <c r="DM235" s="44" t="str">
        <f t="shared" si="3561"/>
        <v/>
      </c>
      <c r="DN235" s="44" t="str">
        <f t="shared" si="3562"/>
        <v/>
      </c>
      <c r="DO235" s="44" t="str">
        <f t="shared" si="3563"/>
        <v/>
      </c>
      <c r="DP235" s="44" t="str">
        <f t="shared" si="3564"/>
        <v/>
      </c>
      <c r="DQ235" s="44" t="str">
        <f t="shared" si="3565"/>
        <v/>
      </c>
      <c r="DR235" s="44" t="str">
        <f t="shared" si="3566"/>
        <v/>
      </c>
      <c r="DS235" s="44" t="str">
        <f t="shared" si="3567"/>
        <v/>
      </c>
      <c r="DT235" s="44" t="str">
        <f t="shared" si="3568"/>
        <v/>
      </c>
      <c r="DU235" s="44" t="str">
        <f t="shared" si="3569"/>
        <v/>
      </c>
      <c r="DV235" s="44" t="str">
        <f t="shared" si="3570"/>
        <v/>
      </c>
      <c r="DW235" s="44" t="str">
        <f t="shared" si="3571"/>
        <v/>
      </c>
      <c r="DX235" s="44" t="str">
        <f t="shared" si="3572"/>
        <v/>
      </c>
      <c r="DY235" s="44" t="str">
        <f t="shared" si="3573"/>
        <v/>
      </c>
      <c r="DZ235" s="44" t="str">
        <f t="shared" si="3574"/>
        <v/>
      </c>
      <c r="EA235" s="44" t="str">
        <f t="shared" si="3575"/>
        <v/>
      </c>
      <c r="EB235" s="44" t="str">
        <f t="shared" si="3576"/>
        <v/>
      </c>
      <c r="EC235" s="44" t="str">
        <f t="shared" si="3577"/>
        <v/>
      </c>
      <c r="ED235" s="44" t="str">
        <f t="shared" si="3578"/>
        <v/>
      </c>
      <c r="EE235" s="44" t="str">
        <f t="shared" si="3579"/>
        <v/>
      </c>
      <c r="EF235" s="44" t="str">
        <f t="shared" si="3580"/>
        <v/>
      </c>
      <c r="EG235" s="44" t="str">
        <f t="shared" si="3581"/>
        <v/>
      </c>
      <c r="EH235" s="44" t="str">
        <f t="shared" si="3582"/>
        <v/>
      </c>
      <c r="EI235" s="44" t="str">
        <f t="shared" si="3583"/>
        <v/>
      </c>
      <c r="EJ235" s="44" t="str">
        <f t="shared" si="3584"/>
        <v/>
      </c>
      <c r="EK235" s="44" t="str">
        <f t="shared" si="3585"/>
        <v/>
      </c>
      <c r="EL235" s="44" t="str">
        <f t="shared" si="3586"/>
        <v/>
      </c>
      <c r="EM235" s="44" t="str">
        <f t="shared" si="3587"/>
        <v/>
      </c>
      <c r="EN235" s="44" t="str">
        <f t="shared" si="3588"/>
        <v/>
      </c>
      <c r="EO235" s="44" t="str">
        <f t="shared" si="3589"/>
        <v/>
      </c>
      <c r="EP235" s="44" t="str">
        <f t="shared" si="3590"/>
        <v/>
      </c>
      <c r="EQ235" s="44" t="str">
        <f t="shared" si="3591"/>
        <v/>
      </c>
      <c r="ER235" s="44" t="str">
        <f t="shared" si="3592"/>
        <v/>
      </c>
      <c r="ES235" s="44" t="str">
        <f t="shared" si="3593"/>
        <v/>
      </c>
      <c r="ET235" s="44" t="str">
        <f t="shared" si="3594"/>
        <v/>
      </c>
      <c r="EU235" s="44" t="str">
        <f t="shared" si="3595"/>
        <v/>
      </c>
      <c r="EV235" s="44" t="str">
        <f t="shared" si="3596"/>
        <v/>
      </c>
      <c r="EW235" s="44" t="str">
        <f t="shared" si="3597"/>
        <v/>
      </c>
      <c r="EX235" s="44" t="str">
        <f t="shared" si="3598"/>
        <v/>
      </c>
      <c r="EY235" s="44" t="str">
        <f t="shared" si="3599"/>
        <v/>
      </c>
      <c r="EZ235" s="44" t="str">
        <f t="shared" si="3600"/>
        <v/>
      </c>
      <c r="FA235" s="44" t="str">
        <f t="shared" si="3601"/>
        <v/>
      </c>
      <c r="FB235" s="44" t="str">
        <f t="shared" si="3602"/>
        <v/>
      </c>
      <c r="FC235" s="44" t="str">
        <f t="shared" si="3603"/>
        <v/>
      </c>
      <c r="FD235" s="44" t="str">
        <f t="shared" si="3604"/>
        <v/>
      </c>
      <c r="FE235" s="44" t="str">
        <f t="shared" si="3605"/>
        <v/>
      </c>
      <c r="FF235" s="44" t="str">
        <f t="shared" si="3606"/>
        <v/>
      </c>
      <c r="FG235" s="44" t="str">
        <f t="shared" si="3607"/>
        <v/>
      </c>
      <c r="FH235" s="44" t="str">
        <f t="shared" si="3608"/>
        <v/>
      </c>
      <c r="FI235" s="44" t="str">
        <f t="shared" si="3609"/>
        <v/>
      </c>
      <c r="FJ235" s="44" t="str">
        <f t="shared" si="3610"/>
        <v/>
      </c>
      <c r="FK235" s="44" t="str">
        <f t="shared" si="3611"/>
        <v/>
      </c>
      <c r="FL235" s="44" t="str">
        <f t="shared" si="3612"/>
        <v/>
      </c>
      <c r="FM235" s="44" t="str">
        <f t="shared" si="3613"/>
        <v/>
      </c>
      <c r="FN235" s="44" t="str">
        <f t="shared" si="3614"/>
        <v/>
      </c>
      <c r="FO235" s="44" t="str">
        <f t="shared" si="3615"/>
        <v/>
      </c>
      <c r="FP235" s="44" t="str">
        <f t="shared" si="3616"/>
        <v/>
      </c>
      <c r="FQ235" s="44" t="str">
        <f t="shared" si="3617"/>
        <v/>
      </c>
      <c r="FR235" s="44" t="str">
        <f t="shared" si="3618"/>
        <v/>
      </c>
      <c r="FS235" s="44" t="str">
        <f t="shared" si="3619"/>
        <v/>
      </c>
    </row>
    <row r="236" ht="15" spans="1:175">
      <c r="A236" s="111"/>
      <c r="B236" s="8" t="s">
        <v>756</v>
      </c>
      <c r="C236" s="6" t="s">
        <v>117</v>
      </c>
      <c r="T236" s="113"/>
      <c r="U236" s="60"/>
      <c r="CN236" s="13" t="str">
        <f t="shared" si="3544"/>
        <v>InitUnitState('IF03',,,,,,,,,,)</v>
      </c>
      <c r="CO236" s="13" t="str">
        <f t="shared" si="3545"/>
        <v>InitUnitNormal('IF03',,,,,,,,,,)</v>
      </c>
      <c r="CP236" s="13" t="str">
        <f t="shared" si="3546"/>
        <v>InitUnitMagic('IF03',,,,,,,,,,)</v>
      </c>
      <c r="CQ236" s="13" t="str">
        <f t="shared" si="3547"/>
        <v>InitUnitAdd('IF03',,,,,,,,,,)</v>
      </c>
      <c r="CR236" s="13" t="str">
        <f t="shared" si="3548"/>
        <v>InitEquipData('IF03',,"",,,,,'','','','','','',"")</v>
      </c>
      <c r="CU236" s="72" t="str">
        <f t="shared" si="3549"/>
        <v>|n</v>
      </c>
      <c r="CW236" s="7"/>
      <c r="CX236" s="7"/>
      <c r="CY236" s="7"/>
      <c r="CZ236" s="7"/>
      <c r="DA236" s="7"/>
      <c r="DB236" s="44" t="str">
        <f t="shared" si="3550"/>
        <v/>
      </c>
      <c r="DC236" s="44" t="str">
        <f t="shared" si="3551"/>
        <v/>
      </c>
      <c r="DD236" s="44" t="str">
        <f t="shared" si="3552"/>
        <v/>
      </c>
      <c r="DE236" s="44" t="str">
        <f t="shared" si="3553"/>
        <v/>
      </c>
      <c r="DF236" s="44" t="str">
        <f t="shared" si="3554"/>
        <v/>
      </c>
      <c r="DG236" s="44" t="str">
        <f t="shared" si="3555"/>
        <v/>
      </c>
      <c r="DH236" s="44" t="str">
        <f t="shared" si="3556"/>
        <v/>
      </c>
      <c r="DI236" s="44" t="str">
        <f t="shared" si="3557"/>
        <v/>
      </c>
      <c r="DJ236" s="44" t="str">
        <f t="shared" si="3558"/>
        <v/>
      </c>
      <c r="DK236" s="44" t="str">
        <f t="shared" si="3559"/>
        <v/>
      </c>
      <c r="DL236" s="44" t="str">
        <f t="shared" si="3560"/>
        <v/>
      </c>
      <c r="DM236" s="44" t="str">
        <f t="shared" si="3561"/>
        <v/>
      </c>
      <c r="DN236" s="44" t="str">
        <f t="shared" si="3562"/>
        <v/>
      </c>
      <c r="DO236" s="44" t="str">
        <f t="shared" si="3563"/>
        <v/>
      </c>
      <c r="DP236" s="44" t="str">
        <f t="shared" si="3564"/>
        <v/>
      </c>
      <c r="DQ236" s="44" t="str">
        <f t="shared" si="3565"/>
        <v/>
      </c>
      <c r="DR236" s="44" t="str">
        <f t="shared" si="3566"/>
        <v/>
      </c>
      <c r="DS236" s="44" t="str">
        <f t="shared" si="3567"/>
        <v/>
      </c>
      <c r="DT236" s="44" t="str">
        <f t="shared" si="3568"/>
        <v/>
      </c>
      <c r="DU236" s="44" t="str">
        <f t="shared" si="3569"/>
        <v/>
      </c>
      <c r="DV236" s="44" t="str">
        <f t="shared" si="3570"/>
        <v/>
      </c>
      <c r="DW236" s="44" t="str">
        <f t="shared" si="3571"/>
        <v/>
      </c>
      <c r="DX236" s="44" t="str">
        <f t="shared" si="3572"/>
        <v/>
      </c>
      <c r="DY236" s="44" t="str">
        <f t="shared" si="3573"/>
        <v/>
      </c>
      <c r="DZ236" s="44" t="str">
        <f t="shared" si="3574"/>
        <v/>
      </c>
      <c r="EA236" s="44" t="str">
        <f t="shared" si="3575"/>
        <v/>
      </c>
      <c r="EB236" s="44" t="str">
        <f t="shared" si="3576"/>
        <v/>
      </c>
      <c r="EC236" s="44" t="str">
        <f t="shared" si="3577"/>
        <v/>
      </c>
      <c r="ED236" s="44" t="str">
        <f t="shared" si="3578"/>
        <v/>
      </c>
      <c r="EE236" s="44" t="str">
        <f t="shared" si="3579"/>
        <v/>
      </c>
      <c r="EF236" s="44" t="str">
        <f t="shared" si="3580"/>
        <v/>
      </c>
      <c r="EG236" s="44" t="str">
        <f t="shared" si="3581"/>
        <v/>
      </c>
      <c r="EH236" s="44" t="str">
        <f t="shared" si="3582"/>
        <v/>
      </c>
      <c r="EI236" s="44" t="str">
        <f t="shared" si="3583"/>
        <v/>
      </c>
      <c r="EJ236" s="44" t="str">
        <f t="shared" si="3584"/>
        <v/>
      </c>
      <c r="EK236" s="44" t="str">
        <f t="shared" si="3585"/>
        <v/>
      </c>
      <c r="EL236" s="44" t="str">
        <f t="shared" si="3586"/>
        <v/>
      </c>
      <c r="EM236" s="44" t="str">
        <f t="shared" si="3587"/>
        <v/>
      </c>
      <c r="EN236" s="44" t="str">
        <f t="shared" si="3588"/>
        <v/>
      </c>
      <c r="EO236" s="44" t="str">
        <f t="shared" si="3589"/>
        <v/>
      </c>
      <c r="EP236" s="44" t="str">
        <f t="shared" si="3590"/>
        <v/>
      </c>
      <c r="EQ236" s="44" t="str">
        <f t="shared" si="3591"/>
        <v/>
      </c>
      <c r="ER236" s="44" t="str">
        <f t="shared" si="3592"/>
        <v/>
      </c>
      <c r="ES236" s="44" t="str">
        <f t="shared" si="3593"/>
        <v/>
      </c>
      <c r="ET236" s="44" t="str">
        <f t="shared" si="3594"/>
        <v/>
      </c>
      <c r="EU236" s="44" t="str">
        <f t="shared" si="3595"/>
        <v/>
      </c>
      <c r="EV236" s="44" t="str">
        <f t="shared" si="3596"/>
        <v/>
      </c>
      <c r="EW236" s="44" t="str">
        <f t="shared" si="3597"/>
        <v/>
      </c>
      <c r="EX236" s="44" t="str">
        <f t="shared" si="3598"/>
        <v/>
      </c>
      <c r="EY236" s="44" t="str">
        <f t="shared" si="3599"/>
        <v/>
      </c>
      <c r="EZ236" s="44" t="str">
        <f t="shared" si="3600"/>
        <v/>
      </c>
      <c r="FA236" s="44" t="str">
        <f t="shared" si="3601"/>
        <v/>
      </c>
      <c r="FB236" s="44" t="str">
        <f t="shared" si="3602"/>
        <v/>
      </c>
      <c r="FC236" s="44" t="str">
        <f t="shared" si="3603"/>
        <v/>
      </c>
      <c r="FD236" s="44" t="str">
        <f t="shared" si="3604"/>
        <v/>
      </c>
      <c r="FE236" s="44" t="str">
        <f t="shared" si="3605"/>
        <v/>
      </c>
      <c r="FF236" s="44" t="str">
        <f t="shared" si="3606"/>
        <v/>
      </c>
      <c r="FG236" s="44" t="str">
        <f t="shared" si="3607"/>
        <v/>
      </c>
      <c r="FH236" s="44" t="str">
        <f t="shared" si="3608"/>
        <v/>
      </c>
      <c r="FI236" s="44" t="str">
        <f t="shared" si="3609"/>
        <v/>
      </c>
      <c r="FJ236" s="44" t="str">
        <f t="shared" si="3610"/>
        <v/>
      </c>
      <c r="FK236" s="44" t="str">
        <f t="shared" si="3611"/>
        <v/>
      </c>
      <c r="FL236" s="44" t="str">
        <f t="shared" si="3612"/>
        <v/>
      </c>
      <c r="FM236" s="44" t="str">
        <f t="shared" si="3613"/>
        <v/>
      </c>
      <c r="FN236" s="44" t="str">
        <f t="shared" si="3614"/>
        <v/>
      </c>
      <c r="FO236" s="44" t="str">
        <f t="shared" si="3615"/>
        <v/>
      </c>
      <c r="FP236" s="44" t="str">
        <f t="shared" si="3616"/>
        <v/>
      </c>
      <c r="FQ236" s="44" t="str">
        <f t="shared" si="3617"/>
        <v/>
      </c>
      <c r="FR236" s="44" t="str">
        <f t="shared" si="3618"/>
        <v/>
      </c>
      <c r="FS236" s="44" t="str">
        <f t="shared" si="3619"/>
        <v/>
      </c>
    </row>
    <row r="237" ht="15" spans="1:175">
      <c r="A237" s="111"/>
      <c r="B237" s="8" t="s">
        <v>757</v>
      </c>
      <c r="C237" s="6" t="s">
        <v>755</v>
      </c>
      <c r="T237" s="113"/>
      <c r="U237" s="60"/>
      <c r="CN237" s="13" t="str">
        <f t="shared" si="3544"/>
        <v>InitUnitState('IF04',,,,,,,,,,)</v>
      </c>
      <c r="CO237" s="13" t="str">
        <f t="shared" si="3545"/>
        <v>InitUnitNormal('IF04',,,,,,,,,,)</v>
      </c>
      <c r="CP237" s="13" t="str">
        <f t="shared" si="3546"/>
        <v>InitUnitMagic('IF04',,,,,,,,,,)</v>
      </c>
      <c r="CQ237" s="13" t="str">
        <f t="shared" si="3547"/>
        <v>InitUnitAdd('IF04',,,,,,,,,,)</v>
      </c>
      <c r="CR237" s="13" t="str">
        <f t="shared" si="3548"/>
        <v>InitEquipData('IF04',,"",,,,,'','','','','','',"")</v>
      </c>
      <c r="CU237" s="72" t="str">
        <f t="shared" si="3549"/>
        <v>|n</v>
      </c>
      <c r="CW237" s="7"/>
      <c r="CX237" s="7"/>
      <c r="CY237" s="7"/>
      <c r="CZ237" s="7"/>
      <c r="DA237" s="7"/>
      <c r="DB237" s="44" t="str">
        <f t="shared" si="3550"/>
        <v/>
      </c>
      <c r="DC237" s="44" t="str">
        <f t="shared" si="3551"/>
        <v/>
      </c>
      <c r="DD237" s="44" t="str">
        <f t="shared" si="3552"/>
        <v/>
      </c>
      <c r="DE237" s="44" t="str">
        <f t="shared" si="3553"/>
        <v/>
      </c>
      <c r="DF237" s="44" t="str">
        <f t="shared" si="3554"/>
        <v/>
      </c>
      <c r="DG237" s="44" t="str">
        <f t="shared" si="3555"/>
        <v/>
      </c>
      <c r="DH237" s="44" t="str">
        <f t="shared" si="3556"/>
        <v/>
      </c>
      <c r="DI237" s="44" t="str">
        <f t="shared" si="3557"/>
        <v/>
      </c>
      <c r="DJ237" s="44" t="str">
        <f t="shared" si="3558"/>
        <v/>
      </c>
      <c r="DK237" s="44" t="str">
        <f t="shared" si="3559"/>
        <v/>
      </c>
      <c r="DL237" s="44" t="str">
        <f t="shared" si="3560"/>
        <v/>
      </c>
      <c r="DM237" s="44" t="str">
        <f t="shared" si="3561"/>
        <v/>
      </c>
      <c r="DN237" s="44" t="str">
        <f t="shared" si="3562"/>
        <v/>
      </c>
      <c r="DO237" s="44" t="str">
        <f t="shared" si="3563"/>
        <v/>
      </c>
      <c r="DP237" s="44" t="str">
        <f t="shared" si="3564"/>
        <v/>
      </c>
      <c r="DQ237" s="44" t="str">
        <f t="shared" si="3565"/>
        <v/>
      </c>
      <c r="DR237" s="44" t="str">
        <f t="shared" si="3566"/>
        <v/>
      </c>
      <c r="DS237" s="44" t="str">
        <f t="shared" si="3567"/>
        <v/>
      </c>
      <c r="DT237" s="44" t="str">
        <f t="shared" si="3568"/>
        <v/>
      </c>
      <c r="DU237" s="44" t="str">
        <f t="shared" si="3569"/>
        <v/>
      </c>
      <c r="DV237" s="44" t="str">
        <f t="shared" si="3570"/>
        <v/>
      </c>
      <c r="DW237" s="44" t="str">
        <f t="shared" si="3571"/>
        <v/>
      </c>
      <c r="DX237" s="44" t="str">
        <f t="shared" si="3572"/>
        <v/>
      </c>
      <c r="DY237" s="44" t="str">
        <f t="shared" si="3573"/>
        <v/>
      </c>
      <c r="DZ237" s="44" t="str">
        <f t="shared" si="3574"/>
        <v/>
      </c>
      <c r="EA237" s="44" t="str">
        <f t="shared" si="3575"/>
        <v/>
      </c>
      <c r="EB237" s="44" t="str">
        <f t="shared" si="3576"/>
        <v/>
      </c>
      <c r="EC237" s="44" t="str">
        <f t="shared" si="3577"/>
        <v/>
      </c>
      <c r="ED237" s="44" t="str">
        <f t="shared" si="3578"/>
        <v/>
      </c>
      <c r="EE237" s="44" t="str">
        <f t="shared" si="3579"/>
        <v/>
      </c>
      <c r="EF237" s="44" t="str">
        <f t="shared" si="3580"/>
        <v/>
      </c>
      <c r="EG237" s="44" t="str">
        <f t="shared" si="3581"/>
        <v/>
      </c>
      <c r="EH237" s="44" t="str">
        <f t="shared" si="3582"/>
        <v/>
      </c>
      <c r="EI237" s="44" t="str">
        <f t="shared" si="3583"/>
        <v/>
      </c>
      <c r="EJ237" s="44" t="str">
        <f t="shared" si="3584"/>
        <v/>
      </c>
      <c r="EK237" s="44" t="str">
        <f t="shared" si="3585"/>
        <v/>
      </c>
      <c r="EL237" s="44" t="str">
        <f t="shared" si="3586"/>
        <v/>
      </c>
      <c r="EM237" s="44" t="str">
        <f t="shared" si="3587"/>
        <v/>
      </c>
      <c r="EN237" s="44" t="str">
        <f t="shared" si="3588"/>
        <v/>
      </c>
      <c r="EO237" s="44" t="str">
        <f t="shared" si="3589"/>
        <v/>
      </c>
      <c r="EP237" s="44" t="str">
        <f t="shared" si="3590"/>
        <v/>
      </c>
      <c r="EQ237" s="44" t="str">
        <f t="shared" si="3591"/>
        <v/>
      </c>
      <c r="ER237" s="44" t="str">
        <f t="shared" si="3592"/>
        <v/>
      </c>
      <c r="ES237" s="44" t="str">
        <f t="shared" si="3593"/>
        <v/>
      </c>
      <c r="ET237" s="44" t="str">
        <f t="shared" si="3594"/>
        <v/>
      </c>
      <c r="EU237" s="44" t="str">
        <f t="shared" si="3595"/>
        <v/>
      </c>
      <c r="EV237" s="44" t="str">
        <f t="shared" si="3596"/>
        <v/>
      </c>
      <c r="EW237" s="44" t="str">
        <f t="shared" si="3597"/>
        <v/>
      </c>
      <c r="EX237" s="44" t="str">
        <f t="shared" si="3598"/>
        <v/>
      </c>
      <c r="EY237" s="44" t="str">
        <f t="shared" si="3599"/>
        <v/>
      </c>
      <c r="EZ237" s="44" t="str">
        <f t="shared" si="3600"/>
        <v/>
      </c>
      <c r="FA237" s="44" t="str">
        <f t="shared" si="3601"/>
        <v/>
      </c>
      <c r="FB237" s="44" t="str">
        <f t="shared" si="3602"/>
        <v/>
      </c>
      <c r="FC237" s="44" t="str">
        <f t="shared" si="3603"/>
        <v/>
      </c>
      <c r="FD237" s="44" t="str">
        <f t="shared" si="3604"/>
        <v/>
      </c>
      <c r="FE237" s="44" t="str">
        <f t="shared" si="3605"/>
        <v/>
      </c>
      <c r="FF237" s="44" t="str">
        <f t="shared" si="3606"/>
        <v/>
      </c>
      <c r="FG237" s="44" t="str">
        <f t="shared" si="3607"/>
        <v/>
      </c>
      <c r="FH237" s="44" t="str">
        <f t="shared" si="3608"/>
        <v/>
      </c>
      <c r="FI237" s="44" t="str">
        <f t="shared" si="3609"/>
        <v/>
      </c>
      <c r="FJ237" s="44" t="str">
        <f t="shared" si="3610"/>
        <v/>
      </c>
      <c r="FK237" s="44" t="str">
        <f t="shared" si="3611"/>
        <v/>
      </c>
      <c r="FL237" s="44" t="str">
        <f t="shared" si="3612"/>
        <v/>
      </c>
      <c r="FM237" s="44" t="str">
        <f t="shared" si="3613"/>
        <v/>
      </c>
      <c r="FN237" s="44" t="str">
        <f t="shared" si="3614"/>
        <v/>
      </c>
      <c r="FO237" s="44" t="str">
        <f t="shared" si="3615"/>
        <v/>
      </c>
      <c r="FP237" s="44" t="str">
        <f t="shared" si="3616"/>
        <v/>
      </c>
      <c r="FQ237" s="44" t="str">
        <f t="shared" si="3617"/>
        <v/>
      </c>
      <c r="FR237" s="44" t="str">
        <f t="shared" si="3618"/>
        <v/>
      </c>
      <c r="FS237" s="44" t="str">
        <f t="shared" si="3619"/>
        <v/>
      </c>
    </row>
    <row r="238" ht="15" spans="1:175">
      <c r="A238" s="111"/>
      <c r="B238" s="8" t="s">
        <v>758</v>
      </c>
      <c r="C238" s="6" t="s">
        <v>117</v>
      </c>
      <c r="T238" s="113"/>
      <c r="U238" s="60"/>
      <c r="CN238" s="13" t="str">
        <f t="shared" si="3544"/>
        <v>InitUnitState('IF05',,,,,,,,,,)</v>
      </c>
      <c r="CO238" s="13" t="str">
        <f t="shared" si="3545"/>
        <v>InitUnitNormal('IF05',,,,,,,,,,)</v>
      </c>
      <c r="CP238" s="13" t="str">
        <f t="shared" si="3546"/>
        <v>InitUnitMagic('IF05',,,,,,,,,,)</v>
      </c>
      <c r="CQ238" s="13" t="str">
        <f t="shared" si="3547"/>
        <v>InitUnitAdd('IF05',,,,,,,,,,)</v>
      </c>
      <c r="CR238" s="13" t="str">
        <f t="shared" si="3548"/>
        <v>InitEquipData('IF05',,"",,,,,'','','','','','',"")</v>
      </c>
      <c r="CU238" s="72" t="str">
        <f t="shared" si="3549"/>
        <v>|n</v>
      </c>
      <c r="CW238" s="7"/>
      <c r="CX238" s="7"/>
      <c r="CY238" s="7"/>
      <c r="CZ238" s="7"/>
      <c r="DA238" s="7"/>
      <c r="DB238" s="44" t="str">
        <f t="shared" si="3550"/>
        <v/>
      </c>
      <c r="DC238" s="44" t="str">
        <f t="shared" si="3551"/>
        <v/>
      </c>
      <c r="DD238" s="44" t="str">
        <f t="shared" si="3552"/>
        <v/>
      </c>
      <c r="DE238" s="44" t="str">
        <f t="shared" si="3553"/>
        <v/>
      </c>
      <c r="DF238" s="44" t="str">
        <f t="shared" si="3554"/>
        <v/>
      </c>
      <c r="DG238" s="44" t="str">
        <f t="shared" si="3555"/>
        <v/>
      </c>
      <c r="DH238" s="44" t="str">
        <f t="shared" si="3556"/>
        <v/>
      </c>
      <c r="DI238" s="44" t="str">
        <f t="shared" si="3557"/>
        <v/>
      </c>
      <c r="DJ238" s="44" t="str">
        <f t="shared" si="3558"/>
        <v/>
      </c>
      <c r="DK238" s="44" t="str">
        <f t="shared" si="3559"/>
        <v/>
      </c>
      <c r="DL238" s="44" t="str">
        <f t="shared" si="3560"/>
        <v/>
      </c>
      <c r="DM238" s="44" t="str">
        <f t="shared" si="3561"/>
        <v/>
      </c>
      <c r="DN238" s="44" t="str">
        <f t="shared" si="3562"/>
        <v/>
      </c>
      <c r="DO238" s="44" t="str">
        <f t="shared" si="3563"/>
        <v/>
      </c>
      <c r="DP238" s="44" t="str">
        <f t="shared" si="3564"/>
        <v/>
      </c>
      <c r="DQ238" s="44" t="str">
        <f t="shared" si="3565"/>
        <v/>
      </c>
      <c r="DR238" s="44" t="str">
        <f t="shared" si="3566"/>
        <v/>
      </c>
      <c r="DS238" s="44" t="str">
        <f t="shared" si="3567"/>
        <v/>
      </c>
      <c r="DT238" s="44" t="str">
        <f t="shared" si="3568"/>
        <v/>
      </c>
      <c r="DU238" s="44" t="str">
        <f t="shared" si="3569"/>
        <v/>
      </c>
      <c r="DV238" s="44" t="str">
        <f t="shared" si="3570"/>
        <v/>
      </c>
      <c r="DW238" s="44" t="str">
        <f t="shared" si="3571"/>
        <v/>
      </c>
      <c r="DX238" s="44" t="str">
        <f t="shared" si="3572"/>
        <v/>
      </c>
      <c r="DY238" s="44" t="str">
        <f t="shared" si="3573"/>
        <v/>
      </c>
      <c r="DZ238" s="44" t="str">
        <f t="shared" si="3574"/>
        <v/>
      </c>
      <c r="EA238" s="44" t="str">
        <f t="shared" si="3575"/>
        <v/>
      </c>
      <c r="EB238" s="44" t="str">
        <f t="shared" si="3576"/>
        <v/>
      </c>
      <c r="EC238" s="44" t="str">
        <f t="shared" si="3577"/>
        <v/>
      </c>
      <c r="ED238" s="44" t="str">
        <f t="shared" si="3578"/>
        <v/>
      </c>
      <c r="EE238" s="44" t="str">
        <f t="shared" si="3579"/>
        <v/>
      </c>
      <c r="EF238" s="44" t="str">
        <f t="shared" si="3580"/>
        <v/>
      </c>
      <c r="EG238" s="44" t="str">
        <f t="shared" si="3581"/>
        <v/>
      </c>
      <c r="EH238" s="44" t="str">
        <f t="shared" si="3582"/>
        <v/>
      </c>
      <c r="EI238" s="44" t="str">
        <f t="shared" si="3583"/>
        <v/>
      </c>
      <c r="EJ238" s="44" t="str">
        <f t="shared" si="3584"/>
        <v/>
      </c>
      <c r="EK238" s="44" t="str">
        <f t="shared" si="3585"/>
        <v/>
      </c>
      <c r="EL238" s="44" t="str">
        <f t="shared" si="3586"/>
        <v/>
      </c>
      <c r="EM238" s="44" t="str">
        <f t="shared" si="3587"/>
        <v/>
      </c>
      <c r="EN238" s="44" t="str">
        <f t="shared" si="3588"/>
        <v/>
      </c>
      <c r="EO238" s="44" t="str">
        <f t="shared" si="3589"/>
        <v/>
      </c>
      <c r="EP238" s="44" t="str">
        <f t="shared" si="3590"/>
        <v/>
      </c>
      <c r="EQ238" s="44" t="str">
        <f t="shared" si="3591"/>
        <v/>
      </c>
      <c r="ER238" s="44" t="str">
        <f t="shared" si="3592"/>
        <v/>
      </c>
      <c r="ES238" s="44" t="str">
        <f t="shared" si="3593"/>
        <v/>
      </c>
      <c r="ET238" s="44" t="str">
        <f t="shared" si="3594"/>
        <v/>
      </c>
      <c r="EU238" s="44" t="str">
        <f t="shared" si="3595"/>
        <v/>
      </c>
      <c r="EV238" s="44" t="str">
        <f t="shared" si="3596"/>
        <v/>
      </c>
      <c r="EW238" s="44" t="str">
        <f t="shared" si="3597"/>
        <v/>
      </c>
      <c r="EX238" s="44" t="str">
        <f t="shared" si="3598"/>
        <v/>
      </c>
      <c r="EY238" s="44" t="str">
        <f t="shared" si="3599"/>
        <v/>
      </c>
      <c r="EZ238" s="44" t="str">
        <f t="shared" si="3600"/>
        <v/>
      </c>
      <c r="FA238" s="44" t="str">
        <f t="shared" si="3601"/>
        <v/>
      </c>
      <c r="FB238" s="44" t="str">
        <f t="shared" si="3602"/>
        <v/>
      </c>
      <c r="FC238" s="44" t="str">
        <f t="shared" si="3603"/>
        <v/>
      </c>
      <c r="FD238" s="44" t="str">
        <f t="shared" si="3604"/>
        <v/>
      </c>
      <c r="FE238" s="44" t="str">
        <f t="shared" si="3605"/>
        <v/>
      </c>
      <c r="FF238" s="44" t="str">
        <f t="shared" si="3606"/>
        <v/>
      </c>
      <c r="FG238" s="44" t="str">
        <f t="shared" si="3607"/>
        <v/>
      </c>
      <c r="FH238" s="44" t="str">
        <f t="shared" si="3608"/>
        <v/>
      </c>
      <c r="FI238" s="44" t="str">
        <f t="shared" si="3609"/>
        <v/>
      </c>
      <c r="FJ238" s="44" t="str">
        <f t="shared" si="3610"/>
        <v/>
      </c>
      <c r="FK238" s="44" t="str">
        <f t="shared" si="3611"/>
        <v/>
      </c>
      <c r="FL238" s="44" t="str">
        <f t="shared" si="3612"/>
        <v/>
      </c>
      <c r="FM238" s="44" t="str">
        <f t="shared" si="3613"/>
        <v/>
      </c>
      <c r="FN238" s="44" t="str">
        <f t="shared" si="3614"/>
        <v/>
      </c>
      <c r="FO238" s="44" t="str">
        <f t="shared" si="3615"/>
        <v/>
      </c>
      <c r="FP238" s="44" t="str">
        <f t="shared" si="3616"/>
        <v/>
      </c>
      <c r="FQ238" s="44" t="str">
        <f t="shared" si="3617"/>
        <v/>
      </c>
      <c r="FR238" s="44" t="str">
        <f t="shared" si="3618"/>
        <v/>
      </c>
      <c r="FS238" s="44" t="str">
        <f t="shared" si="3619"/>
        <v/>
      </c>
    </row>
    <row r="239" ht="15" spans="1:175">
      <c r="A239" s="111"/>
      <c r="B239" s="8" t="s">
        <v>759</v>
      </c>
      <c r="C239" s="6" t="s">
        <v>755</v>
      </c>
      <c r="T239" s="113"/>
      <c r="U239" s="60"/>
      <c r="CN239" s="13" t="str">
        <f t="shared" si="3544"/>
        <v>InitUnitState('IF06',,,,,,,,,,)</v>
      </c>
      <c r="CO239" s="13" t="str">
        <f t="shared" si="3545"/>
        <v>InitUnitNormal('IF06',,,,,,,,,,)</v>
      </c>
      <c r="CP239" s="13" t="str">
        <f t="shared" si="3546"/>
        <v>InitUnitMagic('IF06',,,,,,,,,,)</v>
      </c>
      <c r="CQ239" s="13" t="str">
        <f t="shared" si="3547"/>
        <v>InitUnitAdd('IF06',,,,,,,,,,)</v>
      </c>
      <c r="CR239" s="13" t="str">
        <f t="shared" si="3548"/>
        <v>InitEquipData('IF06',,"",,,,,'','','','','','',"")</v>
      </c>
      <c r="CU239" s="72" t="str">
        <f t="shared" si="3549"/>
        <v>|n</v>
      </c>
      <c r="CW239" s="7"/>
      <c r="CX239" s="7"/>
      <c r="CY239" s="7"/>
      <c r="CZ239" s="7"/>
      <c r="DA239" s="7"/>
      <c r="DB239" s="44" t="str">
        <f t="shared" si="3550"/>
        <v/>
      </c>
      <c r="DC239" s="44" t="str">
        <f t="shared" si="3551"/>
        <v/>
      </c>
      <c r="DD239" s="44" t="str">
        <f t="shared" si="3552"/>
        <v/>
      </c>
      <c r="DE239" s="44" t="str">
        <f t="shared" si="3553"/>
        <v/>
      </c>
      <c r="DF239" s="44" t="str">
        <f t="shared" si="3554"/>
        <v/>
      </c>
      <c r="DG239" s="44" t="str">
        <f t="shared" si="3555"/>
        <v/>
      </c>
      <c r="DH239" s="44" t="str">
        <f t="shared" si="3556"/>
        <v/>
      </c>
      <c r="DI239" s="44" t="str">
        <f t="shared" si="3557"/>
        <v/>
      </c>
      <c r="DJ239" s="44" t="str">
        <f t="shared" si="3558"/>
        <v/>
      </c>
      <c r="DK239" s="44" t="str">
        <f t="shared" si="3559"/>
        <v/>
      </c>
      <c r="DL239" s="44" t="str">
        <f t="shared" si="3560"/>
        <v/>
      </c>
      <c r="DM239" s="44" t="str">
        <f t="shared" si="3561"/>
        <v/>
      </c>
      <c r="DN239" s="44" t="str">
        <f t="shared" si="3562"/>
        <v/>
      </c>
      <c r="DO239" s="44" t="str">
        <f t="shared" si="3563"/>
        <v/>
      </c>
      <c r="DP239" s="44" t="str">
        <f t="shared" si="3564"/>
        <v/>
      </c>
      <c r="DQ239" s="44" t="str">
        <f t="shared" si="3565"/>
        <v/>
      </c>
      <c r="DR239" s="44" t="str">
        <f t="shared" si="3566"/>
        <v/>
      </c>
      <c r="DS239" s="44" t="str">
        <f t="shared" si="3567"/>
        <v/>
      </c>
      <c r="DT239" s="44" t="str">
        <f t="shared" si="3568"/>
        <v/>
      </c>
      <c r="DU239" s="44" t="str">
        <f t="shared" si="3569"/>
        <v/>
      </c>
      <c r="DV239" s="44" t="str">
        <f t="shared" si="3570"/>
        <v/>
      </c>
      <c r="DW239" s="44" t="str">
        <f t="shared" si="3571"/>
        <v/>
      </c>
      <c r="DX239" s="44" t="str">
        <f t="shared" si="3572"/>
        <v/>
      </c>
      <c r="DY239" s="44" t="str">
        <f t="shared" si="3573"/>
        <v/>
      </c>
      <c r="DZ239" s="44" t="str">
        <f t="shared" si="3574"/>
        <v/>
      </c>
      <c r="EA239" s="44" t="str">
        <f t="shared" si="3575"/>
        <v/>
      </c>
      <c r="EB239" s="44" t="str">
        <f t="shared" si="3576"/>
        <v/>
      </c>
      <c r="EC239" s="44" t="str">
        <f t="shared" si="3577"/>
        <v/>
      </c>
      <c r="ED239" s="44" t="str">
        <f t="shared" si="3578"/>
        <v/>
      </c>
      <c r="EE239" s="44" t="str">
        <f t="shared" si="3579"/>
        <v/>
      </c>
      <c r="EF239" s="44" t="str">
        <f t="shared" si="3580"/>
        <v/>
      </c>
      <c r="EG239" s="44" t="str">
        <f t="shared" si="3581"/>
        <v/>
      </c>
      <c r="EH239" s="44" t="str">
        <f t="shared" si="3582"/>
        <v/>
      </c>
      <c r="EI239" s="44" t="str">
        <f t="shared" si="3583"/>
        <v/>
      </c>
      <c r="EJ239" s="44" t="str">
        <f t="shared" si="3584"/>
        <v/>
      </c>
      <c r="EK239" s="44" t="str">
        <f t="shared" si="3585"/>
        <v/>
      </c>
      <c r="EL239" s="44" t="str">
        <f t="shared" si="3586"/>
        <v/>
      </c>
      <c r="EM239" s="44" t="str">
        <f t="shared" si="3587"/>
        <v/>
      </c>
      <c r="EN239" s="44" t="str">
        <f t="shared" si="3588"/>
        <v/>
      </c>
      <c r="EO239" s="44" t="str">
        <f t="shared" si="3589"/>
        <v/>
      </c>
      <c r="EP239" s="44" t="str">
        <f t="shared" si="3590"/>
        <v/>
      </c>
      <c r="EQ239" s="44" t="str">
        <f t="shared" si="3591"/>
        <v/>
      </c>
      <c r="ER239" s="44" t="str">
        <f t="shared" si="3592"/>
        <v/>
      </c>
      <c r="ES239" s="44" t="str">
        <f t="shared" si="3593"/>
        <v/>
      </c>
      <c r="ET239" s="44" t="str">
        <f t="shared" si="3594"/>
        <v/>
      </c>
      <c r="EU239" s="44" t="str">
        <f t="shared" si="3595"/>
        <v/>
      </c>
      <c r="EV239" s="44" t="str">
        <f t="shared" si="3596"/>
        <v/>
      </c>
      <c r="EW239" s="44" t="str">
        <f t="shared" si="3597"/>
        <v/>
      </c>
      <c r="EX239" s="44" t="str">
        <f t="shared" si="3598"/>
        <v/>
      </c>
      <c r="EY239" s="44" t="str">
        <f t="shared" si="3599"/>
        <v/>
      </c>
      <c r="EZ239" s="44" t="str">
        <f t="shared" si="3600"/>
        <v/>
      </c>
      <c r="FA239" s="44" t="str">
        <f t="shared" si="3601"/>
        <v/>
      </c>
      <c r="FB239" s="44" t="str">
        <f t="shared" si="3602"/>
        <v/>
      </c>
      <c r="FC239" s="44" t="str">
        <f t="shared" si="3603"/>
        <v/>
      </c>
      <c r="FD239" s="44" t="str">
        <f t="shared" si="3604"/>
        <v/>
      </c>
      <c r="FE239" s="44" t="str">
        <f t="shared" si="3605"/>
        <v/>
      </c>
      <c r="FF239" s="44" t="str">
        <f t="shared" si="3606"/>
        <v/>
      </c>
      <c r="FG239" s="44" t="str">
        <f t="shared" si="3607"/>
        <v/>
      </c>
      <c r="FH239" s="44" t="str">
        <f t="shared" si="3608"/>
        <v/>
      </c>
      <c r="FI239" s="44" t="str">
        <f t="shared" si="3609"/>
        <v/>
      </c>
      <c r="FJ239" s="44" t="str">
        <f t="shared" si="3610"/>
        <v/>
      </c>
      <c r="FK239" s="44" t="str">
        <f t="shared" si="3611"/>
        <v/>
      </c>
      <c r="FL239" s="44" t="str">
        <f t="shared" si="3612"/>
        <v/>
      </c>
      <c r="FM239" s="44" t="str">
        <f t="shared" si="3613"/>
        <v/>
      </c>
      <c r="FN239" s="44" t="str">
        <f t="shared" si="3614"/>
        <v/>
      </c>
      <c r="FO239" s="44" t="str">
        <f t="shared" si="3615"/>
        <v/>
      </c>
      <c r="FP239" s="44" t="str">
        <f t="shared" si="3616"/>
        <v/>
      </c>
      <c r="FQ239" s="44" t="str">
        <f t="shared" si="3617"/>
        <v/>
      </c>
      <c r="FR239" s="44" t="str">
        <f t="shared" si="3618"/>
        <v/>
      </c>
      <c r="FS239" s="44" t="str">
        <f t="shared" si="3619"/>
        <v/>
      </c>
    </row>
    <row r="240" ht="15" spans="1:175">
      <c r="A240" s="111"/>
      <c r="B240" s="8" t="s">
        <v>760</v>
      </c>
      <c r="C240" s="6" t="s">
        <v>117</v>
      </c>
      <c r="T240" s="113"/>
      <c r="U240" s="60"/>
      <c r="CN240" s="13" t="str">
        <f t="shared" si="3544"/>
        <v>InitUnitState('IF07',,,,,,,,,,)</v>
      </c>
      <c r="CO240" s="13" t="str">
        <f t="shared" si="3545"/>
        <v>InitUnitNormal('IF07',,,,,,,,,,)</v>
      </c>
      <c r="CP240" s="13" t="str">
        <f t="shared" si="3546"/>
        <v>InitUnitMagic('IF07',,,,,,,,,,)</v>
      </c>
      <c r="CQ240" s="13" t="str">
        <f t="shared" si="3547"/>
        <v>InitUnitAdd('IF07',,,,,,,,,,)</v>
      </c>
      <c r="CR240" s="13" t="str">
        <f t="shared" si="3548"/>
        <v>InitEquipData('IF07',,"",,,,,'','','','','','',"")</v>
      </c>
      <c r="CU240" s="72" t="str">
        <f t="shared" si="3549"/>
        <v>|n</v>
      </c>
      <c r="CW240" s="7"/>
      <c r="CX240" s="7"/>
      <c r="CY240" s="7"/>
      <c r="CZ240" s="7"/>
      <c r="DA240" s="7"/>
      <c r="DB240" s="44" t="str">
        <f t="shared" si="3550"/>
        <v/>
      </c>
      <c r="DC240" s="44" t="str">
        <f t="shared" si="3551"/>
        <v/>
      </c>
      <c r="DD240" s="44" t="str">
        <f t="shared" si="3552"/>
        <v/>
      </c>
      <c r="DE240" s="44" t="str">
        <f t="shared" si="3553"/>
        <v/>
      </c>
      <c r="DF240" s="44" t="str">
        <f t="shared" si="3554"/>
        <v/>
      </c>
      <c r="DG240" s="44" t="str">
        <f t="shared" si="3555"/>
        <v/>
      </c>
      <c r="DH240" s="44" t="str">
        <f t="shared" si="3556"/>
        <v/>
      </c>
      <c r="DI240" s="44" t="str">
        <f t="shared" si="3557"/>
        <v/>
      </c>
      <c r="DJ240" s="44" t="str">
        <f t="shared" si="3558"/>
        <v/>
      </c>
      <c r="DK240" s="44" t="str">
        <f t="shared" si="3559"/>
        <v/>
      </c>
      <c r="DL240" s="44" t="str">
        <f t="shared" si="3560"/>
        <v/>
      </c>
      <c r="DM240" s="44" t="str">
        <f t="shared" si="3561"/>
        <v/>
      </c>
      <c r="DN240" s="44" t="str">
        <f t="shared" si="3562"/>
        <v/>
      </c>
      <c r="DO240" s="44" t="str">
        <f t="shared" si="3563"/>
        <v/>
      </c>
      <c r="DP240" s="44" t="str">
        <f t="shared" si="3564"/>
        <v/>
      </c>
      <c r="DQ240" s="44" t="str">
        <f t="shared" si="3565"/>
        <v/>
      </c>
      <c r="DR240" s="44" t="str">
        <f t="shared" si="3566"/>
        <v/>
      </c>
      <c r="DS240" s="44" t="str">
        <f t="shared" si="3567"/>
        <v/>
      </c>
      <c r="DT240" s="44" t="str">
        <f t="shared" si="3568"/>
        <v/>
      </c>
      <c r="DU240" s="44" t="str">
        <f t="shared" si="3569"/>
        <v/>
      </c>
      <c r="DV240" s="44" t="str">
        <f t="shared" si="3570"/>
        <v/>
      </c>
      <c r="DW240" s="44" t="str">
        <f t="shared" si="3571"/>
        <v/>
      </c>
      <c r="DX240" s="44" t="str">
        <f t="shared" si="3572"/>
        <v/>
      </c>
      <c r="DY240" s="44" t="str">
        <f t="shared" si="3573"/>
        <v/>
      </c>
      <c r="DZ240" s="44" t="str">
        <f t="shared" si="3574"/>
        <v/>
      </c>
      <c r="EA240" s="44" t="str">
        <f t="shared" si="3575"/>
        <v/>
      </c>
      <c r="EB240" s="44" t="str">
        <f t="shared" si="3576"/>
        <v/>
      </c>
      <c r="EC240" s="44" t="str">
        <f t="shared" si="3577"/>
        <v/>
      </c>
      <c r="ED240" s="44" t="str">
        <f t="shared" si="3578"/>
        <v/>
      </c>
      <c r="EE240" s="44" t="str">
        <f t="shared" si="3579"/>
        <v/>
      </c>
      <c r="EF240" s="44" t="str">
        <f t="shared" si="3580"/>
        <v/>
      </c>
      <c r="EG240" s="44" t="str">
        <f t="shared" si="3581"/>
        <v/>
      </c>
      <c r="EH240" s="44" t="str">
        <f t="shared" si="3582"/>
        <v/>
      </c>
      <c r="EI240" s="44" t="str">
        <f t="shared" si="3583"/>
        <v/>
      </c>
      <c r="EJ240" s="44" t="str">
        <f t="shared" si="3584"/>
        <v/>
      </c>
      <c r="EK240" s="44" t="str">
        <f t="shared" si="3585"/>
        <v/>
      </c>
      <c r="EL240" s="44" t="str">
        <f t="shared" si="3586"/>
        <v/>
      </c>
      <c r="EM240" s="44" t="str">
        <f t="shared" si="3587"/>
        <v/>
      </c>
      <c r="EN240" s="44" t="str">
        <f t="shared" si="3588"/>
        <v/>
      </c>
      <c r="EO240" s="44" t="str">
        <f t="shared" si="3589"/>
        <v/>
      </c>
      <c r="EP240" s="44" t="str">
        <f t="shared" si="3590"/>
        <v/>
      </c>
      <c r="EQ240" s="44" t="str">
        <f t="shared" si="3591"/>
        <v/>
      </c>
      <c r="ER240" s="44" t="str">
        <f t="shared" si="3592"/>
        <v/>
      </c>
      <c r="ES240" s="44" t="str">
        <f t="shared" si="3593"/>
        <v/>
      </c>
      <c r="ET240" s="44" t="str">
        <f t="shared" si="3594"/>
        <v/>
      </c>
      <c r="EU240" s="44" t="str">
        <f t="shared" si="3595"/>
        <v/>
      </c>
      <c r="EV240" s="44" t="str">
        <f t="shared" si="3596"/>
        <v/>
      </c>
      <c r="EW240" s="44" t="str">
        <f t="shared" si="3597"/>
        <v/>
      </c>
      <c r="EX240" s="44" t="str">
        <f t="shared" si="3598"/>
        <v/>
      </c>
      <c r="EY240" s="44" t="str">
        <f t="shared" si="3599"/>
        <v/>
      </c>
      <c r="EZ240" s="44" t="str">
        <f t="shared" si="3600"/>
        <v/>
      </c>
      <c r="FA240" s="44" t="str">
        <f t="shared" si="3601"/>
        <v/>
      </c>
      <c r="FB240" s="44" t="str">
        <f t="shared" si="3602"/>
        <v/>
      </c>
      <c r="FC240" s="44" t="str">
        <f t="shared" si="3603"/>
        <v/>
      </c>
      <c r="FD240" s="44" t="str">
        <f t="shared" si="3604"/>
        <v/>
      </c>
      <c r="FE240" s="44" t="str">
        <f t="shared" si="3605"/>
        <v/>
      </c>
      <c r="FF240" s="44" t="str">
        <f t="shared" si="3606"/>
        <v/>
      </c>
      <c r="FG240" s="44" t="str">
        <f t="shared" si="3607"/>
        <v/>
      </c>
      <c r="FH240" s="44" t="str">
        <f t="shared" si="3608"/>
        <v/>
      </c>
      <c r="FI240" s="44" t="str">
        <f t="shared" si="3609"/>
        <v/>
      </c>
      <c r="FJ240" s="44" t="str">
        <f t="shared" si="3610"/>
        <v/>
      </c>
      <c r="FK240" s="44" t="str">
        <f t="shared" si="3611"/>
        <v/>
      </c>
      <c r="FL240" s="44" t="str">
        <f t="shared" si="3612"/>
        <v/>
      </c>
      <c r="FM240" s="44" t="str">
        <f t="shared" si="3613"/>
        <v/>
      </c>
      <c r="FN240" s="44" t="str">
        <f t="shared" si="3614"/>
        <v/>
      </c>
      <c r="FO240" s="44" t="str">
        <f t="shared" si="3615"/>
        <v/>
      </c>
      <c r="FP240" s="44" t="str">
        <f t="shared" si="3616"/>
        <v/>
      </c>
      <c r="FQ240" s="44" t="str">
        <f t="shared" si="3617"/>
        <v/>
      </c>
      <c r="FR240" s="44" t="str">
        <f t="shared" si="3618"/>
        <v/>
      </c>
      <c r="FS240" s="44" t="str">
        <f t="shared" si="3619"/>
        <v/>
      </c>
    </row>
    <row r="241" ht="15" spans="1:175">
      <c r="A241" s="111"/>
      <c r="B241" s="8" t="s">
        <v>761</v>
      </c>
      <c r="C241" s="6" t="s">
        <v>755</v>
      </c>
      <c r="T241" s="113"/>
      <c r="U241" s="60"/>
      <c r="CN241" s="13" t="str">
        <f t="shared" si="3544"/>
        <v>InitUnitState('IF08',,,,,,,,,,)</v>
      </c>
      <c r="CO241" s="13" t="str">
        <f t="shared" si="3545"/>
        <v>InitUnitNormal('IF08',,,,,,,,,,)</v>
      </c>
      <c r="CP241" s="13" t="str">
        <f t="shared" si="3546"/>
        <v>InitUnitMagic('IF08',,,,,,,,,,)</v>
      </c>
      <c r="CQ241" s="13" t="str">
        <f t="shared" si="3547"/>
        <v>InitUnitAdd('IF08',,,,,,,,,,)</v>
      </c>
      <c r="CR241" s="13" t="str">
        <f t="shared" si="3548"/>
        <v>InitEquipData('IF08',,"",,,,,'','','','','','',"")</v>
      </c>
      <c r="CU241" s="72" t="str">
        <f t="shared" si="3549"/>
        <v>|n</v>
      </c>
      <c r="CW241" s="7"/>
      <c r="CX241" s="7"/>
      <c r="CY241" s="7"/>
      <c r="CZ241" s="7"/>
      <c r="DA241" s="7"/>
      <c r="DB241" s="44" t="str">
        <f t="shared" si="3550"/>
        <v/>
      </c>
      <c r="DC241" s="44" t="str">
        <f t="shared" si="3551"/>
        <v/>
      </c>
      <c r="DD241" s="44" t="str">
        <f t="shared" si="3552"/>
        <v/>
      </c>
      <c r="DE241" s="44" t="str">
        <f t="shared" si="3553"/>
        <v/>
      </c>
      <c r="DF241" s="44" t="str">
        <f t="shared" si="3554"/>
        <v/>
      </c>
      <c r="DG241" s="44" t="str">
        <f t="shared" si="3555"/>
        <v/>
      </c>
      <c r="DH241" s="44" t="str">
        <f t="shared" si="3556"/>
        <v/>
      </c>
      <c r="DI241" s="44" t="str">
        <f t="shared" si="3557"/>
        <v/>
      </c>
      <c r="DJ241" s="44" t="str">
        <f t="shared" si="3558"/>
        <v/>
      </c>
      <c r="DK241" s="44" t="str">
        <f t="shared" si="3559"/>
        <v/>
      </c>
      <c r="DL241" s="44" t="str">
        <f t="shared" si="3560"/>
        <v/>
      </c>
      <c r="DM241" s="44" t="str">
        <f t="shared" si="3561"/>
        <v/>
      </c>
      <c r="DN241" s="44" t="str">
        <f t="shared" si="3562"/>
        <v/>
      </c>
      <c r="DO241" s="44" t="str">
        <f t="shared" si="3563"/>
        <v/>
      </c>
      <c r="DP241" s="44" t="str">
        <f t="shared" si="3564"/>
        <v/>
      </c>
      <c r="DQ241" s="44" t="str">
        <f t="shared" si="3565"/>
        <v/>
      </c>
      <c r="DR241" s="44" t="str">
        <f t="shared" si="3566"/>
        <v/>
      </c>
      <c r="DS241" s="44" t="str">
        <f t="shared" si="3567"/>
        <v/>
      </c>
      <c r="DT241" s="44" t="str">
        <f t="shared" si="3568"/>
        <v/>
      </c>
      <c r="DU241" s="44" t="str">
        <f t="shared" si="3569"/>
        <v/>
      </c>
      <c r="DV241" s="44" t="str">
        <f t="shared" si="3570"/>
        <v/>
      </c>
      <c r="DW241" s="44" t="str">
        <f t="shared" si="3571"/>
        <v/>
      </c>
      <c r="DX241" s="44" t="str">
        <f t="shared" si="3572"/>
        <v/>
      </c>
      <c r="DY241" s="44" t="str">
        <f t="shared" si="3573"/>
        <v/>
      </c>
      <c r="DZ241" s="44" t="str">
        <f t="shared" si="3574"/>
        <v/>
      </c>
      <c r="EA241" s="44" t="str">
        <f t="shared" si="3575"/>
        <v/>
      </c>
      <c r="EB241" s="44" t="str">
        <f t="shared" si="3576"/>
        <v/>
      </c>
      <c r="EC241" s="44" t="str">
        <f t="shared" si="3577"/>
        <v/>
      </c>
      <c r="ED241" s="44" t="str">
        <f t="shared" si="3578"/>
        <v/>
      </c>
      <c r="EE241" s="44" t="str">
        <f t="shared" si="3579"/>
        <v/>
      </c>
      <c r="EF241" s="44" t="str">
        <f t="shared" si="3580"/>
        <v/>
      </c>
      <c r="EG241" s="44" t="str">
        <f t="shared" si="3581"/>
        <v/>
      </c>
      <c r="EH241" s="44" t="str">
        <f t="shared" si="3582"/>
        <v/>
      </c>
      <c r="EI241" s="44" t="str">
        <f t="shared" si="3583"/>
        <v/>
      </c>
      <c r="EJ241" s="44" t="str">
        <f t="shared" si="3584"/>
        <v/>
      </c>
      <c r="EK241" s="44" t="str">
        <f t="shared" si="3585"/>
        <v/>
      </c>
      <c r="EL241" s="44" t="str">
        <f t="shared" si="3586"/>
        <v/>
      </c>
      <c r="EM241" s="44" t="str">
        <f t="shared" si="3587"/>
        <v/>
      </c>
      <c r="EN241" s="44" t="str">
        <f t="shared" si="3588"/>
        <v/>
      </c>
      <c r="EO241" s="44" t="str">
        <f t="shared" si="3589"/>
        <v/>
      </c>
      <c r="EP241" s="44" t="str">
        <f t="shared" si="3590"/>
        <v/>
      </c>
      <c r="EQ241" s="44" t="str">
        <f t="shared" si="3591"/>
        <v/>
      </c>
      <c r="ER241" s="44" t="str">
        <f t="shared" si="3592"/>
        <v/>
      </c>
      <c r="ES241" s="44" t="str">
        <f t="shared" si="3593"/>
        <v/>
      </c>
      <c r="ET241" s="44" t="str">
        <f t="shared" si="3594"/>
        <v/>
      </c>
      <c r="EU241" s="44" t="str">
        <f t="shared" si="3595"/>
        <v/>
      </c>
      <c r="EV241" s="44" t="str">
        <f t="shared" si="3596"/>
        <v/>
      </c>
      <c r="EW241" s="44" t="str">
        <f t="shared" si="3597"/>
        <v/>
      </c>
      <c r="EX241" s="44" t="str">
        <f t="shared" si="3598"/>
        <v/>
      </c>
      <c r="EY241" s="44" t="str">
        <f t="shared" si="3599"/>
        <v/>
      </c>
      <c r="EZ241" s="44" t="str">
        <f t="shared" si="3600"/>
        <v/>
      </c>
      <c r="FA241" s="44" t="str">
        <f t="shared" si="3601"/>
        <v/>
      </c>
      <c r="FB241" s="44" t="str">
        <f t="shared" si="3602"/>
        <v/>
      </c>
      <c r="FC241" s="44" t="str">
        <f t="shared" si="3603"/>
        <v/>
      </c>
      <c r="FD241" s="44" t="str">
        <f t="shared" si="3604"/>
        <v/>
      </c>
      <c r="FE241" s="44" t="str">
        <f t="shared" si="3605"/>
        <v/>
      </c>
      <c r="FF241" s="44" t="str">
        <f t="shared" si="3606"/>
        <v/>
      </c>
      <c r="FG241" s="44" t="str">
        <f t="shared" si="3607"/>
        <v/>
      </c>
      <c r="FH241" s="44" t="str">
        <f t="shared" si="3608"/>
        <v/>
      </c>
      <c r="FI241" s="44" t="str">
        <f t="shared" si="3609"/>
        <v/>
      </c>
      <c r="FJ241" s="44" t="str">
        <f t="shared" si="3610"/>
        <v/>
      </c>
      <c r="FK241" s="44" t="str">
        <f t="shared" si="3611"/>
        <v/>
      </c>
      <c r="FL241" s="44" t="str">
        <f t="shared" si="3612"/>
        <v/>
      </c>
      <c r="FM241" s="44" t="str">
        <f t="shared" si="3613"/>
        <v/>
      </c>
      <c r="FN241" s="44" t="str">
        <f t="shared" si="3614"/>
        <v/>
      </c>
      <c r="FO241" s="44" t="str">
        <f t="shared" si="3615"/>
        <v/>
      </c>
      <c r="FP241" s="44" t="str">
        <f t="shared" si="3616"/>
        <v/>
      </c>
      <c r="FQ241" s="44" t="str">
        <f t="shared" si="3617"/>
        <v/>
      </c>
      <c r="FR241" s="44" t="str">
        <f t="shared" si="3618"/>
        <v/>
      </c>
      <c r="FS241" s="44" t="str">
        <f t="shared" si="3619"/>
        <v/>
      </c>
    </row>
    <row r="242" ht="15" spans="1:175">
      <c r="A242" s="111"/>
      <c r="B242" s="8" t="s">
        <v>762</v>
      </c>
      <c r="C242" s="6" t="s">
        <v>117</v>
      </c>
      <c r="T242" s="113"/>
      <c r="U242" s="60"/>
      <c r="CN242" s="13" t="str">
        <f t="shared" si="3544"/>
        <v>InitUnitState('IF09',,,,,,,,,,)</v>
      </c>
      <c r="CO242" s="13" t="str">
        <f t="shared" si="3545"/>
        <v>InitUnitNormal('IF09',,,,,,,,,,)</v>
      </c>
      <c r="CP242" s="13" t="str">
        <f t="shared" si="3546"/>
        <v>InitUnitMagic('IF09',,,,,,,,,,)</v>
      </c>
      <c r="CQ242" s="13" t="str">
        <f t="shared" si="3547"/>
        <v>InitUnitAdd('IF09',,,,,,,,,,)</v>
      </c>
      <c r="CR242" s="13" t="str">
        <f t="shared" si="3548"/>
        <v>InitEquipData('IF09',,"",,,,,'','','','','','',"")</v>
      </c>
      <c r="CU242" s="72" t="str">
        <f t="shared" si="3549"/>
        <v>|n</v>
      </c>
      <c r="CW242" s="7"/>
      <c r="CX242" s="7"/>
      <c r="CY242" s="7"/>
      <c r="CZ242" s="7"/>
      <c r="DA242" s="7"/>
      <c r="DB242" s="44" t="str">
        <f t="shared" si="3550"/>
        <v/>
      </c>
      <c r="DC242" s="44" t="str">
        <f t="shared" si="3551"/>
        <v/>
      </c>
      <c r="DD242" s="44" t="str">
        <f t="shared" si="3552"/>
        <v/>
      </c>
      <c r="DE242" s="44" t="str">
        <f t="shared" si="3553"/>
        <v/>
      </c>
      <c r="DF242" s="44" t="str">
        <f t="shared" si="3554"/>
        <v/>
      </c>
      <c r="DG242" s="44" t="str">
        <f t="shared" si="3555"/>
        <v/>
      </c>
      <c r="DH242" s="44" t="str">
        <f t="shared" si="3556"/>
        <v/>
      </c>
      <c r="DI242" s="44" t="str">
        <f t="shared" si="3557"/>
        <v/>
      </c>
      <c r="DJ242" s="44" t="str">
        <f t="shared" si="3558"/>
        <v/>
      </c>
      <c r="DK242" s="44" t="str">
        <f t="shared" si="3559"/>
        <v/>
      </c>
      <c r="DL242" s="44" t="str">
        <f t="shared" si="3560"/>
        <v/>
      </c>
      <c r="DM242" s="44" t="str">
        <f t="shared" si="3561"/>
        <v/>
      </c>
      <c r="DN242" s="44" t="str">
        <f t="shared" si="3562"/>
        <v/>
      </c>
      <c r="DO242" s="44" t="str">
        <f t="shared" si="3563"/>
        <v/>
      </c>
      <c r="DP242" s="44" t="str">
        <f t="shared" si="3564"/>
        <v/>
      </c>
      <c r="DQ242" s="44" t="str">
        <f t="shared" si="3565"/>
        <v/>
      </c>
      <c r="DR242" s="44" t="str">
        <f t="shared" si="3566"/>
        <v/>
      </c>
      <c r="DS242" s="44" t="str">
        <f t="shared" si="3567"/>
        <v/>
      </c>
      <c r="DT242" s="44" t="str">
        <f t="shared" si="3568"/>
        <v/>
      </c>
      <c r="DU242" s="44" t="str">
        <f t="shared" si="3569"/>
        <v/>
      </c>
      <c r="DV242" s="44" t="str">
        <f t="shared" si="3570"/>
        <v/>
      </c>
      <c r="DW242" s="44" t="str">
        <f t="shared" si="3571"/>
        <v/>
      </c>
      <c r="DX242" s="44" t="str">
        <f t="shared" si="3572"/>
        <v/>
      </c>
      <c r="DY242" s="44" t="str">
        <f t="shared" si="3573"/>
        <v/>
      </c>
      <c r="DZ242" s="44" t="str">
        <f t="shared" si="3574"/>
        <v/>
      </c>
      <c r="EA242" s="44" t="str">
        <f t="shared" si="3575"/>
        <v/>
      </c>
      <c r="EB242" s="44" t="str">
        <f t="shared" si="3576"/>
        <v/>
      </c>
      <c r="EC242" s="44" t="str">
        <f t="shared" si="3577"/>
        <v/>
      </c>
      <c r="ED242" s="44" t="str">
        <f t="shared" si="3578"/>
        <v/>
      </c>
      <c r="EE242" s="44" t="str">
        <f t="shared" si="3579"/>
        <v/>
      </c>
      <c r="EF242" s="44" t="str">
        <f t="shared" si="3580"/>
        <v/>
      </c>
      <c r="EG242" s="44" t="str">
        <f t="shared" si="3581"/>
        <v/>
      </c>
      <c r="EH242" s="44" t="str">
        <f t="shared" si="3582"/>
        <v/>
      </c>
      <c r="EI242" s="44" t="str">
        <f t="shared" si="3583"/>
        <v/>
      </c>
      <c r="EJ242" s="44" t="str">
        <f t="shared" si="3584"/>
        <v/>
      </c>
      <c r="EK242" s="44" t="str">
        <f t="shared" si="3585"/>
        <v/>
      </c>
      <c r="EL242" s="44" t="str">
        <f t="shared" si="3586"/>
        <v/>
      </c>
      <c r="EM242" s="44" t="str">
        <f t="shared" si="3587"/>
        <v/>
      </c>
      <c r="EN242" s="44" t="str">
        <f t="shared" si="3588"/>
        <v/>
      </c>
      <c r="EO242" s="44" t="str">
        <f t="shared" si="3589"/>
        <v/>
      </c>
      <c r="EP242" s="44" t="str">
        <f t="shared" si="3590"/>
        <v/>
      </c>
      <c r="EQ242" s="44" t="str">
        <f t="shared" si="3591"/>
        <v/>
      </c>
      <c r="ER242" s="44" t="str">
        <f t="shared" si="3592"/>
        <v/>
      </c>
      <c r="ES242" s="44" t="str">
        <f t="shared" si="3593"/>
        <v/>
      </c>
      <c r="ET242" s="44" t="str">
        <f t="shared" si="3594"/>
        <v/>
      </c>
      <c r="EU242" s="44" t="str">
        <f t="shared" si="3595"/>
        <v/>
      </c>
      <c r="EV242" s="44" t="str">
        <f t="shared" si="3596"/>
        <v/>
      </c>
      <c r="EW242" s="44" t="str">
        <f t="shared" si="3597"/>
        <v/>
      </c>
      <c r="EX242" s="44" t="str">
        <f t="shared" si="3598"/>
        <v/>
      </c>
      <c r="EY242" s="44" t="str">
        <f t="shared" si="3599"/>
        <v/>
      </c>
      <c r="EZ242" s="44" t="str">
        <f t="shared" si="3600"/>
        <v/>
      </c>
      <c r="FA242" s="44" t="str">
        <f t="shared" si="3601"/>
        <v/>
      </c>
      <c r="FB242" s="44" t="str">
        <f t="shared" si="3602"/>
        <v/>
      </c>
      <c r="FC242" s="44" t="str">
        <f t="shared" si="3603"/>
        <v/>
      </c>
      <c r="FD242" s="44" t="str">
        <f t="shared" si="3604"/>
        <v/>
      </c>
      <c r="FE242" s="44" t="str">
        <f t="shared" si="3605"/>
        <v/>
      </c>
      <c r="FF242" s="44" t="str">
        <f t="shared" si="3606"/>
        <v/>
      </c>
      <c r="FG242" s="44" t="str">
        <f t="shared" si="3607"/>
        <v/>
      </c>
      <c r="FH242" s="44" t="str">
        <f t="shared" si="3608"/>
        <v/>
      </c>
      <c r="FI242" s="44" t="str">
        <f t="shared" si="3609"/>
        <v/>
      </c>
      <c r="FJ242" s="44" t="str">
        <f t="shared" si="3610"/>
        <v/>
      </c>
      <c r="FK242" s="44" t="str">
        <f t="shared" si="3611"/>
        <v/>
      </c>
      <c r="FL242" s="44" t="str">
        <f t="shared" si="3612"/>
        <v/>
      </c>
      <c r="FM242" s="44" t="str">
        <f t="shared" si="3613"/>
        <v/>
      </c>
      <c r="FN242" s="44" t="str">
        <f t="shared" si="3614"/>
        <v/>
      </c>
      <c r="FO242" s="44" t="str">
        <f t="shared" si="3615"/>
        <v/>
      </c>
      <c r="FP242" s="44" t="str">
        <f t="shared" si="3616"/>
        <v/>
      </c>
      <c r="FQ242" s="44" t="str">
        <f t="shared" si="3617"/>
        <v/>
      </c>
      <c r="FR242" s="44" t="str">
        <f t="shared" si="3618"/>
        <v/>
      </c>
      <c r="FS242" s="44" t="str">
        <f t="shared" si="3619"/>
        <v/>
      </c>
    </row>
    <row r="243" ht="15" spans="1:175">
      <c r="A243" s="111"/>
      <c r="B243" s="8" t="s">
        <v>763</v>
      </c>
      <c r="C243" s="6" t="s">
        <v>755</v>
      </c>
      <c r="T243" s="113"/>
      <c r="U243" s="60"/>
      <c r="CN243" s="13" t="str">
        <f t="shared" si="3544"/>
        <v>InitUnitState('IF10',,,,,,,,,,)</v>
      </c>
      <c r="CO243" s="13" t="str">
        <f t="shared" si="3545"/>
        <v>InitUnitNormal('IF10',,,,,,,,,,)</v>
      </c>
      <c r="CP243" s="13" t="str">
        <f t="shared" si="3546"/>
        <v>InitUnitMagic('IF10',,,,,,,,,,)</v>
      </c>
      <c r="CQ243" s="13" t="str">
        <f t="shared" si="3547"/>
        <v>InitUnitAdd('IF10',,,,,,,,,,)</v>
      </c>
      <c r="CR243" s="13" t="str">
        <f t="shared" si="3548"/>
        <v>InitEquipData('IF10',,"",,,,,'','','','','','',"")</v>
      </c>
      <c r="CU243" s="72" t="str">
        <f t="shared" si="3549"/>
        <v>|n</v>
      </c>
      <c r="CW243" s="7"/>
      <c r="CX243" s="7"/>
      <c r="CY243" s="7"/>
      <c r="CZ243" s="7"/>
      <c r="DA243" s="7"/>
      <c r="DB243" s="44" t="str">
        <f t="shared" si="3550"/>
        <v/>
      </c>
      <c r="DC243" s="44" t="str">
        <f t="shared" si="3551"/>
        <v/>
      </c>
      <c r="DD243" s="44" t="str">
        <f t="shared" si="3552"/>
        <v/>
      </c>
      <c r="DE243" s="44" t="str">
        <f t="shared" si="3553"/>
        <v/>
      </c>
      <c r="DF243" s="44" t="str">
        <f t="shared" si="3554"/>
        <v/>
      </c>
      <c r="DG243" s="44" t="str">
        <f t="shared" si="3555"/>
        <v/>
      </c>
      <c r="DH243" s="44" t="str">
        <f t="shared" si="3556"/>
        <v/>
      </c>
      <c r="DI243" s="44" t="str">
        <f t="shared" si="3557"/>
        <v/>
      </c>
      <c r="DJ243" s="44" t="str">
        <f t="shared" si="3558"/>
        <v/>
      </c>
      <c r="DK243" s="44" t="str">
        <f t="shared" si="3559"/>
        <v/>
      </c>
      <c r="DL243" s="44" t="str">
        <f t="shared" si="3560"/>
        <v/>
      </c>
      <c r="DM243" s="44" t="str">
        <f t="shared" si="3561"/>
        <v/>
      </c>
      <c r="DN243" s="44" t="str">
        <f t="shared" si="3562"/>
        <v/>
      </c>
      <c r="DO243" s="44" t="str">
        <f t="shared" si="3563"/>
        <v/>
      </c>
      <c r="DP243" s="44" t="str">
        <f t="shared" si="3564"/>
        <v/>
      </c>
      <c r="DQ243" s="44" t="str">
        <f t="shared" si="3565"/>
        <v/>
      </c>
      <c r="DR243" s="44" t="str">
        <f t="shared" si="3566"/>
        <v/>
      </c>
      <c r="DS243" s="44" t="str">
        <f t="shared" si="3567"/>
        <v/>
      </c>
      <c r="DT243" s="44" t="str">
        <f t="shared" si="3568"/>
        <v/>
      </c>
      <c r="DU243" s="44" t="str">
        <f t="shared" si="3569"/>
        <v/>
      </c>
      <c r="DV243" s="44" t="str">
        <f t="shared" si="3570"/>
        <v/>
      </c>
      <c r="DW243" s="44" t="str">
        <f t="shared" si="3571"/>
        <v/>
      </c>
      <c r="DX243" s="44" t="str">
        <f t="shared" si="3572"/>
        <v/>
      </c>
      <c r="DY243" s="44" t="str">
        <f t="shared" si="3573"/>
        <v/>
      </c>
      <c r="DZ243" s="44" t="str">
        <f t="shared" si="3574"/>
        <v/>
      </c>
      <c r="EA243" s="44" t="str">
        <f t="shared" si="3575"/>
        <v/>
      </c>
      <c r="EB243" s="44" t="str">
        <f t="shared" si="3576"/>
        <v/>
      </c>
      <c r="EC243" s="44" t="str">
        <f t="shared" si="3577"/>
        <v/>
      </c>
      <c r="ED243" s="44" t="str">
        <f t="shared" si="3578"/>
        <v/>
      </c>
      <c r="EE243" s="44" t="str">
        <f t="shared" si="3579"/>
        <v/>
      </c>
      <c r="EF243" s="44" t="str">
        <f t="shared" si="3580"/>
        <v/>
      </c>
      <c r="EG243" s="44" t="str">
        <f t="shared" si="3581"/>
        <v/>
      </c>
      <c r="EH243" s="44" t="str">
        <f t="shared" si="3582"/>
        <v/>
      </c>
      <c r="EI243" s="44" t="str">
        <f t="shared" si="3583"/>
        <v/>
      </c>
      <c r="EJ243" s="44" t="str">
        <f t="shared" si="3584"/>
        <v/>
      </c>
      <c r="EK243" s="44" t="str">
        <f t="shared" si="3585"/>
        <v/>
      </c>
      <c r="EL243" s="44" t="str">
        <f t="shared" si="3586"/>
        <v/>
      </c>
      <c r="EM243" s="44" t="str">
        <f t="shared" si="3587"/>
        <v/>
      </c>
      <c r="EN243" s="44" t="str">
        <f t="shared" si="3588"/>
        <v/>
      </c>
      <c r="EO243" s="44" t="str">
        <f t="shared" si="3589"/>
        <v/>
      </c>
      <c r="EP243" s="44" t="str">
        <f t="shared" si="3590"/>
        <v/>
      </c>
      <c r="EQ243" s="44" t="str">
        <f t="shared" si="3591"/>
        <v/>
      </c>
      <c r="ER243" s="44" t="str">
        <f t="shared" si="3592"/>
        <v/>
      </c>
      <c r="ES243" s="44" t="str">
        <f t="shared" si="3593"/>
        <v/>
      </c>
      <c r="ET243" s="44" t="str">
        <f t="shared" si="3594"/>
        <v/>
      </c>
      <c r="EU243" s="44" t="str">
        <f t="shared" si="3595"/>
        <v/>
      </c>
      <c r="EV243" s="44" t="str">
        <f t="shared" si="3596"/>
        <v/>
      </c>
      <c r="EW243" s="44" t="str">
        <f t="shared" si="3597"/>
        <v/>
      </c>
      <c r="EX243" s="44" t="str">
        <f t="shared" si="3598"/>
        <v/>
      </c>
      <c r="EY243" s="44" t="str">
        <f t="shared" si="3599"/>
        <v/>
      </c>
      <c r="EZ243" s="44" t="str">
        <f t="shared" si="3600"/>
        <v/>
      </c>
      <c r="FA243" s="44" t="str">
        <f t="shared" si="3601"/>
        <v/>
      </c>
      <c r="FB243" s="44" t="str">
        <f t="shared" si="3602"/>
        <v/>
      </c>
      <c r="FC243" s="44" t="str">
        <f t="shared" si="3603"/>
        <v/>
      </c>
      <c r="FD243" s="44" t="str">
        <f t="shared" si="3604"/>
        <v/>
      </c>
      <c r="FE243" s="44" t="str">
        <f t="shared" si="3605"/>
        <v/>
      </c>
      <c r="FF243" s="44" t="str">
        <f t="shared" si="3606"/>
        <v/>
      </c>
      <c r="FG243" s="44" t="str">
        <f t="shared" si="3607"/>
        <v/>
      </c>
      <c r="FH243" s="44" t="str">
        <f t="shared" si="3608"/>
        <v/>
      </c>
      <c r="FI243" s="44" t="str">
        <f t="shared" si="3609"/>
        <v/>
      </c>
      <c r="FJ243" s="44" t="str">
        <f t="shared" si="3610"/>
        <v/>
      </c>
      <c r="FK243" s="44" t="str">
        <f t="shared" si="3611"/>
        <v/>
      </c>
      <c r="FL243" s="44" t="str">
        <f t="shared" si="3612"/>
        <v/>
      </c>
      <c r="FM243" s="44" t="str">
        <f t="shared" si="3613"/>
        <v/>
      </c>
      <c r="FN243" s="44" t="str">
        <f t="shared" si="3614"/>
        <v/>
      </c>
      <c r="FO243" s="44" t="str">
        <f t="shared" si="3615"/>
        <v/>
      </c>
      <c r="FP243" s="44" t="str">
        <f t="shared" si="3616"/>
        <v/>
      </c>
      <c r="FQ243" s="44" t="str">
        <f t="shared" si="3617"/>
        <v/>
      </c>
      <c r="FR243" s="44" t="str">
        <f t="shared" si="3618"/>
        <v/>
      </c>
      <c r="FS243" s="44" t="str">
        <f t="shared" si="3619"/>
        <v/>
      </c>
    </row>
    <row r="244" ht="15" spans="1:175">
      <c r="A244" s="111"/>
      <c r="B244" s="8" t="s">
        <v>764</v>
      </c>
      <c r="C244" s="6" t="s">
        <v>765</v>
      </c>
      <c r="T244" s="113"/>
      <c r="U244" s="60"/>
      <c r="CN244" s="13" t="str">
        <f t="shared" si="3544"/>
        <v>InitUnitState('IF11',,,,,,,,,,)</v>
      </c>
      <c r="CO244" s="13" t="str">
        <f t="shared" si="3545"/>
        <v>InitUnitNormal('IF11',,,,,,,,,,)</v>
      </c>
      <c r="CP244" s="13" t="str">
        <f t="shared" si="3546"/>
        <v>InitUnitMagic('IF11',,,,,,,,,,)</v>
      </c>
      <c r="CQ244" s="13" t="str">
        <f t="shared" si="3547"/>
        <v>InitUnitAdd('IF11',,,,,,,,,,)</v>
      </c>
      <c r="CR244" s="13" t="str">
        <f t="shared" si="3548"/>
        <v>InitEquipData('IF11',,"",,,,,'','','','','','',"")</v>
      </c>
      <c r="CU244" s="72" t="str">
        <f t="shared" si="3549"/>
        <v>|n</v>
      </c>
      <c r="CW244" s="7"/>
      <c r="CX244" s="7"/>
      <c r="CY244" s="7"/>
      <c r="CZ244" s="7"/>
      <c r="DA244" s="7"/>
      <c r="DB244" s="44" t="str">
        <f t="shared" si="3550"/>
        <v/>
      </c>
      <c r="DC244" s="44" t="str">
        <f t="shared" si="3551"/>
        <v/>
      </c>
      <c r="DD244" s="44" t="str">
        <f t="shared" si="3552"/>
        <v/>
      </c>
      <c r="DE244" s="44" t="str">
        <f t="shared" si="3553"/>
        <v/>
      </c>
      <c r="DF244" s="44" t="str">
        <f t="shared" si="3554"/>
        <v/>
      </c>
      <c r="DG244" s="44" t="str">
        <f t="shared" si="3555"/>
        <v/>
      </c>
      <c r="DH244" s="44" t="str">
        <f t="shared" si="3556"/>
        <v/>
      </c>
      <c r="DI244" s="44" t="str">
        <f t="shared" si="3557"/>
        <v/>
      </c>
      <c r="DJ244" s="44" t="str">
        <f t="shared" si="3558"/>
        <v/>
      </c>
      <c r="DK244" s="44" t="str">
        <f t="shared" si="3559"/>
        <v/>
      </c>
      <c r="DL244" s="44" t="str">
        <f t="shared" si="3560"/>
        <v/>
      </c>
      <c r="DM244" s="44" t="str">
        <f t="shared" si="3561"/>
        <v/>
      </c>
      <c r="DN244" s="44" t="str">
        <f t="shared" si="3562"/>
        <v/>
      </c>
      <c r="DO244" s="44" t="str">
        <f t="shared" si="3563"/>
        <v/>
      </c>
      <c r="DP244" s="44" t="str">
        <f t="shared" si="3564"/>
        <v/>
      </c>
      <c r="DQ244" s="44" t="str">
        <f t="shared" si="3565"/>
        <v/>
      </c>
      <c r="DR244" s="44" t="str">
        <f t="shared" si="3566"/>
        <v/>
      </c>
      <c r="DS244" s="44" t="str">
        <f t="shared" si="3567"/>
        <v/>
      </c>
      <c r="DT244" s="44" t="str">
        <f t="shared" si="3568"/>
        <v/>
      </c>
      <c r="DU244" s="44" t="str">
        <f t="shared" si="3569"/>
        <v/>
      </c>
      <c r="DV244" s="44" t="str">
        <f t="shared" si="3570"/>
        <v/>
      </c>
      <c r="DW244" s="44" t="str">
        <f t="shared" si="3571"/>
        <v/>
      </c>
      <c r="DX244" s="44" t="str">
        <f t="shared" si="3572"/>
        <v/>
      </c>
      <c r="DY244" s="44" t="str">
        <f t="shared" si="3573"/>
        <v/>
      </c>
      <c r="DZ244" s="44" t="str">
        <f t="shared" si="3574"/>
        <v/>
      </c>
      <c r="EA244" s="44" t="str">
        <f t="shared" si="3575"/>
        <v/>
      </c>
      <c r="EB244" s="44" t="str">
        <f t="shared" si="3576"/>
        <v/>
      </c>
      <c r="EC244" s="44" t="str">
        <f t="shared" si="3577"/>
        <v/>
      </c>
      <c r="ED244" s="44" t="str">
        <f t="shared" si="3578"/>
        <v/>
      </c>
      <c r="EE244" s="44" t="str">
        <f t="shared" si="3579"/>
        <v/>
      </c>
      <c r="EF244" s="44" t="str">
        <f t="shared" si="3580"/>
        <v/>
      </c>
      <c r="EG244" s="44" t="str">
        <f t="shared" si="3581"/>
        <v/>
      </c>
      <c r="EH244" s="44" t="str">
        <f t="shared" si="3582"/>
        <v/>
      </c>
      <c r="EI244" s="44" t="str">
        <f t="shared" si="3583"/>
        <v/>
      </c>
      <c r="EJ244" s="44" t="str">
        <f t="shared" si="3584"/>
        <v/>
      </c>
      <c r="EK244" s="44" t="str">
        <f t="shared" si="3585"/>
        <v/>
      </c>
      <c r="EL244" s="44" t="str">
        <f t="shared" si="3586"/>
        <v/>
      </c>
      <c r="EM244" s="44" t="str">
        <f t="shared" si="3587"/>
        <v/>
      </c>
      <c r="EN244" s="44" t="str">
        <f t="shared" si="3588"/>
        <v/>
      </c>
      <c r="EO244" s="44" t="str">
        <f t="shared" si="3589"/>
        <v/>
      </c>
      <c r="EP244" s="44" t="str">
        <f t="shared" si="3590"/>
        <v/>
      </c>
      <c r="EQ244" s="44" t="str">
        <f t="shared" si="3591"/>
        <v/>
      </c>
      <c r="ER244" s="44" t="str">
        <f t="shared" si="3592"/>
        <v/>
      </c>
      <c r="ES244" s="44" t="str">
        <f t="shared" si="3593"/>
        <v/>
      </c>
      <c r="ET244" s="44" t="str">
        <f t="shared" si="3594"/>
        <v/>
      </c>
      <c r="EU244" s="44" t="str">
        <f t="shared" si="3595"/>
        <v/>
      </c>
      <c r="EV244" s="44" t="str">
        <f t="shared" si="3596"/>
        <v/>
      </c>
      <c r="EW244" s="44" t="str">
        <f t="shared" si="3597"/>
        <v/>
      </c>
      <c r="EX244" s="44" t="str">
        <f t="shared" si="3598"/>
        <v/>
      </c>
      <c r="EY244" s="44" t="str">
        <f t="shared" si="3599"/>
        <v/>
      </c>
      <c r="EZ244" s="44" t="str">
        <f t="shared" si="3600"/>
        <v/>
      </c>
      <c r="FA244" s="44" t="str">
        <f t="shared" si="3601"/>
        <v/>
      </c>
      <c r="FB244" s="44" t="str">
        <f t="shared" si="3602"/>
        <v/>
      </c>
      <c r="FC244" s="44" t="str">
        <f t="shared" si="3603"/>
        <v/>
      </c>
      <c r="FD244" s="44" t="str">
        <f t="shared" si="3604"/>
        <v/>
      </c>
      <c r="FE244" s="44" t="str">
        <f t="shared" si="3605"/>
        <v/>
      </c>
      <c r="FF244" s="44" t="str">
        <f t="shared" si="3606"/>
        <v/>
      </c>
      <c r="FG244" s="44" t="str">
        <f t="shared" si="3607"/>
        <v/>
      </c>
      <c r="FH244" s="44" t="str">
        <f t="shared" si="3608"/>
        <v/>
      </c>
      <c r="FI244" s="44" t="str">
        <f t="shared" si="3609"/>
        <v/>
      </c>
      <c r="FJ244" s="44" t="str">
        <f t="shared" si="3610"/>
        <v/>
      </c>
      <c r="FK244" s="44" t="str">
        <f t="shared" si="3611"/>
        <v/>
      </c>
      <c r="FL244" s="44" t="str">
        <f t="shared" si="3612"/>
        <v/>
      </c>
      <c r="FM244" s="44" t="str">
        <f t="shared" si="3613"/>
        <v/>
      </c>
      <c r="FN244" s="44" t="str">
        <f t="shared" si="3614"/>
        <v/>
      </c>
      <c r="FO244" s="44" t="str">
        <f t="shared" si="3615"/>
        <v/>
      </c>
      <c r="FP244" s="44" t="str">
        <f t="shared" si="3616"/>
        <v/>
      </c>
      <c r="FQ244" s="44" t="str">
        <f t="shared" si="3617"/>
        <v/>
      </c>
      <c r="FR244" s="44" t="str">
        <f t="shared" si="3618"/>
        <v/>
      </c>
      <c r="FS244" s="44" t="str">
        <f t="shared" si="3619"/>
        <v/>
      </c>
    </row>
    <row r="245" ht="15" spans="1:175">
      <c r="A245" s="110"/>
      <c r="B245" s="8" t="s">
        <v>766</v>
      </c>
      <c r="C245" s="6" t="s">
        <v>134</v>
      </c>
      <c r="T245" s="114"/>
      <c r="U245" s="60"/>
      <c r="CN245" s="13" t="str">
        <f t="shared" si="3544"/>
        <v>InitUnitState('IF12',,,,,,,,,,)</v>
      </c>
      <c r="CO245" s="13" t="str">
        <f t="shared" si="3545"/>
        <v>InitUnitNormal('IF12',,,,,,,,,,)</v>
      </c>
      <c r="CP245" s="13" t="str">
        <f t="shared" si="3546"/>
        <v>InitUnitMagic('IF12',,,,,,,,,,)</v>
      </c>
      <c r="CQ245" s="13" t="str">
        <f t="shared" si="3547"/>
        <v>InitUnitAdd('IF12',,,,,,,,,,)</v>
      </c>
      <c r="CR245" s="13" t="str">
        <f t="shared" si="3548"/>
        <v>InitEquipData('IF12',,"",,,,,'','','','','','',"")</v>
      </c>
      <c r="CU245" s="72" t="str">
        <f t="shared" si="3549"/>
        <v>|n</v>
      </c>
      <c r="CW245" s="7"/>
      <c r="CX245" s="7"/>
      <c r="CY245" s="7"/>
      <c r="CZ245" s="7"/>
      <c r="DA245" s="7"/>
      <c r="DB245" s="44" t="str">
        <f t="shared" si="3550"/>
        <v/>
      </c>
      <c r="DC245" s="44" t="str">
        <f t="shared" si="3551"/>
        <v/>
      </c>
      <c r="DD245" s="44" t="str">
        <f t="shared" si="3552"/>
        <v/>
      </c>
      <c r="DE245" s="44" t="str">
        <f t="shared" si="3553"/>
        <v/>
      </c>
      <c r="DF245" s="44" t="str">
        <f t="shared" si="3554"/>
        <v/>
      </c>
      <c r="DG245" s="44" t="str">
        <f t="shared" si="3555"/>
        <v/>
      </c>
      <c r="DH245" s="44" t="str">
        <f t="shared" si="3556"/>
        <v/>
      </c>
      <c r="DI245" s="44" t="str">
        <f t="shared" si="3557"/>
        <v/>
      </c>
      <c r="DJ245" s="44" t="str">
        <f t="shared" si="3558"/>
        <v/>
      </c>
      <c r="DK245" s="44" t="str">
        <f t="shared" si="3559"/>
        <v/>
      </c>
      <c r="DL245" s="44" t="str">
        <f t="shared" si="3560"/>
        <v/>
      </c>
      <c r="DM245" s="44" t="str">
        <f t="shared" si="3561"/>
        <v/>
      </c>
      <c r="DN245" s="44" t="str">
        <f t="shared" si="3562"/>
        <v/>
      </c>
      <c r="DO245" s="44" t="str">
        <f t="shared" si="3563"/>
        <v/>
      </c>
      <c r="DP245" s="44" t="str">
        <f t="shared" si="3564"/>
        <v/>
      </c>
      <c r="DQ245" s="44" t="str">
        <f t="shared" si="3565"/>
        <v/>
      </c>
      <c r="DR245" s="44" t="str">
        <f t="shared" si="3566"/>
        <v/>
      </c>
      <c r="DS245" s="44" t="str">
        <f t="shared" si="3567"/>
        <v/>
      </c>
      <c r="DT245" s="44" t="str">
        <f t="shared" si="3568"/>
        <v/>
      </c>
      <c r="DU245" s="44" t="str">
        <f t="shared" si="3569"/>
        <v/>
      </c>
      <c r="DV245" s="44" t="str">
        <f t="shared" si="3570"/>
        <v/>
      </c>
      <c r="DW245" s="44" t="str">
        <f t="shared" si="3571"/>
        <v/>
      </c>
      <c r="DX245" s="44" t="str">
        <f t="shared" si="3572"/>
        <v/>
      </c>
      <c r="DY245" s="44" t="str">
        <f t="shared" si="3573"/>
        <v/>
      </c>
      <c r="DZ245" s="44" t="str">
        <f t="shared" si="3574"/>
        <v/>
      </c>
      <c r="EA245" s="44" t="str">
        <f t="shared" si="3575"/>
        <v/>
      </c>
      <c r="EB245" s="44" t="str">
        <f t="shared" si="3576"/>
        <v/>
      </c>
      <c r="EC245" s="44" t="str">
        <f t="shared" si="3577"/>
        <v/>
      </c>
      <c r="ED245" s="44" t="str">
        <f t="shared" si="3578"/>
        <v/>
      </c>
      <c r="EE245" s="44" t="str">
        <f t="shared" si="3579"/>
        <v/>
      </c>
      <c r="EF245" s="44" t="str">
        <f t="shared" si="3580"/>
        <v/>
      </c>
      <c r="EG245" s="44" t="str">
        <f t="shared" si="3581"/>
        <v/>
      </c>
      <c r="EH245" s="44" t="str">
        <f t="shared" si="3582"/>
        <v/>
      </c>
      <c r="EI245" s="44" t="str">
        <f t="shared" si="3583"/>
        <v/>
      </c>
      <c r="EJ245" s="44" t="str">
        <f t="shared" si="3584"/>
        <v/>
      </c>
      <c r="EK245" s="44" t="str">
        <f t="shared" si="3585"/>
        <v/>
      </c>
      <c r="EL245" s="44" t="str">
        <f t="shared" si="3586"/>
        <v/>
      </c>
      <c r="EM245" s="44" t="str">
        <f t="shared" si="3587"/>
        <v/>
      </c>
      <c r="EN245" s="44" t="str">
        <f t="shared" si="3588"/>
        <v/>
      </c>
      <c r="EO245" s="44" t="str">
        <f t="shared" si="3589"/>
        <v/>
      </c>
      <c r="EP245" s="44" t="str">
        <f t="shared" si="3590"/>
        <v/>
      </c>
      <c r="EQ245" s="44" t="str">
        <f t="shared" si="3591"/>
        <v/>
      </c>
      <c r="ER245" s="44" t="str">
        <f t="shared" si="3592"/>
        <v/>
      </c>
      <c r="ES245" s="44" t="str">
        <f t="shared" si="3593"/>
        <v/>
      </c>
      <c r="ET245" s="44" t="str">
        <f t="shared" si="3594"/>
        <v/>
      </c>
      <c r="EU245" s="44" t="str">
        <f t="shared" si="3595"/>
        <v/>
      </c>
      <c r="EV245" s="44" t="str">
        <f t="shared" si="3596"/>
        <v/>
      </c>
      <c r="EW245" s="44" t="str">
        <f t="shared" si="3597"/>
        <v/>
      </c>
      <c r="EX245" s="44" t="str">
        <f t="shared" si="3598"/>
        <v/>
      </c>
      <c r="EY245" s="44" t="str">
        <f t="shared" si="3599"/>
        <v/>
      </c>
      <c r="EZ245" s="44" t="str">
        <f t="shared" si="3600"/>
        <v/>
      </c>
      <c r="FA245" s="44" t="str">
        <f t="shared" si="3601"/>
        <v/>
      </c>
      <c r="FB245" s="44" t="str">
        <f t="shared" si="3602"/>
        <v/>
      </c>
      <c r="FC245" s="44" t="str">
        <f t="shared" si="3603"/>
        <v/>
      </c>
      <c r="FD245" s="44" t="str">
        <f t="shared" si="3604"/>
        <v/>
      </c>
      <c r="FE245" s="44" t="str">
        <f t="shared" si="3605"/>
        <v/>
      </c>
      <c r="FF245" s="44" t="str">
        <f t="shared" si="3606"/>
        <v/>
      </c>
      <c r="FG245" s="44" t="str">
        <f t="shared" si="3607"/>
        <v/>
      </c>
      <c r="FH245" s="44" t="str">
        <f t="shared" si="3608"/>
        <v/>
      </c>
      <c r="FI245" s="44" t="str">
        <f t="shared" si="3609"/>
        <v/>
      </c>
      <c r="FJ245" s="44" t="str">
        <f t="shared" si="3610"/>
        <v/>
      </c>
      <c r="FK245" s="44" t="str">
        <f t="shared" si="3611"/>
        <v/>
      </c>
      <c r="FL245" s="44" t="str">
        <f t="shared" si="3612"/>
        <v/>
      </c>
      <c r="FM245" s="44" t="str">
        <f t="shared" si="3613"/>
        <v/>
      </c>
      <c r="FN245" s="44" t="str">
        <f t="shared" si="3614"/>
        <v/>
      </c>
      <c r="FO245" s="44" t="str">
        <f t="shared" si="3615"/>
        <v/>
      </c>
      <c r="FP245" s="44" t="str">
        <f t="shared" si="3616"/>
        <v/>
      </c>
      <c r="FQ245" s="44" t="str">
        <f t="shared" si="3617"/>
        <v/>
      </c>
      <c r="FR245" s="44" t="str">
        <f t="shared" si="3618"/>
        <v/>
      </c>
      <c r="FS245" s="44" t="str">
        <f t="shared" si="3619"/>
        <v/>
      </c>
    </row>
    <row r="246" ht="15" spans="1:175">
      <c r="A246" s="110"/>
      <c r="B246" s="8" t="s">
        <v>767</v>
      </c>
      <c r="C246" s="6" t="s">
        <v>768</v>
      </c>
      <c r="T246" s="114"/>
      <c r="U246" s="60"/>
      <c r="CN246" s="13" t="str">
        <f t="shared" si="3544"/>
        <v>InitUnitState('IF13',,,,,,,,,,)</v>
      </c>
      <c r="CO246" s="13" t="str">
        <f t="shared" si="3545"/>
        <v>InitUnitNormal('IF13',,,,,,,,,,)</v>
      </c>
      <c r="CP246" s="13" t="str">
        <f t="shared" si="3546"/>
        <v>InitUnitMagic('IF13',,,,,,,,,,)</v>
      </c>
      <c r="CQ246" s="13" t="str">
        <f t="shared" si="3547"/>
        <v>InitUnitAdd('IF13',,,,,,,,,,)</v>
      </c>
      <c r="CR246" s="13" t="str">
        <f t="shared" si="3548"/>
        <v>InitEquipData('IF13',,"",,,,,'','','','','','',"")</v>
      </c>
      <c r="CU246" s="72" t="str">
        <f t="shared" si="3549"/>
        <v>|n</v>
      </c>
      <c r="CW246" s="7"/>
      <c r="CX246" s="7"/>
      <c r="CY246" s="7"/>
      <c r="CZ246" s="7"/>
      <c r="DA246" s="7"/>
      <c r="DB246" s="44" t="str">
        <f t="shared" si="3550"/>
        <v/>
      </c>
      <c r="DC246" s="44" t="str">
        <f t="shared" si="3551"/>
        <v/>
      </c>
      <c r="DD246" s="44" t="str">
        <f t="shared" si="3552"/>
        <v/>
      </c>
      <c r="DE246" s="44" t="str">
        <f t="shared" si="3553"/>
        <v/>
      </c>
      <c r="DF246" s="44" t="str">
        <f t="shared" si="3554"/>
        <v/>
      </c>
      <c r="DG246" s="44" t="str">
        <f t="shared" si="3555"/>
        <v/>
      </c>
      <c r="DH246" s="44" t="str">
        <f t="shared" si="3556"/>
        <v/>
      </c>
      <c r="DI246" s="44" t="str">
        <f t="shared" si="3557"/>
        <v/>
      </c>
      <c r="DJ246" s="44" t="str">
        <f t="shared" si="3558"/>
        <v/>
      </c>
      <c r="DK246" s="44" t="str">
        <f t="shared" si="3559"/>
        <v/>
      </c>
      <c r="DL246" s="44" t="str">
        <f t="shared" si="3560"/>
        <v/>
      </c>
      <c r="DM246" s="44" t="str">
        <f t="shared" si="3561"/>
        <v/>
      </c>
      <c r="DN246" s="44" t="str">
        <f t="shared" si="3562"/>
        <v/>
      </c>
      <c r="DO246" s="44" t="str">
        <f t="shared" si="3563"/>
        <v/>
      </c>
      <c r="DP246" s="44" t="str">
        <f t="shared" si="3564"/>
        <v/>
      </c>
      <c r="DQ246" s="44" t="str">
        <f t="shared" si="3565"/>
        <v/>
      </c>
      <c r="DR246" s="44" t="str">
        <f t="shared" si="3566"/>
        <v/>
      </c>
      <c r="DS246" s="44" t="str">
        <f t="shared" si="3567"/>
        <v/>
      </c>
      <c r="DT246" s="44" t="str">
        <f t="shared" si="3568"/>
        <v/>
      </c>
      <c r="DU246" s="44" t="str">
        <f t="shared" si="3569"/>
        <v/>
      </c>
      <c r="DV246" s="44" t="str">
        <f t="shared" si="3570"/>
        <v/>
      </c>
      <c r="DW246" s="44" t="str">
        <f t="shared" si="3571"/>
        <v/>
      </c>
      <c r="DX246" s="44" t="str">
        <f t="shared" si="3572"/>
        <v/>
      </c>
      <c r="DY246" s="44" t="str">
        <f t="shared" si="3573"/>
        <v/>
      </c>
      <c r="DZ246" s="44" t="str">
        <f t="shared" si="3574"/>
        <v/>
      </c>
      <c r="EA246" s="44" t="str">
        <f t="shared" si="3575"/>
        <v/>
      </c>
      <c r="EB246" s="44" t="str">
        <f t="shared" si="3576"/>
        <v/>
      </c>
      <c r="EC246" s="44" t="str">
        <f t="shared" si="3577"/>
        <v/>
      </c>
      <c r="ED246" s="44" t="str">
        <f t="shared" si="3578"/>
        <v/>
      </c>
      <c r="EE246" s="44" t="str">
        <f t="shared" si="3579"/>
        <v/>
      </c>
      <c r="EF246" s="44" t="str">
        <f t="shared" si="3580"/>
        <v/>
      </c>
      <c r="EG246" s="44" t="str">
        <f t="shared" si="3581"/>
        <v/>
      </c>
      <c r="EH246" s="44" t="str">
        <f t="shared" si="3582"/>
        <v/>
      </c>
      <c r="EI246" s="44" t="str">
        <f t="shared" si="3583"/>
        <v/>
      </c>
      <c r="EJ246" s="44" t="str">
        <f t="shared" si="3584"/>
        <v/>
      </c>
      <c r="EK246" s="44" t="str">
        <f t="shared" si="3585"/>
        <v/>
      </c>
      <c r="EL246" s="44" t="str">
        <f t="shared" si="3586"/>
        <v/>
      </c>
      <c r="EM246" s="44" t="str">
        <f t="shared" si="3587"/>
        <v/>
      </c>
      <c r="EN246" s="44" t="str">
        <f t="shared" si="3588"/>
        <v/>
      </c>
      <c r="EO246" s="44" t="str">
        <f t="shared" si="3589"/>
        <v/>
      </c>
      <c r="EP246" s="44" t="str">
        <f t="shared" si="3590"/>
        <v/>
      </c>
      <c r="EQ246" s="44" t="str">
        <f t="shared" si="3591"/>
        <v/>
      </c>
      <c r="ER246" s="44" t="str">
        <f t="shared" si="3592"/>
        <v/>
      </c>
      <c r="ES246" s="44" t="str">
        <f t="shared" si="3593"/>
        <v/>
      </c>
      <c r="ET246" s="44" t="str">
        <f t="shared" si="3594"/>
        <v/>
      </c>
      <c r="EU246" s="44" t="str">
        <f t="shared" si="3595"/>
        <v/>
      </c>
      <c r="EV246" s="44" t="str">
        <f t="shared" si="3596"/>
        <v/>
      </c>
      <c r="EW246" s="44" t="str">
        <f t="shared" si="3597"/>
        <v/>
      </c>
      <c r="EX246" s="44" t="str">
        <f t="shared" si="3598"/>
        <v/>
      </c>
      <c r="EY246" s="44" t="str">
        <f t="shared" si="3599"/>
        <v/>
      </c>
      <c r="EZ246" s="44" t="str">
        <f t="shared" si="3600"/>
        <v/>
      </c>
      <c r="FA246" s="44" t="str">
        <f t="shared" si="3601"/>
        <v/>
      </c>
      <c r="FB246" s="44" t="str">
        <f t="shared" si="3602"/>
        <v/>
      </c>
      <c r="FC246" s="44" t="str">
        <f t="shared" si="3603"/>
        <v/>
      </c>
      <c r="FD246" s="44" t="str">
        <f t="shared" si="3604"/>
        <v/>
      </c>
      <c r="FE246" s="44" t="str">
        <f t="shared" si="3605"/>
        <v/>
      </c>
      <c r="FF246" s="44" t="str">
        <f t="shared" si="3606"/>
        <v/>
      </c>
      <c r="FG246" s="44" t="str">
        <f t="shared" si="3607"/>
        <v/>
      </c>
      <c r="FH246" s="44" t="str">
        <f t="shared" si="3608"/>
        <v/>
      </c>
      <c r="FI246" s="44" t="str">
        <f t="shared" si="3609"/>
        <v/>
      </c>
      <c r="FJ246" s="44" t="str">
        <f t="shared" si="3610"/>
        <v/>
      </c>
      <c r="FK246" s="44" t="str">
        <f t="shared" si="3611"/>
        <v/>
      </c>
      <c r="FL246" s="44" t="str">
        <f t="shared" si="3612"/>
        <v/>
      </c>
      <c r="FM246" s="44" t="str">
        <f t="shared" si="3613"/>
        <v/>
      </c>
      <c r="FN246" s="44" t="str">
        <f t="shared" si="3614"/>
        <v/>
      </c>
      <c r="FO246" s="44" t="str">
        <f t="shared" si="3615"/>
        <v/>
      </c>
      <c r="FP246" s="44" t="str">
        <f t="shared" si="3616"/>
        <v/>
      </c>
      <c r="FQ246" s="44" t="str">
        <f t="shared" si="3617"/>
        <v/>
      </c>
      <c r="FR246" s="44" t="str">
        <f t="shared" si="3618"/>
        <v/>
      </c>
      <c r="FS246" s="44" t="str">
        <f t="shared" si="3619"/>
        <v/>
      </c>
    </row>
    <row r="247" ht="15" spans="1:175">
      <c r="A247" s="110"/>
      <c r="B247" s="8" t="s">
        <v>769</v>
      </c>
      <c r="C247" s="6" t="s">
        <v>768</v>
      </c>
      <c r="T247" s="114"/>
      <c r="U247" s="60"/>
      <c r="CN247" s="13" t="str">
        <f t="shared" si="3544"/>
        <v>InitUnitState('IF14',,,,,,,,,,)</v>
      </c>
      <c r="CO247" s="13" t="str">
        <f t="shared" si="3545"/>
        <v>InitUnitNormal('IF14',,,,,,,,,,)</v>
      </c>
      <c r="CP247" s="13" t="str">
        <f t="shared" si="3546"/>
        <v>InitUnitMagic('IF14',,,,,,,,,,)</v>
      </c>
      <c r="CQ247" s="13" t="str">
        <f t="shared" si="3547"/>
        <v>InitUnitAdd('IF14',,,,,,,,,,)</v>
      </c>
      <c r="CR247" s="13" t="str">
        <f t="shared" si="3548"/>
        <v>InitEquipData('IF14',,"",,,,,'','','','','','',"")</v>
      </c>
      <c r="CU247" s="72" t="str">
        <f t="shared" si="3549"/>
        <v>|n</v>
      </c>
      <c r="CW247" s="7"/>
      <c r="CX247" s="7"/>
      <c r="CY247" s="7"/>
      <c r="CZ247" s="7"/>
      <c r="DA247" s="7"/>
      <c r="DB247" s="44" t="str">
        <f t="shared" si="3550"/>
        <v/>
      </c>
      <c r="DC247" s="44" t="str">
        <f t="shared" si="3551"/>
        <v/>
      </c>
      <c r="DD247" s="44" t="str">
        <f t="shared" si="3552"/>
        <v/>
      </c>
      <c r="DE247" s="44" t="str">
        <f t="shared" si="3553"/>
        <v/>
      </c>
      <c r="DF247" s="44" t="str">
        <f t="shared" si="3554"/>
        <v/>
      </c>
      <c r="DG247" s="44" t="str">
        <f t="shared" si="3555"/>
        <v/>
      </c>
      <c r="DH247" s="44" t="str">
        <f t="shared" si="3556"/>
        <v/>
      </c>
      <c r="DI247" s="44" t="str">
        <f t="shared" si="3557"/>
        <v/>
      </c>
      <c r="DJ247" s="44" t="str">
        <f t="shared" si="3558"/>
        <v/>
      </c>
      <c r="DK247" s="44" t="str">
        <f t="shared" si="3559"/>
        <v/>
      </c>
      <c r="DL247" s="44" t="str">
        <f t="shared" si="3560"/>
        <v/>
      </c>
      <c r="DM247" s="44" t="str">
        <f t="shared" si="3561"/>
        <v/>
      </c>
      <c r="DN247" s="44" t="str">
        <f t="shared" si="3562"/>
        <v/>
      </c>
      <c r="DO247" s="44" t="str">
        <f t="shared" si="3563"/>
        <v/>
      </c>
      <c r="DP247" s="44" t="str">
        <f t="shared" si="3564"/>
        <v/>
      </c>
      <c r="DQ247" s="44" t="str">
        <f t="shared" si="3565"/>
        <v/>
      </c>
      <c r="DR247" s="44" t="str">
        <f t="shared" si="3566"/>
        <v/>
      </c>
      <c r="DS247" s="44" t="str">
        <f t="shared" si="3567"/>
        <v/>
      </c>
      <c r="DT247" s="44" t="str">
        <f t="shared" si="3568"/>
        <v/>
      </c>
      <c r="DU247" s="44" t="str">
        <f t="shared" si="3569"/>
        <v/>
      </c>
      <c r="DV247" s="44" t="str">
        <f t="shared" si="3570"/>
        <v/>
      </c>
      <c r="DW247" s="44" t="str">
        <f t="shared" si="3571"/>
        <v/>
      </c>
      <c r="DX247" s="44" t="str">
        <f t="shared" si="3572"/>
        <v/>
      </c>
      <c r="DY247" s="44" t="str">
        <f t="shared" si="3573"/>
        <v/>
      </c>
      <c r="DZ247" s="44" t="str">
        <f t="shared" si="3574"/>
        <v/>
      </c>
      <c r="EA247" s="44" t="str">
        <f t="shared" si="3575"/>
        <v/>
      </c>
      <c r="EB247" s="44" t="str">
        <f t="shared" si="3576"/>
        <v/>
      </c>
      <c r="EC247" s="44" t="str">
        <f t="shared" si="3577"/>
        <v/>
      </c>
      <c r="ED247" s="44" t="str">
        <f t="shared" si="3578"/>
        <v/>
      </c>
      <c r="EE247" s="44" t="str">
        <f t="shared" si="3579"/>
        <v/>
      </c>
      <c r="EF247" s="44" t="str">
        <f t="shared" si="3580"/>
        <v/>
      </c>
      <c r="EG247" s="44" t="str">
        <f t="shared" si="3581"/>
        <v/>
      </c>
      <c r="EH247" s="44" t="str">
        <f t="shared" si="3582"/>
        <v/>
      </c>
      <c r="EI247" s="44" t="str">
        <f t="shared" si="3583"/>
        <v/>
      </c>
      <c r="EJ247" s="44" t="str">
        <f t="shared" si="3584"/>
        <v/>
      </c>
      <c r="EK247" s="44" t="str">
        <f t="shared" si="3585"/>
        <v/>
      </c>
      <c r="EL247" s="44" t="str">
        <f t="shared" si="3586"/>
        <v/>
      </c>
      <c r="EM247" s="44" t="str">
        <f t="shared" si="3587"/>
        <v/>
      </c>
      <c r="EN247" s="44" t="str">
        <f t="shared" si="3588"/>
        <v/>
      </c>
      <c r="EO247" s="44" t="str">
        <f t="shared" si="3589"/>
        <v/>
      </c>
      <c r="EP247" s="44" t="str">
        <f t="shared" si="3590"/>
        <v/>
      </c>
      <c r="EQ247" s="44" t="str">
        <f t="shared" si="3591"/>
        <v/>
      </c>
      <c r="ER247" s="44" t="str">
        <f t="shared" si="3592"/>
        <v/>
      </c>
      <c r="ES247" s="44" t="str">
        <f t="shared" si="3593"/>
        <v/>
      </c>
      <c r="ET247" s="44" t="str">
        <f t="shared" si="3594"/>
        <v/>
      </c>
      <c r="EU247" s="44" t="str">
        <f t="shared" si="3595"/>
        <v/>
      </c>
      <c r="EV247" s="44" t="str">
        <f t="shared" si="3596"/>
        <v/>
      </c>
      <c r="EW247" s="44" t="str">
        <f t="shared" si="3597"/>
        <v/>
      </c>
      <c r="EX247" s="44" t="str">
        <f t="shared" si="3598"/>
        <v/>
      </c>
      <c r="EY247" s="44" t="str">
        <f t="shared" si="3599"/>
        <v/>
      </c>
      <c r="EZ247" s="44" t="str">
        <f t="shared" si="3600"/>
        <v/>
      </c>
      <c r="FA247" s="44" t="str">
        <f t="shared" si="3601"/>
        <v/>
      </c>
      <c r="FB247" s="44" t="str">
        <f t="shared" si="3602"/>
        <v/>
      </c>
      <c r="FC247" s="44" t="str">
        <f t="shared" si="3603"/>
        <v/>
      </c>
      <c r="FD247" s="44" t="str">
        <f t="shared" si="3604"/>
        <v/>
      </c>
      <c r="FE247" s="44" t="str">
        <f t="shared" si="3605"/>
        <v/>
      </c>
      <c r="FF247" s="44" t="str">
        <f t="shared" si="3606"/>
        <v/>
      </c>
      <c r="FG247" s="44" t="str">
        <f t="shared" si="3607"/>
        <v/>
      </c>
      <c r="FH247" s="44" t="str">
        <f t="shared" si="3608"/>
        <v/>
      </c>
      <c r="FI247" s="44" t="str">
        <f t="shared" si="3609"/>
        <v/>
      </c>
      <c r="FJ247" s="44" t="str">
        <f t="shared" si="3610"/>
        <v/>
      </c>
      <c r="FK247" s="44" t="str">
        <f t="shared" si="3611"/>
        <v/>
      </c>
      <c r="FL247" s="44" t="str">
        <f t="shared" si="3612"/>
        <v/>
      </c>
      <c r="FM247" s="44" t="str">
        <f t="shared" si="3613"/>
        <v/>
      </c>
      <c r="FN247" s="44" t="str">
        <f t="shared" si="3614"/>
        <v/>
      </c>
      <c r="FO247" s="44" t="str">
        <f t="shared" si="3615"/>
        <v/>
      </c>
      <c r="FP247" s="44" t="str">
        <f t="shared" si="3616"/>
        <v/>
      </c>
      <c r="FQ247" s="44" t="str">
        <f t="shared" si="3617"/>
        <v/>
      </c>
      <c r="FR247" s="44" t="str">
        <f t="shared" si="3618"/>
        <v/>
      </c>
      <c r="FS247" s="44" t="str">
        <f t="shared" si="3619"/>
        <v/>
      </c>
    </row>
    <row r="248" ht="15" spans="1:175">
      <c r="A248" s="110"/>
      <c r="B248" s="8" t="s">
        <v>770</v>
      </c>
      <c r="C248" s="6" t="s">
        <v>768</v>
      </c>
      <c r="T248" s="114"/>
      <c r="U248" s="60"/>
      <c r="CN248" s="13" t="str">
        <f t="shared" si="3544"/>
        <v>InitUnitState('IF15',,,,,,,,,,)</v>
      </c>
      <c r="CO248" s="13" t="str">
        <f t="shared" si="3545"/>
        <v>InitUnitNormal('IF15',,,,,,,,,,)</v>
      </c>
      <c r="CP248" s="13" t="str">
        <f t="shared" si="3546"/>
        <v>InitUnitMagic('IF15',,,,,,,,,,)</v>
      </c>
      <c r="CQ248" s="13" t="str">
        <f t="shared" si="3547"/>
        <v>InitUnitAdd('IF15',,,,,,,,,,)</v>
      </c>
      <c r="CR248" s="13" t="str">
        <f t="shared" si="3548"/>
        <v>InitEquipData('IF15',,"",,,,,'','','','','','',"")</v>
      </c>
      <c r="CU248" s="72" t="str">
        <f t="shared" si="3549"/>
        <v>|n</v>
      </c>
      <c r="CW248" s="7"/>
      <c r="CX248" s="7"/>
      <c r="CY248" s="7"/>
      <c r="CZ248" s="7"/>
      <c r="DA248" s="7"/>
      <c r="DB248" s="44" t="str">
        <f t="shared" si="3550"/>
        <v/>
      </c>
      <c r="DC248" s="44" t="str">
        <f t="shared" si="3551"/>
        <v/>
      </c>
      <c r="DD248" s="44" t="str">
        <f t="shared" si="3552"/>
        <v/>
      </c>
      <c r="DE248" s="44" t="str">
        <f t="shared" si="3553"/>
        <v/>
      </c>
      <c r="DF248" s="44" t="str">
        <f t="shared" si="3554"/>
        <v/>
      </c>
      <c r="DG248" s="44" t="str">
        <f t="shared" si="3555"/>
        <v/>
      </c>
      <c r="DH248" s="44" t="str">
        <f t="shared" si="3556"/>
        <v/>
      </c>
      <c r="DI248" s="44" t="str">
        <f t="shared" si="3557"/>
        <v/>
      </c>
      <c r="DJ248" s="44" t="str">
        <f t="shared" si="3558"/>
        <v/>
      </c>
      <c r="DK248" s="44" t="str">
        <f t="shared" si="3559"/>
        <v/>
      </c>
      <c r="DL248" s="44" t="str">
        <f t="shared" si="3560"/>
        <v/>
      </c>
      <c r="DM248" s="44" t="str">
        <f t="shared" si="3561"/>
        <v/>
      </c>
      <c r="DN248" s="44" t="str">
        <f t="shared" si="3562"/>
        <v/>
      </c>
      <c r="DO248" s="44" t="str">
        <f t="shared" si="3563"/>
        <v/>
      </c>
      <c r="DP248" s="44" t="str">
        <f t="shared" si="3564"/>
        <v/>
      </c>
      <c r="DQ248" s="44" t="str">
        <f t="shared" si="3565"/>
        <v/>
      </c>
      <c r="DR248" s="44" t="str">
        <f t="shared" si="3566"/>
        <v/>
      </c>
      <c r="DS248" s="44" t="str">
        <f t="shared" si="3567"/>
        <v/>
      </c>
      <c r="DT248" s="44" t="str">
        <f t="shared" si="3568"/>
        <v/>
      </c>
      <c r="DU248" s="44" t="str">
        <f t="shared" si="3569"/>
        <v/>
      </c>
      <c r="DV248" s="44" t="str">
        <f t="shared" si="3570"/>
        <v/>
      </c>
      <c r="DW248" s="44" t="str">
        <f t="shared" si="3571"/>
        <v/>
      </c>
      <c r="DX248" s="44" t="str">
        <f t="shared" si="3572"/>
        <v/>
      </c>
      <c r="DY248" s="44" t="str">
        <f t="shared" si="3573"/>
        <v/>
      </c>
      <c r="DZ248" s="44" t="str">
        <f t="shared" si="3574"/>
        <v/>
      </c>
      <c r="EA248" s="44" t="str">
        <f t="shared" si="3575"/>
        <v/>
      </c>
      <c r="EB248" s="44" t="str">
        <f t="shared" si="3576"/>
        <v/>
      </c>
      <c r="EC248" s="44" t="str">
        <f t="shared" si="3577"/>
        <v/>
      </c>
      <c r="ED248" s="44" t="str">
        <f t="shared" si="3578"/>
        <v/>
      </c>
      <c r="EE248" s="44" t="str">
        <f t="shared" si="3579"/>
        <v/>
      </c>
      <c r="EF248" s="44" t="str">
        <f t="shared" si="3580"/>
        <v/>
      </c>
      <c r="EG248" s="44" t="str">
        <f t="shared" si="3581"/>
        <v/>
      </c>
      <c r="EH248" s="44" t="str">
        <f t="shared" si="3582"/>
        <v/>
      </c>
      <c r="EI248" s="44" t="str">
        <f t="shared" si="3583"/>
        <v/>
      </c>
      <c r="EJ248" s="44" t="str">
        <f t="shared" si="3584"/>
        <v/>
      </c>
      <c r="EK248" s="44" t="str">
        <f t="shared" si="3585"/>
        <v/>
      </c>
      <c r="EL248" s="44" t="str">
        <f t="shared" si="3586"/>
        <v/>
      </c>
      <c r="EM248" s="44" t="str">
        <f t="shared" si="3587"/>
        <v/>
      </c>
      <c r="EN248" s="44" t="str">
        <f t="shared" si="3588"/>
        <v/>
      </c>
      <c r="EO248" s="44" t="str">
        <f t="shared" si="3589"/>
        <v/>
      </c>
      <c r="EP248" s="44" t="str">
        <f t="shared" si="3590"/>
        <v/>
      </c>
      <c r="EQ248" s="44" t="str">
        <f t="shared" si="3591"/>
        <v/>
      </c>
      <c r="ER248" s="44" t="str">
        <f t="shared" si="3592"/>
        <v/>
      </c>
      <c r="ES248" s="44" t="str">
        <f t="shared" si="3593"/>
        <v/>
      </c>
      <c r="ET248" s="44" t="str">
        <f t="shared" si="3594"/>
        <v/>
      </c>
      <c r="EU248" s="44" t="str">
        <f t="shared" si="3595"/>
        <v/>
      </c>
      <c r="EV248" s="44" t="str">
        <f t="shared" si="3596"/>
        <v/>
      </c>
      <c r="EW248" s="44" t="str">
        <f t="shared" si="3597"/>
        <v/>
      </c>
      <c r="EX248" s="44" t="str">
        <f t="shared" si="3598"/>
        <v/>
      </c>
      <c r="EY248" s="44" t="str">
        <f t="shared" si="3599"/>
        <v/>
      </c>
      <c r="EZ248" s="44" t="str">
        <f t="shared" si="3600"/>
        <v/>
      </c>
      <c r="FA248" s="44" t="str">
        <f t="shared" si="3601"/>
        <v/>
      </c>
      <c r="FB248" s="44" t="str">
        <f t="shared" si="3602"/>
        <v/>
      </c>
      <c r="FC248" s="44" t="str">
        <f t="shared" si="3603"/>
        <v/>
      </c>
      <c r="FD248" s="44" t="str">
        <f t="shared" si="3604"/>
        <v/>
      </c>
      <c r="FE248" s="44" t="str">
        <f t="shared" si="3605"/>
        <v/>
      </c>
      <c r="FF248" s="44" t="str">
        <f t="shared" si="3606"/>
        <v/>
      </c>
      <c r="FG248" s="44" t="str">
        <f t="shared" si="3607"/>
        <v/>
      </c>
      <c r="FH248" s="44" t="str">
        <f t="shared" si="3608"/>
        <v/>
      </c>
      <c r="FI248" s="44" t="str">
        <f t="shared" si="3609"/>
        <v/>
      </c>
      <c r="FJ248" s="44" t="str">
        <f t="shared" si="3610"/>
        <v/>
      </c>
      <c r="FK248" s="44" t="str">
        <f t="shared" si="3611"/>
        <v/>
      </c>
      <c r="FL248" s="44" t="str">
        <f t="shared" si="3612"/>
        <v/>
      </c>
      <c r="FM248" s="44" t="str">
        <f t="shared" si="3613"/>
        <v/>
      </c>
      <c r="FN248" s="44" t="str">
        <f t="shared" si="3614"/>
        <v/>
      </c>
      <c r="FO248" s="44" t="str">
        <f t="shared" si="3615"/>
        <v/>
      </c>
      <c r="FP248" s="44" t="str">
        <f t="shared" si="3616"/>
        <v/>
      </c>
      <c r="FQ248" s="44" t="str">
        <f t="shared" si="3617"/>
        <v/>
      </c>
      <c r="FR248" s="44" t="str">
        <f t="shared" si="3618"/>
        <v/>
      </c>
      <c r="FS248" s="44" t="str">
        <f t="shared" si="3619"/>
        <v/>
      </c>
    </row>
    <row r="249" ht="15" spans="1:175">
      <c r="A249" s="110"/>
      <c r="B249" s="8" t="s">
        <v>771</v>
      </c>
      <c r="C249" s="6" t="s">
        <v>140</v>
      </c>
      <c r="T249" s="114"/>
      <c r="U249" s="60"/>
      <c r="CN249" s="13" t="str">
        <f t="shared" si="3544"/>
        <v>InitUnitState('IF16',,,,,,,,,,)</v>
      </c>
      <c r="CO249" s="13" t="str">
        <f t="shared" si="3545"/>
        <v>InitUnitNormal('IF16',,,,,,,,,,)</v>
      </c>
      <c r="CP249" s="13" t="str">
        <f t="shared" si="3546"/>
        <v>InitUnitMagic('IF16',,,,,,,,,,)</v>
      </c>
      <c r="CQ249" s="13" t="str">
        <f t="shared" si="3547"/>
        <v>InitUnitAdd('IF16',,,,,,,,,,)</v>
      </c>
      <c r="CR249" s="13" t="str">
        <f t="shared" si="3548"/>
        <v>InitEquipData('IF16',,"",,,,,'','','','','','',"")</v>
      </c>
      <c r="CU249" s="72" t="str">
        <f t="shared" si="3549"/>
        <v>|n</v>
      </c>
      <c r="CW249" s="7"/>
      <c r="CX249" s="7"/>
      <c r="CY249" s="7"/>
      <c r="CZ249" s="7"/>
      <c r="DA249" s="7"/>
      <c r="DB249" s="44" t="str">
        <f t="shared" si="3550"/>
        <v/>
      </c>
      <c r="DC249" s="44" t="str">
        <f t="shared" si="3551"/>
        <v/>
      </c>
      <c r="DD249" s="44" t="str">
        <f t="shared" si="3552"/>
        <v/>
      </c>
      <c r="DE249" s="44" t="str">
        <f t="shared" si="3553"/>
        <v/>
      </c>
      <c r="DF249" s="44" t="str">
        <f t="shared" si="3554"/>
        <v/>
      </c>
      <c r="DG249" s="44" t="str">
        <f t="shared" si="3555"/>
        <v/>
      </c>
      <c r="DH249" s="44" t="str">
        <f t="shared" si="3556"/>
        <v/>
      </c>
      <c r="DI249" s="44" t="str">
        <f t="shared" si="3557"/>
        <v/>
      </c>
      <c r="DJ249" s="44" t="str">
        <f t="shared" si="3558"/>
        <v/>
      </c>
      <c r="DK249" s="44" t="str">
        <f t="shared" si="3559"/>
        <v/>
      </c>
      <c r="DL249" s="44" t="str">
        <f t="shared" si="3560"/>
        <v/>
      </c>
      <c r="DM249" s="44" t="str">
        <f t="shared" si="3561"/>
        <v/>
      </c>
      <c r="DN249" s="44" t="str">
        <f t="shared" si="3562"/>
        <v/>
      </c>
      <c r="DO249" s="44" t="str">
        <f t="shared" si="3563"/>
        <v/>
      </c>
      <c r="DP249" s="44" t="str">
        <f t="shared" si="3564"/>
        <v/>
      </c>
      <c r="DQ249" s="44" t="str">
        <f t="shared" si="3565"/>
        <v/>
      </c>
      <c r="DR249" s="44" t="str">
        <f t="shared" si="3566"/>
        <v/>
      </c>
      <c r="DS249" s="44" t="str">
        <f t="shared" si="3567"/>
        <v/>
      </c>
      <c r="DT249" s="44" t="str">
        <f t="shared" si="3568"/>
        <v/>
      </c>
      <c r="DU249" s="44" t="str">
        <f t="shared" si="3569"/>
        <v/>
      </c>
      <c r="DV249" s="44" t="str">
        <f t="shared" si="3570"/>
        <v/>
      </c>
      <c r="DW249" s="44" t="str">
        <f t="shared" si="3571"/>
        <v/>
      </c>
      <c r="DX249" s="44" t="str">
        <f t="shared" si="3572"/>
        <v/>
      </c>
      <c r="DY249" s="44" t="str">
        <f t="shared" si="3573"/>
        <v/>
      </c>
      <c r="DZ249" s="44" t="str">
        <f t="shared" si="3574"/>
        <v/>
      </c>
      <c r="EA249" s="44" t="str">
        <f t="shared" si="3575"/>
        <v/>
      </c>
      <c r="EB249" s="44" t="str">
        <f t="shared" si="3576"/>
        <v/>
      </c>
      <c r="EC249" s="44" t="str">
        <f t="shared" si="3577"/>
        <v/>
      </c>
      <c r="ED249" s="44" t="str">
        <f t="shared" si="3578"/>
        <v/>
      </c>
      <c r="EE249" s="44" t="str">
        <f t="shared" si="3579"/>
        <v/>
      </c>
      <c r="EF249" s="44" t="str">
        <f t="shared" si="3580"/>
        <v/>
      </c>
      <c r="EG249" s="44" t="str">
        <f t="shared" si="3581"/>
        <v/>
      </c>
      <c r="EH249" s="44" t="str">
        <f t="shared" si="3582"/>
        <v/>
      </c>
      <c r="EI249" s="44" t="str">
        <f t="shared" si="3583"/>
        <v/>
      </c>
      <c r="EJ249" s="44" t="str">
        <f t="shared" si="3584"/>
        <v/>
      </c>
      <c r="EK249" s="44" t="str">
        <f t="shared" si="3585"/>
        <v/>
      </c>
      <c r="EL249" s="44" t="str">
        <f t="shared" si="3586"/>
        <v/>
      </c>
      <c r="EM249" s="44" t="str">
        <f t="shared" si="3587"/>
        <v/>
      </c>
      <c r="EN249" s="44" t="str">
        <f t="shared" si="3588"/>
        <v/>
      </c>
      <c r="EO249" s="44" t="str">
        <f t="shared" si="3589"/>
        <v/>
      </c>
      <c r="EP249" s="44" t="str">
        <f t="shared" si="3590"/>
        <v/>
      </c>
      <c r="EQ249" s="44" t="str">
        <f t="shared" si="3591"/>
        <v/>
      </c>
      <c r="ER249" s="44" t="str">
        <f t="shared" si="3592"/>
        <v/>
      </c>
      <c r="ES249" s="44" t="str">
        <f t="shared" si="3593"/>
        <v/>
      </c>
      <c r="ET249" s="44" t="str">
        <f t="shared" si="3594"/>
        <v/>
      </c>
      <c r="EU249" s="44" t="str">
        <f t="shared" si="3595"/>
        <v/>
      </c>
      <c r="EV249" s="44" t="str">
        <f t="shared" si="3596"/>
        <v/>
      </c>
      <c r="EW249" s="44" t="str">
        <f t="shared" si="3597"/>
        <v/>
      </c>
      <c r="EX249" s="44" t="str">
        <f t="shared" si="3598"/>
        <v/>
      </c>
      <c r="EY249" s="44" t="str">
        <f t="shared" si="3599"/>
        <v/>
      </c>
      <c r="EZ249" s="44" t="str">
        <f t="shared" si="3600"/>
        <v/>
      </c>
      <c r="FA249" s="44" t="str">
        <f t="shared" si="3601"/>
        <v/>
      </c>
      <c r="FB249" s="44" t="str">
        <f t="shared" si="3602"/>
        <v/>
      </c>
      <c r="FC249" s="44" t="str">
        <f t="shared" si="3603"/>
        <v/>
      </c>
      <c r="FD249" s="44" t="str">
        <f t="shared" si="3604"/>
        <v/>
      </c>
      <c r="FE249" s="44" t="str">
        <f t="shared" si="3605"/>
        <v/>
      </c>
      <c r="FF249" s="44" t="str">
        <f t="shared" si="3606"/>
        <v/>
      </c>
      <c r="FG249" s="44" t="str">
        <f t="shared" si="3607"/>
        <v/>
      </c>
      <c r="FH249" s="44" t="str">
        <f t="shared" si="3608"/>
        <v/>
      </c>
      <c r="FI249" s="44" t="str">
        <f t="shared" si="3609"/>
        <v/>
      </c>
      <c r="FJ249" s="44" t="str">
        <f t="shared" si="3610"/>
        <v/>
      </c>
      <c r="FK249" s="44" t="str">
        <f t="shared" si="3611"/>
        <v/>
      </c>
      <c r="FL249" s="44" t="str">
        <f t="shared" si="3612"/>
        <v/>
      </c>
      <c r="FM249" s="44" t="str">
        <f t="shared" si="3613"/>
        <v/>
      </c>
      <c r="FN249" s="44" t="str">
        <f t="shared" si="3614"/>
        <v/>
      </c>
      <c r="FO249" s="44" t="str">
        <f t="shared" si="3615"/>
        <v/>
      </c>
      <c r="FP249" s="44" t="str">
        <f t="shared" si="3616"/>
        <v/>
      </c>
      <c r="FQ249" s="44" t="str">
        <f t="shared" si="3617"/>
        <v/>
      </c>
      <c r="FR249" s="44" t="str">
        <f t="shared" si="3618"/>
        <v/>
      </c>
      <c r="FS249" s="44" t="str">
        <f t="shared" si="3619"/>
        <v/>
      </c>
    </row>
    <row r="250" ht="15" spans="1:175">
      <c r="A250" s="110"/>
      <c r="B250" s="8" t="s">
        <v>772</v>
      </c>
      <c r="C250" s="6" t="s">
        <v>140</v>
      </c>
      <c r="T250" s="114"/>
      <c r="U250" s="60"/>
      <c r="CN250" s="13" t="str">
        <f t="shared" si="3544"/>
        <v>InitUnitState('IF17',,,,,,,,,,)</v>
      </c>
      <c r="CO250" s="13" t="str">
        <f t="shared" si="3545"/>
        <v>InitUnitNormal('IF17',,,,,,,,,,)</v>
      </c>
      <c r="CP250" s="13" t="str">
        <f t="shared" si="3546"/>
        <v>InitUnitMagic('IF17',,,,,,,,,,)</v>
      </c>
      <c r="CQ250" s="13" t="str">
        <f t="shared" si="3547"/>
        <v>InitUnitAdd('IF17',,,,,,,,,,)</v>
      </c>
      <c r="CR250" s="13" t="str">
        <f t="shared" si="3548"/>
        <v>InitEquipData('IF17',,"",,,,,'','','','','','',"")</v>
      </c>
      <c r="CU250" s="72" t="str">
        <f t="shared" si="3549"/>
        <v>|n</v>
      </c>
      <c r="CW250" s="7"/>
      <c r="CX250" s="7"/>
      <c r="CY250" s="7"/>
      <c r="CZ250" s="7"/>
      <c r="DA250" s="7"/>
      <c r="DB250" s="44" t="str">
        <f t="shared" si="3550"/>
        <v/>
      </c>
      <c r="DC250" s="44" t="str">
        <f t="shared" si="3551"/>
        <v/>
      </c>
      <c r="DD250" s="44" t="str">
        <f t="shared" si="3552"/>
        <v/>
      </c>
      <c r="DE250" s="44" t="str">
        <f t="shared" si="3553"/>
        <v/>
      </c>
      <c r="DF250" s="44" t="str">
        <f t="shared" si="3554"/>
        <v/>
      </c>
      <c r="DG250" s="44" t="str">
        <f t="shared" si="3555"/>
        <v/>
      </c>
      <c r="DH250" s="44" t="str">
        <f t="shared" si="3556"/>
        <v/>
      </c>
      <c r="DI250" s="44" t="str">
        <f t="shared" si="3557"/>
        <v/>
      </c>
      <c r="DJ250" s="44" t="str">
        <f t="shared" si="3558"/>
        <v/>
      </c>
      <c r="DK250" s="44" t="str">
        <f t="shared" si="3559"/>
        <v/>
      </c>
      <c r="DL250" s="44" t="str">
        <f t="shared" si="3560"/>
        <v/>
      </c>
      <c r="DM250" s="44" t="str">
        <f t="shared" si="3561"/>
        <v/>
      </c>
      <c r="DN250" s="44" t="str">
        <f t="shared" si="3562"/>
        <v/>
      </c>
      <c r="DO250" s="44" t="str">
        <f t="shared" si="3563"/>
        <v/>
      </c>
      <c r="DP250" s="44" t="str">
        <f t="shared" si="3564"/>
        <v/>
      </c>
      <c r="DQ250" s="44" t="str">
        <f t="shared" si="3565"/>
        <v/>
      </c>
      <c r="DR250" s="44" t="str">
        <f t="shared" si="3566"/>
        <v/>
      </c>
      <c r="DS250" s="44" t="str">
        <f t="shared" si="3567"/>
        <v/>
      </c>
      <c r="DT250" s="44" t="str">
        <f t="shared" si="3568"/>
        <v/>
      </c>
      <c r="DU250" s="44" t="str">
        <f t="shared" si="3569"/>
        <v/>
      </c>
      <c r="DV250" s="44" t="str">
        <f t="shared" si="3570"/>
        <v/>
      </c>
      <c r="DW250" s="44" t="str">
        <f t="shared" si="3571"/>
        <v/>
      </c>
      <c r="DX250" s="44" t="str">
        <f t="shared" si="3572"/>
        <v/>
      </c>
      <c r="DY250" s="44" t="str">
        <f t="shared" si="3573"/>
        <v/>
      </c>
      <c r="DZ250" s="44" t="str">
        <f t="shared" si="3574"/>
        <v/>
      </c>
      <c r="EA250" s="44" t="str">
        <f t="shared" si="3575"/>
        <v/>
      </c>
      <c r="EB250" s="44" t="str">
        <f t="shared" si="3576"/>
        <v/>
      </c>
      <c r="EC250" s="44" t="str">
        <f t="shared" si="3577"/>
        <v/>
      </c>
      <c r="ED250" s="44" t="str">
        <f t="shared" si="3578"/>
        <v/>
      </c>
      <c r="EE250" s="44" t="str">
        <f t="shared" si="3579"/>
        <v/>
      </c>
      <c r="EF250" s="44" t="str">
        <f t="shared" si="3580"/>
        <v/>
      </c>
      <c r="EG250" s="44" t="str">
        <f t="shared" si="3581"/>
        <v/>
      </c>
      <c r="EH250" s="44" t="str">
        <f t="shared" si="3582"/>
        <v/>
      </c>
      <c r="EI250" s="44" t="str">
        <f t="shared" si="3583"/>
        <v/>
      </c>
      <c r="EJ250" s="44" t="str">
        <f t="shared" si="3584"/>
        <v/>
      </c>
      <c r="EK250" s="44" t="str">
        <f t="shared" si="3585"/>
        <v/>
      </c>
      <c r="EL250" s="44" t="str">
        <f t="shared" si="3586"/>
        <v/>
      </c>
      <c r="EM250" s="44" t="str">
        <f t="shared" si="3587"/>
        <v/>
      </c>
      <c r="EN250" s="44" t="str">
        <f t="shared" si="3588"/>
        <v/>
      </c>
      <c r="EO250" s="44" t="str">
        <f t="shared" si="3589"/>
        <v/>
      </c>
      <c r="EP250" s="44" t="str">
        <f t="shared" si="3590"/>
        <v/>
      </c>
      <c r="EQ250" s="44" t="str">
        <f t="shared" si="3591"/>
        <v/>
      </c>
      <c r="ER250" s="44" t="str">
        <f t="shared" si="3592"/>
        <v/>
      </c>
      <c r="ES250" s="44" t="str">
        <f t="shared" si="3593"/>
        <v/>
      </c>
      <c r="ET250" s="44" t="str">
        <f t="shared" si="3594"/>
        <v/>
      </c>
      <c r="EU250" s="44" t="str">
        <f t="shared" si="3595"/>
        <v/>
      </c>
      <c r="EV250" s="44" t="str">
        <f t="shared" si="3596"/>
        <v/>
      </c>
      <c r="EW250" s="44" t="str">
        <f t="shared" si="3597"/>
        <v/>
      </c>
      <c r="EX250" s="44" t="str">
        <f t="shared" si="3598"/>
        <v/>
      </c>
      <c r="EY250" s="44" t="str">
        <f t="shared" si="3599"/>
        <v/>
      </c>
      <c r="EZ250" s="44" t="str">
        <f t="shared" si="3600"/>
        <v/>
      </c>
      <c r="FA250" s="44" t="str">
        <f t="shared" si="3601"/>
        <v/>
      </c>
      <c r="FB250" s="44" t="str">
        <f t="shared" si="3602"/>
        <v/>
      </c>
      <c r="FC250" s="44" t="str">
        <f t="shared" si="3603"/>
        <v/>
      </c>
      <c r="FD250" s="44" t="str">
        <f t="shared" si="3604"/>
        <v/>
      </c>
      <c r="FE250" s="44" t="str">
        <f t="shared" si="3605"/>
        <v/>
      </c>
      <c r="FF250" s="44" t="str">
        <f t="shared" si="3606"/>
        <v/>
      </c>
      <c r="FG250" s="44" t="str">
        <f t="shared" si="3607"/>
        <v/>
      </c>
      <c r="FH250" s="44" t="str">
        <f t="shared" si="3608"/>
        <v/>
      </c>
      <c r="FI250" s="44" t="str">
        <f t="shared" si="3609"/>
        <v/>
      </c>
      <c r="FJ250" s="44" t="str">
        <f t="shared" si="3610"/>
        <v/>
      </c>
      <c r="FK250" s="44" t="str">
        <f t="shared" si="3611"/>
        <v/>
      </c>
      <c r="FL250" s="44" t="str">
        <f t="shared" si="3612"/>
        <v/>
      </c>
      <c r="FM250" s="44" t="str">
        <f t="shared" si="3613"/>
        <v/>
      </c>
      <c r="FN250" s="44" t="str">
        <f t="shared" si="3614"/>
        <v/>
      </c>
      <c r="FO250" s="44" t="str">
        <f t="shared" si="3615"/>
        <v/>
      </c>
      <c r="FP250" s="44" t="str">
        <f t="shared" si="3616"/>
        <v/>
      </c>
      <c r="FQ250" s="44" t="str">
        <f t="shared" si="3617"/>
        <v/>
      </c>
      <c r="FR250" s="44" t="str">
        <f t="shared" si="3618"/>
        <v/>
      </c>
      <c r="FS250" s="44" t="str">
        <f t="shared" si="3619"/>
        <v/>
      </c>
    </row>
    <row r="251" ht="15" spans="1:175">
      <c r="A251" s="110"/>
      <c r="B251" s="8" t="s">
        <v>773</v>
      </c>
      <c r="C251" s="6" t="s">
        <v>774</v>
      </c>
      <c r="T251" s="115"/>
      <c r="U251" s="60"/>
      <c r="CN251" s="13" t="str">
        <f t="shared" si="3544"/>
        <v>InitUnitState('IF18',,,,,,,,,,)</v>
      </c>
      <c r="CO251" s="13" t="str">
        <f t="shared" si="3545"/>
        <v>InitUnitNormal('IF18',,,,,,,,,,)</v>
      </c>
      <c r="CP251" s="13" t="str">
        <f t="shared" si="3546"/>
        <v>InitUnitMagic('IF18',,,,,,,,,,)</v>
      </c>
      <c r="CQ251" s="13" t="str">
        <f t="shared" si="3547"/>
        <v>InitUnitAdd('IF18',,,,,,,,,,)</v>
      </c>
      <c r="CR251" s="13" t="str">
        <f t="shared" si="3548"/>
        <v>InitEquipData('IF18',,"",,,,,'','','','','','',"")</v>
      </c>
      <c r="CU251" s="72" t="str">
        <f t="shared" si="3549"/>
        <v>|n</v>
      </c>
      <c r="CW251" s="7"/>
      <c r="CX251" s="7"/>
      <c r="CY251" s="7"/>
      <c r="CZ251" s="7"/>
      <c r="DA251" s="7"/>
      <c r="DB251" s="44" t="str">
        <f t="shared" si="3550"/>
        <v/>
      </c>
      <c r="DC251" s="44" t="str">
        <f t="shared" si="3551"/>
        <v/>
      </c>
      <c r="DD251" s="44" t="str">
        <f t="shared" si="3552"/>
        <v/>
      </c>
      <c r="DE251" s="44" t="str">
        <f t="shared" si="3553"/>
        <v/>
      </c>
      <c r="DF251" s="44" t="str">
        <f t="shared" si="3554"/>
        <v/>
      </c>
      <c r="DG251" s="44" t="str">
        <f t="shared" si="3555"/>
        <v/>
      </c>
      <c r="DH251" s="44" t="str">
        <f t="shared" si="3556"/>
        <v/>
      </c>
      <c r="DI251" s="44" t="str">
        <f t="shared" si="3557"/>
        <v/>
      </c>
      <c r="DJ251" s="44" t="str">
        <f t="shared" si="3558"/>
        <v/>
      </c>
      <c r="DK251" s="44" t="str">
        <f t="shared" si="3559"/>
        <v/>
      </c>
      <c r="DL251" s="44" t="str">
        <f t="shared" si="3560"/>
        <v/>
      </c>
      <c r="DM251" s="44" t="str">
        <f t="shared" si="3561"/>
        <v/>
      </c>
      <c r="DN251" s="44" t="str">
        <f t="shared" si="3562"/>
        <v/>
      </c>
      <c r="DO251" s="44" t="str">
        <f t="shared" si="3563"/>
        <v/>
      </c>
      <c r="DP251" s="44" t="str">
        <f t="shared" si="3564"/>
        <v/>
      </c>
      <c r="DQ251" s="44" t="str">
        <f t="shared" si="3565"/>
        <v/>
      </c>
      <c r="DR251" s="44" t="str">
        <f t="shared" si="3566"/>
        <v/>
      </c>
      <c r="DS251" s="44" t="str">
        <f t="shared" si="3567"/>
        <v/>
      </c>
      <c r="DT251" s="44" t="str">
        <f t="shared" si="3568"/>
        <v/>
      </c>
      <c r="DU251" s="44" t="str">
        <f t="shared" si="3569"/>
        <v/>
      </c>
      <c r="DV251" s="44" t="str">
        <f t="shared" si="3570"/>
        <v/>
      </c>
      <c r="DW251" s="44" t="str">
        <f t="shared" si="3571"/>
        <v/>
      </c>
      <c r="DX251" s="44" t="str">
        <f t="shared" si="3572"/>
        <v/>
      </c>
      <c r="DY251" s="44" t="str">
        <f t="shared" si="3573"/>
        <v/>
      </c>
      <c r="DZ251" s="44" t="str">
        <f t="shared" si="3574"/>
        <v/>
      </c>
      <c r="EA251" s="44" t="str">
        <f t="shared" si="3575"/>
        <v/>
      </c>
      <c r="EB251" s="44" t="str">
        <f t="shared" si="3576"/>
        <v/>
      </c>
      <c r="EC251" s="44" t="str">
        <f t="shared" si="3577"/>
        <v/>
      </c>
      <c r="ED251" s="44" t="str">
        <f t="shared" si="3578"/>
        <v/>
      </c>
      <c r="EE251" s="44" t="str">
        <f t="shared" si="3579"/>
        <v/>
      </c>
      <c r="EF251" s="44" t="str">
        <f t="shared" si="3580"/>
        <v/>
      </c>
      <c r="EG251" s="44" t="str">
        <f t="shared" si="3581"/>
        <v/>
      </c>
      <c r="EH251" s="44" t="str">
        <f t="shared" si="3582"/>
        <v/>
      </c>
      <c r="EI251" s="44" t="str">
        <f t="shared" si="3583"/>
        <v/>
      </c>
      <c r="EJ251" s="44" t="str">
        <f t="shared" si="3584"/>
        <v/>
      </c>
      <c r="EK251" s="44" t="str">
        <f t="shared" si="3585"/>
        <v/>
      </c>
      <c r="EL251" s="44" t="str">
        <f t="shared" si="3586"/>
        <v/>
      </c>
      <c r="EM251" s="44" t="str">
        <f t="shared" si="3587"/>
        <v/>
      </c>
      <c r="EN251" s="44" t="str">
        <f t="shared" si="3588"/>
        <v/>
      </c>
      <c r="EO251" s="44" t="str">
        <f t="shared" si="3589"/>
        <v/>
      </c>
      <c r="EP251" s="44" t="str">
        <f t="shared" si="3590"/>
        <v/>
      </c>
      <c r="EQ251" s="44" t="str">
        <f t="shared" si="3591"/>
        <v/>
      </c>
      <c r="ER251" s="44" t="str">
        <f t="shared" si="3592"/>
        <v/>
      </c>
      <c r="ES251" s="44" t="str">
        <f t="shared" si="3593"/>
        <v/>
      </c>
      <c r="ET251" s="44" t="str">
        <f t="shared" si="3594"/>
        <v/>
      </c>
      <c r="EU251" s="44" t="str">
        <f t="shared" si="3595"/>
        <v/>
      </c>
      <c r="EV251" s="44" t="str">
        <f t="shared" si="3596"/>
        <v/>
      </c>
      <c r="EW251" s="44" t="str">
        <f t="shared" si="3597"/>
        <v/>
      </c>
      <c r="EX251" s="44" t="str">
        <f t="shared" si="3598"/>
        <v/>
      </c>
      <c r="EY251" s="44" t="str">
        <f t="shared" si="3599"/>
        <v/>
      </c>
      <c r="EZ251" s="44" t="str">
        <f t="shared" si="3600"/>
        <v/>
      </c>
      <c r="FA251" s="44" t="str">
        <f t="shared" si="3601"/>
        <v/>
      </c>
      <c r="FB251" s="44" t="str">
        <f t="shared" si="3602"/>
        <v/>
      </c>
      <c r="FC251" s="44" t="str">
        <f t="shared" si="3603"/>
        <v/>
      </c>
      <c r="FD251" s="44" t="str">
        <f t="shared" si="3604"/>
        <v/>
      </c>
      <c r="FE251" s="44" t="str">
        <f t="shared" si="3605"/>
        <v/>
      </c>
      <c r="FF251" s="44" t="str">
        <f t="shared" si="3606"/>
        <v/>
      </c>
      <c r="FG251" s="44" t="str">
        <f t="shared" si="3607"/>
        <v/>
      </c>
      <c r="FH251" s="44" t="str">
        <f t="shared" si="3608"/>
        <v/>
      </c>
      <c r="FI251" s="44" t="str">
        <f t="shared" si="3609"/>
        <v/>
      </c>
      <c r="FJ251" s="44" t="str">
        <f t="shared" si="3610"/>
        <v/>
      </c>
      <c r="FK251" s="44" t="str">
        <f t="shared" si="3611"/>
        <v/>
      </c>
      <c r="FL251" s="44" t="str">
        <f t="shared" si="3612"/>
        <v/>
      </c>
      <c r="FM251" s="44" t="str">
        <f t="shared" si="3613"/>
        <v/>
      </c>
      <c r="FN251" s="44" t="str">
        <f t="shared" si="3614"/>
        <v/>
      </c>
      <c r="FO251" s="44" t="str">
        <f t="shared" si="3615"/>
        <v/>
      </c>
      <c r="FP251" s="44" t="str">
        <f t="shared" si="3616"/>
        <v/>
      </c>
      <c r="FQ251" s="44" t="str">
        <f t="shared" si="3617"/>
        <v/>
      </c>
      <c r="FR251" s="44" t="str">
        <f t="shared" si="3618"/>
        <v/>
      </c>
      <c r="FS251" s="44" t="str">
        <f t="shared" si="3619"/>
        <v/>
      </c>
    </row>
    <row r="252" ht="15" spans="1:175">
      <c r="A252" s="110"/>
      <c r="B252" s="8" t="s">
        <v>775</v>
      </c>
      <c r="C252" s="6" t="s">
        <v>774</v>
      </c>
      <c r="T252" s="115"/>
      <c r="U252" s="60"/>
      <c r="CN252" s="13" t="str">
        <f t="shared" si="3544"/>
        <v>InitUnitState('IF19',,,,,,,,,,)</v>
      </c>
      <c r="CO252" s="13" t="str">
        <f t="shared" si="3545"/>
        <v>InitUnitNormal('IF19',,,,,,,,,,)</v>
      </c>
      <c r="CP252" s="13" t="str">
        <f t="shared" si="3546"/>
        <v>InitUnitMagic('IF19',,,,,,,,,,)</v>
      </c>
      <c r="CQ252" s="13" t="str">
        <f t="shared" si="3547"/>
        <v>InitUnitAdd('IF19',,,,,,,,,,)</v>
      </c>
      <c r="CR252" s="13" t="str">
        <f t="shared" si="3548"/>
        <v>InitEquipData('IF19',,"",,,,,'','','','','','',"")</v>
      </c>
      <c r="CU252" s="72" t="str">
        <f t="shared" si="3549"/>
        <v>|n</v>
      </c>
      <c r="CW252" s="7"/>
      <c r="CX252" s="7"/>
      <c r="CY252" s="7"/>
      <c r="CZ252" s="7"/>
      <c r="DA252" s="7"/>
      <c r="DB252" s="44" t="str">
        <f t="shared" si="3550"/>
        <v/>
      </c>
      <c r="DC252" s="44" t="str">
        <f t="shared" si="3551"/>
        <v/>
      </c>
      <c r="DD252" s="44" t="str">
        <f t="shared" si="3552"/>
        <v/>
      </c>
      <c r="DE252" s="44" t="str">
        <f t="shared" si="3553"/>
        <v/>
      </c>
      <c r="DF252" s="44" t="str">
        <f t="shared" si="3554"/>
        <v/>
      </c>
      <c r="DG252" s="44" t="str">
        <f t="shared" si="3555"/>
        <v/>
      </c>
      <c r="DH252" s="44" t="str">
        <f t="shared" si="3556"/>
        <v/>
      </c>
      <c r="DI252" s="44" t="str">
        <f t="shared" si="3557"/>
        <v/>
      </c>
      <c r="DJ252" s="44" t="str">
        <f t="shared" si="3558"/>
        <v/>
      </c>
      <c r="DK252" s="44" t="str">
        <f t="shared" si="3559"/>
        <v/>
      </c>
      <c r="DL252" s="44" t="str">
        <f t="shared" si="3560"/>
        <v/>
      </c>
      <c r="DM252" s="44" t="str">
        <f t="shared" si="3561"/>
        <v/>
      </c>
      <c r="DN252" s="44" t="str">
        <f t="shared" si="3562"/>
        <v/>
      </c>
      <c r="DO252" s="44" t="str">
        <f t="shared" si="3563"/>
        <v/>
      </c>
      <c r="DP252" s="44" t="str">
        <f t="shared" si="3564"/>
        <v/>
      </c>
      <c r="DQ252" s="44" t="str">
        <f t="shared" si="3565"/>
        <v/>
      </c>
      <c r="DR252" s="44" t="str">
        <f t="shared" si="3566"/>
        <v/>
      </c>
      <c r="DS252" s="44" t="str">
        <f t="shared" si="3567"/>
        <v/>
      </c>
      <c r="DT252" s="44" t="str">
        <f t="shared" si="3568"/>
        <v/>
      </c>
      <c r="DU252" s="44" t="str">
        <f t="shared" si="3569"/>
        <v/>
      </c>
      <c r="DV252" s="44" t="str">
        <f t="shared" si="3570"/>
        <v/>
      </c>
      <c r="DW252" s="44" t="str">
        <f t="shared" si="3571"/>
        <v/>
      </c>
      <c r="DX252" s="44" t="str">
        <f t="shared" si="3572"/>
        <v/>
      </c>
      <c r="DY252" s="44" t="str">
        <f t="shared" si="3573"/>
        <v/>
      </c>
      <c r="DZ252" s="44" t="str">
        <f t="shared" si="3574"/>
        <v/>
      </c>
      <c r="EA252" s="44" t="str">
        <f t="shared" si="3575"/>
        <v/>
      </c>
      <c r="EB252" s="44" t="str">
        <f t="shared" si="3576"/>
        <v/>
      </c>
      <c r="EC252" s="44" t="str">
        <f t="shared" si="3577"/>
        <v/>
      </c>
      <c r="ED252" s="44" t="str">
        <f t="shared" si="3578"/>
        <v/>
      </c>
      <c r="EE252" s="44" t="str">
        <f t="shared" si="3579"/>
        <v/>
      </c>
      <c r="EF252" s="44" t="str">
        <f t="shared" si="3580"/>
        <v/>
      </c>
      <c r="EG252" s="44" t="str">
        <f t="shared" si="3581"/>
        <v/>
      </c>
      <c r="EH252" s="44" t="str">
        <f t="shared" si="3582"/>
        <v/>
      </c>
      <c r="EI252" s="44" t="str">
        <f t="shared" si="3583"/>
        <v/>
      </c>
      <c r="EJ252" s="44" t="str">
        <f t="shared" si="3584"/>
        <v/>
      </c>
      <c r="EK252" s="44" t="str">
        <f t="shared" si="3585"/>
        <v/>
      </c>
      <c r="EL252" s="44" t="str">
        <f t="shared" si="3586"/>
        <v/>
      </c>
      <c r="EM252" s="44" t="str">
        <f t="shared" si="3587"/>
        <v/>
      </c>
      <c r="EN252" s="44" t="str">
        <f t="shared" si="3588"/>
        <v/>
      </c>
      <c r="EO252" s="44" t="str">
        <f t="shared" si="3589"/>
        <v/>
      </c>
      <c r="EP252" s="44" t="str">
        <f t="shared" si="3590"/>
        <v/>
      </c>
      <c r="EQ252" s="44" t="str">
        <f t="shared" si="3591"/>
        <v/>
      </c>
      <c r="ER252" s="44" t="str">
        <f t="shared" si="3592"/>
        <v/>
      </c>
      <c r="ES252" s="44" t="str">
        <f t="shared" si="3593"/>
        <v/>
      </c>
      <c r="ET252" s="44" t="str">
        <f t="shared" si="3594"/>
        <v/>
      </c>
      <c r="EU252" s="44" t="str">
        <f t="shared" si="3595"/>
        <v/>
      </c>
      <c r="EV252" s="44" t="str">
        <f t="shared" si="3596"/>
        <v/>
      </c>
      <c r="EW252" s="44" t="str">
        <f t="shared" si="3597"/>
        <v/>
      </c>
      <c r="EX252" s="44" t="str">
        <f t="shared" si="3598"/>
        <v/>
      </c>
      <c r="EY252" s="44" t="str">
        <f t="shared" si="3599"/>
        <v/>
      </c>
      <c r="EZ252" s="44" t="str">
        <f t="shared" si="3600"/>
        <v/>
      </c>
      <c r="FA252" s="44" t="str">
        <f t="shared" si="3601"/>
        <v/>
      </c>
      <c r="FB252" s="44" t="str">
        <f t="shared" si="3602"/>
        <v/>
      </c>
      <c r="FC252" s="44" t="str">
        <f t="shared" si="3603"/>
        <v/>
      </c>
      <c r="FD252" s="44" t="str">
        <f t="shared" si="3604"/>
        <v/>
      </c>
      <c r="FE252" s="44" t="str">
        <f t="shared" si="3605"/>
        <v/>
      </c>
      <c r="FF252" s="44" t="str">
        <f t="shared" si="3606"/>
        <v/>
      </c>
      <c r="FG252" s="44" t="str">
        <f t="shared" si="3607"/>
        <v/>
      </c>
      <c r="FH252" s="44" t="str">
        <f t="shared" si="3608"/>
        <v/>
      </c>
      <c r="FI252" s="44" t="str">
        <f t="shared" si="3609"/>
        <v/>
      </c>
      <c r="FJ252" s="44" t="str">
        <f t="shared" si="3610"/>
        <v/>
      </c>
      <c r="FK252" s="44" t="str">
        <f t="shared" si="3611"/>
        <v/>
      </c>
      <c r="FL252" s="44" t="str">
        <f t="shared" si="3612"/>
        <v/>
      </c>
      <c r="FM252" s="44" t="str">
        <f t="shared" si="3613"/>
        <v/>
      </c>
      <c r="FN252" s="44" t="str">
        <f t="shared" si="3614"/>
        <v/>
      </c>
      <c r="FO252" s="44" t="str">
        <f t="shared" si="3615"/>
        <v/>
      </c>
      <c r="FP252" s="44" t="str">
        <f t="shared" si="3616"/>
        <v/>
      </c>
      <c r="FQ252" s="44" t="str">
        <f t="shared" si="3617"/>
        <v/>
      </c>
      <c r="FR252" s="44" t="str">
        <f t="shared" si="3618"/>
        <v/>
      </c>
      <c r="FS252" s="44" t="str">
        <f t="shared" si="3619"/>
        <v/>
      </c>
    </row>
    <row r="253" ht="15" spans="1:175">
      <c r="A253" s="110"/>
      <c r="B253" s="8" t="s">
        <v>776</v>
      </c>
      <c r="C253" s="6" t="s">
        <v>127</v>
      </c>
      <c r="T253" s="115"/>
      <c r="U253" s="60"/>
      <c r="CN253" s="13" t="str">
        <f t="shared" si="3544"/>
        <v>InitUnitState('IF20',,,,,,,,,,)</v>
      </c>
      <c r="CO253" s="13" t="str">
        <f t="shared" si="3545"/>
        <v>InitUnitNormal('IF20',,,,,,,,,,)</v>
      </c>
      <c r="CP253" s="13" t="str">
        <f t="shared" si="3546"/>
        <v>InitUnitMagic('IF20',,,,,,,,,,)</v>
      </c>
      <c r="CQ253" s="13" t="str">
        <f t="shared" si="3547"/>
        <v>InitUnitAdd('IF20',,,,,,,,,,)</v>
      </c>
      <c r="CR253" s="13" t="str">
        <f t="shared" si="3548"/>
        <v>InitEquipData('IF20',,"",,,,,'','','','','','',"")</v>
      </c>
      <c r="CU253" s="72" t="str">
        <f t="shared" si="3549"/>
        <v>|n</v>
      </c>
      <c r="CW253" s="7"/>
      <c r="CX253" s="7"/>
      <c r="CY253" s="7"/>
      <c r="CZ253" s="7"/>
      <c r="DA253" s="7"/>
      <c r="DB253" s="44" t="str">
        <f t="shared" si="3550"/>
        <v/>
      </c>
      <c r="DC253" s="44" t="str">
        <f t="shared" si="3551"/>
        <v/>
      </c>
      <c r="DD253" s="44" t="str">
        <f t="shared" si="3552"/>
        <v/>
      </c>
      <c r="DE253" s="44" t="str">
        <f t="shared" si="3553"/>
        <v/>
      </c>
      <c r="DF253" s="44" t="str">
        <f t="shared" si="3554"/>
        <v/>
      </c>
      <c r="DG253" s="44" t="str">
        <f t="shared" si="3555"/>
        <v/>
      </c>
      <c r="DH253" s="44" t="str">
        <f t="shared" si="3556"/>
        <v/>
      </c>
      <c r="DI253" s="44" t="str">
        <f t="shared" si="3557"/>
        <v/>
      </c>
      <c r="DJ253" s="44" t="str">
        <f t="shared" si="3558"/>
        <v/>
      </c>
      <c r="DK253" s="44" t="str">
        <f t="shared" si="3559"/>
        <v/>
      </c>
      <c r="DL253" s="44" t="str">
        <f t="shared" si="3560"/>
        <v/>
      </c>
      <c r="DM253" s="44" t="str">
        <f t="shared" si="3561"/>
        <v/>
      </c>
      <c r="DN253" s="44" t="str">
        <f t="shared" si="3562"/>
        <v/>
      </c>
      <c r="DO253" s="44" t="str">
        <f t="shared" si="3563"/>
        <v/>
      </c>
      <c r="DP253" s="44" t="str">
        <f t="shared" si="3564"/>
        <v/>
      </c>
      <c r="DQ253" s="44" t="str">
        <f t="shared" si="3565"/>
        <v/>
      </c>
      <c r="DR253" s="44" t="str">
        <f t="shared" si="3566"/>
        <v/>
      </c>
      <c r="DS253" s="44" t="str">
        <f t="shared" si="3567"/>
        <v/>
      </c>
      <c r="DT253" s="44" t="str">
        <f t="shared" si="3568"/>
        <v/>
      </c>
      <c r="DU253" s="44" t="str">
        <f t="shared" si="3569"/>
        <v/>
      </c>
      <c r="DV253" s="44" t="str">
        <f t="shared" si="3570"/>
        <v/>
      </c>
      <c r="DW253" s="44" t="str">
        <f t="shared" si="3571"/>
        <v/>
      </c>
      <c r="DX253" s="44" t="str">
        <f t="shared" si="3572"/>
        <v/>
      </c>
      <c r="DY253" s="44" t="str">
        <f t="shared" si="3573"/>
        <v/>
      </c>
      <c r="DZ253" s="44" t="str">
        <f t="shared" si="3574"/>
        <v/>
      </c>
      <c r="EA253" s="44" t="str">
        <f t="shared" si="3575"/>
        <v/>
      </c>
      <c r="EB253" s="44" t="str">
        <f t="shared" si="3576"/>
        <v/>
      </c>
      <c r="EC253" s="44" t="str">
        <f t="shared" si="3577"/>
        <v/>
      </c>
      <c r="ED253" s="44" t="str">
        <f t="shared" si="3578"/>
        <v/>
      </c>
      <c r="EE253" s="44" t="str">
        <f t="shared" si="3579"/>
        <v/>
      </c>
      <c r="EF253" s="44" t="str">
        <f t="shared" si="3580"/>
        <v/>
      </c>
      <c r="EG253" s="44" t="str">
        <f t="shared" si="3581"/>
        <v/>
      </c>
      <c r="EH253" s="44" t="str">
        <f t="shared" si="3582"/>
        <v/>
      </c>
      <c r="EI253" s="44" t="str">
        <f t="shared" si="3583"/>
        <v/>
      </c>
      <c r="EJ253" s="44" t="str">
        <f t="shared" si="3584"/>
        <v/>
      </c>
      <c r="EK253" s="44" t="str">
        <f t="shared" si="3585"/>
        <v/>
      </c>
      <c r="EL253" s="44" t="str">
        <f t="shared" si="3586"/>
        <v/>
      </c>
      <c r="EM253" s="44" t="str">
        <f t="shared" si="3587"/>
        <v/>
      </c>
      <c r="EN253" s="44" t="str">
        <f t="shared" si="3588"/>
        <v/>
      </c>
      <c r="EO253" s="44" t="str">
        <f t="shared" si="3589"/>
        <v/>
      </c>
      <c r="EP253" s="44" t="str">
        <f t="shared" si="3590"/>
        <v/>
      </c>
      <c r="EQ253" s="44" t="str">
        <f t="shared" si="3591"/>
        <v/>
      </c>
      <c r="ER253" s="44" t="str">
        <f t="shared" si="3592"/>
        <v/>
      </c>
      <c r="ES253" s="44" t="str">
        <f t="shared" si="3593"/>
        <v/>
      </c>
      <c r="ET253" s="44" t="str">
        <f t="shared" si="3594"/>
        <v/>
      </c>
      <c r="EU253" s="44" t="str">
        <f t="shared" si="3595"/>
        <v/>
      </c>
      <c r="EV253" s="44" t="str">
        <f t="shared" si="3596"/>
        <v/>
      </c>
      <c r="EW253" s="44" t="str">
        <f t="shared" si="3597"/>
        <v/>
      </c>
      <c r="EX253" s="44" t="str">
        <f t="shared" si="3598"/>
        <v/>
      </c>
      <c r="EY253" s="44" t="str">
        <f t="shared" si="3599"/>
        <v/>
      </c>
      <c r="EZ253" s="44" t="str">
        <f t="shared" si="3600"/>
        <v/>
      </c>
      <c r="FA253" s="44" t="str">
        <f t="shared" si="3601"/>
        <v/>
      </c>
      <c r="FB253" s="44" t="str">
        <f t="shared" si="3602"/>
        <v/>
      </c>
      <c r="FC253" s="44" t="str">
        <f t="shared" si="3603"/>
        <v/>
      </c>
      <c r="FD253" s="44" t="str">
        <f t="shared" si="3604"/>
        <v/>
      </c>
      <c r="FE253" s="44" t="str">
        <f t="shared" si="3605"/>
        <v/>
      </c>
      <c r="FF253" s="44" t="str">
        <f t="shared" si="3606"/>
        <v/>
      </c>
      <c r="FG253" s="44" t="str">
        <f t="shared" si="3607"/>
        <v/>
      </c>
      <c r="FH253" s="44" t="str">
        <f t="shared" si="3608"/>
        <v/>
      </c>
      <c r="FI253" s="44" t="str">
        <f t="shared" si="3609"/>
        <v/>
      </c>
      <c r="FJ253" s="44" t="str">
        <f t="shared" si="3610"/>
        <v/>
      </c>
      <c r="FK253" s="44" t="str">
        <f t="shared" si="3611"/>
        <v/>
      </c>
      <c r="FL253" s="44" t="str">
        <f t="shared" si="3612"/>
        <v/>
      </c>
      <c r="FM253" s="44" t="str">
        <f t="shared" si="3613"/>
        <v/>
      </c>
      <c r="FN253" s="44" t="str">
        <f t="shared" si="3614"/>
        <v/>
      </c>
      <c r="FO253" s="44" t="str">
        <f t="shared" si="3615"/>
        <v/>
      </c>
      <c r="FP253" s="44" t="str">
        <f t="shared" si="3616"/>
        <v/>
      </c>
      <c r="FQ253" s="44" t="str">
        <f t="shared" si="3617"/>
        <v/>
      </c>
      <c r="FR253" s="44" t="str">
        <f t="shared" si="3618"/>
        <v/>
      </c>
      <c r="FS253" s="44" t="str">
        <f t="shared" si="3619"/>
        <v/>
      </c>
    </row>
    <row r="254" spans="1:175">
      <c r="A254" s="8"/>
      <c r="B254" s="8" t="s">
        <v>777</v>
      </c>
      <c r="C254" s="6" t="s">
        <v>127</v>
      </c>
      <c r="T254" s="116"/>
      <c r="U254" s="60"/>
      <c r="CN254" s="13" t="str">
        <f t="shared" si="3544"/>
        <v>InitUnitState('IF21',,,,,,,,,,)</v>
      </c>
      <c r="CO254" s="13" t="str">
        <f t="shared" si="3545"/>
        <v>InitUnitNormal('IF21',,,,,,,,,,)</v>
      </c>
      <c r="CP254" s="13" t="str">
        <f t="shared" si="3546"/>
        <v>InitUnitMagic('IF21',,,,,,,,,,)</v>
      </c>
      <c r="CQ254" s="13" t="str">
        <f t="shared" si="3547"/>
        <v>InitUnitAdd('IF21',,,,,,,,,,)</v>
      </c>
      <c r="CR254" s="13" t="str">
        <f t="shared" si="3548"/>
        <v>InitEquipData('IF21',,"",,,,,'','','','','','',"")</v>
      </c>
      <c r="CU254" s="72" t="str">
        <f t="shared" si="3549"/>
        <v>|n</v>
      </c>
      <c r="CW254" s="7"/>
      <c r="CX254" s="7"/>
      <c r="CY254" s="7"/>
      <c r="CZ254" s="7"/>
      <c r="DA254" s="7"/>
      <c r="DB254" s="44" t="str">
        <f t="shared" si="3550"/>
        <v/>
      </c>
      <c r="DC254" s="44" t="str">
        <f t="shared" si="3551"/>
        <v/>
      </c>
      <c r="DD254" s="44" t="str">
        <f t="shared" si="3552"/>
        <v/>
      </c>
      <c r="DE254" s="44" t="str">
        <f t="shared" si="3553"/>
        <v/>
      </c>
      <c r="DF254" s="44" t="str">
        <f t="shared" si="3554"/>
        <v/>
      </c>
      <c r="DG254" s="44" t="str">
        <f t="shared" si="3555"/>
        <v/>
      </c>
      <c r="DH254" s="44" t="str">
        <f t="shared" si="3556"/>
        <v/>
      </c>
      <c r="DI254" s="44" t="str">
        <f t="shared" si="3557"/>
        <v/>
      </c>
      <c r="DJ254" s="44" t="str">
        <f t="shared" si="3558"/>
        <v/>
      </c>
      <c r="DK254" s="44" t="str">
        <f t="shared" si="3559"/>
        <v/>
      </c>
      <c r="DL254" s="44" t="str">
        <f t="shared" si="3560"/>
        <v/>
      </c>
      <c r="DM254" s="44" t="str">
        <f t="shared" si="3561"/>
        <v/>
      </c>
      <c r="DN254" s="44" t="str">
        <f t="shared" si="3562"/>
        <v/>
      </c>
      <c r="DO254" s="44" t="str">
        <f t="shared" si="3563"/>
        <v/>
      </c>
      <c r="DP254" s="44" t="str">
        <f t="shared" si="3564"/>
        <v/>
      </c>
      <c r="DQ254" s="44" t="str">
        <f t="shared" si="3565"/>
        <v/>
      </c>
      <c r="DR254" s="44" t="str">
        <f t="shared" si="3566"/>
        <v/>
      </c>
      <c r="DS254" s="44" t="str">
        <f t="shared" si="3567"/>
        <v/>
      </c>
      <c r="DT254" s="44" t="str">
        <f t="shared" si="3568"/>
        <v/>
      </c>
      <c r="DU254" s="44" t="str">
        <f t="shared" si="3569"/>
        <v/>
      </c>
      <c r="DV254" s="44" t="str">
        <f t="shared" si="3570"/>
        <v/>
      </c>
      <c r="DW254" s="44" t="str">
        <f t="shared" si="3571"/>
        <v/>
      </c>
      <c r="DX254" s="44" t="str">
        <f t="shared" si="3572"/>
        <v/>
      </c>
      <c r="DY254" s="44" t="str">
        <f t="shared" si="3573"/>
        <v/>
      </c>
      <c r="DZ254" s="44" t="str">
        <f t="shared" si="3574"/>
        <v/>
      </c>
      <c r="EA254" s="44" t="str">
        <f t="shared" si="3575"/>
        <v/>
      </c>
      <c r="EB254" s="44" t="str">
        <f t="shared" si="3576"/>
        <v/>
      </c>
      <c r="EC254" s="44" t="str">
        <f t="shared" si="3577"/>
        <v/>
      </c>
      <c r="ED254" s="44" t="str">
        <f t="shared" si="3578"/>
        <v/>
      </c>
      <c r="EE254" s="44" t="str">
        <f t="shared" si="3579"/>
        <v/>
      </c>
      <c r="EF254" s="44" t="str">
        <f t="shared" si="3580"/>
        <v/>
      </c>
      <c r="EG254" s="44" t="str">
        <f t="shared" si="3581"/>
        <v/>
      </c>
      <c r="EH254" s="44" t="str">
        <f t="shared" si="3582"/>
        <v/>
      </c>
      <c r="EI254" s="44" t="str">
        <f t="shared" si="3583"/>
        <v/>
      </c>
      <c r="EJ254" s="44" t="str">
        <f t="shared" si="3584"/>
        <v/>
      </c>
      <c r="EK254" s="44" t="str">
        <f t="shared" si="3585"/>
        <v/>
      </c>
      <c r="EL254" s="44" t="str">
        <f t="shared" si="3586"/>
        <v/>
      </c>
      <c r="EM254" s="44" t="str">
        <f t="shared" si="3587"/>
        <v/>
      </c>
      <c r="EN254" s="44" t="str">
        <f t="shared" si="3588"/>
        <v/>
      </c>
      <c r="EO254" s="44" t="str">
        <f t="shared" si="3589"/>
        <v/>
      </c>
      <c r="EP254" s="44" t="str">
        <f t="shared" si="3590"/>
        <v/>
      </c>
      <c r="EQ254" s="44" t="str">
        <f t="shared" si="3591"/>
        <v/>
      </c>
      <c r="ER254" s="44" t="str">
        <f t="shared" si="3592"/>
        <v/>
      </c>
      <c r="ES254" s="44" t="str">
        <f t="shared" si="3593"/>
        <v/>
      </c>
      <c r="ET254" s="44" t="str">
        <f t="shared" si="3594"/>
        <v/>
      </c>
      <c r="EU254" s="44" t="str">
        <f t="shared" si="3595"/>
        <v/>
      </c>
      <c r="EV254" s="44" t="str">
        <f t="shared" si="3596"/>
        <v/>
      </c>
      <c r="EW254" s="44" t="str">
        <f t="shared" si="3597"/>
        <v/>
      </c>
      <c r="EX254" s="44" t="str">
        <f t="shared" si="3598"/>
        <v/>
      </c>
      <c r="EY254" s="44" t="str">
        <f t="shared" si="3599"/>
        <v/>
      </c>
      <c r="EZ254" s="44" t="str">
        <f t="shared" si="3600"/>
        <v/>
      </c>
      <c r="FA254" s="44" t="str">
        <f t="shared" si="3601"/>
        <v/>
      </c>
      <c r="FB254" s="44" t="str">
        <f t="shared" si="3602"/>
        <v/>
      </c>
      <c r="FC254" s="44" t="str">
        <f t="shared" si="3603"/>
        <v/>
      </c>
      <c r="FD254" s="44" t="str">
        <f t="shared" si="3604"/>
        <v/>
      </c>
      <c r="FE254" s="44" t="str">
        <f t="shared" si="3605"/>
        <v/>
      </c>
      <c r="FF254" s="44" t="str">
        <f t="shared" si="3606"/>
        <v/>
      </c>
      <c r="FG254" s="44" t="str">
        <f t="shared" si="3607"/>
        <v/>
      </c>
      <c r="FH254" s="44" t="str">
        <f t="shared" si="3608"/>
        <v/>
      </c>
      <c r="FI254" s="44" t="str">
        <f t="shared" si="3609"/>
        <v/>
      </c>
      <c r="FJ254" s="44" t="str">
        <f t="shared" si="3610"/>
        <v/>
      </c>
      <c r="FK254" s="44" t="str">
        <f t="shared" si="3611"/>
        <v/>
      </c>
      <c r="FL254" s="44" t="str">
        <f t="shared" si="3612"/>
        <v/>
      </c>
      <c r="FM254" s="44" t="str">
        <f t="shared" si="3613"/>
        <v/>
      </c>
      <c r="FN254" s="44" t="str">
        <f t="shared" si="3614"/>
        <v/>
      </c>
      <c r="FO254" s="44" t="str">
        <f t="shared" si="3615"/>
        <v/>
      </c>
      <c r="FP254" s="44" t="str">
        <f t="shared" si="3616"/>
        <v/>
      </c>
      <c r="FQ254" s="44" t="str">
        <f t="shared" si="3617"/>
        <v/>
      </c>
      <c r="FR254" s="44" t="str">
        <f t="shared" si="3618"/>
        <v/>
      </c>
      <c r="FS254" s="44" t="str">
        <f t="shared" si="3619"/>
        <v/>
      </c>
    </row>
    <row r="255" spans="1:175">
      <c r="A255" s="8"/>
      <c r="B255" s="8" t="s">
        <v>778</v>
      </c>
      <c r="C255" s="6" t="s">
        <v>779</v>
      </c>
      <c r="T255" s="116"/>
      <c r="U255" s="60"/>
      <c r="CN255" s="13" t="str">
        <f t="shared" si="3544"/>
        <v>InitUnitState('IF22',,,,,,,,,,)</v>
      </c>
      <c r="CO255" s="13" t="str">
        <f t="shared" si="3545"/>
        <v>InitUnitNormal('IF22',,,,,,,,,,)</v>
      </c>
      <c r="CP255" s="13" t="str">
        <f t="shared" si="3546"/>
        <v>InitUnitMagic('IF22',,,,,,,,,,)</v>
      </c>
      <c r="CQ255" s="13" t="str">
        <f t="shared" si="3547"/>
        <v>InitUnitAdd('IF22',,,,,,,,,,)</v>
      </c>
      <c r="CR255" s="13" t="str">
        <f t="shared" si="3548"/>
        <v>InitEquipData('IF22',,"",,,,,'','','','','','',"")</v>
      </c>
      <c r="CU255" s="72" t="str">
        <f t="shared" si="3549"/>
        <v>|n</v>
      </c>
      <c r="CW255" s="7"/>
      <c r="CX255" s="7"/>
      <c r="CY255" s="7"/>
      <c r="CZ255" s="7"/>
      <c r="DA255" s="7"/>
      <c r="DB255" s="44" t="str">
        <f t="shared" si="3550"/>
        <v/>
      </c>
      <c r="DC255" s="44" t="str">
        <f t="shared" si="3551"/>
        <v/>
      </c>
      <c r="DD255" s="44" t="str">
        <f t="shared" si="3552"/>
        <v/>
      </c>
      <c r="DE255" s="44" t="str">
        <f t="shared" si="3553"/>
        <v/>
      </c>
      <c r="DF255" s="44" t="str">
        <f t="shared" si="3554"/>
        <v/>
      </c>
      <c r="DG255" s="44" t="str">
        <f t="shared" si="3555"/>
        <v/>
      </c>
      <c r="DH255" s="44" t="str">
        <f t="shared" si="3556"/>
        <v/>
      </c>
      <c r="DI255" s="44" t="str">
        <f t="shared" si="3557"/>
        <v/>
      </c>
      <c r="DJ255" s="44" t="str">
        <f t="shared" si="3558"/>
        <v/>
      </c>
      <c r="DK255" s="44" t="str">
        <f t="shared" si="3559"/>
        <v/>
      </c>
      <c r="DL255" s="44" t="str">
        <f t="shared" si="3560"/>
        <v/>
      </c>
      <c r="DM255" s="44" t="str">
        <f t="shared" si="3561"/>
        <v/>
      </c>
      <c r="DN255" s="44" t="str">
        <f t="shared" si="3562"/>
        <v/>
      </c>
      <c r="DO255" s="44" t="str">
        <f t="shared" si="3563"/>
        <v/>
      </c>
      <c r="DP255" s="44" t="str">
        <f t="shared" si="3564"/>
        <v/>
      </c>
      <c r="DQ255" s="44" t="str">
        <f t="shared" si="3565"/>
        <v/>
      </c>
      <c r="DR255" s="44" t="str">
        <f t="shared" si="3566"/>
        <v/>
      </c>
      <c r="DS255" s="44" t="str">
        <f t="shared" si="3567"/>
        <v/>
      </c>
      <c r="DT255" s="44" t="str">
        <f t="shared" si="3568"/>
        <v/>
      </c>
      <c r="DU255" s="44" t="str">
        <f t="shared" si="3569"/>
        <v/>
      </c>
      <c r="DV255" s="44" t="str">
        <f t="shared" si="3570"/>
        <v/>
      </c>
      <c r="DW255" s="44" t="str">
        <f t="shared" si="3571"/>
        <v/>
      </c>
      <c r="DX255" s="44" t="str">
        <f t="shared" si="3572"/>
        <v/>
      </c>
      <c r="DY255" s="44" t="str">
        <f t="shared" si="3573"/>
        <v/>
      </c>
      <c r="DZ255" s="44" t="str">
        <f t="shared" si="3574"/>
        <v/>
      </c>
      <c r="EA255" s="44" t="str">
        <f t="shared" si="3575"/>
        <v/>
      </c>
      <c r="EB255" s="44" t="str">
        <f t="shared" si="3576"/>
        <v/>
      </c>
      <c r="EC255" s="44" t="str">
        <f t="shared" si="3577"/>
        <v/>
      </c>
      <c r="ED255" s="44" t="str">
        <f t="shared" si="3578"/>
        <v/>
      </c>
      <c r="EE255" s="44" t="str">
        <f t="shared" si="3579"/>
        <v/>
      </c>
      <c r="EF255" s="44" t="str">
        <f t="shared" si="3580"/>
        <v/>
      </c>
      <c r="EG255" s="44" t="str">
        <f t="shared" si="3581"/>
        <v/>
      </c>
      <c r="EH255" s="44" t="str">
        <f t="shared" si="3582"/>
        <v/>
      </c>
      <c r="EI255" s="44" t="str">
        <f t="shared" si="3583"/>
        <v/>
      </c>
      <c r="EJ255" s="44" t="str">
        <f t="shared" si="3584"/>
        <v/>
      </c>
      <c r="EK255" s="44" t="str">
        <f t="shared" si="3585"/>
        <v/>
      </c>
      <c r="EL255" s="44" t="str">
        <f t="shared" si="3586"/>
        <v/>
      </c>
      <c r="EM255" s="44" t="str">
        <f t="shared" si="3587"/>
        <v/>
      </c>
      <c r="EN255" s="44" t="str">
        <f t="shared" si="3588"/>
        <v/>
      </c>
      <c r="EO255" s="44" t="str">
        <f t="shared" si="3589"/>
        <v/>
      </c>
      <c r="EP255" s="44" t="str">
        <f t="shared" si="3590"/>
        <v/>
      </c>
      <c r="EQ255" s="44" t="str">
        <f t="shared" si="3591"/>
        <v/>
      </c>
      <c r="ER255" s="44" t="str">
        <f t="shared" si="3592"/>
        <v/>
      </c>
      <c r="ES255" s="44" t="str">
        <f t="shared" si="3593"/>
        <v/>
      </c>
      <c r="ET255" s="44" t="str">
        <f t="shared" si="3594"/>
        <v/>
      </c>
      <c r="EU255" s="44" t="str">
        <f t="shared" si="3595"/>
        <v/>
      </c>
      <c r="EV255" s="44" t="str">
        <f t="shared" si="3596"/>
        <v/>
      </c>
      <c r="EW255" s="44" t="str">
        <f t="shared" si="3597"/>
        <v/>
      </c>
      <c r="EX255" s="44" t="str">
        <f t="shared" si="3598"/>
        <v/>
      </c>
      <c r="EY255" s="44" t="str">
        <f t="shared" si="3599"/>
        <v/>
      </c>
      <c r="EZ255" s="44" t="str">
        <f t="shared" si="3600"/>
        <v/>
      </c>
      <c r="FA255" s="44" t="str">
        <f t="shared" si="3601"/>
        <v/>
      </c>
      <c r="FB255" s="44" t="str">
        <f t="shared" si="3602"/>
        <v/>
      </c>
      <c r="FC255" s="44" t="str">
        <f t="shared" si="3603"/>
        <v/>
      </c>
      <c r="FD255" s="44" t="str">
        <f t="shared" si="3604"/>
        <v/>
      </c>
      <c r="FE255" s="44" t="str">
        <f t="shared" si="3605"/>
        <v/>
      </c>
      <c r="FF255" s="44" t="str">
        <f t="shared" si="3606"/>
        <v/>
      </c>
      <c r="FG255" s="44" t="str">
        <f t="shared" si="3607"/>
        <v/>
      </c>
      <c r="FH255" s="44" t="str">
        <f t="shared" si="3608"/>
        <v/>
      </c>
      <c r="FI255" s="44" t="str">
        <f t="shared" si="3609"/>
        <v/>
      </c>
      <c r="FJ255" s="44" t="str">
        <f t="shared" si="3610"/>
        <v/>
      </c>
      <c r="FK255" s="44" t="str">
        <f t="shared" si="3611"/>
        <v/>
      </c>
      <c r="FL255" s="44" t="str">
        <f t="shared" si="3612"/>
        <v/>
      </c>
      <c r="FM255" s="44" t="str">
        <f t="shared" si="3613"/>
        <v/>
      </c>
      <c r="FN255" s="44" t="str">
        <f t="shared" si="3614"/>
        <v/>
      </c>
      <c r="FO255" s="44" t="str">
        <f t="shared" si="3615"/>
        <v/>
      </c>
      <c r="FP255" s="44" t="str">
        <f t="shared" si="3616"/>
        <v/>
      </c>
      <c r="FQ255" s="44" t="str">
        <f t="shared" si="3617"/>
        <v/>
      </c>
      <c r="FR255" s="44" t="str">
        <f t="shared" si="3618"/>
        <v/>
      </c>
      <c r="FS255" s="44" t="str">
        <f t="shared" si="3619"/>
        <v/>
      </c>
    </row>
    <row r="256" spans="1:175">
      <c r="A256" s="8"/>
      <c r="B256" s="8" t="s">
        <v>780</v>
      </c>
      <c r="C256" s="6" t="s">
        <v>779</v>
      </c>
      <c r="T256" s="116"/>
      <c r="U256" s="60"/>
      <c r="CN256" s="13" t="str">
        <f t="shared" si="3544"/>
        <v>InitUnitState('IF23',,,,,,,,,,)</v>
      </c>
      <c r="CO256" s="13" t="str">
        <f t="shared" si="3545"/>
        <v>InitUnitNormal('IF23',,,,,,,,,,)</v>
      </c>
      <c r="CP256" s="13" t="str">
        <f t="shared" si="3546"/>
        <v>InitUnitMagic('IF23',,,,,,,,,,)</v>
      </c>
      <c r="CQ256" s="13" t="str">
        <f t="shared" si="3547"/>
        <v>InitUnitAdd('IF23',,,,,,,,,,)</v>
      </c>
      <c r="CR256" s="13" t="str">
        <f t="shared" si="3548"/>
        <v>InitEquipData('IF23',,"",,,,,'','','','','','',"")</v>
      </c>
      <c r="CU256" s="72" t="str">
        <f t="shared" si="3549"/>
        <v>|n</v>
      </c>
      <c r="CW256" s="7"/>
      <c r="CX256" s="7"/>
      <c r="CY256" s="7"/>
      <c r="CZ256" s="7"/>
      <c r="DA256" s="7"/>
      <c r="DB256" s="44" t="str">
        <f t="shared" si="3550"/>
        <v/>
      </c>
      <c r="DC256" s="44" t="str">
        <f t="shared" si="3551"/>
        <v/>
      </c>
      <c r="DD256" s="44" t="str">
        <f t="shared" si="3552"/>
        <v/>
      </c>
      <c r="DE256" s="44" t="str">
        <f t="shared" si="3553"/>
        <v/>
      </c>
      <c r="DF256" s="44" t="str">
        <f t="shared" si="3554"/>
        <v/>
      </c>
      <c r="DG256" s="44" t="str">
        <f t="shared" si="3555"/>
        <v/>
      </c>
      <c r="DH256" s="44" t="str">
        <f t="shared" si="3556"/>
        <v/>
      </c>
      <c r="DI256" s="44" t="str">
        <f t="shared" si="3557"/>
        <v/>
      </c>
      <c r="DJ256" s="44" t="str">
        <f t="shared" si="3558"/>
        <v/>
      </c>
      <c r="DK256" s="44" t="str">
        <f t="shared" si="3559"/>
        <v/>
      </c>
      <c r="DL256" s="44" t="str">
        <f t="shared" si="3560"/>
        <v/>
      </c>
      <c r="DM256" s="44" t="str">
        <f t="shared" si="3561"/>
        <v/>
      </c>
      <c r="DN256" s="44" t="str">
        <f t="shared" si="3562"/>
        <v/>
      </c>
      <c r="DO256" s="44" t="str">
        <f t="shared" si="3563"/>
        <v/>
      </c>
      <c r="DP256" s="44" t="str">
        <f t="shared" si="3564"/>
        <v/>
      </c>
      <c r="DQ256" s="44" t="str">
        <f t="shared" si="3565"/>
        <v/>
      </c>
      <c r="DR256" s="44" t="str">
        <f t="shared" si="3566"/>
        <v/>
      </c>
      <c r="DS256" s="44" t="str">
        <f t="shared" si="3567"/>
        <v/>
      </c>
      <c r="DT256" s="44" t="str">
        <f t="shared" si="3568"/>
        <v/>
      </c>
      <c r="DU256" s="44" t="str">
        <f t="shared" si="3569"/>
        <v/>
      </c>
      <c r="DV256" s="44" t="str">
        <f t="shared" si="3570"/>
        <v/>
      </c>
      <c r="DW256" s="44" t="str">
        <f t="shared" si="3571"/>
        <v/>
      </c>
      <c r="DX256" s="44" t="str">
        <f t="shared" si="3572"/>
        <v/>
      </c>
      <c r="DY256" s="44" t="str">
        <f t="shared" si="3573"/>
        <v/>
      </c>
      <c r="DZ256" s="44" t="str">
        <f t="shared" si="3574"/>
        <v/>
      </c>
      <c r="EA256" s="44" t="str">
        <f t="shared" si="3575"/>
        <v/>
      </c>
      <c r="EB256" s="44" t="str">
        <f t="shared" si="3576"/>
        <v/>
      </c>
      <c r="EC256" s="44" t="str">
        <f t="shared" si="3577"/>
        <v/>
      </c>
      <c r="ED256" s="44" t="str">
        <f t="shared" si="3578"/>
        <v/>
      </c>
      <c r="EE256" s="44" t="str">
        <f t="shared" si="3579"/>
        <v/>
      </c>
      <c r="EF256" s="44" t="str">
        <f t="shared" si="3580"/>
        <v/>
      </c>
      <c r="EG256" s="44" t="str">
        <f t="shared" si="3581"/>
        <v/>
      </c>
      <c r="EH256" s="44" t="str">
        <f t="shared" si="3582"/>
        <v/>
      </c>
      <c r="EI256" s="44" t="str">
        <f t="shared" si="3583"/>
        <v/>
      </c>
      <c r="EJ256" s="44" t="str">
        <f t="shared" si="3584"/>
        <v/>
      </c>
      <c r="EK256" s="44" t="str">
        <f t="shared" si="3585"/>
        <v/>
      </c>
      <c r="EL256" s="44" t="str">
        <f t="shared" si="3586"/>
        <v/>
      </c>
      <c r="EM256" s="44" t="str">
        <f t="shared" si="3587"/>
        <v/>
      </c>
      <c r="EN256" s="44" t="str">
        <f t="shared" si="3588"/>
        <v/>
      </c>
      <c r="EO256" s="44" t="str">
        <f t="shared" si="3589"/>
        <v/>
      </c>
      <c r="EP256" s="44" t="str">
        <f t="shared" si="3590"/>
        <v/>
      </c>
      <c r="EQ256" s="44" t="str">
        <f t="shared" si="3591"/>
        <v/>
      </c>
      <c r="ER256" s="44" t="str">
        <f t="shared" si="3592"/>
        <v/>
      </c>
      <c r="ES256" s="44" t="str">
        <f t="shared" si="3593"/>
        <v/>
      </c>
      <c r="ET256" s="44" t="str">
        <f t="shared" si="3594"/>
        <v/>
      </c>
      <c r="EU256" s="44" t="str">
        <f t="shared" si="3595"/>
        <v/>
      </c>
      <c r="EV256" s="44" t="str">
        <f t="shared" si="3596"/>
        <v/>
      </c>
      <c r="EW256" s="44" t="str">
        <f t="shared" si="3597"/>
        <v/>
      </c>
      <c r="EX256" s="44" t="str">
        <f t="shared" si="3598"/>
        <v/>
      </c>
      <c r="EY256" s="44" t="str">
        <f t="shared" si="3599"/>
        <v/>
      </c>
      <c r="EZ256" s="44" t="str">
        <f t="shared" si="3600"/>
        <v/>
      </c>
      <c r="FA256" s="44" t="str">
        <f t="shared" si="3601"/>
        <v/>
      </c>
      <c r="FB256" s="44" t="str">
        <f t="shared" si="3602"/>
        <v/>
      </c>
      <c r="FC256" s="44" t="str">
        <f t="shared" si="3603"/>
        <v/>
      </c>
      <c r="FD256" s="44" t="str">
        <f t="shared" si="3604"/>
        <v/>
      </c>
      <c r="FE256" s="44" t="str">
        <f t="shared" si="3605"/>
        <v/>
      </c>
      <c r="FF256" s="44" t="str">
        <f t="shared" si="3606"/>
        <v/>
      </c>
      <c r="FG256" s="44" t="str">
        <f t="shared" si="3607"/>
        <v/>
      </c>
      <c r="FH256" s="44" t="str">
        <f t="shared" si="3608"/>
        <v/>
      </c>
      <c r="FI256" s="44" t="str">
        <f t="shared" si="3609"/>
        <v/>
      </c>
      <c r="FJ256" s="44" t="str">
        <f t="shared" si="3610"/>
        <v/>
      </c>
      <c r="FK256" s="44" t="str">
        <f t="shared" si="3611"/>
        <v/>
      </c>
      <c r="FL256" s="44" t="str">
        <f t="shared" si="3612"/>
        <v/>
      </c>
      <c r="FM256" s="44" t="str">
        <f t="shared" si="3613"/>
        <v/>
      </c>
      <c r="FN256" s="44" t="str">
        <f t="shared" si="3614"/>
        <v/>
      </c>
      <c r="FO256" s="44" t="str">
        <f t="shared" si="3615"/>
        <v/>
      </c>
      <c r="FP256" s="44" t="str">
        <f t="shared" si="3616"/>
        <v/>
      </c>
      <c r="FQ256" s="44" t="str">
        <f t="shared" si="3617"/>
        <v/>
      </c>
      <c r="FR256" s="44" t="str">
        <f t="shared" si="3618"/>
        <v/>
      </c>
      <c r="FS256" s="44" t="str">
        <f t="shared" si="3619"/>
        <v/>
      </c>
    </row>
    <row r="257" spans="1:175">
      <c r="A257" s="8"/>
      <c r="B257" s="8" t="s">
        <v>781</v>
      </c>
      <c r="C257" s="6" t="s">
        <v>122</v>
      </c>
      <c r="T257" s="116"/>
      <c r="U257" s="60"/>
      <c r="CN257" s="13" t="str">
        <f t="shared" si="3544"/>
        <v>InitUnitState('IF24',,,,,,,,,,)</v>
      </c>
      <c r="CO257" s="13" t="str">
        <f t="shared" si="3545"/>
        <v>InitUnitNormal('IF24',,,,,,,,,,)</v>
      </c>
      <c r="CP257" s="13" t="str">
        <f t="shared" si="3546"/>
        <v>InitUnitMagic('IF24',,,,,,,,,,)</v>
      </c>
      <c r="CQ257" s="13" t="str">
        <f t="shared" si="3547"/>
        <v>InitUnitAdd('IF24',,,,,,,,,,)</v>
      </c>
      <c r="CR257" s="13" t="str">
        <f t="shared" si="3548"/>
        <v>InitEquipData('IF24',,"",,,,,'','','','','','',"")</v>
      </c>
      <c r="CU257" s="72" t="str">
        <f t="shared" ref="CU257:CU298" si="3620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7"/>
      <c r="CX257" s="7"/>
      <c r="CY257" s="7"/>
      <c r="CZ257" s="7"/>
      <c r="DA257" s="7"/>
      <c r="DB257" s="44" t="str">
        <f t="shared" ref="DB257:DB298" si="3621">IF(V257="","","|n"&amp;DB$2&amp;"+"&amp;V257&amp;DB$1)</f>
        <v/>
      </c>
      <c r="DC257" s="44" t="str">
        <f t="shared" ref="DC257:DC298" si="3622">IF(W257="","","|n"&amp;DC$2&amp;"+"&amp;W257&amp;DC$1)</f>
        <v/>
      </c>
      <c r="DD257" s="44" t="str">
        <f t="shared" ref="DD257:DD298" si="3623">IF(X257="","","|n"&amp;DD$2&amp;"+"&amp;X257&amp;DD$1)</f>
        <v/>
      </c>
      <c r="DE257" s="44" t="str">
        <f t="shared" ref="DE257:DE298" si="3624">IF(Y257="","","|n"&amp;DE$2&amp;"+"&amp;Y257&amp;DE$1)</f>
        <v/>
      </c>
      <c r="DF257" s="44" t="str">
        <f t="shared" ref="DF257:DF298" si="3625">IF(Z257="","","|n"&amp;DF$2&amp;"+"&amp;Z257&amp;DF$1)</f>
        <v/>
      </c>
      <c r="DG257" s="44" t="str">
        <f t="shared" ref="DG257:DG298" si="3626">IF(AA257="","","|n"&amp;DG$2&amp;"+"&amp;AA257&amp;DG$1)</f>
        <v/>
      </c>
      <c r="DH257" s="44" t="str">
        <f t="shared" ref="DH257:DH298" si="3627">IF(AB257="","","|n"&amp;DH$2&amp;"+"&amp;AB257&amp;DH$1)</f>
        <v/>
      </c>
      <c r="DI257" s="44" t="str">
        <f t="shared" ref="DI257:DI298" si="3628">IF(AC257="","","|n"&amp;DI$2&amp;"+"&amp;AC257&amp;DI$1)</f>
        <v/>
      </c>
      <c r="DJ257" s="44" t="str">
        <f t="shared" ref="DJ257:DJ298" si="3629">IF(AD257="","","|n"&amp;DJ$2&amp;"+"&amp;AD257&amp;DJ$1)</f>
        <v/>
      </c>
      <c r="DK257" s="44" t="str">
        <f t="shared" ref="DK257:DK298" si="3630">IF(AE257="","","|n"&amp;DK$2&amp;"+"&amp;AE257&amp;DK$1)</f>
        <v/>
      </c>
      <c r="DL257" s="44" t="str">
        <f t="shared" ref="DL257:DL298" si="3631">IF(AF257="","","|n"&amp;DL$2&amp;"+"&amp;AF257&amp;DL$1)</f>
        <v/>
      </c>
      <c r="DM257" s="44" t="str">
        <f t="shared" ref="DM257:DM298" si="3632">IF(AG257="","","|n"&amp;DM$2&amp;"+"&amp;AG257&amp;DM$1)</f>
        <v/>
      </c>
      <c r="DN257" s="44" t="str">
        <f t="shared" ref="DN257:DN298" si="3633">IF(AH257="","","|n"&amp;DN$2&amp;"+"&amp;AH257&amp;DN$1)</f>
        <v/>
      </c>
      <c r="DO257" s="44" t="str">
        <f t="shared" ref="DO257:DO298" si="3634">IF(AI257="","","|n"&amp;DO$2&amp;"+"&amp;AI257&amp;DO$1)</f>
        <v/>
      </c>
      <c r="DP257" s="44" t="str">
        <f t="shared" ref="DP257:DP298" si="3635">IF(AJ257="","","|n"&amp;DP$2&amp;"+"&amp;AJ257&amp;DP$1)</f>
        <v/>
      </c>
      <c r="DQ257" s="44" t="str">
        <f t="shared" ref="DQ257:DQ298" si="3636">IF(AK257="","","|n"&amp;DQ$2&amp;"+"&amp;AK257&amp;DQ$1)</f>
        <v/>
      </c>
      <c r="DR257" s="44" t="str">
        <f t="shared" ref="DR257:DR298" si="3637">IF(AL257="","","|n"&amp;DR$2&amp;"+"&amp;AL257&amp;DR$1)</f>
        <v/>
      </c>
      <c r="DS257" s="44" t="str">
        <f t="shared" ref="DS257:DS298" si="3638">IF(AM257="","","|n"&amp;DS$2&amp;"+"&amp;AM257&amp;DS$1)</f>
        <v/>
      </c>
      <c r="DT257" s="44" t="str">
        <f t="shared" ref="DT257:DT298" si="3639">IF(AN257="","","|n"&amp;DT$2&amp;"+"&amp;AN257&amp;DT$1)</f>
        <v/>
      </c>
      <c r="DU257" s="44" t="str">
        <f t="shared" ref="DU257:DU298" si="3640">IF(AO257="","","|n"&amp;DU$2&amp;"+"&amp;AO257&amp;DU$1)</f>
        <v/>
      </c>
      <c r="DV257" s="44" t="str">
        <f t="shared" ref="DV257:DV298" si="3641">IF(AP257="","","|n"&amp;DV$2&amp;"+"&amp;AP257&amp;DV$1)</f>
        <v/>
      </c>
      <c r="DW257" s="44" t="str">
        <f t="shared" ref="DW257:DW298" si="3642">IF(AQ257="","","|n"&amp;DW$2&amp;"+"&amp;AQ257&amp;DW$1)</f>
        <v/>
      </c>
      <c r="DX257" s="44" t="str">
        <f t="shared" ref="DX257:DX298" si="3643">IF(AR257="","","|n"&amp;DX$2&amp;"+"&amp;AR257&amp;DX$1)</f>
        <v/>
      </c>
      <c r="DY257" s="44" t="str">
        <f t="shared" ref="DY257:DY298" si="3644">IF(AS257="","","|n"&amp;DY$2&amp;"+"&amp;AS257&amp;DY$1)</f>
        <v/>
      </c>
      <c r="DZ257" s="44" t="str">
        <f t="shared" ref="DZ257:DZ298" si="3645">IF(AT257="","","|n"&amp;DZ$2&amp;"+"&amp;AT257&amp;DZ$1)</f>
        <v/>
      </c>
      <c r="EA257" s="44" t="str">
        <f t="shared" ref="EA257:EA298" si="3646">IF(AU257="","","|n"&amp;EA$2&amp;"+"&amp;AU257&amp;EA$1)</f>
        <v/>
      </c>
      <c r="EB257" s="44" t="str">
        <f t="shared" ref="EB257:EB298" si="3647">IF(AV257="","","|n"&amp;EB$2&amp;"+"&amp;AV257&amp;EB$1)</f>
        <v/>
      </c>
      <c r="EC257" s="44" t="str">
        <f t="shared" ref="EC257:EC298" si="3648">IF(AW257="","","|n"&amp;EC$2&amp;"+"&amp;AW257&amp;EC$1)</f>
        <v/>
      </c>
      <c r="ED257" s="44" t="str">
        <f t="shared" ref="ED257:ED298" si="3649">IF(AX257="","","|n"&amp;ED$2&amp;"+"&amp;AX257&amp;ED$1)</f>
        <v/>
      </c>
      <c r="EE257" s="44" t="str">
        <f t="shared" ref="EE257:EE298" si="3650">IF(AY257="","","|n"&amp;EE$2&amp;"+"&amp;AY257&amp;EE$1)</f>
        <v/>
      </c>
      <c r="EF257" s="44" t="str">
        <f t="shared" ref="EF257:EF298" si="3651">IF(AZ257="","","|n"&amp;EF$2&amp;"+"&amp;AZ257&amp;EF$1)</f>
        <v/>
      </c>
      <c r="EG257" s="44" t="str">
        <f t="shared" ref="EG257:EG298" si="3652">IF(BA257="","","|n"&amp;EG$2&amp;"+"&amp;BA257&amp;EG$1)</f>
        <v/>
      </c>
      <c r="EH257" s="44" t="str">
        <f t="shared" ref="EH257:EH298" si="3653">IF(BB257="","","|n"&amp;EH$2&amp;"+"&amp;BB257&amp;EH$1)</f>
        <v/>
      </c>
      <c r="EI257" s="44" t="str">
        <f t="shared" ref="EI257:EI298" si="3654">IF(BC257="","","|n"&amp;EI$2&amp;"+"&amp;BC257&amp;EI$1)</f>
        <v/>
      </c>
      <c r="EJ257" s="44" t="str">
        <f t="shared" ref="EJ257:EJ298" si="3655">IF(BD257="","","|n"&amp;EJ$2&amp;"+"&amp;BD257&amp;EJ$1)</f>
        <v/>
      </c>
      <c r="EK257" s="44" t="str">
        <f t="shared" ref="EK257:EK298" si="3656">IF(BE257="","","|n"&amp;EK$2&amp;"+"&amp;BE257&amp;EK$1)</f>
        <v/>
      </c>
      <c r="EL257" s="44" t="str">
        <f t="shared" ref="EL257:EL298" si="3657">IF(BF257="","","|n"&amp;EL$2&amp;"+"&amp;BF257&amp;EL$1)</f>
        <v/>
      </c>
      <c r="EM257" s="44" t="str">
        <f t="shared" ref="EM257:EM298" si="3658">IF(BG257="","","|n"&amp;EM$2&amp;"+"&amp;BG257&amp;EM$1)</f>
        <v/>
      </c>
      <c r="EN257" s="44" t="str">
        <f t="shared" ref="EN257:EN298" si="3659">IF(BH257="","","|n"&amp;EN$2&amp;"+"&amp;BH257&amp;EN$1)</f>
        <v/>
      </c>
      <c r="EO257" s="44" t="str">
        <f t="shared" ref="EO257:EO298" si="3660">IF(BI257="","","|n"&amp;EO$2&amp;"+"&amp;BI257&amp;EO$1)</f>
        <v/>
      </c>
      <c r="EP257" s="44" t="str">
        <f t="shared" ref="EP257:EP298" si="3661">IF(BJ257="","","|n"&amp;EP$2&amp;"+"&amp;BJ257&amp;EP$1)</f>
        <v/>
      </c>
      <c r="EQ257" s="44" t="str">
        <f t="shared" ref="EQ257:EQ298" si="3662">IF(BK257="","","|n"&amp;EQ$2&amp;"+"&amp;BK257&amp;EQ$1)</f>
        <v/>
      </c>
      <c r="ER257" s="44" t="str">
        <f t="shared" ref="ER257:ER298" si="3663">IF(BL257="","","|n"&amp;ER$2&amp;"+"&amp;BL257&amp;ER$1)</f>
        <v/>
      </c>
      <c r="ES257" s="44" t="str">
        <f t="shared" ref="ES257:ES298" si="3664">IF(BM257="","","|n"&amp;ES$2&amp;"+"&amp;BM257&amp;ES$1)</f>
        <v/>
      </c>
      <c r="ET257" s="44" t="str">
        <f t="shared" ref="ET257:ET298" si="3665">IF(BN257="","","|n"&amp;ET$2&amp;"+"&amp;BN257&amp;ET$1)</f>
        <v/>
      </c>
      <c r="EU257" s="44" t="str">
        <f t="shared" ref="EU257:EU298" si="3666">IF(BO257="","","|n"&amp;EU$2&amp;"+"&amp;BO257&amp;EU$1)</f>
        <v/>
      </c>
      <c r="EV257" s="44" t="str">
        <f t="shared" ref="EV257:EV298" si="3667">IF(BP257="","","|n"&amp;EV$2&amp;"+"&amp;BP257&amp;EV$1)</f>
        <v/>
      </c>
      <c r="EW257" s="44" t="str">
        <f t="shared" ref="EW257:EW298" si="3668">IF(BQ257="","","|n"&amp;EW$2&amp;"+"&amp;BQ257&amp;EW$1)</f>
        <v/>
      </c>
      <c r="EX257" s="44" t="str">
        <f t="shared" ref="EX257:EX298" si="3669">IF(BR257="","","|n"&amp;EX$2&amp;"+"&amp;BR257&amp;EX$1)</f>
        <v/>
      </c>
      <c r="EY257" s="44" t="str">
        <f t="shared" ref="EY257:EY298" si="3670">IF(BS257="","","|n"&amp;EY$2&amp;"+"&amp;BS257&amp;EY$1)</f>
        <v/>
      </c>
      <c r="EZ257" s="44" t="str">
        <f t="shared" ref="EZ257:EZ298" si="3671">IF(BT257="","","|n"&amp;EZ$2&amp;"+"&amp;BT257&amp;EZ$1)</f>
        <v/>
      </c>
      <c r="FA257" s="44" t="str">
        <f t="shared" ref="FA257:FA298" si="3672">IF(BU257="","","|n"&amp;FA$2&amp;"+"&amp;BU257&amp;FA$1)</f>
        <v/>
      </c>
      <c r="FB257" s="44" t="str">
        <f t="shared" ref="FB257:FB298" si="3673">IF(BV257="","","|n"&amp;FB$2&amp;"+"&amp;BV257&amp;FB$1)</f>
        <v/>
      </c>
      <c r="FC257" s="44" t="str">
        <f t="shared" ref="FC257:FC298" si="3674">IF(BW257="","","|n"&amp;FC$2&amp;"+"&amp;BW257&amp;FC$1)</f>
        <v/>
      </c>
      <c r="FD257" s="44" t="str">
        <f t="shared" ref="FD257:FD298" si="3675">IF(BX257="","","|n"&amp;FD$2&amp;"+"&amp;BX257&amp;FD$1)</f>
        <v/>
      </c>
      <c r="FE257" s="44" t="str">
        <f t="shared" ref="FE257:FE298" si="3676">IF(BY257="","","|n"&amp;FE$2&amp;"+"&amp;BY257&amp;FE$1)</f>
        <v/>
      </c>
      <c r="FF257" s="44" t="str">
        <f t="shared" ref="FF257:FF298" si="3677">IF(BZ257="","","|n"&amp;FF$2&amp;"+"&amp;BZ257&amp;FF$1)</f>
        <v/>
      </c>
      <c r="FG257" s="44" t="str">
        <f t="shared" ref="FG257:FG298" si="3678">IF(CA257="","","|n"&amp;FG$2&amp;"+"&amp;CA257&amp;FG$1)</f>
        <v/>
      </c>
      <c r="FH257" s="44" t="str">
        <f t="shared" ref="FH257:FH298" si="3679">IF(CB257="","","|n"&amp;FH$2&amp;"+"&amp;CB257&amp;FH$1)</f>
        <v/>
      </c>
      <c r="FI257" s="44" t="str">
        <f t="shared" ref="FI257:FI298" si="3680">IF(CC257="","","|n"&amp;FI$2&amp;"+"&amp;CC257&amp;FI$1)</f>
        <v/>
      </c>
      <c r="FJ257" s="44" t="str">
        <f t="shared" ref="FJ257:FJ298" si="3681">IF(CD257="","","|n"&amp;FJ$2&amp;"+"&amp;CD257&amp;FJ$1)</f>
        <v/>
      </c>
      <c r="FK257" s="44" t="str">
        <f t="shared" ref="FK257:FK298" si="3682">IF(CE257="","","|n"&amp;FK$2&amp;"+"&amp;CE257&amp;FK$1)</f>
        <v/>
      </c>
      <c r="FL257" s="44" t="str">
        <f t="shared" ref="FL257:FL298" si="3683">IF(CF257="","","|n"&amp;FL$2&amp;"+"&amp;CF257&amp;FL$1)</f>
        <v/>
      </c>
      <c r="FM257" s="44" t="str">
        <f t="shared" ref="FM257:FM298" si="3684">IF(CG257="","","|n"&amp;FM$2&amp;"+"&amp;CG257&amp;FM$1)</f>
        <v/>
      </c>
      <c r="FN257" s="44" t="str">
        <f t="shared" ref="FN257:FN298" si="3685">IF(CH257="","","|n"&amp;FN$2&amp;"+"&amp;CH257&amp;FN$1)</f>
        <v/>
      </c>
      <c r="FO257" s="44" t="str">
        <f t="shared" ref="FO257:FO298" si="3686">IF(CI257="","","|n"&amp;FO$2&amp;"+"&amp;CI257&amp;FO$1)</f>
        <v/>
      </c>
      <c r="FP257" s="44" t="str">
        <f t="shared" ref="FP257:FP298" si="3687">IF(CJ257="","","|n"&amp;FP$2&amp;"+"&amp;CJ257&amp;FP$1)</f>
        <v/>
      </c>
      <c r="FQ257" s="44" t="str">
        <f t="shared" ref="FQ257:FQ298" si="3688">IF(CK257="","","|n"&amp;FQ$2&amp;"+"&amp;CK257&amp;FQ$1)</f>
        <v/>
      </c>
      <c r="FR257" s="44" t="str">
        <f t="shared" ref="FR257:FR298" si="3689">IF(CL257="","","|n"&amp;FR$2&amp;"+"&amp;CL257&amp;FR$1)</f>
        <v/>
      </c>
      <c r="FS257" s="44" t="str">
        <f t="shared" ref="FS257:FS298" si="3690">IF(CM257="","","|n"&amp;FS$2&amp;"+"&amp;CM257&amp;FS$1)</f>
        <v/>
      </c>
    </row>
    <row r="258" spans="1:175">
      <c r="A258" s="8"/>
      <c r="B258" s="8" t="s">
        <v>782</v>
      </c>
      <c r="C258" s="6" t="s">
        <v>783</v>
      </c>
      <c r="T258" s="116"/>
      <c r="U258" s="60"/>
      <c r="CN258" s="13" t="str">
        <f t="shared" si="3544"/>
        <v>InitUnitState('IF25',,,,,,,,,,)</v>
      </c>
      <c r="CO258" s="13" t="str">
        <f t="shared" si="3545"/>
        <v>InitUnitNormal('IF25',,,,,,,,,,)</v>
      </c>
      <c r="CP258" s="13" t="str">
        <f t="shared" si="3546"/>
        <v>InitUnitMagic('IF25',,,,,,,,,,)</v>
      </c>
      <c r="CQ258" s="13" t="str">
        <f t="shared" si="3547"/>
        <v>InitUnitAdd('IF25',,,,,,,,,,)</v>
      </c>
      <c r="CR258" s="13" t="str">
        <f t="shared" si="3548"/>
        <v>InitEquipData('IF25',,"",,,,,'','','','','','',"")</v>
      </c>
      <c r="CU258" s="72" t="str">
        <f t="shared" si="3620"/>
        <v>|n</v>
      </c>
      <c r="CW258" s="7"/>
      <c r="CX258" s="7"/>
      <c r="CY258" s="7"/>
      <c r="CZ258" s="7"/>
      <c r="DA258" s="7"/>
      <c r="DB258" s="44" t="str">
        <f t="shared" si="3621"/>
        <v/>
      </c>
      <c r="DC258" s="44" t="str">
        <f t="shared" si="3622"/>
        <v/>
      </c>
      <c r="DD258" s="44" t="str">
        <f t="shared" si="3623"/>
        <v/>
      </c>
      <c r="DE258" s="44" t="str">
        <f t="shared" si="3624"/>
        <v/>
      </c>
      <c r="DF258" s="44" t="str">
        <f t="shared" si="3625"/>
        <v/>
      </c>
      <c r="DG258" s="44" t="str">
        <f t="shared" si="3626"/>
        <v/>
      </c>
      <c r="DH258" s="44" t="str">
        <f t="shared" si="3627"/>
        <v/>
      </c>
      <c r="DI258" s="44" t="str">
        <f t="shared" si="3628"/>
        <v/>
      </c>
      <c r="DJ258" s="44" t="str">
        <f t="shared" si="3629"/>
        <v/>
      </c>
      <c r="DK258" s="44" t="str">
        <f t="shared" si="3630"/>
        <v/>
      </c>
      <c r="DL258" s="44" t="str">
        <f t="shared" si="3631"/>
        <v/>
      </c>
      <c r="DM258" s="44" t="str">
        <f t="shared" si="3632"/>
        <v/>
      </c>
      <c r="DN258" s="44" t="str">
        <f t="shared" si="3633"/>
        <v/>
      </c>
      <c r="DO258" s="44" t="str">
        <f t="shared" si="3634"/>
        <v/>
      </c>
      <c r="DP258" s="44" t="str">
        <f t="shared" si="3635"/>
        <v/>
      </c>
      <c r="DQ258" s="44" t="str">
        <f t="shared" si="3636"/>
        <v/>
      </c>
      <c r="DR258" s="44" t="str">
        <f t="shared" si="3637"/>
        <v/>
      </c>
      <c r="DS258" s="44" t="str">
        <f t="shared" si="3638"/>
        <v/>
      </c>
      <c r="DT258" s="44" t="str">
        <f t="shared" si="3639"/>
        <v/>
      </c>
      <c r="DU258" s="44" t="str">
        <f t="shared" si="3640"/>
        <v/>
      </c>
      <c r="DV258" s="44" t="str">
        <f t="shared" si="3641"/>
        <v/>
      </c>
      <c r="DW258" s="44" t="str">
        <f t="shared" si="3642"/>
        <v/>
      </c>
      <c r="DX258" s="44" t="str">
        <f t="shared" si="3643"/>
        <v/>
      </c>
      <c r="DY258" s="44" t="str">
        <f t="shared" si="3644"/>
        <v/>
      </c>
      <c r="DZ258" s="44" t="str">
        <f t="shared" si="3645"/>
        <v/>
      </c>
      <c r="EA258" s="44" t="str">
        <f t="shared" si="3646"/>
        <v/>
      </c>
      <c r="EB258" s="44" t="str">
        <f t="shared" si="3647"/>
        <v/>
      </c>
      <c r="EC258" s="44" t="str">
        <f t="shared" si="3648"/>
        <v/>
      </c>
      <c r="ED258" s="44" t="str">
        <f t="shared" si="3649"/>
        <v/>
      </c>
      <c r="EE258" s="44" t="str">
        <f t="shared" si="3650"/>
        <v/>
      </c>
      <c r="EF258" s="44" t="str">
        <f t="shared" si="3651"/>
        <v/>
      </c>
      <c r="EG258" s="44" t="str">
        <f t="shared" si="3652"/>
        <v/>
      </c>
      <c r="EH258" s="44" t="str">
        <f t="shared" si="3653"/>
        <v/>
      </c>
      <c r="EI258" s="44" t="str">
        <f t="shared" si="3654"/>
        <v/>
      </c>
      <c r="EJ258" s="44" t="str">
        <f t="shared" si="3655"/>
        <v/>
      </c>
      <c r="EK258" s="44" t="str">
        <f t="shared" si="3656"/>
        <v/>
      </c>
      <c r="EL258" s="44" t="str">
        <f t="shared" si="3657"/>
        <v/>
      </c>
      <c r="EM258" s="44" t="str">
        <f t="shared" si="3658"/>
        <v/>
      </c>
      <c r="EN258" s="44" t="str">
        <f t="shared" si="3659"/>
        <v/>
      </c>
      <c r="EO258" s="44" t="str">
        <f t="shared" si="3660"/>
        <v/>
      </c>
      <c r="EP258" s="44" t="str">
        <f t="shared" si="3661"/>
        <v/>
      </c>
      <c r="EQ258" s="44" t="str">
        <f t="shared" si="3662"/>
        <v/>
      </c>
      <c r="ER258" s="44" t="str">
        <f t="shared" si="3663"/>
        <v/>
      </c>
      <c r="ES258" s="44" t="str">
        <f t="shared" si="3664"/>
        <v/>
      </c>
      <c r="ET258" s="44" t="str">
        <f t="shared" si="3665"/>
        <v/>
      </c>
      <c r="EU258" s="44" t="str">
        <f t="shared" si="3666"/>
        <v/>
      </c>
      <c r="EV258" s="44" t="str">
        <f t="shared" si="3667"/>
        <v/>
      </c>
      <c r="EW258" s="44" t="str">
        <f t="shared" si="3668"/>
        <v/>
      </c>
      <c r="EX258" s="44" t="str">
        <f t="shared" si="3669"/>
        <v/>
      </c>
      <c r="EY258" s="44" t="str">
        <f t="shared" si="3670"/>
        <v/>
      </c>
      <c r="EZ258" s="44" t="str">
        <f t="shared" si="3671"/>
        <v/>
      </c>
      <c r="FA258" s="44" t="str">
        <f t="shared" si="3672"/>
        <v/>
      </c>
      <c r="FB258" s="44" t="str">
        <f t="shared" si="3673"/>
        <v/>
      </c>
      <c r="FC258" s="44" t="str">
        <f t="shared" si="3674"/>
        <v/>
      </c>
      <c r="FD258" s="44" t="str">
        <f t="shared" si="3675"/>
        <v/>
      </c>
      <c r="FE258" s="44" t="str">
        <f t="shared" si="3676"/>
        <v/>
      </c>
      <c r="FF258" s="44" t="str">
        <f t="shared" si="3677"/>
        <v/>
      </c>
      <c r="FG258" s="44" t="str">
        <f t="shared" si="3678"/>
        <v/>
      </c>
      <c r="FH258" s="44" t="str">
        <f t="shared" si="3679"/>
        <v/>
      </c>
      <c r="FI258" s="44" t="str">
        <f t="shared" si="3680"/>
        <v/>
      </c>
      <c r="FJ258" s="44" t="str">
        <f t="shared" si="3681"/>
        <v/>
      </c>
      <c r="FK258" s="44" t="str">
        <f t="shared" si="3682"/>
        <v/>
      </c>
      <c r="FL258" s="44" t="str">
        <f t="shared" si="3683"/>
        <v/>
      </c>
      <c r="FM258" s="44" t="str">
        <f t="shared" si="3684"/>
        <v/>
      </c>
      <c r="FN258" s="44" t="str">
        <f t="shared" si="3685"/>
        <v/>
      </c>
      <c r="FO258" s="44" t="str">
        <f t="shared" si="3686"/>
        <v/>
      </c>
      <c r="FP258" s="44" t="str">
        <f t="shared" si="3687"/>
        <v/>
      </c>
      <c r="FQ258" s="44" t="str">
        <f t="shared" si="3688"/>
        <v/>
      </c>
      <c r="FR258" s="44" t="str">
        <f t="shared" si="3689"/>
        <v/>
      </c>
      <c r="FS258" s="44" t="str">
        <f t="shared" si="3690"/>
        <v/>
      </c>
    </row>
    <row r="259" spans="1:175">
      <c r="A259" s="8"/>
      <c r="B259" s="8" t="s">
        <v>784</v>
      </c>
      <c r="C259" s="6" t="s">
        <v>125</v>
      </c>
      <c r="T259" s="116"/>
      <c r="U259" s="60"/>
      <c r="CN259" s="13" t="str">
        <f t="shared" si="3544"/>
        <v>InitUnitState('IF26',,,,,,,,,,)</v>
      </c>
      <c r="CO259" s="13" t="str">
        <f t="shared" si="3545"/>
        <v>InitUnitNormal('IF26',,,,,,,,,,)</v>
      </c>
      <c r="CP259" s="13" t="str">
        <f t="shared" si="3546"/>
        <v>InitUnitMagic('IF26',,,,,,,,,,)</v>
      </c>
      <c r="CQ259" s="13" t="str">
        <f t="shared" si="3547"/>
        <v>InitUnitAdd('IF26',,,,,,,,,,)</v>
      </c>
      <c r="CR259" s="13" t="str">
        <f t="shared" si="3548"/>
        <v>InitEquipData('IF26',,"",,,,,'','','','','','',"")</v>
      </c>
      <c r="CU259" s="72" t="str">
        <f t="shared" si="3620"/>
        <v>|n</v>
      </c>
      <c r="CW259" s="7"/>
      <c r="CX259" s="7"/>
      <c r="CY259" s="7"/>
      <c r="CZ259" s="7"/>
      <c r="DA259" s="7"/>
      <c r="DB259" s="44" t="str">
        <f t="shared" si="3621"/>
        <v/>
      </c>
      <c r="DC259" s="44" t="str">
        <f t="shared" si="3622"/>
        <v/>
      </c>
      <c r="DD259" s="44" t="str">
        <f t="shared" si="3623"/>
        <v/>
      </c>
      <c r="DE259" s="44" t="str">
        <f t="shared" si="3624"/>
        <v/>
      </c>
      <c r="DF259" s="44" t="str">
        <f t="shared" si="3625"/>
        <v/>
      </c>
      <c r="DG259" s="44" t="str">
        <f t="shared" si="3626"/>
        <v/>
      </c>
      <c r="DH259" s="44" t="str">
        <f t="shared" si="3627"/>
        <v/>
      </c>
      <c r="DI259" s="44" t="str">
        <f t="shared" si="3628"/>
        <v/>
      </c>
      <c r="DJ259" s="44" t="str">
        <f t="shared" si="3629"/>
        <v/>
      </c>
      <c r="DK259" s="44" t="str">
        <f t="shared" si="3630"/>
        <v/>
      </c>
      <c r="DL259" s="44" t="str">
        <f t="shared" si="3631"/>
        <v/>
      </c>
      <c r="DM259" s="44" t="str">
        <f t="shared" si="3632"/>
        <v/>
      </c>
      <c r="DN259" s="44" t="str">
        <f t="shared" si="3633"/>
        <v/>
      </c>
      <c r="DO259" s="44" t="str">
        <f t="shared" si="3634"/>
        <v/>
      </c>
      <c r="DP259" s="44" t="str">
        <f t="shared" si="3635"/>
        <v/>
      </c>
      <c r="DQ259" s="44" t="str">
        <f t="shared" si="3636"/>
        <v/>
      </c>
      <c r="DR259" s="44" t="str">
        <f t="shared" si="3637"/>
        <v/>
      </c>
      <c r="DS259" s="44" t="str">
        <f t="shared" si="3638"/>
        <v/>
      </c>
      <c r="DT259" s="44" t="str">
        <f t="shared" si="3639"/>
        <v/>
      </c>
      <c r="DU259" s="44" t="str">
        <f t="shared" si="3640"/>
        <v/>
      </c>
      <c r="DV259" s="44" t="str">
        <f t="shared" si="3641"/>
        <v/>
      </c>
      <c r="DW259" s="44" t="str">
        <f t="shared" si="3642"/>
        <v/>
      </c>
      <c r="DX259" s="44" t="str">
        <f t="shared" si="3643"/>
        <v/>
      </c>
      <c r="DY259" s="44" t="str">
        <f t="shared" si="3644"/>
        <v/>
      </c>
      <c r="DZ259" s="44" t="str">
        <f t="shared" si="3645"/>
        <v/>
      </c>
      <c r="EA259" s="44" t="str">
        <f t="shared" si="3646"/>
        <v/>
      </c>
      <c r="EB259" s="44" t="str">
        <f t="shared" si="3647"/>
        <v/>
      </c>
      <c r="EC259" s="44" t="str">
        <f t="shared" si="3648"/>
        <v/>
      </c>
      <c r="ED259" s="44" t="str">
        <f t="shared" si="3649"/>
        <v/>
      </c>
      <c r="EE259" s="44" t="str">
        <f t="shared" si="3650"/>
        <v/>
      </c>
      <c r="EF259" s="44" t="str">
        <f t="shared" si="3651"/>
        <v/>
      </c>
      <c r="EG259" s="44" t="str">
        <f t="shared" si="3652"/>
        <v/>
      </c>
      <c r="EH259" s="44" t="str">
        <f t="shared" si="3653"/>
        <v/>
      </c>
      <c r="EI259" s="44" t="str">
        <f t="shared" si="3654"/>
        <v/>
      </c>
      <c r="EJ259" s="44" t="str">
        <f t="shared" si="3655"/>
        <v/>
      </c>
      <c r="EK259" s="44" t="str">
        <f t="shared" si="3656"/>
        <v/>
      </c>
      <c r="EL259" s="44" t="str">
        <f t="shared" si="3657"/>
        <v/>
      </c>
      <c r="EM259" s="44" t="str">
        <f t="shared" si="3658"/>
        <v/>
      </c>
      <c r="EN259" s="44" t="str">
        <f t="shared" si="3659"/>
        <v/>
      </c>
      <c r="EO259" s="44" t="str">
        <f t="shared" si="3660"/>
        <v/>
      </c>
      <c r="EP259" s="44" t="str">
        <f t="shared" si="3661"/>
        <v/>
      </c>
      <c r="EQ259" s="44" t="str">
        <f t="shared" si="3662"/>
        <v/>
      </c>
      <c r="ER259" s="44" t="str">
        <f t="shared" si="3663"/>
        <v/>
      </c>
      <c r="ES259" s="44" t="str">
        <f t="shared" si="3664"/>
        <v/>
      </c>
      <c r="ET259" s="44" t="str">
        <f t="shared" si="3665"/>
        <v/>
      </c>
      <c r="EU259" s="44" t="str">
        <f t="shared" si="3666"/>
        <v/>
      </c>
      <c r="EV259" s="44" t="str">
        <f t="shared" si="3667"/>
        <v/>
      </c>
      <c r="EW259" s="44" t="str">
        <f t="shared" si="3668"/>
        <v/>
      </c>
      <c r="EX259" s="44" t="str">
        <f t="shared" si="3669"/>
        <v/>
      </c>
      <c r="EY259" s="44" t="str">
        <f t="shared" si="3670"/>
        <v/>
      </c>
      <c r="EZ259" s="44" t="str">
        <f t="shared" si="3671"/>
        <v/>
      </c>
      <c r="FA259" s="44" t="str">
        <f t="shared" si="3672"/>
        <v/>
      </c>
      <c r="FB259" s="44" t="str">
        <f t="shared" si="3673"/>
        <v/>
      </c>
      <c r="FC259" s="44" t="str">
        <f t="shared" si="3674"/>
        <v/>
      </c>
      <c r="FD259" s="44" t="str">
        <f t="shared" si="3675"/>
        <v/>
      </c>
      <c r="FE259" s="44" t="str">
        <f t="shared" si="3676"/>
        <v/>
      </c>
      <c r="FF259" s="44" t="str">
        <f t="shared" si="3677"/>
        <v/>
      </c>
      <c r="FG259" s="44" t="str">
        <f t="shared" si="3678"/>
        <v/>
      </c>
      <c r="FH259" s="44" t="str">
        <f t="shared" si="3679"/>
        <v/>
      </c>
      <c r="FI259" s="44" t="str">
        <f t="shared" si="3680"/>
        <v/>
      </c>
      <c r="FJ259" s="44" t="str">
        <f t="shared" si="3681"/>
        <v/>
      </c>
      <c r="FK259" s="44" t="str">
        <f t="shared" si="3682"/>
        <v/>
      </c>
      <c r="FL259" s="44" t="str">
        <f t="shared" si="3683"/>
        <v/>
      </c>
      <c r="FM259" s="44" t="str">
        <f t="shared" si="3684"/>
        <v/>
      </c>
      <c r="FN259" s="44" t="str">
        <f t="shared" si="3685"/>
        <v/>
      </c>
      <c r="FO259" s="44" t="str">
        <f t="shared" si="3686"/>
        <v/>
      </c>
      <c r="FP259" s="44" t="str">
        <f t="shared" si="3687"/>
        <v/>
      </c>
      <c r="FQ259" s="44" t="str">
        <f t="shared" si="3688"/>
        <v/>
      </c>
      <c r="FR259" s="44" t="str">
        <f t="shared" si="3689"/>
        <v/>
      </c>
      <c r="FS259" s="44" t="str">
        <f t="shared" si="3690"/>
        <v/>
      </c>
    </row>
    <row r="260" spans="1:175">
      <c r="A260" s="8"/>
      <c r="B260" s="8" t="s">
        <v>785</v>
      </c>
      <c r="C260" s="6" t="s">
        <v>133</v>
      </c>
      <c r="T260" s="116"/>
      <c r="U260" s="60"/>
      <c r="CN260" s="13" t="str">
        <f t="shared" si="3544"/>
        <v>InitUnitState('IF27',,,,,,,,,,)</v>
      </c>
      <c r="CO260" s="13" t="str">
        <f t="shared" si="3545"/>
        <v>InitUnitNormal('IF27',,,,,,,,,,)</v>
      </c>
      <c r="CP260" s="13" t="str">
        <f t="shared" si="3546"/>
        <v>InitUnitMagic('IF27',,,,,,,,,,)</v>
      </c>
      <c r="CQ260" s="13" t="str">
        <f t="shared" si="3547"/>
        <v>InitUnitAdd('IF27',,,,,,,,,,)</v>
      </c>
      <c r="CR260" s="13" t="str">
        <f t="shared" si="3548"/>
        <v>InitEquipData('IF27',,"",,,,,'','','','','','',"")</v>
      </c>
      <c r="CU260" s="72" t="str">
        <f t="shared" si="3620"/>
        <v>|n</v>
      </c>
      <c r="CW260" s="7"/>
      <c r="CX260" s="7"/>
      <c r="CY260" s="7"/>
      <c r="CZ260" s="7"/>
      <c r="DA260" s="7"/>
      <c r="DB260" s="44" t="str">
        <f t="shared" si="3621"/>
        <v/>
      </c>
      <c r="DC260" s="44" t="str">
        <f t="shared" si="3622"/>
        <v/>
      </c>
      <c r="DD260" s="44" t="str">
        <f t="shared" si="3623"/>
        <v/>
      </c>
      <c r="DE260" s="44" t="str">
        <f t="shared" si="3624"/>
        <v/>
      </c>
      <c r="DF260" s="44" t="str">
        <f t="shared" si="3625"/>
        <v/>
      </c>
      <c r="DG260" s="44" t="str">
        <f t="shared" si="3626"/>
        <v/>
      </c>
      <c r="DH260" s="44" t="str">
        <f t="shared" si="3627"/>
        <v/>
      </c>
      <c r="DI260" s="44" t="str">
        <f t="shared" si="3628"/>
        <v/>
      </c>
      <c r="DJ260" s="44" t="str">
        <f t="shared" si="3629"/>
        <v/>
      </c>
      <c r="DK260" s="44" t="str">
        <f t="shared" si="3630"/>
        <v/>
      </c>
      <c r="DL260" s="44" t="str">
        <f t="shared" si="3631"/>
        <v/>
      </c>
      <c r="DM260" s="44" t="str">
        <f t="shared" si="3632"/>
        <v/>
      </c>
      <c r="DN260" s="44" t="str">
        <f t="shared" si="3633"/>
        <v/>
      </c>
      <c r="DO260" s="44" t="str">
        <f t="shared" si="3634"/>
        <v/>
      </c>
      <c r="DP260" s="44" t="str">
        <f t="shared" si="3635"/>
        <v/>
      </c>
      <c r="DQ260" s="44" t="str">
        <f t="shared" si="3636"/>
        <v/>
      </c>
      <c r="DR260" s="44" t="str">
        <f t="shared" si="3637"/>
        <v/>
      </c>
      <c r="DS260" s="44" t="str">
        <f t="shared" si="3638"/>
        <v/>
      </c>
      <c r="DT260" s="44" t="str">
        <f t="shared" si="3639"/>
        <v/>
      </c>
      <c r="DU260" s="44" t="str">
        <f t="shared" si="3640"/>
        <v/>
      </c>
      <c r="DV260" s="44" t="str">
        <f t="shared" si="3641"/>
        <v/>
      </c>
      <c r="DW260" s="44" t="str">
        <f t="shared" si="3642"/>
        <v/>
      </c>
      <c r="DX260" s="44" t="str">
        <f t="shared" si="3643"/>
        <v/>
      </c>
      <c r="DY260" s="44" t="str">
        <f t="shared" si="3644"/>
        <v/>
      </c>
      <c r="DZ260" s="44" t="str">
        <f t="shared" si="3645"/>
        <v/>
      </c>
      <c r="EA260" s="44" t="str">
        <f t="shared" si="3646"/>
        <v/>
      </c>
      <c r="EB260" s="44" t="str">
        <f t="shared" si="3647"/>
        <v/>
      </c>
      <c r="EC260" s="44" t="str">
        <f t="shared" si="3648"/>
        <v/>
      </c>
      <c r="ED260" s="44" t="str">
        <f t="shared" si="3649"/>
        <v/>
      </c>
      <c r="EE260" s="44" t="str">
        <f t="shared" si="3650"/>
        <v/>
      </c>
      <c r="EF260" s="44" t="str">
        <f t="shared" si="3651"/>
        <v/>
      </c>
      <c r="EG260" s="44" t="str">
        <f t="shared" si="3652"/>
        <v/>
      </c>
      <c r="EH260" s="44" t="str">
        <f t="shared" si="3653"/>
        <v/>
      </c>
      <c r="EI260" s="44" t="str">
        <f t="shared" si="3654"/>
        <v/>
      </c>
      <c r="EJ260" s="44" t="str">
        <f t="shared" si="3655"/>
        <v/>
      </c>
      <c r="EK260" s="44" t="str">
        <f t="shared" si="3656"/>
        <v/>
      </c>
      <c r="EL260" s="44" t="str">
        <f t="shared" si="3657"/>
        <v/>
      </c>
      <c r="EM260" s="44" t="str">
        <f t="shared" si="3658"/>
        <v/>
      </c>
      <c r="EN260" s="44" t="str">
        <f t="shared" si="3659"/>
        <v/>
      </c>
      <c r="EO260" s="44" t="str">
        <f t="shared" si="3660"/>
        <v/>
      </c>
      <c r="EP260" s="44" t="str">
        <f t="shared" si="3661"/>
        <v/>
      </c>
      <c r="EQ260" s="44" t="str">
        <f t="shared" si="3662"/>
        <v/>
      </c>
      <c r="ER260" s="44" t="str">
        <f t="shared" si="3663"/>
        <v/>
      </c>
      <c r="ES260" s="44" t="str">
        <f t="shared" si="3664"/>
        <v/>
      </c>
      <c r="ET260" s="44" t="str">
        <f t="shared" si="3665"/>
        <v/>
      </c>
      <c r="EU260" s="44" t="str">
        <f t="shared" si="3666"/>
        <v/>
      </c>
      <c r="EV260" s="44" t="str">
        <f t="shared" si="3667"/>
        <v/>
      </c>
      <c r="EW260" s="44" t="str">
        <f t="shared" si="3668"/>
        <v/>
      </c>
      <c r="EX260" s="44" t="str">
        <f t="shared" si="3669"/>
        <v/>
      </c>
      <c r="EY260" s="44" t="str">
        <f t="shared" si="3670"/>
        <v/>
      </c>
      <c r="EZ260" s="44" t="str">
        <f t="shared" si="3671"/>
        <v/>
      </c>
      <c r="FA260" s="44" t="str">
        <f t="shared" si="3672"/>
        <v/>
      </c>
      <c r="FB260" s="44" t="str">
        <f t="shared" si="3673"/>
        <v/>
      </c>
      <c r="FC260" s="44" t="str">
        <f t="shared" si="3674"/>
        <v/>
      </c>
      <c r="FD260" s="44" t="str">
        <f t="shared" si="3675"/>
        <v/>
      </c>
      <c r="FE260" s="44" t="str">
        <f t="shared" si="3676"/>
        <v/>
      </c>
      <c r="FF260" s="44" t="str">
        <f t="shared" si="3677"/>
        <v/>
      </c>
      <c r="FG260" s="44" t="str">
        <f t="shared" si="3678"/>
        <v/>
      </c>
      <c r="FH260" s="44" t="str">
        <f t="shared" si="3679"/>
        <v/>
      </c>
      <c r="FI260" s="44" t="str">
        <f t="shared" si="3680"/>
        <v/>
      </c>
      <c r="FJ260" s="44" t="str">
        <f t="shared" si="3681"/>
        <v/>
      </c>
      <c r="FK260" s="44" t="str">
        <f t="shared" si="3682"/>
        <v/>
      </c>
      <c r="FL260" s="44" t="str">
        <f t="shared" si="3683"/>
        <v/>
      </c>
      <c r="FM260" s="44" t="str">
        <f t="shared" si="3684"/>
        <v/>
      </c>
      <c r="FN260" s="44" t="str">
        <f t="shared" si="3685"/>
        <v/>
      </c>
      <c r="FO260" s="44" t="str">
        <f t="shared" si="3686"/>
        <v/>
      </c>
      <c r="FP260" s="44" t="str">
        <f t="shared" si="3687"/>
        <v/>
      </c>
      <c r="FQ260" s="44" t="str">
        <f t="shared" si="3688"/>
        <v/>
      </c>
      <c r="FR260" s="44" t="str">
        <f t="shared" si="3689"/>
        <v/>
      </c>
      <c r="FS260" s="44" t="str">
        <f t="shared" si="3690"/>
        <v/>
      </c>
    </row>
    <row r="261" spans="1:175">
      <c r="A261" s="8"/>
      <c r="B261" s="8"/>
      <c r="C261" s="8"/>
      <c r="T261" s="116"/>
      <c r="U261" s="60"/>
      <c r="CN261" s="13" t="str">
        <f t="shared" si="3544"/>
        <v>InitUnitState('',,,,,,,,,,)</v>
      </c>
      <c r="CO261" s="13" t="str">
        <f t="shared" si="3545"/>
        <v>InitUnitNormal('',,,,,,,,,,)</v>
      </c>
      <c r="CP261" s="13" t="str">
        <f t="shared" si="3546"/>
        <v>InitUnitMagic('',,,,,,,,,,)</v>
      </c>
      <c r="CQ261" s="13" t="str">
        <f t="shared" si="3547"/>
        <v>InitUnitAdd('',,,,,,,,,,)</v>
      </c>
      <c r="CR261" s="13" t="str">
        <f t="shared" si="3548"/>
        <v>InitEquipData('',,"",,,,,'','','','','','',"")</v>
      </c>
      <c r="CU261" s="72" t="str">
        <f t="shared" si="3620"/>
        <v>|n</v>
      </c>
      <c r="CW261" s="7"/>
      <c r="CX261" s="7"/>
      <c r="CY261" s="7"/>
      <c r="CZ261" s="7"/>
      <c r="DA261" s="7"/>
      <c r="DB261" s="44" t="str">
        <f t="shared" si="3621"/>
        <v/>
      </c>
      <c r="DC261" s="44" t="str">
        <f t="shared" si="3622"/>
        <v/>
      </c>
      <c r="DD261" s="44" t="str">
        <f t="shared" si="3623"/>
        <v/>
      </c>
      <c r="DE261" s="44" t="str">
        <f t="shared" si="3624"/>
        <v/>
      </c>
      <c r="DF261" s="44" t="str">
        <f t="shared" si="3625"/>
        <v/>
      </c>
      <c r="DG261" s="44" t="str">
        <f t="shared" si="3626"/>
        <v/>
      </c>
      <c r="DH261" s="44" t="str">
        <f t="shared" si="3627"/>
        <v/>
      </c>
      <c r="DI261" s="44" t="str">
        <f t="shared" si="3628"/>
        <v/>
      </c>
      <c r="DJ261" s="44" t="str">
        <f t="shared" si="3629"/>
        <v/>
      </c>
      <c r="DK261" s="44" t="str">
        <f t="shared" si="3630"/>
        <v/>
      </c>
      <c r="DL261" s="44" t="str">
        <f t="shared" si="3631"/>
        <v/>
      </c>
      <c r="DM261" s="44" t="str">
        <f t="shared" si="3632"/>
        <v/>
      </c>
      <c r="DN261" s="44" t="str">
        <f t="shared" si="3633"/>
        <v/>
      </c>
      <c r="DO261" s="44" t="str">
        <f t="shared" si="3634"/>
        <v/>
      </c>
      <c r="DP261" s="44" t="str">
        <f t="shared" si="3635"/>
        <v/>
      </c>
      <c r="DQ261" s="44" t="str">
        <f t="shared" si="3636"/>
        <v/>
      </c>
      <c r="DR261" s="44" t="str">
        <f t="shared" si="3637"/>
        <v/>
      </c>
      <c r="DS261" s="44" t="str">
        <f t="shared" si="3638"/>
        <v/>
      </c>
      <c r="DT261" s="44" t="str">
        <f t="shared" si="3639"/>
        <v/>
      </c>
      <c r="DU261" s="44" t="str">
        <f t="shared" si="3640"/>
        <v/>
      </c>
      <c r="DV261" s="44" t="str">
        <f t="shared" si="3641"/>
        <v/>
      </c>
      <c r="DW261" s="44" t="str">
        <f t="shared" si="3642"/>
        <v/>
      </c>
      <c r="DX261" s="44" t="str">
        <f t="shared" si="3643"/>
        <v/>
      </c>
      <c r="DY261" s="44" t="str">
        <f t="shared" si="3644"/>
        <v/>
      </c>
      <c r="DZ261" s="44" t="str">
        <f t="shared" si="3645"/>
        <v/>
      </c>
      <c r="EA261" s="44" t="str">
        <f t="shared" si="3646"/>
        <v/>
      </c>
      <c r="EB261" s="44" t="str">
        <f t="shared" si="3647"/>
        <v/>
      </c>
      <c r="EC261" s="44" t="str">
        <f t="shared" si="3648"/>
        <v/>
      </c>
      <c r="ED261" s="44" t="str">
        <f t="shared" si="3649"/>
        <v/>
      </c>
      <c r="EE261" s="44" t="str">
        <f t="shared" si="3650"/>
        <v/>
      </c>
      <c r="EF261" s="44" t="str">
        <f t="shared" si="3651"/>
        <v/>
      </c>
      <c r="EG261" s="44" t="str">
        <f t="shared" si="3652"/>
        <v/>
      </c>
      <c r="EH261" s="44" t="str">
        <f t="shared" si="3653"/>
        <v/>
      </c>
      <c r="EI261" s="44" t="str">
        <f t="shared" si="3654"/>
        <v/>
      </c>
      <c r="EJ261" s="44" t="str">
        <f t="shared" si="3655"/>
        <v/>
      </c>
      <c r="EK261" s="44" t="str">
        <f t="shared" si="3656"/>
        <v/>
      </c>
      <c r="EL261" s="44" t="str">
        <f t="shared" si="3657"/>
        <v/>
      </c>
      <c r="EM261" s="44" t="str">
        <f t="shared" si="3658"/>
        <v/>
      </c>
      <c r="EN261" s="44" t="str">
        <f t="shared" si="3659"/>
        <v/>
      </c>
      <c r="EO261" s="44" t="str">
        <f t="shared" si="3660"/>
        <v/>
      </c>
      <c r="EP261" s="44" t="str">
        <f t="shared" si="3661"/>
        <v/>
      </c>
      <c r="EQ261" s="44" t="str">
        <f t="shared" si="3662"/>
        <v/>
      </c>
      <c r="ER261" s="44" t="str">
        <f t="shared" si="3663"/>
        <v/>
      </c>
      <c r="ES261" s="44" t="str">
        <f t="shared" si="3664"/>
        <v/>
      </c>
      <c r="ET261" s="44" t="str">
        <f t="shared" si="3665"/>
        <v/>
      </c>
      <c r="EU261" s="44" t="str">
        <f t="shared" si="3666"/>
        <v/>
      </c>
      <c r="EV261" s="44" t="str">
        <f t="shared" si="3667"/>
        <v/>
      </c>
      <c r="EW261" s="44" t="str">
        <f t="shared" si="3668"/>
        <v/>
      </c>
      <c r="EX261" s="44" t="str">
        <f t="shared" si="3669"/>
        <v/>
      </c>
      <c r="EY261" s="44" t="str">
        <f t="shared" si="3670"/>
        <v/>
      </c>
      <c r="EZ261" s="44" t="str">
        <f t="shared" si="3671"/>
        <v/>
      </c>
      <c r="FA261" s="44" t="str">
        <f t="shared" si="3672"/>
        <v/>
      </c>
      <c r="FB261" s="44" t="str">
        <f t="shared" si="3673"/>
        <v/>
      </c>
      <c r="FC261" s="44" t="str">
        <f t="shared" si="3674"/>
        <v/>
      </c>
      <c r="FD261" s="44" t="str">
        <f t="shared" si="3675"/>
        <v/>
      </c>
      <c r="FE261" s="44" t="str">
        <f t="shared" si="3676"/>
        <v/>
      </c>
      <c r="FF261" s="44" t="str">
        <f t="shared" si="3677"/>
        <v/>
      </c>
      <c r="FG261" s="44" t="str">
        <f t="shared" si="3678"/>
        <v/>
      </c>
      <c r="FH261" s="44" t="str">
        <f t="shared" si="3679"/>
        <v/>
      </c>
      <c r="FI261" s="44" t="str">
        <f t="shared" si="3680"/>
        <v/>
      </c>
      <c r="FJ261" s="44" t="str">
        <f t="shared" si="3681"/>
        <v/>
      </c>
      <c r="FK261" s="44" t="str">
        <f t="shared" si="3682"/>
        <v/>
      </c>
      <c r="FL261" s="44" t="str">
        <f t="shared" si="3683"/>
        <v/>
      </c>
      <c r="FM261" s="44" t="str">
        <f t="shared" si="3684"/>
        <v/>
      </c>
      <c r="FN261" s="44" t="str">
        <f t="shared" si="3685"/>
        <v/>
      </c>
      <c r="FO261" s="44" t="str">
        <f t="shared" si="3686"/>
        <v/>
      </c>
      <c r="FP261" s="44" t="str">
        <f t="shared" si="3687"/>
        <v/>
      </c>
      <c r="FQ261" s="44" t="str">
        <f t="shared" si="3688"/>
        <v/>
      </c>
      <c r="FR261" s="44" t="str">
        <f t="shared" si="3689"/>
        <v/>
      </c>
      <c r="FS261" s="44" t="str">
        <f t="shared" si="3690"/>
        <v/>
      </c>
    </row>
    <row r="262" spans="1:175">
      <c r="A262" s="8"/>
      <c r="B262" s="8"/>
      <c r="C262" s="8"/>
      <c r="T262" s="116"/>
      <c r="U262" s="60"/>
      <c r="CN262" s="13" t="str">
        <f t="shared" ref="CN262:CN270" si="3691">"InitUnitState('"&amp;B262&amp;"',"&amp;V262&amp;","&amp;W262&amp;","&amp;X262&amp;","&amp;Y262&amp;","&amp;Z262&amp;","&amp;AA262&amp;","&amp;AB262&amp;","&amp;AC262&amp;","&amp;AD262&amp;","&amp;AE262&amp;")"</f>
        <v>InitUnitState('',,,,,,,,,,)</v>
      </c>
      <c r="CO262" s="13" t="str">
        <f t="shared" ref="CO262:CO270" si="3692">"InitUnitNormal('"&amp;B262&amp;"',"&amp;AF262&amp;","&amp;AG262&amp;","&amp;AH262&amp;","&amp;AI262&amp;","&amp;AJ262&amp;","&amp;AK262&amp;","&amp;AL262&amp;","&amp;AM262&amp;","&amp;AN262&amp;","&amp;AO262&amp;")"</f>
        <v>InitUnitNormal('',,,,,,,,,,)</v>
      </c>
      <c r="CP262" s="13" t="str">
        <f t="shared" ref="CP262:CP270" si="3693">"InitUnitMagic('"&amp;B262&amp;"',"&amp;AP262&amp;","&amp;AQ262&amp;","&amp;AR262&amp;","&amp;AS262&amp;","&amp;AT262&amp;","&amp;AU262&amp;","&amp;AV262&amp;","&amp;AW262&amp;","&amp;BI262&amp;","&amp;BJ262&amp;")"</f>
        <v>InitUnitMagic('',,,,,,,,,,)</v>
      </c>
      <c r="CQ262" s="13" t="str">
        <f t="shared" ref="CQ262:CQ270" si="3694">"InitUnitAdd('"&amp;B262&amp;"',"&amp;BK262&amp;","&amp;BL262&amp;","&amp;BM262&amp;","&amp;BN262&amp;","&amp;BO262&amp;","&amp;BP262&amp;","&amp;BQ262&amp;","&amp;BR262&amp;","&amp;BS262&amp;","&amp;BT262&amp;")"</f>
        <v>InitUnitAdd('',,,,,,,,,,)</v>
      </c>
      <c r="CR262" s="13" t="str">
        <f t="shared" si="3548"/>
        <v>InitEquipData('',,"",,,,,'','','','','','',"")</v>
      </c>
      <c r="CU262" s="72" t="str">
        <f t="shared" si="3620"/>
        <v>|n</v>
      </c>
      <c r="CW262" s="7"/>
      <c r="CX262" s="7"/>
      <c r="CY262" s="7"/>
      <c r="CZ262" s="7"/>
      <c r="DA262" s="7"/>
      <c r="DB262" s="44" t="str">
        <f t="shared" si="3621"/>
        <v/>
      </c>
      <c r="DC262" s="44" t="str">
        <f t="shared" si="3622"/>
        <v/>
      </c>
      <c r="DD262" s="44" t="str">
        <f t="shared" si="3623"/>
        <v/>
      </c>
      <c r="DE262" s="44" t="str">
        <f t="shared" si="3624"/>
        <v/>
      </c>
      <c r="DF262" s="44" t="str">
        <f t="shared" si="3625"/>
        <v/>
      </c>
      <c r="DG262" s="44" t="str">
        <f t="shared" si="3626"/>
        <v/>
      </c>
      <c r="DH262" s="44" t="str">
        <f t="shared" si="3627"/>
        <v/>
      </c>
      <c r="DI262" s="44" t="str">
        <f t="shared" si="3628"/>
        <v/>
      </c>
      <c r="DJ262" s="44" t="str">
        <f t="shared" si="3629"/>
        <v/>
      </c>
      <c r="DK262" s="44" t="str">
        <f t="shared" si="3630"/>
        <v/>
      </c>
      <c r="DL262" s="44" t="str">
        <f t="shared" si="3631"/>
        <v/>
      </c>
      <c r="DM262" s="44" t="str">
        <f t="shared" si="3632"/>
        <v/>
      </c>
      <c r="DN262" s="44" t="str">
        <f t="shared" si="3633"/>
        <v/>
      </c>
      <c r="DO262" s="44" t="str">
        <f t="shared" si="3634"/>
        <v/>
      </c>
      <c r="DP262" s="44" t="str">
        <f t="shared" si="3635"/>
        <v/>
      </c>
      <c r="DQ262" s="44" t="str">
        <f t="shared" si="3636"/>
        <v/>
      </c>
      <c r="DR262" s="44" t="str">
        <f t="shared" si="3637"/>
        <v/>
      </c>
      <c r="DS262" s="44" t="str">
        <f t="shared" si="3638"/>
        <v/>
      </c>
      <c r="DT262" s="44" t="str">
        <f t="shared" si="3639"/>
        <v/>
      </c>
      <c r="DU262" s="44" t="str">
        <f t="shared" si="3640"/>
        <v/>
      </c>
      <c r="DV262" s="44" t="str">
        <f t="shared" si="3641"/>
        <v/>
      </c>
      <c r="DW262" s="44" t="str">
        <f t="shared" si="3642"/>
        <v/>
      </c>
      <c r="DX262" s="44" t="str">
        <f t="shared" si="3643"/>
        <v/>
      </c>
      <c r="DY262" s="44" t="str">
        <f t="shared" si="3644"/>
        <v/>
      </c>
      <c r="DZ262" s="44" t="str">
        <f t="shared" si="3645"/>
        <v/>
      </c>
      <c r="EA262" s="44" t="str">
        <f t="shared" si="3646"/>
        <v/>
      </c>
      <c r="EB262" s="44" t="str">
        <f t="shared" si="3647"/>
        <v/>
      </c>
      <c r="EC262" s="44" t="str">
        <f t="shared" si="3648"/>
        <v/>
      </c>
      <c r="ED262" s="44" t="str">
        <f t="shared" si="3649"/>
        <v/>
      </c>
      <c r="EE262" s="44" t="str">
        <f t="shared" si="3650"/>
        <v/>
      </c>
      <c r="EF262" s="44" t="str">
        <f t="shared" si="3651"/>
        <v/>
      </c>
      <c r="EG262" s="44" t="str">
        <f t="shared" si="3652"/>
        <v/>
      </c>
      <c r="EH262" s="44" t="str">
        <f t="shared" si="3653"/>
        <v/>
      </c>
      <c r="EI262" s="44" t="str">
        <f t="shared" si="3654"/>
        <v/>
      </c>
      <c r="EJ262" s="44" t="str">
        <f t="shared" si="3655"/>
        <v/>
      </c>
      <c r="EK262" s="44" t="str">
        <f t="shared" si="3656"/>
        <v/>
      </c>
      <c r="EL262" s="44" t="str">
        <f t="shared" si="3657"/>
        <v/>
      </c>
      <c r="EM262" s="44" t="str">
        <f t="shared" si="3658"/>
        <v/>
      </c>
      <c r="EN262" s="44" t="str">
        <f t="shared" si="3659"/>
        <v/>
      </c>
      <c r="EO262" s="44" t="str">
        <f t="shared" si="3660"/>
        <v/>
      </c>
      <c r="EP262" s="44" t="str">
        <f t="shared" si="3661"/>
        <v/>
      </c>
      <c r="EQ262" s="44" t="str">
        <f t="shared" si="3662"/>
        <v/>
      </c>
      <c r="ER262" s="44" t="str">
        <f t="shared" si="3663"/>
        <v/>
      </c>
      <c r="ES262" s="44" t="str">
        <f t="shared" si="3664"/>
        <v/>
      </c>
      <c r="ET262" s="44" t="str">
        <f t="shared" si="3665"/>
        <v/>
      </c>
      <c r="EU262" s="44" t="str">
        <f t="shared" si="3666"/>
        <v/>
      </c>
      <c r="EV262" s="44" t="str">
        <f t="shared" si="3667"/>
        <v/>
      </c>
      <c r="EW262" s="44" t="str">
        <f t="shared" si="3668"/>
        <v/>
      </c>
      <c r="EX262" s="44" t="str">
        <f t="shared" si="3669"/>
        <v/>
      </c>
      <c r="EY262" s="44" t="str">
        <f t="shared" si="3670"/>
        <v/>
      </c>
      <c r="EZ262" s="44" t="str">
        <f t="shared" si="3671"/>
        <v/>
      </c>
      <c r="FA262" s="44" t="str">
        <f t="shared" si="3672"/>
        <v/>
      </c>
      <c r="FB262" s="44" t="str">
        <f t="shared" si="3673"/>
        <v/>
      </c>
      <c r="FC262" s="44" t="str">
        <f t="shared" si="3674"/>
        <v/>
      </c>
      <c r="FD262" s="44" t="str">
        <f t="shared" si="3675"/>
        <v/>
      </c>
      <c r="FE262" s="44" t="str">
        <f t="shared" si="3676"/>
        <v/>
      </c>
      <c r="FF262" s="44" t="str">
        <f t="shared" si="3677"/>
        <v/>
      </c>
      <c r="FG262" s="44" t="str">
        <f t="shared" si="3678"/>
        <v/>
      </c>
      <c r="FH262" s="44" t="str">
        <f t="shared" si="3679"/>
        <v/>
      </c>
      <c r="FI262" s="44" t="str">
        <f t="shared" si="3680"/>
        <v/>
      </c>
      <c r="FJ262" s="44" t="str">
        <f t="shared" si="3681"/>
        <v/>
      </c>
      <c r="FK262" s="44" t="str">
        <f t="shared" si="3682"/>
        <v/>
      </c>
      <c r="FL262" s="44" t="str">
        <f t="shared" si="3683"/>
        <v/>
      </c>
      <c r="FM262" s="44" t="str">
        <f t="shared" si="3684"/>
        <v/>
      </c>
      <c r="FN262" s="44" t="str">
        <f t="shared" si="3685"/>
        <v/>
      </c>
      <c r="FO262" s="44" t="str">
        <f t="shared" si="3686"/>
        <v/>
      </c>
      <c r="FP262" s="44" t="str">
        <f t="shared" si="3687"/>
        <v/>
      </c>
      <c r="FQ262" s="44" t="str">
        <f t="shared" si="3688"/>
        <v/>
      </c>
      <c r="FR262" s="44" t="str">
        <f t="shared" si="3689"/>
        <v/>
      </c>
      <c r="FS262" s="44" t="str">
        <f t="shared" si="3690"/>
        <v/>
      </c>
    </row>
    <row r="263" s="7" customFormat="1" ht="15" spans="1:175">
      <c r="A263" s="117"/>
      <c r="B263" s="46"/>
      <c r="C263" s="117"/>
      <c r="D263" s="47"/>
      <c r="E263" s="48"/>
      <c r="F263" s="118"/>
      <c r="G263" s="119"/>
      <c r="H263" s="119"/>
      <c r="I263" s="119"/>
      <c r="J263" s="119"/>
      <c r="K263" s="119"/>
      <c r="L263" s="119"/>
      <c r="M263" s="119"/>
      <c r="N263" s="119"/>
      <c r="O263" s="119"/>
      <c r="P263" s="54"/>
      <c r="Q263" s="54"/>
      <c r="R263" s="54"/>
      <c r="S263" s="54"/>
      <c r="T263" s="63"/>
      <c r="U263" s="60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  <c r="AL263" s="61"/>
      <c r="AM263" s="61"/>
      <c r="AN263" s="61"/>
      <c r="AO263" s="61"/>
      <c r="AP263" s="61"/>
      <c r="AQ263" s="61"/>
      <c r="AR263" s="67"/>
      <c r="AS263" s="67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1"/>
      <c r="CC263" s="61"/>
      <c r="CD263" s="61"/>
      <c r="CE263" s="61"/>
      <c r="CF263" s="61"/>
      <c r="CG263" s="61"/>
      <c r="CH263" s="61"/>
      <c r="CI263" s="61"/>
      <c r="CJ263" s="61"/>
      <c r="CK263" s="61"/>
      <c r="CL263" s="61"/>
      <c r="CM263" s="61"/>
      <c r="CN263" s="70" t="str">
        <f t="shared" si="3691"/>
        <v>InitUnitState('',,,,,,,,,,)</v>
      </c>
      <c r="CO263" s="70" t="str">
        <f t="shared" si="3692"/>
        <v>InitUnitNormal('',,,,,,,,,,)</v>
      </c>
      <c r="CP263" s="70" t="str">
        <f t="shared" si="3693"/>
        <v>InitUnitMagic('',,,,,,,,,,)</v>
      </c>
      <c r="CQ263" s="70" t="str">
        <f t="shared" si="3694"/>
        <v>InitUnitAdd('',,,,,,,,,,)</v>
      </c>
      <c r="CR263" s="70" t="str">
        <f t="shared" si="3548"/>
        <v>InitEquipData('',,"",,,,,'','','','','','',"")</v>
      </c>
      <c r="CS263" s="70"/>
      <c r="CT263" s="70"/>
      <c r="CU263" s="72" t="str">
        <f t="shared" si="3620"/>
        <v>|n</v>
      </c>
      <c r="CV263" s="6"/>
      <c r="DB263" s="44" t="str">
        <f t="shared" si="3621"/>
        <v/>
      </c>
      <c r="DC263" s="44" t="str">
        <f t="shared" si="3622"/>
        <v/>
      </c>
      <c r="DD263" s="44" t="str">
        <f t="shared" si="3623"/>
        <v/>
      </c>
      <c r="DE263" s="44" t="str">
        <f t="shared" si="3624"/>
        <v/>
      </c>
      <c r="DF263" s="44" t="str">
        <f t="shared" si="3625"/>
        <v/>
      </c>
      <c r="DG263" s="44" t="str">
        <f t="shared" si="3626"/>
        <v/>
      </c>
      <c r="DH263" s="44" t="str">
        <f t="shared" si="3627"/>
        <v/>
      </c>
      <c r="DI263" s="44" t="str">
        <f t="shared" si="3628"/>
        <v/>
      </c>
      <c r="DJ263" s="44" t="str">
        <f t="shared" si="3629"/>
        <v/>
      </c>
      <c r="DK263" s="44" t="str">
        <f t="shared" si="3630"/>
        <v/>
      </c>
      <c r="DL263" s="44" t="str">
        <f t="shared" si="3631"/>
        <v/>
      </c>
      <c r="DM263" s="44" t="str">
        <f t="shared" si="3632"/>
        <v/>
      </c>
      <c r="DN263" s="44" t="str">
        <f t="shared" si="3633"/>
        <v/>
      </c>
      <c r="DO263" s="44" t="str">
        <f t="shared" si="3634"/>
        <v/>
      </c>
      <c r="DP263" s="44" t="str">
        <f t="shared" si="3635"/>
        <v/>
      </c>
      <c r="DQ263" s="44" t="str">
        <f t="shared" si="3636"/>
        <v/>
      </c>
      <c r="DR263" s="44" t="str">
        <f t="shared" si="3637"/>
        <v/>
      </c>
      <c r="DS263" s="44" t="str">
        <f t="shared" si="3638"/>
        <v/>
      </c>
      <c r="DT263" s="44" t="str">
        <f t="shared" si="3639"/>
        <v/>
      </c>
      <c r="DU263" s="44" t="str">
        <f t="shared" si="3640"/>
        <v/>
      </c>
      <c r="DV263" s="44" t="str">
        <f t="shared" si="3641"/>
        <v/>
      </c>
      <c r="DW263" s="44" t="str">
        <f t="shared" si="3642"/>
        <v/>
      </c>
      <c r="DX263" s="44" t="str">
        <f t="shared" si="3643"/>
        <v/>
      </c>
      <c r="DY263" s="44" t="str">
        <f t="shared" si="3644"/>
        <v/>
      </c>
      <c r="DZ263" s="44" t="str">
        <f t="shared" si="3645"/>
        <v/>
      </c>
      <c r="EA263" s="44" t="str">
        <f t="shared" si="3646"/>
        <v/>
      </c>
      <c r="EB263" s="44" t="str">
        <f t="shared" si="3647"/>
        <v/>
      </c>
      <c r="EC263" s="44" t="str">
        <f t="shared" si="3648"/>
        <v/>
      </c>
      <c r="ED263" s="44" t="str">
        <f t="shared" si="3649"/>
        <v/>
      </c>
      <c r="EE263" s="44" t="str">
        <f t="shared" si="3650"/>
        <v/>
      </c>
      <c r="EF263" s="44" t="str">
        <f t="shared" si="3651"/>
        <v/>
      </c>
      <c r="EG263" s="44" t="str">
        <f t="shared" si="3652"/>
        <v/>
      </c>
      <c r="EH263" s="44" t="str">
        <f t="shared" si="3653"/>
        <v/>
      </c>
      <c r="EI263" s="44" t="str">
        <f t="shared" si="3654"/>
        <v/>
      </c>
      <c r="EJ263" s="44" t="str">
        <f t="shared" si="3655"/>
        <v/>
      </c>
      <c r="EK263" s="44" t="str">
        <f t="shared" si="3656"/>
        <v/>
      </c>
      <c r="EL263" s="44" t="str">
        <f t="shared" si="3657"/>
        <v/>
      </c>
      <c r="EM263" s="44" t="str">
        <f t="shared" si="3658"/>
        <v/>
      </c>
      <c r="EN263" s="44" t="str">
        <f t="shared" si="3659"/>
        <v/>
      </c>
      <c r="EO263" s="44" t="str">
        <f t="shared" si="3660"/>
        <v/>
      </c>
      <c r="EP263" s="44" t="str">
        <f t="shared" si="3661"/>
        <v/>
      </c>
      <c r="EQ263" s="44" t="str">
        <f t="shared" si="3662"/>
        <v/>
      </c>
      <c r="ER263" s="44" t="str">
        <f t="shared" si="3663"/>
        <v/>
      </c>
      <c r="ES263" s="44" t="str">
        <f t="shared" si="3664"/>
        <v/>
      </c>
      <c r="ET263" s="44" t="str">
        <f t="shared" si="3665"/>
        <v/>
      </c>
      <c r="EU263" s="44" t="str">
        <f t="shared" si="3666"/>
        <v/>
      </c>
      <c r="EV263" s="44" t="str">
        <f t="shared" si="3667"/>
        <v/>
      </c>
      <c r="EW263" s="44" t="str">
        <f t="shared" si="3668"/>
        <v/>
      </c>
      <c r="EX263" s="44" t="str">
        <f t="shared" si="3669"/>
        <v/>
      </c>
      <c r="EY263" s="44" t="str">
        <f t="shared" si="3670"/>
        <v/>
      </c>
      <c r="EZ263" s="44" t="str">
        <f t="shared" si="3671"/>
        <v/>
      </c>
      <c r="FA263" s="44" t="str">
        <f t="shared" si="3672"/>
        <v/>
      </c>
      <c r="FB263" s="44" t="str">
        <f t="shared" si="3673"/>
        <v/>
      </c>
      <c r="FC263" s="44" t="str">
        <f t="shared" si="3674"/>
        <v/>
      </c>
      <c r="FD263" s="44" t="str">
        <f t="shared" si="3675"/>
        <v/>
      </c>
      <c r="FE263" s="44" t="str">
        <f t="shared" si="3676"/>
        <v/>
      </c>
      <c r="FF263" s="44" t="str">
        <f t="shared" si="3677"/>
        <v/>
      </c>
      <c r="FG263" s="44" t="str">
        <f t="shared" si="3678"/>
        <v/>
      </c>
      <c r="FH263" s="44" t="str">
        <f t="shared" si="3679"/>
        <v/>
      </c>
      <c r="FI263" s="44" t="str">
        <f t="shared" si="3680"/>
        <v/>
      </c>
      <c r="FJ263" s="44" t="str">
        <f t="shared" si="3681"/>
        <v/>
      </c>
      <c r="FK263" s="44" t="str">
        <f t="shared" si="3682"/>
        <v/>
      </c>
      <c r="FL263" s="44" t="str">
        <f t="shared" si="3683"/>
        <v/>
      </c>
      <c r="FM263" s="44" t="str">
        <f t="shared" si="3684"/>
        <v/>
      </c>
      <c r="FN263" s="44" t="str">
        <f t="shared" si="3685"/>
        <v/>
      </c>
      <c r="FO263" s="44" t="str">
        <f t="shared" si="3686"/>
        <v/>
      </c>
      <c r="FP263" s="44" t="str">
        <f t="shared" si="3687"/>
        <v/>
      </c>
      <c r="FQ263" s="44" t="str">
        <f t="shared" si="3688"/>
        <v/>
      </c>
      <c r="FR263" s="44" t="str">
        <f t="shared" si="3689"/>
        <v/>
      </c>
      <c r="FS263" s="44" t="str">
        <f t="shared" si="3690"/>
        <v/>
      </c>
    </row>
    <row r="264" s="7" customFormat="1" ht="15" spans="1:175">
      <c r="A264" s="117"/>
      <c r="B264" s="46"/>
      <c r="C264" s="117"/>
      <c r="D264" s="47"/>
      <c r="E264" s="48"/>
      <c r="F264" s="118"/>
      <c r="G264" s="119"/>
      <c r="H264" s="119"/>
      <c r="I264" s="119"/>
      <c r="J264" s="119"/>
      <c r="K264" s="119"/>
      <c r="L264" s="119"/>
      <c r="M264" s="119"/>
      <c r="N264" s="119"/>
      <c r="O264" s="119"/>
      <c r="P264" s="54"/>
      <c r="Q264" s="54"/>
      <c r="R264" s="54"/>
      <c r="S264" s="54"/>
      <c r="T264" s="63"/>
      <c r="U264" s="60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  <c r="AL264" s="61"/>
      <c r="AM264" s="61"/>
      <c r="AN264" s="61"/>
      <c r="AO264" s="61"/>
      <c r="AP264" s="61"/>
      <c r="AQ264" s="61"/>
      <c r="AR264" s="67"/>
      <c r="AS264" s="67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70" t="str">
        <f t="shared" si="3691"/>
        <v>InitUnitState('',,,,,,,,,,)</v>
      </c>
      <c r="CO264" s="70" t="str">
        <f t="shared" si="3692"/>
        <v>InitUnitNormal('',,,,,,,,,,)</v>
      </c>
      <c r="CP264" s="70" t="str">
        <f t="shared" si="3693"/>
        <v>InitUnitMagic('',,,,,,,,,,)</v>
      </c>
      <c r="CQ264" s="70" t="str">
        <f t="shared" si="3694"/>
        <v>InitUnitAdd('',,,,,,,,,,)</v>
      </c>
      <c r="CR264" s="70" t="str">
        <f t="shared" si="3548"/>
        <v>InitEquipData('',,"",,,,,'','','','','','',"")</v>
      </c>
      <c r="CS264" s="70"/>
      <c r="CT264" s="70"/>
      <c r="CU264" s="72" t="str">
        <f t="shared" si="3620"/>
        <v>|n</v>
      </c>
      <c r="CV264" s="6"/>
      <c r="DB264" s="44" t="str">
        <f t="shared" si="3621"/>
        <v/>
      </c>
      <c r="DC264" s="44" t="str">
        <f t="shared" si="3622"/>
        <v/>
      </c>
      <c r="DD264" s="44" t="str">
        <f t="shared" si="3623"/>
        <v/>
      </c>
      <c r="DE264" s="44" t="str">
        <f t="shared" si="3624"/>
        <v/>
      </c>
      <c r="DF264" s="44" t="str">
        <f t="shared" si="3625"/>
        <v/>
      </c>
      <c r="DG264" s="44" t="str">
        <f t="shared" si="3626"/>
        <v/>
      </c>
      <c r="DH264" s="44" t="str">
        <f t="shared" si="3627"/>
        <v/>
      </c>
      <c r="DI264" s="44" t="str">
        <f t="shared" si="3628"/>
        <v/>
      </c>
      <c r="DJ264" s="44" t="str">
        <f t="shared" si="3629"/>
        <v/>
      </c>
      <c r="DK264" s="44" t="str">
        <f t="shared" si="3630"/>
        <v/>
      </c>
      <c r="DL264" s="44" t="str">
        <f t="shared" si="3631"/>
        <v/>
      </c>
      <c r="DM264" s="44" t="str">
        <f t="shared" si="3632"/>
        <v/>
      </c>
      <c r="DN264" s="44" t="str">
        <f t="shared" si="3633"/>
        <v/>
      </c>
      <c r="DO264" s="44" t="str">
        <f t="shared" si="3634"/>
        <v/>
      </c>
      <c r="DP264" s="44" t="str">
        <f t="shared" si="3635"/>
        <v/>
      </c>
      <c r="DQ264" s="44" t="str">
        <f t="shared" si="3636"/>
        <v/>
      </c>
      <c r="DR264" s="44" t="str">
        <f t="shared" si="3637"/>
        <v/>
      </c>
      <c r="DS264" s="44" t="str">
        <f t="shared" si="3638"/>
        <v/>
      </c>
      <c r="DT264" s="44" t="str">
        <f t="shared" si="3639"/>
        <v/>
      </c>
      <c r="DU264" s="44" t="str">
        <f t="shared" si="3640"/>
        <v/>
      </c>
      <c r="DV264" s="44" t="str">
        <f t="shared" si="3641"/>
        <v/>
      </c>
      <c r="DW264" s="44" t="str">
        <f t="shared" si="3642"/>
        <v/>
      </c>
      <c r="DX264" s="44" t="str">
        <f t="shared" si="3643"/>
        <v/>
      </c>
      <c r="DY264" s="44" t="str">
        <f t="shared" si="3644"/>
        <v/>
      </c>
      <c r="DZ264" s="44" t="str">
        <f t="shared" si="3645"/>
        <v/>
      </c>
      <c r="EA264" s="44" t="str">
        <f t="shared" si="3646"/>
        <v/>
      </c>
      <c r="EB264" s="44" t="str">
        <f t="shared" si="3647"/>
        <v/>
      </c>
      <c r="EC264" s="44" t="str">
        <f t="shared" si="3648"/>
        <v/>
      </c>
      <c r="ED264" s="44" t="str">
        <f t="shared" si="3649"/>
        <v/>
      </c>
      <c r="EE264" s="44" t="str">
        <f t="shared" si="3650"/>
        <v/>
      </c>
      <c r="EF264" s="44" t="str">
        <f t="shared" si="3651"/>
        <v/>
      </c>
      <c r="EG264" s="44" t="str">
        <f t="shared" si="3652"/>
        <v/>
      </c>
      <c r="EH264" s="44" t="str">
        <f t="shared" si="3653"/>
        <v/>
      </c>
      <c r="EI264" s="44" t="str">
        <f t="shared" si="3654"/>
        <v/>
      </c>
      <c r="EJ264" s="44" t="str">
        <f t="shared" si="3655"/>
        <v/>
      </c>
      <c r="EK264" s="44" t="str">
        <f t="shared" si="3656"/>
        <v/>
      </c>
      <c r="EL264" s="44" t="str">
        <f t="shared" si="3657"/>
        <v/>
      </c>
      <c r="EM264" s="44" t="str">
        <f t="shared" si="3658"/>
        <v/>
      </c>
      <c r="EN264" s="44" t="str">
        <f t="shared" si="3659"/>
        <v/>
      </c>
      <c r="EO264" s="44" t="str">
        <f t="shared" si="3660"/>
        <v/>
      </c>
      <c r="EP264" s="44" t="str">
        <f t="shared" si="3661"/>
        <v/>
      </c>
      <c r="EQ264" s="44" t="str">
        <f t="shared" si="3662"/>
        <v/>
      </c>
      <c r="ER264" s="44" t="str">
        <f t="shared" si="3663"/>
        <v/>
      </c>
      <c r="ES264" s="44" t="str">
        <f t="shared" si="3664"/>
        <v/>
      </c>
      <c r="ET264" s="44" t="str">
        <f t="shared" si="3665"/>
        <v/>
      </c>
      <c r="EU264" s="44" t="str">
        <f t="shared" si="3666"/>
        <v/>
      </c>
      <c r="EV264" s="44" t="str">
        <f t="shared" si="3667"/>
        <v/>
      </c>
      <c r="EW264" s="44" t="str">
        <f t="shared" si="3668"/>
        <v/>
      </c>
      <c r="EX264" s="44" t="str">
        <f t="shared" si="3669"/>
        <v/>
      </c>
      <c r="EY264" s="44" t="str">
        <f t="shared" si="3670"/>
        <v/>
      </c>
      <c r="EZ264" s="44" t="str">
        <f t="shared" si="3671"/>
        <v/>
      </c>
      <c r="FA264" s="44" t="str">
        <f t="shared" si="3672"/>
        <v/>
      </c>
      <c r="FB264" s="44" t="str">
        <f t="shared" si="3673"/>
        <v/>
      </c>
      <c r="FC264" s="44" t="str">
        <f t="shared" si="3674"/>
        <v/>
      </c>
      <c r="FD264" s="44" t="str">
        <f t="shared" si="3675"/>
        <v/>
      </c>
      <c r="FE264" s="44" t="str">
        <f t="shared" si="3676"/>
        <v/>
      </c>
      <c r="FF264" s="44" t="str">
        <f t="shared" si="3677"/>
        <v/>
      </c>
      <c r="FG264" s="44" t="str">
        <f t="shared" si="3678"/>
        <v/>
      </c>
      <c r="FH264" s="44" t="str">
        <f t="shared" si="3679"/>
        <v/>
      </c>
      <c r="FI264" s="44" t="str">
        <f t="shared" si="3680"/>
        <v/>
      </c>
      <c r="FJ264" s="44" t="str">
        <f t="shared" si="3681"/>
        <v/>
      </c>
      <c r="FK264" s="44" t="str">
        <f t="shared" si="3682"/>
        <v/>
      </c>
      <c r="FL264" s="44" t="str">
        <f t="shared" si="3683"/>
        <v/>
      </c>
      <c r="FM264" s="44" t="str">
        <f t="shared" si="3684"/>
        <v/>
      </c>
      <c r="FN264" s="44" t="str">
        <f t="shared" si="3685"/>
        <v/>
      </c>
      <c r="FO264" s="44" t="str">
        <f t="shared" si="3686"/>
        <v/>
      </c>
      <c r="FP264" s="44" t="str">
        <f t="shared" si="3687"/>
        <v/>
      </c>
      <c r="FQ264" s="44" t="str">
        <f t="shared" si="3688"/>
        <v/>
      </c>
      <c r="FR264" s="44" t="str">
        <f t="shared" si="3689"/>
        <v/>
      </c>
      <c r="FS264" s="44" t="str">
        <f t="shared" si="3690"/>
        <v/>
      </c>
    </row>
    <row r="265" s="7" customFormat="1" ht="15" spans="1:175">
      <c r="A265" s="117"/>
      <c r="B265" s="46"/>
      <c r="C265" s="117"/>
      <c r="D265" s="47"/>
      <c r="E265" s="48"/>
      <c r="F265" s="118"/>
      <c r="G265" s="119"/>
      <c r="H265" s="119"/>
      <c r="I265" s="119"/>
      <c r="J265" s="119"/>
      <c r="K265" s="119"/>
      <c r="L265" s="119"/>
      <c r="M265" s="119"/>
      <c r="N265" s="119"/>
      <c r="O265" s="119"/>
      <c r="P265" s="54"/>
      <c r="Q265" s="54"/>
      <c r="R265" s="54"/>
      <c r="S265" s="54"/>
      <c r="T265" s="63"/>
      <c r="U265" s="60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/>
      <c r="AM265" s="61"/>
      <c r="AN265" s="61"/>
      <c r="AO265" s="61"/>
      <c r="AP265" s="61"/>
      <c r="AQ265" s="61"/>
      <c r="AR265" s="67"/>
      <c r="AS265" s="67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70" t="str">
        <f t="shared" si="3691"/>
        <v>InitUnitState('',,,,,,,,,,)</v>
      </c>
      <c r="CO265" s="70" t="str">
        <f t="shared" si="3692"/>
        <v>InitUnitNormal('',,,,,,,,,,)</v>
      </c>
      <c r="CP265" s="70" t="str">
        <f t="shared" si="3693"/>
        <v>InitUnitMagic('',,,,,,,,,,)</v>
      </c>
      <c r="CQ265" s="70" t="str">
        <f t="shared" si="3694"/>
        <v>InitUnitAdd('',,,,,,,,,,)</v>
      </c>
      <c r="CR265" s="70" t="str">
        <f t="shared" si="3548"/>
        <v>InitEquipData('',,"",,,,,'','','','','','',"")</v>
      </c>
      <c r="CS265" s="70"/>
      <c r="CT265" s="70"/>
      <c r="CU265" s="72" t="str">
        <f t="shared" si="3620"/>
        <v>|n</v>
      </c>
      <c r="CV265" s="6"/>
      <c r="DB265" s="44" t="str">
        <f t="shared" si="3621"/>
        <v/>
      </c>
      <c r="DC265" s="44" t="str">
        <f t="shared" si="3622"/>
        <v/>
      </c>
      <c r="DD265" s="44" t="str">
        <f t="shared" si="3623"/>
        <v/>
      </c>
      <c r="DE265" s="44" t="str">
        <f t="shared" si="3624"/>
        <v/>
      </c>
      <c r="DF265" s="44" t="str">
        <f t="shared" si="3625"/>
        <v/>
      </c>
      <c r="DG265" s="44" t="str">
        <f t="shared" si="3626"/>
        <v/>
      </c>
      <c r="DH265" s="44" t="str">
        <f t="shared" si="3627"/>
        <v/>
      </c>
      <c r="DI265" s="44" t="str">
        <f t="shared" si="3628"/>
        <v/>
      </c>
      <c r="DJ265" s="44" t="str">
        <f t="shared" si="3629"/>
        <v/>
      </c>
      <c r="DK265" s="44" t="str">
        <f t="shared" si="3630"/>
        <v/>
      </c>
      <c r="DL265" s="44" t="str">
        <f t="shared" si="3631"/>
        <v/>
      </c>
      <c r="DM265" s="44" t="str">
        <f t="shared" si="3632"/>
        <v/>
      </c>
      <c r="DN265" s="44" t="str">
        <f t="shared" si="3633"/>
        <v/>
      </c>
      <c r="DO265" s="44" t="str">
        <f t="shared" si="3634"/>
        <v/>
      </c>
      <c r="DP265" s="44" t="str">
        <f t="shared" si="3635"/>
        <v/>
      </c>
      <c r="DQ265" s="44" t="str">
        <f t="shared" si="3636"/>
        <v/>
      </c>
      <c r="DR265" s="44" t="str">
        <f t="shared" si="3637"/>
        <v/>
      </c>
      <c r="DS265" s="44" t="str">
        <f t="shared" si="3638"/>
        <v/>
      </c>
      <c r="DT265" s="44" t="str">
        <f t="shared" si="3639"/>
        <v/>
      </c>
      <c r="DU265" s="44" t="str">
        <f t="shared" si="3640"/>
        <v/>
      </c>
      <c r="DV265" s="44" t="str">
        <f t="shared" si="3641"/>
        <v/>
      </c>
      <c r="DW265" s="44" t="str">
        <f t="shared" si="3642"/>
        <v/>
      </c>
      <c r="DX265" s="44" t="str">
        <f t="shared" si="3643"/>
        <v/>
      </c>
      <c r="DY265" s="44" t="str">
        <f t="shared" si="3644"/>
        <v/>
      </c>
      <c r="DZ265" s="44" t="str">
        <f t="shared" si="3645"/>
        <v/>
      </c>
      <c r="EA265" s="44" t="str">
        <f t="shared" si="3646"/>
        <v/>
      </c>
      <c r="EB265" s="44" t="str">
        <f t="shared" si="3647"/>
        <v/>
      </c>
      <c r="EC265" s="44" t="str">
        <f t="shared" si="3648"/>
        <v/>
      </c>
      <c r="ED265" s="44" t="str">
        <f t="shared" si="3649"/>
        <v/>
      </c>
      <c r="EE265" s="44" t="str">
        <f t="shared" si="3650"/>
        <v/>
      </c>
      <c r="EF265" s="44" t="str">
        <f t="shared" si="3651"/>
        <v/>
      </c>
      <c r="EG265" s="44" t="str">
        <f t="shared" si="3652"/>
        <v/>
      </c>
      <c r="EH265" s="44" t="str">
        <f t="shared" si="3653"/>
        <v/>
      </c>
      <c r="EI265" s="44" t="str">
        <f t="shared" si="3654"/>
        <v/>
      </c>
      <c r="EJ265" s="44" t="str">
        <f t="shared" si="3655"/>
        <v/>
      </c>
      <c r="EK265" s="44" t="str">
        <f t="shared" si="3656"/>
        <v/>
      </c>
      <c r="EL265" s="44" t="str">
        <f t="shared" si="3657"/>
        <v/>
      </c>
      <c r="EM265" s="44" t="str">
        <f t="shared" si="3658"/>
        <v/>
      </c>
      <c r="EN265" s="44" t="str">
        <f t="shared" si="3659"/>
        <v/>
      </c>
      <c r="EO265" s="44" t="str">
        <f t="shared" si="3660"/>
        <v/>
      </c>
      <c r="EP265" s="44" t="str">
        <f t="shared" si="3661"/>
        <v/>
      </c>
      <c r="EQ265" s="44" t="str">
        <f t="shared" si="3662"/>
        <v/>
      </c>
      <c r="ER265" s="44" t="str">
        <f t="shared" si="3663"/>
        <v/>
      </c>
      <c r="ES265" s="44" t="str">
        <f t="shared" si="3664"/>
        <v/>
      </c>
      <c r="ET265" s="44" t="str">
        <f t="shared" si="3665"/>
        <v/>
      </c>
      <c r="EU265" s="44" t="str">
        <f t="shared" si="3666"/>
        <v/>
      </c>
      <c r="EV265" s="44" t="str">
        <f t="shared" si="3667"/>
        <v/>
      </c>
      <c r="EW265" s="44" t="str">
        <f t="shared" si="3668"/>
        <v/>
      </c>
      <c r="EX265" s="44" t="str">
        <f t="shared" si="3669"/>
        <v/>
      </c>
      <c r="EY265" s="44" t="str">
        <f t="shared" si="3670"/>
        <v/>
      </c>
      <c r="EZ265" s="44" t="str">
        <f t="shared" si="3671"/>
        <v/>
      </c>
      <c r="FA265" s="44" t="str">
        <f t="shared" si="3672"/>
        <v/>
      </c>
      <c r="FB265" s="44" t="str">
        <f t="shared" si="3673"/>
        <v/>
      </c>
      <c r="FC265" s="44" t="str">
        <f t="shared" si="3674"/>
        <v/>
      </c>
      <c r="FD265" s="44" t="str">
        <f t="shared" si="3675"/>
        <v/>
      </c>
      <c r="FE265" s="44" t="str">
        <f t="shared" si="3676"/>
        <v/>
      </c>
      <c r="FF265" s="44" t="str">
        <f t="shared" si="3677"/>
        <v/>
      </c>
      <c r="FG265" s="44" t="str">
        <f t="shared" si="3678"/>
        <v/>
      </c>
      <c r="FH265" s="44" t="str">
        <f t="shared" si="3679"/>
        <v/>
      </c>
      <c r="FI265" s="44" t="str">
        <f t="shared" si="3680"/>
        <v/>
      </c>
      <c r="FJ265" s="44" t="str">
        <f t="shared" si="3681"/>
        <v/>
      </c>
      <c r="FK265" s="44" t="str">
        <f t="shared" si="3682"/>
        <v/>
      </c>
      <c r="FL265" s="44" t="str">
        <f t="shared" si="3683"/>
        <v/>
      </c>
      <c r="FM265" s="44" t="str">
        <f t="shared" si="3684"/>
        <v/>
      </c>
      <c r="FN265" s="44" t="str">
        <f t="shared" si="3685"/>
        <v/>
      </c>
      <c r="FO265" s="44" t="str">
        <f t="shared" si="3686"/>
        <v/>
      </c>
      <c r="FP265" s="44" t="str">
        <f t="shared" si="3687"/>
        <v/>
      </c>
      <c r="FQ265" s="44" t="str">
        <f t="shared" si="3688"/>
        <v/>
      </c>
      <c r="FR265" s="44" t="str">
        <f t="shared" si="3689"/>
        <v/>
      </c>
      <c r="FS265" s="44" t="str">
        <f t="shared" si="3690"/>
        <v/>
      </c>
    </row>
    <row r="266" s="7" customFormat="1" ht="15" spans="1:175">
      <c r="A266" s="117"/>
      <c r="B266" s="46"/>
      <c r="C266" s="117"/>
      <c r="D266" s="47"/>
      <c r="E266" s="48"/>
      <c r="F266" s="118"/>
      <c r="G266" s="119"/>
      <c r="H266" s="119"/>
      <c r="I266" s="119"/>
      <c r="J266" s="119"/>
      <c r="K266" s="119"/>
      <c r="L266" s="119"/>
      <c r="M266" s="119"/>
      <c r="N266" s="119"/>
      <c r="O266" s="119"/>
      <c r="P266" s="54"/>
      <c r="Q266" s="54"/>
      <c r="R266" s="54"/>
      <c r="S266" s="54"/>
      <c r="T266" s="63"/>
      <c r="U266" s="60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  <c r="AL266" s="61"/>
      <c r="AM266" s="61"/>
      <c r="AN266" s="61"/>
      <c r="AO266" s="61"/>
      <c r="AP266" s="61"/>
      <c r="AQ266" s="61"/>
      <c r="AR266" s="67"/>
      <c r="AS266" s="67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70" t="str">
        <f t="shared" si="3691"/>
        <v>InitUnitState('',,,,,,,,,,)</v>
      </c>
      <c r="CO266" s="70" t="str">
        <f t="shared" si="3692"/>
        <v>InitUnitNormal('',,,,,,,,,,)</v>
      </c>
      <c r="CP266" s="70" t="str">
        <f t="shared" si="3693"/>
        <v>InitUnitMagic('',,,,,,,,,,)</v>
      </c>
      <c r="CQ266" s="70" t="str">
        <f t="shared" si="3694"/>
        <v>InitUnitAdd('',,,,,,,,,,)</v>
      </c>
      <c r="CR266" s="70" t="str">
        <f t="shared" si="3548"/>
        <v>InitEquipData('',,"",,,,,'','','','','','',"")</v>
      </c>
      <c r="CS266" s="70"/>
      <c r="CT266" s="70"/>
      <c r="CU266" s="72" t="str">
        <f t="shared" si="3620"/>
        <v>|n</v>
      </c>
      <c r="CV266" s="6"/>
      <c r="DB266" s="44" t="str">
        <f t="shared" si="3621"/>
        <v/>
      </c>
      <c r="DC266" s="44" t="str">
        <f t="shared" si="3622"/>
        <v/>
      </c>
      <c r="DD266" s="44" t="str">
        <f t="shared" si="3623"/>
        <v/>
      </c>
      <c r="DE266" s="44" t="str">
        <f t="shared" si="3624"/>
        <v/>
      </c>
      <c r="DF266" s="44" t="str">
        <f t="shared" si="3625"/>
        <v/>
      </c>
      <c r="DG266" s="44" t="str">
        <f t="shared" si="3626"/>
        <v/>
      </c>
      <c r="DH266" s="44" t="str">
        <f t="shared" si="3627"/>
        <v/>
      </c>
      <c r="DI266" s="44" t="str">
        <f t="shared" si="3628"/>
        <v/>
      </c>
      <c r="DJ266" s="44" t="str">
        <f t="shared" si="3629"/>
        <v/>
      </c>
      <c r="DK266" s="44" t="str">
        <f t="shared" si="3630"/>
        <v/>
      </c>
      <c r="DL266" s="44" t="str">
        <f t="shared" si="3631"/>
        <v/>
      </c>
      <c r="DM266" s="44" t="str">
        <f t="shared" si="3632"/>
        <v/>
      </c>
      <c r="DN266" s="44" t="str">
        <f t="shared" si="3633"/>
        <v/>
      </c>
      <c r="DO266" s="44" t="str">
        <f t="shared" si="3634"/>
        <v/>
      </c>
      <c r="DP266" s="44" t="str">
        <f t="shared" si="3635"/>
        <v/>
      </c>
      <c r="DQ266" s="44" t="str">
        <f t="shared" si="3636"/>
        <v/>
      </c>
      <c r="DR266" s="44" t="str">
        <f t="shared" si="3637"/>
        <v/>
      </c>
      <c r="DS266" s="44" t="str">
        <f t="shared" si="3638"/>
        <v/>
      </c>
      <c r="DT266" s="44" t="str">
        <f t="shared" si="3639"/>
        <v/>
      </c>
      <c r="DU266" s="44" t="str">
        <f t="shared" si="3640"/>
        <v/>
      </c>
      <c r="DV266" s="44" t="str">
        <f t="shared" si="3641"/>
        <v/>
      </c>
      <c r="DW266" s="44" t="str">
        <f t="shared" si="3642"/>
        <v/>
      </c>
      <c r="DX266" s="44" t="str">
        <f t="shared" si="3643"/>
        <v/>
      </c>
      <c r="DY266" s="44" t="str">
        <f t="shared" si="3644"/>
        <v/>
      </c>
      <c r="DZ266" s="44" t="str">
        <f t="shared" si="3645"/>
        <v/>
      </c>
      <c r="EA266" s="44" t="str">
        <f t="shared" si="3646"/>
        <v/>
      </c>
      <c r="EB266" s="44" t="str">
        <f t="shared" si="3647"/>
        <v/>
      </c>
      <c r="EC266" s="44" t="str">
        <f t="shared" si="3648"/>
        <v/>
      </c>
      <c r="ED266" s="44" t="str">
        <f t="shared" si="3649"/>
        <v/>
      </c>
      <c r="EE266" s="44" t="str">
        <f t="shared" si="3650"/>
        <v/>
      </c>
      <c r="EF266" s="44" t="str">
        <f t="shared" si="3651"/>
        <v/>
      </c>
      <c r="EG266" s="44" t="str">
        <f t="shared" si="3652"/>
        <v/>
      </c>
      <c r="EH266" s="44" t="str">
        <f t="shared" si="3653"/>
        <v/>
      </c>
      <c r="EI266" s="44" t="str">
        <f t="shared" si="3654"/>
        <v/>
      </c>
      <c r="EJ266" s="44" t="str">
        <f t="shared" si="3655"/>
        <v/>
      </c>
      <c r="EK266" s="44" t="str">
        <f t="shared" si="3656"/>
        <v/>
      </c>
      <c r="EL266" s="44" t="str">
        <f t="shared" si="3657"/>
        <v/>
      </c>
      <c r="EM266" s="44" t="str">
        <f t="shared" si="3658"/>
        <v/>
      </c>
      <c r="EN266" s="44" t="str">
        <f t="shared" si="3659"/>
        <v/>
      </c>
      <c r="EO266" s="44" t="str">
        <f t="shared" si="3660"/>
        <v/>
      </c>
      <c r="EP266" s="44" t="str">
        <f t="shared" si="3661"/>
        <v/>
      </c>
      <c r="EQ266" s="44" t="str">
        <f t="shared" si="3662"/>
        <v/>
      </c>
      <c r="ER266" s="44" t="str">
        <f t="shared" si="3663"/>
        <v/>
      </c>
      <c r="ES266" s="44" t="str">
        <f t="shared" si="3664"/>
        <v/>
      </c>
      <c r="ET266" s="44" t="str">
        <f t="shared" si="3665"/>
        <v/>
      </c>
      <c r="EU266" s="44" t="str">
        <f t="shared" si="3666"/>
        <v/>
      </c>
      <c r="EV266" s="44" t="str">
        <f t="shared" si="3667"/>
        <v/>
      </c>
      <c r="EW266" s="44" t="str">
        <f t="shared" si="3668"/>
        <v/>
      </c>
      <c r="EX266" s="44" t="str">
        <f t="shared" si="3669"/>
        <v/>
      </c>
      <c r="EY266" s="44" t="str">
        <f t="shared" si="3670"/>
        <v/>
      </c>
      <c r="EZ266" s="44" t="str">
        <f t="shared" si="3671"/>
        <v/>
      </c>
      <c r="FA266" s="44" t="str">
        <f t="shared" si="3672"/>
        <v/>
      </c>
      <c r="FB266" s="44" t="str">
        <f t="shared" si="3673"/>
        <v/>
      </c>
      <c r="FC266" s="44" t="str">
        <f t="shared" si="3674"/>
        <v/>
      </c>
      <c r="FD266" s="44" t="str">
        <f t="shared" si="3675"/>
        <v/>
      </c>
      <c r="FE266" s="44" t="str">
        <f t="shared" si="3676"/>
        <v/>
      </c>
      <c r="FF266" s="44" t="str">
        <f t="shared" si="3677"/>
        <v/>
      </c>
      <c r="FG266" s="44" t="str">
        <f t="shared" si="3678"/>
        <v/>
      </c>
      <c r="FH266" s="44" t="str">
        <f t="shared" si="3679"/>
        <v/>
      </c>
      <c r="FI266" s="44" t="str">
        <f t="shared" si="3680"/>
        <v/>
      </c>
      <c r="FJ266" s="44" t="str">
        <f t="shared" si="3681"/>
        <v/>
      </c>
      <c r="FK266" s="44" t="str">
        <f t="shared" si="3682"/>
        <v/>
      </c>
      <c r="FL266" s="44" t="str">
        <f t="shared" si="3683"/>
        <v/>
      </c>
      <c r="FM266" s="44" t="str">
        <f t="shared" si="3684"/>
        <v/>
      </c>
      <c r="FN266" s="44" t="str">
        <f t="shared" si="3685"/>
        <v/>
      </c>
      <c r="FO266" s="44" t="str">
        <f t="shared" si="3686"/>
        <v/>
      </c>
      <c r="FP266" s="44" t="str">
        <f t="shared" si="3687"/>
        <v/>
      </c>
      <c r="FQ266" s="44" t="str">
        <f t="shared" si="3688"/>
        <v/>
      </c>
      <c r="FR266" s="44" t="str">
        <f t="shared" si="3689"/>
        <v/>
      </c>
      <c r="FS266" s="44" t="str">
        <f t="shared" si="3690"/>
        <v/>
      </c>
    </row>
    <row r="267" s="7" customFormat="1" ht="15" spans="1:175">
      <c r="A267" s="117"/>
      <c r="B267" s="46"/>
      <c r="C267" s="117"/>
      <c r="D267" s="47"/>
      <c r="E267" s="48"/>
      <c r="F267" s="118"/>
      <c r="G267" s="119"/>
      <c r="H267" s="119"/>
      <c r="I267" s="119"/>
      <c r="J267" s="119"/>
      <c r="K267" s="119"/>
      <c r="L267" s="119"/>
      <c r="M267" s="119"/>
      <c r="N267" s="119"/>
      <c r="O267" s="119"/>
      <c r="P267" s="54"/>
      <c r="Q267" s="54"/>
      <c r="R267" s="54"/>
      <c r="S267" s="54"/>
      <c r="T267" s="63"/>
      <c r="U267" s="60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  <c r="AL267" s="61"/>
      <c r="AM267" s="61"/>
      <c r="AN267" s="61"/>
      <c r="AO267" s="61"/>
      <c r="AP267" s="61"/>
      <c r="AQ267" s="61"/>
      <c r="AR267" s="67"/>
      <c r="AS267" s="67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70" t="str">
        <f t="shared" si="3691"/>
        <v>InitUnitState('',,,,,,,,,,)</v>
      </c>
      <c r="CO267" s="70" t="str">
        <f t="shared" si="3692"/>
        <v>InitUnitNormal('',,,,,,,,,,)</v>
      </c>
      <c r="CP267" s="70" t="str">
        <f t="shared" si="3693"/>
        <v>InitUnitMagic('',,,,,,,,,,)</v>
      </c>
      <c r="CQ267" s="70" t="str">
        <f t="shared" si="3694"/>
        <v>InitUnitAdd('',,,,,,,,,,)</v>
      </c>
      <c r="CR267" s="70" t="str">
        <f t="shared" si="3548"/>
        <v>InitEquipData('',,"",,,,,'','','','','','',"")</v>
      </c>
      <c r="CS267" s="70"/>
      <c r="CT267" s="70"/>
      <c r="CU267" s="72" t="str">
        <f t="shared" si="3620"/>
        <v>|n</v>
      </c>
      <c r="CV267" s="6"/>
      <c r="DB267" s="44" t="str">
        <f t="shared" si="3621"/>
        <v/>
      </c>
      <c r="DC267" s="44" t="str">
        <f t="shared" si="3622"/>
        <v/>
      </c>
      <c r="DD267" s="44" t="str">
        <f t="shared" si="3623"/>
        <v/>
      </c>
      <c r="DE267" s="44" t="str">
        <f t="shared" si="3624"/>
        <v/>
      </c>
      <c r="DF267" s="44" t="str">
        <f t="shared" si="3625"/>
        <v/>
      </c>
      <c r="DG267" s="44" t="str">
        <f t="shared" si="3626"/>
        <v/>
      </c>
      <c r="DH267" s="44" t="str">
        <f t="shared" si="3627"/>
        <v/>
      </c>
      <c r="DI267" s="44" t="str">
        <f t="shared" si="3628"/>
        <v/>
      </c>
      <c r="DJ267" s="44" t="str">
        <f t="shared" si="3629"/>
        <v/>
      </c>
      <c r="DK267" s="44" t="str">
        <f t="shared" si="3630"/>
        <v/>
      </c>
      <c r="DL267" s="44" t="str">
        <f t="shared" si="3631"/>
        <v/>
      </c>
      <c r="DM267" s="44" t="str">
        <f t="shared" si="3632"/>
        <v/>
      </c>
      <c r="DN267" s="44" t="str">
        <f t="shared" si="3633"/>
        <v/>
      </c>
      <c r="DO267" s="44" t="str">
        <f t="shared" si="3634"/>
        <v/>
      </c>
      <c r="DP267" s="44" t="str">
        <f t="shared" si="3635"/>
        <v/>
      </c>
      <c r="DQ267" s="44" t="str">
        <f t="shared" si="3636"/>
        <v/>
      </c>
      <c r="DR267" s="44" t="str">
        <f t="shared" si="3637"/>
        <v/>
      </c>
      <c r="DS267" s="44" t="str">
        <f t="shared" si="3638"/>
        <v/>
      </c>
      <c r="DT267" s="44" t="str">
        <f t="shared" si="3639"/>
        <v/>
      </c>
      <c r="DU267" s="44" t="str">
        <f t="shared" si="3640"/>
        <v/>
      </c>
      <c r="DV267" s="44" t="str">
        <f t="shared" si="3641"/>
        <v/>
      </c>
      <c r="DW267" s="44" t="str">
        <f t="shared" si="3642"/>
        <v/>
      </c>
      <c r="DX267" s="44" t="str">
        <f t="shared" si="3643"/>
        <v/>
      </c>
      <c r="DY267" s="44" t="str">
        <f t="shared" si="3644"/>
        <v/>
      </c>
      <c r="DZ267" s="44" t="str">
        <f t="shared" si="3645"/>
        <v/>
      </c>
      <c r="EA267" s="44" t="str">
        <f t="shared" si="3646"/>
        <v/>
      </c>
      <c r="EB267" s="44" t="str">
        <f t="shared" si="3647"/>
        <v/>
      </c>
      <c r="EC267" s="44" t="str">
        <f t="shared" si="3648"/>
        <v/>
      </c>
      <c r="ED267" s="44" t="str">
        <f t="shared" si="3649"/>
        <v/>
      </c>
      <c r="EE267" s="44" t="str">
        <f t="shared" si="3650"/>
        <v/>
      </c>
      <c r="EF267" s="44" t="str">
        <f t="shared" si="3651"/>
        <v/>
      </c>
      <c r="EG267" s="44" t="str">
        <f t="shared" si="3652"/>
        <v/>
      </c>
      <c r="EH267" s="44" t="str">
        <f t="shared" si="3653"/>
        <v/>
      </c>
      <c r="EI267" s="44" t="str">
        <f t="shared" si="3654"/>
        <v/>
      </c>
      <c r="EJ267" s="44" t="str">
        <f t="shared" si="3655"/>
        <v/>
      </c>
      <c r="EK267" s="44" t="str">
        <f t="shared" si="3656"/>
        <v/>
      </c>
      <c r="EL267" s="44" t="str">
        <f t="shared" si="3657"/>
        <v/>
      </c>
      <c r="EM267" s="44" t="str">
        <f t="shared" si="3658"/>
        <v/>
      </c>
      <c r="EN267" s="44" t="str">
        <f t="shared" si="3659"/>
        <v/>
      </c>
      <c r="EO267" s="44" t="str">
        <f t="shared" si="3660"/>
        <v/>
      </c>
      <c r="EP267" s="44" t="str">
        <f t="shared" si="3661"/>
        <v/>
      </c>
      <c r="EQ267" s="44" t="str">
        <f t="shared" si="3662"/>
        <v/>
      </c>
      <c r="ER267" s="44" t="str">
        <f t="shared" si="3663"/>
        <v/>
      </c>
      <c r="ES267" s="44" t="str">
        <f t="shared" si="3664"/>
        <v/>
      </c>
      <c r="ET267" s="44" t="str">
        <f t="shared" si="3665"/>
        <v/>
      </c>
      <c r="EU267" s="44" t="str">
        <f t="shared" si="3666"/>
        <v/>
      </c>
      <c r="EV267" s="44" t="str">
        <f t="shared" si="3667"/>
        <v/>
      </c>
      <c r="EW267" s="44" t="str">
        <f t="shared" si="3668"/>
        <v/>
      </c>
      <c r="EX267" s="44" t="str">
        <f t="shared" si="3669"/>
        <v/>
      </c>
      <c r="EY267" s="44" t="str">
        <f t="shared" si="3670"/>
        <v/>
      </c>
      <c r="EZ267" s="44" t="str">
        <f t="shared" si="3671"/>
        <v/>
      </c>
      <c r="FA267" s="44" t="str">
        <f t="shared" si="3672"/>
        <v/>
      </c>
      <c r="FB267" s="44" t="str">
        <f t="shared" si="3673"/>
        <v/>
      </c>
      <c r="FC267" s="44" t="str">
        <f t="shared" si="3674"/>
        <v/>
      </c>
      <c r="FD267" s="44" t="str">
        <f t="shared" si="3675"/>
        <v/>
      </c>
      <c r="FE267" s="44" t="str">
        <f t="shared" si="3676"/>
        <v/>
      </c>
      <c r="FF267" s="44" t="str">
        <f t="shared" si="3677"/>
        <v/>
      </c>
      <c r="FG267" s="44" t="str">
        <f t="shared" si="3678"/>
        <v/>
      </c>
      <c r="FH267" s="44" t="str">
        <f t="shared" si="3679"/>
        <v/>
      </c>
      <c r="FI267" s="44" t="str">
        <f t="shared" si="3680"/>
        <v/>
      </c>
      <c r="FJ267" s="44" t="str">
        <f t="shared" si="3681"/>
        <v/>
      </c>
      <c r="FK267" s="44" t="str">
        <f t="shared" si="3682"/>
        <v/>
      </c>
      <c r="FL267" s="44" t="str">
        <f t="shared" si="3683"/>
        <v/>
      </c>
      <c r="FM267" s="44" t="str">
        <f t="shared" si="3684"/>
        <v/>
      </c>
      <c r="FN267" s="44" t="str">
        <f t="shared" si="3685"/>
        <v/>
      </c>
      <c r="FO267" s="44" t="str">
        <f t="shared" si="3686"/>
        <v/>
      </c>
      <c r="FP267" s="44" t="str">
        <f t="shared" si="3687"/>
        <v/>
      </c>
      <c r="FQ267" s="44" t="str">
        <f t="shared" si="3688"/>
        <v/>
      </c>
      <c r="FR267" s="44" t="str">
        <f t="shared" si="3689"/>
        <v/>
      </c>
      <c r="FS267" s="44" t="str">
        <f t="shared" si="3690"/>
        <v/>
      </c>
    </row>
    <row r="268" s="7" customFormat="1" ht="15" spans="1:175">
      <c r="A268" s="117"/>
      <c r="B268" s="46"/>
      <c r="C268" s="117"/>
      <c r="D268" s="47"/>
      <c r="E268" s="48"/>
      <c r="F268" s="118"/>
      <c r="G268" s="119"/>
      <c r="H268" s="119"/>
      <c r="I268" s="119"/>
      <c r="J268" s="119"/>
      <c r="K268" s="119"/>
      <c r="L268" s="119"/>
      <c r="M268" s="119"/>
      <c r="N268" s="119"/>
      <c r="O268" s="119"/>
      <c r="P268" s="54"/>
      <c r="Q268" s="54"/>
      <c r="R268" s="54"/>
      <c r="S268" s="54"/>
      <c r="T268" s="63"/>
      <c r="U268" s="60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7"/>
      <c r="AS268" s="67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  <c r="CE268" s="61"/>
      <c r="CF268" s="61"/>
      <c r="CG268" s="61"/>
      <c r="CH268" s="61"/>
      <c r="CI268" s="61"/>
      <c r="CJ268" s="61"/>
      <c r="CK268" s="61"/>
      <c r="CL268" s="61"/>
      <c r="CM268" s="61"/>
      <c r="CN268" s="70" t="str">
        <f t="shared" si="3691"/>
        <v>InitUnitState('',,,,,,,,,,)</v>
      </c>
      <c r="CO268" s="70" t="str">
        <f t="shared" si="3692"/>
        <v>InitUnitNormal('',,,,,,,,,,)</v>
      </c>
      <c r="CP268" s="70" t="str">
        <f t="shared" si="3693"/>
        <v>InitUnitMagic('',,,,,,,,,,)</v>
      </c>
      <c r="CQ268" s="70" t="str">
        <f t="shared" si="3694"/>
        <v>InitUnitAdd('',,,,,,,,,,)</v>
      </c>
      <c r="CR268" s="70" t="str">
        <f t="shared" si="3548"/>
        <v>InitEquipData('',,"",,,,,'','','','','','',"")</v>
      </c>
      <c r="CS268" s="70"/>
      <c r="CT268" s="70"/>
      <c r="CU268" s="72" t="str">
        <f t="shared" si="3620"/>
        <v>|n</v>
      </c>
      <c r="CV268" s="6"/>
      <c r="DB268" s="44" t="str">
        <f t="shared" si="3621"/>
        <v/>
      </c>
      <c r="DC268" s="44" t="str">
        <f t="shared" si="3622"/>
        <v/>
      </c>
      <c r="DD268" s="44" t="str">
        <f t="shared" si="3623"/>
        <v/>
      </c>
      <c r="DE268" s="44" t="str">
        <f t="shared" si="3624"/>
        <v/>
      </c>
      <c r="DF268" s="44" t="str">
        <f t="shared" si="3625"/>
        <v/>
      </c>
      <c r="DG268" s="44" t="str">
        <f t="shared" si="3626"/>
        <v/>
      </c>
      <c r="DH268" s="44" t="str">
        <f t="shared" si="3627"/>
        <v/>
      </c>
      <c r="DI268" s="44" t="str">
        <f t="shared" si="3628"/>
        <v/>
      </c>
      <c r="DJ268" s="44" t="str">
        <f t="shared" si="3629"/>
        <v/>
      </c>
      <c r="DK268" s="44" t="str">
        <f t="shared" si="3630"/>
        <v/>
      </c>
      <c r="DL268" s="44" t="str">
        <f t="shared" si="3631"/>
        <v/>
      </c>
      <c r="DM268" s="44" t="str">
        <f t="shared" si="3632"/>
        <v/>
      </c>
      <c r="DN268" s="44" t="str">
        <f t="shared" si="3633"/>
        <v/>
      </c>
      <c r="DO268" s="44" t="str">
        <f t="shared" si="3634"/>
        <v/>
      </c>
      <c r="DP268" s="44" t="str">
        <f t="shared" si="3635"/>
        <v/>
      </c>
      <c r="DQ268" s="44" t="str">
        <f t="shared" si="3636"/>
        <v/>
      </c>
      <c r="DR268" s="44" t="str">
        <f t="shared" si="3637"/>
        <v/>
      </c>
      <c r="DS268" s="44" t="str">
        <f t="shared" si="3638"/>
        <v/>
      </c>
      <c r="DT268" s="44" t="str">
        <f t="shared" si="3639"/>
        <v/>
      </c>
      <c r="DU268" s="44" t="str">
        <f t="shared" si="3640"/>
        <v/>
      </c>
      <c r="DV268" s="44" t="str">
        <f t="shared" si="3641"/>
        <v/>
      </c>
      <c r="DW268" s="44" t="str">
        <f t="shared" si="3642"/>
        <v/>
      </c>
      <c r="DX268" s="44" t="str">
        <f t="shared" si="3643"/>
        <v/>
      </c>
      <c r="DY268" s="44" t="str">
        <f t="shared" si="3644"/>
        <v/>
      </c>
      <c r="DZ268" s="44" t="str">
        <f t="shared" si="3645"/>
        <v/>
      </c>
      <c r="EA268" s="44" t="str">
        <f t="shared" si="3646"/>
        <v/>
      </c>
      <c r="EB268" s="44" t="str">
        <f t="shared" si="3647"/>
        <v/>
      </c>
      <c r="EC268" s="44" t="str">
        <f t="shared" si="3648"/>
        <v/>
      </c>
      <c r="ED268" s="44" t="str">
        <f t="shared" si="3649"/>
        <v/>
      </c>
      <c r="EE268" s="44" t="str">
        <f t="shared" si="3650"/>
        <v/>
      </c>
      <c r="EF268" s="44" t="str">
        <f t="shared" si="3651"/>
        <v/>
      </c>
      <c r="EG268" s="44" t="str">
        <f t="shared" si="3652"/>
        <v/>
      </c>
      <c r="EH268" s="44" t="str">
        <f t="shared" si="3653"/>
        <v/>
      </c>
      <c r="EI268" s="44" t="str">
        <f t="shared" si="3654"/>
        <v/>
      </c>
      <c r="EJ268" s="44" t="str">
        <f t="shared" si="3655"/>
        <v/>
      </c>
      <c r="EK268" s="44" t="str">
        <f t="shared" si="3656"/>
        <v/>
      </c>
      <c r="EL268" s="44" t="str">
        <f t="shared" si="3657"/>
        <v/>
      </c>
      <c r="EM268" s="44" t="str">
        <f t="shared" si="3658"/>
        <v/>
      </c>
      <c r="EN268" s="44" t="str">
        <f t="shared" si="3659"/>
        <v/>
      </c>
      <c r="EO268" s="44" t="str">
        <f t="shared" si="3660"/>
        <v/>
      </c>
      <c r="EP268" s="44" t="str">
        <f t="shared" si="3661"/>
        <v/>
      </c>
      <c r="EQ268" s="44" t="str">
        <f t="shared" si="3662"/>
        <v/>
      </c>
      <c r="ER268" s="44" t="str">
        <f t="shared" si="3663"/>
        <v/>
      </c>
      <c r="ES268" s="44" t="str">
        <f t="shared" si="3664"/>
        <v/>
      </c>
      <c r="ET268" s="44" t="str">
        <f t="shared" si="3665"/>
        <v/>
      </c>
      <c r="EU268" s="44" t="str">
        <f t="shared" si="3666"/>
        <v/>
      </c>
      <c r="EV268" s="44" t="str">
        <f t="shared" si="3667"/>
        <v/>
      </c>
      <c r="EW268" s="44" t="str">
        <f t="shared" si="3668"/>
        <v/>
      </c>
      <c r="EX268" s="44" t="str">
        <f t="shared" si="3669"/>
        <v/>
      </c>
      <c r="EY268" s="44" t="str">
        <f t="shared" si="3670"/>
        <v/>
      </c>
      <c r="EZ268" s="44" t="str">
        <f t="shared" si="3671"/>
        <v/>
      </c>
      <c r="FA268" s="44" t="str">
        <f t="shared" si="3672"/>
        <v/>
      </c>
      <c r="FB268" s="44" t="str">
        <f t="shared" si="3673"/>
        <v/>
      </c>
      <c r="FC268" s="44" t="str">
        <f t="shared" si="3674"/>
        <v/>
      </c>
      <c r="FD268" s="44" t="str">
        <f t="shared" si="3675"/>
        <v/>
      </c>
      <c r="FE268" s="44" t="str">
        <f t="shared" si="3676"/>
        <v/>
      </c>
      <c r="FF268" s="44" t="str">
        <f t="shared" si="3677"/>
        <v/>
      </c>
      <c r="FG268" s="44" t="str">
        <f t="shared" si="3678"/>
        <v/>
      </c>
      <c r="FH268" s="44" t="str">
        <f t="shared" si="3679"/>
        <v/>
      </c>
      <c r="FI268" s="44" t="str">
        <f t="shared" si="3680"/>
        <v/>
      </c>
      <c r="FJ268" s="44" t="str">
        <f t="shared" si="3681"/>
        <v/>
      </c>
      <c r="FK268" s="44" t="str">
        <f t="shared" si="3682"/>
        <v/>
      </c>
      <c r="FL268" s="44" t="str">
        <f t="shared" si="3683"/>
        <v/>
      </c>
      <c r="FM268" s="44" t="str">
        <f t="shared" si="3684"/>
        <v/>
      </c>
      <c r="FN268" s="44" t="str">
        <f t="shared" si="3685"/>
        <v/>
      </c>
      <c r="FO268" s="44" t="str">
        <f t="shared" si="3686"/>
        <v/>
      </c>
      <c r="FP268" s="44" t="str">
        <f t="shared" si="3687"/>
        <v/>
      </c>
      <c r="FQ268" s="44" t="str">
        <f t="shared" si="3688"/>
        <v/>
      </c>
      <c r="FR268" s="44" t="str">
        <f t="shared" si="3689"/>
        <v/>
      </c>
      <c r="FS268" s="44" t="str">
        <f t="shared" si="3690"/>
        <v/>
      </c>
    </row>
    <row r="269" s="7" customFormat="1" ht="15" spans="1:175">
      <c r="A269" s="117"/>
      <c r="B269" s="46"/>
      <c r="C269" s="117"/>
      <c r="D269" s="47"/>
      <c r="E269" s="48"/>
      <c r="F269" s="118"/>
      <c r="G269" s="119"/>
      <c r="H269" s="119"/>
      <c r="I269" s="119"/>
      <c r="J269" s="119"/>
      <c r="K269" s="119"/>
      <c r="L269" s="119"/>
      <c r="M269" s="119"/>
      <c r="N269" s="119"/>
      <c r="O269" s="119"/>
      <c r="P269" s="54"/>
      <c r="Q269" s="54"/>
      <c r="R269" s="54"/>
      <c r="S269" s="54"/>
      <c r="T269" s="63"/>
      <c r="U269" s="60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7"/>
      <c r="AS269" s="67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  <c r="CE269" s="61"/>
      <c r="CF269" s="61"/>
      <c r="CG269" s="61"/>
      <c r="CH269" s="61"/>
      <c r="CI269" s="61"/>
      <c r="CJ269" s="61"/>
      <c r="CK269" s="61"/>
      <c r="CL269" s="61"/>
      <c r="CM269" s="61"/>
      <c r="CN269" s="70" t="str">
        <f t="shared" si="3691"/>
        <v>InitUnitState('',,,,,,,,,,)</v>
      </c>
      <c r="CO269" s="70" t="str">
        <f t="shared" si="3692"/>
        <v>InitUnitNormal('',,,,,,,,,,)</v>
      </c>
      <c r="CP269" s="70" t="str">
        <f t="shared" si="3693"/>
        <v>InitUnitMagic('',,,,,,,,,,)</v>
      </c>
      <c r="CQ269" s="70" t="str">
        <f t="shared" si="3694"/>
        <v>InitUnitAdd('',,,,,,,,,,)</v>
      </c>
      <c r="CR269" s="70" t="str">
        <f t="shared" si="3548"/>
        <v>InitEquipData('',,"",,,,,'','','','','','',"")</v>
      </c>
      <c r="CS269" s="70"/>
      <c r="CT269" s="70"/>
      <c r="CU269" s="72" t="str">
        <f t="shared" si="3620"/>
        <v>|n</v>
      </c>
      <c r="CV269" s="6"/>
      <c r="DB269" s="44" t="str">
        <f t="shared" si="3621"/>
        <v/>
      </c>
      <c r="DC269" s="44" t="str">
        <f t="shared" si="3622"/>
        <v/>
      </c>
      <c r="DD269" s="44" t="str">
        <f t="shared" si="3623"/>
        <v/>
      </c>
      <c r="DE269" s="44" t="str">
        <f t="shared" si="3624"/>
        <v/>
      </c>
      <c r="DF269" s="44" t="str">
        <f t="shared" si="3625"/>
        <v/>
      </c>
      <c r="DG269" s="44" t="str">
        <f t="shared" si="3626"/>
        <v/>
      </c>
      <c r="DH269" s="44" t="str">
        <f t="shared" si="3627"/>
        <v/>
      </c>
      <c r="DI269" s="44" t="str">
        <f t="shared" si="3628"/>
        <v/>
      </c>
      <c r="DJ269" s="44" t="str">
        <f t="shared" si="3629"/>
        <v/>
      </c>
      <c r="DK269" s="44" t="str">
        <f t="shared" si="3630"/>
        <v/>
      </c>
      <c r="DL269" s="44" t="str">
        <f t="shared" si="3631"/>
        <v/>
      </c>
      <c r="DM269" s="44" t="str">
        <f t="shared" si="3632"/>
        <v/>
      </c>
      <c r="DN269" s="44" t="str">
        <f t="shared" si="3633"/>
        <v/>
      </c>
      <c r="DO269" s="44" t="str">
        <f t="shared" si="3634"/>
        <v/>
      </c>
      <c r="DP269" s="44" t="str">
        <f t="shared" si="3635"/>
        <v/>
      </c>
      <c r="DQ269" s="44" t="str">
        <f t="shared" si="3636"/>
        <v/>
      </c>
      <c r="DR269" s="44" t="str">
        <f t="shared" si="3637"/>
        <v/>
      </c>
      <c r="DS269" s="44" t="str">
        <f t="shared" si="3638"/>
        <v/>
      </c>
      <c r="DT269" s="44" t="str">
        <f t="shared" si="3639"/>
        <v/>
      </c>
      <c r="DU269" s="44" t="str">
        <f t="shared" si="3640"/>
        <v/>
      </c>
      <c r="DV269" s="44" t="str">
        <f t="shared" si="3641"/>
        <v/>
      </c>
      <c r="DW269" s="44" t="str">
        <f t="shared" si="3642"/>
        <v/>
      </c>
      <c r="DX269" s="44" t="str">
        <f t="shared" si="3643"/>
        <v/>
      </c>
      <c r="DY269" s="44" t="str">
        <f t="shared" si="3644"/>
        <v/>
      </c>
      <c r="DZ269" s="44" t="str">
        <f t="shared" si="3645"/>
        <v/>
      </c>
      <c r="EA269" s="44" t="str">
        <f t="shared" si="3646"/>
        <v/>
      </c>
      <c r="EB269" s="44" t="str">
        <f t="shared" si="3647"/>
        <v/>
      </c>
      <c r="EC269" s="44" t="str">
        <f t="shared" si="3648"/>
        <v/>
      </c>
      <c r="ED269" s="44" t="str">
        <f t="shared" si="3649"/>
        <v/>
      </c>
      <c r="EE269" s="44" t="str">
        <f t="shared" si="3650"/>
        <v/>
      </c>
      <c r="EF269" s="44" t="str">
        <f t="shared" si="3651"/>
        <v/>
      </c>
      <c r="EG269" s="44" t="str">
        <f t="shared" si="3652"/>
        <v/>
      </c>
      <c r="EH269" s="44" t="str">
        <f t="shared" si="3653"/>
        <v/>
      </c>
      <c r="EI269" s="44" t="str">
        <f t="shared" si="3654"/>
        <v/>
      </c>
      <c r="EJ269" s="44" t="str">
        <f t="shared" si="3655"/>
        <v/>
      </c>
      <c r="EK269" s="44" t="str">
        <f t="shared" si="3656"/>
        <v/>
      </c>
      <c r="EL269" s="44" t="str">
        <f t="shared" si="3657"/>
        <v/>
      </c>
      <c r="EM269" s="44" t="str">
        <f t="shared" si="3658"/>
        <v/>
      </c>
      <c r="EN269" s="44" t="str">
        <f t="shared" si="3659"/>
        <v/>
      </c>
      <c r="EO269" s="44" t="str">
        <f t="shared" si="3660"/>
        <v/>
      </c>
      <c r="EP269" s="44" t="str">
        <f t="shared" si="3661"/>
        <v/>
      </c>
      <c r="EQ269" s="44" t="str">
        <f t="shared" si="3662"/>
        <v/>
      </c>
      <c r="ER269" s="44" t="str">
        <f t="shared" si="3663"/>
        <v/>
      </c>
      <c r="ES269" s="44" t="str">
        <f t="shared" si="3664"/>
        <v/>
      </c>
      <c r="ET269" s="44" t="str">
        <f t="shared" si="3665"/>
        <v/>
      </c>
      <c r="EU269" s="44" t="str">
        <f t="shared" si="3666"/>
        <v/>
      </c>
      <c r="EV269" s="44" t="str">
        <f t="shared" si="3667"/>
        <v/>
      </c>
      <c r="EW269" s="44" t="str">
        <f t="shared" si="3668"/>
        <v/>
      </c>
      <c r="EX269" s="44" t="str">
        <f t="shared" si="3669"/>
        <v/>
      </c>
      <c r="EY269" s="44" t="str">
        <f t="shared" si="3670"/>
        <v/>
      </c>
      <c r="EZ269" s="44" t="str">
        <f t="shared" si="3671"/>
        <v/>
      </c>
      <c r="FA269" s="44" t="str">
        <f t="shared" si="3672"/>
        <v/>
      </c>
      <c r="FB269" s="44" t="str">
        <f t="shared" si="3673"/>
        <v/>
      </c>
      <c r="FC269" s="44" t="str">
        <f t="shared" si="3674"/>
        <v/>
      </c>
      <c r="FD269" s="44" t="str">
        <f t="shared" si="3675"/>
        <v/>
      </c>
      <c r="FE269" s="44" t="str">
        <f t="shared" si="3676"/>
        <v/>
      </c>
      <c r="FF269" s="44" t="str">
        <f t="shared" si="3677"/>
        <v/>
      </c>
      <c r="FG269" s="44" t="str">
        <f t="shared" si="3678"/>
        <v/>
      </c>
      <c r="FH269" s="44" t="str">
        <f t="shared" si="3679"/>
        <v/>
      </c>
      <c r="FI269" s="44" t="str">
        <f t="shared" si="3680"/>
        <v/>
      </c>
      <c r="FJ269" s="44" t="str">
        <f t="shared" si="3681"/>
        <v/>
      </c>
      <c r="FK269" s="44" t="str">
        <f t="shared" si="3682"/>
        <v/>
      </c>
      <c r="FL269" s="44" t="str">
        <f t="shared" si="3683"/>
        <v/>
      </c>
      <c r="FM269" s="44" t="str">
        <f t="shared" si="3684"/>
        <v/>
      </c>
      <c r="FN269" s="44" t="str">
        <f t="shared" si="3685"/>
        <v/>
      </c>
      <c r="FO269" s="44" t="str">
        <f t="shared" si="3686"/>
        <v/>
      </c>
      <c r="FP269" s="44" t="str">
        <f t="shared" si="3687"/>
        <v/>
      </c>
      <c r="FQ269" s="44" t="str">
        <f t="shared" si="3688"/>
        <v/>
      </c>
      <c r="FR269" s="44" t="str">
        <f t="shared" si="3689"/>
        <v/>
      </c>
      <c r="FS269" s="44" t="str">
        <f t="shared" si="3690"/>
        <v/>
      </c>
    </row>
    <row r="270" s="7" customFormat="1" ht="15" spans="1:175">
      <c r="A270" s="117"/>
      <c r="B270" s="46"/>
      <c r="C270" s="117"/>
      <c r="D270" s="47"/>
      <c r="E270" s="48"/>
      <c r="F270" s="118"/>
      <c r="G270" s="119"/>
      <c r="H270" s="119"/>
      <c r="I270" s="119"/>
      <c r="J270" s="119"/>
      <c r="K270" s="119"/>
      <c r="L270" s="119"/>
      <c r="M270" s="119"/>
      <c r="N270" s="119"/>
      <c r="O270" s="119"/>
      <c r="P270" s="54"/>
      <c r="Q270" s="54"/>
      <c r="R270" s="54"/>
      <c r="S270" s="54"/>
      <c r="T270" s="63"/>
      <c r="U270" s="60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7"/>
      <c r="AS270" s="67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  <c r="CE270" s="61"/>
      <c r="CF270" s="61"/>
      <c r="CG270" s="61"/>
      <c r="CH270" s="61"/>
      <c r="CI270" s="61"/>
      <c r="CJ270" s="61"/>
      <c r="CK270" s="61"/>
      <c r="CL270" s="61"/>
      <c r="CM270" s="61"/>
      <c r="CN270" s="70" t="str">
        <f t="shared" si="3691"/>
        <v>InitUnitState('',,,,,,,,,,)</v>
      </c>
      <c r="CO270" s="70" t="str">
        <f t="shared" si="3692"/>
        <v>InitUnitNormal('',,,,,,,,,,)</v>
      </c>
      <c r="CP270" s="70" t="str">
        <f t="shared" si="3693"/>
        <v>InitUnitMagic('',,,,,,,,,,)</v>
      </c>
      <c r="CQ270" s="70" t="str">
        <f t="shared" si="3694"/>
        <v>InitUnitAdd('',,,,,,,,,,)</v>
      </c>
      <c r="CR270" s="70" t="str">
        <f t="shared" si="3548"/>
        <v>InitEquipData('',,"",,,,,'','','','','','',"")</v>
      </c>
      <c r="CS270" s="70"/>
      <c r="CT270" s="70"/>
      <c r="CU270" s="72" t="str">
        <f t="shared" si="3620"/>
        <v>|n</v>
      </c>
      <c r="CV270" s="6"/>
      <c r="DB270" s="44" t="str">
        <f t="shared" si="3621"/>
        <v/>
      </c>
      <c r="DC270" s="44" t="str">
        <f t="shared" si="3622"/>
        <v/>
      </c>
      <c r="DD270" s="44" t="str">
        <f t="shared" si="3623"/>
        <v/>
      </c>
      <c r="DE270" s="44" t="str">
        <f t="shared" si="3624"/>
        <v/>
      </c>
      <c r="DF270" s="44" t="str">
        <f t="shared" si="3625"/>
        <v/>
      </c>
      <c r="DG270" s="44" t="str">
        <f t="shared" si="3626"/>
        <v/>
      </c>
      <c r="DH270" s="44" t="str">
        <f t="shared" si="3627"/>
        <v/>
      </c>
      <c r="DI270" s="44" t="str">
        <f t="shared" si="3628"/>
        <v/>
      </c>
      <c r="DJ270" s="44" t="str">
        <f t="shared" si="3629"/>
        <v/>
      </c>
      <c r="DK270" s="44" t="str">
        <f t="shared" si="3630"/>
        <v/>
      </c>
      <c r="DL270" s="44" t="str">
        <f t="shared" si="3631"/>
        <v/>
      </c>
      <c r="DM270" s="44" t="str">
        <f t="shared" si="3632"/>
        <v/>
      </c>
      <c r="DN270" s="44" t="str">
        <f t="shared" si="3633"/>
        <v/>
      </c>
      <c r="DO270" s="44" t="str">
        <f t="shared" si="3634"/>
        <v/>
      </c>
      <c r="DP270" s="44" t="str">
        <f t="shared" si="3635"/>
        <v/>
      </c>
      <c r="DQ270" s="44" t="str">
        <f t="shared" si="3636"/>
        <v/>
      </c>
      <c r="DR270" s="44" t="str">
        <f t="shared" si="3637"/>
        <v/>
      </c>
      <c r="DS270" s="44" t="str">
        <f t="shared" si="3638"/>
        <v/>
      </c>
      <c r="DT270" s="44" t="str">
        <f t="shared" si="3639"/>
        <v/>
      </c>
      <c r="DU270" s="44" t="str">
        <f t="shared" si="3640"/>
        <v/>
      </c>
      <c r="DV270" s="44" t="str">
        <f t="shared" si="3641"/>
        <v/>
      </c>
      <c r="DW270" s="44" t="str">
        <f t="shared" si="3642"/>
        <v/>
      </c>
      <c r="DX270" s="44" t="str">
        <f t="shared" si="3643"/>
        <v/>
      </c>
      <c r="DY270" s="44" t="str">
        <f t="shared" si="3644"/>
        <v/>
      </c>
      <c r="DZ270" s="44" t="str">
        <f t="shared" si="3645"/>
        <v/>
      </c>
      <c r="EA270" s="44" t="str">
        <f t="shared" si="3646"/>
        <v/>
      </c>
      <c r="EB270" s="44" t="str">
        <f t="shared" si="3647"/>
        <v/>
      </c>
      <c r="EC270" s="44" t="str">
        <f t="shared" si="3648"/>
        <v/>
      </c>
      <c r="ED270" s="44" t="str">
        <f t="shared" si="3649"/>
        <v/>
      </c>
      <c r="EE270" s="44" t="str">
        <f t="shared" si="3650"/>
        <v/>
      </c>
      <c r="EF270" s="44" t="str">
        <f t="shared" si="3651"/>
        <v/>
      </c>
      <c r="EG270" s="44" t="str">
        <f t="shared" si="3652"/>
        <v/>
      </c>
      <c r="EH270" s="44" t="str">
        <f t="shared" si="3653"/>
        <v/>
      </c>
      <c r="EI270" s="44" t="str">
        <f t="shared" si="3654"/>
        <v/>
      </c>
      <c r="EJ270" s="44" t="str">
        <f t="shared" si="3655"/>
        <v/>
      </c>
      <c r="EK270" s="44" t="str">
        <f t="shared" si="3656"/>
        <v/>
      </c>
      <c r="EL270" s="44" t="str">
        <f t="shared" si="3657"/>
        <v/>
      </c>
      <c r="EM270" s="44" t="str">
        <f t="shared" si="3658"/>
        <v/>
      </c>
      <c r="EN270" s="44" t="str">
        <f t="shared" si="3659"/>
        <v/>
      </c>
      <c r="EO270" s="44" t="str">
        <f t="shared" si="3660"/>
        <v/>
      </c>
      <c r="EP270" s="44" t="str">
        <f t="shared" si="3661"/>
        <v/>
      </c>
      <c r="EQ270" s="44" t="str">
        <f t="shared" si="3662"/>
        <v/>
      </c>
      <c r="ER270" s="44" t="str">
        <f t="shared" si="3663"/>
        <v/>
      </c>
      <c r="ES270" s="44" t="str">
        <f t="shared" si="3664"/>
        <v/>
      </c>
      <c r="ET270" s="44" t="str">
        <f t="shared" si="3665"/>
        <v/>
      </c>
      <c r="EU270" s="44" t="str">
        <f t="shared" si="3666"/>
        <v/>
      </c>
      <c r="EV270" s="44" t="str">
        <f t="shared" si="3667"/>
        <v/>
      </c>
      <c r="EW270" s="44" t="str">
        <f t="shared" si="3668"/>
        <v/>
      </c>
      <c r="EX270" s="44" t="str">
        <f t="shared" si="3669"/>
        <v/>
      </c>
      <c r="EY270" s="44" t="str">
        <f t="shared" si="3670"/>
        <v/>
      </c>
      <c r="EZ270" s="44" t="str">
        <f t="shared" si="3671"/>
        <v/>
      </c>
      <c r="FA270" s="44" t="str">
        <f t="shared" si="3672"/>
        <v/>
      </c>
      <c r="FB270" s="44" t="str">
        <f t="shared" si="3673"/>
        <v/>
      </c>
      <c r="FC270" s="44" t="str">
        <f t="shared" si="3674"/>
        <v/>
      </c>
      <c r="FD270" s="44" t="str">
        <f t="shared" si="3675"/>
        <v/>
      </c>
      <c r="FE270" s="44" t="str">
        <f t="shared" si="3676"/>
        <v/>
      </c>
      <c r="FF270" s="44" t="str">
        <f t="shared" si="3677"/>
        <v/>
      </c>
      <c r="FG270" s="44" t="str">
        <f t="shared" si="3678"/>
        <v/>
      </c>
      <c r="FH270" s="44" t="str">
        <f t="shared" si="3679"/>
        <v/>
      </c>
      <c r="FI270" s="44" t="str">
        <f t="shared" si="3680"/>
        <v/>
      </c>
      <c r="FJ270" s="44" t="str">
        <f t="shared" si="3681"/>
        <v/>
      </c>
      <c r="FK270" s="44" t="str">
        <f t="shared" si="3682"/>
        <v/>
      </c>
      <c r="FL270" s="44" t="str">
        <f t="shared" si="3683"/>
        <v/>
      </c>
      <c r="FM270" s="44" t="str">
        <f t="shared" si="3684"/>
        <v/>
      </c>
      <c r="FN270" s="44" t="str">
        <f t="shared" si="3685"/>
        <v/>
      </c>
      <c r="FO270" s="44" t="str">
        <f t="shared" si="3686"/>
        <v/>
      </c>
      <c r="FP270" s="44" t="str">
        <f t="shared" si="3687"/>
        <v/>
      </c>
      <c r="FQ270" s="44" t="str">
        <f t="shared" si="3688"/>
        <v/>
      </c>
      <c r="FR270" s="44" t="str">
        <f t="shared" si="3689"/>
        <v/>
      </c>
      <c r="FS270" s="44" t="str">
        <f t="shared" si="3690"/>
        <v/>
      </c>
    </row>
    <row r="271" ht="15" spans="1:175">
      <c r="A271" s="11"/>
      <c r="B271" s="46"/>
      <c r="C271" s="11"/>
      <c r="E271" s="120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81"/>
      <c r="Q271" s="81"/>
      <c r="R271" s="81"/>
      <c r="S271" s="81"/>
      <c r="T271" s="122"/>
      <c r="U271" s="60"/>
      <c r="CU271" s="72" t="str">
        <f t="shared" si="3620"/>
        <v>|n</v>
      </c>
      <c r="CW271" s="7"/>
      <c r="CX271" s="7"/>
      <c r="CY271" s="7"/>
      <c r="CZ271" s="7"/>
      <c r="DA271" s="7"/>
      <c r="DB271" s="44" t="str">
        <f t="shared" si="3621"/>
        <v/>
      </c>
      <c r="DC271" s="44" t="str">
        <f t="shared" si="3622"/>
        <v/>
      </c>
      <c r="DD271" s="44" t="str">
        <f t="shared" si="3623"/>
        <v/>
      </c>
      <c r="DE271" s="44" t="str">
        <f t="shared" si="3624"/>
        <v/>
      </c>
      <c r="DF271" s="44" t="str">
        <f t="shared" si="3625"/>
        <v/>
      </c>
      <c r="DG271" s="44" t="str">
        <f t="shared" si="3626"/>
        <v/>
      </c>
      <c r="DH271" s="44" t="str">
        <f t="shared" si="3627"/>
        <v/>
      </c>
      <c r="DI271" s="44" t="str">
        <f t="shared" si="3628"/>
        <v/>
      </c>
      <c r="DJ271" s="44" t="str">
        <f t="shared" si="3629"/>
        <v/>
      </c>
      <c r="DK271" s="44" t="str">
        <f t="shared" si="3630"/>
        <v/>
      </c>
      <c r="DL271" s="44" t="str">
        <f t="shared" si="3631"/>
        <v/>
      </c>
      <c r="DM271" s="44" t="str">
        <f t="shared" si="3632"/>
        <v/>
      </c>
      <c r="DN271" s="44" t="str">
        <f t="shared" si="3633"/>
        <v/>
      </c>
      <c r="DO271" s="44" t="str">
        <f t="shared" si="3634"/>
        <v/>
      </c>
      <c r="DP271" s="44" t="str">
        <f t="shared" si="3635"/>
        <v/>
      </c>
      <c r="DQ271" s="44" t="str">
        <f t="shared" si="3636"/>
        <v/>
      </c>
      <c r="DR271" s="44" t="str">
        <f t="shared" si="3637"/>
        <v/>
      </c>
      <c r="DS271" s="44" t="str">
        <f t="shared" si="3638"/>
        <v/>
      </c>
      <c r="DT271" s="44" t="str">
        <f t="shared" si="3639"/>
        <v/>
      </c>
      <c r="DU271" s="44" t="str">
        <f t="shared" si="3640"/>
        <v/>
      </c>
      <c r="DV271" s="44" t="str">
        <f t="shared" si="3641"/>
        <v/>
      </c>
      <c r="DW271" s="44" t="str">
        <f t="shared" si="3642"/>
        <v/>
      </c>
      <c r="DX271" s="44" t="str">
        <f t="shared" si="3643"/>
        <v/>
      </c>
      <c r="DY271" s="44" t="str">
        <f t="shared" si="3644"/>
        <v/>
      </c>
      <c r="DZ271" s="44" t="str">
        <f t="shared" si="3645"/>
        <v/>
      </c>
      <c r="EA271" s="44" t="str">
        <f t="shared" si="3646"/>
        <v/>
      </c>
      <c r="EB271" s="44" t="str">
        <f t="shared" si="3647"/>
        <v/>
      </c>
      <c r="EC271" s="44" t="str">
        <f t="shared" si="3648"/>
        <v/>
      </c>
      <c r="ED271" s="44" t="str">
        <f t="shared" si="3649"/>
        <v/>
      </c>
      <c r="EE271" s="44" t="str">
        <f t="shared" si="3650"/>
        <v/>
      </c>
      <c r="EF271" s="44" t="str">
        <f t="shared" si="3651"/>
        <v/>
      </c>
      <c r="EG271" s="44" t="str">
        <f t="shared" si="3652"/>
        <v/>
      </c>
      <c r="EH271" s="44" t="str">
        <f t="shared" si="3653"/>
        <v/>
      </c>
      <c r="EI271" s="44" t="str">
        <f t="shared" si="3654"/>
        <v/>
      </c>
      <c r="EJ271" s="44" t="str">
        <f t="shared" si="3655"/>
        <v/>
      </c>
      <c r="EK271" s="44" t="str">
        <f t="shared" si="3656"/>
        <v/>
      </c>
      <c r="EL271" s="44" t="str">
        <f t="shared" si="3657"/>
        <v/>
      </c>
      <c r="EM271" s="44" t="str">
        <f t="shared" si="3658"/>
        <v/>
      </c>
      <c r="EN271" s="44" t="str">
        <f t="shared" si="3659"/>
        <v/>
      </c>
      <c r="EO271" s="44" t="str">
        <f t="shared" si="3660"/>
        <v/>
      </c>
      <c r="EP271" s="44" t="str">
        <f t="shared" si="3661"/>
        <v/>
      </c>
      <c r="EQ271" s="44" t="str">
        <f t="shared" si="3662"/>
        <v/>
      </c>
      <c r="ER271" s="44" t="str">
        <f t="shared" si="3663"/>
        <v/>
      </c>
      <c r="ES271" s="44" t="str">
        <f t="shared" si="3664"/>
        <v/>
      </c>
      <c r="ET271" s="44" t="str">
        <f t="shared" si="3665"/>
        <v/>
      </c>
      <c r="EU271" s="44" t="str">
        <f t="shared" si="3666"/>
        <v/>
      </c>
      <c r="EV271" s="44" t="str">
        <f t="shared" si="3667"/>
        <v/>
      </c>
      <c r="EW271" s="44" t="str">
        <f t="shared" si="3668"/>
        <v/>
      </c>
      <c r="EX271" s="44" t="str">
        <f t="shared" si="3669"/>
        <v/>
      </c>
      <c r="EY271" s="44" t="str">
        <f t="shared" si="3670"/>
        <v/>
      </c>
      <c r="EZ271" s="44" t="str">
        <f t="shared" si="3671"/>
        <v/>
      </c>
      <c r="FA271" s="44" t="str">
        <f t="shared" si="3672"/>
        <v/>
      </c>
      <c r="FB271" s="44" t="str">
        <f t="shared" si="3673"/>
        <v/>
      </c>
      <c r="FC271" s="44" t="str">
        <f t="shared" si="3674"/>
        <v/>
      </c>
      <c r="FD271" s="44" t="str">
        <f t="shared" si="3675"/>
        <v/>
      </c>
      <c r="FE271" s="44" t="str">
        <f t="shared" si="3676"/>
        <v/>
      </c>
      <c r="FF271" s="44" t="str">
        <f t="shared" si="3677"/>
        <v/>
      </c>
      <c r="FG271" s="44" t="str">
        <f t="shared" si="3678"/>
        <v/>
      </c>
      <c r="FH271" s="44" t="str">
        <f t="shared" si="3679"/>
        <v/>
      </c>
      <c r="FI271" s="44" t="str">
        <f t="shared" si="3680"/>
        <v/>
      </c>
      <c r="FJ271" s="44" t="str">
        <f t="shared" si="3681"/>
        <v/>
      </c>
      <c r="FK271" s="44" t="str">
        <f t="shared" si="3682"/>
        <v/>
      </c>
      <c r="FL271" s="44" t="str">
        <f t="shared" si="3683"/>
        <v/>
      </c>
      <c r="FM271" s="44" t="str">
        <f t="shared" si="3684"/>
        <v/>
      </c>
      <c r="FN271" s="44" t="str">
        <f t="shared" si="3685"/>
        <v/>
      </c>
      <c r="FO271" s="44" t="str">
        <f t="shared" si="3686"/>
        <v/>
      </c>
      <c r="FP271" s="44" t="str">
        <f t="shared" si="3687"/>
        <v/>
      </c>
      <c r="FQ271" s="44" t="str">
        <f t="shared" si="3688"/>
        <v/>
      </c>
      <c r="FR271" s="44" t="str">
        <f t="shared" si="3689"/>
        <v/>
      </c>
      <c r="FS271" s="44" t="str">
        <f t="shared" si="3690"/>
        <v/>
      </c>
    </row>
    <row r="272" ht="15" spans="1:175">
      <c r="A272" s="11"/>
      <c r="B272" s="46"/>
      <c r="C272" s="11"/>
      <c r="E272" s="120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81"/>
      <c r="Q272" s="81"/>
      <c r="R272" s="81"/>
      <c r="S272" s="81"/>
      <c r="T272" s="122"/>
      <c r="U272" s="60"/>
      <c r="CU272" s="72" t="str">
        <f t="shared" si="3620"/>
        <v>|n</v>
      </c>
      <c r="CW272" s="7"/>
      <c r="CX272" s="7"/>
      <c r="CY272" s="7"/>
      <c r="CZ272" s="7"/>
      <c r="DA272" s="7"/>
      <c r="DB272" s="44" t="str">
        <f t="shared" si="3621"/>
        <v/>
      </c>
      <c r="DC272" s="44" t="str">
        <f t="shared" si="3622"/>
        <v/>
      </c>
      <c r="DD272" s="44" t="str">
        <f t="shared" si="3623"/>
        <v/>
      </c>
      <c r="DE272" s="44" t="str">
        <f t="shared" si="3624"/>
        <v/>
      </c>
      <c r="DF272" s="44" t="str">
        <f t="shared" si="3625"/>
        <v/>
      </c>
      <c r="DG272" s="44" t="str">
        <f t="shared" si="3626"/>
        <v/>
      </c>
      <c r="DH272" s="44" t="str">
        <f t="shared" si="3627"/>
        <v/>
      </c>
      <c r="DI272" s="44" t="str">
        <f t="shared" si="3628"/>
        <v/>
      </c>
      <c r="DJ272" s="44" t="str">
        <f t="shared" si="3629"/>
        <v/>
      </c>
      <c r="DK272" s="44" t="str">
        <f t="shared" si="3630"/>
        <v/>
      </c>
      <c r="DL272" s="44" t="str">
        <f t="shared" si="3631"/>
        <v/>
      </c>
      <c r="DM272" s="44" t="str">
        <f t="shared" si="3632"/>
        <v/>
      </c>
      <c r="DN272" s="44" t="str">
        <f t="shared" si="3633"/>
        <v/>
      </c>
      <c r="DO272" s="44" t="str">
        <f t="shared" si="3634"/>
        <v/>
      </c>
      <c r="DP272" s="44" t="str">
        <f t="shared" si="3635"/>
        <v/>
      </c>
      <c r="DQ272" s="44" t="str">
        <f t="shared" si="3636"/>
        <v/>
      </c>
      <c r="DR272" s="44" t="str">
        <f t="shared" si="3637"/>
        <v/>
      </c>
      <c r="DS272" s="44" t="str">
        <f t="shared" si="3638"/>
        <v/>
      </c>
      <c r="DT272" s="44" t="str">
        <f t="shared" si="3639"/>
        <v/>
      </c>
      <c r="DU272" s="44" t="str">
        <f t="shared" si="3640"/>
        <v/>
      </c>
      <c r="DV272" s="44" t="str">
        <f t="shared" si="3641"/>
        <v/>
      </c>
      <c r="DW272" s="44" t="str">
        <f t="shared" si="3642"/>
        <v/>
      </c>
      <c r="DX272" s="44" t="str">
        <f t="shared" si="3643"/>
        <v/>
      </c>
      <c r="DY272" s="44" t="str">
        <f t="shared" si="3644"/>
        <v/>
      </c>
      <c r="DZ272" s="44" t="str">
        <f t="shared" si="3645"/>
        <v/>
      </c>
      <c r="EA272" s="44" t="str">
        <f t="shared" si="3646"/>
        <v/>
      </c>
      <c r="EB272" s="44" t="str">
        <f t="shared" si="3647"/>
        <v/>
      </c>
      <c r="EC272" s="44" t="str">
        <f t="shared" si="3648"/>
        <v/>
      </c>
      <c r="ED272" s="44" t="str">
        <f t="shared" si="3649"/>
        <v/>
      </c>
      <c r="EE272" s="44" t="str">
        <f t="shared" si="3650"/>
        <v/>
      </c>
      <c r="EF272" s="44" t="str">
        <f t="shared" si="3651"/>
        <v/>
      </c>
      <c r="EG272" s="44" t="str">
        <f t="shared" si="3652"/>
        <v/>
      </c>
      <c r="EH272" s="44" t="str">
        <f t="shared" si="3653"/>
        <v/>
      </c>
      <c r="EI272" s="44" t="str">
        <f t="shared" si="3654"/>
        <v/>
      </c>
      <c r="EJ272" s="44" t="str">
        <f t="shared" si="3655"/>
        <v/>
      </c>
      <c r="EK272" s="44" t="str">
        <f t="shared" si="3656"/>
        <v/>
      </c>
      <c r="EL272" s="44" t="str">
        <f t="shared" si="3657"/>
        <v/>
      </c>
      <c r="EM272" s="44" t="str">
        <f t="shared" si="3658"/>
        <v/>
      </c>
      <c r="EN272" s="44" t="str">
        <f t="shared" si="3659"/>
        <v/>
      </c>
      <c r="EO272" s="44" t="str">
        <f t="shared" si="3660"/>
        <v/>
      </c>
      <c r="EP272" s="44" t="str">
        <f t="shared" si="3661"/>
        <v/>
      </c>
      <c r="EQ272" s="44" t="str">
        <f t="shared" si="3662"/>
        <v/>
      </c>
      <c r="ER272" s="44" t="str">
        <f t="shared" si="3663"/>
        <v/>
      </c>
      <c r="ES272" s="44" t="str">
        <f t="shared" si="3664"/>
        <v/>
      </c>
      <c r="ET272" s="44" t="str">
        <f t="shared" si="3665"/>
        <v/>
      </c>
      <c r="EU272" s="44" t="str">
        <f t="shared" si="3666"/>
        <v/>
      </c>
      <c r="EV272" s="44" t="str">
        <f t="shared" si="3667"/>
        <v/>
      </c>
      <c r="EW272" s="44" t="str">
        <f t="shared" si="3668"/>
        <v/>
      </c>
      <c r="EX272" s="44" t="str">
        <f t="shared" si="3669"/>
        <v/>
      </c>
      <c r="EY272" s="44" t="str">
        <f t="shared" si="3670"/>
        <v/>
      </c>
      <c r="EZ272" s="44" t="str">
        <f t="shared" si="3671"/>
        <v/>
      </c>
      <c r="FA272" s="44" t="str">
        <f t="shared" si="3672"/>
        <v/>
      </c>
      <c r="FB272" s="44" t="str">
        <f t="shared" si="3673"/>
        <v/>
      </c>
      <c r="FC272" s="44" t="str">
        <f t="shared" si="3674"/>
        <v/>
      </c>
      <c r="FD272" s="44" t="str">
        <f t="shared" si="3675"/>
        <v/>
      </c>
      <c r="FE272" s="44" t="str">
        <f t="shared" si="3676"/>
        <v/>
      </c>
      <c r="FF272" s="44" t="str">
        <f t="shared" si="3677"/>
        <v/>
      </c>
      <c r="FG272" s="44" t="str">
        <f t="shared" si="3678"/>
        <v/>
      </c>
      <c r="FH272" s="44" t="str">
        <f t="shared" si="3679"/>
        <v/>
      </c>
      <c r="FI272" s="44" t="str">
        <f t="shared" si="3680"/>
        <v/>
      </c>
      <c r="FJ272" s="44" t="str">
        <f t="shared" si="3681"/>
        <v/>
      </c>
      <c r="FK272" s="44" t="str">
        <f t="shared" si="3682"/>
        <v/>
      </c>
      <c r="FL272" s="44" t="str">
        <f t="shared" si="3683"/>
        <v/>
      </c>
      <c r="FM272" s="44" t="str">
        <f t="shared" si="3684"/>
        <v/>
      </c>
      <c r="FN272" s="44" t="str">
        <f t="shared" si="3685"/>
        <v/>
      </c>
      <c r="FO272" s="44" t="str">
        <f t="shared" si="3686"/>
        <v/>
      </c>
      <c r="FP272" s="44" t="str">
        <f t="shared" si="3687"/>
        <v/>
      </c>
      <c r="FQ272" s="44" t="str">
        <f t="shared" si="3688"/>
        <v/>
      </c>
      <c r="FR272" s="44" t="str">
        <f t="shared" si="3689"/>
        <v/>
      </c>
      <c r="FS272" s="44" t="str">
        <f t="shared" si="3690"/>
        <v/>
      </c>
    </row>
    <row r="273" ht="15" spans="1:175">
      <c r="A273" s="11"/>
      <c r="B273" s="46"/>
      <c r="C273" s="11"/>
      <c r="E273" s="120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81"/>
      <c r="Q273" s="81"/>
      <c r="R273" s="81"/>
      <c r="S273" s="81"/>
      <c r="T273" s="122"/>
      <c r="U273" s="60"/>
      <c r="CU273" s="72" t="str">
        <f t="shared" si="3620"/>
        <v>|n</v>
      </c>
      <c r="CW273" s="7"/>
      <c r="CX273" s="7"/>
      <c r="CY273" s="7"/>
      <c r="CZ273" s="7"/>
      <c r="DA273" s="7"/>
      <c r="DB273" s="44" t="str">
        <f t="shared" si="3621"/>
        <v/>
      </c>
      <c r="DC273" s="44" t="str">
        <f t="shared" si="3622"/>
        <v/>
      </c>
      <c r="DD273" s="44" t="str">
        <f t="shared" si="3623"/>
        <v/>
      </c>
      <c r="DE273" s="44" t="str">
        <f t="shared" si="3624"/>
        <v/>
      </c>
      <c r="DF273" s="44" t="str">
        <f t="shared" si="3625"/>
        <v/>
      </c>
      <c r="DG273" s="44" t="str">
        <f t="shared" si="3626"/>
        <v/>
      </c>
      <c r="DH273" s="44" t="str">
        <f t="shared" si="3627"/>
        <v/>
      </c>
      <c r="DI273" s="44" t="str">
        <f t="shared" si="3628"/>
        <v/>
      </c>
      <c r="DJ273" s="44" t="str">
        <f t="shared" si="3629"/>
        <v/>
      </c>
      <c r="DK273" s="44" t="str">
        <f t="shared" si="3630"/>
        <v/>
      </c>
      <c r="DL273" s="44" t="str">
        <f t="shared" si="3631"/>
        <v/>
      </c>
      <c r="DM273" s="44" t="str">
        <f t="shared" si="3632"/>
        <v/>
      </c>
      <c r="DN273" s="44" t="str">
        <f t="shared" si="3633"/>
        <v/>
      </c>
      <c r="DO273" s="44" t="str">
        <f t="shared" si="3634"/>
        <v/>
      </c>
      <c r="DP273" s="44" t="str">
        <f t="shared" si="3635"/>
        <v/>
      </c>
      <c r="DQ273" s="44" t="str">
        <f t="shared" si="3636"/>
        <v/>
      </c>
      <c r="DR273" s="44" t="str">
        <f t="shared" si="3637"/>
        <v/>
      </c>
      <c r="DS273" s="44" t="str">
        <f t="shared" si="3638"/>
        <v/>
      </c>
      <c r="DT273" s="44" t="str">
        <f t="shared" si="3639"/>
        <v/>
      </c>
      <c r="DU273" s="44" t="str">
        <f t="shared" si="3640"/>
        <v/>
      </c>
      <c r="DV273" s="44" t="str">
        <f t="shared" si="3641"/>
        <v/>
      </c>
      <c r="DW273" s="44" t="str">
        <f t="shared" si="3642"/>
        <v/>
      </c>
      <c r="DX273" s="44" t="str">
        <f t="shared" si="3643"/>
        <v/>
      </c>
      <c r="DY273" s="44" t="str">
        <f t="shared" si="3644"/>
        <v/>
      </c>
      <c r="DZ273" s="44" t="str">
        <f t="shared" si="3645"/>
        <v/>
      </c>
      <c r="EA273" s="44" t="str">
        <f t="shared" si="3646"/>
        <v/>
      </c>
      <c r="EB273" s="44" t="str">
        <f t="shared" si="3647"/>
        <v/>
      </c>
      <c r="EC273" s="44" t="str">
        <f t="shared" si="3648"/>
        <v/>
      </c>
      <c r="ED273" s="44" t="str">
        <f t="shared" si="3649"/>
        <v/>
      </c>
      <c r="EE273" s="44" t="str">
        <f t="shared" si="3650"/>
        <v/>
      </c>
      <c r="EF273" s="44" t="str">
        <f t="shared" si="3651"/>
        <v/>
      </c>
      <c r="EG273" s="44" t="str">
        <f t="shared" si="3652"/>
        <v/>
      </c>
      <c r="EH273" s="44" t="str">
        <f t="shared" si="3653"/>
        <v/>
      </c>
      <c r="EI273" s="44" t="str">
        <f t="shared" si="3654"/>
        <v/>
      </c>
      <c r="EJ273" s="44" t="str">
        <f t="shared" si="3655"/>
        <v/>
      </c>
      <c r="EK273" s="44" t="str">
        <f t="shared" si="3656"/>
        <v/>
      </c>
      <c r="EL273" s="44" t="str">
        <f t="shared" si="3657"/>
        <v/>
      </c>
      <c r="EM273" s="44" t="str">
        <f t="shared" si="3658"/>
        <v/>
      </c>
      <c r="EN273" s="44" t="str">
        <f t="shared" si="3659"/>
        <v/>
      </c>
      <c r="EO273" s="44" t="str">
        <f t="shared" si="3660"/>
        <v/>
      </c>
      <c r="EP273" s="44" t="str">
        <f t="shared" si="3661"/>
        <v/>
      </c>
      <c r="EQ273" s="44" t="str">
        <f t="shared" si="3662"/>
        <v/>
      </c>
      <c r="ER273" s="44" t="str">
        <f t="shared" si="3663"/>
        <v/>
      </c>
      <c r="ES273" s="44" t="str">
        <f t="shared" si="3664"/>
        <v/>
      </c>
      <c r="ET273" s="44" t="str">
        <f t="shared" si="3665"/>
        <v/>
      </c>
      <c r="EU273" s="44" t="str">
        <f t="shared" si="3666"/>
        <v/>
      </c>
      <c r="EV273" s="44" t="str">
        <f t="shared" si="3667"/>
        <v/>
      </c>
      <c r="EW273" s="44" t="str">
        <f t="shared" si="3668"/>
        <v/>
      </c>
      <c r="EX273" s="44" t="str">
        <f t="shared" si="3669"/>
        <v/>
      </c>
      <c r="EY273" s="44" t="str">
        <f t="shared" si="3670"/>
        <v/>
      </c>
      <c r="EZ273" s="44" t="str">
        <f t="shared" si="3671"/>
        <v/>
      </c>
      <c r="FA273" s="44" t="str">
        <f t="shared" si="3672"/>
        <v/>
      </c>
      <c r="FB273" s="44" t="str">
        <f t="shared" si="3673"/>
        <v/>
      </c>
      <c r="FC273" s="44" t="str">
        <f t="shared" si="3674"/>
        <v/>
      </c>
      <c r="FD273" s="44" t="str">
        <f t="shared" si="3675"/>
        <v/>
      </c>
      <c r="FE273" s="44" t="str">
        <f t="shared" si="3676"/>
        <v/>
      </c>
      <c r="FF273" s="44" t="str">
        <f t="shared" si="3677"/>
        <v/>
      </c>
      <c r="FG273" s="44" t="str">
        <f t="shared" si="3678"/>
        <v/>
      </c>
      <c r="FH273" s="44" t="str">
        <f t="shared" si="3679"/>
        <v/>
      </c>
      <c r="FI273" s="44" t="str">
        <f t="shared" si="3680"/>
        <v/>
      </c>
      <c r="FJ273" s="44" t="str">
        <f t="shared" si="3681"/>
        <v/>
      </c>
      <c r="FK273" s="44" t="str">
        <f t="shared" si="3682"/>
        <v/>
      </c>
      <c r="FL273" s="44" t="str">
        <f t="shared" si="3683"/>
        <v/>
      </c>
      <c r="FM273" s="44" t="str">
        <f t="shared" si="3684"/>
        <v/>
      </c>
      <c r="FN273" s="44" t="str">
        <f t="shared" si="3685"/>
        <v/>
      </c>
      <c r="FO273" s="44" t="str">
        <f t="shared" si="3686"/>
        <v/>
      </c>
      <c r="FP273" s="44" t="str">
        <f t="shared" si="3687"/>
        <v/>
      </c>
      <c r="FQ273" s="44" t="str">
        <f t="shared" si="3688"/>
        <v/>
      </c>
      <c r="FR273" s="44" t="str">
        <f t="shared" si="3689"/>
        <v/>
      </c>
      <c r="FS273" s="44" t="str">
        <f t="shared" si="3690"/>
        <v/>
      </c>
    </row>
    <row r="274" ht="15" spans="1:175">
      <c r="A274" s="11"/>
      <c r="B274" s="46"/>
      <c r="C274" s="11"/>
      <c r="E274" s="120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81"/>
      <c r="Q274" s="81"/>
      <c r="R274" s="81"/>
      <c r="S274" s="81"/>
      <c r="T274" s="122"/>
      <c r="U274" s="60"/>
      <c r="CU274" s="72" t="str">
        <f t="shared" si="3620"/>
        <v>|n</v>
      </c>
      <c r="CW274" s="7"/>
      <c r="CX274" s="7"/>
      <c r="CY274" s="7"/>
      <c r="CZ274" s="7"/>
      <c r="DA274" s="7"/>
      <c r="DB274" s="44" t="str">
        <f t="shared" si="3621"/>
        <v/>
      </c>
      <c r="DC274" s="44" t="str">
        <f t="shared" si="3622"/>
        <v/>
      </c>
      <c r="DD274" s="44" t="str">
        <f t="shared" si="3623"/>
        <v/>
      </c>
      <c r="DE274" s="44" t="str">
        <f t="shared" si="3624"/>
        <v/>
      </c>
      <c r="DF274" s="44" t="str">
        <f t="shared" si="3625"/>
        <v/>
      </c>
      <c r="DG274" s="44" t="str">
        <f t="shared" si="3626"/>
        <v/>
      </c>
      <c r="DH274" s="44" t="str">
        <f t="shared" si="3627"/>
        <v/>
      </c>
      <c r="DI274" s="44" t="str">
        <f t="shared" si="3628"/>
        <v/>
      </c>
      <c r="DJ274" s="44" t="str">
        <f t="shared" si="3629"/>
        <v/>
      </c>
      <c r="DK274" s="44" t="str">
        <f t="shared" si="3630"/>
        <v/>
      </c>
      <c r="DL274" s="44" t="str">
        <f t="shared" si="3631"/>
        <v/>
      </c>
      <c r="DM274" s="44" t="str">
        <f t="shared" si="3632"/>
        <v/>
      </c>
      <c r="DN274" s="44" t="str">
        <f t="shared" si="3633"/>
        <v/>
      </c>
      <c r="DO274" s="44" t="str">
        <f t="shared" si="3634"/>
        <v/>
      </c>
      <c r="DP274" s="44" t="str">
        <f t="shared" si="3635"/>
        <v/>
      </c>
      <c r="DQ274" s="44" t="str">
        <f t="shared" si="3636"/>
        <v/>
      </c>
      <c r="DR274" s="44" t="str">
        <f t="shared" si="3637"/>
        <v/>
      </c>
      <c r="DS274" s="44" t="str">
        <f t="shared" si="3638"/>
        <v/>
      </c>
      <c r="DT274" s="44" t="str">
        <f t="shared" si="3639"/>
        <v/>
      </c>
      <c r="DU274" s="44" t="str">
        <f t="shared" si="3640"/>
        <v/>
      </c>
      <c r="DV274" s="44" t="str">
        <f t="shared" si="3641"/>
        <v/>
      </c>
      <c r="DW274" s="44" t="str">
        <f t="shared" si="3642"/>
        <v/>
      </c>
      <c r="DX274" s="44" t="str">
        <f t="shared" si="3643"/>
        <v/>
      </c>
      <c r="DY274" s="44" t="str">
        <f t="shared" si="3644"/>
        <v/>
      </c>
      <c r="DZ274" s="44" t="str">
        <f t="shared" si="3645"/>
        <v/>
      </c>
      <c r="EA274" s="44" t="str">
        <f t="shared" si="3646"/>
        <v/>
      </c>
      <c r="EB274" s="44" t="str">
        <f t="shared" si="3647"/>
        <v/>
      </c>
      <c r="EC274" s="44" t="str">
        <f t="shared" si="3648"/>
        <v/>
      </c>
      <c r="ED274" s="44" t="str">
        <f t="shared" si="3649"/>
        <v/>
      </c>
      <c r="EE274" s="44" t="str">
        <f t="shared" si="3650"/>
        <v/>
      </c>
      <c r="EF274" s="44" t="str">
        <f t="shared" si="3651"/>
        <v/>
      </c>
      <c r="EG274" s="44" t="str">
        <f t="shared" si="3652"/>
        <v/>
      </c>
      <c r="EH274" s="44" t="str">
        <f t="shared" si="3653"/>
        <v/>
      </c>
      <c r="EI274" s="44" t="str">
        <f t="shared" si="3654"/>
        <v/>
      </c>
      <c r="EJ274" s="44" t="str">
        <f t="shared" si="3655"/>
        <v/>
      </c>
      <c r="EK274" s="44" t="str">
        <f t="shared" si="3656"/>
        <v/>
      </c>
      <c r="EL274" s="44" t="str">
        <f t="shared" si="3657"/>
        <v/>
      </c>
      <c r="EM274" s="44" t="str">
        <f t="shared" si="3658"/>
        <v/>
      </c>
      <c r="EN274" s="44" t="str">
        <f t="shared" si="3659"/>
        <v/>
      </c>
      <c r="EO274" s="44" t="str">
        <f t="shared" si="3660"/>
        <v/>
      </c>
      <c r="EP274" s="44" t="str">
        <f t="shared" si="3661"/>
        <v/>
      </c>
      <c r="EQ274" s="44" t="str">
        <f t="shared" si="3662"/>
        <v/>
      </c>
      <c r="ER274" s="44" t="str">
        <f t="shared" si="3663"/>
        <v/>
      </c>
      <c r="ES274" s="44" t="str">
        <f t="shared" si="3664"/>
        <v/>
      </c>
      <c r="ET274" s="44" t="str">
        <f t="shared" si="3665"/>
        <v/>
      </c>
      <c r="EU274" s="44" t="str">
        <f t="shared" si="3666"/>
        <v/>
      </c>
      <c r="EV274" s="44" t="str">
        <f t="shared" si="3667"/>
        <v/>
      </c>
      <c r="EW274" s="44" t="str">
        <f t="shared" si="3668"/>
        <v/>
      </c>
      <c r="EX274" s="44" t="str">
        <f t="shared" si="3669"/>
        <v/>
      </c>
      <c r="EY274" s="44" t="str">
        <f t="shared" si="3670"/>
        <v/>
      </c>
      <c r="EZ274" s="44" t="str">
        <f t="shared" si="3671"/>
        <v/>
      </c>
      <c r="FA274" s="44" t="str">
        <f t="shared" si="3672"/>
        <v/>
      </c>
      <c r="FB274" s="44" t="str">
        <f t="shared" si="3673"/>
        <v/>
      </c>
      <c r="FC274" s="44" t="str">
        <f t="shared" si="3674"/>
        <v/>
      </c>
      <c r="FD274" s="44" t="str">
        <f t="shared" si="3675"/>
        <v/>
      </c>
      <c r="FE274" s="44" t="str">
        <f t="shared" si="3676"/>
        <v/>
      </c>
      <c r="FF274" s="44" t="str">
        <f t="shared" si="3677"/>
        <v/>
      </c>
      <c r="FG274" s="44" t="str">
        <f t="shared" si="3678"/>
        <v/>
      </c>
      <c r="FH274" s="44" t="str">
        <f t="shared" si="3679"/>
        <v/>
      </c>
      <c r="FI274" s="44" t="str">
        <f t="shared" si="3680"/>
        <v/>
      </c>
      <c r="FJ274" s="44" t="str">
        <f t="shared" si="3681"/>
        <v/>
      </c>
      <c r="FK274" s="44" t="str">
        <f t="shared" si="3682"/>
        <v/>
      </c>
      <c r="FL274" s="44" t="str">
        <f t="shared" si="3683"/>
        <v/>
      </c>
      <c r="FM274" s="44" t="str">
        <f t="shared" si="3684"/>
        <v/>
      </c>
      <c r="FN274" s="44" t="str">
        <f t="shared" si="3685"/>
        <v/>
      </c>
      <c r="FO274" s="44" t="str">
        <f t="shared" si="3686"/>
        <v/>
      </c>
      <c r="FP274" s="44" t="str">
        <f t="shared" si="3687"/>
        <v/>
      </c>
      <c r="FQ274" s="44" t="str">
        <f t="shared" si="3688"/>
        <v/>
      </c>
      <c r="FR274" s="44" t="str">
        <f t="shared" si="3689"/>
        <v/>
      </c>
      <c r="FS274" s="44" t="str">
        <f t="shared" si="3690"/>
        <v/>
      </c>
    </row>
    <row r="275" ht="15" spans="1:175">
      <c r="A275" s="11"/>
      <c r="B275" s="46"/>
      <c r="C275" s="11"/>
      <c r="E275" s="120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81"/>
      <c r="Q275" s="81"/>
      <c r="R275" s="81"/>
      <c r="S275" s="81"/>
      <c r="T275" s="122"/>
      <c r="U275" s="60"/>
      <c r="CU275" s="72" t="str">
        <f t="shared" si="3620"/>
        <v>|n</v>
      </c>
      <c r="CW275" s="7"/>
      <c r="CX275" s="7"/>
      <c r="CY275" s="7"/>
      <c r="CZ275" s="7"/>
      <c r="DA275" s="7"/>
      <c r="DB275" s="44" t="str">
        <f t="shared" si="3621"/>
        <v/>
      </c>
      <c r="DC275" s="44" t="str">
        <f t="shared" si="3622"/>
        <v/>
      </c>
      <c r="DD275" s="44" t="str">
        <f t="shared" si="3623"/>
        <v/>
      </c>
      <c r="DE275" s="44" t="str">
        <f t="shared" si="3624"/>
        <v/>
      </c>
      <c r="DF275" s="44" t="str">
        <f t="shared" si="3625"/>
        <v/>
      </c>
      <c r="DG275" s="44" t="str">
        <f t="shared" si="3626"/>
        <v/>
      </c>
      <c r="DH275" s="44" t="str">
        <f t="shared" si="3627"/>
        <v/>
      </c>
      <c r="DI275" s="44" t="str">
        <f t="shared" si="3628"/>
        <v/>
      </c>
      <c r="DJ275" s="44" t="str">
        <f t="shared" si="3629"/>
        <v/>
      </c>
      <c r="DK275" s="44" t="str">
        <f t="shared" si="3630"/>
        <v/>
      </c>
      <c r="DL275" s="44" t="str">
        <f t="shared" si="3631"/>
        <v/>
      </c>
      <c r="DM275" s="44" t="str">
        <f t="shared" si="3632"/>
        <v/>
      </c>
      <c r="DN275" s="44" t="str">
        <f t="shared" si="3633"/>
        <v/>
      </c>
      <c r="DO275" s="44" t="str">
        <f t="shared" si="3634"/>
        <v/>
      </c>
      <c r="DP275" s="44" t="str">
        <f t="shared" si="3635"/>
        <v/>
      </c>
      <c r="DQ275" s="44" t="str">
        <f t="shared" si="3636"/>
        <v/>
      </c>
      <c r="DR275" s="44" t="str">
        <f t="shared" si="3637"/>
        <v/>
      </c>
      <c r="DS275" s="44" t="str">
        <f t="shared" si="3638"/>
        <v/>
      </c>
      <c r="DT275" s="44" t="str">
        <f t="shared" si="3639"/>
        <v/>
      </c>
      <c r="DU275" s="44" t="str">
        <f t="shared" si="3640"/>
        <v/>
      </c>
      <c r="DV275" s="44" t="str">
        <f t="shared" si="3641"/>
        <v/>
      </c>
      <c r="DW275" s="44" t="str">
        <f t="shared" si="3642"/>
        <v/>
      </c>
      <c r="DX275" s="44" t="str">
        <f t="shared" si="3643"/>
        <v/>
      </c>
      <c r="DY275" s="44" t="str">
        <f t="shared" si="3644"/>
        <v/>
      </c>
      <c r="DZ275" s="44" t="str">
        <f t="shared" si="3645"/>
        <v/>
      </c>
      <c r="EA275" s="44" t="str">
        <f t="shared" si="3646"/>
        <v/>
      </c>
      <c r="EB275" s="44" t="str">
        <f t="shared" si="3647"/>
        <v/>
      </c>
      <c r="EC275" s="44" t="str">
        <f t="shared" si="3648"/>
        <v/>
      </c>
      <c r="ED275" s="44" t="str">
        <f t="shared" si="3649"/>
        <v/>
      </c>
      <c r="EE275" s="44" t="str">
        <f t="shared" si="3650"/>
        <v/>
      </c>
      <c r="EF275" s="44" t="str">
        <f t="shared" si="3651"/>
        <v/>
      </c>
      <c r="EG275" s="44" t="str">
        <f t="shared" si="3652"/>
        <v/>
      </c>
      <c r="EH275" s="44" t="str">
        <f t="shared" si="3653"/>
        <v/>
      </c>
      <c r="EI275" s="44" t="str">
        <f t="shared" si="3654"/>
        <v/>
      </c>
      <c r="EJ275" s="44" t="str">
        <f t="shared" si="3655"/>
        <v/>
      </c>
      <c r="EK275" s="44" t="str">
        <f t="shared" si="3656"/>
        <v/>
      </c>
      <c r="EL275" s="44" t="str">
        <f t="shared" si="3657"/>
        <v/>
      </c>
      <c r="EM275" s="44" t="str">
        <f t="shared" si="3658"/>
        <v/>
      </c>
      <c r="EN275" s="44" t="str">
        <f t="shared" si="3659"/>
        <v/>
      </c>
      <c r="EO275" s="44" t="str">
        <f t="shared" si="3660"/>
        <v/>
      </c>
      <c r="EP275" s="44" t="str">
        <f t="shared" si="3661"/>
        <v/>
      </c>
      <c r="EQ275" s="44" t="str">
        <f t="shared" si="3662"/>
        <v/>
      </c>
      <c r="ER275" s="44" t="str">
        <f t="shared" si="3663"/>
        <v/>
      </c>
      <c r="ES275" s="44" t="str">
        <f t="shared" si="3664"/>
        <v/>
      </c>
      <c r="ET275" s="44" t="str">
        <f t="shared" si="3665"/>
        <v/>
      </c>
      <c r="EU275" s="44" t="str">
        <f t="shared" si="3666"/>
        <v/>
      </c>
      <c r="EV275" s="44" t="str">
        <f t="shared" si="3667"/>
        <v/>
      </c>
      <c r="EW275" s="44" t="str">
        <f t="shared" si="3668"/>
        <v/>
      </c>
      <c r="EX275" s="44" t="str">
        <f t="shared" si="3669"/>
        <v/>
      </c>
      <c r="EY275" s="44" t="str">
        <f t="shared" si="3670"/>
        <v/>
      </c>
      <c r="EZ275" s="44" t="str">
        <f t="shared" si="3671"/>
        <v/>
      </c>
      <c r="FA275" s="44" t="str">
        <f t="shared" si="3672"/>
        <v/>
      </c>
      <c r="FB275" s="44" t="str">
        <f t="shared" si="3673"/>
        <v/>
      </c>
      <c r="FC275" s="44" t="str">
        <f t="shared" si="3674"/>
        <v/>
      </c>
      <c r="FD275" s="44" t="str">
        <f t="shared" si="3675"/>
        <v/>
      </c>
      <c r="FE275" s="44" t="str">
        <f t="shared" si="3676"/>
        <v/>
      </c>
      <c r="FF275" s="44" t="str">
        <f t="shared" si="3677"/>
        <v/>
      </c>
      <c r="FG275" s="44" t="str">
        <f t="shared" si="3678"/>
        <v/>
      </c>
      <c r="FH275" s="44" t="str">
        <f t="shared" si="3679"/>
        <v/>
      </c>
      <c r="FI275" s="44" t="str">
        <f t="shared" si="3680"/>
        <v/>
      </c>
      <c r="FJ275" s="44" t="str">
        <f t="shared" si="3681"/>
        <v/>
      </c>
      <c r="FK275" s="44" t="str">
        <f t="shared" si="3682"/>
        <v/>
      </c>
      <c r="FL275" s="44" t="str">
        <f t="shared" si="3683"/>
        <v/>
      </c>
      <c r="FM275" s="44" t="str">
        <f t="shared" si="3684"/>
        <v/>
      </c>
      <c r="FN275" s="44" t="str">
        <f t="shared" si="3685"/>
        <v/>
      </c>
      <c r="FO275" s="44" t="str">
        <f t="shared" si="3686"/>
        <v/>
      </c>
      <c r="FP275" s="44" t="str">
        <f t="shared" si="3687"/>
        <v/>
      </c>
      <c r="FQ275" s="44" t="str">
        <f t="shared" si="3688"/>
        <v/>
      </c>
      <c r="FR275" s="44" t="str">
        <f t="shared" si="3689"/>
        <v/>
      </c>
      <c r="FS275" s="44" t="str">
        <f t="shared" si="3690"/>
        <v/>
      </c>
    </row>
    <row r="276" ht="15" spans="1:175">
      <c r="A276" s="11"/>
      <c r="B276" s="46"/>
      <c r="C276" s="11"/>
      <c r="E276" s="120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81"/>
      <c r="Q276" s="81"/>
      <c r="R276" s="81"/>
      <c r="S276" s="81"/>
      <c r="T276" s="122"/>
      <c r="U276" s="60"/>
      <c r="CU276" s="72" t="str">
        <f t="shared" si="3620"/>
        <v>|n</v>
      </c>
      <c r="CW276" s="7"/>
      <c r="CX276" s="7"/>
      <c r="CY276" s="7"/>
      <c r="CZ276" s="7"/>
      <c r="DA276" s="7"/>
      <c r="DB276" s="44" t="str">
        <f t="shared" si="3621"/>
        <v/>
      </c>
      <c r="DC276" s="44" t="str">
        <f t="shared" si="3622"/>
        <v/>
      </c>
      <c r="DD276" s="44" t="str">
        <f t="shared" si="3623"/>
        <v/>
      </c>
      <c r="DE276" s="44" t="str">
        <f t="shared" si="3624"/>
        <v/>
      </c>
      <c r="DF276" s="44" t="str">
        <f t="shared" si="3625"/>
        <v/>
      </c>
      <c r="DG276" s="44" t="str">
        <f t="shared" si="3626"/>
        <v/>
      </c>
      <c r="DH276" s="44" t="str">
        <f t="shared" si="3627"/>
        <v/>
      </c>
      <c r="DI276" s="44" t="str">
        <f t="shared" si="3628"/>
        <v/>
      </c>
      <c r="DJ276" s="44" t="str">
        <f t="shared" si="3629"/>
        <v/>
      </c>
      <c r="DK276" s="44" t="str">
        <f t="shared" si="3630"/>
        <v/>
      </c>
      <c r="DL276" s="44" t="str">
        <f t="shared" si="3631"/>
        <v/>
      </c>
      <c r="DM276" s="44" t="str">
        <f t="shared" si="3632"/>
        <v/>
      </c>
      <c r="DN276" s="44" t="str">
        <f t="shared" si="3633"/>
        <v/>
      </c>
      <c r="DO276" s="44" t="str">
        <f t="shared" si="3634"/>
        <v/>
      </c>
      <c r="DP276" s="44" t="str">
        <f t="shared" si="3635"/>
        <v/>
      </c>
      <c r="DQ276" s="44" t="str">
        <f t="shared" si="3636"/>
        <v/>
      </c>
      <c r="DR276" s="44" t="str">
        <f t="shared" si="3637"/>
        <v/>
      </c>
      <c r="DS276" s="44" t="str">
        <f t="shared" si="3638"/>
        <v/>
      </c>
      <c r="DT276" s="44" t="str">
        <f t="shared" si="3639"/>
        <v/>
      </c>
      <c r="DU276" s="44" t="str">
        <f t="shared" si="3640"/>
        <v/>
      </c>
      <c r="DV276" s="44" t="str">
        <f t="shared" si="3641"/>
        <v/>
      </c>
      <c r="DW276" s="44" t="str">
        <f t="shared" si="3642"/>
        <v/>
      </c>
      <c r="DX276" s="44" t="str">
        <f t="shared" si="3643"/>
        <v/>
      </c>
      <c r="DY276" s="44" t="str">
        <f t="shared" si="3644"/>
        <v/>
      </c>
      <c r="DZ276" s="44" t="str">
        <f t="shared" si="3645"/>
        <v/>
      </c>
      <c r="EA276" s="44" t="str">
        <f t="shared" si="3646"/>
        <v/>
      </c>
      <c r="EB276" s="44" t="str">
        <f t="shared" si="3647"/>
        <v/>
      </c>
      <c r="EC276" s="44" t="str">
        <f t="shared" si="3648"/>
        <v/>
      </c>
      <c r="ED276" s="44" t="str">
        <f t="shared" si="3649"/>
        <v/>
      </c>
      <c r="EE276" s="44" t="str">
        <f t="shared" si="3650"/>
        <v/>
      </c>
      <c r="EF276" s="44" t="str">
        <f t="shared" si="3651"/>
        <v/>
      </c>
      <c r="EG276" s="44" t="str">
        <f t="shared" si="3652"/>
        <v/>
      </c>
      <c r="EH276" s="44" t="str">
        <f t="shared" si="3653"/>
        <v/>
      </c>
      <c r="EI276" s="44" t="str">
        <f t="shared" si="3654"/>
        <v/>
      </c>
      <c r="EJ276" s="44" t="str">
        <f t="shared" si="3655"/>
        <v/>
      </c>
      <c r="EK276" s="44" t="str">
        <f t="shared" si="3656"/>
        <v/>
      </c>
      <c r="EL276" s="44" t="str">
        <f t="shared" si="3657"/>
        <v/>
      </c>
      <c r="EM276" s="44" t="str">
        <f t="shared" si="3658"/>
        <v/>
      </c>
      <c r="EN276" s="44" t="str">
        <f t="shared" si="3659"/>
        <v/>
      </c>
      <c r="EO276" s="44" t="str">
        <f t="shared" si="3660"/>
        <v/>
      </c>
      <c r="EP276" s="44" t="str">
        <f t="shared" si="3661"/>
        <v/>
      </c>
      <c r="EQ276" s="44" t="str">
        <f t="shared" si="3662"/>
        <v/>
      </c>
      <c r="ER276" s="44" t="str">
        <f t="shared" si="3663"/>
        <v/>
      </c>
      <c r="ES276" s="44" t="str">
        <f t="shared" si="3664"/>
        <v/>
      </c>
      <c r="ET276" s="44" t="str">
        <f t="shared" si="3665"/>
        <v/>
      </c>
      <c r="EU276" s="44" t="str">
        <f t="shared" si="3666"/>
        <v/>
      </c>
      <c r="EV276" s="44" t="str">
        <f t="shared" si="3667"/>
        <v/>
      </c>
      <c r="EW276" s="44" t="str">
        <f t="shared" si="3668"/>
        <v/>
      </c>
      <c r="EX276" s="44" t="str">
        <f t="shared" si="3669"/>
        <v/>
      </c>
      <c r="EY276" s="44" t="str">
        <f t="shared" si="3670"/>
        <v/>
      </c>
      <c r="EZ276" s="44" t="str">
        <f t="shared" si="3671"/>
        <v/>
      </c>
      <c r="FA276" s="44" t="str">
        <f t="shared" si="3672"/>
        <v/>
      </c>
      <c r="FB276" s="44" t="str">
        <f t="shared" si="3673"/>
        <v/>
      </c>
      <c r="FC276" s="44" t="str">
        <f t="shared" si="3674"/>
        <v/>
      </c>
      <c r="FD276" s="44" t="str">
        <f t="shared" si="3675"/>
        <v/>
      </c>
      <c r="FE276" s="44" t="str">
        <f t="shared" si="3676"/>
        <v/>
      </c>
      <c r="FF276" s="44" t="str">
        <f t="shared" si="3677"/>
        <v/>
      </c>
      <c r="FG276" s="44" t="str">
        <f t="shared" si="3678"/>
        <v/>
      </c>
      <c r="FH276" s="44" t="str">
        <f t="shared" si="3679"/>
        <v/>
      </c>
      <c r="FI276" s="44" t="str">
        <f t="shared" si="3680"/>
        <v/>
      </c>
      <c r="FJ276" s="44" t="str">
        <f t="shared" si="3681"/>
        <v/>
      </c>
      <c r="FK276" s="44" t="str">
        <f t="shared" si="3682"/>
        <v/>
      </c>
      <c r="FL276" s="44" t="str">
        <f t="shared" si="3683"/>
        <v/>
      </c>
      <c r="FM276" s="44" t="str">
        <f t="shared" si="3684"/>
        <v/>
      </c>
      <c r="FN276" s="44" t="str">
        <f t="shared" si="3685"/>
        <v/>
      </c>
      <c r="FO276" s="44" t="str">
        <f t="shared" si="3686"/>
        <v/>
      </c>
      <c r="FP276" s="44" t="str">
        <f t="shared" si="3687"/>
        <v/>
      </c>
      <c r="FQ276" s="44" t="str">
        <f t="shared" si="3688"/>
        <v/>
      </c>
      <c r="FR276" s="44" t="str">
        <f t="shared" si="3689"/>
        <v/>
      </c>
      <c r="FS276" s="44" t="str">
        <f t="shared" si="3690"/>
        <v/>
      </c>
    </row>
    <row r="277" ht="15" spans="1:175">
      <c r="A277" s="11"/>
      <c r="B277" s="46"/>
      <c r="C277" s="11"/>
      <c r="E277" s="120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81"/>
      <c r="Q277" s="81"/>
      <c r="R277" s="81"/>
      <c r="S277" s="81"/>
      <c r="T277" s="122"/>
      <c r="U277" s="60"/>
      <c r="CU277" s="72" t="str">
        <f t="shared" si="3620"/>
        <v>|n</v>
      </c>
      <c r="CW277" s="7"/>
      <c r="CX277" s="7"/>
      <c r="CY277" s="7"/>
      <c r="CZ277" s="7"/>
      <c r="DA277" s="7"/>
      <c r="DB277" s="44" t="str">
        <f t="shared" si="3621"/>
        <v/>
      </c>
      <c r="DC277" s="44" t="str">
        <f t="shared" si="3622"/>
        <v/>
      </c>
      <c r="DD277" s="44" t="str">
        <f t="shared" si="3623"/>
        <v/>
      </c>
      <c r="DE277" s="44" t="str">
        <f t="shared" si="3624"/>
        <v/>
      </c>
      <c r="DF277" s="44" t="str">
        <f t="shared" si="3625"/>
        <v/>
      </c>
      <c r="DG277" s="44" t="str">
        <f t="shared" si="3626"/>
        <v/>
      </c>
      <c r="DH277" s="44" t="str">
        <f t="shared" si="3627"/>
        <v/>
      </c>
      <c r="DI277" s="44" t="str">
        <f t="shared" si="3628"/>
        <v/>
      </c>
      <c r="DJ277" s="44" t="str">
        <f t="shared" si="3629"/>
        <v/>
      </c>
      <c r="DK277" s="44" t="str">
        <f t="shared" si="3630"/>
        <v/>
      </c>
      <c r="DL277" s="44" t="str">
        <f t="shared" si="3631"/>
        <v/>
      </c>
      <c r="DM277" s="44" t="str">
        <f t="shared" si="3632"/>
        <v/>
      </c>
      <c r="DN277" s="44" t="str">
        <f t="shared" si="3633"/>
        <v/>
      </c>
      <c r="DO277" s="44" t="str">
        <f t="shared" si="3634"/>
        <v/>
      </c>
      <c r="DP277" s="44" t="str">
        <f t="shared" si="3635"/>
        <v/>
      </c>
      <c r="DQ277" s="44" t="str">
        <f t="shared" si="3636"/>
        <v/>
      </c>
      <c r="DR277" s="44" t="str">
        <f t="shared" si="3637"/>
        <v/>
      </c>
      <c r="DS277" s="44" t="str">
        <f t="shared" si="3638"/>
        <v/>
      </c>
      <c r="DT277" s="44" t="str">
        <f t="shared" si="3639"/>
        <v/>
      </c>
      <c r="DU277" s="44" t="str">
        <f t="shared" si="3640"/>
        <v/>
      </c>
      <c r="DV277" s="44" t="str">
        <f t="shared" si="3641"/>
        <v/>
      </c>
      <c r="DW277" s="44" t="str">
        <f t="shared" si="3642"/>
        <v/>
      </c>
      <c r="DX277" s="44" t="str">
        <f t="shared" si="3643"/>
        <v/>
      </c>
      <c r="DY277" s="44" t="str">
        <f t="shared" si="3644"/>
        <v/>
      </c>
      <c r="DZ277" s="44" t="str">
        <f t="shared" si="3645"/>
        <v/>
      </c>
      <c r="EA277" s="44" t="str">
        <f t="shared" si="3646"/>
        <v/>
      </c>
      <c r="EB277" s="44" t="str">
        <f t="shared" si="3647"/>
        <v/>
      </c>
      <c r="EC277" s="44" t="str">
        <f t="shared" si="3648"/>
        <v/>
      </c>
      <c r="ED277" s="44" t="str">
        <f t="shared" si="3649"/>
        <v/>
      </c>
      <c r="EE277" s="44" t="str">
        <f t="shared" si="3650"/>
        <v/>
      </c>
      <c r="EF277" s="44" t="str">
        <f t="shared" si="3651"/>
        <v/>
      </c>
      <c r="EG277" s="44" t="str">
        <f t="shared" si="3652"/>
        <v/>
      </c>
      <c r="EH277" s="44" t="str">
        <f t="shared" si="3653"/>
        <v/>
      </c>
      <c r="EI277" s="44" t="str">
        <f t="shared" si="3654"/>
        <v/>
      </c>
      <c r="EJ277" s="44" t="str">
        <f t="shared" si="3655"/>
        <v/>
      </c>
      <c r="EK277" s="44" t="str">
        <f t="shared" si="3656"/>
        <v/>
      </c>
      <c r="EL277" s="44" t="str">
        <f t="shared" si="3657"/>
        <v/>
      </c>
      <c r="EM277" s="44" t="str">
        <f t="shared" si="3658"/>
        <v/>
      </c>
      <c r="EN277" s="44" t="str">
        <f t="shared" si="3659"/>
        <v/>
      </c>
      <c r="EO277" s="44" t="str">
        <f t="shared" si="3660"/>
        <v/>
      </c>
      <c r="EP277" s="44" t="str">
        <f t="shared" si="3661"/>
        <v/>
      </c>
      <c r="EQ277" s="44" t="str">
        <f t="shared" si="3662"/>
        <v/>
      </c>
      <c r="ER277" s="44" t="str">
        <f t="shared" si="3663"/>
        <v/>
      </c>
      <c r="ES277" s="44" t="str">
        <f t="shared" si="3664"/>
        <v/>
      </c>
      <c r="ET277" s="44" t="str">
        <f t="shared" si="3665"/>
        <v/>
      </c>
      <c r="EU277" s="44" t="str">
        <f t="shared" si="3666"/>
        <v/>
      </c>
      <c r="EV277" s="44" t="str">
        <f t="shared" si="3667"/>
        <v/>
      </c>
      <c r="EW277" s="44" t="str">
        <f t="shared" si="3668"/>
        <v/>
      </c>
      <c r="EX277" s="44" t="str">
        <f t="shared" si="3669"/>
        <v/>
      </c>
      <c r="EY277" s="44" t="str">
        <f t="shared" si="3670"/>
        <v/>
      </c>
      <c r="EZ277" s="44" t="str">
        <f t="shared" si="3671"/>
        <v/>
      </c>
      <c r="FA277" s="44" t="str">
        <f t="shared" si="3672"/>
        <v/>
      </c>
      <c r="FB277" s="44" t="str">
        <f t="shared" si="3673"/>
        <v/>
      </c>
      <c r="FC277" s="44" t="str">
        <f t="shared" si="3674"/>
        <v/>
      </c>
      <c r="FD277" s="44" t="str">
        <f t="shared" si="3675"/>
        <v/>
      </c>
      <c r="FE277" s="44" t="str">
        <f t="shared" si="3676"/>
        <v/>
      </c>
      <c r="FF277" s="44" t="str">
        <f t="shared" si="3677"/>
        <v/>
      </c>
      <c r="FG277" s="44" t="str">
        <f t="shared" si="3678"/>
        <v/>
      </c>
      <c r="FH277" s="44" t="str">
        <f t="shared" si="3679"/>
        <v/>
      </c>
      <c r="FI277" s="44" t="str">
        <f t="shared" si="3680"/>
        <v/>
      </c>
      <c r="FJ277" s="44" t="str">
        <f t="shared" si="3681"/>
        <v/>
      </c>
      <c r="FK277" s="44" t="str">
        <f t="shared" si="3682"/>
        <v/>
      </c>
      <c r="FL277" s="44" t="str">
        <f t="shared" si="3683"/>
        <v/>
      </c>
      <c r="FM277" s="44" t="str">
        <f t="shared" si="3684"/>
        <v/>
      </c>
      <c r="FN277" s="44" t="str">
        <f t="shared" si="3685"/>
        <v/>
      </c>
      <c r="FO277" s="44" t="str">
        <f t="shared" si="3686"/>
        <v/>
      </c>
      <c r="FP277" s="44" t="str">
        <f t="shared" si="3687"/>
        <v/>
      </c>
      <c r="FQ277" s="44" t="str">
        <f t="shared" si="3688"/>
        <v/>
      </c>
      <c r="FR277" s="44" t="str">
        <f t="shared" si="3689"/>
        <v/>
      </c>
      <c r="FS277" s="44" t="str">
        <f t="shared" si="3690"/>
        <v/>
      </c>
    </row>
    <row r="278" ht="15" spans="1:175">
      <c r="A278" s="11"/>
      <c r="B278" s="46"/>
      <c r="C278" s="11"/>
      <c r="E278" s="120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81"/>
      <c r="Q278" s="81"/>
      <c r="R278" s="81"/>
      <c r="S278" s="81"/>
      <c r="T278" s="122"/>
      <c r="U278" s="60"/>
      <c r="CU278" s="72" t="str">
        <f t="shared" si="3620"/>
        <v>|n</v>
      </c>
      <c r="CW278" s="7"/>
      <c r="CX278" s="7"/>
      <c r="CY278" s="7"/>
      <c r="CZ278" s="7"/>
      <c r="DA278" s="7"/>
      <c r="DB278" s="44" t="str">
        <f t="shared" si="3621"/>
        <v/>
      </c>
      <c r="DC278" s="44" t="str">
        <f t="shared" si="3622"/>
        <v/>
      </c>
      <c r="DD278" s="44" t="str">
        <f t="shared" si="3623"/>
        <v/>
      </c>
      <c r="DE278" s="44" t="str">
        <f t="shared" si="3624"/>
        <v/>
      </c>
      <c r="DF278" s="44" t="str">
        <f t="shared" si="3625"/>
        <v/>
      </c>
      <c r="DG278" s="44" t="str">
        <f t="shared" si="3626"/>
        <v/>
      </c>
      <c r="DH278" s="44" t="str">
        <f t="shared" si="3627"/>
        <v/>
      </c>
      <c r="DI278" s="44" t="str">
        <f t="shared" si="3628"/>
        <v/>
      </c>
      <c r="DJ278" s="44" t="str">
        <f t="shared" si="3629"/>
        <v/>
      </c>
      <c r="DK278" s="44" t="str">
        <f t="shared" si="3630"/>
        <v/>
      </c>
      <c r="DL278" s="44" t="str">
        <f t="shared" si="3631"/>
        <v/>
      </c>
      <c r="DM278" s="44" t="str">
        <f t="shared" si="3632"/>
        <v/>
      </c>
      <c r="DN278" s="44" t="str">
        <f t="shared" si="3633"/>
        <v/>
      </c>
      <c r="DO278" s="44" t="str">
        <f t="shared" si="3634"/>
        <v/>
      </c>
      <c r="DP278" s="44" t="str">
        <f t="shared" si="3635"/>
        <v/>
      </c>
      <c r="DQ278" s="44" t="str">
        <f t="shared" si="3636"/>
        <v/>
      </c>
      <c r="DR278" s="44" t="str">
        <f t="shared" si="3637"/>
        <v/>
      </c>
      <c r="DS278" s="44" t="str">
        <f t="shared" si="3638"/>
        <v/>
      </c>
      <c r="DT278" s="44" t="str">
        <f t="shared" si="3639"/>
        <v/>
      </c>
      <c r="DU278" s="44" t="str">
        <f t="shared" si="3640"/>
        <v/>
      </c>
      <c r="DV278" s="44" t="str">
        <f t="shared" si="3641"/>
        <v/>
      </c>
      <c r="DW278" s="44" t="str">
        <f t="shared" si="3642"/>
        <v/>
      </c>
      <c r="DX278" s="44" t="str">
        <f t="shared" si="3643"/>
        <v/>
      </c>
      <c r="DY278" s="44" t="str">
        <f t="shared" si="3644"/>
        <v/>
      </c>
      <c r="DZ278" s="44" t="str">
        <f t="shared" si="3645"/>
        <v/>
      </c>
      <c r="EA278" s="44" t="str">
        <f t="shared" si="3646"/>
        <v/>
      </c>
      <c r="EB278" s="44" t="str">
        <f t="shared" si="3647"/>
        <v/>
      </c>
      <c r="EC278" s="44" t="str">
        <f t="shared" si="3648"/>
        <v/>
      </c>
      <c r="ED278" s="44" t="str">
        <f t="shared" si="3649"/>
        <v/>
      </c>
      <c r="EE278" s="44" t="str">
        <f t="shared" si="3650"/>
        <v/>
      </c>
      <c r="EF278" s="44" t="str">
        <f t="shared" si="3651"/>
        <v/>
      </c>
      <c r="EG278" s="44" t="str">
        <f t="shared" si="3652"/>
        <v/>
      </c>
      <c r="EH278" s="44" t="str">
        <f t="shared" si="3653"/>
        <v/>
      </c>
      <c r="EI278" s="44" t="str">
        <f t="shared" si="3654"/>
        <v/>
      </c>
      <c r="EJ278" s="44" t="str">
        <f t="shared" si="3655"/>
        <v/>
      </c>
      <c r="EK278" s="44" t="str">
        <f t="shared" si="3656"/>
        <v/>
      </c>
      <c r="EL278" s="44" t="str">
        <f t="shared" si="3657"/>
        <v/>
      </c>
      <c r="EM278" s="44" t="str">
        <f t="shared" si="3658"/>
        <v/>
      </c>
      <c r="EN278" s="44" t="str">
        <f t="shared" si="3659"/>
        <v/>
      </c>
      <c r="EO278" s="44" t="str">
        <f t="shared" si="3660"/>
        <v/>
      </c>
      <c r="EP278" s="44" t="str">
        <f t="shared" si="3661"/>
        <v/>
      </c>
      <c r="EQ278" s="44" t="str">
        <f t="shared" si="3662"/>
        <v/>
      </c>
      <c r="ER278" s="44" t="str">
        <f t="shared" si="3663"/>
        <v/>
      </c>
      <c r="ES278" s="44" t="str">
        <f t="shared" si="3664"/>
        <v/>
      </c>
      <c r="ET278" s="44" t="str">
        <f t="shared" si="3665"/>
        <v/>
      </c>
      <c r="EU278" s="44" t="str">
        <f t="shared" si="3666"/>
        <v/>
      </c>
      <c r="EV278" s="44" t="str">
        <f t="shared" si="3667"/>
        <v/>
      </c>
      <c r="EW278" s="44" t="str">
        <f t="shared" si="3668"/>
        <v/>
      </c>
      <c r="EX278" s="44" t="str">
        <f t="shared" si="3669"/>
        <v/>
      </c>
      <c r="EY278" s="44" t="str">
        <f t="shared" si="3670"/>
        <v/>
      </c>
      <c r="EZ278" s="44" t="str">
        <f t="shared" si="3671"/>
        <v/>
      </c>
      <c r="FA278" s="44" t="str">
        <f t="shared" si="3672"/>
        <v/>
      </c>
      <c r="FB278" s="44" t="str">
        <f t="shared" si="3673"/>
        <v/>
      </c>
      <c r="FC278" s="44" t="str">
        <f t="shared" si="3674"/>
        <v/>
      </c>
      <c r="FD278" s="44" t="str">
        <f t="shared" si="3675"/>
        <v/>
      </c>
      <c r="FE278" s="44" t="str">
        <f t="shared" si="3676"/>
        <v/>
      </c>
      <c r="FF278" s="44" t="str">
        <f t="shared" si="3677"/>
        <v/>
      </c>
      <c r="FG278" s="44" t="str">
        <f t="shared" si="3678"/>
        <v/>
      </c>
      <c r="FH278" s="44" t="str">
        <f t="shared" si="3679"/>
        <v/>
      </c>
      <c r="FI278" s="44" t="str">
        <f t="shared" si="3680"/>
        <v/>
      </c>
      <c r="FJ278" s="44" t="str">
        <f t="shared" si="3681"/>
        <v/>
      </c>
      <c r="FK278" s="44" t="str">
        <f t="shared" si="3682"/>
        <v/>
      </c>
      <c r="FL278" s="44" t="str">
        <f t="shared" si="3683"/>
        <v/>
      </c>
      <c r="FM278" s="44" t="str">
        <f t="shared" si="3684"/>
        <v/>
      </c>
      <c r="FN278" s="44" t="str">
        <f t="shared" si="3685"/>
        <v/>
      </c>
      <c r="FO278" s="44" t="str">
        <f t="shared" si="3686"/>
        <v/>
      </c>
      <c r="FP278" s="44" t="str">
        <f t="shared" si="3687"/>
        <v/>
      </c>
      <c r="FQ278" s="44" t="str">
        <f t="shared" si="3688"/>
        <v/>
      </c>
      <c r="FR278" s="44" t="str">
        <f t="shared" si="3689"/>
        <v/>
      </c>
      <c r="FS278" s="44" t="str">
        <f t="shared" si="3690"/>
        <v/>
      </c>
    </row>
    <row r="279" spans="1:175">
      <c r="A279" s="8"/>
      <c r="B279" s="8"/>
      <c r="C279" s="8"/>
      <c r="E279" s="121"/>
      <c r="T279" s="116"/>
      <c r="U279" s="60"/>
      <c r="CU279" s="72" t="str">
        <f t="shared" si="3620"/>
        <v>|n</v>
      </c>
      <c r="CW279" s="7"/>
      <c r="CX279" s="7"/>
      <c r="CY279" s="7"/>
      <c r="CZ279" s="7"/>
      <c r="DA279" s="7"/>
      <c r="DB279" s="44" t="str">
        <f t="shared" si="3621"/>
        <v/>
      </c>
      <c r="DC279" s="44" t="str">
        <f t="shared" si="3622"/>
        <v/>
      </c>
      <c r="DD279" s="44" t="str">
        <f t="shared" si="3623"/>
        <v/>
      </c>
      <c r="DE279" s="44" t="str">
        <f t="shared" si="3624"/>
        <v/>
      </c>
      <c r="DF279" s="44" t="str">
        <f t="shared" si="3625"/>
        <v/>
      </c>
      <c r="DG279" s="44" t="str">
        <f t="shared" si="3626"/>
        <v/>
      </c>
      <c r="DH279" s="44" t="str">
        <f t="shared" si="3627"/>
        <v/>
      </c>
      <c r="DI279" s="44" t="str">
        <f t="shared" si="3628"/>
        <v/>
      </c>
      <c r="DJ279" s="44" t="str">
        <f t="shared" si="3629"/>
        <v/>
      </c>
      <c r="DK279" s="44" t="str">
        <f t="shared" si="3630"/>
        <v/>
      </c>
      <c r="DL279" s="44" t="str">
        <f t="shared" si="3631"/>
        <v/>
      </c>
      <c r="DM279" s="44" t="str">
        <f t="shared" si="3632"/>
        <v/>
      </c>
      <c r="DN279" s="44" t="str">
        <f t="shared" si="3633"/>
        <v/>
      </c>
      <c r="DO279" s="44" t="str">
        <f t="shared" si="3634"/>
        <v/>
      </c>
      <c r="DP279" s="44" t="str">
        <f t="shared" si="3635"/>
        <v/>
      </c>
      <c r="DQ279" s="44" t="str">
        <f t="shared" si="3636"/>
        <v/>
      </c>
      <c r="DR279" s="44" t="str">
        <f t="shared" si="3637"/>
        <v/>
      </c>
      <c r="DS279" s="44" t="str">
        <f t="shared" si="3638"/>
        <v/>
      </c>
      <c r="DT279" s="44" t="str">
        <f t="shared" si="3639"/>
        <v/>
      </c>
      <c r="DU279" s="44" t="str">
        <f t="shared" si="3640"/>
        <v/>
      </c>
      <c r="DV279" s="44" t="str">
        <f t="shared" si="3641"/>
        <v/>
      </c>
      <c r="DW279" s="44" t="str">
        <f t="shared" si="3642"/>
        <v/>
      </c>
      <c r="DX279" s="44" t="str">
        <f t="shared" si="3643"/>
        <v/>
      </c>
      <c r="DY279" s="44" t="str">
        <f t="shared" si="3644"/>
        <v/>
      </c>
      <c r="DZ279" s="44" t="str">
        <f t="shared" si="3645"/>
        <v/>
      </c>
      <c r="EA279" s="44" t="str">
        <f t="shared" si="3646"/>
        <v/>
      </c>
      <c r="EB279" s="44" t="str">
        <f t="shared" si="3647"/>
        <v/>
      </c>
      <c r="EC279" s="44" t="str">
        <f t="shared" si="3648"/>
        <v/>
      </c>
      <c r="ED279" s="44" t="str">
        <f t="shared" si="3649"/>
        <v/>
      </c>
      <c r="EE279" s="44" t="str">
        <f t="shared" si="3650"/>
        <v/>
      </c>
      <c r="EF279" s="44" t="str">
        <f t="shared" si="3651"/>
        <v/>
      </c>
      <c r="EG279" s="44" t="str">
        <f t="shared" si="3652"/>
        <v/>
      </c>
      <c r="EH279" s="44" t="str">
        <f t="shared" si="3653"/>
        <v/>
      </c>
      <c r="EI279" s="44" t="str">
        <f t="shared" si="3654"/>
        <v/>
      </c>
      <c r="EJ279" s="44" t="str">
        <f t="shared" si="3655"/>
        <v/>
      </c>
      <c r="EK279" s="44" t="str">
        <f t="shared" si="3656"/>
        <v/>
      </c>
      <c r="EL279" s="44" t="str">
        <f t="shared" si="3657"/>
        <v/>
      </c>
      <c r="EM279" s="44" t="str">
        <f t="shared" si="3658"/>
        <v/>
      </c>
      <c r="EN279" s="44" t="str">
        <f t="shared" si="3659"/>
        <v/>
      </c>
      <c r="EO279" s="44" t="str">
        <f t="shared" si="3660"/>
        <v/>
      </c>
      <c r="EP279" s="44" t="str">
        <f t="shared" si="3661"/>
        <v/>
      </c>
      <c r="EQ279" s="44" t="str">
        <f t="shared" si="3662"/>
        <v/>
      </c>
      <c r="ER279" s="44" t="str">
        <f t="shared" si="3663"/>
        <v/>
      </c>
      <c r="ES279" s="44" t="str">
        <f t="shared" si="3664"/>
        <v/>
      </c>
      <c r="ET279" s="44" t="str">
        <f t="shared" si="3665"/>
        <v/>
      </c>
      <c r="EU279" s="44" t="str">
        <f t="shared" si="3666"/>
        <v/>
      </c>
      <c r="EV279" s="44" t="str">
        <f t="shared" si="3667"/>
        <v/>
      </c>
      <c r="EW279" s="44" t="str">
        <f t="shared" si="3668"/>
        <v/>
      </c>
      <c r="EX279" s="44" t="str">
        <f t="shared" si="3669"/>
        <v/>
      </c>
      <c r="EY279" s="44" t="str">
        <f t="shared" si="3670"/>
        <v/>
      </c>
      <c r="EZ279" s="44" t="str">
        <f t="shared" si="3671"/>
        <v/>
      </c>
      <c r="FA279" s="44" t="str">
        <f t="shared" si="3672"/>
        <v/>
      </c>
      <c r="FB279" s="44" t="str">
        <f t="shared" si="3673"/>
        <v/>
      </c>
      <c r="FC279" s="44" t="str">
        <f t="shared" si="3674"/>
        <v/>
      </c>
      <c r="FD279" s="44" t="str">
        <f t="shared" si="3675"/>
        <v/>
      </c>
      <c r="FE279" s="44" t="str">
        <f t="shared" si="3676"/>
        <v/>
      </c>
      <c r="FF279" s="44" t="str">
        <f t="shared" si="3677"/>
        <v/>
      </c>
      <c r="FG279" s="44" t="str">
        <f t="shared" si="3678"/>
        <v/>
      </c>
      <c r="FH279" s="44" t="str">
        <f t="shared" si="3679"/>
        <v/>
      </c>
      <c r="FI279" s="44" t="str">
        <f t="shared" si="3680"/>
        <v/>
      </c>
      <c r="FJ279" s="44" t="str">
        <f t="shared" si="3681"/>
        <v/>
      </c>
      <c r="FK279" s="44" t="str">
        <f t="shared" si="3682"/>
        <v/>
      </c>
      <c r="FL279" s="44" t="str">
        <f t="shared" si="3683"/>
        <v/>
      </c>
      <c r="FM279" s="44" t="str">
        <f t="shared" si="3684"/>
        <v/>
      </c>
      <c r="FN279" s="44" t="str">
        <f t="shared" si="3685"/>
        <v/>
      </c>
      <c r="FO279" s="44" t="str">
        <f t="shared" si="3686"/>
        <v/>
      </c>
      <c r="FP279" s="44" t="str">
        <f t="shared" si="3687"/>
        <v/>
      </c>
      <c r="FQ279" s="44" t="str">
        <f t="shared" si="3688"/>
        <v/>
      </c>
      <c r="FR279" s="44" t="str">
        <f t="shared" si="3689"/>
        <v/>
      </c>
      <c r="FS279" s="44" t="str">
        <f t="shared" si="3690"/>
        <v/>
      </c>
    </row>
    <row r="280" spans="1:175">
      <c r="A280" s="8"/>
      <c r="B280" s="8"/>
      <c r="C280" s="8"/>
      <c r="E280" s="121"/>
      <c r="T280" s="116"/>
      <c r="U280" s="60"/>
      <c r="CU280" s="72" t="str">
        <f t="shared" si="3620"/>
        <v>|n</v>
      </c>
      <c r="CW280" s="7"/>
      <c r="CX280" s="7"/>
      <c r="CY280" s="7"/>
      <c r="CZ280" s="7"/>
      <c r="DA280" s="7"/>
      <c r="DB280" s="44" t="str">
        <f t="shared" si="3621"/>
        <v/>
      </c>
      <c r="DC280" s="44" t="str">
        <f t="shared" si="3622"/>
        <v/>
      </c>
      <c r="DD280" s="44" t="str">
        <f t="shared" si="3623"/>
        <v/>
      </c>
      <c r="DE280" s="44" t="str">
        <f t="shared" si="3624"/>
        <v/>
      </c>
      <c r="DF280" s="44" t="str">
        <f t="shared" si="3625"/>
        <v/>
      </c>
      <c r="DG280" s="44" t="str">
        <f t="shared" si="3626"/>
        <v/>
      </c>
      <c r="DH280" s="44" t="str">
        <f t="shared" si="3627"/>
        <v/>
      </c>
      <c r="DI280" s="44" t="str">
        <f t="shared" si="3628"/>
        <v/>
      </c>
      <c r="DJ280" s="44" t="str">
        <f t="shared" si="3629"/>
        <v/>
      </c>
      <c r="DK280" s="44" t="str">
        <f t="shared" si="3630"/>
        <v/>
      </c>
      <c r="DL280" s="44" t="str">
        <f t="shared" si="3631"/>
        <v/>
      </c>
      <c r="DM280" s="44" t="str">
        <f t="shared" si="3632"/>
        <v/>
      </c>
      <c r="DN280" s="44" t="str">
        <f t="shared" si="3633"/>
        <v/>
      </c>
      <c r="DO280" s="44" t="str">
        <f t="shared" si="3634"/>
        <v/>
      </c>
      <c r="DP280" s="44" t="str">
        <f t="shared" si="3635"/>
        <v/>
      </c>
      <c r="DQ280" s="44" t="str">
        <f t="shared" si="3636"/>
        <v/>
      </c>
      <c r="DR280" s="44" t="str">
        <f t="shared" si="3637"/>
        <v/>
      </c>
      <c r="DS280" s="44" t="str">
        <f t="shared" si="3638"/>
        <v/>
      </c>
      <c r="DT280" s="44" t="str">
        <f t="shared" si="3639"/>
        <v/>
      </c>
      <c r="DU280" s="44" t="str">
        <f t="shared" si="3640"/>
        <v/>
      </c>
      <c r="DV280" s="44" t="str">
        <f t="shared" si="3641"/>
        <v/>
      </c>
      <c r="DW280" s="44" t="str">
        <f t="shared" si="3642"/>
        <v/>
      </c>
      <c r="DX280" s="44" t="str">
        <f t="shared" si="3643"/>
        <v/>
      </c>
      <c r="DY280" s="44" t="str">
        <f t="shared" si="3644"/>
        <v/>
      </c>
      <c r="DZ280" s="44" t="str">
        <f t="shared" si="3645"/>
        <v/>
      </c>
      <c r="EA280" s="44" t="str">
        <f t="shared" si="3646"/>
        <v/>
      </c>
      <c r="EB280" s="44" t="str">
        <f t="shared" si="3647"/>
        <v/>
      </c>
      <c r="EC280" s="44" t="str">
        <f t="shared" si="3648"/>
        <v/>
      </c>
      <c r="ED280" s="44" t="str">
        <f t="shared" si="3649"/>
        <v/>
      </c>
      <c r="EE280" s="44" t="str">
        <f t="shared" si="3650"/>
        <v/>
      </c>
      <c r="EF280" s="44" t="str">
        <f t="shared" si="3651"/>
        <v/>
      </c>
      <c r="EG280" s="44" t="str">
        <f t="shared" si="3652"/>
        <v/>
      </c>
      <c r="EH280" s="44" t="str">
        <f t="shared" si="3653"/>
        <v/>
      </c>
      <c r="EI280" s="44" t="str">
        <f t="shared" si="3654"/>
        <v/>
      </c>
      <c r="EJ280" s="44" t="str">
        <f t="shared" si="3655"/>
        <v/>
      </c>
      <c r="EK280" s="44" t="str">
        <f t="shared" si="3656"/>
        <v/>
      </c>
      <c r="EL280" s="44" t="str">
        <f t="shared" si="3657"/>
        <v/>
      </c>
      <c r="EM280" s="44" t="str">
        <f t="shared" si="3658"/>
        <v/>
      </c>
      <c r="EN280" s="44" t="str">
        <f t="shared" si="3659"/>
        <v/>
      </c>
      <c r="EO280" s="44" t="str">
        <f t="shared" si="3660"/>
        <v/>
      </c>
      <c r="EP280" s="44" t="str">
        <f t="shared" si="3661"/>
        <v/>
      </c>
      <c r="EQ280" s="44" t="str">
        <f t="shared" si="3662"/>
        <v/>
      </c>
      <c r="ER280" s="44" t="str">
        <f t="shared" si="3663"/>
        <v/>
      </c>
      <c r="ES280" s="44" t="str">
        <f t="shared" si="3664"/>
        <v/>
      </c>
      <c r="ET280" s="44" t="str">
        <f t="shared" si="3665"/>
        <v/>
      </c>
      <c r="EU280" s="44" t="str">
        <f t="shared" si="3666"/>
        <v/>
      </c>
      <c r="EV280" s="44" t="str">
        <f t="shared" si="3667"/>
        <v/>
      </c>
      <c r="EW280" s="44" t="str">
        <f t="shared" si="3668"/>
        <v/>
      </c>
      <c r="EX280" s="44" t="str">
        <f t="shared" si="3669"/>
        <v/>
      </c>
      <c r="EY280" s="44" t="str">
        <f t="shared" si="3670"/>
        <v/>
      </c>
      <c r="EZ280" s="44" t="str">
        <f t="shared" si="3671"/>
        <v/>
      </c>
      <c r="FA280" s="44" t="str">
        <f t="shared" si="3672"/>
        <v/>
      </c>
      <c r="FB280" s="44" t="str">
        <f t="shared" si="3673"/>
        <v/>
      </c>
      <c r="FC280" s="44" t="str">
        <f t="shared" si="3674"/>
        <v/>
      </c>
      <c r="FD280" s="44" t="str">
        <f t="shared" si="3675"/>
        <v/>
      </c>
      <c r="FE280" s="44" t="str">
        <f t="shared" si="3676"/>
        <v/>
      </c>
      <c r="FF280" s="44" t="str">
        <f t="shared" si="3677"/>
        <v/>
      </c>
      <c r="FG280" s="44" t="str">
        <f t="shared" si="3678"/>
        <v/>
      </c>
      <c r="FH280" s="44" t="str">
        <f t="shared" si="3679"/>
        <v/>
      </c>
      <c r="FI280" s="44" t="str">
        <f t="shared" si="3680"/>
        <v/>
      </c>
      <c r="FJ280" s="44" t="str">
        <f t="shared" si="3681"/>
        <v/>
      </c>
      <c r="FK280" s="44" t="str">
        <f t="shared" si="3682"/>
        <v/>
      </c>
      <c r="FL280" s="44" t="str">
        <f t="shared" si="3683"/>
        <v/>
      </c>
      <c r="FM280" s="44" t="str">
        <f t="shared" si="3684"/>
        <v/>
      </c>
      <c r="FN280" s="44" t="str">
        <f t="shared" si="3685"/>
        <v/>
      </c>
      <c r="FO280" s="44" t="str">
        <f t="shared" si="3686"/>
        <v/>
      </c>
      <c r="FP280" s="44" t="str">
        <f t="shared" si="3687"/>
        <v/>
      </c>
      <c r="FQ280" s="44" t="str">
        <f t="shared" si="3688"/>
        <v/>
      </c>
      <c r="FR280" s="44" t="str">
        <f t="shared" si="3689"/>
        <v/>
      </c>
      <c r="FS280" s="44" t="str">
        <f t="shared" si="3690"/>
        <v/>
      </c>
    </row>
    <row r="281" s="7" customFormat="1" ht="15" spans="1:175">
      <c r="A281" s="117"/>
      <c r="B281" s="46"/>
      <c r="C281" s="117"/>
      <c r="D281" s="47"/>
      <c r="E281" s="48"/>
      <c r="F281" s="118"/>
      <c r="G281" s="119"/>
      <c r="H281" s="119"/>
      <c r="I281" s="119"/>
      <c r="J281" s="119"/>
      <c r="K281" s="119"/>
      <c r="L281" s="119"/>
      <c r="M281" s="119"/>
      <c r="N281" s="119"/>
      <c r="O281" s="119"/>
      <c r="P281" s="54"/>
      <c r="Q281" s="54"/>
      <c r="R281" s="54"/>
      <c r="S281" s="54"/>
      <c r="T281" s="63"/>
      <c r="U281" s="60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  <c r="AL281" s="61"/>
      <c r="AM281" s="61"/>
      <c r="AN281" s="61"/>
      <c r="AO281" s="61"/>
      <c r="AP281" s="61"/>
      <c r="AQ281" s="61"/>
      <c r="AR281" s="67"/>
      <c r="AS281" s="67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  <c r="CE281" s="61"/>
      <c r="CF281" s="61"/>
      <c r="CG281" s="61"/>
      <c r="CH281" s="61"/>
      <c r="CI281" s="61"/>
      <c r="CJ281" s="61"/>
      <c r="CK281" s="61"/>
      <c r="CL281" s="61"/>
      <c r="CM281" s="61"/>
      <c r="CN281" s="70" t="str">
        <f t="shared" ref="CN281:CN284" si="3695"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70" t="str">
        <f t="shared" ref="CO281:CO284" si="3696"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70" t="str">
        <f t="shared" ref="CP281:CP284" si="3697"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70" t="str">
        <f t="shared" ref="CQ281:CQ284" si="3698"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S281" s="70"/>
      <c r="CT281" s="70"/>
      <c r="CU281" s="72" t="str">
        <f t="shared" si="3620"/>
        <v>|n</v>
      </c>
      <c r="CV281" s="6"/>
      <c r="DB281" s="44" t="str">
        <f t="shared" si="3621"/>
        <v/>
      </c>
      <c r="DC281" s="44" t="str">
        <f t="shared" si="3622"/>
        <v/>
      </c>
      <c r="DD281" s="44" t="str">
        <f t="shared" si="3623"/>
        <v/>
      </c>
      <c r="DE281" s="44" t="str">
        <f t="shared" si="3624"/>
        <v/>
      </c>
      <c r="DF281" s="44" t="str">
        <f t="shared" si="3625"/>
        <v/>
      </c>
      <c r="DG281" s="44" t="str">
        <f t="shared" si="3626"/>
        <v/>
      </c>
      <c r="DH281" s="44" t="str">
        <f t="shared" si="3627"/>
        <v/>
      </c>
      <c r="DI281" s="44" t="str">
        <f t="shared" si="3628"/>
        <v/>
      </c>
      <c r="DJ281" s="44" t="str">
        <f t="shared" si="3629"/>
        <v/>
      </c>
      <c r="DK281" s="44" t="str">
        <f t="shared" si="3630"/>
        <v/>
      </c>
      <c r="DL281" s="44" t="str">
        <f t="shared" si="3631"/>
        <v/>
      </c>
      <c r="DM281" s="44" t="str">
        <f t="shared" si="3632"/>
        <v/>
      </c>
      <c r="DN281" s="44" t="str">
        <f t="shared" si="3633"/>
        <v/>
      </c>
      <c r="DO281" s="44" t="str">
        <f t="shared" si="3634"/>
        <v/>
      </c>
      <c r="DP281" s="44" t="str">
        <f t="shared" si="3635"/>
        <v/>
      </c>
      <c r="DQ281" s="44" t="str">
        <f t="shared" si="3636"/>
        <v/>
      </c>
      <c r="DR281" s="44" t="str">
        <f t="shared" si="3637"/>
        <v/>
      </c>
      <c r="DS281" s="44" t="str">
        <f t="shared" si="3638"/>
        <v/>
      </c>
      <c r="DT281" s="44" t="str">
        <f t="shared" si="3639"/>
        <v/>
      </c>
      <c r="DU281" s="44" t="str">
        <f t="shared" si="3640"/>
        <v/>
      </c>
      <c r="DV281" s="44" t="str">
        <f t="shared" si="3641"/>
        <v/>
      </c>
      <c r="DW281" s="44" t="str">
        <f t="shared" si="3642"/>
        <v/>
      </c>
      <c r="DX281" s="44" t="str">
        <f t="shared" si="3643"/>
        <v/>
      </c>
      <c r="DY281" s="44" t="str">
        <f t="shared" si="3644"/>
        <v/>
      </c>
      <c r="DZ281" s="44" t="str">
        <f t="shared" si="3645"/>
        <v/>
      </c>
      <c r="EA281" s="44" t="str">
        <f t="shared" si="3646"/>
        <v/>
      </c>
      <c r="EB281" s="44" t="str">
        <f t="shared" si="3647"/>
        <v/>
      </c>
      <c r="EC281" s="44" t="str">
        <f t="shared" si="3648"/>
        <v/>
      </c>
      <c r="ED281" s="44" t="str">
        <f t="shared" si="3649"/>
        <v/>
      </c>
      <c r="EE281" s="44" t="str">
        <f t="shared" si="3650"/>
        <v/>
      </c>
      <c r="EF281" s="44" t="str">
        <f t="shared" si="3651"/>
        <v/>
      </c>
      <c r="EG281" s="44" t="str">
        <f t="shared" si="3652"/>
        <v/>
      </c>
      <c r="EH281" s="44" t="str">
        <f t="shared" si="3653"/>
        <v/>
      </c>
      <c r="EI281" s="44" t="str">
        <f t="shared" si="3654"/>
        <v/>
      </c>
      <c r="EJ281" s="44" t="str">
        <f t="shared" si="3655"/>
        <v/>
      </c>
      <c r="EK281" s="44" t="str">
        <f t="shared" si="3656"/>
        <v/>
      </c>
      <c r="EL281" s="44" t="str">
        <f t="shared" si="3657"/>
        <v/>
      </c>
      <c r="EM281" s="44" t="str">
        <f t="shared" si="3658"/>
        <v/>
      </c>
      <c r="EN281" s="44" t="str">
        <f t="shared" si="3659"/>
        <v/>
      </c>
      <c r="EO281" s="44" t="str">
        <f t="shared" si="3660"/>
        <v/>
      </c>
      <c r="EP281" s="44" t="str">
        <f t="shared" si="3661"/>
        <v/>
      </c>
      <c r="EQ281" s="44" t="str">
        <f t="shared" si="3662"/>
        <v/>
      </c>
      <c r="ER281" s="44" t="str">
        <f t="shared" si="3663"/>
        <v/>
      </c>
      <c r="ES281" s="44" t="str">
        <f t="shared" si="3664"/>
        <v/>
      </c>
      <c r="ET281" s="44" t="str">
        <f t="shared" si="3665"/>
        <v/>
      </c>
      <c r="EU281" s="44" t="str">
        <f t="shared" si="3666"/>
        <v/>
      </c>
      <c r="EV281" s="44" t="str">
        <f t="shared" si="3667"/>
        <v/>
      </c>
      <c r="EW281" s="44" t="str">
        <f t="shared" si="3668"/>
        <v/>
      </c>
      <c r="EX281" s="44" t="str">
        <f t="shared" si="3669"/>
        <v/>
      </c>
      <c r="EY281" s="44" t="str">
        <f t="shared" si="3670"/>
        <v/>
      </c>
      <c r="EZ281" s="44" t="str">
        <f t="shared" si="3671"/>
        <v/>
      </c>
      <c r="FA281" s="44" t="str">
        <f t="shared" si="3672"/>
        <v/>
      </c>
      <c r="FB281" s="44" t="str">
        <f t="shared" si="3673"/>
        <v/>
      </c>
      <c r="FC281" s="44" t="str">
        <f t="shared" si="3674"/>
        <v/>
      </c>
      <c r="FD281" s="44" t="str">
        <f t="shared" si="3675"/>
        <v/>
      </c>
      <c r="FE281" s="44" t="str">
        <f t="shared" si="3676"/>
        <v/>
      </c>
      <c r="FF281" s="44" t="str">
        <f t="shared" si="3677"/>
        <v/>
      </c>
      <c r="FG281" s="44" t="str">
        <f t="shared" si="3678"/>
        <v/>
      </c>
      <c r="FH281" s="44" t="str">
        <f t="shared" si="3679"/>
        <v/>
      </c>
      <c r="FI281" s="44" t="str">
        <f t="shared" si="3680"/>
        <v/>
      </c>
      <c r="FJ281" s="44" t="str">
        <f t="shared" si="3681"/>
        <v/>
      </c>
      <c r="FK281" s="44" t="str">
        <f t="shared" si="3682"/>
        <v/>
      </c>
      <c r="FL281" s="44" t="str">
        <f t="shared" si="3683"/>
        <v/>
      </c>
      <c r="FM281" s="44" t="str">
        <f t="shared" si="3684"/>
        <v/>
      </c>
      <c r="FN281" s="44" t="str">
        <f t="shared" si="3685"/>
        <v/>
      </c>
      <c r="FO281" s="44" t="str">
        <f t="shared" si="3686"/>
        <v/>
      </c>
      <c r="FP281" s="44" t="str">
        <f t="shared" si="3687"/>
        <v/>
      </c>
      <c r="FQ281" s="44" t="str">
        <f t="shared" si="3688"/>
        <v/>
      </c>
      <c r="FR281" s="44" t="str">
        <f t="shared" si="3689"/>
        <v/>
      </c>
      <c r="FS281" s="44" t="str">
        <f t="shared" si="3690"/>
        <v/>
      </c>
    </row>
    <row r="282" s="7" customFormat="1" ht="15" spans="1:175">
      <c r="A282" s="117"/>
      <c r="B282" s="46"/>
      <c r="C282" s="117"/>
      <c r="D282" s="47"/>
      <c r="E282" s="48"/>
      <c r="F282" s="118"/>
      <c r="G282" s="119"/>
      <c r="H282" s="119"/>
      <c r="I282" s="119"/>
      <c r="J282" s="119"/>
      <c r="K282" s="119"/>
      <c r="L282" s="119"/>
      <c r="M282" s="119"/>
      <c r="N282" s="119"/>
      <c r="O282" s="119"/>
      <c r="P282" s="54"/>
      <c r="Q282" s="54"/>
      <c r="R282" s="54"/>
      <c r="S282" s="54"/>
      <c r="T282" s="63"/>
      <c r="U282" s="60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/>
      <c r="AM282" s="61"/>
      <c r="AN282" s="61"/>
      <c r="AO282" s="61"/>
      <c r="AP282" s="61"/>
      <c r="AQ282" s="61"/>
      <c r="AR282" s="67"/>
      <c r="AS282" s="67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  <c r="CE282" s="61"/>
      <c r="CF282" s="61"/>
      <c r="CG282" s="61"/>
      <c r="CH282" s="61"/>
      <c r="CI282" s="61"/>
      <c r="CJ282" s="61"/>
      <c r="CK282" s="61"/>
      <c r="CL282" s="61"/>
      <c r="CM282" s="61"/>
      <c r="CN282" s="70" t="str">
        <f t="shared" si="3695"/>
        <v>InitUnitState('',,,,,,,,,,)</v>
      </c>
      <c r="CO282" s="70" t="str">
        <f t="shared" si="3696"/>
        <v>InitUnitNormal('',,,,,,,,,,)</v>
      </c>
      <c r="CP282" s="70" t="str">
        <f t="shared" si="3697"/>
        <v>InitUnitMagic('',,,,,,,,,,)</v>
      </c>
      <c r="CQ282" s="70" t="str">
        <f t="shared" si="3698"/>
        <v>InitUnitAdd('',,,,,,,,,,)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S282" s="70"/>
      <c r="CT282" s="70"/>
      <c r="CU282" s="72" t="str">
        <f t="shared" si="3620"/>
        <v>|n</v>
      </c>
      <c r="CV282" s="6"/>
      <c r="DB282" s="44" t="str">
        <f t="shared" si="3621"/>
        <v/>
      </c>
      <c r="DC282" s="44" t="str">
        <f t="shared" si="3622"/>
        <v/>
      </c>
      <c r="DD282" s="44" t="str">
        <f t="shared" si="3623"/>
        <v/>
      </c>
      <c r="DE282" s="44" t="str">
        <f t="shared" si="3624"/>
        <v/>
      </c>
      <c r="DF282" s="44" t="str">
        <f t="shared" si="3625"/>
        <v/>
      </c>
      <c r="DG282" s="44" t="str">
        <f t="shared" si="3626"/>
        <v/>
      </c>
      <c r="DH282" s="44" t="str">
        <f t="shared" si="3627"/>
        <v/>
      </c>
      <c r="DI282" s="44" t="str">
        <f t="shared" si="3628"/>
        <v/>
      </c>
      <c r="DJ282" s="44" t="str">
        <f t="shared" si="3629"/>
        <v/>
      </c>
      <c r="DK282" s="44" t="str">
        <f t="shared" si="3630"/>
        <v/>
      </c>
      <c r="DL282" s="44" t="str">
        <f t="shared" si="3631"/>
        <v/>
      </c>
      <c r="DM282" s="44" t="str">
        <f t="shared" si="3632"/>
        <v/>
      </c>
      <c r="DN282" s="44" t="str">
        <f t="shared" si="3633"/>
        <v/>
      </c>
      <c r="DO282" s="44" t="str">
        <f t="shared" si="3634"/>
        <v/>
      </c>
      <c r="DP282" s="44" t="str">
        <f t="shared" si="3635"/>
        <v/>
      </c>
      <c r="DQ282" s="44" t="str">
        <f t="shared" si="3636"/>
        <v/>
      </c>
      <c r="DR282" s="44" t="str">
        <f t="shared" si="3637"/>
        <v/>
      </c>
      <c r="DS282" s="44" t="str">
        <f t="shared" si="3638"/>
        <v/>
      </c>
      <c r="DT282" s="44" t="str">
        <f t="shared" si="3639"/>
        <v/>
      </c>
      <c r="DU282" s="44" t="str">
        <f t="shared" si="3640"/>
        <v/>
      </c>
      <c r="DV282" s="44" t="str">
        <f t="shared" si="3641"/>
        <v/>
      </c>
      <c r="DW282" s="44" t="str">
        <f t="shared" si="3642"/>
        <v/>
      </c>
      <c r="DX282" s="44" t="str">
        <f t="shared" si="3643"/>
        <v/>
      </c>
      <c r="DY282" s="44" t="str">
        <f t="shared" si="3644"/>
        <v/>
      </c>
      <c r="DZ282" s="44" t="str">
        <f t="shared" si="3645"/>
        <v/>
      </c>
      <c r="EA282" s="44" t="str">
        <f t="shared" si="3646"/>
        <v/>
      </c>
      <c r="EB282" s="44" t="str">
        <f t="shared" si="3647"/>
        <v/>
      </c>
      <c r="EC282" s="44" t="str">
        <f t="shared" si="3648"/>
        <v/>
      </c>
      <c r="ED282" s="44" t="str">
        <f t="shared" si="3649"/>
        <v/>
      </c>
      <c r="EE282" s="44" t="str">
        <f t="shared" si="3650"/>
        <v/>
      </c>
      <c r="EF282" s="44" t="str">
        <f t="shared" si="3651"/>
        <v/>
      </c>
      <c r="EG282" s="44" t="str">
        <f t="shared" si="3652"/>
        <v/>
      </c>
      <c r="EH282" s="44" t="str">
        <f t="shared" si="3653"/>
        <v/>
      </c>
      <c r="EI282" s="44" t="str">
        <f t="shared" si="3654"/>
        <v/>
      </c>
      <c r="EJ282" s="44" t="str">
        <f t="shared" si="3655"/>
        <v/>
      </c>
      <c r="EK282" s="44" t="str">
        <f t="shared" si="3656"/>
        <v/>
      </c>
      <c r="EL282" s="44" t="str">
        <f t="shared" si="3657"/>
        <v/>
      </c>
      <c r="EM282" s="44" t="str">
        <f t="shared" si="3658"/>
        <v/>
      </c>
      <c r="EN282" s="44" t="str">
        <f t="shared" si="3659"/>
        <v/>
      </c>
      <c r="EO282" s="44" t="str">
        <f t="shared" si="3660"/>
        <v/>
      </c>
      <c r="EP282" s="44" t="str">
        <f t="shared" si="3661"/>
        <v/>
      </c>
      <c r="EQ282" s="44" t="str">
        <f t="shared" si="3662"/>
        <v/>
      </c>
      <c r="ER282" s="44" t="str">
        <f t="shared" si="3663"/>
        <v/>
      </c>
      <c r="ES282" s="44" t="str">
        <f t="shared" si="3664"/>
        <v/>
      </c>
      <c r="ET282" s="44" t="str">
        <f t="shared" si="3665"/>
        <v/>
      </c>
      <c r="EU282" s="44" t="str">
        <f t="shared" si="3666"/>
        <v/>
      </c>
      <c r="EV282" s="44" t="str">
        <f t="shared" si="3667"/>
        <v/>
      </c>
      <c r="EW282" s="44" t="str">
        <f t="shared" si="3668"/>
        <v/>
      </c>
      <c r="EX282" s="44" t="str">
        <f t="shared" si="3669"/>
        <v/>
      </c>
      <c r="EY282" s="44" t="str">
        <f t="shared" si="3670"/>
        <v/>
      </c>
      <c r="EZ282" s="44" t="str">
        <f t="shared" si="3671"/>
        <v/>
      </c>
      <c r="FA282" s="44" t="str">
        <f t="shared" si="3672"/>
        <v/>
      </c>
      <c r="FB282" s="44" t="str">
        <f t="shared" si="3673"/>
        <v/>
      </c>
      <c r="FC282" s="44" t="str">
        <f t="shared" si="3674"/>
        <v/>
      </c>
      <c r="FD282" s="44" t="str">
        <f t="shared" si="3675"/>
        <v/>
      </c>
      <c r="FE282" s="44" t="str">
        <f t="shared" si="3676"/>
        <v/>
      </c>
      <c r="FF282" s="44" t="str">
        <f t="shared" si="3677"/>
        <v/>
      </c>
      <c r="FG282" s="44" t="str">
        <f t="shared" si="3678"/>
        <v/>
      </c>
      <c r="FH282" s="44" t="str">
        <f t="shared" si="3679"/>
        <v/>
      </c>
      <c r="FI282" s="44" t="str">
        <f t="shared" si="3680"/>
        <v/>
      </c>
      <c r="FJ282" s="44" t="str">
        <f t="shared" si="3681"/>
        <v/>
      </c>
      <c r="FK282" s="44" t="str">
        <f t="shared" si="3682"/>
        <v/>
      </c>
      <c r="FL282" s="44" t="str">
        <f t="shared" si="3683"/>
        <v/>
      </c>
      <c r="FM282" s="44" t="str">
        <f t="shared" si="3684"/>
        <v/>
      </c>
      <c r="FN282" s="44" t="str">
        <f t="shared" si="3685"/>
        <v/>
      </c>
      <c r="FO282" s="44" t="str">
        <f t="shared" si="3686"/>
        <v/>
      </c>
      <c r="FP282" s="44" t="str">
        <f t="shared" si="3687"/>
        <v/>
      </c>
      <c r="FQ282" s="44" t="str">
        <f t="shared" si="3688"/>
        <v/>
      </c>
      <c r="FR282" s="44" t="str">
        <f t="shared" si="3689"/>
        <v/>
      </c>
      <c r="FS282" s="44" t="str">
        <f t="shared" si="3690"/>
        <v/>
      </c>
    </row>
    <row r="283" s="7" customFormat="1" ht="15" spans="1:175">
      <c r="A283" s="117"/>
      <c r="B283" s="46"/>
      <c r="C283" s="117"/>
      <c r="D283" s="47"/>
      <c r="E283" s="48"/>
      <c r="F283" s="118"/>
      <c r="G283" s="119"/>
      <c r="H283" s="119"/>
      <c r="I283" s="119"/>
      <c r="J283" s="119"/>
      <c r="K283" s="119"/>
      <c r="L283" s="119"/>
      <c r="M283" s="119"/>
      <c r="N283" s="119"/>
      <c r="O283" s="119"/>
      <c r="P283" s="54"/>
      <c r="Q283" s="54"/>
      <c r="R283" s="54"/>
      <c r="S283" s="54"/>
      <c r="T283" s="63"/>
      <c r="U283" s="60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7"/>
      <c r="AS283" s="67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  <c r="CE283" s="61"/>
      <c r="CF283" s="61"/>
      <c r="CG283" s="61"/>
      <c r="CH283" s="61"/>
      <c r="CI283" s="61"/>
      <c r="CJ283" s="61"/>
      <c r="CK283" s="61"/>
      <c r="CL283" s="61"/>
      <c r="CM283" s="61"/>
      <c r="CN283" s="70" t="str">
        <f t="shared" si="3695"/>
        <v>InitUnitState('',,,,,,,,,,)</v>
      </c>
      <c r="CO283" s="70" t="str">
        <f t="shared" si="3696"/>
        <v>InitUnitNormal('',,,,,,,,,,)</v>
      </c>
      <c r="CP283" s="70" t="str">
        <f t="shared" si="3697"/>
        <v>InitUnitMagic('',,,,,,,,,,)</v>
      </c>
      <c r="CQ283" s="70" t="str">
        <f t="shared" si="3698"/>
        <v>InitUnitAdd('',,,,,,,,,,)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285&amp;CR$1&amp;")"</f>
        <v>InitEquipData('',,"",,,,,'','','','','','',"")</v>
      </c>
      <c r="CS283" s="70"/>
      <c r="CT283" s="70"/>
      <c r="CU283" s="72" t="str">
        <f t="shared" si="3620"/>
        <v>|n</v>
      </c>
      <c r="CV283" s="6"/>
      <c r="DB283" s="44" t="str">
        <f t="shared" si="3621"/>
        <v/>
      </c>
      <c r="DC283" s="44" t="str">
        <f t="shared" si="3622"/>
        <v/>
      </c>
      <c r="DD283" s="44" t="str">
        <f t="shared" si="3623"/>
        <v/>
      </c>
      <c r="DE283" s="44" t="str">
        <f t="shared" si="3624"/>
        <v/>
      </c>
      <c r="DF283" s="44" t="str">
        <f t="shared" si="3625"/>
        <v/>
      </c>
      <c r="DG283" s="44" t="str">
        <f t="shared" si="3626"/>
        <v/>
      </c>
      <c r="DH283" s="44" t="str">
        <f t="shared" si="3627"/>
        <v/>
      </c>
      <c r="DI283" s="44" t="str">
        <f t="shared" si="3628"/>
        <v/>
      </c>
      <c r="DJ283" s="44" t="str">
        <f t="shared" si="3629"/>
        <v/>
      </c>
      <c r="DK283" s="44" t="str">
        <f t="shared" si="3630"/>
        <v/>
      </c>
      <c r="DL283" s="44" t="str">
        <f t="shared" si="3631"/>
        <v/>
      </c>
      <c r="DM283" s="44" t="str">
        <f t="shared" si="3632"/>
        <v/>
      </c>
      <c r="DN283" s="44" t="str">
        <f t="shared" si="3633"/>
        <v/>
      </c>
      <c r="DO283" s="44" t="str">
        <f t="shared" si="3634"/>
        <v/>
      </c>
      <c r="DP283" s="44" t="str">
        <f t="shared" si="3635"/>
        <v/>
      </c>
      <c r="DQ283" s="44" t="str">
        <f t="shared" si="3636"/>
        <v/>
      </c>
      <c r="DR283" s="44" t="str">
        <f t="shared" si="3637"/>
        <v/>
      </c>
      <c r="DS283" s="44" t="str">
        <f t="shared" si="3638"/>
        <v/>
      </c>
      <c r="DT283" s="44" t="str">
        <f t="shared" si="3639"/>
        <v/>
      </c>
      <c r="DU283" s="44" t="str">
        <f t="shared" si="3640"/>
        <v/>
      </c>
      <c r="DV283" s="44" t="str">
        <f t="shared" si="3641"/>
        <v/>
      </c>
      <c r="DW283" s="44" t="str">
        <f t="shared" si="3642"/>
        <v/>
      </c>
      <c r="DX283" s="44" t="str">
        <f t="shared" si="3643"/>
        <v/>
      </c>
      <c r="DY283" s="44" t="str">
        <f t="shared" si="3644"/>
        <v/>
      </c>
      <c r="DZ283" s="44" t="str">
        <f t="shared" si="3645"/>
        <v/>
      </c>
      <c r="EA283" s="44" t="str">
        <f t="shared" si="3646"/>
        <v/>
      </c>
      <c r="EB283" s="44" t="str">
        <f t="shared" si="3647"/>
        <v/>
      </c>
      <c r="EC283" s="44" t="str">
        <f t="shared" si="3648"/>
        <v/>
      </c>
      <c r="ED283" s="44" t="str">
        <f t="shared" si="3649"/>
        <v/>
      </c>
      <c r="EE283" s="44" t="str">
        <f t="shared" si="3650"/>
        <v/>
      </c>
      <c r="EF283" s="44" t="str">
        <f t="shared" si="3651"/>
        <v/>
      </c>
      <c r="EG283" s="44" t="str">
        <f t="shared" si="3652"/>
        <v/>
      </c>
      <c r="EH283" s="44" t="str">
        <f t="shared" si="3653"/>
        <v/>
      </c>
      <c r="EI283" s="44" t="str">
        <f t="shared" si="3654"/>
        <v/>
      </c>
      <c r="EJ283" s="44" t="str">
        <f t="shared" si="3655"/>
        <v/>
      </c>
      <c r="EK283" s="44" t="str">
        <f t="shared" si="3656"/>
        <v/>
      </c>
      <c r="EL283" s="44" t="str">
        <f t="shared" si="3657"/>
        <v/>
      </c>
      <c r="EM283" s="44" t="str">
        <f t="shared" si="3658"/>
        <v/>
      </c>
      <c r="EN283" s="44" t="str">
        <f t="shared" si="3659"/>
        <v/>
      </c>
      <c r="EO283" s="44" t="str">
        <f t="shared" si="3660"/>
        <v/>
      </c>
      <c r="EP283" s="44" t="str">
        <f t="shared" si="3661"/>
        <v/>
      </c>
      <c r="EQ283" s="44" t="str">
        <f t="shared" si="3662"/>
        <v/>
      </c>
      <c r="ER283" s="44" t="str">
        <f t="shared" si="3663"/>
        <v/>
      </c>
      <c r="ES283" s="44" t="str">
        <f t="shared" si="3664"/>
        <v/>
      </c>
      <c r="ET283" s="44" t="str">
        <f t="shared" si="3665"/>
        <v/>
      </c>
      <c r="EU283" s="44" t="str">
        <f t="shared" si="3666"/>
        <v/>
      </c>
      <c r="EV283" s="44" t="str">
        <f t="shared" si="3667"/>
        <v/>
      </c>
      <c r="EW283" s="44" t="str">
        <f t="shared" si="3668"/>
        <v/>
      </c>
      <c r="EX283" s="44" t="str">
        <f t="shared" si="3669"/>
        <v/>
      </c>
      <c r="EY283" s="44" t="str">
        <f t="shared" si="3670"/>
        <v/>
      </c>
      <c r="EZ283" s="44" t="str">
        <f t="shared" si="3671"/>
        <v/>
      </c>
      <c r="FA283" s="44" t="str">
        <f t="shared" si="3672"/>
        <v/>
      </c>
      <c r="FB283" s="44" t="str">
        <f t="shared" si="3673"/>
        <v/>
      </c>
      <c r="FC283" s="44" t="str">
        <f t="shared" si="3674"/>
        <v/>
      </c>
      <c r="FD283" s="44" t="str">
        <f t="shared" si="3675"/>
        <v/>
      </c>
      <c r="FE283" s="44" t="str">
        <f t="shared" si="3676"/>
        <v/>
      </c>
      <c r="FF283" s="44" t="str">
        <f t="shared" si="3677"/>
        <v/>
      </c>
      <c r="FG283" s="44" t="str">
        <f t="shared" si="3678"/>
        <v/>
      </c>
      <c r="FH283" s="44" t="str">
        <f t="shared" si="3679"/>
        <v/>
      </c>
      <c r="FI283" s="44" t="str">
        <f t="shared" si="3680"/>
        <v/>
      </c>
      <c r="FJ283" s="44" t="str">
        <f t="shared" si="3681"/>
        <v/>
      </c>
      <c r="FK283" s="44" t="str">
        <f t="shared" si="3682"/>
        <v/>
      </c>
      <c r="FL283" s="44" t="str">
        <f t="shared" si="3683"/>
        <v/>
      </c>
      <c r="FM283" s="44" t="str">
        <f t="shared" si="3684"/>
        <v/>
      </c>
      <c r="FN283" s="44" t="str">
        <f t="shared" si="3685"/>
        <v/>
      </c>
      <c r="FO283" s="44" t="str">
        <f t="shared" si="3686"/>
        <v/>
      </c>
      <c r="FP283" s="44" t="str">
        <f t="shared" si="3687"/>
        <v/>
      </c>
      <c r="FQ283" s="44" t="str">
        <f t="shared" si="3688"/>
        <v/>
      </c>
      <c r="FR283" s="44" t="str">
        <f t="shared" si="3689"/>
        <v/>
      </c>
      <c r="FS283" s="44" t="str">
        <f t="shared" si="3690"/>
        <v/>
      </c>
    </row>
    <row r="284" s="7" customFormat="1" ht="15" spans="1:175">
      <c r="A284" s="117"/>
      <c r="B284" s="46"/>
      <c r="C284" s="117"/>
      <c r="D284" s="47"/>
      <c r="E284" s="48"/>
      <c r="F284" s="118"/>
      <c r="G284" s="119"/>
      <c r="H284" s="119"/>
      <c r="I284" s="119"/>
      <c r="J284" s="119"/>
      <c r="K284" s="119"/>
      <c r="L284" s="119"/>
      <c r="M284" s="119"/>
      <c r="N284" s="119"/>
      <c r="O284" s="119"/>
      <c r="P284" s="54"/>
      <c r="Q284" s="54"/>
      <c r="R284" s="54"/>
      <c r="S284" s="54"/>
      <c r="T284" s="63"/>
      <c r="U284" s="60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7"/>
      <c r="AS284" s="67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  <c r="CE284" s="61"/>
      <c r="CF284" s="61"/>
      <c r="CG284" s="61"/>
      <c r="CH284" s="61"/>
      <c r="CI284" s="61"/>
      <c r="CJ284" s="61"/>
      <c r="CK284" s="61"/>
      <c r="CL284" s="61"/>
      <c r="CM284" s="61"/>
      <c r="CN284" s="70" t="str">
        <f t="shared" si="3695"/>
        <v>InitUnitState('',,,,,,,,,,)</v>
      </c>
      <c r="CO284" s="70" t="str">
        <f t="shared" si="3696"/>
        <v>InitUnitNormal('',,,,,,,,,,)</v>
      </c>
      <c r="CP284" s="70" t="str">
        <f t="shared" si="3697"/>
        <v>InitUnitMagic('',,,,,,,,,,)</v>
      </c>
      <c r="CQ284" s="70" t="str">
        <f t="shared" si="3698"/>
        <v>InitUnitAdd('',,,,,,,,,,)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286&amp;CR$1&amp;")"</f>
        <v>InitEquipData('',,"",,,,,'','','','','','',"")</v>
      </c>
      <c r="CS284" s="70"/>
      <c r="CT284" s="70"/>
      <c r="CU284" s="72" t="str">
        <f t="shared" si="3620"/>
        <v>|n</v>
      </c>
      <c r="CV284" s="6"/>
      <c r="DB284" s="44" t="str">
        <f t="shared" si="3621"/>
        <v/>
      </c>
      <c r="DC284" s="44" t="str">
        <f t="shared" si="3622"/>
        <v/>
      </c>
      <c r="DD284" s="44" t="str">
        <f t="shared" si="3623"/>
        <v/>
      </c>
      <c r="DE284" s="44" t="str">
        <f t="shared" si="3624"/>
        <v/>
      </c>
      <c r="DF284" s="44" t="str">
        <f t="shared" si="3625"/>
        <v/>
      </c>
      <c r="DG284" s="44" t="str">
        <f t="shared" si="3626"/>
        <v/>
      </c>
      <c r="DH284" s="44" t="str">
        <f t="shared" si="3627"/>
        <v/>
      </c>
      <c r="DI284" s="44" t="str">
        <f t="shared" si="3628"/>
        <v/>
      </c>
      <c r="DJ284" s="44" t="str">
        <f t="shared" si="3629"/>
        <v/>
      </c>
      <c r="DK284" s="44" t="str">
        <f t="shared" si="3630"/>
        <v/>
      </c>
      <c r="DL284" s="44" t="str">
        <f t="shared" si="3631"/>
        <v/>
      </c>
      <c r="DM284" s="44" t="str">
        <f t="shared" si="3632"/>
        <v/>
      </c>
      <c r="DN284" s="44" t="str">
        <f t="shared" si="3633"/>
        <v/>
      </c>
      <c r="DO284" s="44" t="str">
        <f t="shared" si="3634"/>
        <v/>
      </c>
      <c r="DP284" s="44" t="str">
        <f t="shared" si="3635"/>
        <v/>
      </c>
      <c r="DQ284" s="44" t="str">
        <f t="shared" si="3636"/>
        <v/>
      </c>
      <c r="DR284" s="44" t="str">
        <f t="shared" si="3637"/>
        <v/>
      </c>
      <c r="DS284" s="44" t="str">
        <f t="shared" si="3638"/>
        <v/>
      </c>
      <c r="DT284" s="44" t="str">
        <f t="shared" si="3639"/>
        <v/>
      </c>
      <c r="DU284" s="44" t="str">
        <f t="shared" si="3640"/>
        <v/>
      </c>
      <c r="DV284" s="44" t="str">
        <f t="shared" si="3641"/>
        <v/>
      </c>
      <c r="DW284" s="44" t="str">
        <f t="shared" si="3642"/>
        <v/>
      </c>
      <c r="DX284" s="44" t="str">
        <f t="shared" si="3643"/>
        <v/>
      </c>
      <c r="DY284" s="44" t="str">
        <f t="shared" si="3644"/>
        <v/>
      </c>
      <c r="DZ284" s="44" t="str">
        <f t="shared" si="3645"/>
        <v/>
      </c>
      <c r="EA284" s="44" t="str">
        <f t="shared" si="3646"/>
        <v/>
      </c>
      <c r="EB284" s="44" t="str">
        <f t="shared" si="3647"/>
        <v/>
      </c>
      <c r="EC284" s="44" t="str">
        <f t="shared" si="3648"/>
        <v/>
      </c>
      <c r="ED284" s="44" t="str">
        <f t="shared" si="3649"/>
        <v/>
      </c>
      <c r="EE284" s="44" t="str">
        <f t="shared" si="3650"/>
        <v/>
      </c>
      <c r="EF284" s="44" t="str">
        <f t="shared" si="3651"/>
        <v/>
      </c>
      <c r="EG284" s="44" t="str">
        <f t="shared" si="3652"/>
        <v/>
      </c>
      <c r="EH284" s="44" t="str">
        <f t="shared" si="3653"/>
        <v/>
      </c>
      <c r="EI284" s="44" t="str">
        <f t="shared" si="3654"/>
        <v/>
      </c>
      <c r="EJ284" s="44" t="str">
        <f t="shared" si="3655"/>
        <v/>
      </c>
      <c r="EK284" s="44" t="str">
        <f t="shared" si="3656"/>
        <v/>
      </c>
      <c r="EL284" s="44" t="str">
        <f t="shared" si="3657"/>
        <v/>
      </c>
      <c r="EM284" s="44" t="str">
        <f t="shared" si="3658"/>
        <v/>
      </c>
      <c r="EN284" s="44" t="str">
        <f t="shared" si="3659"/>
        <v/>
      </c>
      <c r="EO284" s="44" t="str">
        <f t="shared" si="3660"/>
        <v/>
      </c>
      <c r="EP284" s="44" t="str">
        <f t="shared" si="3661"/>
        <v/>
      </c>
      <c r="EQ284" s="44" t="str">
        <f t="shared" si="3662"/>
        <v/>
      </c>
      <c r="ER284" s="44" t="str">
        <f t="shared" si="3663"/>
        <v/>
      </c>
      <c r="ES284" s="44" t="str">
        <f t="shared" si="3664"/>
        <v/>
      </c>
      <c r="ET284" s="44" t="str">
        <f t="shared" si="3665"/>
        <v/>
      </c>
      <c r="EU284" s="44" t="str">
        <f t="shared" si="3666"/>
        <v/>
      </c>
      <c r="EV284" s="44" t="str">
        <f t="shared" si="3667"/>
        <v/>
      </c>
      <c r="EW284" s="44" t="str">
        <f t="shared" si="3668"/>
        <v/>
      </c>
      <c r="EX284" s="44" t="str">
        <f t="shared" si="3669"/>
        <v/>
      </c>
      <c r="EY284" s="44" t="str">
        <f t="shared" si="3670"/>
        <v/>
      </c>
      <c r="EZ284" s="44" t="str">
        <f t="shared" si="3671"/>
        <v/>
      </c>
      <c r="FA284" s="44" t="str">
        <f t="shared" si="3672"/>
        <v/>
      </c>
      <c r="FB284" s="44" t="str">
        <f t="shared" si="3673"/>
        <v/>
      </c>
      <c r="FC284" s="44" t="str">
        <f t="shared" si="3674"/>
        <v/>
      </c>
      <c r="FD284" s="44" t="str">
        <f t="shared" si="3675"/>
        <v/>
      </c>
      <c r="FE284" s="44" t="str">
        <f t="shared" si="3676"/>
        <v/>
      </c>
      <c r="FF284" s="44" t="str">
        <f t="shared" si="3677"/>
        <v/>
      </c>
      <c r="FG284" s="44" t="str">
        <f t="shared" si="3678"/>
        <v/>
      </c>
      <c r="FH284" s="44" t="str">
        <f t="shared" si="3679"/>
        <v/>
      </c>
      <c r="FI284" s="44" t="str">
        <f t="shared" si="3680"/>
        <v/>
      </c>
      <c r="FJ284" s="44" t="str">
        <f t="shared" si="3681"/>
        <v/>
      </c>
      <c r="FK284" s="44" t="str">
        <f t="shared" si="3682"/>
        <v/>
      </c>
      <c r="FL284" s="44" t="str">
        <f t="shared" si="3683"/>
        <v/>
      </c>
      <c r="FM284" s="44" t="str">
        <f t="shared" si="3684"/>
        <v/>
      </c>
      <c r="FN284" s="44" t="str">
        <f t="shared" si="3685"/>
        <v/>
      </c>
      <c r="FO284" s="44" t="str">
        <f t="shared" si="3686"/>
        <v/>
      </c>
      <c r="FP284" s="44" t="str">
        <f t="shared" si="3687"/>
        <v/>
      </c>
      <c r="FQ284" s="44" t="str">
        <f t="shared" si="3688"/>
        <v/>
      </c>
      <c r="FR284" s="44" t="str">
        <f t="shared" si="3689"/>
        <v/>
      </c>
      <c r="FS284" s="44" t="str">
        <f t="shared" si="3690"/>
        <v/>
      </c>
    </row>
    <row r="285" ht="15" spans="1:175">
      <c r="A285" s="11"/>
      <c r="B285" s="12"/>
      <c r="C285" s="11"/>
      <c r="E285" s="121"/>
      <c r="T285" s="123"/>
      <c r="U285" s="60"/>
      <c r="CU285" s="72" t="str">
        <f t="shared" si="3620"/>
        <v>|n</v>
      </c>
      <c r="CW285" s="7"/>
      <c r="CX285" s="7"/>
      <c r="CY285" s="7"/>
      <c r="CZ285" s="7"/>
      <c r="DA285" s="7"/>
      <c r="DB285" s="44" t="str">
        <f t="shared" si="3621"/>
        <v/>
      </c>
      <c r="DC285" s="44" t="str">
        <f t="shared" si="3622"/>
        <v/>
      </c>
      <c r="DD285" s="44" t="str">
        <f t="shared" si="3623"/>
        <v/>
      </c>
      <c r="DE285" s="44" t="str">
        <f t="shared" si="3624"/>
        <v/>
      </c>
      <c r="DF285" s="44" t="str">
        <f t="shared" si="3625"/>
        <v/>
      </c>
      <c r="DG285" s="44" t="str">
        <f t="shared" si="3626"/>
        <v/>
      </c>
      <c r="DH285" s="44" t="str">
        <f t="shared" si="3627"/>
        <v/>
      </c>
      <c r="DI285" s="44" t="str">
        <f t="shared" si="3628"/>
        <v/>
      </c>
      <c r="DJ285" s="44" t="str">
        <f t="shared" si="3629"/>
        <v/>
      </c>
      <c r="DK285" s="44" t="str">
        <f t="shared" si="3630"/>
        <v/>
      </c>
      <c r="DL285" s="44" t="str">
        <f t="shared" si="3631"/>
        <v/>
      </c>
      <c r="DM285" s="44" t="str">
        <f t="shared" si="3632"/>
        <v/>
      </c>
      <c r="DN285" s="44" t="str">
        <f t="shared" si="3633"/>
        <v/>
      </c>
      <c r="DO285" s="44" t="str">
        <f t="shared" si="3634"/>
        <v/>
      </c>
      <c r="DP285" s="44" t="str">
        <f t="shared" si="3635"/>
        <v/>
      </c>
      <c r="DQ285" s="44" t="str">
        <f t="shared" si="3636"/>
        <v/>
      </c>
      <c r="DR285" s="44" t="str">
        <f t="shared" si="3637"/>
        <v/>
      </c>
      <c r="DS285" s="44" t="str">
        <f t="shared" si="3638"/>
        <v/>
      </c>
      <c r="DT285" s="44" t="str">
        <f t="shared" si="3639"/>
        <v/>
      </c>
      <c r="DU285" s="44" t="str">
        <f t="shared" si="3640"/>
        <v/>
      </c>
      <c r="DV285" s="44" t="str">
        <f t="shared" si="3641"/>
        <v/>
      </c>
      <c r="DW285" s="44" t="str">
        <f t="shared" si="3642"/>
        <v/>
      </c>
      <c r="DX285" s="44" t="str">
        <f t="shared" si="3643"/>
        <v/>
      </c>
      <c r="DY285" s="44" t="str">
        <f t="shared" si="3644"/>
        <v/>
      </c>
      <c r="DZ285" s="44" t="str">
        <f t="shared" si="3645"/>
        <v/>
      </c>
      <c r="EA285" s="44" t="str">
        <f t="shared" si="3646"/>
        <v/>
      </c>
      <c r="EB285" s="44" t="str">
        <f t="shared" si="3647"/>
        <v/>
      </c>
      <c r="EC285" s="44" t="str">
        <f t="shared" si="3648"/>
        <v/>
      </c>
      <c r="ED285" s="44" t="str">
        <f t="shared" si="3649"/>
        <v/>
      </c>
      <c r="EE285" s="44" t="str">
        <f t="shared" si="3650"/>
        <v/>
      </c>
      <c r="EF285" s="44" t="str">
        <f t="shared" si="3651"/>
        <v/>
      </c>
      <c r="EG285" s="44" t="str">
        <f t="shared" si="3652"/>
        <v/>
      </c>
      <c r="EH285" s="44" t="str">
        <f t="shared" si="3653"/>
        <v/>
      </c>
      <c r="EI285" s="44" t="str">
        <f t="shared" si="3654"/>
        <v/>
      </c>
      <c r="EJ285" s="44" t="str">
        <f t="shared" si="3655"/>
        <v/>
      </c>
      <c r="EK285" s="44" t="str">
        <f t="shared" si="3656"/>
        <v/>
      </c>
      <c r="EL285" s="44" t="str">
        <f t="shared" si="3657"/>
        <v/>
      </c>
      <c r="EM285" s="44" t="str">
        <f t="shared" si="3658"/>
        <v/>
      </c>
      <c r="EN285" s="44" t="str">
        <f t="shared" si="3659"/>
        <v/>
      </c>
      <c r="EO285" s="44" t="str">
        <f t="shared" si="3660"/>
        <v/>
      </c>
      <c r="EP285" s="44" t="str">
        <f t="shared" si="3661"/>
        <v/>
      </c>
      <c r="EQ285" s="44" t="str">
        <f t="shared" si="3662"/>
        <v/>
      </c>
      <c r="ER285" s="44" t="str">
        <f t="shared" si="3663"/>
        <v/>
      </c>
      <c r="ES285" s="44" t="str">
        <f t="shared" si="3664"/>
        <v/>
      </c>
      <c r="ET285" s="44" t="str">
        <f t="shared" si="3665"/>
        <v/>
      </c>
      <c r="EU285" s="44" t="str">
        <f t="shared" si="3666"/>
        <v/>
      </c>
      <c r="EV285" s="44" t="str">
        <f t="shared" si="3667"/>
        <v/>
      </c>
      <c r="EW285" s="44" t="str">
        <f t="shared" si="3668"/>
        <v/>
      </c>
      <c r="EX285" s="44" t="str">
        <f t="shared" si="3669"/>
        <v/>
      </c>
      <c r="EY285" s="44" t="str">
        <f t="shared" si="3670"/>
        <v/>
      </c>
      <c r="EZ285" s="44" t="str">
        <f t="shared" si="3671"/>
        <v/>
      </c>
      <c r="FA285" s="44" t="str">
        <f t="shared" si="3672"/>
        <v/>
      </c>
      <c r="FB285" s="44" t="str">
        <f t="shared" si="3673"/>
        <v/>
      </c>
      <c r="FC285" s="44" t="str">
        <f t="shared" si="3674"/>
        <v/>
      </c>
      <c r="FD285" s="44" t="str">
        <f t="shared" si="3675"/>
        <v/>
      </c>
      <c r="FE285" s="44" t="str">
        <f t="shared" si="3676"/>
        <v/>
      </c>
      <c r="FF285" s="44" t="str">
        <f t="shared" si="3677"/>
        <v/>
      </c>
      <c r="FG285" s="44" t="str">
        <f t="shared" si="3678"/>
        <v/>
      </c>
      <c r="FH285" s="44" t="str">
        <f t="shared" si="3679"/>
        <v/>
      </c>
      <c r="FI285" s="44" t="str">
        <f t="shared" si="3680"/>
        <v/>
      </c>
      <c r="FJ285" s="44" t="str">
        <f t="shared" si="3681"/>
        <v/>
      </c>
      <c r="FK285" s="44" t="str">
        <f t="shared" si="3682"/>
        <v/>
      </c>
      <c r="FL285" s="44" t="str">
        <f t="shared" si="3683"/>
        <v/>
      </c>
      <c r="FM285" s="44" t="str">
        <f t="shared" si="3684"/>
        <v/>
      </c>
      <c r="FN285" s="44" t="str">
        <f t="shared" si="3685"/>
        <v/>
      </c>
      <c r="FO285" s="44" t="str">
        <f t="shared" si="3686"/>
        <v/>
      </c>
      <c r="FP285" s="44" t="str">
        <f t="shared" si="3687"/>
        <v/>
      </c>
      <c r="FQ285" s="44" t="str">
        <f t="shared" si="3688"/>
        <v/>
      </c>
      <c r="FR285" s="44" t="str">
        <f t="shared" si="3689"/>
        <v/>
      </c>
      <c r="FS285" s="44" t="str">
        <f t="shared" si="3690"/>
        <v/>
      </c>
    </row>
    <row r="286" ht="15" spans="1:175">
      <c r="A286" s="11"/>
      <c r="B286" s="12"/>
      <c r="C286" s="11"/>
      <c r="E286" s="121"/>
      <c r="T286" s="123"/>
      <c r="U286" s="60"/>
      <c r="CU286" s="72" t="str">
        <f t="shared" si="3620"/>
        <v>|n</v>
      </c>
      <c r="CW286" s="7"/>
      <c r="CX286" s="7"/>
      <c r="CY286" s="7"/>
      <c r="CZ286" s="7"/>
      <c r="DA286" s="7"/>
      <c r="DB286" s="44" t="str">
        <f t="shared" si="3621"/>
        <v/>
      </c>
      <c r="DC286" s="44" t="str">
        <f t="shared" si="3622"/>
        <v/>
      </c>
      <c r="DD286" s="44" t="str">
        <f t="shared" si="3623"/>
        <v/>
      </c>
      <c r="DE286" s="44" t="str">
        <f t="shared" si="3624"/>
        <v/>
      </c>
      <c r="DF286" s="44" t="str">
        <f t="shared" si="3625"/>
        <v/>
      </c>
      <c r="DG286" s="44" t="str">
        <f t="shared" si="3626"/>
        <v/>
      </c>
      <c r="DH286" s="44" t="str">
        <f t="shared" si="3627"/>
        <v/>
      </c>
      <c r="DI286" s="44" t="str">
        <f t="shared" si="3628"/>
        <v/>
      </c>
      <c r="DJ286" s="44" t="str">
        <f t="shared" si="3629"/>
        <v/>
      </c>
      <c r="DK286" s="44" t="str">
        <f t="shared" si="3630"/>
        <v/>
      </c>
      <c r="DL286" s="44" t="str">
        <f t="shared" si="3631"/>
        <v/>
      </c>
      <c r="DM286" s="44" t="str">
        <f t="shared" si="3632"/>
        <v/>
      </c>
      <c r="DN286" s="44" t="str">
        <f t="shared" si="3633"/>
        <v/>
      </c>
      <c r="DO286" s="44" t="str">
        <f t="shared" si="3634"/>
        <v/>
      </c>
      <c r="DP286" s="44" t="str">
        <f t="shared" si="3635"/>
        <v/>
      </c>
      <c r="DQ286" s="44" t="str">
        <f t="shared" si="3636"/>
        <v/>
      </c>
      <c r="DR286" s="44" t="str">
        <f t="shared" si="3637"/>
        <v/>
      </c>
      <c r="DS286" s="44" t="str">
        <f t="shared" si="3638"/>
        <v/>
      </c>
      <c r="DT286" s="44" t="str">
        <f t="shared" si="3639"/>
        <v/>
      </c>
      <c r="DU286" s="44" t="str">
        <f t="shared" si="3640"/>
        <v/>
      </c>
      <c r="DV286" s="44" t="str">
        <f t="shared" si="3641"/>
        <v/>
      </c>
      <c r="DW286" s="44" t="str">
        <f t="shared" si="3642"/>
        <v/>
      </c>
      <c r="DX286" s="44" t="str">
        <f t="shared" si="3643"/>
        <v/>
      </c>
      <c r="DY286" s="44" t="str">
        <f t="shared" si="3644"/>
        <v/>
      </c>
      <c r="DZ286" s="44" t="str">
        <f t="shared" si="3645"/>
        <v/>
      </c>
      <c r="EA286" s="44" t="str">
        <f t="shared" si="3646"/>
        <v/>
      </c>
      <c r="EB286" s="44" t="str">
        <f t="shared" si="3647"/>
        <v/>
      </c>
      <c r="EC286" s="44" t="str">
        <f t="shared" si="3648"/>
        <v/>
      </c>
      <c r="ED286" s="44" t="str">
        <f t="shared" si="3649"/>
        <v/>
      </c>
      <c r="EE286" s="44" t="str">
        <f t="shared" si="3650"/>
        <v/>
      </c>
      <c r="EF286" s="44" t="str">
        <f t="shared" si="3651"/>
        <v/>
      </c>
      <c r="EG286" s="44" t="str">
        <f t="shared" si="3652"/>
        <v/>
      </c>
      <c r="EH286" s="44" t="str">
        <f t="shared" si="3653"/>
        <v/>
      </c>
      <c r="EI286" s="44" t="str">
        <f t="shared" si="3654"/>
        <v/>
      </c>
      <c r="EJ286" s="44" t="str">
        <f t="shared" si="3655"/>
        <v/>
      </c>
      <c r="EK286" s="44" t="str">
        <f t="shared" si="3656"/>
        <v/>
      </c>
      <c r="EL286" s="44" t="str">
        <f t="shared" si="3657"/>
        <v/>
      </c>
      <c r="EM286" s="44" t="str">
        <f t="shared" si="3658"/>
        <v/>
      </c>
      <c r="EN286" s="44" t="str">
        <f t="shared" si="3659"/>
        <v/>
      </c>
      <c r="EO286" s="44" t="str">
        <f t="shared" si="3660"/>
        <v/>
      </c>
      <c r="EP286" s="44" t="str">
        <f t="shared" si="3661"/>
        <v/>
      </c>
      <c r="EQ286" s="44" t="str">
        <f t="shared" si="3662"/>
        <v/>
      </c>
      <c r="ER286" s="44" t="str">
        <f t="shared" si="3663"/>
        <v/>
      </c>
      <c r="ES286" s="44" t="str">
        <f t="shared" si="3664"/>
        <v/>
      </c>
      <c r="ET286" s="44" t="str">
        <f t="shared" si="3665"/>
        <v/>
      </c>
      <c r="EU286" s="44" t="str">
        <f t="shared" si="3666"/>
        <v/>
      </c>
      <c r="EV286" s="44" t="str">
        <f t="shared" si="3667"/>
        <v/>
      </c>
      <c r="EW286" s="44" t="str">
        <f t="shared" si="3668"/>
        <v/>
      </c>
      <c r="EX286" s="44" t="str">
        <f t="shared" si="3669"/>
        <v/>
      </c>
      <c r="EY286" s="44" t="str">
        <f t="shared" si="3670"/>
        <v/>
      </c>
      <c r="EZ286" s="44" t="str">
        <f t="shared" si="3671"/>
        <v/>
      </c>
      <c r="FA286" s="44" t="str">
        <f t="shared" si="3672"/>
        <v/>
      </c>
      <c r="FB286" s="44" t="str">
        <f t="shared" si="3673"/>
        <v/>
      </c>
      <c r="FC286" s="44" t="str">
        <f t="shared" si="3674"/>
        <v/>
      </c>
      <c r="FD286" s="44" t="str">
        <f t="shared" si="3675"/>
        <v/>
      </c>
      <c r="FE286" s="44" t="str">
        <f t="shared" si="3676"/>
        <v/>
      </c>
      <c r="FF286" s="44" t="str">
        <f t="shared" si="3677"/>
        <v/>
      </c>
      <c r="FG286" s="44" t="str">
        <f t="shared" si="3678"/>
        <v/>
      </c>
      <c r="FH286" s="44" t="str">
        <f t="shared" si="3679"/>
        <v/>
      </c>
      <c r="FI286" s="44" t="str">
        <f t="shared" si="3680"/>
        <v/>
      </c>
      <c r="FJ286" s="44" t="str">
        <f t="shared" si="3681"/>
        <v/>
      </c>
      <c r="FK286" s="44" t="str">
        <f t="shared" si="3682"/>
        <v/>
      </c>
      <c r="FL286" s="44" t="str">
        <f t="shared" si="3683"/>
        <v/>
      </c>
      <c r="FM286" s="44" t="str">
        <f t="shared" si="3684"/>
        <v/>
      </c>
      <c r="FN286" s="44" t="str">
        <f t="shared" si="3685"/>
        <v/>
      </c>
      <c r="FO286" s="44" t="str">
        <f t="shared" si="3686"/>
        <v/>
      </c>
      <c r="FP286" s="44" t="str">
        <f t="shared" si="3687"/>
        <v/>
      </c>
      <c r="FQ286" s="44" t="str">
        <f t="shared" si="3688"/>
        <v/>
      </c>
      <c r="FR286" s="44" t="str">
        <f t="shared" si="3689"/>
        <v/>
      </c>
      <c r="FS286" s="44" t="str">
        <f t="shared" si="3690"/>
        <v/>
      </c>
    </row>
    <row r="287" ht="15" spans="1:175">
      <c r="A287" s="11"/>
      <c r="B287" s="12"/>
      <c r="C287" s="11"/>
      <c r="E287" s="121"/>
      <c r="T287" s="123"/>
      <c r="U287" s="60"/>
      <c r="CU287" s="72" t="str">
        <f t="shared" si="3620"/>
        <v>|n</v>
      </c>
      <c r="CW287" s="7"/>
      <c r="CX287" s="7"/>
      <c r="CY287" s="7"/>
      <c r="CZ287" s="7"/>
      <c r="DA287" s="7"/>
      <c r="DB287" s="44" t="str">
        <f t="shared" si="3621"/>
        <v/>
      </c>
      <c r="DC287" s="44" t="str">
        <f t="shared" si="3622"/>
        <v/>
      </c>
      <c r="DD287" s="44" t="str">
        <f t="shared" si="3623"/>
        <v/>
      </c>
      <c r="DE287" s="44" t="str">
        <f t="shared" si="3624"/>
        <v/>
      </c>
      <c r="DF287" s="44" t="str">
        <f t="shared" si="3625"/>
        <v/>
      </c>
      <c r="DG287" s="44" t="str">
        <f t="shared" si="3626"/>
        <v/>
      </c>
      <c r="DH287" s="44" t="str">
        <f t="shared" si="3627"/>
        <v/>
      </c>
      <c r="DI287" s="44" t="str">
        <f t="shared" si="3628"/>
        <v/>
      </c>
      <c r="DJ287" s="44" t="str">
        <f t="shared" si="3629"/>
        <v/>
      </c>
      <c r="DK287" s="44" t="str">
        <f t="shared" si="3630"/>
        <v/>
      </c>
      <c r="DL287" s="44" t="str">
        <f t="shared" si="3631"/>
        <v/>
      </c>
      <c r="DM287" s="44" t="str">
        <f t="shared" si="3632"/>
        <v/>
      </c>
      <c r="DN287" s="44" t="str">
        <f t="shared" si="3633"/>
        <v/>
      </c>
      <c r="DO287" s="44" t="str">
        <f t="shared" si="3634"/>
        <v/>
      </c>
      <c r="DP287" s="44" t="str">
        <f t="shared" si="3635"/>
        <v/>
      </c>
      <c r="DQ287" s="44" t="str">
        <f t="shared" si="3636"/>
        <v/>
      </c>
      <c r="DR287" s="44" t="str">
        <f t="shared" si="3637"/>
        <v/>
      </c>
      <c r="DS287" s="44" t="str">
        <f t="shared" si="3638"/>
        <v/>
      </c>
      <c r="DT287" s="44" t="str">
        <f t="shared" si="3639"/>
        <v/>
      </c>
      <c r="DU287" s="44" t="str">
        <f t="shared" si="3640"/>
        <v/>
      </c>
      <c r="DV287" s="44" t="str">
        <f t="shared" si="3641"/>
        <v/>
      </c>
      <c r="DW287" s="44" t="str">
        <f t="shared" si="3642"/>
        <v/>
      </c>
      <c r="DX287" s="44" t="str">
        <f t="shared" si="3643"/>
        <v/>
      </c>
      <c r="DY287" s="44" t="str">
        <f t="shared" si="3644"/>
        <v/>
      </c>
      <c r="DZ287" s="44" t="str">
        <f t="shared" si="3645"/>
        <v/>
      </c>
      <c r="EA287" s="44" t="str">
        <f t="shared" si="3646"/>
        <v/>
      </c>
      <c r="EB287" s="44" t="str">
        <f t="shared" si="3647"/>
        <v/>
      </c>
      <c r="EC287" s="44" t="str">
        <f t="shared" si="3648"/>
        <v/>
      </c>
      <c r="ED287" s="44" t="str">
        <f t="shared" si="3649"/>
        <v/>
      </c>
      <c r="EE287" s="44" t="str">
        <f t="shared" si="3650"/>
        <v/>
      </c>
      <c r="EF287" s="44" t="str">
        <f t="shared" si="3651"/>
        <v/>
      </c>
      <c r="EG287" s="44" t="str">
        <f t="shared" si="3652"/>
        <v/>
      </c>
      <c r="EH287" s="44" t="str">
        <f t="shared" si="3653"/>
        <v/>
      </c>
      <c r="EI287" s="44" t="str">
        <f t="shared" si="3654"/>
        <v/>
      </c>
      <c r="EJ287" s="44" t="str">
        <f t="shared" si="3655"/>
        <v/>
      </c>
      <c r="EK287" s="44" t="str">
        <f t="shared" si="3656"/>
        <v/>
      </c>
      <c r="EL287" s="44" t="str">
        <f t="shared" si="3657"/>
        <v/>
      </c>
      <c r="EM287" s="44" t="str">
        <f t="shared" si="3658"/>
        <v/>
      </c>
      <c r="EN287" s="44" t="str">
        <f t="shared" si="3659"/>
        <v/>
      </c>
      <c r="EO287" s="44" t="str">
        <f t="shared" si="3660"/>
        <v/>
      </c>
      <c r="EP287" s="44" t="str">
        <f t="shared" si="3661"/>
        <v/>
      </c>
      <c r="EQ287" s="44" t="str">
        <f t="shared" si="3662"/>
        <v/>
      </c>
      <c r="ER287" s="44" t="str">
        <f t="shared" si="3663"/>
        <v/>
      </c>
      <c r="ES287" s="44" t="str">
        <f t="shared" si="3664"/>
        <v/>
      </c>
      <c r="ET287" s="44" t="str">
        <f t="shared" si="3665"/>
        <v/>
      </c>
      <c r="EU287" s="44" t="str">
        <f t="shared" si="3666"/>
        <v/>
      </c>
      <c r="EV287" s="44" t="str">
        <f t="shared" si="3667"/>
        <v/>
      </c>
      <c r="EW287" s="44" t="str">
        <f t="shared" si="3668"/>
        <v/>
      </c>
      <c r="EX287" s="44" t="str">
        <f t="shared" si="3669"/>
        <v/>
      </c>
      <c r="EY287" s="44" t="str">
        <f t="shared" si="3670"/>
        <v/>
      </c>
      <c r="EZ287" s="44" t="str">
        <f t="shared" si="3671"/>
        <v/>
      </c>
      <c r="FA287" s="44" t="str">
        <f t="shared" si="3672"/>
        <v/>
      </c>
      <c r="FB287" s="44" t="str">
        <f t="shared" si="3673"/>
        <v/>
      </c>
      <c r="FC287" s="44" t="str">
        <f t="shared" si="3674"/>
        <v/>
      </c>
      <c r="FD287" s="44" t="str">
        <f t="shared" si="3675"/>
        <v/>
      </c>
      <c r="FE287" s="44" t="str">
        <f t="shared" si="3676"/>
        <v/>
      </c>
      <c r="FF287" s="44" t="str">
        <f t="shared" si="3677"/>
        <v/>
      </c>
      <c r="FG287" s="44" t="str">
        <f t="shared" si="3678"/>
        <v/>
      </c>
      <c r="FH287" s="44" t="str">
        <f t="shared" si="3679"/>
        <v/>
      </c>
      <c r="FI287" s="44" t="str">
        <f t="shared" si="3680"/>
        <v/>
      </c>
      <c r="FJ287" s="44" t="str">
        <f t="shared" si="3681"/>
        <v/>
      </c>
      <c r="FK287" s="44" t="str">
        <f t="shared" si="3682"/>
        <v/>
      </c>
      <c r="FL287" s="44" t="str">
        <f t="shared" si="3683"/>
        <v/>
      </c>
      <c r="FM287" s="44" t="str">
        <f t="shared" si="3684"/>
        <v/>
      </c>
      <c r="FN287" s="44" t="str">
        <f t="shared" si="3685"/>
        <v/>
      </c>
      <c r="FO287" s="44" t="str">
        <f t="shared" si="3686"/>
        <v/>
      </c>
      <c r="FP287" s="44" t="str">
        <f t="shared" si="3687"/>
        <v/>
      </c>
      <c r="FQ287" s="44" t="str">
        <f t="shared" si="3688"/>
        <v/>
      </c>
      <c r="FR287" s="44" t="str">
        <f t="shared" si="3689"/>
        <v/>
      </c>
      <c r="FS287" s="44" t="str">
        <f t="shared" si="3690"/>
        <v/>
      </c>
    </row>
    <row r="288" ht="15" spans="1:175">
      <c r="A288" s="11"/>
      <c r="B288" s="12"/>
      <c r="C288" s="11"/>
      <c r="E288" s="121"/>
      <c r="T288" s="123"/>
      <c r="U288" s="60"/>
      <c r="CU288" s="72" t="str">
        <f t="shared" si="3620"/>
        <v>|n</v>
      </c>
      <c r="CW288" s="7"/>
      <c r="CX288" s="7"/>
      <c r="CY288" s="7"/>
      <c r="CZ288" s="7"/>
      <c r="DA288" s="7"/>
      <c r="DB288" s="44" t="str">
        <f t="shared" si="3621"/>
        <v/>
      </c>
      <c r="DC288" s="44" t="str">
        <f t="shared" si="3622"/>
        <v/>
      </c>
      <c r="DD288" s="44" t="str">
        <f t="shared" si="3623"/>
        <v/>
      </c>
      <c r="DE288" s="44" t="str">
        <f t="shared" si="3624"/>
        <v/>
      </c>
      <c r="DF288" s="44" t="str">
        <f t="shared" si="3625"/>
        <v/>
      </c>
      <c r="DG288" s="44" t="str">
        <f t="shared" si="3626"/>
        <v/>
      </c>
      <c r="DH288" s="44" t="str">
        <f t="shared" si="3627"/>
        <v/>
      </c>
      <c r="DI288" s="44" t="str">
        <f t="shared" si="3628"/>
        <v/>
      </c>
      <c r="DJ288" s="44" t="str">
        <f t="shared" si="3629"/>
        <v/>
      </c>
      <c r="DK288" s="44" t="str">
        <f t="shared" si="3630"/>
        <v/>
      </c>
      <c r="DL288" s="44" t="str">
        <f t="shared" si="3631"/>
        <v/>
      </c>
      <c r="DM288" s="44" t="str">
        <f t="shared" si="3632"/>
        <v/>
      </c>
      <c r="DN288" s="44" t="str">
        <f t="shared" si="3633"/>
        <v/>
      </c>
      <c r="DO288" s="44" t="str">
        <f t="shared" si="3634"/>
        <v/>
      </c>
      <c r="DP288" s="44" t="str">
        <f t="shared" si="3635"/>
        <v/>
      </c>
      <c r="DQ288" s="44" t="str">
        <f t="shared" si="3636"/>
        <v/>
      </c>
      <c r="DR288" s="44" t="str">
        <f t="shared" si="3637"/>
        <v/>
      </c>
      <c r="DS288" s="44" t="str">
        <f t="shared" si="3638"/>
        <v/>
      </c>
      <c r="DT288" s="44" t="str">
        <f t="shared" si="3639"/>
        <v/>
      </c>
      <c r="DU288" s="44" t="str">
        <f t="shared" si="3640"/>
        <v/>
      </c>
      <c r="DV288" s="44" t="str">
        <f t="shared" si="3641"/>
        <v/>
      </c>
      <c r="DW288" s="44" t="str">
        <f t="shared" si="3642"/>
        <v/>
      </c>
      <c r="DX288" s="44" t="str">
        <f t="shared" si="3643"/>
        <v/>
      </c>
      <c r="DY288" s="44" t="str">
        <f t="shared" si="3644"/>
        <v/>
      </c>
      <c r="DZ288" s="44" t="str">
        <f t="shared" si="3645"/>
        <v/>
      </c>
      <c r="EA288" s="44" t="str">
        <f t="shared" si="3646"/>
        <v/>
      </c>
      <c r="EB288" s="44" t="str">
        <f t="shared" si="3647"/>
        <v/>
      </c>
      <c r="EC288" s="44" t="str">
        <f t="shared" si="3648"/>
        <v/>
      </c>
      <c r="ED288" s="44" t="str">
        <f t="shared" si="3649"/>
        <v/>
      </c>
      <c r="EE288" s="44" t="str">
        <f t="shared" si="3650"/>
        <v/>
      </c>
      <c r="EF288" s="44" t="str">
        <f t="shared" si="3651"/>
        <v/>
      </c>
      <c r="EG288" s="44" t="str">
        <f t="shared" si="3652"/>
        <v/>
      </c>
      <c r="EH288" s="44" t="str">
        <f t="shared" si="3653"/>
        <v/>
      </c>
      <c r="EI288" s="44" t="str">
        <f t="shared" si="3654"/>
        <v/>
      </c>
      <c r="EJ288" s="44" t="str">
        <f t="shared" si="3655"/>
        <v/>
      </c>
      <c r="EK288" s="44" t="str">
        <f t="shared" si="3656"/>
        <v/>
      </c>
      <c r="EL288" s="44" t="str">
        <f t="shared" si="3657"/>
        <v/>
      </c>
      <c r="EM288" s="44" t="str">
        <f t="shared" si="3658"/>
        <v/>
      </c>
      <c r="EN288" s="44" t="str">
        <f t="shared" si="3659"/>
        <v/>
      </c>
      <c r="EO288" s="44" t="str">
        <f t="shared" si="3660"/>
        <v/>
      </c>
      <c r="EP288" s="44" t="str">
        <f t="shared" si="3661"/>
        <v/>
      </c>
      <c r="EQ288" s="44" t="str">
        <f t="shared" si="3662"/>
        <v/>
      </c>
      <c r="ER288" s="44" t="str">
        <f t="shared" si="3663"/>
        <v/>
      </c>
      <c r="ES288" s="44" t="str">
        <f t="shared" si="3664"/>
        <v/>
      </c>
      <c r="ET288" s="44" t="str">
        <f t="shared" si="3665"/>
        <v/>
      </c>
      <c r="EU288" s="44" t="str">
        <f t="shared" si="3666"/>
        <v/>
      </c>
      <c r="EV288" s="44" t="str">
        <f t="shared" si="3667"/>
        <v/>
      </c>
      <c r="EW288" s="44" t="str">
        <f t="shared" si="3668"/>
        <v/>
      </c>
      <c r="EX288" s="44" t="str">
        <f t="shared" si="3669"/>
        <v/>
      </c>
      <c r="EY288" s="44" t="str">
        <f t="shared" si="3670"/>
        <v/>
      </c>
      <c r="EZ288" s="44" t="str">
        <f t="shared" si="3671"/>
        <v/>
      </c>
      <c r="FA288" s="44" t="str">
        <f t="shared" si="3672"/>
        <v/>
      </c>
      <c r="FB288" s="44" t="str">
        <f t="shared" si="3673"/>
        <v/>
      </c>
      <c r="FC288" s="44" t="str">
        <f t="shared" si="3674"/>
        <v/>
      </c>
      <c r="FD288" s="44" t="str">
        <f t="shared" si="3675"/>
        <v/>
      </c>
      <c r="FE288" s="44" t="str">
        <f t="shared" si="3676"/>
        <v/>
      </c>
      <c r="FF288" s="44" t="str">
        <f t="shared" si="3677"/>
        <v/>
      </c>
      <c r="FG288" s="44" t="str">
        <f t="shared" si="3678"/>
        <v/>
      </c>
      <c r="FH288" s="44" t="str">
        <f t="shared" si="3679"/>
        <v/>
      </c>
      <c r="FI288" s="44" t="str">
        <f t="shared" si="3680"/>
        <v/>
      </c>
      <c r="FJ288" s="44" t="str">
        <f t="shared" si="3681"/>
        <v/>
      </c>
      <c r="FK288" s="44" t="str">
        <f t="shared" si="3682"/>
        <v/>
      </c>
      <c r="FL288" s="44" t="str">
        <f t="shared" si="3683"/>
        <v/>
      </c>
      <c r="FM288" s="44" t="str">
        <f t="shared" si="3684"/>
        <v/>
      </c>
      <c r="FN288" s="44" t="str">
        <f t="shared" si="3685"/>
        <v/>
      </c>
      <c r="FO288" s="44" t="str">
        <f t="shared" si="3686"/>
        <v/>
      </c>
      <c r="FP288" s="44" t="str">
        <f t="shared" si="3687"/>
        <v/>
      </c>
      <c r="FQ288" s="44" t="str">
        <f t="shared" si="3688"/>
        <v/>
      </c>
      <c r="FR288" s="44" t="str">
        <f t="shared" si="3689"/>
        <v/>
      </c>
      <c r="FS288" s="44" t="str">
        <f t="shared" si="3690"/>
        <v/>
      </c>
    </row>
    <row r="289" ht="15" spans="1:175">
      <c r="A289" s="11"/>
      <c r="B289" s="12"/>
      <c r="C289" s="11"/>
      <c r="E289" s="121"/>
      <c r="T289" s="123"/>
      <c r="U289" s="60"/>
      <c r="CU289" s="72" t="str">
        <f t="shared" si="3620"/>
        <v>|n</v>
      </c>
      <c r="CW289" s="7"/>
      <c r="CX289" s="7"/>
      <c r="CY289" s="7"/>
      <c r="CZ289" s="7"/>
      <c r="DA289" s="7"/>
      <c r="DB289" s="44" t="str">
        <f t="shared" si="3621"/>
        <v/>
      </c>
      <c r="DC289" s="44" t="str">
        <f t="shared" si="3622"/>
        <v/>
      </c>
      <c r="DD289" s="44" t="str">
        <f t="shared" si="3623"/>
        <v/>
      </c>
      <c r="DE289" s="44" t="str">
        <f t="shared" si="3624"/>
        <v/>
      </c>
      <c r="DF289" s="44" t="str">
        <f t="shared" si="3625"/>
        <v/>
      </c>
      <c r="DG289" s="44" t="str">
        <f t="shared" si="3626"/>
        <v/>
      </c>
      <c r="DH289" s="44" t="str">
        <f t="shared" si="3627"/>
        <v/>
      </c>
      <c r="DI289" s="44" t="str">
        <f t="shared" si="3628"/>
        <v/>
      </c>
      <c r="DJ289" s="44" t="str">
        <f t="shared" si="3629"/>
        <v/>
      </c>
      <c r="DK289" s="44" t="str">
        <f t="shared" si="3630"/>
        <v/>
      </c>
      <c r="DL289" s="44" t="str">
        <f t="shared" si="3631"/>
        <v/>
      </c>
      <c r="DM289" s="44" t="str">
        <f t="shared" si="3632"/>
        <v/>
      </c>
      <c r="DN289" s="44" t="str">
        <f t="shared" si="3633"/>
        <v/>
      </c>
      <c r="DO289" s="44" t="str">
        <f t="shared" si="3634"/>
        <v/>
      </c>
      <c r="DP289" s="44" t="str">
        <f t="shared" si="3635"/>
        <v/>
      </c>
      <c r="DQ289" s="44" t="str">
        <f t="shared" si="3636"/>
        <v/>
      </c>
      <c r="DR289" s="44" t="str">
        <f t="shared" si="3637"/>
        <v/>
      </c>
      <c r="DS289" s="44" t="str">
        <f t="shared" si="3638"/>
        <v/>
      </c>
      <c r="DT289" s="44" t="str">
        <f t="shared" si="3639"/>
        <v/>
      </c>
      <c r="DU289" s="44" t="str">
        <f t="shared" si="3640"/>
        <v/>
      </c>
      <c r="DV289" s="44" t="str">
        <f t="shared" si="3641"/>
        <v/>
      </c>
      <c r="DW289" s="44" t="str">
        <f t="shared" si="3642"/>
        <v/>
      </c>
      <c r="DX289" s="44" t="str">
        <f t="shared" si="3643"/>
        <v/>
      </c>
      <c r="DY289" s="44" t="str">
        <f t="shared" si="3644"/>
        <v/>
      </c>
      <c r="DZ289" s="44" t="str">
        <f t="shared" si="3645"/>
        <v/>
      </c>
      <c r="EA289" s="44" t="str">
        <f t="shared" si="3646"/>
        <v/>
      </c>
      <c r="EB289" s="44" t="str">
        <f t="shared" si="3647"/>
        <v/>
      </c>
      <c r="EC289" s="44" t="str">
        <f t="shared" si="3648"/>
        <v/>
      </c>
      <c r="ED289" s="44" t="str">
        <f t="shared" si="3649"/>
        <v/>
      </c>
      <c r="EE289" s="44" t="str">
        <f t="shared" si="3650"/>
        <v/>
      </c>
      <c r="EF289" s="44" t="str">
        <f t="shared" si="3651"/>
        <v/>
      </c>
      <c r="EG289" s="44" t="str">
        <f t="shared" si="3652"/>
        <v/>
      </c>
      <c r="EH289" s="44" t="str">
        <f t="shared" si="3653"/>
        <v/>
      </c>
      <c r="EI289" s="44" t="str">
        <f t="shared" si="3654"/>
        <v/>
      </c>
      <c r="EJ289" s="44" t="str">
        <f t="shared" si="3655"/>
        <v/>
      </c>
      <c r="EK289" s="44" t="str">
        <f t="shared" si="3656"/>
        <v/>
      </c>
      <c r="EL289" s="44" t="str">
        <f t="shared" si="3657"/>
        <v/>
      </c>
      <c r="EM289" s="44" t="str">
        <f t="shared" si="3658"/>
        <v/>
      </c>
      <c r="EN289" s="44" t="str">
        <f t="shared" si="3659"/>
        <v/>
      </c>
      <c r="EO289" s="44" t="str">
        <f t="shared" si="3660"/>
        <v/>
      </c>
      <c r="EP289" s="44" t="str">
        <f t="shared" si="3661"/>
        <v/>
      </c>
      <c r="EQ289" s="44" t="str">
        <f t="shared" si="3662"/>
        <v/>
      </c>
      <c r="ER289" s="44" t="str">
        <f t="shared" si="3663"/>
        <v/>
      </c>
      <c r="ES289" s="44" t="str">
        <f t="shared" si="3664"/>
        <v/>
      </c>
      <c r="ET289" s="44" t="str">
        <f t="shared" si="3665"/>
        <v/>
      </c>
      <c r="EU289" s="44" t="str">
        <f t="shared" si="3666"/>
        <v/>
      </c>
      <c r="EV289" s="44" t="str">
        <f t="shared" si="3667"/>
        <v/>
      </c>
      <c r="EW289" s="44" t="str">
        <f t="shared" si="3668"/>
        <v/>
      </c>
      <c r="EX289" s="44" t="str">
        <f t="shared" si="3669"/>
        <v/>
      </c>
      <c r="EY289" s="44" t="str">
        <f t="shared" si="3670"/>
        <v/>
      </c>
      <c r="EZ289" s="44" t="str">
        <f t="shared" si="3671"/>
        <v/>
      </c>
      <c r="FA289" s="44" t="str">
        <f t="shared" si="3672"/>
        <v/>
      </c>
      <c r="FB289" s="44" t="str">
        <f t="shared" si="3673"/>
        <v/>
      </c>
      <c r="FC289" s="44" t="str">
        <f t="shared" si="3674"/>
        <v/>
      </c>
      <c r="FD289" s="44" t="str">
        <f t="shared" si="3675"/>
        <v/>
      </c>
      <c r="FE289" s="44" t="str">
        <f t="shared" si="3676"/>
        <v/>
      </c>
      <c r="FF289" s="44" t="str">
        <f t="shared" si="3677"/>
        <v/>
      </c>
      <c r="FG289" s="44" t="str">
        <f t="shared" si="3678"/>
        <v/>
      </c>
      <c r="FH289" s="44" t="str">
        <f t="shared" si="3679"/>
        <v/>
      </c>
      <c r="FI289" s="44" t="str">
        <f t="shared" si="3680"/>
        <v/>
      </c>
      <c r="FJ289" s="44" t="str">
        <f t="shared" si="3681"/>
        <v/>
      </c>
      <c r="FK289" s="44" t="str">
        <f t="shared" si="3682"/>
        <v/>
      </c>
      <c r="FL289" s="44" t="str">
        <f t="shared" si="3683"/>
        <v/>
      </c>
      <c r="FM289" s="44" t="str">
        <f t="shared" si="3684"/>
        <v/>
      </c>
      <c r="FN289" s="44" t="str">
        <f t="shared" si="3685"/>
        <v/>
      </c>
      <c r="FO289" s="44" t="str">
        <f t="shared" si="3686"/>
        <v/>
      </c>
      <c r="FP289" s="44" t="str">
        <f t="shared" si="3687"/>
        <v/>
      </c>
      <c r="FQ289" s="44" t="str">
        <f t="shared" si="3688"/>
        <v/>
      </c>
      <c r="FR289" s="44" t="str">
        <f t="shared" si="3689"/>
        <v/>
      </c>
      <c r="FS289" s="44" t="str">
        <f t="shared" si="3690"/>
        <v/>
      </c>
    </row>
    <row r="290" ht="15" spans="1:175">
      <c r="A290" s="11"/>
      <c r="B290" s="12"/>
      <c r="C290" s="11"/>
      <c r="E290" s="121"/>
      <c r="T290" s="123"/>
      <c r="U290" s="60"/>
      <c r="CU290" s="72" t="str">
        <f t="shared" si="3620"/>
        <v>|n</v>
      </c>
      <c r="CW290" s="7"/>
      <c r="CX290" s="7"/>
      <c r="CY290" s="7"/>
      <c r="CZ290" s="7"/>
      <c r="DA290" s="7"/>
      <c r="DB290" s="44" t="str">
        <f t="shared" si="3621"/>
        <v/>
      </c>
      <c r="DC290" s="44" t="str">
        <f t="shared" si="3622"/>
        <v/>
      </c>
      <c r="DD290" s="44" t="str">
        <f t="shared" si="3623"/>
        <v/>
      </c>
      <c r="DE290" s="44" t="str">
        <f t="shared" si="3624"/>
        <v/>
      </c>
      <c r="DF290" s="44" t="str">
        <f t="shared" si="3625"/>
        <v/>
      </c>
      <c r="DG290" s="44" t="str">
        <f t="shared" si="3626"/>
        <v/>
      </c>
      <c r="DH290" s="44" t="str">
        <f t="shared" si="3627"/>
        <v/>
      </c>
      <c r="DI290" s="44" t="str">
        <f t="shared" si="3628"/>
        <v/>
      </c>
      <c r="DJ290" s="44" t="str">
        <f t="shared" si="3629"/>
        <v/>
      </c>
      <c r="DK290" s="44" t="str">
        <f t="shared" si="3630"/>
        <v/>
      </c>
      <c r="DL290" s="44" t="str">
        <f t="shared" si="3631"/>
        <v/>
      </c>
      <c r="DM290" s="44" t="str">
        <f t="shared" si="3632"/>
        <v/>
      </c>
      <c r="DN290" s="44" t="str">
        <f t="shared" si="3633"/>
        <v/>
      </c>
      <c r="DO290" s="44" t="str">
        <f t="shared" si="3634"/>
        <v/>
      </c>
      <c r="DP290" s="44" t="str">
        <f t="shared" si="3635"/>
        <v/>
      </c>
      <c r="DQ290" s="44" t="str">
        <f t="shared" si="3636"/>
        <v/>
      </c>
      <c r="DR290" s="44" t="str">
        <f t="shared" si="3637"/>
        <v/>
      </c>
      <c r="DS290" s="44" t="str">
        <f t="shared" si="3638"/>
        <v/>
      </c>
      <c r="DT290" s="44" t="str">
        <f t="shared" si="3639"/>
        <v/>
      </c>
      <c r="DU290" s="44" t="str">
        <f t="shared" si="3640"/>
        <v/>
      </c>
      <c r="DV290" s="44" t="str">
        <f t="shared" si="3641"/>
        <v/>
      </c>
      <c r="DW290" s="44" t="str">
        <f t="shared" si="3642"/>
        <v/>
      </c>
      <c r="DX290" s="44" t="str">
        <f t="shared" si="3643"/>
        <v/>
      </c>
      <c r="DY290" s="44" t="str">
        <f t="shared" si="3644"/>
        <v/>
      </c>
      <c r="DZ290" s="44" t="str">
        <f t="shared" si="3645"/>
        <v/>
      </c>
      <c r="EA290" s="44" t="str">
        <f t="shared" si="3646"/>
        <v/>
      </c>
      <c r="EB290" s="44" t="str">
        <f t="shared" si="3647"/>
        <v/>
      </c>
      <c r="EC290" s="44" t="str">
        <f t="shared" si="3648"/>
        <v/>
      </c>
      <c r="ED290" s="44" t="str">
        <f t="shared" si="3649"/>
        <v/>
      </c>
      <c r="EE290" s="44" t="str">
        <f t="shared" si="3650"/>
        <v/>
      </c>
      <c r="EF290" s="44" t="str">
        <f t="shared" si="3651"/>
        <v/>
      </c>
      <c r="EG290" s="44" t="str">
        <f t="shared" si="3652"/>
        <v/>
      </c>
      <c r="EH290" s="44" t="str">
        <f t="shared" si="3653"/>
        <v/>
      </c>
      <c r="EI290" s="44" t="str">
        <f t="shared" si="3654"/>
        <v/>
      </c>
      <c r="EJ290" s="44" t="str">
        <f t="shared" si="3655"/>
        <v/>
      </c>
      <c r="EK290" s="44" t="str">
        <f t="shared" si="3656"/>
        <v/>
      </c>
      <c r="EL290" s="44" t="str">
        <f t="shared" si="3657"/>
        <v/>
      </c>
      <c r="EM290" s="44" t="str">
        <f t="shared" si="3658"/>
        <v/>
      </c>
      <c r="EN290" s="44" t="str">
        <f t="shared" si="3659"/>
        <v/>
      </c>
      <c r="EO290" s="44" t="str">
        <f t="shared" si="3660"/>
        <v/>
      </c>
      <c r="EP290" s="44" t="str">
        <f t="shared" si="3661"/>
        <v/>
      </c>
      <c r="EQ290" s="44" t="str">
        <f t="shared" si="3662"/>
        <v/>
      </c>
      <c r="ER290" s="44" t="str">
        <f t="shared" si="3663"/>
        <v/>
      </c>
      <c r="ES290" s="44" t="str">
        <f t="shared" si="3664"/>
        <v/>
      </c>
      <c r="ET290" s="44" t="str">
        <f t="shared" si="3665"/>
        <v/>
      </c>
      <c r="EU290" s="44" t="str">
        <f t="shared" si="3666"/>
        <v/>
      </c>
      <c r="EV290" s="44" t="str">
        <f t="shared" si="3667"/>
        <v/>
      </c>
      <c r="EW290" s="44" t="str">
        <f t="shared" si="3668"/>
        <v/>
      </c>
      <c r="EX290" s="44" t="str">
        <f t="shared" si="3669"/>
        <v/>
      </c>
      <c r="EY290" s="44" t="str">
        <f t="shared" si="3670"/>
        <v/>
      </c>
      <c r="EZ290" s="44" t="str">
        <f t="shared" si="3671"/>
        <v/>
      </c>
      <c r="FA290" s="44" t="str">
        <f t="shared" si="3672"/>
        <v/>
      </c>
      <c r="FB290" s="44" t="str">
        <f t="shared" si="3673"/>
        <v/>
      </c>
      <c r="FC290" s="44" t="str">
        <f t="shared" si="3674"/>
        <v/>
      </c>
      <c r="FD290" s="44" t="str">
        <f t="shared" si="3675"/>
        <v/>
      </c>
      <c r="FE290" s="44" t="str">
        <f t="shared" si="3676"/>
        <v/>
      </c>
      <c r="FF290" s="44" t="str">
        <f t="shared" si="3677"/>
        <v/>
      </c>
      <c r="FG290" s="44" t="str">
        <f t="shared" si="3678"/>
        <v/>
      </c>
      <c r="FH290" s="44" t="str">
        <f t="shared" si="3679"/>
        <v/>
      </c>
      <c r="FI290" s="44" t="str">
        <f t="shared" si="3680"/>
        <v/>
      </c>
      <c r="FJ290" s="44" t="str">
        <f t="shared" si="3681"/>
        <v/>
      </c>
      <c r="FK290" s="44" t="str">
        <f t="shared" si="3682"/>
        <v/>
      </c>
      <c r="FL290" s="44" t="str">
        <f t="shared" si="3683"/>
        <v/>
      </c>
      <c r="FM290" s="44" t="str">
        <f t="shared" si="3684"/>
        <v/>
      </c>
      <c r="FN290" s="44" t="str">
        <f t="shared" si="3685"/>
        <v/>
      </c>
      <c r="FO290" s="44" t="str">
        <f t="shared" si="3686"/>
        <v/>
      </c>
      <c r="FP290" s="44" t="str">
        <f t="shared" si="3687"/>
        <v/>
      </c>
      <c r="FQ290" s="44" t="str">
        <f t="shared" si="3688"/>
        <v/>
      </c>
      <c r="FR290" s="44" t="str">
        <f t="shared" si="3689"/>
        <v/>
      </c>
      <c r="FS290" s="44" t="str">
        <f t="shared" si="3690"/>
        <v/>
      </c>
    </row>
    <row r="291" ht="15" spans="1:175">
      <c r="A291" s="11"/>
      <c r="B291" s="12"/>
      <c r="C291" s="11"/>
      <c r="E291" s="121"/>
      <c r="T291" s="123"/>
      <c r="U291" s="60"/>
      <c r="CU291" s="72" t="str">
        <f t="shared" si="3620"/>
        <v>|n</v>
      </c>
      <c r="CW291" s="7"/>
      <c r="CX291" s="7"/>
      <c r="CY291" s="7"/>
      <c r="CZ291" s="7"/>
      <c r="DA291" s="7"/>
      <c r="DB291" s="44" t="str">
        <f t="shared" si="3621"/>
        <v/>
      </c>
      <c r="DC291" s="44" t="str">
        <f t="shared" si="3622"/>
        <v/>
      </c>
      <c r="DD291" s="44" t="str">
        <f t="shared" si="3623"/>
        <v/>
      </c>
      <c r="DE291" s="44" t="str">
        <f t="shared" si="3624"/>
        <v/>
      </c>
      <c r="DF291" s="44" t="str">
        <f t="shared" si="3625"/>
        <v/>
      </c>
      <c r="DG291" s="44" t="str">
        <f t="shared" si="3626"/>
        <v/>
      </c>
      <c r="DH291" s="44" t="str">
        <f t="shared" si="3627"/>
        <v/>
      </c>
      <c r="DI291" s="44" t="str">
        <f t="shared" si="3628"/>
        <v/>
      </c>
      <c r="DJ291" s="44" t="str">
        <f t="shared" si="3629"/>
        <v/>
      </c>
      <c r="DK291" s="44" t="str">
        <f t="shared" si="3630"/>
        <v/>
      </c>
      <c r="DL291" s="44" t="str">
        <f t="shared" si="3631"/>
        <v/>
      </c>
      <c r="DM291" s="44" t="str">
        <f t="shared" si="3632"/>
        <v/>
      </c>
      <c r="DN291" s="44" t="str">
        <f t="shared" si="3633"/>
        <v/>
      </c>
      <c r="DO291" s="44" t="str">
        <f t="shared" si="3634"/>
        <v/>
      </c>
      <c r="DP291" s="44" t="str">
        <f t="shared" si="3635"/>
        <v/>
      </c>
      <c r="DQ291" s="44" t="str">
        <f t="shared" si="3636"/>
        <v/>
      </c>
      <c r="DR291" s="44" t="str">
        <f t="shared" si="3637"/>
        <v/>
      </c>
      <c r="DS291" s="44" t="str">
        <f t="shared" si="3638"/>
        <v/>
      </c>
      <c r="DT291" s="44" t="str">
        <f t="shared" si="3639"/>
        <v/>
      </c>
      <c r="DU291" s="44" t="str">
        <f t="shared" si="3640"/>
        <v/>
      </c>
      <c r="DV291" s="44" t="str">
        <f t="shared" si="3641"/>
        <v/>
      </c>
      <c r="DW291" s="44" t="str">
        <f t="shared" si="3642"/>
        <v/>
      </c>
      <c r="DX291" s="44" t="str">
        <f t="shared" si="3643"/>
        <v/>
      </c>
      <c r="DY291" s="44" t="str">
        <f t="shared" si="3644"/>
        <v/>
      </c>
      <c r="DZ291" s="44" t="str">
        <f t="shared" si="3645"/>
        <v/>
      </c>
      <c r="EA291" s="44" t="str">
        <f t="shared" si="3646"/>
        <v/>
      </c>
      <c r="EB291" s="44" t="str">
        <f t="shared" si="3647"/>
        <v/>
      </c>
      <c r="EC291" s="44" t="str">
        <f t="shared" si="3648"/>
        <v/>
      </c>
      <c r="ED291" s="44" t="str">
        <f t="shared" si="3649"/>
        <v/>
      </c>
      <c r="EE291" s="44" t="str">
        <f t="shared" si="3650"/>
        <v/>
      </c>
      <c r="EF291" s="44" t="str">
        <f t="shared" si="3651"/>
        <v/>
      </c>
      <c r="EG291" s="44" t="str">
        <f t="shared" si="3652"/>
        <v/>
      </c>
      <c r="EH291" s="44" t="str">
        <f t="shared" si="3653"/>
        <v/>
      </c>
      <c r="EI291" s="44" t="str">
        <f t="shared" si="3654"/>
        <v/>
      </c>
      <c r="EJ291" s="44" t="str">
        <f t="shared" si="3655"/>
        <v/>
      </c>
      <c r="EK291" s="44" t="str">
        <f t="shared" si="3656"/>
        <v/>
      </c>
      <c r="EL291" s="44" t="str">
        <f t="shared" si="3657"/>
        <v/>
      </c>
      <c r="EM291" s="44" t="str">
        <f t="shared" si="3658"/>
        <v/>
      </c>
      <c r="EN291" s="44" t="str">
        <f t="shared" si="3659"/>
        <v/>
      </c>
      <c r="EO291" s="44" t="str">
        <f t="shared" si="3660"/>
        <v/>
      </c>
      <c r="EP291" s="44" t="str">
        <f t="shared" si="3661"/>
        <v/>
      </c>
      <c r="EQ291" s="44" t="str">
        <f t="shared" si="3662"/>
        <v/>
      </c>
      <c r="ER291" s="44" t="str">
        <f t="shared" si="3663"/>
        <v/>
      </c>
      <c r="ES291" s="44" t="str">
        <f t="shared" si="3664"/>
        <v/>
      </c>
      <c r="ET291" s="44" t="str">
        <f t="shared" si="3665"/>
        <v/>
      </c>
      <c r="EU291" s="44" t="str">
        <f t="shared" si="3666"/>
        <v/>
      </c>
      <c r="EV291" s="44" t="str">
        <f t="shared" si="3667"/>
        <v/>
      </c>
      <c r="EW291" s="44" t="str">
        <f t="shared" si="3668"/>
        <v/>
      </c>
      <c r="EX291" s="44" t="str">
        <f t="shared" si="3669"/>
        <v/>
      </c>
      <c r="EY291" s="44" t="str">
        <f t="shared" si="3670"/>
        <v/>
      </c>
      <c r="EZ291" s="44" t="str">
        <f t="shared" si="3671"/>
        <v/>
      </c>
      <c r="FA291" s="44" t="str">
        <f t="shared" si="3672"/>
        <v/>
      </c>
      <c r="FB291" s="44" t="str">
        <f t="shared" si="3673"/>
        <v/>
      </c>
      <c r="FC291" s="44" t="str">
        <f t="shared" si="3674"/>
        <v/>
      </c>
      <c r="FD291" s="44" t="str">
        <f t="shared" si="3675"/>
        <v/>
      </c>
      <c r="FE291" s="44" t="str">
        <f t="shared" si="3676"/>
        <v/>
      </c>
      <c r="FF291" s="44" t="str">
        <f t="shared" si="3677"/>
        <v/>
      </c>
      <c r="FG291" s="44" t="str">
        <f t="shared" si="3678"/>
        <v/>
      </c>
      <c r="FH291" s="44" t="str">
        <f t="shared" si="3679"/>
        <v/>
      </c>
      <c r="FI291" s="44" t="str">
        <f t="shared" si="3680"/>
        <v/>
      </c>
      <c r="FJ291" s="44" t="str">
        <f t="shared" si="3681"/>
        <v/>
      </c>
      <c r="FK291" s="44" t="str">
        <f t="shared" si="3682"/>
        <v/>
      </c>
      <c r="FL291" s="44" t="str">
        <f t="shared" si="3683"/>
        <v/>
      </c>
      <c r="FM291" s="44" t="str">
        <f t="shared" si="3684"/>
        <v/>
      </c>
      <c r="FN291" s="44" t="str">
        <f t="shared" si="3685"/>
        <v/>
      </c>
      <c r="FO291" s="44" t="str">
        <f t="shared" si="3686"/>
        <v/>
      </c>
      <c r="FP291" s="44" t="str">
        <f t="shared" si="3687"/>
        <v/>
      </c>
      <c r="FQ291" s="44" t="str">
        <f t="shared" si="3688"/>
        <v/>
      </c>
      <c r="FR291" s="44" t="str">
        <f t="shared" si="3689"/>
        <v/>
      </c>
      <c r="FS291" s="44" t="str">
        <f t="shared" si="3690"/>
        <v/>
      </c>
    </row>
    <row r="292" ht="15" spans="1:175">
      <c r="A292" s="11"/>
      <c r="B292" s="12"/>
      <c r="C292" s="11"/>
      <c r="E292" s="121"/>
      <c r="T292" s="123"/>
      <c r="U292" s="60"/>
      <c r="CU292" s="72" t="str">
        <f t="shared" si="3620"/>
        <v>|n</v>
      </c>
      <c r="CW292" s="7"/>
      <c r="CX292" s="7"/>
      <c r="CY292" s="7"/>
      <c r="CZ292" s="7"/>
      <c r="DA292" s="7"/>
      <c r="DB292" s="44" t="str">
        <f t="shared" si="3621"/>
        <v/>
      </c>
      <c r="DC292" s="44" t="str">
        <f t="shared" si="3622"/>
        <v/>
      </c>
      <c r="DD292" s="44" t="str">
        <f t="shared" si="3623"/>
        <v/>
      </c>
      <c r="DE292" s="44" t="str">
        <f t="shared" si="3624"/>
        <v/>
      </c>
      <c r="DF292" s="44" t="str">
        <f t="shared" si="3625"/>
        <v/>
      </c>
      <c r="DG292" s="44" t="str">
        <f t="shared" si="3626"/>
        <v/>
      </c>
      <c r="DH292" s="44" t="str">
        <f t="shared" si="3627"/>
        <v/>
      </c>
      <c r="DI292" s="44" t="str">
        <f t="shared" si="3628"/>
        <v/>
      </c>
      <c r="DJ292" s="44" t="str">
        <f t="shared" si="3629"/>
        <v/>
      </c>
      <c r="DK292" s="44" t="str">
        <f t="shared" si="3630"/>
        <v/>
      </c>
      <c r="DL292" s="44" t="str">
        <f t="shared" si="3631"/>
        <v/>
      </c>
      <c r="DM292" s="44" t="str">
        <f t="shared" si="3632"/>
        <v/>
      </c>
      <c r="DN292" s="44" t="str">
        <f t="shared" si="3633"/>
        <v/>
      </c>
      <c r="DO292" s="44" t="str">
        <f t="shared" si="3634"/>
        <v/>
      </c>
      <c r="DP292" s="44" t="str">
        <f t="shared" si="3635"/>
        <v/>
      </c>
      <c r="DQ292" s="44" t="str">
        <f t="shared" si="3636"/>
        <v/>
      </c>
      <c r="DR292" s="44" t="str">
        <f t="shared" si="3637"/>
        <v/>
      </c>
      <c r="DS292" s="44" t="str">
        <f t="shared" si="3638"/>
        <v/>
      </c>
      <c r="DT292" s="44" t="str">
        <f t="shared" si="3639"/>
        <v/>
      </c>
      <c r="DU292" s="44" t="str">
        <f t="shared" si="3640"/>
        <v/>
      </c>
      <c r="DV292" s="44" t="str">
        <f t="shared" si="3641"/>
        <v/>
      </c>
      <c r="DW292" s="44" t="str">
        <f t="shared" si="3642"/>
        <v/>
      </c>
      <c r="DX292" s="44" t="str">
        <f t="shared" si="3643"/>
        <v/>
      </c>
      <c r="DY292" s="44" t="str">
        <f t="shared" si="3644"/>
        <v/>
      </c>
      <c r="DZ292" s="44" t="str">
        <f t="shared" si="3645"/>
        <v/>
      </c>
      <c r="EA292" s="44" t="str">
        <f t="shared" si="3646"/>
        <v/>
      </c>
      <c r="EB292" s="44" t="str">
        <f t="shared" si="3647"/>
        <v/>
      </c>
      <c r="EC292" s="44" t="str">
        <f t="shared" si="3648"/>
        <v/>
      </c>
      <c r="ED292" s="44" t="str">
        <f t="shared" si="3649"/>
        <v/>
      </c>
      <c r="EE292" s="44" t="str">
        <f t="shared" si="3650"/>
        <v/>
      </c>
      <c r="EF292" s="44" t="str">
        <f t="shared" si="3651"/>
        <v/>
      </c>
      <c r="EG292" s="44" t="str">
        <f t="shared" si="3652"/>
        <v/>
      </c>
      <c r="EH292" s="44" t="str">
        <f t="shared" si="3653"/>
        <v/>
      </c>
      <c r="EI292" s="44" t="str">
        <f t="shared" si="3654"/>
        <v/>
      </c>
      <c r="EJ292" s="44" t="str">
        <f t="shared" si="3655"/>
        <v/>
      </c>
      <c r="EK292" s="44" t="str">
        <f t="shared" si="3656"/>
        <v/>
      </c>
      <c r="EL292" s="44" t="str">
        <f t="shared" si="3657"/>
        <v/>
      </c>
      <c r="EM292" s="44" t="str">
        <f t="shared" si="3658"/>
        <v/>
      </c>
      <c r="EN292" s="44" t="str">
        <f t="shared" si="3659"/>
        <v/>
      </c>
      <c r="EO292" s="44" t="str">
        <f t="shared" si="3660"/>
        <v/>
      </c>
      <c r="EP292" s="44" t="str">
        <f t="shared" si="3661"/>
        <v/>
      </c>
      <c r="EQ292" s="44" t="str">
        <f t="shared" si="3662"/>
        <v/>
      </c>
      <c r="ER292" s="44" t="str">
        <f t="shared" si="3663"/>
        <v/>
      </c>
      <c r="ES292" s="44" t="str">
        <f t="shared" si="3664"/>
        <v/>
      </c>
      <c r="ET292" s="44" t="str">
        <f t="shared" si="3665"/>
        <v/>
      </c>
      <c r="EU292" s="44" t="str">
        <f t="shared" si="3666"/>
        <v/>
      </c>
      <c r="EV292" s="44" t="str">
        <f t="shared" si="3667"/>
        <v/>
      </c>
      <c r="EW292" s="44" t="str">
        <f t="shared" si="3668"/>
        <v/>
      </c>
      <c r="EX292" s="44" t="str">
        <f t="shared" si="3669"/>
        <v/>
      </c>
      <c r="EY292" s="44" t="str">
        <f t="shared" si="3670"/>
        <v/>
      </c>
      <c r="EZ292" s="44" t="str">
        <f t="shared" si="3671"/>
        <v/>
      </c>
      <c r="FA292" s="44" t="str">
        <f t="shared" si="3672"/>
        <v/>
      </c>
      <c r="FB292" s="44" t="str">
        <f t="shared" si="3673"/>
        <v/>
      </c>
      <c r="FC292" s="44" t="str">
        <f t="shared" si="3674"/>
        <v/>
      </c>
      <c r="FD292" s="44" t="str">
        <f t="shared" si="3675"/>
        <v/>
      </c>
      <c r="FE292" s="44" t="str">
        <f t="shared" si="3676"/>
        <v/>
      </c>
      <c r="FF292" s="44" t="str">
        <f t="shared" si="3677"/>
        <v/>
      </c>
      <c r="FG292" s="44" t="str">
        <f t="shared" si="3678"/>
        <v/>
      </c>
      <c r="FH292" s="44" t="str">
        <f t="shared" si="3679"/>
        <v/>
      </c>
      <c r="FI292" s="44" t="str">
        <f t="shared" si="3680"/>
        <v/>
      </c>
      <c r="FJ292" s="44" t="str">
        <f t="shared" si="3681"/>
        <v/>
      </c>
      <c r="FK292" s="44" t="str">
        <f t="shared" si="3682"/>
        <v/>
      </c>
      <c r="FL292" s="44" t="str">
        <f t="shared" si="3683"/>
        <v/>
      </c>
      <c r="FM292" s="44" t="str">
        <f t="shared" si="3684"/>
        <v/>
      </c>
      <c r="FN292" s="44" t="str">
        <f t="shared" si="3685"/>
        <v/>
      </c>
      <c r="FO292" s="44" t="str">
        <f t="shared" si="3686"/>
        <v/>
      </c>
      <c r="FP292" s="44" t="str">
        <f t="shared" si="3687"/>
        <v/>
      </c>
      <c r="FQ292" s="44" t="str">
        <f t="shared" si="3688"/>
        <v/>
      </c>
      <c r="FR292" s="44" t="str">
        <f t="shared" si="3689"/>
        <v/>
      </c>
      <c r="FS292" s="44" t="str">
        <f t="shared" si="3690"/>
        <v/>
      </c>
    </row>
    <row r="293" ht="15" spans="1:175">
      <c r="A293" s="11"/>
      <c r="B293" s="12"/>
      <c r="C293" s="11"/>
      <c r="E293" s="121"/>
      <c r="T293" s="123"/>
      <c r="U293" s="60"/>
      <c r="CU293" s="72" t="str">
        <f t="shared" si="3620"/>
        <v>|n</v>
      </c>
      <c r="CW293" s="7"/>
      <c r="CX293" s="7"/>
      <c r="CY293" s="7"/>
      <c r="CZ293" s="7"/>
      <c r="DA293" s="7"/>
      <c r="DB293" s="44" t="str">
        <f t="shared" si="3621"/>
        <v/>
      </c>
      <c r="DC293" s="44" t="str">
        <f t="shared" si="3622"/>
        <v/>
      </c>
      <c r="DD293" s="44" t="str">
        <f t="shared" si="3623"/>
        <v/>
      </c>
      <c r="DE293" s="44" t="str">
        <f t="shared" si="3624"/>
        <v/>
      </c>
      <c r="DF293" s="44" t="str">
        <f t="shared" si="3625"/>
        <v/>
      </c>
      <c r="DG293" s="44" t="str">
        <f t="shared" si="3626"/>
        <v/>
      </c>
      <c r="DH293" s="44" t="str">
        <f t="shared" si="3627"/>
        <v/>
      </c>
      <c r="DI293" s="44" t="str">
        <f t="shared" si="3628"/>
        <v/>
      </c>
      <c r="DJ293" s="44" t="str">
        <f t="shared" si="3629"/>
        <v/>
      </c>
      <c r="DK293" s="44" t="str">
        <f t="shared" si="3630"/>
        <v/>
      </c>
      <c r="DL293" s="44" t="str">
        <f t="shared" si="3631"/>
        <v/>
      </c>
      <c r="DM293" s="44" t="str">
        <f t="shared" si="3632"/>
        <v/>
      </c>
      <c r="DN293" s="44" t="str">
        <f t="shared" si="3633"/>
        <v/>
      </c>
      <c r="DO293" s="44" t="str">
        <f t="shared" si="3634"/>
        <v/>
      </c>
      <c r="DP293" s="44" t="str">
        <f t="shared" si="3635"/>
        <v/>
      </c>
      <c r="DQ293" s="44" t="str">
        <f t="shared" si="3636"/>
        <v/>
      </c>
      <c r="DR293" s="44" t="str">
        <f t="shared" si="3637"/>
        <v/>
      </c>
      <c r="DS293" s="44" t="str">
        <f t="shared" si="3638"/>
        <v/>
      </c>
      <c r="DT293" s="44" t="str">
        <f t="shared" si="3639"/>
        <v/>
      </c>
      <c r="DU293" s="44" t="str">
        <f t="shared" si="3640"/>
        <v/>
      </c>
      <c r="DV293" s="44" t="str">
        <f t="shared" si="3641"/>
        <v/>
      </c>
      <c r="DW293" s="44" t="str">
        <f t="shared" si="3642"/>
        <v/>
      </c>
      <c r="DX293" s="44" t="str">
        <f t="shared" si="3643"/>
        <v/>
      </c>
      <c r="DY293" s="44" t="str">
        <f t="shared" si="3644"/>
        <v/>
      </c>
      <c r="DZ293" s="44" t="str">
        <f t="shared" si="3645"/>
        <v/>
      </c>
      <c r="EA293" s="44" t="str">
        <f t="shared" si="3646"/>
        <v/>
      </c>
      <c r="EB293" s="44" t="str">
        <f t="shared" si="3647"/>
        <v/>
      </c>
      <c r="EC293" s="44" t="str">
        <f t="shared" si="3648"/>
        <v/>
      </c>
      <c r="ED293" s="44" t="str">
        <f t="shared" si="3649"/>
        <v/>
      </c>
      <c r="EE293" s="44" t="str">
        <f t="shared" si="3650"/>
        <v/>
      </c>
      <c r="EF293" s="44" t="str">
        <f t="shared" si="3651"/>
        <v/>
      </c>
      <c r="EG293" s="44" t="str">
        <f t="shared" si="3652"/>
        <v/>
      </c>
      <c r="EH293" s="44" t="str">
        <f t="shared" si="3653"/>
        <v/>
      </c>
      <c r="EI293" s="44" t="str">
        <f t="shared" si="3654"/>
        <v/>
      </c>
      <c r="EJ293" s="44" t="str">
        <f t="shared" si="3655"/>
        <v/>
      </c>
      <c r="EK293" s="44" t="str">
        <f t="shared" si="3656"/>
        <v/>
      </c>
      <c r="EL293" s="44" t="str">
        <f t="shared" si="3657"/>
        <v/>
      </c>
      <c r="EM293" s="44" t="str">
        <f t="shared" si="3658"/>
        <v/>
      </c>
      <c r="EN293" s="44" t="str">
        <f t="shared" si="3659"/>
        <v/>
      </c>
      <c r="EO293" s="44" t="str">
        <f t="shared" si="3660"/>
        <v/>
      </c>
      <c r="EP293" s="44" t="str">
        <f t="shared" si="3661"/>
        <v/>
      </c>
      <c r="EQ293" s="44" t="str">
        <f t="shared" si="3662"/>
        <v/>
      </c>
      <c r="ER293" s="44" t="str">
        <f t="shared" si="3663"/>
        <v/>
      </c>
      <c r="ES293" s="44" t="str">
        <f t="shared" si="3664"/>
        <v/>
      </c>
      <c r="ET293" s="44" t="str">
        <f t="shared" si="3665"/>
        <v/>
      </c>
      <c r="EU293" s="44" t="str">
        <f t="shared" si="3666"/>
        <v/>
      </c>
      <c r="EV293" s="44" t="str">
        <f t="shared" si="3667"/>
        <v/>
      </c>
      <c r="EW293" s="44" t="str">
        <f t="shared" si="3668"/>
        <v/>
      </c>
      <c r="EX293" s="44" t="str">
        <f t="shared" si="3669"/>
        <v/>
      </c>
      <c r="EY293" s="44" t="str">
        <f t="shared" si="3670"/>
        <v/>
      </c>
      <c r="EZ293" s="44" t="str">
        <f t="shared" si="3671"/>
        <v/>
      </c>
      <c r="FA293" s="44" t="str">
        <f t="shared" si="3672"/>
        <v/>
      </c>
      <c r="FB293" s="44" t="str">
        <f t="shared" si="3673"/>
        <v/>
      </c>
      <c r="FC293" s="44" t="str">
        <f t="shared" si="3674"/>
        <v/>
      </c>
      <c r="FD293" s="44" t="str">
        <f t="shared" si="3675"/>
        <v/>
      </c>
      <c r="FE293" s="44" t="str">
        <f t="shared" si="3676"/>
        <v/>
      </c>
      <c r="FF293" s="44" t="str">
        <f t="shared" si="3677"/>
        <v/>
      </c>
      <c r="FG293" s="44" t="str">
        <f t="shared" si="3678"/>
        <v/>
      </c>
      <c r="FH293" s="44" t="str">
        <f t="shared" si="3679"/>
        <v/>
      </c>
      <c r="FI293" s="44" t="str">
        <f t="shared" si="3680"/>
        <v/>
      </c>
      <c r="FJ293" s="44" t="str">
        <f t="shared" si="3681"/>
        <v/>
      </c>
      <c r="FK293" s="44" t="str">
        <f t="shared" si="3682"/>
        <v/>
      </c>
      <c r="FL293" s="44" t="str">
        <f t="shared" si="3683"/>
        <v/>
      </c>
      <c r="FM293" s="44" t="str">
        <f t="shared" si="3684"/>
        <v/>
      </c>
      <c r="FN293" s="44" t="str">
        <f t="shared" si="3685"/>
        <v/>
      </c>
      <c r="FO293" s="44" t="str">
        <f t="shared" si="3686"/>
        <v/>
      </c>
      <c r="FP293" s="44" t="str">
        <f t="shared" si="3687"/>
        <v/>
      </c>
      <c r="FQ293" s="44" t="str">
        <f t="shared" si="3688"/>
        <v/>
      </c>
      <c r="FR293" s="44" t="str">
        <f t="shared" si="3689"/>
        <v/>
      </c>
      <c r="FS293" s="44" t="str">
        <f t="shared" si="3690"/>
        <v/>
      </c>
    </row>
    <row r="294" ht="15" spans="1:175">
      <c r="A294" s="11"/>
      <c r="B294" s="12"/>
      <c r="C294" s="11"/>
      <c r="E294" s="121"/>
      <c r="T294" s="123"/>
      <c r="U294" s="60"/>
      <c r="CU294" s="72" t="str">
        <f t="shared" si="3620"/>
        <v>|n</v>
      </c>
      <c r="CW294" s="7"/>
      <c r="CX294" s="7"/>
      <c r="CY294" s="7"/>
      <c r="CZ294" s="7"/>
      <c r="DA294" s="7"/>
      <c r="DB294" s="44" t="str">
        <f t="shared" si="3621"/>
        <v/>
      </c>
      <c r="DC294" s="44" t="str">
        <f t="shared" si="3622"/>
        <v/>
      </c>
      <c r="DD294" s="44" t="str">
        <f t="shared" si="3623"/>
        <v/>
      </c>
      <c r="DE294" s="44" t="str">
        <f t="shared" si="3624"/>
        <v/>
      </c>
      <c r="DF294" s="44" t="str">
        <f t="shared" si="3625"/>
        <v/>
      </c>
      <c r="DG294" s="44" t="str">
        <f t="shared" si="3626"/>
        <v/>
      </c>
      <c r="DH294" s="44" t="str">
        <f t="shared" si="3627"/>
        <v/>
      </c>
      <c r="DI294" s="44" t="str">
        <f t="shared" si="3628"/>
        <v/>
      </c>
      <c r="DJ294" s="44" t="str">
        <f t="shared" si="3629"/>
        <v/>
      </c>
      <c r="DK294" s="44" t="str">
        <f t="shared" si="3630"/>
        <v/>
      </c>
      <c r="DL294" s="44" t="str">
        <f t="shared" si="3631"/>
        <v/>
      </c>
      <c r="DM294" s="44" t="str">
        <f t="shared" si="3632"/>
        <v/>
      </c>
      <c r="DN294" s="44" t="str">
        <f t="shared" si="3633"/>
        <v/>
      </c>
      <c r="DO294" s="44" t="str">
        <f t="shared" si="3634"/>
        <v/>
      </c>
      <c r="DP294" s="44" t="str">
        <f t="shared" si="3635"/>
        <v/>
      </c>
      <c r="DQ294" s="44" t="str">
        <f t="shared" si="3636"/>
        <v/>
      </c>
      <c r="DR294" s="44" t="str">
        <f t="shared" si="3637"/>
        <v/>
      </c>
      <c r="DS294" s="44" t="str">
        <f t="shared" si="3638"/>
        <v/>
      </c>
      <c r="DT294" s="44" t="str">
        <f t="shared" si="3639"/>
        <v/>
      </c>
      <c r="DU294" s="44" t="str">
        <f t="shared" si="3640"/>
        <v/>
      </c>
      <c r="DV294" s="44" t="str">
        <f t="shared" si="3641"/>
        <v/>
      </c>
      <c r="DW294" s="44" t="str">
        <f t="shared" si="3642"/>
        <v/>
      </c>
      <c r="DX294" s="44" t="str">
        <f t="shared" si="3643"/>
        <v/>
      </c>
      <c r="DY294" s="44" t="str">
        <f t="shared" si="3644"/>
        <v/>
      </c>
      <c r="DZ294" s="44" t="str">
        <f t="shared" si="3645"/>
        <v/>
      </c>
      <c r="EA294" s="44" t="str">
        <f t="shared" si="3646"/>
        <v/>
      </c>
      <c r="EB294" s="44" t="str">
        <f t="shared" si="3647"/>
        <v/>
      </c>
      <c r="EC294" s="44" t="str">
        <f t="shared" si="3648"/>
        <v/>
      </c>
      <c r="ED294" s="44" t="str">
        <f t="shared" si="3649"/>
        <v/>
      </c>
      <c r="EE294" s="44" t="str">
        <f t="shared" si="3650"/>
        <v/>
      </c>
      <c r="EF294" s="44" t="str">
        <f t="shared" si="3651"/>
        <v/>
      </c>
      <c r="EG294" s="44" t="str">
        <f t="shared" si="3652"/>
        <v/>
      </c>
      <c r="EH294" s="44" t="str">
        <f t="shared" si="3653"/>
        <v/>
      </c>
      <c r="EI294" s="44" t="str">
        <f t="shared" si="3654"/>
        <v/>
      </c>
      <c r="EJ294" s="44" t="str">
        <f t="shared" si="3655"/>
        <v/>
      </c>
      <c r="EK294" s="44" t="str">
        <f t="shared" si="3656"/>
        <v/>
      </c>
      <c r="EL294" s="44" t="str">
        <f t="shared" si="3657"/>
        <v/>
      </c>
      <c r="EM294" s="44" t="str">
        <f t="shared" si="3658"/>
        <v/>
      </c>
      <c r="EN294" s="44" t="str">
        <f t="shared" si="3659"/>
        <v/>
      </c>
      <c r="EO294" s="44" t="str">
        <f t="shared" si="3660"/>
        <v/>
      </c>
      <c r="EP294" s="44" t="str">
        <f t="shared" si="3661"/>
        <v/>
      </c>
      <c r="EQ294" s="44" t="str">
        <f t="shared" si="3662"/>
        <v/>
      </c>
      <c r="ER294" s="44" t="str">
        <f t="shared" si="3663"/>
        <v/>
      </c>
      <c r="ES294" s="44" t="str">
        <f t="shared" si="3664"/>
        <v/>
      </c>
      <c r="ET294" s="44" t="str">
        <f t="shared" si="3665"/>
        <v/>
      </c>
      <c r="EU294" s="44" t="str">
        <f t="shared" si="3666"/>
        <v/>
      </c>
      <c r="EV294" s="44" t="str">
        <f t="shared" si="3667"/>
        <v/>
      </c>
      <c r="EW294" s="44" t="str">
        <f t="shared" si="3668"/>
        <v/>
      </c>
      <c r="EX294" s="44" t="str">
        <f t="shared" si="3669"/>
        <v/>
      </c>
      <c r="EY294" s="44" t="str">
        <f t="shared" si="3670"/>
        <v/>
      </c>
      <c r="EZ294" s="44" t="str">
        <f t="shared" si="3671"/>
        <v/>
      </c>
      <c r="FA294" s="44" t="str">
        <f t="shared" si="3672"/>
        <v/>
      </c>
      <c r="FB294" s="44" t="str">
        <f t="shared" si="3673"/>
        <v/>
      </c>
      <c r="FC294" s="44" t="str">
        <f t="shared" si="3674"/>
        <v/>
      </c>
      <c r="FD294" s="44" t="str">
        <f t="shared" si="3675"/>
        <v/>
      </c>
      <c r="FE294" s="44" t="str">
        <f t="shared" si="3676"/>
        <v/>
      </c>
      <c r="FF294" s="44" t="str">
        <f t="shared" si="3677"/>
        <v/>
      </c>
      <c r="FG294" s="44" t="str">
        <f t="shared" si="3678"/>
        <v/>
      </c>
      <c r="FH294" s="44" t="str">
        <f t="shared" si="3679"/>
        <v/>
      </c>
      <c r="FI294" s="44" t="str">
        <f t="shared" si="3680"/>
        <v/>
      </c>
      <c r="FJ294" s="44" t="str">
        <f t="shared" si="3681"/>
        <v/>
      </c>
      <c r="FK294" s="44" t="str">
        <f t="shared" si="3682"/>
        <v/>
      </c>
      <c r="FL294" s="44" t="str">
        <f t="shared" si="3683"/>
        <v/>
      </c>
      <c r="FM294" s="44" t="str">
        <f t="shared" si="3684"/>
        <v/>
      </c>
      <c r="FN294" s="44" t="str">
        <f t="shared" si="3685"/>
        <v/>
      </c>
      <c r="FO294" s="44" t="str">
        <f t="shared" si="3686"/>
        <v/>
      </c>
      <c r="FP294" s="44" t="str">
        <f t="shared" si="3687"/>
        <v/>
      </c>
      <c r="FQ294" s="44" t="str">
        <f t="shared" si="3688"/>
        <v/>
      </c>
      <c r="FR294" s="44" t="str">
        <f t="shared" si="3689"/>
        <v/>
      </c>
      <c r="FS294" s="44" t="str">
        <f t="shared" si="3690"/>
        <v/>
      </c>
    </row>
    <row r="295" ht="15" spans="1:175">
      <c r="A295" s="11"/>
      <c r="B295" s="12"/>
      <c r="C295" s="11"/>
      <c r="E295" s="121"/>
      <c r="T295" s="123"/>
      <c r="U295" s="60"/>
      <c r="CU295" s="72" t="str">
        <f t="shared" si="3620"/>
        <v>|n</v>
      </c>
      <c r="CW295" s="7"/>
      <c r="CX295" s="7"/>
      <c r="CY295" s="7"/>
      <c r="CZ295" s="7"/>
      <c r="DA295" s="7"/>
      <c r="DB295" s="44" t="str">
        <f t="shared" si="3621"/>
        <v/>
      </c>
      <c r="DC295" s="44" t="str">
        <f t="shared" si="3622"/>
        <v/>
      </c>
      <c r="DD295" s="44" t="str">
        <f t="shared" si="3623"/>
        <v/>
      </c>
      <c r="DE295" s="44" t="str">
        <f t="shared" si="3624"/>
        <v/>
      </c>
      <c r="DF295" s="44" t="str">
        <f t="shared" si="3625"/>
        <v/>
      </c>
      <c r="DG295" s="44" t="str">
        <f t="shared" si="3626"/>
        <v/>
      </c>
      <c r="DH295" s="44" t="str">
        <f t="shared" si="3627"/>
        <v/>
      </c>
      <c r="DI295" s="44" t="str">
        <f t="shared" si="3628"/>
        <v/>
      </c>
      <c r="DJ295" s="44" t="str">
        <f t="shared" si="3629"/>
        <v/>
      </c>
      <c r="DK295" s="44" t="str">
        <f t="shared" si="3630"/>
        <v/>
      </c>
      <c r="DL295" s="44" t="str">
        <f t="shared" si="3631"/>
        <v/>
      </c>
      <c r="DM295" s="44" t="str">
        <f t="shared" si="3632"/>
        <v/>
      </c>
      <c r="DN295" s="44" t="str">
        <f t="shared" si="3633"/>
        <v/>
      </c>
      <c r="DO295" s="44" t="str">
        <f t="shared" si="3634"/>
        <v/>
      </c>
      <c r="DP295" s="44" t="str">
        <f t="shared" si="3635"/>
        <v/>
      </c>
      <c r="DQ295" s="44" t="str">
        <f t="shared" si="3636"/>
        <v/>
      </c>
      <c r="DR295" s="44" t="str">
        <f t="shared" si="3637"/>
        <v/>
      </c>
      <c r="DS295" s="44" t="str">
        <f t="shared" si="3638"/>
        <v/>
      </c>
      <c r="DT295" s="44" t="str">
        <f t="shared" si="3639"/>
        <v/>
      </c>
      <c r="DU295" s="44" t="str">
        <f t="shared" si="3640"/>
        <v/>
      </c>
      <c r="DV295" s="44" t="str">
        <f t="shared" si="3641"/>
        <v/>
      </c>
      <c r="DW295" s="44" t="str">
        <f t="shared" si="3642"/>
        <v/>
      </c>
      <c r="DX295" s="44" t="str">
        <f t="shared" si="3643"/>
        <v/>
      </c>
      <c r="DY295" s="44" t="str">
        <f t="shared" si="3644"/>
        <v/>
      </c>
      <c r="DZ295" s="44" t="str">
        <f t="shared" si="3645"/>
        <v/>
      </c>
      <c r="EA295" s="44" t="str">
        <f t="shared" si="3646"/>
        <v/>
      </c>
      <c r="EB295" s="44" t="str">
        <f t="shared" si="3647"/>
        <v/>
      </c>
      <c r="EC295" s="44" t="str">
        <f t="shared" si="3648"/>
        <v/>
      </c>
      <c r="ED295" s="44" t="str">
        <f t="shared" si="3649"/>
        <v/>
      </c>
      <c r="EE295" s="44" t="str">
        <f t="shared" si="3650"/>
        <v/>
      </c>
      <c r="EF295" s="44" t="str">
        <f t="shared" si="3651"/>
        <v/>
      </c>
      <c r="EG295" s="44" t="str">
        <f t="shared" si="3652"/>
        <v/>
      </c>
      <c r="EH295" s="44" t="str">
        <f t="shared" si="3653"/>
        <v/>
      </c>
      <c r="EI295" s="44" t="str">
        <f t="shared" si="3654"/>
        <v/>
      </c>
      <c r="EJ295" s="44" t="str">
        <f t="shared" si="3655"/>
        <v/>
      </c>
      <c r="EK295" s="44" t="str">
        <f t="shared" si="3656"/>
        <v/>
      </c>
      <c r="EL295" s="44" t="str">
        <f t="shared" si="3657"/>
        <v/>
      </c>
      <c r="EM295" s="44" t="str">
        <f t="shared" si="3658"/>
        <v/>
      </c>
      <c r="EN295" s="44" t="str">
        <f t="shared" si="3659"/>
        <v/>
      </c>
      <c r="EO295" s="44" t="str">
        <f t="shared" si="3660"/>
        <v/>
      </c>
      <c r="EP295" s="44" t="str">
        <f t="shared" si="3661"/>
        <v/>
      </c>
      <c r="EQ295" s="44" t="str">
        <f t="shared" si="3662"/>
        <v/>
      </c>
      <c r="ER295" s="44" t="str">
        <f t="shared" si="3663"/>
        <v/>
      </c>
      <c r="ES295" s="44" t="str">
        <f t="shared" si="3664"/>
        <v/>
      </c>
      <c r="ET295" s="44" t="str">
        <f t="shared" si="3665"/>
        <v/>
      </c>
      <c r="EU295" s="44" t="str">
        <f t="shared" si="3666"/>
        <v/>
      </c>
      <c r="EV295" s="44" t="str">
        <f t="shared" si="3667"/>
        <v/>
      </c>
      <c r="EW295" s="44" t="str">
        <f t="shared" si="3668"/>
        <v/>
      </c>
      <c r="EX295" s="44" t="str">
        <f t="shared" si="3669"/>
        <v/>
      </c>
      <c r="EY295" s="44" t="str">
        <f t="shared" si="3670"/>
        <v/>
      </c>
      <c r="EZ295" s="44" t="str">
        <f t="shared" si="3671"/>
        <v/>
      </c>
      <c r="FA295" s="44" t="str">
        <f t="shared" si="3672"/>
        <v/>
      </c>
      <c r="FB295" s="44" t="str">
        <f t="shared" si="3673"/>
        <v/>
      </c>
      <c r="FC295" s="44" t="str">
        <f t="shared" si="3674"/>
        <v/>
      </c>
      <c r="FD295" s="44" t="str">
        <f t="shared" si="3675"/>
        <v/>
      </c>
      <c r="FE295" s="44" t="str">
        <f t="shared" si="3676"/>
        <v/>
      </c>
      <c r="FF295" s="44" t="str">
        <f t="shared" si="3677"/>
        <v/>
      </c>
      <c r="FG295" s="44" t="str">
        <f t="shared" si="3678"/>
        <v/>
      </c>
      <c r="FH295" s="44" t="str">
        <f t="shared" si="3679"/>
        <v/>
      </c>
      <c r="FI295" s="44" t="str">
        <f t="shared" si="3680"/>
        <v/>
      </c>
      <c r="FJ295" s="44" t="str">
        <f t="shared" si="3681"/>
        <v/>
      </c>
      <c r="FK295" s="44" t="str">
        <f t="shared" si="3682"/>
        <v/>
      </c>
      <c r="FL295" s="44" t="str">
        <f t="shared" si="3683"/>
        <v/>
      </c>
      <c r="FM295" s="44" t="str">
        <f t="shared" si="3684"/>
        <v/>
      </c>
      <c r="FN295" s="44" t="str">
        <f t="shared" si="3685"/>
        <v/>
      </c>
      <c r="FO295" s="44" t="str">
        <f t="shared" si="3686"/>
        <v/>
      </c>
      <c r="FP295" s="44" t="str">
        <f t="shared" si="3687"/>
        <v/>
      </c>
      <c r="FQ295" s="44" t="str">
        <f t="shared" si="3688"/>
        <v/>
      </c>
      <c r="FR295" s="44" t="str">
        <f t="shared" si="3689"/>
        <v/>
      </c>
      <c r="FS295" s="44" t="str">
        <f t="shared" si="3690"/>
        <v/>
      </c>
    </row>
    <row r="296" ht="15" spans="1:175">
      <c r="A296" s="11"/>
      <c r="B296" s="12"/>
      <c r="C296" s="11"/>
      <c r="E296" s="121"/>
      <c r="T296" s="123"/>
      <c r="U296" s="60"/>
      <c r="CU296" s="72" t="str">
        <f t="shared" si="3620"/>
        <v>|n</v>
      </c>
      <c r="CW296" s="7"/>
      <c r="CX296" s="7"/>
      <c r="CY296" s="7"/>
      <c r="CZ296" s="7"/>
      <c r="DA296" s="7"/>
      <c r="DB296" s="44" t="str">
        <f t="shared" si="3621"/>
        <v/>
      </c>
      <c r="DC296" s="44" t="str">
        <f t="shared" si="3622"/>
        <v/>
      </c>
      <c r="DD296" s="44" t="str">
        <f t="shared" si="3623"/>
        <v/>
      </c>
      <c r="DE296" s="44" t="str">
        <f t="shared" si="3624"/>
        <v/>
      </c>
      <c r="DF296" s="44" t="str">
        <f t="shared" si="3625"/>
        <v/>
      </c>
      <c r="DG296" s="44" t="str">
        <f t="shared" si="3626"/>
        <v/>
      </c>
      <c r="DH296" s="44" t="str">
        <f t="shared" si="3627"/>
        <v/>
      </c>
      <c r="DI296" s="44" t="str">
        <f t="shared" si="3628"/>
        <v/>
      </c>
      <c r="DJ296" s="44" t="str">
        <f t="shared" si="3629"/>
        <v/>
      </c>
      <c r="DK296" s="44" t="str">
        <f t="shared" si="3630"/>
        <v/>
      </c>
      <c r="DL296" s="44" t="str">
        <f t="shared" si="3631"/>
        <v/>
      </c>
      <c r="DM296" s="44" t="str">
        <f t="shared" si="3632"/>
        <v/>
      </c>
      <c r="DN296" s="44" t="str">
        <f t="shared" si="3633"/>
        <v/>
      </c>
      <c r="DO296" s="44" t="str">
        <f t="shared" si="3634"/>
        <v/>
      </c>
      <c r="DP296" s="44" t="str">
        <f t="shared" si="3635"/>
        <v/>
      </c>
      <c r="DQ296" s="44" t="str">
        <f t="shared" si="3636"/>
        <v/>
      </c>
      <c r="DR296" s="44" t="str">
        <f t="shared" si="3637"/>
        <v/>
      </c>
      <c r="DS296" s="44" t="str">
        <f t="shared" si="3638"/>
        <v/>
      </c>
      <c r="DT296" s="44" t="str">
        <f t="shared" si="3639"/>
        <v/>
      </c>
      <c r="DU296" s="44" t="str">
        <f t="shared" si="3640"/>
        <v/>
      </c>
      <c r="DV296" s="44" t="str">
        <f t="shared" si="3641"/>
        <v/>
      </c>
      <c r="DW296" s="44" t="str">
        <f t="shared" si="3642"/>
        <v/>
      </c>
      <c r="DX296" s="44" t="str">
        <f t="shared" si="3643"/>
        <v/>
      </c>
      <c r="DY296" s="44" t="str">
        <f t="shared" si="3644"/>
        <v/>
      </c>
      <c r="DZ296" s="44" t="str">
        <f t="shared" si="3645"/>
        <v/>
      </c>
      <c r="EA296" s="44" t="str">
        <f t="shared" si="3646"/>
        <v/>
      </c>
      <c r="EB296" s="44" t="str">
        <f t="shared" si="3647"/>
        <v/>
      </c>
      <c r="EC296" s="44" t="str">
        <f t="shared" si="3648"/>
        <v/>
      </c>
      <c r="ED296" s="44" t="str">
        <f t="shared" si="3649"/>
        <v/>
      </c>
      <c r="EE296" s="44" t="str">
        <f t="shared" si="3650"/>
        <v/>
      </c>
      <c r="EF296" s="44" t="str">
        <f t="shared" si="3651"/>
        <v/>
      </c>
      <c r="EG296" s="44" t="str">
        <f t="shared" si="3652"/>
        <v/>
      </c>
      <c r="EH296" s="44" t="str">
        <f t="shared" si="3653"/>
        <v/>
      </c>
      <c r="EI296" s="44" t="str">
        <f t="shared" si="3654"/>
        <v/>
      </c>
      <c r="EJ296" s="44" t="str">
        <f t="shared" si="3655"/>
        <v/>
      </c>
      <c r="EK296" s="44" t="str">
        <f t="shared" si="3656"/>
        <v/>
      </c>
      <c r="EL296" s="44" t="str">
        <f t="shared" si="3657"/>
        <v/>
      </c>
      <c r="EM296" s="44" t="str">
        <f t="shared" si="3658"/>
        <v/>
      </c>
      <c r="EN296" s="44" t="str">
        <f t="shared" si="3659"/>
        <v/>
      </c>
      <c r="EO296" s="44" t="str">
        <f t="shared" si="3660"/>
        <v/>
      </c>
      <c r="EP296" s="44" t="str">
        <f t="shared" si="3661"/>
        <v/>
      </c>
      <c r="EQ296" s="44" t="str">
        <f t="shared" si="3662"/>
        <v/>
      </c>
      <c r="ER296" s="44" t="str">
        <f t="shared" si="3663"/>
        <v/>
      </c>
      <c r="ES296" s="44" t="str">
        <f t="shared" si="3664"/>
        <v/>
      </c>
      <c r="ET296" s="44" t="str">
        <f t="shared" si="3665"/>
        <v/>
      </c>
      <c r="EU296" s="44" t="str">
        <f t="shared" si="3666"/>
        <v/>
      </c>
      <c r="EV296" s="44" t="str">
        <f t="shared" si="3667"/>
        <v/>
      </c>
      <c r="EW296" s="44" t="str">
        <f t="shared" si="3668"/>
        <v/>
      </c>
      <c r="EX296" s="44" t="str">
        <f t="shared" si="3669"/>
        <v/>
      </c>
      <c r="EY296" s="44" t="str">
        <f t="shared" si="3670"/>
        <v/>
      </c>
      <c r="EZ296" s="44" t="str">
        <f t="shared" si="3671"/>
        <v/>
      </c>
      <c r="FA296" s="44" t="str">
        <f t="shared" si="3672"/>
        <v/>
      </c>
      <c r="FB296" s="44" t="str">
        <f t="shared" si="3673"/>
        <v/>
      </c>
      <c r="FC296" s="44" t="str">
        <f t="shared" si="3674"/>
        <v/>
      </c>
      <c r="FD296" s="44" t="str">
        <f t="shared" si="3675"/>
        <v/>
      </c>
      <c r="FE296" s="44" t="str">
        <f t="shared" si="3676"/>
        <v/>
      </c>
      <c r="FF296" s="44" t="str">
        <f t="shared" si="3677"/>
        <v/>
      </c>
      <c r="FG296" s="44" t="str">
        <f t="shared" si="3678"/>
        <v/>
      </c>
      <c r="FH296" s="44" t="str">
        <f t="shared" si="3679"/>
        <v/>
      </c>
      <c r="FI296" s="44" t="str">
        <f t="shared" si="3680"/>
        <v/>
      </c>
      <c r="FJ296" s="44" t="str">
        <f t="shared" si="3681"/>
        <v/>
      </c>
      <c r="FK296" s="44" t="str">
        <f t="shared" si="3682"/>
        <v/>
      </c>
      <c r="FL296" s="44" t="str">
        <f t="shared" si="3683"/>
        <v/>
      </c>
      <c r="FM296" s="44" t="str">
        <f t="shared" si="3684"/>
        <v/>
      </c>
      <c r="FN296" s="44" t="str">
        <f t="shared" si="3685"/>
        <v/>
      </c>
      <c r="FO296" s="44" t="str">
        <f t="shared" si="3686"/>
        <v/>
      </c>
      <c r="FP296" s="44" t="str">
        <f t="shared" si="3687"/>
        <v/>
      </c>
      <c r="FQ296" s="44" t="str">
        <f t="shared" si="3688"/>
        <v/>
      </c>
      <c r="FR296" s="44" t="str">
        <f t="shared" si="3689"/>
        <v/>
      </c>
      <c r="FS296" s="44" t="str">
        <f t="shared" si="3690"/>
        <v/>
      </c>
    </row>
    <row r="297" ht="15" spans="1:175">
      <c r="A297" s="11"/>
      <c r="B297" s="12"/>
      <c r="C297" s="11"/>
      <c r="E297" s="121"/>
      <c r="T297" s="123"/>
      <c r="U297" s="60"/>
      <c r="CU297" s="72" t="str">
        <f t="shared" si="3620"/>
        <v>|n</v>
      </c>
      <c r="CW297" s="7"/>
      <c r="CX297" s="7"/>
      <c r="CY297" s="7"/>
      <c r="CZ297" s="7"/>
      <c r="DA297" s="7"/>
      <c r="DB297" s="44" t="str">
        <f t="shared" si="3621"/>
        <v/>
      </c>
      <c r="DC297" s="44" t="str">
        <f t="shared" si="3622"/>
        <v/>
      </c>
      <c r="DD297" s="44" t="str">
        <f t="shared" si="3623"/>
        <v/>
      </c>
      <c r="DE297" s="44" t="str">
        <f t="shared" si="3624"/>
        <v/>
      </c>
      <c r="DF297" s="44" t="str">
        <f t="shared" si="3625"/>
        <v/>
      </c>
      <c r="DG297" s="44" t="str">
        <f t="shared" si="3626"/>
        <v/>
      </c>
      <c r="DH297" s="44" t="str">
        <f t="shared" si="3627"/>
        <v/>
      </c>
      <c r="DI297" s="44" t="str">
        <f t="shared" si="3628"/>
        <v/>
      </c>
      <c r="DJ297" s="44" t="str">
        <f t="shared" si="3629"/>
        <v/>
      </c>
      <c r="DK297" s="44" t="str">
        <f t="shared" si="3630"/>
        <v/>
      </c>
      <c r="DL297" s="44" t="str">
        <f t="shared" si="3631"/>
        <v/>
      </c>
      <c r="DM297" s="44" t="str">
        <f t="shared" si="3632"/>
        <v/>
      </c>
      <c r="DN297" s="44" t="str">
        <f t="shared" si="3633"/>
        <v/>
      </c>
      <c r="DO297" s="44" t="str">
        <f t="shared" si="3634"/>
        <v/>
      </c>
      <c r="DP297" s="44" t="str">
        <f t="shared" si="3635"/>
        <v/>
      </c>
      <c r="DQ297" s="44" t="str">
        <f t="shared" si="3636"/>
        <v/>
      </c>
      <c r="DR297" s="44" t="str">
        <f t="shared" si="3637"/>
        <v/>
      </c>
      <c r="DS297" s="44" t="str">
        <f t="shared" si="3638"/>
        <v/>
      </c>
      <c r="DT297" s="44" t="str">
        <f t="shared" si="3639"/>
        <v/>
      </c>
      <c r="DU297" s="44" t="str">
        <f t="shared" si="3640"/>
        <v/>
      </c>
      <c r="DV297" s="44" t="str">
        <f t="shared" si="3641"/>
        <v/>
      </c>
      <c r="DW297" s="44" t="str">
        <f t="shared" si="3642"/>
        <v/>
      </c>
      <c r="DX297" s="44" t="str">
        <f t="shared" si="3643"/>
        <v/>
      </c>
      <c r="DY297" s="44" t="str">
        <f t="shared" si="3644"/>
        <v/>
      </c>
      <c r="DZ297" s="44" t="str">
        <f t="shared" si="3645"/>
        <v/>
      </c>
      <c r="EA297" s="44" t="str">
        <f t="shared" si="3646"/>
        <v/>
      </c>
      <c r="EB297" s="44" t="str">
        <f t="shared" si="3647"/>
        <v/>
      </c>
      <c r="EC297" s="44" t="str">
        <f t="shared" si="3648"/>
        <v/>
      </c>
      <c r="ED297" s="44" t="str">
        <f t="shared" si="3649"/>
        <v/>
      </c>
      <c r="EE297" s="44" t="str">
        <f t="shared" si="3650"/>
        <v/>
      </c>
      <c r="EF297" s="44" t="str">
        <f t="shared" si="3651"/>
        <v/>
      </c>
      <c r="EG297" s="44" t="str">
        <f t="shared" si="3652"/>
        <v/>
      </c>
      <c r="EH297" s="44" t="str">
        <f t="shared" si="3653"/>
        <v/>
      </c>
      <c r="EI297" s="44" t="str">
        <f t="shared" si="3654"/>
        <v/>
      </c>
      <c r="EJ297" s="44" t="str">
        <f t="shared" si="3655"/>
        <v/>
      </c>
      <c r="EK297" s="44" t="str">
        <f t="shared" si="3656"/>
        <v/>
      </c>
      <c r="EL297" s="44" t="str">
        <f t="shared" si="3657"/>
        <v/>
      </c>
      <c r="EM297" s="44" t="str">
        <f t="shared" si="3658"/>
        <v/>
      </c>
      <c r="EN297" s="44" t="str">
        <f t="shared" si="3659"/>
        <v/>
      </c>
      <c r="EO297" s="44" t="str">
        <f t="shared" si="3660"/>
        <v/>
      </c>
      <c r="EP297" s="44" t="str">
        <f t="shared" si="3661"/>
        <v/>
      </c>
      <c r="EQ297" s="44" t="str">
        <f t="shared" si="3662"/>
        <v/>
      </c>
      <c r="ER297" s="44" t="str">
        <f t="shared" si="3663"/>
        <v/>
      </c>
      <c r="ES297" s="44" t="str">
        <f t="shared" si="3664"/>
        <v/>
      </c>
      <c r="ET297" s="44" t="str">
        <f t="shared" si="3665"/>
        <v/>
      </c>
      <c r="EU297" s="44" t="str">
        <f t="shared" si="3666"/>
        <v/>
      </c>
      <c r="EV297" s="44" t="str">
        <f t="shared" si="3667"/>
        <v/>
      </c>
      <c r="EW297" s="44" t="str">
        <f t="shared" si="3668"/>
        <v/>
      </c>
      <c r="EX297" s="44" t="str">
        <f t="shared" si="3669"/>
        <v/>
      </c>
      <c r="EY297" s="44" t="str">
        <f t="shared" si="3670"/>
        <v/>
      </c>
      <c r="EZ297" s="44" t="str">
        <f t="shared" si="3671"/>
        <v/>
      </c>
      <c r="FA297" s="44" t="str">
        <f t="shared" si="3672"/>
        <v/>
      </c>
      <c r="FB297" s="44" t="str">
        <f t="shared" si="3673"/>
        <v/>
      </c>
      <c r="FC297" s="44" t="str">
        <f t="shared" si="3674"/>
        <v/>
      </c>
      <c r="FD297" s="44" t="str">
        <f t="shared" si="3675"/>
        <v/>
      </c>
      <c r="FE297" s="44" t="str">
        <f t="shared" si="3676"/>
        <v/>
      </c>
      <c r="FF297" s="44" t="str">
        <f t="shared" si="3677"/>
        <v/>
      </c>
      <c r="FG297" s="44" t="str">
        <f t="shared" si="3678"/>
        <v/>
      </c>
      <c r="FH297" s="44" t="str">
        <f t="shared" si="3679"/>
        <v/>
      </c>
      <c r="FI297" s="44" t="str">
        <f t="shared" si="3680"/>
        <v/>
      </c>
      <c r="FJ297" s="44" t="str">
        <f t="shared" si="3681"/>
        <v/>
      </c>
      <c r="FK297" s="44" t="str">
        <f t="shared" si="3682"/>
        <v/>
      </c>
      <c r="FL297" s="44" t="str">
        <f t="shared" si="3683"/>
        <v/>
      </c>
      <c r="FM297" s="44" t="str">
        <f t="shared" si="3684"/>
        <v/>
      </c>
      <c r="FN297" s="44" t="str">
        <f t="shared" si="3685"/>
        <v/>
      </c>
      <c r="FO297" s="44" t="str">
        <f t="shared" si="3686"/>
        <v/>
      </c>
      <c r="FP297" s="44" t="str">
        <f t="shared" si="3687"/>
        <v/>
      </c>
      <c r="FQ297" s="44" t="str">
        <f t="shared" si="3688"/>
        <v/>
      </c>
      <c r="FR297" s="44" t="str">
        <f t="shared" si="3689"/>
        <v/>
      </c>
      <c r="FS297" s="44" t="str">
        <f t="shared" si="3690"/>
        <v/>
      </c>
    </row>
    <row r="298" ht="15" spans="1:175">
      <c r="A298" s="11"/>
      <c r="B298" s="12"/>
      <c r="C298" s="11"/>
      <c r="E298" s="121"/>
      <c r="T298" s="123"/>
      <c r="U298" s="60"/>
      <c r="CU298" s="72" t="str">
        <f t="shared" si="3620"/>
        <v>|n</v>
      </c>
      <c r="CW298" s="7"/>
      <c r="CX298" s="7"/>
      <c r="CY298" s="7"/>
      <c r="CZ298" s="7"/>
      <c r="DA298" s="7"/>
      <c r="DB298" s="44" t="str">
        <f t="shared" si="3621"/>
        <v/>
      </c>
      <c r="DC298" s="44" t="str">
        <f t="shared" si="3622"/>
        <v/>
      </c>
      <c r="DD298" s="44" t="str">
        <f t="shared" si="3623"/>
        <v/>
      </c>
      <c r="DE298" s="44" t="str">
        <f t="shared" si="3624"/>
        <v/>
      </c>
      <c r="DF298" s="44" t="str">
        <f t="shared" si="3625"/>
        <v/>
      </c>
      <c r="DG298" s="44" t="str">
        <f t="shared" si="3626"/>
        <v/>
      </c>
      <c r="DH298" s="44" t="str">
        <f t="shared" si="3627"/>
        <v/>
      </c>
      <c r="DI298" s="44" t="str">
        <f t="shared" si="3628"/>
        <v/>
      </c>
      <c r="DJ298" s="44" t="str">
        <f t="shared" si="3629"/>
        <v/>
      </c>
      <c r="DK298" s="44" t="str">
        <f t="shared" si="3630"/>
        <v/>
      </c>
      <c r="DL298" s="44" t="str">
        <f t="shared" si="3631"/>
        <v/>
      </c>
      <c r="DM298" s="44" t="str">
        <f t="shared" si="3632"/>
        <v/>
      </c>
      <c r="DN298" s="44" t="str">
        <f t="shared" si="3633"/>
        <v/>
      </c>
      <c r="DO298" s="44" t="str">
        <f t="shared" si="3634"/>
        <v/>
      </c>
      <c r="DP298" s="44" t="str">
        <f t="shared" si="3635"/>
        <v/>
      </c>
      <c r="DQ298" s="44" t="str">
        <f t="shared" si="3636"/>
        <v/>
      </c>
      <c r="DR298" s="44" t="str">
        <f t="shared" si="3637"/>
        <v/>
      </c>
      <c r="DS298" s="44" t="str">
        <f t="shared" si="3638"/>
        <v/>
      </c>
      <c r="DT298" s="44" t="str">
        <f t="shared" si="3639"/>
        <v/>
      </c>
      <c r="DU298" s="44" t="str">
        <f t="shared" si="3640"/>
        <v/>
      </c>
      <c r="DV298" s="44" t="str">
        <f t="shared" si="3641"/>
        <v/>
      </c>
      <c r="DW298" s="44" t="str">
        <f t="shared" si="3642"/>
        <v/>
      </c>
      <c r="DX298" s="44" t="str">
        <f t="shared" si="3643"/>
        <v/>
      </c>
      <c r="DY298" s="44" t="str">
        <f t="shared" si="3644"/>
        <v/>
      </c>
      <c r="DZ298" s="44" t="str">
        <f t="shared" si="3645"/>
        <v/>
      </c>
      <c r="EA298" s="44" t="str">
        <f t="shared" si="3646"/>
        <v/>
      </c>
      <c r="EB298" s="44" t="str">
        <f t="shared" si="3647"/>
        <v/>
      </c>
      <c r="EC298" s="44" t="str">
        <f t="shared" si="3648"/>
        <v/>
      </c>
      <c r="ED298" s="44" t="str">
        <f t="shared" si="3649"/>
        <v/>
      </c>
      <c r="EE298" s="44" t="str">
        <f t="shared" si="3650"/>
        <v/>
      </c>
      <c r="EF298" s="44" t="str">
        <f t="shared" si="3651"/>
        <v/>
      </c>
      <c r="EG298" s="44" t="str">
        <f t="shared" si="3652"/>
        <v/>
      </c>
      <c r="EH298" s="44" t="str">
        <f t="shared" si="3653"/>
        <v/>
      </c>
      <c r="EI298" s="44" t="str">
        <f t="shared" si="3654"/>
        <v/>
      </c>
      <c r="EJ298" s="44" t="str">
        <f t="shared" si="3655"/>
        <v/>
      </c>
      <c r="EK298" s="44" t="str">
        <f t="shared" si="3656"/>
        <v/>
      </c>
      <c r="EL298" s="44" t="str">
        <f t="shared" si="3657"/>
        <v/>
      </c>
      <c r="EM298" s="44" t="str">
        <f t="shared" si="3658"/>
        <v/>
      </c>
      <c r="EN298" s="44" t="str">
        <f t="shared" si="3659"/>
        <v/>
      </c>
      <c r="EO298" s="44" t="str">
        <f t="shared" si="3660"/>
        <v/>
      </c>
      <c r="EP298" s="44" t="str">
        <f t="shared" si="3661"/>
        <v/>
      </c>
      <c r="EQ298" s="44" t="str">
        <f t="shared" si="3662"/>
        <v/>
      </c>
      <c r="ER298" s="44" t="str">
        <f t="shared" si="3663"/>
        <v/>
      </c>
      <c r="ES298" s="44" t="str">
        <f t="shared" si="3664"/>
        <v/>
      </c>
      <c r="ET298" s="44" t="str">
        <f t="shared" si="3665"/>
        <v/>
      </c>
      <c r="EU298" s="44" t="str">
        <f t="shared" si="3666"/>
        <v/>
      </c>
      <c r="EV298" s="44" t="str">
        <f t="shared" si="3667"/>
        <v/>
      </c>
      <c r="EW298" s="44" t="str">
        <f t="shared" si="3668"/>
        <v/>
      </c>
      <c r="EX298" s="44" t="str">
        <f t="shared" si="3669"/>
        <v/>
      </c>
      <c r="EY298" s="44" t="str">
        <f t="shared" si="3670"/>
        <v/>
      </c>
      <c r="EZ298" s="44" t="str">
        <f t="shared" si="3671"/>
        <v/>
      </c>
      <c r="FA298" s="44" t="str">
        <f t="shared" si="3672"/>
        <v/>
      </c>
      <c r="FB298" s="44" t="str">
        <f t="shared" si="3673"/>
        <v/>
      </c>
      <c r="FC298" s="44" t="str">
        <f t="shared" si="3674"/>
        <v/>
      </c>
      <c r="FD298" s="44" t="str">
        <f t="shared" si="3675"/>
        <v/>
      </c>
      <c r="FE298" s="44" t="str">
        <f t="shared" si="3676"/>
        <v/>
      </c>
      <c r="FF298" s="44" t="str">
        <f t="shared" si="3677"/>
        <v/>
      </c>
      <c r="FG298" s="44" t="str">
        <f t="shared" si="3678"/>
        <v/>
      </c>
      <c r="FH298" s="44" t="str">
        <f t="shared" si="3679"/>
        <v/>
      </c>
      <c r="FI298" s="44" t="str">
        <f t="shared" si="3680"/>
        <v/>
      </c>
      <c r="FJ298" s="44" t="str">
        <f t="shared" si="3681"/>
        <v/>
      </c>
      <c r="FK298" s="44" t="str">
        <f t="shared" si="3682"/>
        <v/>
      </c>
      <c r="FL298" s="44" t="str">
        <f t="shared" si="3683"/>
        <v/>
      </c>
      <c r="FM298" s="44" t="str">
        <f t="shared" si="3684"/>
        <v/>
      </c>
      <c r="FN298" s="44" t="str">
        <f t="shared" si="3685"/>
        <v/>
      </c>
      <c r="FO298" s="44" t="str">
        <f t="shared" si="3686"/>
        <v/>
      </c>
      <c r="FP298" s="44" t="str">
        <f t="shared" si="3687"/>
        <v/>
      </c>
      <c r="FQ298" s="44" t="str">
        <f t="shared" si="3688"/>
        <v/>
      </c>
      <c r="FR298" s="44" t="str">
        <f t="shared" si="3689"/>
        <v/>
      </c>
      <c r="FS298" s="44" t="str">
        <f t="shared" si="3690"/>
        <v/>
      </c>
    </row>
    <row r="299" spans="92:175">
      <c r="CN299" s="13" t="str">
        <f t="shared" ref="CN299:CN330" si="3699">"InitUnitState('"&amp;B299&amp;"',"&amp;V299&amp;","&amp;W299&amp;","&amp;X299&amp;","&amp;Y299&amp;","&amp;Z299&amp;","&amp;AA299&amp;","&amp;AB299&amp;","&amp;AC299&amp;","&amp;AD299&amp;","&amp;AE299&amp;")"</f>
        <v>InitUnitState('',,,,,,,,,,)</v>
      </c>
      <c r="CO299" s="13" t="str">
        <f t="shared" ref="CO299:CO330" si="3700">"InitUnitNormal('"&amp;B299&amp;"',"&amp;AF299&amp;","&amp;AG299&amp;","&amp;AH299&amp;","&amp;AI299&amp;","&amp;AJ299&amp;","&amp;AK299&amp;","&amp;AL299&amp;","&amp;AM299&amp;","&amp;AN299&amp;","&amp;AO299&amp;")"</f>
        <v>InitUnitNormal('',,,,,,,,,,)</v>
      </c>
      <c r="CP299" s="13" t="str">
        <f t="shared" ref="CP299:CP330" si="3701">"InitUnitMagic('"&amp;B299&amp;"',"&amp;AP299&amp;","&amp;AQ299&amp;","&amp;AR299&amp;","&amp;AS299&amp;","&amp;AT299&amp;","&amp;AU299&amp;","&amp;AV299&amp;","&amp;AW299&amp;","&amp;BI299&amp;","&amp;BJ299&amp;")"</f>
        <v>InitUnitMagic('',,,,,,,,,,)</v>
      </c>
      <c r="CQ299" s="13" t="str">
        <f t="shared" ref="CQ299:CQ330" si="3702">"InitUnitAdd('"&amp;B299&amp;"',"&amp;BK299&amp;","&amp;BL299&amp;","&amp;BM299&amp;","&amp;BN299&amp;","&amp;BO299&amp;","&amp;BP299&amp;","&amp;BQ299&amp;","&amp;BR299&amp;","&amp;BS299&amp;","&amp;BT299&amp;")"</f>
        <v>InitUnitAdd('',,,,,,,,,,)</v>
      </c>
      <c r="CR299" s="13" t="str">
        <f t="shared" ref="CR299:CR330" si="3703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InitEquipData('',,"",,,,,'','','','','','',"")</v>
      </c>
      <c r="CU299" s="6" t="str">
        <f t="shared" ref="CU299:CU311" si="3704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7"/>
      <c r="CX299" s="7"/>
      <c r="CY299" s="7"/>
      <c r="CZ299" s="7"/>
      <c r="DA299" s="7"/>
      <c r="DB299" s="44" t="str">
        <f t="shared" ref="DB299:DB319" si="3705">IF(V299="","","|n"&amp;DB$2&amp;"+"&amp;V299&amp;DB$1)</f>
        <v/>
      </c>
      <c r="DC299" s="44" t="str">
        <f t="shared" ref="DC299:DC319" si="3706">IF(W299="","","|n"&amp;DC$2&amp;"+"&amp;W299&amp;DC$1)</f>
        <v/>
      </c>
      <c r="DD299" s="44" t="str">
        <f t="shared" ref="DD299:DD319" si="3707">IF(X299="","","|n"&amp;DD$2&amp;"+"&amp;X299&amp;DD$1)</f>
        <v/>
      </c>
      <c r="DE299" s="44" t="str">
        <f t="shared" ref="DE299:DE319" si="3708">IF(Y299="","","|n"&amp;DE$2&amp;"+"&amp;Y299&amp;DE$1)</f>
        <v/>
      </c>
      <c r="DF299" s="44" t="str">
        <f t="shared" ref="DF299:DF319" si="3709">IF(Z299="","","|n"&amp;DF$2&amp;"+"&amp;Z299&amp;DF$1)</f>
        <v/>
      </c>
      <c r="DG299" s="44" t="str">
        <f t="shared" ref="DG299:DG319" si="3710">IF(AA299="","","|n"&amp;DG$2&amp;"+"&amp;AA299&amp;DG$1)</f>
        <v/>
      </c>
      <c r="DH299" s="44" t="str">
        <f t="shared" ref="DH299:DH319" si="3711">IF(AB299="","","|n"&amp;DH$2&amp;"+"&amp;AB299&amp;DH$1)</f>
        <v/>
      </c>
      <c r="DI299" s="44" t="str">
        <f t="shared" ref="DI299:DI319" si="3712">IF(AC299="","","|n"&amp;DI$2&amp;"+"&amp;AC299&amp;DI$1)</f>
        <v/>
      </c>
      <c r="DJ299" s="44" t="str">
        <f t="shared" ref="DJ299:DJ319" si="3713">IF(AD299="","","|n"&amp;DJ$2&amp;"+"&amp;AD299&amp;DJ$1)</f>
        <v/>
      </c>
      <c r="DK299" s="44" t="str">
        <f t="shared" ref="DK299:DK319" si="3714">IF(AE299="","","|n"&amp;DK$2&amp;"+"&amp;AE299&amp;DK$1)</f>
        <v/>
      </c>
      <c r="DL299" s="44" t="str">
        <f t="shared" ref="DL299:DL319" si="3715">IF(AF299="","","|n"&amp;DL$2&amp;"+"&amp;AF299&amp;DL$1)</f>
        <v/>
      </c>
      <c r="DM299" s="44" t="str">
        <f t="shared" ref="DM299:DM319" si="3716">IF(AG299="","","|n"&amp;DM$2&amp;"+"&amp;AG299&amp;DM$1)</f>
        <v/>
      </c>
      <c r="DN299" s="44" t="str">
        <f t="shared" ref="DN299:DN319" si="3717">IF(AH299="","","|n"&amp;DN$2&amp;"+"&amp;AH299&amp;DN$1)</f>
        <v/>
      </c>
      <c r="DO299" s="44" t="str">
        <f t="shared" ref="DO299:DO319" si="3718">IF(AI299="","","|n"&amp;DO$2&amp;"+"&amp;AI299&amp;DO$1)</f>
        <v/>
      </c>
      <c r="DP299" s="44" t="str">
        <f t="shared" ref="DP299:DP319" si="3719">IF(AJ299="","","|n"&amp;DP$2&amp;"+"&amp;AJ299&amp;DP$1)</f>
        <v/>
      </c>
      <c r="DQ299" s="44" t="str">
        <f t="shared" ref="DQ299:DQ319" si="3720">IF(AK299="","","|n"&amp;DQ$2&amp;"+"&amp;AK299&amp;DQ$1)</f>
        <v/>
      </c>
      <c r="DR299" s="44" t="str">
        <f t="shared" ref="DR299:DR319" si="3721">IF(AL299="","","|n"&amp;DR$2&amp;"+"&amp;AL299&amp;DR$1)</f>
        <v/>
      </c>
      <c r="DS299" s="44" t="str">
        <f t="shared" ref="DS299:DS319" si="3722">IF(AM299="","","|n"&amp;DS$2&amp;"+"&amp;AM299&amp;DS$1)</f>
        <v/>
      </c>
      <c r="DT299" s="44" t="str">
        <f t="shared" ref="DT299:DT319" si="3723">IF(AN299="","","|n"&amp;DT$2&amp;"+"&amp;AN299&amp;DT$1)</f>
        <v/>
      </c>
      <c r="DU299" s="44" t="str">
        <f t="shared" ref="DU299:DU319" si="3724">IF(AO299="","","|n"&amp;DU$2&amp;"+"&amp;AO299&amp;DU$1)</f>
        <v/>
      </c>
      <c r="DV299" s="44" t="str">
        <f t="shared" ref="DV299:DV319" si="3725">IF(AP299="","","|n"&amp;DV$2&amp;"+"&amp;AP299&amp;DV$1)</f>
        <v/>
      </c>
      <c r="DW299" s="44" t="str">
        <f t="shared" ref="DW299:DW319" si="3726">IF(AQ299="","","|n"&amp;DW$2&amp;"+"&amp;AQ299&amp;DW$1)</f>
        <v/>
      </c>
      <c r="DX299" s="44" t="str">
        <f t="shared" ref="DX299:DX319" si="3727">IF(AR299="","","|n"&amp;DX$2&amp;"+"&amp;AR299&amp;DX$1)</f>
        <v/>
      </c>
      <c r="DY299" s="44" t="str">
        <f t="shared" ref="DY299:DY319" si="3728">IF(AS299="","","|n"&amp;DY$2&amp;"+"&amp;AS299&amp;DY$1)</f>
        <v/>
      </c>
      <c r="DZ299" s="44" t="str">
        <f t="shared" ref="DZ299:DZ319" si="3729">IF(AT299="","","|n"&amp;DZ$2&amp;"+"&amp;AT299&amp;DZ$1)</f>
        <v/>
      </c>
      <c r="EA299" s="44" t="str">
        <f t="shared" ref="EA299:EA319" si="3730">IF(AU299="","","|n"&amp;EA$2&amp;"+"&amp;AU299&amp;EA$1)</f>
        <v/>
      </c>
      <c r="EB299" s="44" t="str">
        <f t="shared" ref="EB299:EB319" si="3731">IF(AV299="","","|n"&amp;EB$2&amp;"+"&amp;AV299&amp;EB$1)</f>
        <v/>
      </c>
      <c r="EC299" s="44" t="str">
        <f t="shared" ref="EC299:EC319" si="3732">IF(AW299="","","|n"&amp;EC$2&amp;"+"&amp;AW299&amp;EC$1)</f>
        <v/>
      </c>
      <c r="ED299" s="44" t="str">
        <f t="shared" ref="ED299:ED319" si="3733">IF(AX299="","","|n"&amp;ED$2&amp;"+"&amp;AX299&amp;ED$1)</f>
        <v/>
      </c>
      <c r="EE299" s="44" t="str">
        <f t="shared" ref="EE299:EE319" si="3734">IF(AY299="","","|n"&amp;EE$2&amp;"+"&amp;AY299&amp;EE$1)</f>
        <v/>
      </c>
      <c r="EF299" s="44" t="str">
        <f t="shared" ref="EF299:EF319" si="3735">IF(AZ299="","","|n"&amp;EF$2&amp;"+"&amp;AZ299&amp;EF$1)</f>
        <v/>
      </c>
      <c r="EG299" s="44" t="str">
        <f t="shared" ref="EG299:EG319" si="3736">IF(BA299="","","|n"&amp;EG$2&amp;"+"&amp;BA299&amp;EG$1)</f>
        <v/>
      </c>
      <c r="EH299" s="44" t="str">
        <f t="shared" ref="EH299:EH319" si="3737">IF(BB299="","","|n"&amp;EH$2&amp;"+"&amp;BB299&amp;EH$1)</f>
        <v/>
      </c>
      <c r="EI299" s="44" t="str">
        <f t="shared" ref="EI299:EI319" si="3738">IF(BC299="","","|n"&amp;EI$2&amp;"+"&amp;BC299&amp;EI$1)</f>
        <v/>
      </c>
      <c r="EJ299" s="44" t="str">
        <f t="shared" ref="EJ299:EJ319" si="3739">IF(BD299="","","|n"&amp;EJ$2&amp;"+"&amp;BD299&amp;EJ$1)</f>
        <v/>
      </c>
      <c r="EK299" s="44" t="str">
        <f t="shared" ref="EK299:EK319" si="3740">IF(BE299="","","|n"&amp;EK$2&amp;"+"&amp;BE299&amp;EK$1)</f>
        <v/>
      </c>
      <c r="EL299" s="44" t="str">
        <f t="shared" ref="EL299:EL319" si="3741">IF(BF299="","","|n"&amp;EL$2&amp;"+"&amp;BF299&amp;EL$1)</f>
        <v/>
      </c>
      <c r="EM299" s="44" t="str">
        <f t="shared" ref="EM299:EM319" si="3742">IF(BG299="","","|n"&amp;EM$2&amp;"+"&amp;BG299&amp;EM$1)</f>
        <v/>
      </c>
      <c r="EN299" s="44" t="str">
        <f t="shared" ref="EN299:EN319" si="3743">IF(BH299="","","|n"&amp;EN$2&amp;"+"&amp;BH299&amp;EN$1)</f>
        <v/>
      </c>
      <c r="EO299" s="44" t="str">
        <f t="shared" ref="EO299:EO319" si="3744">IF(BI299="","","|n"&amp;EO$2&amp;"+"&amp;BI299&amp;EO$1)</f>
        <v/>
      </c>
      <c r="EP299" s="44" t="str">
        <f t="shared" ref="EP299:EP319" si="3745">IF(BJ299="","","|n"&amp;EP$2&amp;"+"&amp;BJ299&amp;EP$1)</f>
        <v/>
      </c>
      <c r="EQ299" s="44" t="str">
        <f t="shared" ref="EQ299:EQ319" si="3746">IF(BK299="","","|n"&amp;EQ$2&amp;"+"&amp;BK299&amp;EQ$1)</f>
        <v/>
      </c>
      <c r="ER299" s="44" t="str">
        <f t="shared" ref="ER299:ER319" si="3747">IF(BL299="","","|n"&amp;ER$2&amp;"+"&amp;BL299&amp;ER$1)</f>
        <v/>
      </c>
      <c r="ES299" s="44" t="str">
        <f t="shared" ref="ES299:ES319" si="3748">IF(BM299="","","|n"&amp;ES$2&amp;"+"&amp;BM299&amp;ES$1)</f>
        <v/>
      </c>
      <c r="ET299" s="44" t="str">
        <f t="shared" ref="ET299:ET319" si="3749">IF(BN299="","","|n"&amp;ET$2&amp;"+"&amp;BN299&amp;ET$1)</f>
        <v/>
      </c>
      <c r="EU299" s="44" t="str">
        <f t="shared" ref="EU299:EU319" si="3750">IF(BO299="","","|n"&amp;EU$2&amp;"+"&amp;BO299&amp;EU$1)</f>
        <v/>
      </c>
      <c r="EV299" s="44" t="str">
        <f t="shared" ref="EV299:EV319" si="3751">IF(BP299="","","|n"&amp;EV$2&amp;"+"&amp;BP299&amp;EV$1)</f>
        <v/>
      </c>
      <c r="EW299" s="44" t="str">
        <f t="shared" ref="EW299:EW319" si="3752">IF(BQ299="","","|n"&amp;EW$2&amp;"+"&amp;BQ299&amp;EW$1)</f>
        <v/>
      </c>
      <c r="EX299" s="44" t="str">
        <f t="shared" ref="EX299:EX319" si="3753">IF(BR299="","","|n"&amp;EX$2&amp;"+"&amp;BR299&amp;EX$1)</f>
        <v/>
      </c>
      <c r="EY299" s="44" t="str">
        <f t="shared" ref="EY299:EY319" si="3754">IF(BS299="","","|n"&amp;EY$2&amp;"+"&amp;BS299&amp;EY$1)</f>
        <v/>
      </c>
      <c r="EZ299" s="44" t="str">
        <f t="shared" ref="EZ299:EZ319" si="3755">IF(BT299="","","|n"&amp;EZ$2&amp;"+"&amp;BT299&amp;EZ$1)</f>
        <v/>
      </c>
      <c r="FA299" s="44" t="str">
        <f t="shared" ref="FA299:FA319" si="3756">IF(BU299="","","|n"&amp;FA$2&amp;"+"&amp;BU299&amp;FA$1)</f>
        <v/>
      </c>
      <c r="FB299" s="44" t="str">
        <f t="shared" ref="FB299:FB319" si="3757">IF(BV299="","","|n"&amp;FB$2&amp;"+"&amp;BV299&amp;FB$1)</f>
        <v/>
      </c>
      <c r="FC299" s="44" t="str">
        <f t="shared" ref="FC299:FC319" si="3758">IF(BW299="","","|n"&amp;FC$2&amp;"+"&amp;BW299&amp;FC$1)</f>
        <v/>
      </c>
      <c r="FD299" s="44" t="str">
        <f t="shared" ref="FD299:FD319" si="3759">IF(BX299="","","|n"&amp;FD$2&amp;"+"&amp;BX299&amp;FD$1)</f>
        <v/>
      </c>
      <c r="FE299" s="44" t="str">
        <f t="shared" ref="FE299:FE319" si="3760">IF(BY299="","","|n"&amp;FE$2&amp;"+"&amp;BY299&amp;FE$1)</f>
        <v/>
      </c>
      <c r="FF299" s="44" t="str">
        <f t="shared" ref="FF299:FF319" si="3761">IF(BZ299="","","|n"&amp;FF$2&amp;"+"&amp;BZ299&amp;FF$1)</f>
        <v/>
      </c>
      <c r="FG299" s="44" t="str">
        <f t="shared" ref="FG299:FG319" si="3762">IF(CA299="","","|n"&amp;FG$2&amp;"+"&amp;CA299&amp;FG$1)</f>
        <v/>
      </c>
      <c r="FH299" s="44" t="str">
        <f t="shared" ref="FH299:FH319" si="3763">IF(CB299="","","|n"&amp;FH$2&amp;"+"&amp;CB299&amp;FH$1)</f>
        <v/>
      </c>
      <c r="FI299" s="44" t="str">
        <f t="shared" ref="FI299:FI319" si="3764">IF(CC299="","","|n"&amp;FI$2&amp;"+"&amp;CC299&amp;FI$1)</f>
        <v/>
      </c>
      <c r="FJ299" s="44" t="str">
        <f t="shared" ref="FJ299:FJ319" si="3765">IF(CD299="","","|n"&amp;FJ$2&amp;"+"&amp;CD299&amp;FJ$1)</f>
        <v/>
      </c>
      <c r="FK299" s="44" t="str">
        <f t="shared" ref="FK299:FK319" si="3766">IF(CE299="","","|n"&amp;FK$2&amp;"+"&amp;CE299&amp;FK$1)</f>
        <v/>
      </c>
      <c r="FL299" s="44" t="str">
        <f t="shared" ref="FL299:FL319" si="3767">IF(CF299="","","|n"&amp;FL$2&amp;"+"&amp;CF299&amp;FL$1)</f>
        <v/>
      </c>
      <c r="FM299" s="44" t="str">
        <f t="shared" ref="FM299:FM319" si="3768">IF(CG299="","","|n"&amp;FM$2&amp;"+"&amp;CG299&amp;FM$1)</f>
        <v/>
      </c>
      <c r="FN299" s="44" t="str">
        <f t="shared" ref="FN299:FN319" si="3769">IF(CH299="","","|n"&amp;FN$2&amp;"+"&amp;CH299&amp;FN$1)</f>
        <v/>
      </c>
      <c r="FO299" s="44" t="str">
        <f t="shared" ref="FO299:FO319" si="3770">IF(CI299="","","|n"&amp;FO$2&amp;"+"&amp;CI299&amp;FO$1)</f>
        <v/>
      </c>
      <c r="FP299" s="44" t="str">
        <f t="shared" ref="FP299:FP319" si="3771">IF(CJ299="","","|n"&amp;FP$2&amp;"+"&amp;CJ299&amp;FP$1)</f>
        <v/>
      </c>
      <c r="FQ299" s="44" t="str">
        <f t="shared" ref="FQ299:FQ319" si="3772">IF(CK299="","","|n"&amp;FQ$2&amp;"+"&amp;CK299&amp;FQ$1)</f>
        <v/>
      </c>
      <c r="FR299" s="44" t="str">
        <f t="shared" ref="FR299:FR319" si="3773">IF(CL299="","","|n"&amp;FR$2&amp;"+"&amp;CL299&amp;FR$1)</f>
        <v/>
      </c>
      <c r="FS299" s="44" t="str">
        <f t="shared" ref="FS299:FS319" si="3774">IF(CM299="","","|n"&amp;FS$2&amp;"+"&amp;CM299&amp;FS$1)</f>
        <v/>
      </c>
    </row>
    <row r="300" spans="92:175">
      <c r="CN300" s="13" t="str">
        <f t="shared" si="3699"/>
        <v>InitUnitState('',,,,,,,,,,)</v>
      </c>
      <c r="CO300" s="13" t="str">
        <f t="shared" si="3700"/>
        <v>InitUnitNormal('',,,,,,,,,,)</v>
      </c>
      <c r="CP300" s="13" t="str">
        <f t="shared" si="3701"/>
        <v>InitUnitMagic('',,,,,,,,,,)</v>
      </c>
      <c r="CQ300" s="13" t="str">
        <f t="shared" si="3702"/>
        <v>InitUnitAdd('',,,,,,,,,,)</v>
      </c>
      <c r="CR300" s="13" t="str">
        <f t="shared" si="3703"/>
        <v>InitEquipData('',,"",,,,,'','','','','','',"")</v>
      </c>
      <c r="CU300" s="6" t="str">
        <f t="shared" si="3704"/>
        <v>|n</v>
      </c>
      <c r="CW300" s="7"/>
      <c r="CX300" s="7"/>
      <c r="CY300" s="7"/>
      <c r="CZ300" s="7"/>
      <c r="DA300" s="7"/>
      <c r="DB300" s="44" t="str">
        <f t="shared" si="3705"/>
        <v/>
      </c>
      <c r="DC300" s="44" t="str">
        <f t="shared" si="3706"/>
        <v/>
      </c>
      <c r="DD300" s="44" t="str">
        <f t="shared" si="3707"/>
        <v/>
      </c>
      <c r="DE300" s="44" t="str">
        <f t="shared" si="3708"/>
        <v/>
      </c>
      <c r="DF300" s="44" t="str">
        <f t="shared" si="3709"/>
        <v/>
      </c>
      <c r="DG300" s="44" t="str">
        <f t="shared" si="3710"/>
        <v/>
      </c>
      <c r="DH300" s="44" t="str">
        <f t="shared" si="3711"/>
        <v/>
      </c>
      <c r="DI300" s="44" t="str">
        <f t="shared" si="3712"/>
        <v/>
      </c>
      <c r="DJ300" s="44" t="str">
        <f t="shared" si="3713"/>
        <v/>
      </c>
      <c r="DK300" s="44" t="str">
        <f t="shared" si="3714"/>
        <v/>
      </c>
      <c r="DL300" s="44" t="str">
        <f t="shared" si="3715"/>
        <v/>
      </c>
      <c r="DM300" s="44" t="str">
        <f t="shared" si="3716"/>
        <v/>
      </c>
      <c r="DN300" s="44" t="str">
        <f t="shared" si="3717"/>
        <v/>
      </c>
      <c r="DO300" s="44" t="str">
        <f t="shared" si="3718"/>
        <v/>
      </c>
      <c r="DP300" s="44" t="str">
        <f t="shared" si="3719"/>
        <v/>
      </c>
      <c r="DQ300" s="44" t="str">
        <f t="shared" si="3720"/>
        <v/>
      </c>
      <c r="DR300" s="44" t="str">
        <f t="shared" si="3721"/>
        <v/>
      </c>
      <c r="DS300" s="44" t="str">
        <f t="shared" si="3722"/>
        <v/>
      </c>
      <c r="DT300" s="44" t="str">
        <f t="shared" si="3723"/>
        <v/>
      </c>
      <c r="DU300" s="44" t="str">
        <f t="shared" si="3724"/>
        <v/>
      </c>
      <c r="DV300" s="44" t="str">
        <f t="shared" si="3725"/>
        <v/>
      </c>
      <c r="DW300" s="44" t="str">
        <f t="shared" si="3726"/>
        <v/>
      </c>
      <c r="DX300" s="44" t="str">
        <f t="shared" si="3727"/>
        <v/>
      </c>
      <c r="DY300" s="44" t="str">
        <f t="shared" si="3728"/>
        <v/>
      </c>
      <c r="DZ300" s="44" t="str">
        <f t="shared" si="3729"/>
        <v/>
      </c>
      <c r="EA300" s="44" t="str">
        <f t="shared" si="3730"/>
        <v/>
      </c>
      <c r="EB300" s="44" t="str">
        <f t="shared" si="3731"/>
        <v/>
      </c>
      <c r="EC300" s="44" t="str">
        <f t="shared" si="3732"/>
        <v/>
      </c>
      <c r="ED300" s="44" t="str">
        <f t="shared" si="3733"/>
        <v/>
      </c>
      <c r="EE300" s="44" t="str">
        <f t="shared" si="3734"/>
        <v/>
      </c>
      <c r="EF300" s="44" t="str">
        <f t="shared" si="3735"/>
        <v/>
      </c>
      <c r="EG300" s="44" t="str">
        <f t="shared" si="3736"/>
        <v/>
      </c>
      <c r="EH300" s="44" t="str">
        <f t="shared" si="3737"/>
        <v/>
      </c>
      <c r="EI300" s="44" t="str">
        <f t="shared" si="3738"/>
        <v/>
      </c>
      <c r="EJ300" s="44" t="str">
        <f t="shared" si="3739"/>
        <v/>
      </c>
      <c r="EK300" s="44" t="str">
        <f t="shared" si="3740"/>
        <v/>
      </c>
      <c r="EL300" s="44" t="str">
        <f t="shared" si="3741"/>
        <v/>
      </c>
      <c r="EM300" s="44" t="str">
        <f t="shared" si="3742"/>
        <v/>
      </c>
      <c r="EN300" s="44" t="str">
        <f t="shared" si="3743"/>
        <v/>
      </c>
      <c r="EO300" s="44" t="str">
        <f t="shared" si="3744"/>
        <v/>
      </c>
      <c r="EP300" s="44" t="str">
        <f t="shared" si="3745"/>
        <v/>
      </c>
      <c r="EQ300" s="44" t="str">
        <f t="shared" si="3746"/>
        <v/>
      </c>
      <c r="ER300" s="44" t="str">
        <f t="shared" si="3747"/>
        <v/>
      </c>
      <c r="ES300" s="44" t="str">
        <f t="shared" si="3748"/>
        <v/>
      </c>
      <c r="ET300" s="44" t="str">
        <f t="shared" si="3749"/>
        <v/>
      </c>
      <c r="EU300" s="44" t="str">
        <f t="shared" si="3750"/>
        <v/>
      </c>
      <c r="EV300" s="44" t="str">
        <f t="shared" si="3751"/>
        <v/>
      </c>
      <c r="EW300" s="44" t="str">
        <f t="shared" si="3752"/>
        <v/>
      </c>
      <c r="EX300" s="44" t="str">
        <f t="shared" si="3753"/>
        <v/>
      </c>
      <c r="EY300" s="44" t="str">
        <f t="shared" si="3754"/>
        <v/>
      </c>
      <c r="EZ300" s="44" t="str">
        <f t="shared" si="3755"/>
        <v/>
      </c>
      <c r="FA300" s="44" t="str">
        <f t="shared" si="3756"/>
        <v/>
      </c>
      <c r="FB300" s="44" t="str">
        <f t="shared" si="3757"/>
        <v/>
      </c>
      <c r="FC300" s="44" t="str">
        <f t="shared" si="3758"/>
        <v/>
      </c>
      <c r="FD300" s="44" t="str">
        <f t="shared" si="3759"/>
        <v/>
      </c>
      <c r="FE300" s="44" t="str">
        <f t="shared" si="3760"/>
        <v/>
      </c>
      <c r="FF300" s="44" t="str">
        <f t="shared" si="3761"/>
        <v/>
      </c>
      <c r="FG300" s="44" t="str">
        <f t="shared" si="3762"/>
        <v/>
      </c>
      <c r="FH300" s="44" t="str">
        <f t="shared" si="3763"/>
        <v/>
      </c>
      <c r="FI300" s="44" t="str">
        <f t="shared" si="3764"/>
        <v/>
      </c>
      <c r="FJ300" s="44" t="str">
        <f t="shared" si="3765"/>
        <v/>
      </c>
      <c r="FK300" s="44" t="str">
        <f t="shared" si="3766"/>
        <v/>
      </c>
      <c r="FL300" s="44" t="str">
        <f t="shared" si="3767"/>
        <v/>
      </c>
      <c r="FM300" s="44" t="str">
        <f t="shared" si="3768"/>
        <v/>
      </c>
      <c r="FN300" s="44" t="str">
        <f t="shared" si="3769"/>
        <v/>
      </c>
      <c r="FO300" s="44" t="str">
        <f t="shared" si="3770"/>
        <v/>
      </c>
      <c r="FP300" s="44" t="str">
        <f t="shared" si="3771"/>
        <v/>
      </c>
      <c r="FQ300" s="44" t="str">
        <f t="shared" si="3772"/>
        <v/>
      </c>
      <c r="FR300" s="44" t="str">
        <f t="shared" si="3773"/>
        <v/>
      </c>
      <c r="FS300" s="44" t="str">
        <f t="shared" si="3774"/>
        <v/>
      </c>
    </row>
    <row r="301" spans="92:175">
      <c r="CN301" s="13" t="str">
        <f t="shared" si="3699"/>
        <v>InitUnitState('',,,,,,,,,,)</v>
      </c>
      <c r="CO301" s="13" t="str">
        <f t="shared" si="3700"/>
        <v>InitUnitNormal('',,,,,,,,,,)</v>
      </c>
      <c r="CP301" s="13" t="str">
        <f t="shared" si="3701"/>
        <v>InitUnitMagic('',,,,,,,,,,)</v>
      </c>
      <c r="CQ301" s="13" t="str">
        <f t="shared" si="3702"/>
        <v>InitUnitAdd('',,,,,,,,,,)</v>
      </c>
      <c r="CR301" s="13" t="str">
        <f t="shared" si="3703"/>
        <v>InitEquipData('',,"",,,,,'','','','','','',"")</v>
      </c>
      <c r="CU301" s="6" t="str">
        <f t="shared" si="3704"/>
        <v>|n</v>
      </c>
      <c r="CW301" s="7"/>
      <c r="CX301" s="7"/>
      <c r="CY301" s="7"/>
      <c r="CZ301" s="7"/>
      <c r="DA301" s="7"/>
      <c r="DB301" s="44" t="str">
        <f t="shared" si="3705"/>
        <v/>
      </c>
      <c r="DC301" s="44" t="str">
        <f t="shared" si="3706"/>
        <v/>
      </c>
      <c r="DD301" s="44" t="str">
        <f t="shared" si="3707"/>
        <v/>
      </c>
      <c r="DE301" s="44" t="str">
        <f t="shared" si="3708"/>
        <v/>
      </c>
      <c r="DF301" s="44" t="str">
        <f t="shared" si="3709"/>
        <v/>
      </c>
      <c r="DG301" s="44" t="str">
        <f t="shared" si="3710"/>
        <v/>
      </c>
      <c r="DH301" s="44" t="str">
        <f t="shared" si="3711"/>
        <v/>
      </c>
      <c r="DI301" s="44" t="str">
        <f t="shared" si="3712"/>
        <v/>
      </c>
      <c r="DJ301" s="44" t="str">
        <f t="shared" si="3713"/>
        <v/>
      </c>
      <c r="DK301" s="44" t="str">
        <f t="shared" si="3714"/>
        <v/>
      </c>
      <c r="DL301" s="44" t="str">
        <f t="shared" si="3715"/>
        <v/>
      </c>
      <c r="DM301" s="44" t="str">
        <f t="shared" si="3716"/>
        <v/>
      </c>
      <c r="DN301" s="44" t="str">
        <f t="shared" si="3717"/>
        <v/>
      </c>
      <c r="DO301" s="44" t="str">
        <f t="shared" si="3718"/>
        <v/>
      </c>
      <c r="DP301" s="44" t="str">
        <f t="shared" si="3719"/>
        <v/>
      </c>
      <c r="DQ301" s="44" t="str">
        <f t="shared" si="3720"/>
        <v/>
      </c>
      <c r="DR301" s="44" t="str">
        <f t="shared" si="3721"/>
        <v/>
      </c>
      <c r="DS301" s="44" t="str">
        <f t="shared" si="3722"/>
        <v/>
      </c>
      <c r="DT301" s="44" t="str">
        <f t="shared" si="3723"/>
        <v/>
      </c>
      <c r="DU301" s="44" t="str">
        <f t="shared" si="3724"/>
        <v/>
      </c>
      <c r="DV301" s="44" t="str">
        <f t="shared" si="3725"/>
        <v/>
      </c>
      <c r="DW301" s="44" t="str">
        <f t="shared" si="3726"/>
        <v/>
      </c>
      <c r="DX301" s="44" t="str">
        <f t="shared" si="3727"/>
        <v/>
      </c>
      <c r="DY301" s="44" t="str">
        <f t="shared" si="3728"/>
        <v/>
      </c>
      <c r="DZ301" s="44" t="str">
        <f t="shared" si="3729"/>
        <v/>
      </c>
      <c r="EA301" s="44" t="str">
        <f t="shared" si="3730"/>
        <v/>
      </c>
      <c r="EB301" s="44" t="str">
        <f t="shared" si="3731"/>
        <v/>
      </c>
      <c r="EC301" s="44" t="str">
        <f t="shared" si="3732"/>
        <v/>
      </c>
      <c r="ED301" s="44" t="str">
        <f t="shared" si="3733"/>
        <v/>
      </c>
      <c r="EE301" s="44" t="str">
        <f t="shared" si="3734"/>
        <v/>
      </c>
      <c r="EF301" s="44" t="str">
        <f t="shared" si="3735"/>
        <v/>
      </c>
      <c r="EG301" s="44" t="str">
        <f t="shared" si="3736"/>
        <v/>
      </c>
      <c r="EH301" s="44" t="str">
        <f t="shared" si="3737"/>
        <v/>
      </c>
      <c r="EI301" s="44" t="str">
        <f t="shared" si="3738"/>
        <v/>
      </c>
      <c r="EJ301" s="44" t="str">
        <f t="shared" si="3739"/>
        <v/>
      </c>
      <c r="EK301" s="44" t="str">
        <f t="shared" si="3740"/>
        <v/>
      </c>
      <c r="EL301" s="44" t="str">
        <f t="shared" si="3741"/>
        <v/>
      </c>
      <c r="EM301" s="44" t="str">
        <f t="shared" si="3742"/>
        <v/>
      </c>
      <c r="EN301" s="44" t="str">
        <f t="shared" si="3743"/>
        <v/>
      </c>
      <c r="EO301" s="44" t="str">
        <f t="shared" si="3744"/>
        <v/>
      </c>
      <c r="EP301" s="44" t="str">
        <f t="shared" si="3745"/>
        <v/>
      </c>
      <c r="EQ301" s="44" t="str">
        <f t="shared" si="3746"/>
        <v/>
      </c>
      <c r="ER301" s="44" t="str">
        <f t="shared" si="3747"/>
        <v/>
      </c>
      <c r="ES301" s="44" t="str">
        <f t="shared" si="3748"/>
        <v/>
      </c>
      <c r="ET301" s="44" t="str">
        <f t="shared" si="3749"/>
        <v/>
      </c>
      <c r="EU301" s="44" t="str">
        <f t="shared" si="3750"/>
        <v/>
      </c>
      <c r="EV301" s="44" t="str">
        <f t="shared" si="3751"/>
        <v/>
      </c>
      <c r="EW301" s="44" t="str">
        <f t="shared" si="3752"/>
        <v/>
      </c>
      <c r="EX301" s="44" t="str">
        <f t="shared" si="3753"/>
        <v/>
      </c>
      <c r="EY301" s="44" t="str">
        <f t="shared" si="3754"/>
        <v/>
      </c>
      <c r="EZ301" s="44" t="str">
        <f t="shared" si="3755"/>
        <v/>
      </c>
      <c r="FA301" s="44" t="str">
        <f t="shared" si="3756"/>
        <v/>
      </c>
      <c r="FB301" s="44" t="str">
        <f t="shared" si="3757"/>
        <v/>
      </c>
      <c r="FC301" s="44" t="str">
        <f t="shared" si="3758"/>
        <v/>
      </c>
      <c r="FD301" s="44" t="str">
        <f t="shared" si="3759"/>
        <v/>
      </c>
      <c r="FE301" s="44" t="str">
        <f t="shared" si="3760"/>
        <v/>
      </c>
      <c r="FF301" s="44" t="str">
        <f t="shared" si="3761"/>
        <v/>
      </c>
      <c r="FG301" s="44" t="str">
        <f t="shared" si="3762"/>
        <v/>
      </c>
      <c r="FH301" s="44" t="str">
        <f t="shared" si="3763"/>
        <v/>
      </c>
      <c r="FI301" s="44" t="str">
        <f t="shared" si="3764"/>
        <v/>
      </c>
      <c r="FJ301" s="44" t="str">
        <f t="shared" si="3765"/>
        <v/>
      </c>
      <c r="FK301" s="44" t="str">
        <f t="shared" si="3766"/>
        <v/>
      </c>
      <c r="FL301" s="44" t="str">
        <f t="shared" si="3767"/>
        <v/>
      </c>
      <c r="FM301" s="44" t="str">
        <f t="shared" si="3768"/>
        <v/>
      </c>
      <c r="FN301" s="44" t="str">
        <f t="shared" si="3769"/>
        <v/>
      </c>
      <c r="FO301" s="44" t="str">
        <f t="shared" si="3770"/>
        <v/>
      </c>
      <c r="FP301" s="44" t="str">
        <f t="shared" si="3771"/>
        <v/>
      </c>
      <c r="FQ301" s="44" t="str">
        <f t="shared" si="3772"/>
        <v/>
      </c>
      <c r="FR301" s="44" t="str">
        <f t="shared" si="3773"/>
        <v/>
      </c>
      <c r="FS301" s="44" t="str">
        <f t="shared" si="3774"/>
        <v/>
      </c>
    </row>
    <row r="302" spans="92:175">
      <c r="CN302" s="13" t="str">
        <f t="shared" si="3699"/>
        <v>InitUnitState('',,,,,,,,,,)</v>
      </c>
      <c r="CO302" s="13" t="str">
        <f t="shared" si="3700"/>
        <v>InitUnitNormal('',,,,,,,,,,)</v>
      </c>
      <c r="CP302" s="13" t="str">
        <f t="shared" si="3701"/>
        <v>InitUnitMagic('',,,,,,,,,,)</v>
      </c>
      <c r="CQ302" s="13" t="str">
        <f t="shared" si="3702"/>
        <v>InitUnitAdd('',,,,,,,,,,)</v>
      </c>
      <c r="CR302" s="13" t="str">
        <f t="shared" si="3703"/>
        <v>InitEquipData('',,"",,,,,'','','','','','',"")</v>
      </c>
      <c r="CU302" s="6" t="str">
        <f t="shared" si="3704"/>
        <v>|n</v>
      </c>
      <c r="CW302" s="7"/>
      <c r="CX302" s="7"/>
      <c r="CY302" s="7"/>
      <c r="CZ302" s="7"/>
      <c r="DA302" s="7"/>
      <c r="DB302" s="44" t="str">
        <f t="shared" si="3705"/>
        <v/>
      </c>
      <c r="DC302" s="44" t="str">
        <f t="shared" si="3706"/>
        <v/>
      </c>
      <c r="DD302" s="44" t="str">
        <f t="shared" si="3707"/>
        <v/>
      </c>
      <c r="DE302" s="44" t="str">
        <f t="shared" si="3708"/>
        <v/>
      </c>
      <c r="DF302" s="44" t="str">
        <f t="shared" si="3709"/>
        <v/>
      </c>
      <c r="DG302" s="44" t="str">
        <f t="shared" si="3710"/>
        <v/>
      </c>
      <c r="DH302" s="44" t="str">
        <f t="shared" si="3711"/>
        <v/>
      </c>
      <c r="DI302" s="44" t="str">
        <f t="shared" si="3712"/>
        <v/>
      </c>
      <c r="DJ302" s="44" t="str">
        <f t="shared" si="3713"/>
        <v/>
      </c>
      <c r="DK302" s="44" t="str">
        <f t="shared" si="3714"/>
        <v/>
      </c>
      <c r="DL302" s="44" t="str">
        <f t="shared" si="3715"/>
        <v/>
      </c>
      <c r="DM302" s="44" t="str">
        <f t="shared" si="3716"/>
        <v/>
      </c>
      <c r="DN302" s="44" t="str">
        <f t="shared" si="3717"/>
        <v/>
      </c>
      <c r="DO302" s="44" t="str">
        <f t="shared" si="3718"/>
        <v/>
      </c>
      <c r="DP302" s="44" t="str">
        <f t="shared" si="3719"/>
        <v/>
      </c>
      <c r="DQ302" s="44" t="str">
        <f t="shared" si="3720"/>
        <v/>
      </c>
      <c r="DR302" s="44" t="str">
        <f t="shared" si="3721"/>
        <v/>
      </c>
      <c r="DS302" s="44" t="str">
        <f t="shared" si="3722"/>
        <v/>
      </c>
      <c r="DT302" s="44" t="str">
        <f t="shared" si="3723"/>
        <v/>
      </c>
      <c r="DU302" s="44" t="str">
        <f t="shared" si="3724"/>
        <v/>
      </c>
      <c r="DV302" s="44" t="str">
        <f t="shared" si="3725"/>
        <v/>
      </c>
      <c r="DW302" s="44" t="str">
        <f t="shared" si="3726"/>
        <v/>
      </c>
      <c r="DX302" s="44" t="str">
        <f t="shared" si="3727"/>
        <v/>
      </c>
      <c r="DY302" s="44" t="str">
        <f t="shared" si="3728"/>
        <v/>
      </c>
      <c r="DZ302" s="44" t="str">
        <f t="shared" si="3729"/>
        <v/>
      </c>
      <c r="EA302" s="44" t="str">
        <f t="shared" si="3730"/>
        <v/>
      </c>
      <c r="EB302" s="44" t="str">
        <f t="shared" si="3731"/>
        <v/>
      </c>
      <c r="EC302" s="44" t="str">
        <f t="shared" si="3732"/>
        <v/>
      </c>
      <c r="ED302" s="44" t="str">
        <f t="shared" si="3733"/>
        <v/>
      </c>
      <c r="EE302" s="44" t="str">
        <f t="shared" si="3734"/>
        <v/>
      </c>
      <c r="EF302" s="44" t="str">
        <f t="shared" si="3735"/>
        <v/>
      </c>
      <c r="EG302" s="44" t="str">
        <f t="shared" si="3736"/>
        <v/>
      </c>
      <c r="EH302" s="44" t="str">
        <f t="shared" si="3737"/>
        <v/>
      </c>
      <c r="EI302" s="44" t="str">
        <f t="shared" si="3738"/>
        <v/>
      </c>
      <c r="EJ302" s="44" t="str">
        <f t="shared" si="3739"/>
        <v/>
      </c>
      <c r="EK302" s="44" t="str">
        <f t="shared" si="3740"/>
        <v/>
      </c>
      <c r="EL302" s="44" t="str">
        <f t="shared" si="3741"/>
        <v/>
      </c>
      <c r="EM302" s="44" t="str">
        <f t="shared" si="3742"/>
        <v/>
      </c>
      <c r="EN302" s="44" t="str">
        <f t="shared" si="3743"/>
        <v/>
      </c>
      <c r="EO302" s="44" t="str">
        <f t="shared" si="3744"/>
        <v/>
      </c>
      <c r="EP302" s="44" t="str">
        <f t="shared" si="3745"/>
        <v/>
      </c>
      <c r="EQ302" s="44" t="str">
        <f t="shared" si="3746"/>
        <v/>
      </c>
      <c r="ER302" s="44" t="str">
        <f t="shared" si="3747"/>
        <v/>
      </c>
      <c r="ES302" s="44" t="str">
        <f t="shared" si="3748"/>
        <v/>
      </c>
      <c r="ET302" s="44" t="str">
        <f t="shared" si="3749"/>
        <v/>
      </c>
      <c r="EU302" s="44" t="str">
        <f t="shared" si="3750"/>
        <v/>
      </c>
      <c r="EV302" s="44" t="str">
        <f t="shared" si="3751"/>
        <v/>
      </c>
      <c r="EW302" s="44" t="str">
        <f t="shared" si="3752"/>
        <v/>
      </c>
      <c r="EX302" s="44" t="str">
        <f t="shared" si="3753"/>
        <v/>
      </c>
      <c r="EY302" s="44" t="str">
        <f t="shared" si="3754"/>
        <v/>
      </c>
      <c r="EZ302" s="44" t="str">
        <f t="shared" si="3755"/>
        <v/>
      </c>
      <c r="FA302" s="44" t="str">
        <f t="shared" si="3756"/>
        <v/>
      </c>
      <c r="FB302" s="44" t="str">
        <f t="shared" si="3757"/>
        <v/>
      </c>
      <c r="FC302" s="44" t="str">
        <f t="shared" si="3758"/>
        <v/>
      </c>
      <c r="FD302" s="44" t="str">
        <f t="shared" si="3759"/>
        <v/>
      </c>
      <c r="FE302" s="44" t="str">
        <f t="shared" si="3760"/>
        <v/>
      </c>
      <c r="FF302" s="44" t="str">
        <f t="shared" si="3761"/>
        <v/>
      </c>
      <c r="FG302" s="44" t="str">
        <f t="shared" si="3762"/>
        <v/>
      </c>
      <c r="FH302" s="44" t="str">
        <f t="shared" si="3763"/>
        <v/>
      </c>
      <c r="FI302" s="44" t="str">
        <f t="shared" si="3764"/>
        <v/>
      </c>
      <c r="FJ302" s="44" t="str">
        <f t="shared" si="3765"/>
        <v/>
      </c>
      <c r="FK302" s="44" t="str">
        <f t="shared" si="3766"/>
        <v/>
      </c>
      <c r="FL302" s="44" t="str">
        <f t="shared" si="3767"/>
        <v/>
      </c>
      <c r="FM302" s="44" t="str">
        <f t="shared" si="3768"/>
        <v/>
      </c>
      <c r="FN302" s="44" t="str">
        <f t="shared" si="3769"/>
        <v/>
      </c>
      <c r="FO302" s="44" t="str">
        <f t="shared" si="3770"/>
        <v/>
      </c>
      <c r="FP302" s="44" t="str">
        <f t="shared" si="3771"/>
        <v/>
      </c>
      <c r="FQ302" s="44" t="str">
        <f t="shared" si="3772"/>
        <v/>
      </c>
      <c r="FR302" s="44" t="str">
        <f t="shared" si="3773"/>
        <v/>
      </c>
      <c r="FS302" s="44" t="str">
        <f t="shared" si="3774"/>
        <v/>
      </c>
    </row>
    <row r="303" spans="92:175">
      <c r="CN303" s="13" t="str">
        <f t="shared" si="3699"/>
        <v>InitUnitState('',,,,,,,,,,)</v>
      </c>
      <c r="CO303" s="13" t="str">
        <f t="shared" si="3700"/>
        <v>InitUnitNormal('',,,,,,,,,,)</v>
      </c>
      <c r="CP303" s="13" t="str">
        <f t="shared" si="3701"/>
        <v>InitUnitMagic('',,,,,,,,,,)</v>
      </c>
      <c r="CQ303" s="13" t="str">
        <f t="shared" si="3702"/>
        <v>InitUnitAdd('',,,,,,,,,,)</v>
      </c>
      <c r="CR303" s="13" t="str">
        <f t="shared" si="3703"/>
        <v>InitEquipData('',,"",,,,,'','','','','','',"")</v>
      </c>
      <c r="CU303" s="6" t="str">
        <f t="shared" si="3704"/>
        <v>|n</v>
      </c>
      <c r="CW303" s="7"/>
      <c r="CX303" s="7"/>
      <c r="CY303" s="7"/>
      <c r="CZ303" s="7"/>
      <c r="DA303" s="7"/>
      <c r="DB303" s="44" t="str">
        <f t="shared" si="3705"/>
        <v/>
      </c>
      <c r="DC303" s="44" t="str">
        <f t="shared" si="3706"/>
        <v/>
      </c>
      <c r="DD303" s="44" t="str">
        <f t="shared" si="3707"/>
        <v/>
      </c>
      <c r="DE303" s="44" t="str">
        <f t="shared" si="3708"/>
        <v/>
      </c>
      <c r="DF303" s="44" t="str">
        <f t="shared" si="3709"/>
        <v/>
      </c>
      <c r="DG303" s="44" t="str">
        <f t="shared" si="3710"/>
        <v/>
      </c>
      <c r="DH303" s="44" t="str">
        <f t="shared" si="3711"/>
        <v/>
      </c>
      <c r="DI303" s="44" t="str">
        <f t="shared" si="3712"/>
        <v/>
      </c>
      <c r="DJ303" s="44" t="str">
        <f t="shared" si="3713"/>
        <v/>
      </c>
      <c r="DK303" s="44" t="str">
        <f t="shared" si="3714"/>
        <v/>
      </c>
      <c r="DL303" s="44" t="str">
        <f t="shared" si="3715"/>
        <v/>
      </c>
      <c r="DM303" s="44" t="str">
        <f t="shared" si="3716"/>
        <v/>
      </c>
      <c r="DN303" s="44" t="str">
        <f t="shared" si="3717"/>
        <v/>
      </c>
      <c r="DO303" s="44" t="str">
        <f t="shared" si="3718"/>
        <v/>
      </c>
      <c r="DP303" s="44" t="str">
        <f t="shared" si="3719"/>
        <v/>
      </c>
      <c r="DQ303" s="44" t="str">
        <f t="shared" si="3720"/>
        <v/>
      </c>
      <c r="DR303" s="44" t="str">
        <f t="shared" si="3721"/>
        <v/>
      </c>
      <c r="DS303" s="44" t="str">
        <f t="shared" si="3722"/>
        <v/>
      </c>
      <c r="DT303" s="44" t="str">
        <f t="shared" si="3723"/>
        <v/>
      </c>
      <c r="DU303" s="44" t="str">
        <f t="shared" si="3724"/>
        <v/>
      </c>
      <c r="DV303" s="44" t="str">
        <f t="shared" si="3725"/>
        <v/>
      </c>
      <c r="DW303" s="44" t="str">
        <f t="shared" si="3726"/>
        <v/>
      </c>
      <c r="DX303" s="44" t="str">
        <f t="shared" si="3727"/>
        <v/>
      </c>
      <c r="DY303" s="44" t="str">
        <f t="shared" si="3728"/>
        <v/>
      </c>
      <c r="DZ303" s="44" t="str">
        <f t="shared" si="3729"/>
        <v/>
      </c>
      <c r="EA303" s="44" t="str">
        <f t="shared" si="3730"/>
        <v/>
      </c>
      <c r="EB303" s="44" t="str">
        <f t="shared" si="3731"/>
        <v/>
      </c>
      <c r="EC303" s="44" t="str">
        <f t="shared" si="3732"/>
        <v/>
      </c>
      <c r="ED303" s="44" t="str">
        <f t="shared" si="3733"/>
        <v/>
      </c>
      <c r="EE303" s="44" t="str">
        <f t="shared" si="3734"/>
        <v/>
      </c>
      <c r="EF303" s="44" t="str">
        <f t="shared" si="3735"/>
        <v/>
      </c>
      <c r="EG303" s="44" t="str">
        <f t="shared" si="3736"/>
        <v/>
      </c>
      <c r="EH303" s="44" t="str">
        <f t="shared" si="3737"/>
        <v/>
      </c>
      <c r="EI303" s="44" t="str">
        <f t="shared" si="3738"/>
        <v/>
      </c>
      <c r="EJ303" s="44" t="str">
        <f t="shared" si="3739"/>
        <v/>
      </c>
      <c r="EK303" s="44" t="str">
        <f t="shared" si="3740"/>
        <v/>
      </c>
      <c r="EL303" s="44" t="str">
        <f t="shared" si="3741"/>
        <v/>
      </c>
      <c r="EM303" s="44" t="str">
        <f t="shared" si="3742"/>
        <v/>
      </c>
      <c r="EN303" s="44" t="str">
        <f t="shared" si="3743"/>
        <v/>
      </c>
      <c r="EO303" s="44" t="str">
        <f t="shared" si="3744"/>
        <v/>
      </c>
      <c r="EP303" s="44" t="str">
        <f t="shared" si="3745"/>
        <v/>
      </c>
      <c r="EQ303" s="44" t="str">
        <f t="shared" si="3746"/>
        <v/>
      </c>
      <c r="ER303" s="44" t="str">
        <f t="shared" si="3747"/>
        <v/>
      </c>
      <c r="ES303" s="44" t="str">
        <f t="shared" si="3748"/>
        <v/>
      </c>
      <c r="ET303" s="44" t="str">
        <f t="shared" si="3749"/>
        <v/>
      </c>
      <c r="EU303" s="44" t="str">
        <f t="shared" si="3750"/>
        <v/>
      </c>
      <c r="EV303" s="44" t="str">
        <f t="shared" si="3751"/>
        <v/>
      </c>
      <c r="EW303" s="44" t="str">
        <f t="shared" si="3752"/>
        <v/>
      </c>
      <c r="EX303" s="44" t="str">
        <f t="shared" si="3753"/>
        <v/>
      </c>
      <c r="EY303" s="44" t="str">
        <f t="shared" si="3754"/>
        <v/>
      </c>
      <c r="EZ303" s="44" t="str">
        <f t="shared" si="3755"/>
        <v/>
      </c>
      <c r="FA303" s="44" t="str">
        <f t="shared" si="3756"/>
        <v/>
      </c>
      <c r="FB303" s="44" t="str">
        <f t="shared" si="3757"/>
        <v/>
      </c>
      <c r="FC303" s="44" t="str">
        <f t="shared" si="3758"/>
        <v/>
      </c>
      <c r="FD303" s="44" t="str">
        <f t="shared" si="3759"/>
        <v/>
      </c>
      <c r="FE303" s="44" t="str">
        <f t="shared" si="3760"/>
        <v/>
      </c>
      <c r="FF303" s="44" t="str">
        <f t="shared" si="3761"/>
        <v/>
      </c>
      <c r="FG303" s="44" t="str">
        <f t="shared" si="3762"/>
        <v/>
      </c>
      <c r="FH303" s="44" t="str">
        <f t="shared" si="3763"/>
        <v/>
      </c>
      <c r="FI303" s="44" t="str">
        <f t="shared" si="3764"/>
        <v/>
      </c>
      <c r="FJ303" s="44" t="str">
        <f t="shared" si="3765"/>
        <v/>
      </c>
      <c r="FK303" s="44" t="str">
        <f t="shared" si="3766"/>
        <v/>
      </c>
      <c r="FL303" s="44" t="str">
        <f t="shared" si="3767"/>
        <v/>
      </c>
      <c r="FM303" s="44" t="str">
        <f t="shared" si="3768"/>
        <v/>
      </c>
      <c r="FN303" s="44" t="str">
        <f t="shared" si="3769"/>
        <v/>
      </c>
      <c r="FO303" s="44" t="str">
        <f t="shared" si="3770"/>
        <v/>
      </c>
      <c r="FP303" s="44" t="str">
        <f t="shared" si="3771"/>
        <v/>
      </c>
      <c r="FQ303" s="44" t="str">
        <f t="shared" si="3772"/>
        <v/>
      </c>
      <c r="FR303" s="44" t="str">
        <f t="shared" si="3773"/>
        <v/>
      </c>
      <c r="FS303" s="44" t="str">
        <f t="shared" si="3774"/>
        <v/>
      </c>
    </row>
    <row r="304" spans="92:175">
      <c r="CN304" s="13" t="str">
        <f t="shared" si="3699"/>
        <v>InitUnitState('',,,,,,,,,,)</v>
      </c>
      <c r="CO304" s="13" t="str">
        <f t="shared" si="3700"/>
        <v>InitUnitNormal('',,,,,,,,,,)</v>
      </c>
      <c r="CP304" s="13" t="str">
        <f t="shared" si="3701"/>
        <v>InitUnitMagic('',,,,,,,,,,)</v>
      </c>
      <c r="CQ304" s="13" t="str">
        <f t="shared" si="3702"/>
        <v>InitUnitAdd('',,,,,,,,,,)</v>
      </c>
      <c r="CR304" s="13" t="str">
        <f t="shared" si="3703"/>
        <v>InitEquipData('',,"",,,,,'','','','','','',"")</v>
      </c>
      <c r="CU304" s="6" t="str">
        <f t="shared" si="3704"/>
        <v>|n</v>
      </c>
      <c r="CW304" s="7"/>
      <c r="CX304" s="7"/>
      <c r="CY304" s="7"/>
      <c r="CZ304" s="7"/>
      <c r="DA304" s="7"/>
      <c r="DB304" s="44" t="str">
        <f t="shared" si="3705"/>
        <v/>
      </c>
      <c r="DC304" s="44" t="str">
        <f t="shared" si="3706"/>
        <v/>
      </c>
      <c r="DD304" s="44" t="str">
        <f t="shared" si="3707"/>
        <v/>
      </c>
      <c r="DE304" s="44" t="str">
        <f t="shared" si="3708"/>
        <v/>
      </c>
      <c r="DF304" s="44" t="str">
        <f t="shared" si="3709"/>
        <v/>
      </c>
      <c r="DG304" s="44" t="str">
        <f t="shared" si="3710"/>
        <v/>
      </c>
      <c r="DH304" s="44" t="str">
        <f t="shared" si="3711"/>
        <v/>
      </c>
      <c r="DI304" s="44" t="str">
        <f t="shared" si="3712"/>
        <v/>
      </c>
      <c r="DJ304" s="44" t="str">
        <f t="shared" si="3713"/>
        <v/>
      </c>
      <c r="DK304" s="44" t="str">
        <f t="shared" si="3714"/>
        <v/>
      </c>
      <c r="DL304" s="44" t="str">
        <f t="shared" si="3715"/>
        <v/>
      </c>
      <c r="DM304" s="44" t="str">
        <f t="shared" si="3716"/>
        <v/>
      </c>
      <c r="DN304" s="44" t="str">
        <f t="shared" si="3717"/>
        <v/>
      </c>
      <c r="DO304" s="44" t="str">
        <f t="shared" si="3718"/>
        <v/>
      </c>
      <c r="DP304" s="44" t="str">
        <f t="shared" si="3719"/>
        <v/>
      </c>
      <c r="DQ304" s="44" t="str">
        <f t="shared" si="3720"/>
        <v/>
      </c>
      <c r="DR304" s="44" t="str">
        <f t="shared" si="3721"/>
        <v/>
      </c>
      <c r="DS304" s="44" t="str">
        <f t="shared" si="3722"/>
        <v/>
      </c>
      <c r="DT304" s="44" t="str">
        <f t="shared" si="3723"/>
        <v/>
      </c>
      <c r="DU304" s="44" t="str">
        <f t="shared" si="3724"/>
        <v/>
      </c>
      <c r="DV304" s="44" t="str">
        <f t="shared" si="3725"/>
        <v/>
      </c>
      <c r="DW304" s="44" t="str">
        <f t="shared" si="3726"/>
        <v/>
      </c>
      <c r="DX304" s="44" t="str">
        <f t="shared" si="3727"/>
        <v/>
      </c>
      <c r="DY304" s="44" t="str">
        <f t="shared" si="3728"/>
        <v/>
      </c>
      <c r="DZ304" s="44" t="str">
        <f t="shared" si="3729"/>
        <v/>
      </c>
      <c r="EA304" s="44" t="str">
        <f t="shared" si="3730"/>
        <v/>
      </c>
      <c r="EB304" s="44" t="str">
        <f t="shared" si="3731"/>
        <v/>
      </c>
      <c r="EC304" s="44" t="str">
        <f t="shared" si="3732"/>
        <v/>
      </c>
      <c r="ED304" s="44" t="str">
        <f t="shared" si="3733"/>
        <v/>
      </c>
      <c r="EE304" s="44" t="str">
        <f t="shared" si="3734"/>
        <v/>
      </c>
      <c r="EF304" s="44" t="str">
        <f t="shared" si="3735"/>
        <v/>
      </c>
      <c r="EG304" s="44" t="str">
        <f t="shared" si="3736"/>
        <v/>
      </c>
      <c r="EH304" s="44" t="str">
        <f t="shared" si="3737"/>
        <v/>
      </c>
      <c r="EI304" s="44" t="str">
        <f t="shared" si="3738"/>
        <v/>
      </c>
      <c r="EJ304" s="44" t="str">
        <f t="shared" si="3739"/>
        <v/>
      </c>
      <c r="EK304" s="44" t="str">
        <f t="shared" si="3740"/>
        <v/>
      </c>
      <c r="EL304" s="44" t="str">
        <f t="shared" si="3741"/>
        <v/>
      </c>
      <c r="EM304" s="44" t="str">
        <f t="shared" si="3742"/>
        <v/>
      </c>
      <c r="EN304" s="44" t="str">
        <f t="shared" si="3743"/>
        <v/>
      </c>
      <c r="EO304" s="44" t="str">
        <f t="shared" si="3744"/>
        <v/>
      </c>
      <c r="EP304" s="44" t="str">
        <f t="shared" si="3745"/>
        <v/>
      </c>
      <c r="EQ304" s="44" t="str">
        <f t="shared" si="3746"/>
        <v/>
      </c>
      <c r="ER304" s="44" t="str">
        <f t="shared" si="3747"/>
        <v/>
      </c>
      <c r="ES304" s="44" t="str">
        <f t="shared" si="3748"/>
        <v/>
      </c>
      <c r="ET304" s="44" t="str">
        <f t="shared" si="3749"/>
        <v/>
      </c>
      <c r="EU304" s="44" t="str">
        <f t="shared" si="3750"/>
        <v/>
      </c>
      <c r="EV304" s="44" t="str">
        <f t="shared" si="3751"/>
        <v/>
      </c>
      <c r="EW304" s="44" t="str">
        <f t="shared" si="3752"/>
        <v/>
      </c>
      <c r="EX304" s="44" t="str">
        <f t="shared" si="3753"/>
        <v/>
      </c>
      <c r="EY304" s="44" t="str">
        <f t="shared" si="3754"/>
        <v/>
      </c>
      <c r="EZ304" s="44" t="str">
        <f t="shared" si="3755"/>
        <v/>
      </c>
      <c r="FA304" s="44" t="str">
        <f t="shared" si="3756"/>
        <v/>
      </c>
      <c r="FB304" s="44" t="str">
        <f t="shared" si="3757"/>
        <v/>
      </c>
      <c r="FC304" s="44" t="str">
        <f t="shared" si="3758"/>
        <v/>
      </c>
      <c r="FD304" s="44" t="str">
        <f t="shared" si="3759"/>
        <v/>
      </c>
      <c r="FE304" s="44" t="str">
        <f t="shared" si="3760"/>
        <v/>
      </c>
      <c r="FF304" s="44" t="str">
        <f t="shared" si="3761"/>
        <v/>
      </c>
      <c r="FG304" s="44" t="str">
        <f t="shared" si="3762"/>
        <v/>
      </c>
      <c r="FH304" s="44" t="str">
        <f t="shared" si="3763"/>
        <v/>
      </c>
      <c r="FI304" s="44" t="str">
        <f t="shared" si="3764"/>
        <v/>
      </c>
      <c r="FJ304" s="44" t="str">
        <f t="shared" si="3765"/>
        <v/>
      </c>
      <c r="FK304" s="44" t="str">
        <f t="shared" si="3766"/>
        <v/>
      </c>
      <c r="FL304" s="44" t="str">
        <f t="shared" si="3767"/>
        <v/>
      </c>
      <c r="FM304" s="44" t="str">
        <f t="shared" si="3768"/>
        <v/>
      </c>
      <c r="FN304" s="44" t="str">
        <f t="shared" si="3769"/>
        <v/>
      </c>
      <c r="FO304" s="44" t="str">
        <f t="shared" si="3770"/>
        <v/>
      </c>
      <c r="FP304" s="44" t="str">
        <f t="shared" si="3771"/>
        <v/>
      </c>
      <c r="FQ304" s="44" t="str">
        <f t="shared" si="3772"/>
        <v/>
      </c>
      <c r="FR304" s="44" t="str">
        <f t="shared" si="3773"/>
        <v/>
      </c>
      <c r="FS304" s="44" t="str">
        <f t="shared" si="3774"/>
        <v/>
      </c>
    </row>
    <row r="305" spans="92:175">
      <c r="CN305" s="13" t="str">
        <f t="shared" si="3699"/>
        <v>InitUnitState('',,,,,,,,,,)</v>
      </c>
      <c r="CO305" s="13" t="str">
        <f t="shared" si="3700"/>
        <v>InitUnitNormal('',,,,,,,,,,)</v>
      </c>
      <c r="CP305" s="13" t="str">
        <f t="shared" si="3701"/>
        <v>InitUnitMagic('',,,,,,,,,,)</v>
      </c>
      <c r="CQ305" s="13" t="str">
        <f t="shared" si="3702"/>
        <v>InitUnitAdd('',,,,,,,,,,)</v>
      </c>
      <c r="CR305" s="13" t="str">
        <f t="shared" si="3703"/>
        <v>InitEquipData('',,"",,,,,'','','','','','',"")</v>
      </c>
      <c r="CU305" s="6" t="str">
        <f t="shared" si="3704"/>
        <v>|n</v>
      </c>
      <c r="CW305" s="7"/>
      <c r="CX305" s="7"/>
      <c r="CY305" s="7"/>
      <c r="CZ305" s="7"/>
      <c r="DA305" s="7"/>
      <c r="DB305" s="44" t="str">
        <f t="shared" si="3705"/>
        <v/>
      </c>
      <c r="DC305" s="44" t="str">
        <f t="shared" si="3706"/>
        <v/>
      </c>
      <c r="DD305" s="44" t="str">
        <f t="shared" si="3707"/>
        <v/>
      </c>
      <c r="DE305" s="44" t="str">
        <f t="shared" si="3708"/>
        <v/>
      </c>
      <c r="DF305" s="44" t="str">
        <f t="shared" si="3709"/>
        <v/>
      </c>
      <c r="DG305" s="44" t="str">
        <f t="shared" si="3710"/>
        <v/>
      </c>
      <c r="DH305" s="44" t="str">
        <f t="shared" si="3711"/>
        <v/>
      </c>
      <c r="DI305" s="44" t="str">
        <f t="shared" si="3712"/>
        <v/>
      </c>
      <c r="DJ305" s="44" t="str">
        <f t="shared" si="3713"/>
        <v/>
      </c>
      <c r="DK305" s="44" t="str">
        <f t="shared" si="3714"/>
        <v/>
      </c>
      <c r="DL305" s="44" t="str">
        <f t="shared" si="3715"/>
        <v/>
      </c>
      <c r="DM305" s="44" t="str">
        <f t="shared" si="3716"/>
        <v/>
      </c>
      <c r="DN305" s="44" t="str">
        <f t="shared" si="3717"/>
        <v/>
      </c>
      <c r="DO305" s="44" t="str">
        <f t="shared" si="3718"/>
        <v/>
      </c>
      <c r="DP305" s="44" t="str">
        <f t="shared" si="3719"/>
        <v/>
      </c>
      <c r="DQ305" s="44" t="str">
        <f t="shared" si="3720"/>
        <v/>
      </c>
      <c r="DR305" s="44" t="str">
        <f t="shared" si="3721"/>
        <v/>
      </c>
      <c r="DS305" s="44" t="str">
        <f t="shared" si="3722"/>
        <v/>
      </c>
      <c r="DT305" s="44" t="str">
        <f t="shared" si="3723"/>
        <v/>
      </c>
      <c r="DU305" s="44" t="str">
        <f t="shared" si="3724"/>
        <v/>
      </c>
      <c r="DV305" s="44" t="str">
        <f t="shared" si="3725"/>
        <v/>
      </c>
      <c r="DW305" s="44" t="str">
        <f t="shared" si="3726"/>
        <v/>
      </c>
      <c r="DX305" s="44" t="str">
        <f t="shared" si="3727"/>
        <v/>
      </c>
      <c r="DY305" s="44" t="str">
        <f t="shared" si="3728"/>
        <v/>
      </c>
      <c r="DZ305" s="44" t="str">
        <f t="shared" si="3729"/>
        <v/>
      </c>
      <c r="EA305" s="44" t="str">
        <f t="shared" si="3730"/>
        <v/>
      </c>
      <c r="EB305" s="44" t="str">
        <f t="shared" si="3731"/>
        <v/>
      </c>
      <c r="EC305" s="44" t="str">
        <f t="shared" si="3732"/>
        <v/>
      </c>
      <c r="ED305" s="44" t="str">
        <f t="shared" si="3733"/>
        <v/>
      </c>
      <c r="EE305" s="44" t="str">
        <f t="shared" si="3734"/>
        <v/>
      </c>
      <c r="EF305" s="44" t="str">
        <f t="shared" si="3735"/>
        <v/>
      </c>
      <c r="EG305" s="44" t="str">
        <f t="shared" si="3736"/>
        <v/>
      </c>
      <c r="EH305" s="44" t="str">
        <f t="shared" si="3737"/>
        <v/>
      </c>
      <c r="EI305" s="44" t="str">
        <f t="shared" si="3738"/>
        <v/>
      </c>
      <c r="EJ305" s="44" t="str">
        <f t="shared" si="3739"/>
        <v/>
      </c>
      <c r="EK305" s="44" t="str">
        <f t="shared" si="3740"/>
        <v/>
      </c>
      <c r="EL305" s="44" t="str">
        <f t="shared" si="3741"/>
        <v/>
      </c>
      <c r="EM305" s="44" t="str">
        <f t="shared" si="3742"/>
        <v/>
      </c>
      <c r="EN305" s="44" t="str">
        <f t="shared" si="3743"/>
        <v/>
      </c>
      <c r="EO305" s="44" t="str">
        <f t="shared" si="3744"/>
        <v/>
      </c>
      <c r="EP305" s="44" t="str">
        <f t="shared" si="3745"/>
        <v/>
      </c>
      <c r="EQ305" s="44" t="str">
        <f t="shared" si="3746"/>
        <v/>
      </c>
      <c r="ER305" s="44" t="str">
        <f t="shared" si="3747"/>
        <v/>
      </c>
      <c r="ES305" s="44" t="str">
        <f t="shared" si="3748"/>
        <v/>
      </c>
      <c r="ET305" s="44" t="str">
        <f t="shared" si="3749"/>
        <v/>
      </c>
      <c r="EU305" s="44" t="str">
        <f t="shared" si="3750"/>
        <v/>
      </c>
      <c r="EV305" s="44" t="str">
        <f t="shared" si="3751"/>
        <v/>
      </c>
      <c r="EW305" s="44" t="str">
        <f t="shared" si="3752"/>
        <v/>
      </c>
      <c r="EX305" s="44" t="str">
        <f t="shared" si="3753"/>
        <v/>
      </c>
      <c r="EY305" s="44" t="str">
        <f t="shared" si="3754"/>
        <v/>
      </c>
      <c r="EZ305" s="44" t="str">
        <f t="shared" si="3755"/>
        <v/>
      </c>
      <c r="FA305" s="44" t="str">
        <f t="shared" si="3756"/>
        <v/>
      </c>
      <c r="FB305" s="44" t="str">
        <f t="shared" si="3757"/>
        <v/>
      </c>
      <c r="FC305" s="44" t="str">
        <f t="shared" si="3758"/>
        <v/>
      </c>
      <c r="FD305" s="44" t="str">
        <f t="shared" si="3759"/>
        <v/>
      </c>
      <c r="FE305" s="44" t="str">
        <f t="shared" si="3760"/>
        <v/>
      </c>
      <c r="FF305" s="44" t="str">
        <f t="shared" si="3761"/>
        <v/>
      </c>
      <c r="FG305" s="44" t="str">
        <f t="shared" si="3762"/>
        <v/>
      </c>
      <c r="FH305" s="44" t="str">
        <f t="shared" si="3763"/>
        <v/>
      </c>
      <c r="FI305" s="44" t="str">
        <f t="shared" si="3764"/>
        <v/>
      </c>
      <c r="FJ305" s="44" t="str">
        <f t="shared" si="3765"/>
        <v/>
      </c>
      <c r="FK305" s="44" t="str">
        <f t="shared" si="3766"/>
        <v/>
      </c>
      <c r="FL305" s="44" t="str">
        <f t="shared" si="3767"/>
        <v/>
      </c>
      <c r="FM305" s="44" t="str">
        <f t="shared" si="3768"/>
        <v/>
      </c>
      <c r="FN305" s="44" t="str">
        <f t="shared" si="3769"/>
        <v/>
      </c>
      <c r="FO305" s="44" t="str">
        <f t="shared" si="3770"/>
        <v/>
      </c>
      <c r="FP305" s="44" t="str">
        <f t="shared" si="3771"/>
        <v/>
      </c>
      <c r="FQ305" s="44" t="str">
        <f t="shared" si="3772"/>
        <v/>
      </c>
      <c r="FR305" s="44" t="str">
        <f t="shared" si="3773"/>
        <v/>
      </c>
      <c r="FS305" s="44" t="str">
        <f t="shared" si="3774"/>
        <v/>
      </c>
    </row>
    <row r="306" spans="92:175">
      <c r="CN306" s="13" t="str">
        <f t="shared" si="3699"/>
        <v>InitUnitState('',,,,,,,,,,)</v>
      </c>
      <c r="CO306" s="13" t="str">
        <f t="shared" si="3700"/>
        <v>InitUnitNormal('',,,,,,,,,,)</v>
      </c>
      <c r="CP306" s="13" t="str">
        <f t="shared" si="3701"/>
        <v>InitUnitMagic('',,,,,,,,,,)</v>
      </c>
      <c r="CQ306" s="13" t="str">
        <f t="shared" si="3702"/>
        <v>InitUnitAdd('',,,,,,,,,,)</v>
      </c>
      <c r="CR306" s="13" t="str">
        <f t="shared" si="3703"/>
        <v>InitEquipData('',,"",,,,,'','','','','','',"")</v>
      </c>
      <c r="CU306" s="6" t="str">
        <f t="shared" si="3704"/>
        <v>|n</v>
      </c>
      <c r="CW306" s="7"/>
      <c r="CX306" s="7"/>
      <c r="CY306" s="7"/>
      <c r="CZ306" s="7"/>
      <c r="DA306" s="7"/>
      <c r="DB306" s="44" t="str">
        <f t="shared" si="3705"/>
        <v/>
      </c>
      <c r="DC306" s="44" t="str">
        <f t="shared" si="3706"/>
        <v/>
      </c>
      <c r="DD306" s="44" t="str">
        <f t="shared" si="3707"/>
        <v/>
      </c>
      <c r="DE306" s="44" t="str">
        <f t="shared" si="3708"/>
        <v/>
      </c>
      <c r="DF306" s="44" t="str">
        <f t="shared" si="3709"/>
        <v/>
      </c>
      <c r="DG306" s="44" t="str">
        <f t="shared" si="3710"/>
        <v/>
      </c>
      <c r="DH306" s="44" t="str">
        <f t="shared" si="3711"/>
        <v/>
      </c>
      <c r="DI306" s="44" t="str">
        <f t="shared" si="3712"/>
        <v/>
      </c>
      <c r="DJ306" s="44" t="str">
        <f t="shared" si="3713"/>
        <v/>
      </c>
      <c r="DK306" s="44" t="str">
        <f t="shared" si="3714"/>
        <v/>
      </c>
      <c r="DL306" s="44" t="str">
        <f t="shared" si="3715"/>
        <v/>
      </c>
      <c r="DM306" s="44" t="str">
        <f t="shared" si="3716"/>
        <v/>
      </c>
      <c r="DN306" s="44" t="str">
        <f t="shared" si="3717"/>
        <v/>
      </c>
      <c r="DO306" s="44" t="str">
        <f t="shared" si="3718"/>
        <v/>
      </c>
      <c r="DP306" s="44" t="str">
        <f t="shared" si="3719"/>
        <v/>
      </c>
      <c r="DQ306" s="44" t="str">
        <f t="shared" si="3720"/>
        <v/>
      </c>
      <c r="DR306" s="44" t="str">
        <f t="shared" si="3721"/>
        <v/>
      </c>
      <c r="DS306" s="44" t="str">
        <f t="shared" si="3722"/>
        <v/>
      </c>
      <c r="DT306" s="44" t="str">
        <f t="shared" si="3723"/>
        <v/>
      </c>
      <c r="DU306" s="44" t="str">
        <f t="shared" si="3724"/>
        <v/>
      </c>
      <c r="DV306" s="44" t="str">
        <f t="shared" si="3725"/>
        <v/>
      </c>
      <c r="DW306" s="44" t="str">
        <f t="shared" si="3726"/>
        <v/>
      </c>
      <c r="DX306" s="44" t="str">
        <f t="shared" si="3727"/>
        <v/>
      </c>
      <c r="DY306" s="44" t="str">
        <f t="shared" si="3728"/>
        <v/>
      </c>
      <c r="DZ306" s="44" t="str">
        <f t="shared" si="3729"/>
        <v/>
      </c>
      <c r="EA306" s="44" t="str">
        <f t="shared" si="3730"/>
        <v/>
      </c>
      <c r="EB306" s="44" t="str">
        <f t="shared" si="3731"/>
        <v/>
      </c>
      <c r="EC306" s="44" t="str">
        <f t="shared" si="3732"/>
        <v/>
      </c>
      <c r="ED306" s="44" t="str">
        <f t="shared" si="3733"/>
        <v/>
      </c>
      <c r="EE306" s="44" t="str">
        <f t="shared" si="3734"/>
        <v/>
      </c>
      <c r="EF306" s="44" t="str">
        <f t="shared" si="3735"/>
        <v/>
      </c>
      <c r="EG306" s="44" t="str">
        <f t="shared" si="3736"/>
        <v/>
      </c>
      <c r="EH306" s="44" t="str">
        <f t="shared" si="3737"/>
        <v/>
      </c>
      <c r="EI306" s="44" t="str">
        <f t="shared" si="3738"/>
        <v/>
      </c>
      <c r="EJ306" s="44" t="str">
        <f t="shared" si="3739"/>
        <v/>
      </c>
      <c r="EK306" s="44" t="str">
        <f t="shared" si="3740"/>
        <v/>
      </c>
      <c r="EL306" s="44" t="str">
        <f t="shared" si="3741"/>
        <v/>
      </c>
      <c r="EM306" s="44" t="str">
        <f t="shared" si="3742"/>
        <v/>
      </c>
      <c r="EN306" s="44" t="str">
        <f t="shared" si="3743"/>
        <v/>
      </c>
      <c r="EO306" s="44" t="str">
        <f t="shared" si="3744"/>
        <v/>
      </c>
      <c r="EP306" s="44" t="str">
        <f t="shared" si="3745"/>
        <v/>
      </c>
      <c r="EQ306" s="44" t="str">
        <f t="shared" si="3746"/>
        <v/>
      </c>
      <c r="ER306" s="44" t="str">
        <f t="shared" si="3747"/>
        <v/>
      </c>
      <c r="ES306" s="44" t="str">
        <f t="shared" si="3748"/>
        <v/>
      </c>
      <c r="ET306" s="44" t="str">
        <f t="shared" si="3749"/>
        <v/>
      </c>
      <c r="EU306" s="44" t="str">
        <f t="shared" si="3750"/>
        <v/>
      </c>
      <c r="EV306" s="44" t="str">
        <f t="shared" si="3751"/>
        <v/>
      </c>
      <c r="EW306" s="44" t="str">
        <f t="shared" si="3752"/>
        <v/>
      </c>
      <c r="EX306" s="44" t="str">
        <f t="shared" si="3753"/>
        <v/>
      </c>
      <c r="EY306" s="44" t="str">
        <f t="shared" si="3754"/>
        <v/>
      </c>
      <c r="EZ306" s="44" t="str">
        <f t="shared" si="3755"/>
        <v/>
      </c>
      <c r="FA306" s="44" t="str">
        <f t="shared" si="3756"/>
        <v/>
      </c>
      <c r="FB306" s="44" t="str">
        <f t="shared" si="3757"/>
        <v/>
      </c>
      <c r="FC306" s="44" t="str">
        <f t="shared" si="3758"/>
        <v/>
      </c>
      <c r="FD306" s="44" t="str">
        <f t="shared" si="3759"/>
        <v/>
      </c>
      <c r="FE306" s="44" t="str">
        <f t="shared" si="3760"/>
        <v/>
      </c>
      <c r="FF306" s="44" t="str">
        <f t="shared" si="3761"/>
        <v/>
      </c>
      <c r="FG306" s="44" t="str">
        <f t="shared" si="3762"/>
        <v/>
      </c>
      <c r="FH306" s="44" t="str">
        <f t="shared" si="3763"/>
        <v/>
      </c>
      <c r="FI306" s="44" t="str">
        <f t="shared" si="3764"/>
        <v/>
      </c>
      <c r="FJ306" s="44" t="str">
        <f t="shared" si="3765"/>
        <v/>
      </c>
      <c r="FK306" s="44" t="str">
        <f t="shared" si="3766"/>
        <v/>
      </c>
      <c r="FL306" s="44" t="str">
        <f t="shared" si="3767"/>
        <v/>
      </c>
      <c r="FM306" s="44" t="str">
        <f t="shared" si="3768"/>
        <v/>
      </c>
      <c r="FN306" s="44" t="str">
        <f t="shared" si="3769"/>
        <v/>
      </c>
      <c r="FO306" s="44" t="str">
        <f t="shared" si="3770"/>
        <v/>
      </c>
      <c r="FP306" s="44" t="str">
        <f t="shared" si="3771"/>
        <v/>
      </c>
      <c r="FQ306" s="44" t="str">
        <f t="shared" si="3772"/>
        <v/>
      </c>
      <c r="FR306" s="44" t="str">
        <f t="shared" si="3773"/>
        <v/>
      </c>
      <c r="FS306" s="44" t="str">
        <f t="shared" si="3774"/>
        <v/>
      </c>
    </row>
    <row r="307" spans="92:175">
      <c r="CN307" s="13" t="str">
        <f t="shared" si="3699"/>
        <v>InitUnitState('',,,,,,,,,,)</v>
      </c>
      <c r="CO307" s="13" t="str">
        <f t="shared" si="3700"/>
        <v>InitUnitNormal('',,,,,,,,,,)</v>
      </c>
      <c r="CP307" s="13" t="str">
        <f t="shared" si="3701"/>
        <v>InitUnitMagic('',,,,,,,,,,)</v>
      </c>
      <c r="CQ307" s="13" t="str">
        <f t="shared" si="3702"/>
        <v>InitUnitAdd('',,,,,,,,,,)</v>
      </c>
      <c r="CR307" s="13" t="str">
        <f t="shared" si="3703"/>
        <v>InitEquipData('',,"",,,,,'','','','','','',"")</v>
      </c>
      <c r="CU307" s="6" t="str">
        <f t="shared" si="3704"/>
        <v>|n</v>
      </c>
      <c r="CW307" s="7"/>
      <c r="CX307" s="7"/>
      <c r="CY307" s="7"/>
      <c r="CZ307" s="7"/>
      <c r="DA307" s="7"/>
      <c r="DB307" s="44" t="str">
        <f t="shared" si="3705"/>
        <v/>
      </c>
      <c r="DC307" s="44" t="str">
        <f t="shared" si="3706"/>
        <v/>
      </c>
      <c r="DD307" s="44" t="str">
        <f t="shared" si="3707"/>
        <v/>
      </c>
      <c r="DE307" s="44" t="str">
        <f t="shared" si="3708"/>
        <v/>
      </c>
      <c r="DF307" s="44" t="str">
        <f t="shared" si="3709"/>
        <v/>
      </c>
      <c r="DG307" s="44" t="str">
        <f t="shared" si="3710"/>
        <v/>
      </c>
      <c r="DH307" s="44" t="str">
        <f t="shared" si="3711"/>
        <v/>
      </c>
      <c r="DI307" s="44" t="str">
        <f t="shared" si="3712"/>
        <v/>
      </c>
      <c r="DJ307" s="44" t="str">
        <f t="shared" si="3713"/>
        <v/>
      </c>
      <c r="DK307" s="44" t="str">
        <f t="shared" si="3714"/>
        <v/>
      </c>
      <c r="DL307" s="44" t="str">
        <f t="shared" si="3715"/>
        <v/>
      </c>
      <c r="DM307" s="44" t="str">
        <f t="shared" si="3716"/>
        <v/>
      </c>
      <c r="DN307" s="44" t="str">
        <f t="shared" si="3717"/>
        <v/>
      </c>
      <c r="DO307" s="44" t="str">
        <f t="shared" si="3718"/>
        <v/>
      </c>
      <c r="DP307" s="44" t="str">
        <f t="shared" si="3719"/>
        <v/>
      </c>
      <c r="DQ307" s="44" t="str">
        <f t="shared" si="3720"/>
        <v/>
      </c>
      <c r="DR307" s="44" t="str">
        <f t="shared" si="3721"/>
        <v/>
      </c>
      <c r="DS307" s="44" t="str">
        <f t="shared" si="3722"/>
        <v/>
      </c>
      <c r="DT307" s="44" t="str">
        <f t="shared" si="3723"/>
        <v/>
      </c>
      <c r="DU307" s="44" t="str">
        <f t="shared" si="3724"/>
        <v/>
      </c>
      <c r="DV307" s="44" t="str">
        <f t="shared" si="3725"/>
        <v/>
      </c>
      <c r="DW307" s="44" t="str">
        <f t="shared" si="3726"/>
        <v/>
      </c>
      <c r="DX307" s="44" t="str">
        <f t="shared" si="3727"/>
        <v/>
      </c>
      <c r="DY307" s="44" t="str">
        <f t="shared" si="3728"/>
        <v/>
      </c>
      <c r="DZ307" s="44" t="str">
        <f t="shared" si="3729"/>
        <v/>
      </c>
      <c r="EA307" s="44" t="str">
        <f t="shared" si="3730"/>
        <v/>
      </c>
      <c r="EB307" s="44" t="str">
        <f t="shared" si="3731"/>
        <v/>
      </c>
      <c r="EC307" s="44" t="str">
        <f t="shared" si="3732"/>
        <v/>
      </c>
      <c r="ED307" s="44" t="str">
        <f t="shared" si="3733"/>
        <v/>
      </c>
      <c r="EE307" s="44" t="str">
        <f t="shared" si="3734"/>
        <v/>
      </c>
      <c r="EF307" s="44" t="str">
        <f t="shared" si="3735"/>
        <v/>
      </c>
      <c r="EG307" s="44" t="str">
        <f t="shared" si="3736"/>
        <v/>
      </c>
      <c r="EH307" s="44" t="str">
        <f t="shared" si="3737"/>
        <v/>
      </c>
      <c r="EI307" s="44" t="str">
        <f t="shared" si="3738"/>
        <v/>
      </c>
      <c r="EJ307" s="44" t="str">
        <f t="shared" si="3739"/>
        <v/>
      </c>
      <c r="EK307" s="44" t="str">
        <f t="shared" si="3740"/>
        <v/>
      </c>
      <c r="EL307" s="44" t="str">
        <f t="shared" si="3741"/>
        <v/>
      </c>
      <c r="EM307" s="44" t="str">
        <f t="shared" si="3742"/>
        <v/>
      </c>
      <c r="EN307" s="44" t="str">
        <f t="shared" si="3743"/>
        <v/>
      </c>
      <c r="EO307" s="44" t="str">
        <f t="shared" si="3744"/>
        <v/>
      </c>
      <c r="EP307" s="44" t="str">
        <f t="shared" si="3745"/>
        <v/>
      </c>
      <c r="EQ307" s="44" t="str">
        <f t="shared" si="3746"/>
        <v/>
      </c>
      <c r="ER307" s="44" t="str">
        <f t="shared" si="3747"/>
        <v/>
      </c>
      <c r="ES307" s="44" t="str">
        <f t="shared" si="3748"/>
        <v/>
      </c>
      <c r="ET307" s="44" t="str">
        <f t="shared" si="3749"/>
        <v/>
      </c>
      <c r="EU307" s="44" t="str">
        <f t="shared" si="3750"/>
        <v/>
      </c>
      <c r="EV307" s="44" t="str">
        <f t="shared" si="3751"/>
        <v/>
      </c>
      <c r="EW307" s="44" t="str">
        <f t="shared" si="3752"/>
        <v/>
      </c>
      <c r="EX307" s="44" t="str">
        <f t="shared" si="3753"/>
        <v/>
      </c>
      <c r="EY307" s="44" t="str">
        <f t="shared" si="3754"/>
        <v/>
      </c>
      <c r="EZ307" s="44" t="str">
        <f t="shared" si="3755"/>
        <v/>
      </c>
      <c r="FA307" s="44" t="str">
        <f t="shared" si="3756"/>
        <v/>
      </c>
      <c r="FB307" s="44" t="str">
        <f t="shared" si="3757"/>
        <v/>
      </c>
      <c r="FC307" s="44" t="str">
        <f t="shared" si="3758"/>
        <v/>
      </c>
      <c r="FD307" s="44" t="str">
        <f t="shared" si="3759"/>
        <v/>
      </c>
      <c r="FE307" s="44" t="str">
        <f t="shared" si="3760"/>
        <v/>
      </c>
      <c r="FF307" s="44" t="str">
        <f t="shared" si="3761"/>
        <v/>
      </c>
      <c r="FG307" s="44" t="str">
        <f t="shared" si="3762"/>
        <v/>
      </c>
      <c r="FH307" s="44" t="str">
        <f t="shared" si="3763"/>
        <v/>
      </c>
      <c r="FI307" s="44" t="str">
        <f t="shared" si="3764"/>
        <v/>
      </c>
      <c r="FJ307" s="44" t="str">
        <f t="shared" si="3765"/>
        <v/>
      </c>
      <c r="FK307" s="44" t="str">
        <f t="shared" si="3766"/>
        <v/>
      </c>
      <c r="FL307" s="44" t="str">
        <f t="shared" si="3767"/>
        <v/>
      </c>
      <c r="FM307" s="44" t="str">
        <f t="shared" si="3768"/>
        <v/>
      </c>
      <c r="FN307" s="44" t="str">
        <f t="shared" si="3769"/>
        <v/>
      </c>
      <c r="FO307" s="44" t="str">
        <f t="shared" si="3770"/>
        <v/>
      </c>
      <c r="FP307" s="44" t="str">
        <f t="shared" si="3771"/>
        <v/>
      </c>
      <c r="FQ307" s="44" t="str">
        <f t="shared" si="3772"/>
        <v/>
      </c>
      <c r="FR307" s="44" t="str">
        <f t="shared" si="3773"/>
        <v/>
      </c>
      <c r="FS307" s="44" t="str">
        <f t="shared" si="3774"/>
        <v/>
      </c>
    </row>
    <row r="308" spans="92:175">
      <c r="CN308" s="13" t="str">
        <f t="shared" si="3699"/>
        <v>InitUnitState('',,,,,,,,,,)</v>
      </c>
      <c r="CO308" s="13" t="str">
        <f t="shared" si="3700"/>
        <v>InitUnitNormal('',,,,,,,,,,)</v>
      </c>
      <c r="CP308" s="13" t="str">
        <f t="shared" si="3701"/>
        <v>InitUnitMagic('',,,,,,,,,,)</v>
      </c>
      <c r="CQ308" s="13" t="str">
        <f t="shared" si="3702"/>
        <v>InitUnitAdd('',,,,,,,,,,)</v>
      </c>
      <c r="CR308" s="13" t="str">
        <f t="shared" si="3703"/>
        <v>InitEquipData('',,"",,,,,'','','','','','',"")</v>
      </c>
      <c r="CU308" s="6" t="str">
        <f t="shared" si="3704"/>
        <v>|n</v>
      </c>
      <c r="CW308" s="7"/>
      <c r="CX308" s="7"/>
      <c r="CY308" s="7"/>
      <c r="CZ308" s="7"/>
      <c r="DA308" s="7"/>
      <c r="DB308" s="44" t="str">
        <f t="shared" si="3705"/>
        <v/>
      </c>
      <c r="DC308" s="44" t="str">
        <f t="shared" si="3706"/>
        <v/>
      </c>
      <c r="DD308" s="44" t="str">
        <f t="shared" si="3707"/>
        <v/>
      </c>
      <c r="DE308" s="44" t="str">
        <f t="shared" si="3708"/>
        <v/>
      </c>
      <c r="DF308" s="44" t="str">
        <f t="shared" si="3709"/>
        <v/>
      </c>
      <c r="DG308" s="44" t="str">
        <f t="shared" si="3710"/>
        <v/>
      </c>
      <c r="DH308" s="44" t="str">
        <f t="shared" si="3711"/>
        <v/>
      </c>
      <c r="DI308" s="44" t="str">
        <f t="shared" si="3712"/>
        <v/>
      </c>
      <c r="DJ308" s="44" t="str">
        <f t="shared" si="3713"/>
        <v/>
      </c>
      <c r="DK308" s="44" t="str">
        <f t="shared" si="3714"/>
        <v/>
      </c>
      <c r="DL308" s="44" t="str">
        <f t="shared" si="3715"/>
        <v/>
      </c>
      <c r="DM308" s="44" t="str">
        <f t="shared" si="3716"/>
        <v/>
      </c>
      <c r="DN308" s="44" t="str">
        <f t="shared" si="3717"/>
        <v/>
      </c>
      <c r="DO308" s="44" t="str">
        <f t="shared" si="3718"/>
        <v/>
      </c>
      <c r="DP308" s="44" t="str">
        <f t="shared" si="3719"/>
        <v/>
      </c>
      <c r="DQ308" s="44" t="str">
        <f t="shared" si="3720"/>
        <v/>
      </c>
      <c r="DR308" s="44" t="str">
        <f t="shared" si="3721"/>
        <v/>
      </c>
      <c r="DS308" s="44" t="str">
        <f t="shared" si="3722"/>
        <v/>
      </c>
      <c r="DT308" s="44" t="str">
        <f t="shared" si="3723"/>
        <v/>
      </c>
      <c r="DU308" s="44" t="str">
        <f t="shared" si="3724"/>
        <v/>
      </c>
      <c r="DV308" s="44" t="str">
        <f t="shared" si="3725"/>
        <v/>
      </c>
      <c r="DW308" s="44" t="str">
        <f t="shared" si="3726"/>
        <v/>
      </c>
      <c r="DX308" s="44" t="str">
        <f t="shared" si="3727"/>
        <v/>
      </c>
      <c r="DY308" s="44" t="str">
        <f t="shared" si="3728"/>
        <v/>
      </c>
      <c r="DZ308" s="44" t="str">
        <f t="shared" si="3729"/>
        <v/>
      </c>
      <c r="EA308" s="44" t="str">
        <f t="shared" si="3730"/>
        <v/>
      </c>
      <c r="EB308" s="44" t="str">
        <f t="shared" si="3731"/>
        <v/>
      </c>
      <c r="EC308" s="44" t="str">
        <f t="shared" si="3732"/>
        <v/>
      </c>
      <c r="ED308" s="44" t="str">
        <f t="shared" si="3733"/>
        <v/>
      </c>
      <c r="EE308" s="44" t="str">
        <f t="shared" si="3734"/>
        <v/>
      </c>
      <c r="EF308" s="44" t="str">
        <f t="shared" si="3735"/>
        <v/>
      </c>
      <c r="EG308" s="44" t="str">
        <f t="shared" si="3736"/>
        <v/>
      </c>
      <c r="EH308" s="44" t="str">
        <f t="shared" si="3737"/>
        <v/>
      </c>
      <c r="EI308" s="44" t="str">
        <f t="shared" si="3738"/>
        <v/>
      </c>
      <c r="EJ308" s="44" t="str">
        <f t="shared" si="3739"/>
        <v/>
      </c>
      <c r="EK308" s="44" t="str">
        <f t="shared" si="3740"/>
        <v/>
      </c>
      <c r="EL308" s="44" t="str">
        <f t="shared" si="3741"/>
        <v/>
      </c>
      <c r="EM308" s="44" t="str">
        <f t="shared" si="3742"/>
        <v/>
      </c>
      <c r="EN308" s="44" t="str">
        <f t="shared" si="3743"/>
        <v/>
      </c>
      <c r="EO308" s="44" t="str">
        <f t="shared" si="3744"/>
        <v/>
      </c>
      <c r="EP308" s="44" t="str">
        <f t="shared" si="3745"/>
        <v/>
      </c>
      <c r="EQ308" s="44" t="str">
        <f t="shared" si="3746"/>
        <v/>
      </c>
      <c r="ER308" s="44" t="str">
        <f t="shared" si="3747"/>
        <v/>
      </c>
      <c r="ES308" s="44" t="str">
        <f t="shared" si="3748"/>
        <v/>
      </c>
      <c r="ET308" s="44" t="str">
        <f t="shared" si="3749"/>
        <v/>
      </c>
      <c r="EU308" s="44" t="str">
        <f t="shared" si="3750"/>
        <v/>
      </c>
      <c r="EV308" s="44" t="str">
        <f t="shared" si="3751"/>
        <v/>
      </c>
      <c r="EW308" s="44" t="str">
        <f t="shared" si="3752"/>
        <v/>
      </c>
      <c r="EX308" s="44" t="str">
        <f t="shared" si="3753"/>
        <v/>
      </c>
      <c r="EY308" s="44" t="str">
        <f t="shared" si="3754"/>
        <v/>
      </c>
      <c r="EZ308" s="44" t="str">
        <f t="shared" si="3755"/>
        <v/>
      </c>
      <c r="FA308" s="44" t="str">
        <f t="shared" si="3756"/>
        <v/>
      </c>
      <c r="FB308" s="44" t="str">
        <f t="shared" si="3757"/>
        <v/>
      </c>
      <c r="FC308" s="44" t="str">
        <f t="shared" si="3758"/>
        <v/>
      </c>
      <c r="FD308" s="44" t="str">
        <f t="shared" si="3759"/>
        <v/>
      </c>
      <c r="FE308" s="44" t="str">
        <f t="shared" si="3760"/>
        <v/>
      </c>
      <c r="FF308" s="44" t="str">
        <f t="shared" si="3761"/>
        <v/>
      </c>
      <c r="FG308" s="44" t="str">
        <f t="shared" si="3762"/>
        <v/>
      </c>
      <c r="FH308" s="44" t="str">
        <f t="shared" si="3763"/>
        <v/>
      </c>
      <c r="FI308" s="44" t="str">
        <f t="shared" si="3764"/>
        <v/>
      </c>
      <c r="FJ308" s="44" t="str">
        <f t="shared" si="3765"/>
        <v/>
      </c>
      <c r="FK308" s="44" t="str">
        <f t="shared" si="3766"/>
        <v/>
      </c>
      <c r="FL308" s="44" t="str">
        <f t="shared" si="3767"/>
        <v/>
      </c>
      <c r="FM308" s="44" t="str">
        <f t="shared" si="3768"/>
        <v/>
      </c>
      <c r="FN308" s="44" t="str">
        <f t="shared" si="3769"/>
        <v/>
      </c>
      <c r="FO308" s="44" t="str">
        <f t="shared" si="3770"/>
        <v/>
      </c>
      <c r="FP308" s="44" t="str">
        <f t="shared" si="3771"/>
        <v/>
      </c>
      <c r="FQ308" s="44" t="str">
        <f t="shared" si="3772"/>
        <v/>
      </c>
      <c r="FR308" s="44" t="str">
        <f t="shared" si="3773"/>
        <v/>
      </c>
      <c r="FS308" s="44" t="str">
        <f t="shared" si="3774"/>
        <v/>
      </c>
    </row>
    <row r="309" spans="92:175">
      <c r="CN309" s="13" t="str">
        <f t="shared" si="3699"/>
        <v>InitUnitState('',,,,,,,,,,)</v>
      </c>
      <c r="CO309" s="13" t="str">
        <f t="shared" si="3700"/>
        <v>InitUnitNormal('',,,,,,,,,,)</v>
      </c>
      <c r="CP309" s="13" t="str">
        <f t="shared" si="3701"/>
        <v>InitUnitMagic('',,,,,,,,,,)</v>
      </c>
      <c r="CQ309" s="13" t="str">
        <f t="shared" si="3702"/>
        <v>InitUnitAdd('',,,,,,,,,,)</v>
      </c>
      <c r="CR309" s="13" t="str">
        <f t="shared" si="3703"/>
        <v>InitEquipData('',,"",,,,,'','','','','','',"")</v>
      </c>
      <c r="CU309" s="6" t="str">
        <f t="shared" si="3704"/>
        <v>|n</v>
      </c>
      <c r="CW309" s="7"/>
      <c r="CX309" s="7"/>
      <c r="CY309" s="7"/>
      <c r="CZ309" s="7"/>
      <c r="DA309" s="7"/>
      <c r="DB309" s="44" t="str">
        <f t="shared" si="3705"/>
        <v/>
      </c>
      <c r="DC309" s="44" t="str">
        <f t="shared" si="3706"/>
        <v/>
      </c>
      <c r="DD309" s="44" t="str">
        <f t="shared" si="3707"/>
        <v/>
      </c>
      <c r="DE309" s="44" t="str">
        <f t="shared" si="3708"/>
        <v/>
      </c>
      <c r="DF309" s="44" t="str">
        <f t="shared" si="3709"/>
        <v/>
      </c>
      <c r="DG309" s="44" t="str">
        <f t="shared" si="3710"/>
        <v/>
      </c>
      <c r="DH309" s="44" t="str">
        <f t="shared" si="3711"/>
        <v/>
      </c>
      <c r="DI309" s="44" t="str">
        <f t="shared" si="3712"/>
        <v/>
      </c>
      <c r="DJ309" s="44" t="str">
        <f t="shared" si="3713"/>
        <v/>
      </c>
      <c r="DK309" s="44" t="str">
        <f t="shared" si="3714"/>
        <v/>
      </c>
      <c r="DL309" s="44" t="str">
        <f t="shared" si="3715"/>
        <v/>
      </c>
      <c r="DM309" s="44" t="str">
        <f t="shared" si="3716"/>
        <v/>
      </c>
      <c r="DN309" s="44" t="str">
        <f t="shared" si="3717"/>
        <v/>
      </c>
      <c r="DO309" s="44" t="str">
        <f t="shared" si="3718"/>
        <v/>
      </c>
      <c r="DP309" s="44" t="str">
        <f t="shared" si="3719"/>
        <v/>
      </c>
      <c r="DQ309" s="44" t="str">
        <f t="shared" si="3720"/>
        <v/>
      </c>
      <c r="DR309" s="44" t="str">
        <f t="shared" si="3721"/>
        <v/>
      </c>
      <c r="DS309" s="44" t="str">
        <f t="shared" si="3722"/>
        <v/>
      </c>
      <c r="DT309" s="44" t="str">
        <f t="shared" si="3723"/>
        <v/>
      </c>
      <c r="DU309" s="44" t="str">
        <f t="shared" si="3724"/>
        <v/>
      </c>
      <c r="DV309" s="44" t="str">
        <f t="shared" si="3725"/>
        <v/>
      </c>
      <c r="DW309" s="44" t="str">
        <f t="shared" si="3726"/>
        <v/>
      </c>
      <c r="DX309" s="44" t="str">
        <f t="shared" si="3727"/>
        <v/>
      </c>
      <c r="DY309" s="44" t="str">
        <f t="shared" si="3728"/>
        <v/>
      </c>
      <c r="DZ309" s="44" t="str">
        <f t="shared" si="3729"/>
        <v/>
      </c>
      <c r="EA309" s="44" t="str">
        <f t="shared" si="3730"/>
        <v/>
      </c>
      <c r="EB309" s="44" t="str">
        <f t="shared" si="3731"/>
        <v/>
      </c>
      <c r="EC309" s="44" t="str">
        <f t="shared" si="3732"/>
        <v/>
      </c>
      <c r="ED309" s="44" t="str">
        <f t="shared" si="3733"/>
        <v/>
      </c>
      <c r="EE309" s="44" t="str">
        <f t="shared" si="3734"/>
        <v/>
      </c>
      <c r="EF309" s="44" t="str">
        <f t="shared" si="3735"/>
        <v/>
      </c>
      <c r="EG309" s="44" t="str">
        <f t="shared" si="3736"/>
        <v/>
      </c>
      <c r="EH309" s="44" t="str">
        <f t="shared" si="3737"/>
        <v/>
      </c>
      <c r="EI309" s="44" t="str">
        <f t="shared" si="3738"/>
        <v/>
      </c>
      <c r="EJ309" s="44" t="str">
        <f t="shared" si="3739"/>
        <v/>
      </c>
      <c r="EK309" s="44" t="str">
        <f t="shared" si="3740"/>
        <v/>
      </c>
      <c r="EL309" s="44" t="str">
        <f t="shared" si="3741"/>
        <v/>
      </c>
      <c r="EM309" s="44" t="str">
        <f t="shared" si="3742"/>
        <v/>
      </c>
      <c r="EN309" s="44" t="str">
        <f t="shared" si="3743"/>
        <v/>
      </c>
      <c r="EO309" s="44" t="str">
        <f t="shared" si="3744"/>
        <v/>
      </c>
      <c r="EP309" s="44" t="str">
        <f t="shared" si="3745"/>
        <v/>
      </c>
      <c r="EQ309" s="44" t="str">
        <f t="shared" si="3746"/>
        <v/>
      </c>
      <c r="ER309" s="44" t="str">
        <f t="shared" si="3747"/>
        <v/>
      </c>
      <c r="ES309" s="44" t="str">
        <f t="shared" si="3748"/>
        <v/>
      </c>
      <c r="ET309" s="44" t="str">
        <f t="shared" si="3749"/>
        <v/>
      </c>
      <c r="EU309" s="44" t="str">
        <f t="shared" si="3750"/>
        <v/>
      </c>
      <c r="EV309" s="44" t="str">
        <f t="shared" si="3751"/>
        <v/>
      </c>
      <c r="EW309" s="44" t="str">
        <f t="shared" si="3752"/>
        <v/>
      </c>
      <c r="EX309" s="44" t="str">
        <f t="shared" si="3753"/>
        <v/>
      </c>
      <c r="EY309" s="44" t="str">
        <f t="shared" si="3754"/>
        <v/>
      </c>
      <c r="EZ309" s="44" t="str">
        <f t="shared" si="3755"/>
        <v/>
      </c>
      <c r="FA309" s="44" t="str">
        <f t="shared" si="3756"/>
        <v/>
      </c>
      <c r="FB309" s="44" t="str">
        <f t="shared" si="3757"/>
        <v/>
      </c>
      <c r="FC309" s="44" t="str">
        <f t="shared" si="3758"/>
        <v/>
      </c>
      <c r="FD309" s="44" t="str">
        <f t="shared" si="3759"/>
        <v/>
      </c>
      <c r="FE309" s="44" t="str">
        <f t="shared" si="3760"/>
        <v/>
      </c>
      <c r="FF309" s="44" t="str">
        <f t="shared" si="3761"/>
        <v/>
      </c>
      <c r="FG309" s="44" t="str">
        <f t="shared" si="3762"/>
        <v/>
      </c>
      <c r="FH309" s="44" t="str">
        <f t="shared" si="3763"/>
        <v/>
      </c>
      <c r="FI309" s="44" t="str">
        <f t="shared" si="3764"/>
        <v/>
      </c>
      <c r="FJ309" s="44" t="str">
        <f t="shared" si="3765"/>
        <v/>
      </c>
      <c r="FK309" s="44" t="str">
        <f t="shared" si="3766"/>
        <v/>
      </c>
      <c r="FL309" s="44" t="str">
        <f t="shared" si="3767"/>
        <v/>
      </c>
      <c r="FM309" s="44" t="str">
        <f t="shared" si="3768"/>
        <v/>
      </c>
      <c r="FN309" s="44" t="str">
        <f t="shared" si="3769"/>
        <v/>
      </c>
      <c r="FO309" s="44" t="str">
        <f t="shared" si="3770"/>
        <v/>
      </c>
      <c r="FP309" s="44" t="str">
        <f t="shared" si="3771"/>
        <v/>
      </c>
      <c r="FQ309" s="44" t="str">
        <f t="shared" si="3772"/>
        <v/>
      </c>
      <c r="FR309" s="44" t="str">
        <f t="shared" si="3773"/>
        <v/>
      </c>
      <c r="FS309" s="44" t="str">
        <f t="shared" si="3774"/>
        <v/>
      </c>
    </row>
    <row r="310" spans="92:175">
      <c r="CN310" s="13" t="str">
        <f t="shared" si="3699"/>
        <v>InitUnitState('',,,,,,,,,,)</v>
      </c>
      <c r="CO310" s="13" t="str">
        <f t="shared" si="3700"/>
        <v>InitUnitNormal('',,,,,,,,,,)</v>
      </c>
      <c r="CP310" s="13" t="str">
        <f t="shared" si="3701"/>
        <v>InitUnitMagic('',,,,,,,,,,)</v>
      </c>
      <c r="CQ310" s="13" t="str">
        <f t="shared" si="3702"/>
        <v>InitUnitAdd('',,,,,,,,,,)</v>
      </c>
      <c r="CR310" s="13" t="str">
        <f t="shared" si="3703"/>
        <v>InitEquipData('',,"",,,,,'','','','','','',"")</v>
      </c>
      <c r="CU310" s="6" t="str">
        <f t="shared" si="3704"/>
        <v>|n</v>
      </c>
      <c r="CW310" s="7"/>
      <c r="CX310" s="7"/>
      <c r="CY310" s="7"/>
      <c r="CZ310" s="7"/>
      <c r="DA310" s="7"/>
      <c r="DB310" s="44" t="str">
        <f t="shared" si="3705"/>
        <v/>
      </c>
      <c r="DC310" s="44" t="str">
        <f t="shared" si="3706"/>
        <v/>
      </c>
      <c r="DD310" s="44" t="str">
        <f t="shared" si="3707"/>
        <v/>
      </c>
      <c r="DE310" s="44" t="str">
        <f t="shared" si="3708"/>
        <v/>
      </c>
      <c r="DF310" s="44" t="str">
        <f t="shared" si="3709"/>
        <v/>
      </c>
      <c r="DG310" s="44" t="str">
        <f t="shared" si="3710"/>
        <v/>
      </c>
      <c r="DH310" s="44" t="str">
        <f t="shared" si="3711"/>
        <v/>
      </c>
      <c r="DI310" s="44" t="str">
        <f t="shared" si="3712"/>
        <v/>
      </c>
      <c r="DJ310" s="44" t="str">
        <f t="shared" si="3713"/>
        <v/>
      </c>
      <c r="DK310" s="44" t="str">
        <f t="shared" si="3714"/>
        <v/>
      </c>
      <c r="DL310" s="44" t="str">
        <f t="shared" si="3715"/>
        <v/>
      </c>
      <c r="DM310" s="44" t="str">
        <f t="shared" si="3716"/>
        <v/>
      </c>
      <c r="DN310" s="44" t="str">
        <f t="shared" si="3717"/>
        <v/>
      </c>
      <c r="DO310" s="44" t="str">
        <f t="shared" si="3718"/>
        <v/>
      </c>
      <c r="DP310" s="44" t="str">
        <f t="shared" si="3719"/>
        <v/>
      </c>
      <c r="DQ310" s="44" t="str">
        <f t="shared" si="3720"/>
        <v/>
      </c>
      <c r="DR310" s="44" t="str">
        <f t="shared" si="3721"/>
        <v/>
      </c>
      <c r="DS310" s="44" t="str">
        <f t="shared" si="3722"/>
        <v/>
      </c>
      <c r="DT310" s="44" t="str">
        <f t="shared" si="3723"/>
        <v/>
      </c>
      <c r="DU310" s="44" t="str">
        <f t="shared" si="3724"/>
        <v/>
      </c>
      <c r="DV310" s="44" t="str">
        <f t="shared" si="3725"/>
        <v/>
      </c>
      <c r="DW310" s="44" t="str">
        <f t="shared" si="3726"/>
        <v/>
      </c>
      <c r="DX310" s="44" t="str">
        <f t="shared" si="3727"/>
        <v/>
      </c>
      <c r="DY310" s="44" t="str">
        <f t="shared" si="3728"/>
        <v/>
      </c>
      <c r="DZ310" s="44" t="str">
        <f t="shared" si="3729"/>
        <v/>
      </c>
      <c r="EA310" s="44" t="str">
        <f t="shared" si="3730"/>
        <v/>
      </c>
      <c r="EB310" s="44" t="str">
        <f t="shared" si="3731"/>
        <v/>
      </c>
      <c r="EC310" s="44" t="str">
        <f t="shared" si="3732"/>
        <v/>
      </c>
      <c r="ED310" s="44" t="str">
        <f t="shared" si="3733"/>
        <v/>
      </c>
      <c r="EE310" s="44" t="str">
        <f t="shared" si="3734"/>
        <v/>
      </c>
      <c r="EF310" s="44" t="str">
        <f t="shared" si="3735"/>
        <v/>
      </c>
      <c r="EG310" s="44" t="str">
        <f t="shared" si="3736"/>
        <v/>
      </c>
      <c r="EH310" s="44" t="str">
        <f t="shared" si="3737"/>
        <v/>
      </c>
      <c r="EI310" s="44" t="str">
        <f t="shared" si="3738"/>
        <v/>
      </c>
      <c r="EJ310" s="44" t="str">
        <f t="shared" si="3739"/>
        <v/>
      </c>
      <c r="EK310" s="44" t="str">
        <f t="shared" si="3740"/>
        <v/>
      </c>
      <c r="EL310" s="44" t="str">
        <f t="shared" si="3741"/>
        <v/>
      </c>
      <c r="EM310" s="44" t="str">
        <f t="shared" si="3742"/>
        <v/>
      </c>
      <c r="EN310" s="44" t="str">
        <f t="shared" si="3743"/>
        <v/>
      </c>
      <c r="EO310" s="44" t="str">
        <f t="shared" si="3744"/>
        <v/>
      </c>
      <c r="EP310" s="44" t="str">
        <f t="shared" si="3745"/>
        <v/>
      </c>
      <c r="EQ310" s="44" t="str">
        <f t="shared" si="3746"/>
        <v/>
      </c>
      <c r="ER310" s="44" t="str">
        <f t="shared" si="3747"/>
        <v/>
      </c>
      <c r="ES310" s="44" t="str">
        <f t="shared" si="3748"/>
        <v/>
      </c>
      <c r="ET310" s="44" t="str">
        <f t="shared" si="3749"/>
        <v/>
      </c>
      <c r="EU310" s="44" t="str">
        <f t="shared" si="3750"/>
        <v/>
      </c>
      <c r="EV310" s="44" t="str">
        <f t="shared" si="3751"/>
        <v/>
      </c>
      <c r="EW310" s="44" t="str">
        <f t="shared" si="3752"/>
        <v/>
      </c>
      <c r="EX310" s="44" t="str">
        <f t="shared" si="3753"/>
        <v/>
      </c>
      <c r="EY310" s="44" t="str">
        <f t="shared" si="3754"/>
        <v/>
      </c>
      <c r="EZ310" s="44" t="str">
        <f t="shared" si="3755"/>
        <v/>
      </c>
      <c r="FA310" s="44" t="str">
        <f t="shared" si="3756"/>
        <v/>
      </c>
      <c r="FB310" s="44" t="str">
        <f t="shared" si="3757"/>
        <v/>
      </c>
      <c r="FC310" s="44" t="str">
        <f t="shared" si="3758"/>
        <v/>
      </c>
      <c r="FD310" s="44" t="str">
        <f t="shared" si="3759"/>
        <v/>
      </c>
      <c r="FE310" s="44" t="str">
        <f t="shared" si="3760"/>
        <v/>
      </c>
      <c r="FF310" s="44" t="str">
        <f t="shared" si="3761"/>
        <v/>
      </c>
      <c r="FG310" s="44" t="str">
        <f t="shared" si="3762"/>
        <v/>
      </c>
      <c r="FH310" s="44" t="str">
        <f t="shared" si="3763"/>
        <v/>
      </c>
      <c r="FI310" s="44" t="str">
        <f t="shared" si="3764"/>
        <v/>
      </c>
      <c r="FJ310" s="44" t="str">
        <f t="shared" si="3765"/>
        <v/>
      </c>
      <c r="FK310" s="44" t="str">
        <f t="shared" si="3766"/>
        <v/>
      </c>
      <c r="FL310" s="44" t="str">
        <f t="shared" si="3767"/>
        <v/>
      </c>
      <c r="FM310" s="44" t="str">
        <f t="shared" si="3768"/>
        <v/>
      </c>
      <c r="FN310" s="44" t="str">
        <f t="shared" si="3769"/>
        <v/>
      </c>
      <c r="FO310" s="44" t="str">
        <f t="shared" si="3770"/>
        <v/>
      </c>
      <c r="FP310" s="44" t="str">
        <f t="shared" si="3771"/>
        <v/>
      </c>
      <c r="FQ310" s="44" t="str">
        <f t="shared" si="3772"/>
        <v/>
      </c>
      <c r="FR310" s="44" t="str">
        <f t="shared" si="3773"/>
        <v/>
      </c>
      <c r="FS310" s="44" t="str">
        <f t="shared" si="3774"/>
        <v/>
      </c>
    </row>
    <row r="311" spans="92:175">
      <c r="CN311" s="13" t="str">
        <f t="shared" si="3699"/>
        <v>InitUnitState('',,,,,,,,,,)</v>
      </c>
      <c r="CO311" s="13" t="str">
        <f t="shared" si="3700"/>
        <v>InitUnitNormal('',,,,,,,,,,)</v>
      </c>
      <c r="CP311" s="13" t="str">
        <f t="shared" si="3701"/>
        <v>InitUnitMagic('',,,,,,,,,,)</v>
      </c>
      <c r="CQ311" s="13" t="str">
        <f t="shared" si="3702"/>
        <v>InitUnitAdd('',,,,,,,,,,)</v>
      </c>
      <c r="CR311" s="13" t="str">
        <f t="shared" si="3703"/>
        <v>InitEquipData('',,"",,,,,'','','','','','',"")</v>
      </c>
      <c r="CU311" s="6" t="str">
        <f t="shared" si="3704"/>
        <v>|n</v>
      </c>
      <c r="CW311" s="7"/>
      <c r="CX311" s="7"/>
      <c r="CY311" s="7"/>
      <c r="CZ311" s="7"/>
      <c r="DA311" s="7"/>
      <c r="DB311" s="44" t="str">
        <f t="shared" si="3705"/>
        <v/>
      </c>
      <c r="DC311" s="44" t="str">
        <f t="shared" si="3706"/>
        <v/>
      </c>
      <c r="DD311" s="44" t="str">
        <f t="shared" si="3707"/>
        <v/>
      </c>
      <c r="DE311" s="44" t="str">
        <f t="shared" si="3708"/>
        <v/>
      </c>
      <c r="DF311" s="44" t="str">
        <f t="shared" si="3709"/>
        <v/>
      </c>
      <c r="DG311" s="44" t="str">
        <f t="shared" si="3710"/>
        <v/>
      </c>
      <c r="DH311" s="44" t="str">
        <f t="shared" si="3711"/>
        <v/>
      </c>
      <c r="DI311" s="44" t="str">
        <f t="shared" si="3712"/>
        <v/>
      </c>
      <c r="DJ311" s="44" t="str">
        <f t="shared" si="3713"/>
        <v/>
      </c>
      <c r="DK311" s="44" t="str">
        <f t="shared" si="3714"/>
        <v/>
      </c>
      <c r="DL311" s="44" t="str">
        <f t="shared" si="3715"/>
        <v/>
      </c>
      <c r="DM311" s="44" t="str">
        <f t="shared" si="3716"/>
        <v/>
      </c>
      <c r="DN311" s="44" t="str">
        <f t="shared" si="3717"/>
        <v/>
      </c>
      <c r="DO311" s="44" t="str">
        <f t="shared" si="3718"/>
        <v/>
      </c>
      <c r="DP311" s="44" t="str">
        <f t="shared" si="3719"/>
        <v/>
      </c>
      <c r="DQ311" s="44" t="str">
        <f t="shared" si="3720"/>
        <v/>
      </c>
      <c r="DR311" s="44" t="str">
        <f t="shared" si="3721"/>
        <v/>
      </c>
      <c r="DS311" s="44" t="str">
        <f t="shared" si="3722"/>
        <v/>
      </c>
      <c r="DT311" s="44" t="str">
        <f t="shared" si="3723"/>
        <v/>
      </c>
      <c r="DU311" s="44" t="str">
        <f t="shared" si="3724"/>
        <v/>
      </c>
      <c r="DV311" s="44" t="str">
        <f t="shared" si="3725"/>
        <v/>
      </c>
      <c r="DW311" s="44" t="str">
        <f t="shared" si="3726"/>
        <v/>
      </c>
      <c r="DX311" s="44" t="str">
        <f t="shared" si="3727"/>
        <v/>
      </c>
      <c r="DY311" s="44" t="str">
        <f t="shared" si="3728"/>
        <v/>
      </c>
      <c r="DZ311" s="44" t="str">
        <f t="shared" si="3729"/>
        <v/>
      </c>
      <c r="EA311" s="44" t="str">
        <f t="shared" si="3730"/>
        <v/>
      </c>
      <c r="EB311" s="44" t="str">
        <f t="shared" si="3731"/>
        <v/>
      </c>
      <c r="EC311" s="44" t="str">
        <f t="shared" si="3732"/>
        <v/>
      </c>
      <c r="ED311" s="44" t="str">
        <f t="shared" si="3733"/>
        <v/>
      </c>
      <c r="EE311" s="44" t="str">
        <f t="shared" si="3734"/>
        <v/>
      </c>
      <c r="EF311" s="44" t="str">
        <f t="shared" si="3735"/>
        <v/>
      </c>
      <c r="EG311" s="44" t="str">
        <f t="shared" si="3736"/>
        <v/>
      </c>
      <c r="EH311" s="44" t="str">
        <f t="shared" si="3737"/>
        <v/>
      </c>
      <c r="EI311" s="44" t="str">
        <f t="shared" si="3738"/>
        <v/>
      </c>
      <c r="EJ311" s="44" t="str">
        <f t="shared" si="3739"/>
        <v/>
      </c>
      <c r="EK311" s="44" t="str">
        <f t="shared" si="3740"/>
        <v/>
      </c>
      <c r="EL311" s="44" t="str">
        <f t="shared" si="3741"/>
        <v/>
      </c>
      <c r="EM311" s="44" t="str">
        <f t="shared" si="3742"/>
        <v/>
      </c>
      <c r="EN311" s="44" t="str">
        <f t="shared" si="3743"/>
        <v/>
      </c>
      <c r="EO311" s="44" t="str">
        <f t="shared" si="3744"/>
        <v/>
      </c>
      <c r="EP311" s="44" t="str">
        <f t="shared" si="3745"/>
        <v/>
      </c>
      <c r="EQ311" s="44" t="str">
        <f t="shared" si="3746"/>
        <v/>
      </c>
      <c r="ER311" s="44" t="str">
        <f t="shared" si="3747"/>
        <v/>
      </c>
      <c r="ES311" s="44" t="str">
        <f t="shared" si="3748"/>
        <v/>
      </c>
      <c r="ET311" s="44" t="str">
        <f t="shared" si="3749"/>
        <v/>
      </c>
      <c r="EU311" s="44" t="str">
        <f t="shared" si="3750"/>
        <v/>
      </c>
      <c r="EV311" s="44" t="str">
        <f t="shared" si="3751"/>
        <v/>
      </c>
      <c r="EW311" s="44" t="str">
        <f t="shared" si="3752"/>
        <v/>
      </c>
      <c r="EX311" s="44" t="str">
        <f t="shared" si="3753"/>
        <v/>
      </c>
      <c r="EY311" s="44" t="str">
        <f t="shared" si="3754"/>
        <v/>
      </c>
      <c r="EZ311" s="44" t="str">
        <f t="shared" si="3755"/>
        <v/>
      </c>
      <c r="FA311" s="44" t="str">
        <f t="shared" si="3756"/>
        <v/>
      </c>
      <c r="FB311" s="44" t="str">
        <f t="shared" si="3757"/>
        <v/>
      </c>
      <c r="FC311" s="44" t="str">
        <f t="shared" si="3758"/>
        <v/>
      </c>
      <c r="FD311" s="44" t="str">
        <f t="shared" si="3759"/>
        <v/>
      </c>
      <c r="FE311" s="44" t="str">
        <f t="shared" si="3760"/>
        <v/>
      </c>
      <c r="FF311" s="44" t="str">
        <f t="shared" si="3761"/>
        <v/>
      </c>
      <c r="FG311" s="44" t="str">
        <f t="shared" si="3762"/>
        <v/>
      </c>
      <c r="FH311" s="44" t="str">
        <f t="shared" si="3763"/>
        <v/>
      </c>
      <c r="FI311" s="44" t="str">
        <f t="shared" si="3764"/>
        <v/>
      </c>
      <c r="FJ311" s="44" t="str">
        <f t="shared" si="3765"/>
        <v/>
      </c>
      <c r="FK311" s="44" t="str">
        <f t="shared" si="3766"/>
        <v/>
      </c>
      <c r="FL311" s="44" t="str">
        <f t="shared" si="3767"/>
        <v/>
      </c>
      <c r="FM311" s="44" t="str">
        <f t="shared" si="3768"/>
        <v/>
      </c>
      <c r="FN311" s="44" t="str">
        <f t="shared" si="3769"/>
        <v/>
      </c>
      <c r="FO311" s="44" t="str">
        <f t="shared" si="3770"/>
        <v/>
      </c>
      <c r="FP311" s="44" t="str">
        <f t="shared" si="3771"/>
        <v/>
      </c>
      <c r="FQ311" s="44" t="str">
        <f t="shared" si="3772"/>
        <v/>
      </c>
      <c r="FR311" s="44" t="str">
        <f t="shared" si="3773"/>
        <v/>
      </c>
      <c r="FS311" s="44" t="str">
        <f t="shared" si="3774"/>
        <v/>
      </c>
    </row>
    <row r="312" spans="92:175">
      <c r="CN312" s="13" t="str">
        <f t="shared" si="3699"/>
        <v>InitUnitState('',,,,,,,,,,)</v>
      </c>
      <c r="CO312" s="13" t="str">
        <f t="shared" si="3700"/>
        <v>InitUnitNormal('',,,,,,,,,,)</v>
      </c>
      <c r="CP312" s="13" t="str">
        <f t="shared" si="3701"/>
        <v>InitUnitMagic('',,,,,,,,,,)</v>
      </c>
      <c r="CQ312" s="13" t="str">
        <f t="shared" si="3702"/>
        <v>InitUnitAdd('',,,,,,,,,,)</v>
      </c>
      <c r="CR312" s="13" t="str">
        <f t="shared" si="3703"/>
        <v>InitEquipData('',,"",,,,,'','','','','','',"")</v>
      </c>
      <c r="CU312" s="6" t="str">
        <f t="shared" ref="CU312:CU350" si="3775">CONCATENATE(DB312,DC312,DD312,DE312,DF312,DG312,DH312,DI312,DJ312,DK312,DL312,DM312,DN312,DO312,DP312,DQ312,DR312,DS312,DT312,DU312,DV312,DW312,DX312,DY312,DZ312,EA312,EB312,EC312,ED312,EE312,EF312,EG312,EH312,EI312,EJ312,EK312,EL312,EM312,EN312,EO312,EP312&amp;"|n")</f>
        <v>|n</v>
      </c>
      <c r="CW312" s="7"/>
      <c r="CX312" s="7"/>
      <c r="CY312" s="7"/>
      <c r="CZ312" s="7"/>
      <c r="DA312" s="7"/>
      <c r="DB312" s="44" t="str">
        <f t="shared" si="3705"/>
        <v/>
      </c>
      <c r="DC312" s="44" t="str">
        <f t="shared" si="3706"/>
        <v/>
      </c>
      <c r="DD312" s="44" t="str">
        <f t="shared" si="3707"/>
        <v/>
      </c>
      <c r="DE312" s="44" t="str">
        <f t="shared" si="3708"/>
        <v/>
      </c>
      <c r="DF312" s="44" t="str">
        <f t="shared" si="3709"/>
        <v/>
      </c>
      <c r="DG312" s="44" t="str">
        <f t="shared" si="3710"/>
        <v/>
      </c>
      <c r="DH312" s="44" t="str">
        <f t="shared" si="3711"/>
        <v/>
      </c>
      <c r="DI312" s="44" t="str">
        <f t="shared" si="3712"/>
        <v/>
      </c>
      <c r="DJ312" s="44" t="str">
        <f t="shared" si="3713"/>
        <v/>
      </c>
      <c r="DK312" s="44" t="str">
        <f t="shared" si="3714"/>
        <v/>
      </c>
      <c r="DL312" s="44" t="str">
        <f t="shared" si="3715"/>
        <v/>
      </c>
      <c r="DM312" s="44" t="str">
        <f t="shared" si="3716"/>
        <v/>
      </c>
      <c r="DN312" s="44" t="str">
        <f t="shared" si="3717"/>
        <v/>
      </c>
      <c r="DO312" s="44" t="str">
        <f t="shared" si="3718"/>
        <v/>
      </c>
      <c r="DP312" s="44" t="str">
        <f t="shared" si="3719"/>
        <v/>
      </c>
      <c r="DQ312" s="44" t="str">
        <f t="shared" si="3720"/>
        <v/>
      </c>
      <c r="DR312" s="44" t="str">
        <f t="shared" si="3721"/>
        <v/>
      </c>
      <c r="DS312" s="44" t="str">
        <f t="shared" si="3722"/>
        <v/>
      </c>
      <c r="DT312" s="44" t="str">
        <f t="shared" si="3723"/>
        <v/>
      </c>
      <c r="DU312" s="44" t="str">
        <f t="shared" si="3724"/>
        <v/>
      </c>
      <c r="DV312" s="44" t="str">
        <f t="shared" si="3725"/>
        <v/>
      </c>
      <c r="DW312" s="44" t="str">
        <f t="shared" si="3726"/>
        <v/>
      </c>
      <c r="DX312" s="44" t="str">
        <f t="shared" si="3727"/>
        <v/>
      </c>
      <c r="DY312" s="44" t="str">
        <f t="shared" si="3728"/>
        <v/>
      </c>
      <c r="DZ312" s="44" t="str">
        <f t="shared" si="3729"/>
        <v/>
      </c>
      <c r="EA312" s="44" t="str">
        <f t="shared" si="3730"/>
        <v/>
      </c>
      <c r="EB312" s="44" t="str">
        <f t="shared" si="3731"/>
        <v/>
      </c>
      <c r="EC312" s="44" t="str">
        <f t="shared" si="3732"/>
        <v/>
      </c>
      <c r="ED312" s="44" t="str">
        <f t="shared" si="3733"/>
        <v/>
      </c>
      <c r="EE312" s="44" t="str">
        <f t="shared" si="3734"/>
        <v/>
      </c>
      <c r="EF312" s="44" t="str">
        <f t="shared" si="3735"/>
        <v/>
      </c>
      <c r="EG312" s="44" t="str">
        <f t="shared" si="3736"/>
        <v/>
      </c>
      <c r="EH312" s="44" t="str">
        <f t="shared" si="3737"/>
        <v/>
      </c>
      <c r="EI312" s="44" t="str">
        <f t="shared" si="3738"/>
        <v/>
      </c>
      <c r="EJ312" s="44" t="str">
        <f t="shared" si="3739"/>
        <v/>
      </c>
      <c r="EK312" s="44" t="str">
        <f t="shared" si="3740"/>
        <v/>
      </c>
      <c r="EL312" s="44" t="str">
        <f t="shared" si="3741"/>
        <v/>
      </c>
      <c r="EM312" s="44" t="str">
        <f t="shared" si="3742"/>
        <v/>
      </c>
      <c r="EN312" s="44" t="str">
        <f t="shared" si="3743"/>
        <v/>
      </c>
      <c r="EO312" s="44" t="str">
        <f t="shared" si="3744"/>
        <v/>
      </c>
      <c r="EP312" s="44" t="str">
        <f t="shared" si="3745"/>
        <v/>
      </c>
      <c r="EQ312" s="44" t="str">
        <f t="shared" si="3746"/>
        <v/>
      </c>
      <c r="ER312" s="44" t="str">
        <f t="shared" si="3747"/>
        <v/>
      </c>
      <c r="ES312" s="44" t="str">
        <f t="shared" si="3748"/>
        <v/>
      </c>
      <c r="ET312" s="44" t="str">
        <f t="shared" si="3749"/>
        <v/>
      </c>
      <c r="EU312" s="44" t="str">
        <f t="shared" si="3750"/>
        <v/>
      </c>
      <c r="EV312" s="44" t="str">
        <f t="shared" si="3751"/>
        <v/>
      </c>
      <c r="EW312" s="44" t="str">
        <f t="shared" si="3752"/>
        <v/>
      </c>
      <c r="EX312" s="44" t="str">
        <f t="shared" si="3753"/>
        <v/>
      </c>
      <c r="EY312" s="44" t="str">
        <f t="shared" si="3754"/>
        <v/>
      </c>
      <c r="EZ312" s="44" t="str">
        <f t="shared" si="3755"/>
        <v/>
      </c>
      <c r="FA312" s="44" t="str">
        <f t="shared" si="3756"/>
        <v/>
      </c>
      <c r="FB312" s="44" t="str">
        <f t="shared" si="3757"/>
        <v/>
      </c>
      <c r="FC312" s="44" t="str">
        <f t="shared" si="3758"/>
        <v/>
      </c>
      <c r="FD312" s="44" t="str">
        <f t="shared" si="3759"/>
        <v/>
      </c>
      <c r="FE312" s="44" t="str">
        <f t="shared" si="3760"/>
        <v/>
      </c>
      <c r="FF312" s="44" t="str">
        <f t="shared" si="3761"/>
        <v/>
      </c>
      <c r="FG312" s="44" t="str">
        <f t="shared" si="3762"/>
        <v/>
      </c>
      <c r="FH312" s="44" t="str">
        <f t="shared" si="3763"/>
        <v/>
      </c>
      <c r="FI312" s="44" t="str">
        <f t="shared" si="3764"/>
        <v/>
      </c>
      <c r="FJ312" s="44" t="str">
        <f t="shared" si="3765"/>
        <v/>
      </c>
      <c r="FK312" s="44" t="str">
        <f t="shared" si="3766"/>
        <v/>
      </c>
      <c r="FL312" s="44" t="str">
        <f t="shared" si="3767"/>
        <v/>
      </c>
      <c r="FM312" s="44" t="str">
        <f t="shared" si="3768"/>
        <v/>
      </c>
      <c r="FN312" s="44" t="str">
        <f t="shared" si="3769"/>
        <v/>
      </c>
      <c r="FO312" s="44" t="str">
        <f t="shared" si="3770"/>
        <v/>
      </c>
      <c r="FP312" s="44" t="str">
        <f t="shared" si="3771"/>
        <v/>
      </c>
      <c r="FQ312" s="44" t="str">
        <f t="shared" si="3772"/>
        <v/>
      </c>
      <c r="FR312" s="44" t="str">
        <f t="shared" si="3773"/>
        <v/>
      </c>
      <c r="FS312" s="44" t="str">
        <f t="shared" si="3774"/>
        <v/>
      </c>
    </row>
    <row r="313" spans="92:175">
      <c r="CN313" s="13" t="str">
        <f t="shared" si="3699"/>
        <v>InitUnitState('',,,,,,,,,,)</v>
      </c>
      <c r="CO313" s="13" t="str">
        <f t="shared" si="3700"/>
        <v>InitUnitNormal('',,,,,,,,,,)</v>
      </c>
      <c r="CP313" s="13" t="str">
        <f t="shared" si="3701"/>
        <v>InitUnitMagic('',,,,,,,,,,)</v>
      </c>
      <c r="CQ313" s="13" t="str">
        <f t="shared" si="3702"/>
        <v>InitUnitAdd('',,,,,,,,,,)</v>
      </c>
      <c r="CR313" s="13" t="str">
        <f t="shared" si="3703"/>
        <v>InitEquipData('',,"",,,,,'','','','','','',"")</v>
      </c>
      <c r="CU313" s="6" t="str">
        <f t="shared" si="3775"/>
        <v>|n</v>
      </c>
      <c r="CW313" s="7"/>
      <c r="CX313" s="7"/>
      <c r="CY313" s="7"/>
      <c r="CZ313" s="7"/>
      <c r="DA313" s="7"/>
      <c r="DB313" s="44" t="str">
        <f t="shared" si="3705"/>
        <v/>
      </c>
      <c r="DC313" s="44" t="str">
        <f t="shared" si="3706"/>
        <v/>
      </c>
      <c r="DD313" s="44" t="str">
        <f t="shared" si="3707"/>
        <v/>
      </c>
      <c r="DE313" s="44" t="str">
        <f t="shared" si="3708"/>
        <v/>
      </c>
      <c r="DF313" s="44" t="str">
        <f t="shared" si="3709"/>
        <v/>
      </c>
      <c r="DG313" s="44" t="str">
        <f t="shared" si="3710"/>
        <v/>
      </c>
      <c r="DH313" s="44" t="str">
        <f t="shared" si="3711"/>
        <v/>
      </c>
      <c r="DI313" s="44" t="str">
        <f t="shared" si="3712"/>
        <v/>
      </c>
      <c r="DJ313" s="44" t="str">
        <f t="shared" si="3713"/>
        <v/>
      </c>
      <c r="DK313" s="44" t="str">
        <f t="shared" si="3714"/>
        <v/>
      </c>
      <c r="DL313" s="44" t="str">
        <f t="shared" si="3715"/>
        <v/>
      </c>
      <c r="DM313" s="44" t="str">
        <f t="shared" si="3716"/>
        <v/>
      </c>
      <c r="DN313" s="44" t="str">
        <f t="shared" si="3717"/>
        <v/>
      </c>
      <c r="DO313" s="44" t="str">
        <f t="shared" si="3718"/>
        <v/>
      </c>
      <c r="DP313" s="44" t="str">
        <f t="shared" si="3719"/>
        <v/>
      </c>
      <c r="DQ313" s="44" t="str">
        <f t="shared" si="3720"/>
        <v/>
      </c>
      <c r="DR313" s="44" t="str">
        <f t="shared" si="3721"/>
        <v/>
      </c>
      <c r="DS313" s="44" t="str">
        <f t="shared" si="3722"/>
        <v/>
      </c>
      <c r="DT313" s="44" t="str">
        <f t="shared" si="3723"/>
        <v/>
      </c>
      <c r="DU313" s="44" t="str">
        <f t="shared" si="3724"/>
        <v/>
      </c>
      <c r="DV313" s="44" t="str">
        <f t="shared" si="3725"/>
        <v/>
      </c>
      <c r="DW313" s="44" t="str">
        <f t="shared" si="3726"/>
        <v/>
      </c>
      <c r="DX313" s="44" t="str">
        <f t="shared" si="3727"/>
        <v/>
      </c>
      <c r="DY313" s="44" t="str">
        <f t="shared" si="3728"/>
        <v/>
      </c>
      <c r="DZ313" s="44" t="str">
        <f t="shared" si="3729"/>
        <v/>
      </c>
      <c r="EA313" s="44" t="str">
        <f t="shared" si="3730"/>
        <v/>
      </c>
      <c r="EB313" s="44" t="str">
        <f t="shared" si="3731"/>
        <v/>
      </c>
      <c r="EC313" s="44" t="str">
        <f t="shared" si="3732"/>
        <v/>
      </c>
      <c r="ED313" s="44" t="str">
        <f t="shared" si="3733"/>
        <v/>
      </c>
      <c r="EE313" s="44" t="str">
        <f t="shared" si="3734"/>
        <v/>
      </c>
      <c r="EF313" s="44" t="str">
        <f t="shared" si="3735"/>
        <v/>
      </c>
      <c r="EG313" s="44" t="str">
        <f t="shared" si="3736"/>
        <v/>
      </c>
      <c r="EH313" s="44" t="str">
        <f t="shared" si="3737"/>
        <v/>
      </c>
      <c r="EI313" s="44" t="str">
        <f t="shared" si="3738"/>
        <v/>
      </c>
      <c r="EJ313" s="44" t="str">
        <f t="shared" si="3739"/>
        <v/>
      </c>
      <c r="EK313" s="44" t="str">
        <f t="shared" si="3740"/>
        <v/>
      </c>
      <c r="EL313" s="44" t="str">
        <f t="shared" si="3741"/>
        <v/>
      </c>
      <c r="EM313" s="44" t="str">
        <f t="shared" si="3742"/>
        <v/>
      </c>
      <c r="EN313" s="44" t="str">
        <f t="shared" si="3743"/>
        <v/>
      </c>
      <c r="EO313" s="44" t="str">
        <f t="shared" si="3744"/>
        <v/>
      </c>
      <c r="EP313" s="44" t="str">
        <f t="shared" si="3745"/>
        <v/>
      </c>
      <c r="EQ313" s="44" t="str">
        <f t="shared" si="3746"/>
        <v/>
      </c>
      <c r="ER313" s="44" t="str">
        <f t="shared" si="3747"/>
        <v/>
      </c>
      <c r="ES313" s="44" t="str">
        <f t="shared" si="3748"/>
        <v/>
      </c>
      <c r="ET313" s="44" t="str">
        <f t="shared" si="3749"/>
        <v/>
      </c>
      <c r="EU313" s="44" t="str">
        <f t="shared" si="3750"/>
        <v/>
      </c>
      <c r="EV313" s="44" t="str">
        <f t="shared" si="3751"/>
        <v/>
      </c>
      <c r="EW313" s="44" t="str">
        <f t="shared" si="3752"/>
        <v/>
      </c>
      <c r="EX313" s="44" t="str">
        <f t="shared" si="3753"/>
        <v/>
      </c>
      <c r="EY313" s="44" t="str">
        <f t="shared" si="3754"/>
        <v/>
      </c>
      <c r="EZ313" s="44" t="str">
        <f t="shared" si="3755"/>
        <v/>
      </c>
      <c r="FA313" s="44" t="str">
        <f t="shared" si="3756"/>
        <v/>
      </c>
      <c r="FB313" s="44" t="str">
        <f t="shared" si="3757"/>
        <v/>
      </c>
      <c r="FC313" s="44" t="str">
        <f t="shared" si="3758"/>
        <v/>
      </c>
      <c r="FD313" s="44" t="str">
        <f t="shared" si="3759"/>
        <v/>
      </c>
      <c r="FE313" s="44" t="str">
        <f t="shared" si="3760"/>
        <v/>
      </c>
      <c r="FF313" s="44" t="str">
        <f t="shared" si="3761"/>
        <v/>
      </c>
      <c r="FG313" s="44" t="str">
        <f t="shared" si="3762"/>
        <v/>
      </c>
      <c r="FH313" s="44" t="str">
        <f t="shared" si="3763"/>
        <v/>
      </c>
      <c r="FI313" s="44" t="str">
        <f t="shared" si="3764"/>
        <v/>
      </c>
      <c r="FJ313" s="44" t="str">
        <f t="shared" si="3765"/>
        <v/>
      </c>
      <c r="FK313" s="44" t="str">
        <f t="shared" si="3766"/>
        <v/>
      </c>
      <c r="FL313" s="44" t="str">
        <f t="shared" si="3767"/>
        <v/>
      </c>
      <c r="FM313" s="44" t="str">
        <f t="shared" si="3768"/>
        <v/>
      </c>
      <c r="FN313" s="44" t="str">
        <f t="shared" si="3769"/>
        <v/>
      </c>
      <c r="FO313" s="44" t="str">
        <f t="shared" si="3770"/>
        <v/>
      </c>
      <c r="FP313" s="44" t="str">
        <f t="shared" si="3771"/>
        <v/>
      </c>
      <c r="FQ313" s="44" t="str">
        <f t="shared" si="3772"/>
        <v/>
      </c>
      <c r="FR313" s="44" t="str">
        <f t="shared" si="3773"/>
        <v/>
      </c>
      <c r="FS313" s="44" t="str">
        <f t="shared" si="3774"/>
        <v/>
      </c>
    </row>
    <row r="314" spans="92:175">
      <c r="CN314" s="13" t="str">
        <f t="shared" si="3699"/>
        <v>InitUnitState('',,,,,,,,,,)</v>
      </c>
      <c r="CO314" s="13" t="str">
        <f t="shared" si="3700"/>
        <v>InitUnitNormal('',,,,,,,,,,)</v>
      </c>
      <c r="CP314" s="13" t="str">
        <f t="shared" si="3701"/>
        <v>InitUnitMagic('',,,,,,,,,,)</v>
      </c>
      <c r="CQ314" s="13" t="str">
        <f t="shared" si="3702"/>
        <v>InitUnitAdd('',,,,,,,,,,)</v>
      </c>
      <c r="CR314" s="13" t="str">
        <f t="shared" si="3703"/>
        <v>InitEquipData('',,"",,,,,'','','','','','',"")</v>
      </c>
      <c r="CU314" s="6" t="str">
        <f t="shared" si="3775"/>
        <v>|n</v>
      </c>
      <c r="CW314" s="7"/>
      <c r="CX314" s="7"/>
      <c r="CY314" s="7"/>
      <c r="CZ314" s="7"/>
      <c r="DA314" s="7"/>
      <c r="DB314" s="44" t="str">
        <f t="shared" si="3705"/>
        <v/>
      </c>
      <c r="DC314" s="44" t="str">
        <f t="shared" si="3706"/>
        <v/>
      </c>
      <c r="DD314" s="44" t="str">
        <f t="shared" si="3707"/>
        <v/>
      </c>
      <c r="DE314" s="44" t="str">
        <f t="shared" si="3708"/>
        <v/>
      </c>
      <c r="DF314" s="44" t="str">
        <f t="shared" si="3709"/>
        <v/>
      </c>
      <c r="DG314" s="44" t="str">
        <f t="shared" si="3710"/>
        <v/>
      </c>
      <c r="DH314" s="44" t="str">
        <f t="shared" si="3711"/>
        <v/>
      </c>
      <c r="DI314" s="44" t="str">
        <f t="shared" si="3712"/>
        <v/>
      </c>
      <c r="DJ314" s="44" t="str">
        <f t="shared" si="3713"/>
        <v/>
      </c>
      <c r="DK314" s="44" t="str">
        <f t="shared" si="3714"/>
        <v/>
      </c>
      <c r="DL314" s="44" t="str">
        <f t="shared" si="3715"/>
        <v/>
      </c>
      <c r="DM314" s="44" t="str">
        <f t="shared" si="3716"/>
        <v/>
      </c>
      <c r="DN314" s="44" t="str">
        <f t="shared" si="3717"/>
        <v/>
      </c>
      <c r="DO314" s="44" t="str">
        <f t="shared" si="3718"/>
        <v/>
      </c>
      <c r="DP314" s="44" t="str">
        <f t="shared" si="3719"/>
        <v/>
      </c>
      <c r="DQ314" s="44" t="str">
        <f t="shared" si="3720"/>
        <v/>
      </c>
      <c r="DR314" s="44" t="str">
        <f t="shared" si="3721"/>
        <v/>
      </c>
      <c r="DS314" s="44" t="str">
        <f t="shared" si="3722"/>
        <v/>
      </c>
      <c r="DT314" s="44" t="str">
        <f t="shared" si="3723"/>
        <v/>
      </c>
      <c r="DU314" s="44" t="str">
        <f t="shared" si="3724"/>
        <v/>
      </c>
      <c r="DV314" s="44" t="str">
        <f t="shared" si="3725"/>
        <v/>
      </c>
      <c r="DW314" s="44" t="str">
        <f t="shared" si="3726"/>
        <v/>
      </c>
      <c r="DX314" s="44" t="str">
        <f t="shared" si="3727"/>
        <v/>
      </c>
      <c r="DY314" s="44" t="str">
        <f t="shared" si="3728"/>
        <v/>
      </c>
      <c r="DZ314" s="44" t="str">
        <f t="shared" si="3729"/>
        <v/>
      </c>
      <c r="EA314" s="44" t="str">
        <f t="shared" si="3730"/>
        <v/>
      </c>
      <c r="EB314" s="44" t="str">
        <f t="shared" si="3731"/>
        <v/>
      </c>
      <c r="EC314" s="44" t="str">
        <f t="shared" si="3732"/>
        <v/>
      </c>
      <c r="ED314" s="44" t="str">
        <f t="shared" si="3733"/>
        <v/>
      </c>
      <c r="EE314" s="44" t="str">
        <f t="shared" si="3734"/>
        <v/>
      </c>
      <c r="EF314" s="44" t="str">
        <f t="shared" si="3735"/>
        <v/>
      </c>
      <c r="EG314" s="44" t="str">
        <f t="shared" si="3736"/>
        <v/>
      </c>
      <c r="EH314" s="44" t="str">
        <f t="shared" si="3737"/>
        <v/>
      </c>
      <c r="EI314" s="44" t="str">
        <f t="shared" si="3738"/>
        <v/>
      </c>
      <c r="EJ314" s="44" t="str">
        <f t="shared" si="3739"/>
        <v/>
      </c>
      <c r="EK314" s="44" t="str">
        <f t="shared" si="3740"/>
        <v/>
      </c>
      <c r="EL314" s="44" t="str">
        <f t="shared" si="3741"/>
        <v/>
      </c>
      <c r="EM314" s="44" t="str">
        <f t="shared" si="3742"/>
        <v/>
      </c>
      <c r="EN314" s="44" t="str">
        <f t="shared" si="3743"/>
        <v/>
      </c>
      <c r="EO314" s="44" t="str">
        <f t="shared" si="3744"/>
        <v/>
      </c>
      <c r="EP314" s="44" t="str">
        <f t="shared" si="3745"/>
        <v/>
      </c>
      <c r="EQ314" s="44" t="str">
        <f t="shared" si="3746"/>
        <v/>
      </c>
      <c r="ER314" s="44" t="str">
        <f t="shared" si="3747"/>
        <v/>
      </c>
      <c r="ES314" s="44" t="str">
        <f t="shared" si="3748"/>
        <v/>
      </c>
      <c r="ET314" s="44" t="str">
        <f t="shared" si="3749"/>
        <v/>
      </c>
      <c r="EU314" s="44" t="str">
        <f t="shared" si="3750"/>
        <v/>
      </c>
      <c r="EV314" s="44" t="str">
        <f t="shared" si="3751"/>
        <v/>
      </c>
      <c r="EW314" s="44" t="str">
        <f t="shared" si="3752"/>
        <v/>
      </c>
      <c r="EX314" s="44" t="str">
        <f t="shared" si="3753"/>
        <v/>
      </c>
      <c r="EY314" s="44" t="str">
        <f t="shared" si="3754"/>
        <v/>
      </c>
      <c r="EZ314" s="44" t="str">
        <f t="shared" si="3755"/>
        <v/>
      </c>
      <c r="FA314" s="44" t="str">
        <f t="shared" si="3756"/>
        <v/>
      </c>
      <c r="FB314" s="44" t="str">
        <f t="shared" si="3757"/>
        <v/>
      </c>
      <c r="FC314" s="44" t="str">
        <f t="shared" si="3758"/>
        <v/>
      </c>
      <c r="FD314" s="44" t="str">
        <f t="shared" si="3759"/>
        <v/>
      </c>
      <c r="FE314" s="44" t="str">
        <f t="shared" si="3760"/>
        <v/>
      </c>
      <c r="FF314" s="44" t="str">
        <f t="shared" si="3761"/>
        <v/>
      </c>
      <c r="FG314" s="44" t="str">
        <f t="shared" si="3762"/>
        <v/>
      </c>
      <c r="FH314" s="44" t="str">
        <f t="shared" si="3763"/>
        <v/>
      </c>
      <c r="FI314" s="44" t="str">
        <f t="shared" si="3764"/>
        <v/>
      </c>
      <c r="FJ314" s="44" t="str">
        <f t="shared" si="3765"/>
        <v/>
      </c>
      <c r="FK314" s="44" t="str">
        <f t="shared" si="3766"/>
        <v/>
      </c>
      <c r="FL314" s="44" t="str">
        <f t="shared" si="3767"/>
        <v/>
      </c>
      <c r="FM314" s="44" t="str">
        <f t="shared" si="3768"/>
        <v/>
      </c>
      <c r="FN314" s="44" t="str">
        <f t="shared" si="3769"/>
        <v/>
      </c>
      <c r="FO314" s="44" t="str">
        <f t="shared" si="3770"/>
        <v/>
      </c>
      <c r="FP314" s="44" t="str">
        <f t="shared" si="3771"/>
        <v/>
      </c>
      <c r="FQ314" s="44" t="str">
        <f t="shared" si="3772"/>
        <v/>
      </c>
      <c r="FR314" s="44" t="str">
        <f t="shared" si="3773"/>
        <v/>
      </c>
      <c r="FS314" s="44" t="str">
        <f t="shared" si="3774"/>
        <v/>
      </c>
    </row>
    <row r="315" spans="92:175">
      <c r="CN315" s="13" t="str">
        <f t="shared" si="3699"/>
        <v>InitUnitState('',,,,,,,,,,)</v>
      </c>
      <c r="CO315" s="13" t="str">
        <f t="shared" si="3700"/>
        <v>InitUnitNormal('',,,,,,,,,,)</v>
      </c>
      <c r="CP315" s="13" t="str">
        <f t="shared" si="3701"/>
        <v>InitUnitMagic('',,,,,,,,,,)</v>
      </c>
      <c r="CQ315" s="13" t="str">
        <f t="shared" si="3702"/>
        <v>InitUnitAdd('',,,,,,,,,,)</v>
      </c>
      <c r="CR315" s="13" t="str">
        <f t="shared" si="3703"/>
        <v>InitEquipData('',,"",,,,,'','','','','','',"")</v>
      </c>
      <c r="CU315" s="6" t="str">
        <f t="shared" si="3775"/>
        <v>|n</v>
      </c>
      <c r="CW315" s="7"/>
      <c r="CX315" s="7"/>
      <c r="CY315" s="7"/>
      <c r="CZ315" s="7"/>
      <c r="DA315" s="7"/>
      <c r="DB315" s="44" t="str">
        <f t="shared" si="3705"/>
        <v/>
      </c>
      <c r="DC315" s="44" t="str">
        <f t="shared" si="3706"/>
        <v/>
      </c>
      <c r="DD315" s="44" t="str">
        <f t="shared" si="3707"/>
        <v/>
      </c>
      <c r="DE315" s="44" t="str">
        <f t="shared" si="3708"/>
        <v/>
      </c>
      <c r="DF315" s="44" t="str">
        <f t="shared" si="3709"/>
        <v/>
      </c>
      <c r="DG315" s="44" t="str">
        <f t="shared" si="3710"/>
        <v/>
      </c>
      <c r="DH315" s="44" t="str">
        <f t="shared" si="3711"/>
        <v/>
      </c>
      <c r="DI315" s="44" t="str">
        <f t="shared" si="3712"/>
        <v/>
      </c>
      <c r="DJ315" s="44" t="str">
        <f t="shared" si="3713"/>
        <v/>
      </c>
      <c r="DK315" s="44" t="str">
        <f t="shared" si="3714"/>
        <v/>
      </c>
      <c r="DL315" s="44" t="str">
        <f t="shared" si="3715"/>
        <v/>
      </c>
      <c r="DM315" s="44" t="str">
        <f t="shared" si="3716"/>
        <v/>
      </c>
      <c r="DN315" s="44" t="str">
        <f t="shared" si="3717"/>
        <v/>
      </c>
      <c r="DO315" s="44" t="str">
        <f t="shared" si="3718"/>
        <v/>
      </c>
      <c r="DP315" s="44" t="str">
        <f t="shared" si="3719"/>
        <v/>
      </c>
      <c r="DQ315" s="44" t="str">
        <f t="shared" si="3720"/>
        <v/>
      </c>
      <c r="DR315" s="44" t="str">
        <f t="shared" si="3721"/>
        <v/>
      </c>
      <c r="DS315" s="44" t="str">
        <f t="shared" si="3722"/>
        <v/>
      </c>
      <c r="DT315" s="44" t="str">
        <f t="shared" si="3723"/>
        <v/>
      </c>
      <c r="DU315" s="44" t="str">
        <f t="shared" si="3724"/>
        <v/>
      </c>
      <c r="DV315" s="44" t="str">
        <f t="shared" si="3725"/>
        <v/>
      </c>
      <c r="DW315" s="44" t="str">
        <f t="shared" si="3726"/>
        <v/>
      </c>
      <c r="DX315" s="44" t="str">
        <f t="shared" si="3727"/>
        <v/>
      </c>
      <c r="DY315" s="44" t="str">
        <f t="shared" si="3728"/>
        <v/>
      </c>
      <c r="DZ315" s="44" t="str">
        <f t="shared" si="3729"/>
        <v/>
      </c>
      <c r="EA315" s="44" t="str">
        <f t="shared" si="3730"/>
        <v/>
      </c>
      <c r="EB315" s="44" t="str">
        <f t="shared" si="3731"/>
        <v/>
      </c>
      <c r="EC315" s="44" t="str">
        <f t="shared" si="3732"/>
        <v/>
      </c>
      <c r="ED315" s="44" t="str">
        <f t="shared" si="3733"/>
        <v/>
      </c>
      <c r="EE315" s="44" t="str">
        <f t="shared" si="3734"/>
        <v/>
      </c>
      <c r="EF315" s="44" t="str">
        <f t="shared" si="3735"/>
        <v/>
      </c>
      <c r="EG315" s="44" t="str">
        <f t="shared" si="3736"/>
        <v/>
      </c>
      <c r="EH315" s="44" t="str">
        <f t="shared" si="3737"/>
        <v/>
      </c>
      <c r="EI315" s="44" t="str">
        <f t="shared" si="3738"/>
        <v/>
      </c>
      <c r="EJ315" s="44" t="str">
        <f t="shared" si="3739"/>
        <v/>
      </c>
      <c r="EK315" s="44" t="str">
        <f t="shared" si="3740"/>
        <v/>
      </c>
      <c r="EL315" s="44" t="str">
        <f t="shared" si="3741"/>
        <v/>
      </c>
      <c r="EM315" s="44" t="str">
        <f t="shared" si="3742"/>
        <v/>
      </c>
      <c r="EN315" s="44" t="str">
        <f t="shared" si="3743"/>
        <v/>
      </c>
      <c r="EO315" s="44" t="str">
        <f t="shared" si="3744"/>
        <v/>
      </c>
      <c r="EP315" s="44" t="str">
        <f t="shared" si="3745"/>
        <v/>
      </c>
      <c r="EQ315" s="44" t="str">
        <f t="shared" si="3746"/>
        <v/>
      </c>
      <c r="ER315" s="44" t="str">
        <f t="shared" si="3747"/>
        <v/>
      </c>
      <c r="ES315" s="44" t="str">
        <f t="shared" si="3748"/>
        <v/>
      </c>
      <c r="ET315" s="44" t="str">
        <f t="shared" si="3749"/>
        <v/>
      </c>
      <c r="EU315" s="44" t="str">
        <f t="shared" si="3750"/>
        <v/>
      </c>
      <c r="EV315" s="44" t="str">
        <f t="shared" si="3751"/>
        <v/>
      </c>
      <c r="EW315" s="44" t="str">
        <f t="shared" si="3752"/>
        <v/>
      </c>
      <c r="EX315" s="44" t="str">
        <f t="shared" si="3753"/>
        <v/>
      </c>
      <c r="EY315" s="44" t="str">
        <f t="shared" si="3754"/>
        <v/>
      </c>
      <c r="EZ315" s="44" t="str">
        <f t="shared" si="3755"/>
        <v/>
      </c>
      <c r="FA315" s="44" t="str">
        <f t="shared" si="3756"/>
        <v/>
      </c>
      <c r="FB315" s="44" t="str">
        <f t="shared" si="3757"/>
        <v/>
      </c>
      <c r="FC315" s="44" t="str">
        <f t="shared" si="3758"/>
        <v/>
      </c>
      <c r="FD315" s="44" t="str">
        <f t="shared" si="3759"/>
        <v/>
      </c>
      <c r="FE315" s="44" t="str">
        <f t="shared" si="3760"/>
        <v/>
      </c>
      <c r="FF315" s="44" t="str">
        <f t="shared" si="3761"/>
        <v/>
      </c>
      <c r="FG315" s="44" t="str">
        <f t="shared" si="3762"/>
        <v/>
      </c>
      <c r="FH315" s="44" t="str">
        <f t="shared" si="3763"/>
        <v/>
      </c>
      <c r="FI315" s="44" t="str">
        <f t="shared" si="3764"/>
        <v/>
      </c>
      <c r="FJ315" s="44" t="str">
        <f t="shared" si="3765"/>
        <v/>
      </c>
      <c r="FK315" s="44" t="str">
        <f t="shared" si="3766"/>
        <v/>
      </c>
      <c r="FL315" s="44" t="str">
        <f t="shared" si="3767"/>
        <v/>
      </c>
      <c r="FM315" s="44" t="str">
        <f t="shared" si="3768"/>
        <v/>
      </c>
      <c r="FN315" s="44" t="str">
        <f t="shared" si="3769"/>
        <v/>
      </c>
      <c r="FO315" s="44" t="str">
        <f t="shared" si="3770"/>
        <v/>
      </c>
      <c r="FP315" s="44" t="str">
        <f t="shared" si="3771"/>
        <v/>
      </c>
      <c r="FQ315" s="44" t="str">
        <f t="shared" si="3772"/>
        <v/>
      </c>
      <c r="FR315" s="44" t="str">
        <f t="shared" si="3773"/>
        <v/>
      </c>
      <c r="FS315" s="44" t="str">
        <f t="shared" si="3774"/>
        <v/>
      </c>
    </row>
    <row r="316" spans="92:175">
      <c r="CN316" s="13" t="str">
        <f t="shared" si="3699"/>
        <v>InitUnitState('',,,,,,,,,,)</v>
      </c>
      <c r="CO316" s="13" t="str">
        <f t="shared" si="3700"/>
        <v>InitUnitNormal('',,,,,,,,,,)</v>
      </c>
      <c r="CP316" s="13" t="str">
        <f t="shared" si="3701"/>
        <v>InitUnitMagic('',,,,,,,,,,)</v>
      </c>
      <c r="CQ316" s="13" t="str">
        <f t="shared" si="3702"/>
        <v>InitUnitAdd('',,,,,,,,,,)</v>
      </c>
      <c r="CR316" s="13" t="str">
        <f t="shared" si="3703"/>
        <v>InitEquipData('',,"",,,,,'','','','','','',"")</v>
      </c>
      <c r="CU316" s="6" t="str">
        <f t="shared" si="3775"/>
        <v>|n</v>
      </c>
      <c r="CW316" s="7"/>
      <c r="CX316" s="7"/>
      <c r="CY316" s="7"/>
      <c r="CZ316" s="7"/>
      <c r="DA316" s="7"/>
      <c r="DB316" s="44" t="str">
        <f t="shared" si="3705"/>
        <v/>
      </c>
      <c r="DC316" s="44" t="str">
        <f t="shared" si="3706"/>
        <v/>
      </c>
      <c r="DD316" s="44" t="str">
        <f t="shared" si="3707"/>
        <v/>
      </c>
      <c r="DE316" s="44" t="str">
        <f t="shared" si="3708"/>
        <v/>
      </c>
      <c r="DF316" s="44" t="str">
        <f t="shared" si="3709"/>
        <v/>
      </c>
      <c r="DG316" s="44" t="str">
        <f t="shared" si="3710"/>
        <v/>
      </c>
      <c r="DH316" s="44" t="str">
        <f t="shared" si="3711"/>
        <v/>
      </c>
      <c r="DI316" s="44" t="str">
        <f t="shared" si="3712"/>
        <v/>
      </c>
      <c r="DJ316" s="44" t="str">
        <f t="shared" si="3713"/>
        <v/>
      </c>
      <c r="DK316" s="44" t="str">
        <f t="shared" si="3714"/>
        <v/>
      </c>
      <c r="DL316" s="44" t="str">
        <f t="shared" si="3715"/>
        <v/>
      </c>
      <c r="DM316" s="44" t="str">
        <f t="shared" si="3716"/>
        <v/>
      </c>
      <c r="DN316" s="44" t="str">
        <f t="shared" si="3717"/>
        <v/>
      </c>
      <c r="DO316" s="44" t="str">
        <f t="shared" si="3718"/>
        <v/>
      </c>
      <c r="DP316" s="44" t="str">
        <f t="shared" si="3719"/>
        <v/>
      </c>
      <c r="DQ316" s="44" t="str">
        <f t="shared" si="3720"/>
        <v/>
      </c>
      <c r="DR316" s="44" t="str">
        <f t="shared" si="3721"/>
        <v/>
      </c>
      <c r="DS316" s="44" t="str">
        <f t="shared" si="3722"/>
        <v/>
      </c>
      <c r="DT316" s="44" t="str">
        <f t="shared" si="3723"/>
        <v/>
      </c>
      <c r="DU316" s="44" t="str">
        <f t="shared" si="3724"/>
        <v/>
      </c>
      <c r="DV316" s="44" t="str">
        <f t="shared" si="3725"/>
        <v/>
      </c>
      <c r="DW316" s="44" t="str">
        <f t="shared" si="3726"/>
        <v/>
      </c>
      <c r="DX316" s="44" t="str">
        <f t="shared" si="3727"/>
        <v/>
      </c>
      <c r="DY316" s="44" t="str">
        <f t="shared" si="3728"/>
        <v/>
      </c>
      <c r="DZ316" s="44" t="str">
        <f t="shared" si="3729"/>
        <v/>
      </c>
      <c r="EA316" s="44" t="str">
        <f t="shared" si="3730"/>
        <v/>
      </c>
      <c r="EB316" s="44" t="str">
        <f t="shared" si="3731"/>
        <v/>
      </c>
      <c r="EC316" s="44" t="str">
        <f t="shared" si="3732"/>
        <v/>
      </c>
      <c r="ED316" s="44" t="str">
        <f t="shared" si="3733"/>
        <v/>
      </c>
      <c r="EE316" s="44" t="str">
        <f t="shared" si="3734"/>
        <v/>
      </c>
      <c r="EF316" s="44" t="str">
        <f t="shared" si="3735"/>
        <v/>
      </c>
      <c r="EG316" s="44" t="str">
        <f t="shared" si="3736"/>
        <v/>
      </c>
      <c r="EH316" s="44" t="str">
        <f t="shared" si="3737"/>
        <v/>
      </c>
      <c r="EI316" s="44" t="str">
        <f t="shared" si="3738"/>
        <v/>
      </c>
      <c r="EJ316" s="44" t="str">
        <f t="shared" si="3739"/>
        <v/>
      </c>
      <c r="EK316" s="44" t="str">
        <f t="shared" si="3740"/>
        <v/>
      </c>
      <c r="EL316" s="44" t="str">
        <f t="shared" si="3741"/>
        <v/>
      </c>
      <c r="EM316" s="44" t="str">
        <f t="shared" si="3742"/>
        <v/>
      </c>
      <c r="EN316" s="44" t="str">
        <f t="shared" si="3743"/>
        <v/>
      </c>
      <c r="EO316" s="44" t="str">
        <f t="shared" si="3744"/>
        <v/>
      </c>
      <c r="EP316" s="44" t="str">
        <f t="shared" si="3745"/>
        <v/>
      </c>
      <c r="EQ316" s="44" t="str">
        <f t="shared" si="3746"/>
        <v/>
      </c>
      <c r="ER316" s="44" t="str">
        <f t="shared" si="3747"/>
        <v/>
      </c>
      <c r="ES316" s="44" t="str">
        <f t="shared" si="3748"/>
        <v/>
      </c>
      <c r="ET316" s="44" t="str">
        <f t="shared" si="3749"/>
        <v/>
      </c>
      <c r="EU316" s="44" t="str">
        <f t="shared" si="3750"/>
        <v/>
      </c>
      <c r="EV316" s="44" t="str">
        <f t="shared" si="3751"/>
        <v/>
      </c>
      <c r="EW316" s="44" t="str">
        <f t="shared" si="3752"/>
        <v/>
      </c>
      <c r="EX316" s="44" t="str">
        <f t="shared" si="3753"/>
        <v/>
      </c>
      <c r="EY316" s="44" t="str">
        <f t="shared" si="3754"/>
        <v/>
      </c>
      <c r="EZ316" s="44" t="str">
        <f t="shared" si="3755"/>
        <v/>
      </c>
      <c r="FA316" s="44" t="str">
        <f t="shared" si="3756"/>
        <v/>
      </c>
      <c r="FB316" s="44" t="str">
        <f t="shared" si="3757"/>
        <v/>
      </c>
      <c r="FC316" s="44" t="str">
        <f t="shared" si="3758"/>
        <v/>
      </c>
      <c r="FD316" s="44" t="str">
        <f t="shared" si="3759"/>
        <v/>
      </c>
      <c r="FE316" s="44" t="str">
        <f t="shared" si="3760"/>
        <v/>
      </c>
      <c r="FF316" s="44" t="str">
        <f t="shared" si="3761"/>
        <v/>
      </c>
      <c r="FG316" s="44" t="str">
        <f t="shared" si="3762"/>
        <v/>
      </c>
      <c r="FH316" s="44" t="str">
        <f t="shared" si="3763"/>
        <v/>
      </c>
      <c r="FI316" s="44" t="str">
        <f t="shared" si="3764"/>
        <v/>
      </c>
      <c r="FJ316" s="44" t="str">
        <f t="shared" si="3765"/>
        <v/>
      </c>
      <c r="FK316" s="44" t="str">
        <f t="shared" si="3766"/>
        <v/>
      </c>
      <c r="FL316" s="44" t="str">
        <f t="shared" si="3767"/>
        <v/>
      </c>
      <c r="FM316" s="44" t="str">
        <f t="shared" si="3768"/>
        <v/>
      </c>
      <c r="FN316" s="44" t="str">
        <f t="shared" si="3769"/>
        <v/>
      </c>
      <c r="FO316" s="44" t="str">
        <f t="shared" si="3770"/>
        <v/>
      </c>
      <c r="FP316" s="44" t="str">
        <f t="shared" si="3771"/>
        <v/>
      </c>
      <c r="FQ316" s="44" t="str">
        <f t="shared" si="3772"/>
        <v/>
      </c>
      <c r="FR316" s="44" t="str">
        <f t="shared" si="3773"/>
        <v/>
      </c>
      <c r="FS316" s="44" t="str">
        <f t="shared" si="3774"/>
        <v/>
      </c>
    </row>
    <row r="317" spans="92:175">
      <c r="CN317" s="13" t="str">
        <f t="shared" si="3699"/>
        <v>InitUnitState('',,,,,,,,,,)</v>
      </c>
      <c r="CO317" s="13" t="str">
        <f t="shared" si="3700"/>
        <v>InitUnitNormal('',,,,,,,,,,)</v>
      </c>
      <c r="CP317" s="13" t="str">
        <f t="shared" si="3701"/>
        <v>InitUnitMagic('',,,,,,,,,,)</v>
      </c>
      <c r="CQ317" s="13" t="str">
        <f t="shared" si="3702"/>
        <v>InitUnitAdd('',,,,,,,,,,)</v>
      </c>
      <c r="CR317" s="13" t="str">
        <f t="shared" si="3703"/>
        <v>InitEquipData('',,"",,,,,'','','','','','',"")</v>
      </c>
      <c r="CU317" s="6" t="str">
        <f t="shared" si="3775"/>
        <v>|n</v>
      </c>
      <c r="CW317" s="7"/>
      <c r="CX317" s="7"/>
      <c r="CY317" s="7"/>
      <c r="CZ317" s="7"/>
      <c r="DA317" s="7"/>
      <c r="DB317" s="44" t="str">
        <f t="shared" si="3705"/>
        <v/>
      </c>
      <c r="DC317" s="44" t="str">
        <f t="shared" si="3706"/>
        <v/>
      </c>
      <c r="DD317" s="44" t="str">
        <f t="shared" si="3707"/>
        <v/>
      </c>
      <c r="DE317" s="44" t="str">
        <f t="shared" si="3708"/>
        <v/>
      </c>
      <c r="DF317" s="44" t="str">
        <f t="shared" si="3709"/>
        <v/>
      </c>
      <c r="DG317" s="44" t="str">
        <f t="shared" si="3710"/>
        <v/>
      </c>
      <c r="DH317" s="44" t="str">
        <f t="shared" si="3711"/>
        <v/>
      </c>
      <c r="DI317" s="44" t="str">
        <f t="shared" si="3712"/>
        <v/>
      </c>
      <c r="DJ317" s="44" t="str">
        <f t="shared" si="3713"/>
        <v/>
      </c>
      <c r="DK317" s="44" t="str">
        <f t="shared" si="3714"/>
        <v/>
      </c>
      <c r="DL317" s="44" t="str">
        <f t="shared" si="3715"/>
        <v/>
      </c>
      <c r="DM317" s="44" t="str">
        <f t="shared" si="3716"/>
        <v/>
      </c>
      <c r="DN317" s="44" t="str">
        <f t="shared" si="3717"/>
        <v/>
      </c>
      <c r="DO317" s="44" t="str">
        <f t="shared" si="3718"/>
        <v/>
      </c>
      <c r="DP317" s="44" t="str">
        <f t="shared" si="3719"/>
        <v/>
      </c>
      <c r="DQ317" s="44" t="str">
        <f t="shared" si="3720"/>
        <v/>
      </c>
      <c r="DR317" s="44" t="str">
        <f t="shared" si="3721"/>
        <v/>
      </c>
      <c r="DS317" s="44" t="str">
        <f t="shared" si="3722"/>
        <v/>
      </c>
      <c r="DT317" s="44" t="str">
        <f t="shared" si="3723"/>
        <v/>
      </c>
      <c r="DU317" s="44" t="str">
        <f t="shared" si="3724"/>
        <v/>
      </c>
      <c r="DV317" s="44" t="str">
        <f t="shared" si="3725"/>
        <v/>
      </c>
      <c r="DW317" s="44" t="str">
        <f t="shared" si="3726"/>
        <v/>
      </c>
      <c r="DX317" s="44" t="str">
        <f t="shared" si="3727"/>
        <v/>
      </c>
      <c r="DY317" s="44" t="str">
        <f t="shared" si="3728"/>
        <v/>
      </c>
      <c r="DZ317" s="44" t="str">
        <f t="shared" si="3729"/>
        <v/>
      </c>
      <c r="EA317" s="44" t="str">
        <f t="shared" si="3730"/>
        <v/>
      </c>
      <c r="EB317" s="44" t="str">
        <f t="shared" si="3731"/>
        <v/>
      </c>
      <c r="EC317" s="44" t="str">
        <f t="shared" si="3732"/>
        <v/>
      </c>
      <c r="ED317" s="44" t="str">
        <f t="shared" si="3733"/>
        <v/>
      </c>
      <c r="EE317" s="44" t="str">
        <f t="shared" si="3734"/>
        <v/>
      </c>
      <c r="EF317" s="44" t="str">
        <f t="shared" si="3735"/>
        <v/>
      </c>
      <c r="EG317" s="44" t="str">
        <f t="shared" si="3736"/>
        <v/>
      </c>
      <c r="EH317" s="44" t="str">
        <f t="shared" si="3737"/>
        <v/>
      </c>
      <c r="EI317" s="44" t="str">
        <f t="shared" si="3738"/>
        <v/>
      </c>
      <c r="EJ317" s="44" t="str">
        <f t="shared" si="3739"/>
        <v/>
      </c>
      <c r="EK317" s="44" t="str">
        <f t="shared" si="3740"/>
        <v/>
      </c>
      <c r="EL317" s="44" t="str">
        <f t="shared" si="3741"/>
        <v/>
      </c>
      <c r="EM317" s="44" t="str">
        <f t="shared" si="3742"/>
        <v/>
      </c>
      <c r="EN317" s="44" t="str">
        <f t="shared" si="3743"/>
        <v/>
      </c>
      <c r="EO317" s="44" t="str">
        <f t="shared" si="3744"/>
        <v/>
      </c>
      <c r="EP317" s="44" t="str">
        <f t="shared" si="3745"/>
        <v/>
      </c>
      <c r="EQ317" s="44" t="str">
        <f t="shared" si="3746"/>
        <v/>
      </c>
      <c r="ER317" s="44" t="str">
        <f t="shared" si="3747"/>
        <v/>
      </c>
      <c r="ES317" s="44" t="str">
        <f t="shared" si="3748"/>
        <v/>
      </c>
      <c r="ET317" s="44" t="str">
        <f t="shared" si="3749"/>
        <v/>
      </c>
      <c r="EU317" s="44" t="str">
        <f t="shared" si="3750"/>
        <v/>
      </c>
      <c r="EV317" s="44" t="str">
        <f t="shared" si="3751"/>
        <v/>
      </c>
      <c r="EW317" s="44" t="str">
        <f t="shared" si="3752"/>
        <v/>
      </c>
      <c r="EX317" s="44" t="str">
        <f t="shared" si="3753"/>
        <v/>
      </c>
      <c r="EY317" s="44" t="str">
        <f t="shared" si="3754"/>
        <v/>
      </c>
      <c r="EZ317" s="44" t="str">
        <f t="shared" si="3755"/>
        <v/>
      </c>
      <c r="FA317" s="44" t="str">
        <f t="shared" si="3756"/>
        <v/>
      </c>
      <c r="FB317" s="44" t="str">
        <f t="shared" si="3757"/>
        <v/>
      </c>
      <c r="FC317" s="44" t="str">
        <f t="shared" si="3758"/>
        <v/>
      </c>
      <c r="FD317" s="44" t="str">
        <f t="shared" si="3759"/>
        <v/>
      </c>
      <c r="FE317" s="44" t="str">
        <f t="shared" si="3760"/>
        <v/>
      </c>
      <c r="FF317" s="44" t="str">
        <f t="shared" si="3761"/>
        <v/>
      </c>
      <c r="FG317" s="44" t="str">
        <f t="shared" si="3762"/>
        <v/>
      </c>
      <c r="FH317" s="44" t="str">
        <f t="shared" si="3763"/>
        <v/>
      </c>
      <c r="FI317" s="44" t="str">
        <f t="shared" si="3764"/>
        <v/>
      </c>
      <c r="FJ317" s="44" t="str">
        <f t="shared" si="3765"/>
        <v/>
      </c>
      <c r="FK317" s="44" t="str">
        <f t="shared" si="3766"/>
        <v/>
      </c>
      <c r="FL317" s="44" t="str">
        <f t="shared" si="3767"/>
        <v/>
      </c>
      <c r="FM317" s="44" t="str">
        <f t="shared" si="3768"/>
        <v/>
      </c>
      <c r="FN317" s="44" t="str">
        <f t="shared" si="3769"/>
        <v/>
      </c>
      <c r="FO317" s="44" t="str">
        <f t="shared" si="3770"/>
        <v/>
      </c>
      <c r="FP317" s="44" t="str">
        <f t="shared" si="3771"/>
        <v/>
      </c>
      <c r="FQ317" s="44" t="str">
        <f t="shared" si="3772"/>
        <v/>
      </c>
      <c r="FR317" s="44" t="str">
        <f t="shared" si="3773"/>
        <v/>
      </c>
      <c r="FS317" s="44" t="str">
        <f t="shared" si="3774"/>
        <v/>
      </c>
    </row>
    <row r="318" spans="92:175">
      <c r="CN318" s="13" t="str">
        <f t="shared" si="3699"/>
        <v>InitUnitState('',,,,,,,,,,)</v>
      </c>
      <c r="CO318" s="13" t="str">
        <f t="shared" si="3700"/>
        <v>InitUnitNormal('',,,,,,,,,,)</v>
      </c>
      <c r="CP318" s="13" t="str">
        <f t="shared" si="3701"/>
        <v>InitUnitMagic('',,,,,,,,,,)</v>
      </c>
      <c r="CQ318" s="13" t="str">
        <f t="shared" si="3702"/>
        <v>InitUnitAdd('',,,,,,,,,,)</v>
      </c>
      <c r="CR318" s="13" t="str">
        <f t="shared" si="3703"/>
        <v>InitEquipData('',,"",,,,,'','','','','','',"")</v>
      </c>
      <c r="CU318" s="6" t="str">
        <f t="shared" si="3775"/>
        <v>|n</v>
      </c>
      <c r="CW318" s="7"/>
      <c r="CX318" s="7"/>
      <c r="CY318" s="7"/>
      <c r="CZ318" s="7"/>
      <c r="DA318" s="7"/>
      <c r="DB318" s="44" t="str">
        <f t="shared" si="3705"/>
        <v/>
      </c>
      <c r="DC318" s="44" t="str">
        <f t="shared" si="3706"/>
        <v/>
      </c>
      <c r="DD318" s="44" t="str">
        <f t="shared" si="3707"/>
        <v/>
      </c>
      <c r="DE318" s="44" t="str">
        <f t="shared" si="3708"/>
        <v/>
      </c>
      <c r="DF318" s="44" t="str">
        <f t="shared" si="3709"/>
        <v/>
      </c>
      <c r="DG318" s="44" t="str">
        <f t="shared" si="3710"/>
        <v/>
      </c>
      <c r="DH318" s="44" t="str">
        <f t="shared" si="3711"/>
        <v/>
      </c>
      <c r="DI318" s="44" t="str">
        <f t="shared" si="3712"/>
        <v/>
      </c>
      <c r="DJ318" s="44" t="str">
        <f t="shared" si="3713"/>
        <v/>
      </c>
      <c r="DK318" s="44" t="str">
        <f t="shared" si="3714"/>
        <v/>
      </c>
      <c r="DL318" s="44" t="str">
        <f t="shared" si="3715"/>
        <v/>
      </c>
      <c r="DM318" s="44" t="str">
        <f t="shared" si="3716"/>
        <v/>
      </c>
      <c r="DN318" s="44" t="str">
        <f t="shared" si="3717"/>
        <v/>
      </c>
      <c r="DO318" s="44" t="str">
        <f t="shared" si="3718"/>
        <v/>
      </c>
      <c r="DP318" s="44" t="str">
        <f t="shared" si="3719"/>
        <v/>
      </c>
      <c r="DQ318" s="44" t="str">
        <f t="shared" si="3720"/>
        <v/>
      </c>
      <c r="DR318" s="44" t="str">
        <f t="shared" si="3721"/>
        <v/>
      </c>
      <c r="DS318" s="44" t="str">
        <f t="shared" si="3722"/>
        <v/>
      </c>
      <c r="DT318" s="44" t="str">
        <f t="shared" si="3723"/>
        <v/>
      </c>
      <c r="DU318" s="44" t="str">
        <f t="shared" si="3724"/>
        <v/>
      </c>
      <c r="DV318" s="44" t="str">
        <f t="shared" si="3725"/>
        <v/>
      </c>
      <c r="DW318" s="44" t="str">
        <f t="shared" si="3726"/>
        <v/>
      </c>
      <c r="DX318" s="44" t="str">
        <f t="shared" si="3727"/>
        <v/>
      </c>
      <c r="DY318" s="44" t="str">
        <f t="shared" si="3728"/>
        <v/>
      </c>
      <c r="DZ318" s="44" t="str">
        <f t="shared" si="3729"/>
        <v/>
      </c>
      <c r="EA318" s="44" t="str">
        <f t="shared" si="3730"/>
        <v/>
      </c>
      <c r="EB318" s="44" t="str">
        <f t="shared" si="3731"/>
        <v/>
      </c>
      <c r="EC318" s="44" t="str">
        <f t="shared" si="3732"/>
        <v/>
      </c>
      <c r="ED318" s="44" t="str">
        <f t="shared" si="3733"/>
        <v/>
      </c>
      <c r="EE318" s="44" t="str">
        <f t="shared" si="3734"/>
        <v/>
      </c>
      <c r="EF318" s="44" t="str">
        <f t="shared" si="3735"/>
        <v/>
      </c>
      <c r="EG318" s="44" t="str">
        <f t="shared" si="3736"/>
        <v/>
      </c>
      <c r="EH318" s="44" t="str">
        <f t="shared" si="3737"/>
        <v/>
      </c>
      <c r="EI318" s="44" t="str">
        <f t="shared" si="3738"/>
        <v/>
      </c>
      <c r="EJ318" s="44" t="str">
        <f t="shared" si="3739"/>
        <v/>
      </c>
      <c r="EK318" s="44" t="str">
        <f t="shared" si="3740"/>
        <v/>
      </c>
      <c r="EL318" s="44" t="str">
        <f t="shared" si="3741"/>
        <v/>
      </c>
      <c r="EM318" s="44" t="str">
        <f t="shared" si="3742"/>
        <v/>
      </c>
      <c r="EN318" s="44" t="str">
        <f t="shared" si="3743"/>
        <v/>
      </c>
      <c r="EO318" s="44" t="str">
        <f t="shared" si="3744"/>
        <v/>
      </c>
      <c r="EP318" s="44" t="str">
        <f t="shared" si="3745"/>
        <v/>
      </c>
      <c r="EQ318" s="44" t="str">
        <f t="shared" si="3746"/>
        <v/>
      </c>
      <c r="ER318" s="44" t="str">
        <f t="shared" si="3747"/>
        <v/>
      </c>
      <c r="ES318" s="44" t="str">
        <f t="shared" si="3748"/>
        <v/>
      </c>
      <c r="ET318" s="44" t="str">
        <f t="shared" si="3749"/>
        <v/>
      </c>
      <c r="EU318" s="44" t="str">
        <f t="shared" si="3750"/>
        <v/>
      </c>
      <c r="EV318" s="44" t="str">
        <f t="shared" si="3751"/>
        <v/>
      </c>
      <c r="EW318" s="44" t="str">
        <f t="shared" si="3752"/>
        <v/>
      </c>
      <c r="EX318" s="44" t="str">
        <f t="shared" si="3753"/>
        <v/>
      </c>
      <c r="EY318" s="44" t="str">
        <f t="shared" si="3754"/>
        <v/>
      </c>
      <c r="EZ318" s="44" t="str">
        <f t="shared" si="3755"/>
        <v/>
      </c>
      <c r="FA318" s="44" t="str">
        <f t="shared" si="3756"/>
        <v/>
      </c>
      <c r="FB318" s="44" t="str">
        <f t="shared" si="3757"/>
        <v/>
      </c>
      <c r="FC318" s="44" t="str">
        <f t="shared" si="3758"/>
        <v/>
      </c>
      <c r="FD318" s="44" t="str">
        <f t="shared" si="3759"/>
        <v/>
      </c>
      <c r="FE318" s="44" t="str">
        <f t="shared" si="3760"/>
        <v/>
      </c>
      <c r="FF318" s="44" t="str">
        <f t="shared" si="3761"/>
        <v/>
      </c>
      <c r="FG318" s="44" t="str">
        <f t="shared" si="3762"/>
        <v/>
      </c>
      <c r="FH318" s="44" t="str">
        <f t="shared" si="3763"/>
        <v/>
      </c>
      <c r="FI318" s="44" t="str">
        <f t="shared" si="3764"/>
        <v/>
      </c>
      <c r="FJ318" s="44" t="str">
        <f t="shared" si="3765"/>
        <v/>
      </c>
      <c r="FK318" s="44" t="str">
        <f t="shared" si="3766"/>
        <v/>
      </c>
      <c r="FL318" s="44" t="str">
        <f t="shared" si="3767"/>
        <v/>
      </c>
      <c r="FM318" s="44" t="str">
        <f t="shared" si="3768"/>
        <v/>
      </c>
      <c r="FN318" s="44" t="str">
        <f t="shared" si="3769"/>
        <v/>
      </c>
      <c r="FO318" s="44" t="str">
        <f t="shared" si="3770"/>
        <v/>
      </c>
      <c r="FP318" s="44" t="str">
        <f t="shared" si="3771"/>
        <v/>
      </c>
      <c r="FQ318" s="44" t="str">
        <f t="shared" si="3772"/>
        <v/>
      </c>
      <c r="FR318" s="44" t="str">
        <f t="shared" si="3773"/>
        <v/>
      </c>
      <c r="FS318" s="44" t="str">
        <f t="shared" si="3774"/>
        <v/>
      </c>
    </row>
    <row r="319" spans="92:175">
      <c r="CN319" s="13" t="str">
        <f t="shared" si="3699"/>
        <v>InitUnitState('',,,,,,,,,,)</v>
      </c>
      <c r="CO319" s="13" t="str">
        <f t="shared" si="3700"/>
        <v>InitUnitNormal('',,,,,,,,,,)</v>
      </c>
      <c r="CP319" s="13" t="str">
        <f t="shared" si="3701"/>
        <v>InitUnitMagic('',,,,,,,,,,)</v>
      </c>
      <c r="CQ319" s="13" t="str">
        <f t="shared" si="3702"/>
        <v>InitUnitAdd('',,,,,,,,,,)</v>
      </c>
      <c r="CR319" s="13" t="str">
        <f t="shared" si="3703"/>
        <v>InitEquipData('',,"",,,,,'','','','','','',"")</v>
      </c>
      <c r="CU319" s="6" t="str">
        <f t="shared" si="3775"/>
        <v>|n</v>
      </c>
      <c r="CW319" s="7"/>
      <c r="CX319" s="7"/>
      <c r="CY319" s="7"/>
      <c r="CZ319" s="7"/>
      <c r="DA319" s="7"/>
      <c r="DB319" s="44" t="str">
        <f t="shared" si="3705"/>
        <v/>
      </c>
      <c r="DC319" s="44" t="str">
        <f t="shared" si="3706"/>
        <v/>
      </c>
      <c r="DD319" s="44" t="str">
        <f t="shared" si="3707"/>
        <v/>
      </c>
      <c r="DE319" s="44" t="str">
        <f t="shared" si="3708"/>
        <v/>
      </c>
      <c r="DF319" s="44" t="str">
        <f t="shared" si="3709"/>
        <v/>
      </c>
      <c r="DG319" s="44" t="str">
        <f t="shared" si="3710"/>
        <v/>
      </c>
      <c r="DH319" s="44" t="str">
        <f t="shared" si="3711"/>
        <v/>
      </c>
      <c r="DI319" s="44" t="str">
        <f t="shared" si="3712"/>
        <v/>
      </c>
      <c r="DJ319" s="44" t="str">
        <f t="shared" si="3713"/>
        <v/>
      </c>
      <c r="DK319" s="44" t="str">
        <f t="shared" si="3714"/>
        <v/>
      </c>
      <c r="DL319" s="44" t="str">
        <f t="shared" si="3715"/>
        <v/>
      </c>
      <c r="DM319" s="44" t="str">
        <f t="shared" si="3716"/>
        <v/>
      </c>
      <c r="DN319" s="44" t="str">
        <f t="shared" si="3717"/>
        <v/>
      </c>
      <c r="DO319" s="44" t="str">
        <f t="shared" si="3718"/>
        <v/>
      </c>
      <c r="DP319" s="44" t="str">
        <f t="shared" si="3719"/>
        <v/>
      </c>
      <c r="DQ319" s="44" t="str">
        <f t="shared" si="3720"/>
        <v/>
      </c>
      <c r="DR319" s="44" t="str">
        <f t="shared" si="3721"/>
        <v/>
      </c>
      <c r="DS319" s="44" t="str">
        <f t="shared" si="3722"/>
        <v/>
      </c>
      <c r="DT319" s="44" t="str">
        <f t="shared" si="3723"/>
        <v/>
      </c>
      <c r="DU319" s="44" t="str">
        <f t="shared" si="3724"/>
        <v/>
      </c>
      <c r="DV319" s="44" t="str">
        <f t="shared" si="3725"/>
        <v/>
      </c>
      <c r="DW319" s="44" t="str">
        <f t="shared" si="3726"/>
        <v/>
      </c>
      <c r="DX319" s="44" t="str">
        <f t="shared" si="3727"/>
        <v/>
      </c>
      <c r="DY319" s="44" t="str">
        <f t="shared" si="3728"/>
        <v/>
      </c>
      <c r="DZ319" s="44" t="str">
        <f t="shared" si="3729"/>
        <v/>
      </c>
      <c r="EA319" s="44" t="str">
        <f t="shared" si="3730"/>
        <v/>
      </c>
      <c r="EB319" s="44" t="str">
        <f t="shared" si="3731"/>
        <v/>
      </c>
      <c r="EC319" s="44" t="str">
        <f t="shared" si="3732"/>
        <v/>
      </c>
      <c r="ED319" s="44" t="str">
        <f t="shared" si="3733"/>
        <v/>
      </c>
      <c r="EE319" s="44" t="str">
        <f t="shared" si="3734"/>
        <v/>
      </c>
      <c r="EF319" s="44" t="str">
        <f t="shared" si="3735"/>
        <v/>
      </c>
      <c r="EG319" s="44" t="str">
        <f t="shared" si="3736"/>
        <v/>
      </c>
      <c r="EH319" s="44" t="str">
        <f t="shared" si="3737"/>
        <v/>
      </c>
      <c r="EI319" s="44" t="str">
        <f t="shared" si="3738"/>
        <v/>
      </c>
      <c r="EJ319" s="44" t="str">
        <f t="shared" si="3739"/>
        <v/>
      </c>
      <c r="EK319" s="44" t="str">
        <f t="shared" si="3740"/>
        <v/>
      </c>
      <c r="EL319" s="44" t="str">
        <f t="shared" si="3741"/>
        <v/>
      </c>
      <c r="EM319" s="44" t="str">
        <f t="shared" si="3742"/>
        <v/>
      </c>
      <c r="EN319" s="44" t="str">
        <f t="shared" si="3743"/>
        <v/>
      </c>
      <c r="EO319" s="44" t="str">
        <f t="shared" si="3744"/>
        <v/>
      </c>
      <c r="EP319" s="44" t="str">
        <f t="shared" si="3745"/>
        <v/>
      </c>
      <c r="EQ319" s="44" t="str">
        <f t="shared" si="3746"/>
        <v/>
      </c>
      <c r="ER319" s="44" t="str">
        <f t="shared" si="3747"/>
        <v/>
      </c>
      <c r="ES319" s="44" t="str">
        <f t="shared" si="3748"/>
        <v/>
      </c>
      <c r="ET319" s="44" t="str">
        <f t="shared" si="3749"/>
        <v/>
      </c>
      <c r="EU319" s="44" t="str">
        <f t="shared" si="3750"/>
        <v/>
      </c>
      <c r="EV319" s="44" t="str">
        <f t="shared" si="3751"/>
        <v/>
      </c>
      <c r="EW319" s="44" t="str">
        <f t="shared" si="3752"/>
        <v/>
      </c>
      <c r="EX319" s="44" t="str">
        <f t="shared" si="3753"/>
        <v/>
      </c>
      <c r="EY319" s="44" t="str">
        <f t="shared" si="3754"/>
        <v/>
      </c>
      <c r="EZ319" s="44" t="str">
        <f t="shared" si="3755"/>
        <v/>
      </c>
      <c r="FA319" s="44" t="str">
        <f t="shared" si="3756"/>
        <v/>
      </c>
      <c r="FB319" s="44" t="str">
        <f t="shared" si="3757"/>
        <v/>
      </c>
      <c r="FC319" s="44" t="str">
        <f t="shared" si="3758"/>
        <v/>
      </c>
      <c r="FD319" s="44" t="str">
        <f t="shared" si="3759"/>
        <v/>
      </c>
      <c r="FE319" s="44" t="str">
        <f t="shared" si="3760"/>
        <v/>
      </c>
      <c r="FF319" s="44" t="str">
        <f t="shared" si="3761"/>
        <v/>
      </c>
      <c r="FG319" s="44" t="str">
        <f t="shared" si="3762"/>
        <v/>
      </c>
      <c r="FH319" s="44" t="str">
        <f t="shared" si="3763"/>
        <v/>
      </c>
      <c r="FI319" s="44" t="str">
        <f t="shared" si="3764"/>
        <v/>
      </c>
      <c r="FJ319" s="44" t="str">
        <f t="shared" si="3765"/>
        <v/>
      </c>
      <c r="FK319" s="44" t="str">
        <f t="shared" si="3766"/>
        <v/>
      </c>
      <c r="FL319" s="44" t="str">
        <f t="shared" si="3767"/>
        <v/>
      </c>
      <c r="FM319" s="44" t="str">
        <f t="shared" si="3768"/>
        <v/>
      </c>
      <c r="FN319" s="44" t="str">
        <f t="shared" si="3769"/>
        <v/>
      </c>
      <c r="FO319" s="44" t="str">
        <f t="shared" si="3770"/>
        <v/>
      </c>
      <c r="FP319" s="44" t="str">
        <f t="shared" si="3771"/>
        <v/>
      </c>
      <c r="FQ319" s="44" t="str">
        <f t="shared" si="3772"/>
        <v/>
      </c>
      <c r="FR319" s="44" t="str">
        <f t="shared" si="3773"/>
        <v/>
      </c>
      <c r="FS319" s="44" t="str">
        <f t="shared" si="3774"/>
        <v/>
      </c>
    </row>
    <row r="320" spans="92:120">
      <c r="CN320" s="13" t="str">
        <f t="shared" si="3699"/>
        <v>InitUnitState('',,,,,,,,,,)</v>
      </c>
      <c r="CO320" s="13" t="str">
        <f t="shared" si="3700"/>
        <v>InitUnitNormal('',,,,,,,,,,)</v>
      </c>
      <c r="CP320" s="13" t="str">
        <f t="shared" si="3701"/>
        <v>InitUnitMagic('',,,,,,,,,,)</v>
      </c>
      <c r="CQ320" s="13" t="str">
        <f t="shared" si="3702"/>
        <v>InitUnitAdd('',,,,,,,,,,)</v>
      </c>
      <c r="CR320" s="13" t="str">
        <f t="shared" si="3703"/>
        <v>InitEquipData('',,"",,,,,'','','','','','',"")</v>
      </c>
      <c r="CU320" s="6" t="str">
        <f t="shared" si="3775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699"/>
        <v>InitUnitState('',,,,,,,,,,)</v>
      </c>
      <c r="CO321" s="13" t="str">
        <f t="shared" si="3700"/>
        <v>InitUnitNormal('',,,,,,,,,,)</v>
      </c>
      <c r="CP321" s="13" t="str">
        <f t="shared" si="3701"/>
        <v>InitUnitMagic('',,,,,,,,,,)</v>
      </c>
      <c r="CQ321" s="13" t="str">
        <f t="shared" si="3702"/>
        <v>InitUnitAdd('',,,,,,,,,,)</v>
      </c>
      <c r="CR321" s="13" t="str">
        <f t="shared" si="3703"/>
        <v>InitEquipData('',,"",,,,,'','','','','','',"")</v>
      </c>
      <c r="CU321" s="6" t="str">
        <f t="shared" si="3775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699"/>
        <v>InitUnitState('',,,,,,,,,,)</v>
      </c>
      <c r="CO322" s="13" t="str">
        <f t="shared" si="3700"/>
        <v>InitUnitNormal('',,,,,,,,,,)</v>
      </c>
      <c r="CP322" s="13" t="str">
        <f t="shared" si="3701"/>
        <v>InitUnitMagic('',,,,,,,,,,)</v>
      </c>
      <c r="CQ322" s="13" t="str">
        <f t="shared" si="3702"/>
        <v>InitUnitAdd('',,,,,,,,,,)</v>
      </c>
      <c r="CR322" s="13" t="str">
        <f t="shared" si="3703"/>
        <v>InitEquipData('',,"",,,,,'','','','','','',"")</v>
      </c>
      <c r="CU322" s="6" t="str">
        <f t="shared" si="3775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699"/>
        <v>InitUnitState('',,,,,,,,,,)</v>
      </c>
      <c r="CO323" s="13" t="str">
        <f t="shared" si="3700"/>
        <v>InitUnitNormal('',,,,,,,,,,)</v>
      </c>
      <c r="CP323" s="13" t="str">
        <f t="shared" si="3701"/>
        <v>InitUnitMagic('',,,,,,,,,,)</v>
      </c>
      <c r="CQ323" s="13" t="str">
        <f t="shared" si="3702"/>
        <v>InitUnitAdd('',,,,,,,,,,)</v>
      </c>
      <c r="CR323" s="13" t="str">
        <f t="shared" si="3703"/>
        <v>InitEquipData('',,"",,,,,'','','','','','',"")</v>
      </c>
      <c r="CU323" s="6" t="str">
        <f t="shared" si="3775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699"/>
        <v>InitUnitState('',,,,,,,,,,)</v>
      </c>
      <c r="CO324" s="13" t="str">
        <f t="shared" si="3700"/>
        <v>InitUnitNormal('',,,,,,,,,,)</v>
      </c>
      <c r="CP324" s="13" t="str">
        <f t="shared" si="3701"/>
        <v>InitUnitMagic('',,,,,,,,,,)</v>
      </c>
      <c r="CQ324" s="13" t="str">
        <f t="shared" si="3702"/>
        <v>InitUnitAdd('',,,,,,,,,,)</v>
      </c>
      <c r="CR324" s="13" t="str">
        <f t="shared" si="3703"/>
        <v>InitEquipData('',,"",,,,,'','','','','','',"")</v>
      </c>
      <c r="CU324" s="6" t="str">
        <f t="shared" si="3775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699"/>
        <v>InitUnitState('',,,,,,,,,,)</v>
      </c>
      <c r="CO325" s="13" t="str">
        <f t="shared" si="3700"/>
        <v>InitUnitNormal('',,,,,,,,,,)</v>
      </c>
      <c r="CP325" s="13" t="str">
        <f t="shared" si="3701"/>
        <v>InitUnitMagic('',,,,,,,,,,)</v>
      </c>
      <c r="CQ325" s="13" t="str">
        <f t="shared" si="3702"/>
        <v>InitUnitAdd('',,,,,,,,,,)</v>
      </c>
      <c r="CR325" s="13" t="str">
        <f t="shared" si="3703"/>
        <v>InitEquipData('',,"",,,,,'','','','','','',"")</v>
      </c>
      <c r="CU325" s="6" t="str">
        <f t="shared" si="3775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699"/>
        <v>InitUnitState('',,,,,,,,,,)</v>
      </c>
      <c r="CO326" s="13" t="str">
        <f t="shared" si="3700"/>
        <v>InitUnitNormal('',,,,,,,,,,)</v>
      </c>
      <c r="CP326" s="13" t="str">
        <f t="shared" si="3701"/>
        <v>InitUnitMagic('',,,,,,,,,,)</v>
      </c>
      <c r="CQ326" s="13" t="str">
        <f t="shared" si="3702"/>
        <v>InitUnitAdd('',,,,,,,,,,)</v>
      </c>
      <c r="CR326" s="13" t="str">
        <f t="shared" si="3703"/>
        <v>InitEquipData('',,"",,,,,'','','','','','',"")</v>
      </c>
      <c r="CU326" s="6" t="str">
        <f t="shared" si="3775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699"/>
        <v>InitUnitState('',,,,,,,,,,)</v>
      </c>
      <c r="CO327" s="13" t="str">
        <f t="shared" si="3700"/>
        <v>InitUnitNormal('',,,,,,,,,,)</v>
      </c>
      <c r="CP327" s="13" t="str">
        <f t="shared" si="3701"/>
        <v>InitUnitMagic('',,,,,,,,,,)</v>
      </c>
      <c r="CQ327" s="13" t="str">
        <f t="shared" si="3702"/>
        <v>InitUnitAdd('',,,,,,,,,,)</v>
      </c>
      <c r="CR327" s="13" t="str">
        <f t="shared" si="3703"/>
        <v>InitEquipData('',,"",,,,,'','','','','','',"")</v>
      </c>
      <c r="CU327" s="6" t="str">
        <f t="shared" si="3775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699"/>
        <v>InitUnitState('',,,,,,,,,,)</v>
      </c>
      <c r="CO328" s="13" t="str">
        <f t="shared" si="3700"/>
        <v>InitUnitNormal('',,,,,,,,,,)</v>
      </c>
      <c r="CP328" s="13" t="str">
        <f t="shared" si="3701"/>
        <v>InitUnitMagic('',,,,,,,,,,)</v>
      </c>
      <c r="CQ328" s="13" t="str">
        <f t="shared" si="3702"/>
        <v>InitUnitAdd('',,,,,,,,,,)</v>
      </c>
      <c r="CR328" s="13" t="str">
        <f t="shared" si="3703"/>
        <v>InitEquipData('',,"",,,,,'','','','','','',"")</v>
      </c>
      <c r="CU328" s="6" t="str">
        <f t="shared" si="3775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699"/>
        <v>InitUnitState('',,,,,,,,,,)</v>
      </c>
      <c r="CO329" s="13" t="str">
        <f t="shared" si="3700"/>
        <v>InitUnitNormal('',,,,,,,,,,)</v>
      </c>
      <c r="CP329" s="13" t="str">
        <f t="shared" si="3701"/>
        <v>InitUnitMagic('',,,,,,,,,,)</v>
      </c>
      <c r="CQ329" s="13" t="str">
        <f t="shared" si="3702"/>
        <v>InitUnitAdd('',,,,,,,,,,)</v>
      </c>
      <c r="CR329" s="13" t="str">
        <f t="shared" si="3703"/>
        <v>InitEquipData('',,"",,,,,'','','','','','',"")</v>
      </c>
      <c r="CU329" s="6" t="str">
        <f t="shared" si="3775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699"/>
        <v>InitUnitState('',,,,,,,,,,)</v>
      </c>
      <c r="CO330" s="13" t="str">
        <f t="shared" si="3700"/>
        <v>InitUnitNormal('',,,,,,,,,,)</v>
      </c>
      <c r="CP330" s="13" t="str">
        <f t="shared" si="3701"/>
        <v>InitUnitMagic('',,,,,,,,,,)</v>
      </c>
      <c r="CQ330" s="13" t="str">
        <f t="shared" si="3702"/>
        <v>InitUnitAdd('',,,,,,,,,,)</v>
      </c>
      <c r="CR330" s="13" t="str">
        <f t="shared" si="3703"/>
        <v>InitEquipData('',,"",,,,,'','','','','','',"")</v>
      </c>
      <c r="CU330" s="6" t="str">
        <f t="shared" si="3775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  <row r="331" spans="92:120">
      <c r="CN331" s="13" t="str">
        <f t="shared" ref="CN331:CN350" si="3776">"InitUnitState('"&amp;B331&amp;"',"&amp;V331&amp;","&amp;W331&amp;","&amp;X331&amp;","&amp;Y331&amp;","&amp;Z331&amp;","&amp;AA331&amp;","&amp;AB331&amp;","&amp;AC331&amp;","&amp;AD331&amp;","&amp;AE331&amp;")"</f>
        <v>InitUnitState('',,,,,,,,,,)</v>
      </c>
      <c r="CO331" s="13" t="str">
        <f t="shared" ref="CO331:CO350" si="3777">"InitUnitNormal('"&amp;B331&amp;"',"&amp;AF331&amp;","&amp;AG331&amp;","&amp;AH331&amp;","&amp;AI331&amp;","&amp;AJ331&amp;","&amp;AK331&amp;","&amp;AL331&amp;","&amp;AM331&amp;","&amp;AN331&amp;","&amp;AO331&amp;")"</f>
        <v>InitUnitNormal('',,,,,,,,,,)</v>
      </c>
      <c r="CP331" s="13" t="str">
        <f t="shared" ref="CP331:CP350" si="3778">"InitUnitMagic('"&amp;B331&amp;"',"&amp;AP331&amp;","&amp;AQ331&amp;","&amp;AR331&amp;","&amp;AS331&amp;","&amp;AT331&amp;","&amp;AU331&amp;","&amp;AV331&amp;","&amp;AW331&amp;","&amp;BI331&amp;","&amp;BJ331&amp;")"</f>
        <v>InitUnitMagic('',,,,,,,,,,)</v>
      </c>
      <c r="CQ331" s="13" t="str">
        <f t="shared" ref="CQ331:CQ350" si="3779">"InitUnitAdd('"&amp;B331&amp;"',"&amp;BK331&amp;","&amp;BL331&amp;","&amp;BM331&amp;","&amp;BN331&amp;","&amp;BO331&amp;","&amp;BP331&amp;","&amp;BQ331&amp;","&amp;BR331&amp;","&amp;BS331&amp;","&amp;BT331&amp;")"</f>
        <v>InitUnitAdd('',,,,,,,,,,)</v>
      </c>
      <c r="CR331" s="13" t="str">
        <f t="shared" ref="CR331:CR350" si="3780">"InitEquipData('"&amp;B331&amp;"',"&amp;D331&amp;","&amp;CR$1&amp;A331&amp;CR$1&amp;","&amp;E331&amp;","&amp;I331&amp;","&amp;F331&amp;","&amp;G331&amp;",'"&amp;J331&amp;"','"&amp;K331&amp;"','"&amp;L331&amp;"','"&amp;M331&amp;"','"&amp;N331&amp;"','"&amp;O331&amp;"',"&amp;CR$1&amp;U332&amp;CR$1&amp;")"</f>
        <v>InitEquipData('',,"",,,,,'','','','','','',"")</v>
      </c>
      <c r="CU331" s="6" t="str">
        <f t="shared" si="3775"/>
        <v>|n</v>
      </c>
      <c r="DB331" s="44" t="str">
        <f>IF(V331="","","|n"&amp;#REF!&amp;"+"&amp;V331)</f>
        <v/>
      </c>
      <c r="DC331" s="44" t="str">
        <f>IF(W331="","","|n"&amp;#REF!&amp;"+"&amp;W331)</f>
        <v/>
      </c>
      <c r="DD331" s="44" t="str">
        <f>IF(X331="","","|n"&amp;#REF!&amp;"+"&amp;X331)</f>
        <v/>
      </c>
      <c r="DE331" s="44" t="str">
        <f>IF(Y331="","","|n"&amp;#REF!&amp;"+"&amp;Y331)</f>
        <v/>
      </c>
      <c r="DF331" s="44" t="str">
        <f>IF(Z331="","","|n"&amp;#REF!&amp;"+"&amp;Z331)</f>
        <v/>
      </c>
      <c r="DG331" s="44" t="str">
        <f>IF(AA331="","","|n"&amp;#REF!&amp;"+"&amp;AA331)</f>
        <v/>
      </c>
      <c r="DH331" s="44" t="str">
        <f>IF(AB331="","","|n"&amp;#REF!&amp;"+"&amp;AB331)</f>
        <v/>
      </c>
      <c r="DI331" s="44" t="str">
        <f>IF(AC331="","","|n"&amp;#REF!&amp;"+"&amp;AC331&amp;"%")</f>
        <v/>
      </c>
      <c r="DJ331" s="44" t="str">
        <f>IF(AD331="","","|n"&amp;#REF!&amp;"+"&amp;AD331)</f>
        <v/>
      </c>
      <c r="DK331" s="44" t="str">
        <f>IF(AE331="","","|n"&amp;#REF!&amp;"+"&amp;AE331)</f>
        <v/>
      </c>
      <c r="DL331" s="44" t="str">
        <f>IF(AF331="","","|n"&amp;#REF!&amp;"+"&amp;AF331)</f>
        <v/>
      </c>
      <c r="DM331" s="44" t="str">
        <f>IF(AG331="","","|n"&amp;#REF!&amp;"+"&amp;AG331&amp;"%")</f>
        <v/>
      </c>
      <c r="DN331" s="44" t="str">
        <f>IF(AH331="","","|n"&amp;#REF!&amp;"+"&amp;AH331)</f>
        <v/>
      </c>
      <c r="DO331" s="44" t="str">
        <f>IF(AI331="","","|n"&amp;#REF!&amp;"+"&amp;AI331)</f>
        <v/>
      </c>
      <c r="DP331" s="44" t="str">
        <f>IF(AJ331="","","|n"&amp;#REF!&amp;"+"&amp;AJ331)</f>
        <v/>
      </c>
    </row>
    <row r="332" spans="92:120">
      <c r="CN332" s="13" t="str">
        <f t="shared" si="3776"/>
        <v>InitUnitState('',,,,,,,,,,)</v>
      </c>
      <c r="CO332" s="13" t="str">
        <f t="shared" si="3777"/>
        <v>InitUnitNormal('',,,,,,,,,,)</v>
      </c>
      <c r="CP332" s="13" t="str">
        <f t="shared" si="3778"/>
        <v>InitUnitMagic('',,,,,,,,,,)</v>
      </c>
      <c r="CQ332" s="13" t="str">
        <f t="shared" si="3779"/>
        <v>InitUnitAdd('',,,,,,,,,,)</v>
      </c>
      <c r="CR332" s="13" t="str">
        <f t="shared" si="3780"/>
        <v>InitEquipData('',,"",,,,,'','','','','','',"")</v>
      </c>
      <c r="CU332" s="6" t="str">
        <f t="shared" si="3775"/>
        <v>|n</v>
      </c>
      <c r="DB332" s="44" t="str">
        <f>IF(V332="","","|n"&amp;#REF!&amp;"+"&amp;V332)</f>
        <v/>
      </c>
      <c r="DC332" s="44" t="str">
        <f>IF(W332="","","|n"&amp;#REF!&amp;"+"&amp;W332)</f>
        <v/>
      </c>
      <c r="DD332" s="44" t="str">
        <f>IF(X332="","","|n"&amp;#REF!&amp;"+"&amp;X332)</f>
        <v/>
      </c>
      <c r="DE332" s="44" t="str">
        <f>IF(Y332="","","|n"&amp;#REF!&amp;"+"&amp;Y332)</f>
        <v/>
      </c>
      <c r="DF332" s="44" t="str">
        <f>IF(Z332="","","|n"&amp;#REF!&amp;"+"&amp;Z332)</f>
        <v/>
      </c>
      <c r="DG332" s="44" t="str">
        <f>IF(AA332="","","|n"&amp;#REF!&amp;"+"&amp;AA332)</f>
        <v/>
      </c>
      <c r="DH332" s="44" t="str">
        <f>IF(AB332="","","|n"&amp;#REF!&amp;"+"&amp;AB332)</f>
        <v/>
      </c>
      <c r="DI332" s="44" t="str">
        <f>IF(AC332="","","|n"&amp;#REF!&amp;"+"&amp;AC332&amp;"%")</f>
        <v/>
      </c>
      <c r="DJ332" s="44" t="str">
        <f>IF(AD332="","","|n"&amp;#REF!&amp;"+"&amp;AD332)</f>
        <v/>
      </c>
      <c r="DK332" s="44" t="str">
        <f>IF(AE332="","","|n"&amp;#REF!&amp;"+"&amp;AE332)</f>
        <v/>
      </c>
      <c r="DL332" s="44" t="str">
        <f>IF(AF332="","","|n"&amp;#REF!&amp;"+"&amp;AF332)</f>
        <v/>
      </c>
      <c r="DM332" s="44" t="str">
        <f>IF(AG332="","","|n"&amp;#REF!&amp;"+"&amp;AG332&amp;"%")</f>
        <v/>
      </c>
      <c r="DN332" s="44" t="str">
        <f>IF(AH332="","","|n"&amp;#REF!&amp;"+"&amp;AH332)</f>
        <v/>
      </c>
      <c r="DO332" s="44" t="str">
        <f>IF(AI332="","","|n"&amp;#REF!&amp;"+"&amp;AI332)</f>
        <v/>
      </c>
      <c r="DP332" s="44" t="str">
        <f>IF(AJ332="","","|n"&amp;#REF!&amp;"+"&amp;AJ332)</f>
        <v/>
      </c>
    </row>
    <row r="333" spans="92:120">
      <c r="CN333" s="13" t="str">
        <f t="shared" si="3776"/>
        <v>InitUnitState('',,,,,,,,,,)</v>
      </c>
      <c r="CO333" s="13" t="str">
        <f t="shared" si="3777"/>
        <v>InitUnitNormal('',,,,,,,,,,)</v>
      </c>
      <c r="CP333" s="13" t="str">
        <f t="shared" si="3778"/>
        <v>InitUnitMagic('',,,,,,,,,,)</v>
      </c>
      <c r="CQ333" s="13" t="str">
        <f t="shared" si="3779"/>
        <v>InitUnitAdd('',,,,,,,,,,)</v>
      </c>
      <c r="CR333" s="13" t="str">
        <f t="shared" si="3780"/>
        <v>InitEquipData('',,"",,,,,'','','','','','',"")</v>
      </c>
      <c r="CU333" s="6" t="str">
        <f t="shared" si="3775"/>
        <v>|n</v>
      </c>
      <c r="DB333" s="44" t="str">
        <f>IF(V333="","","|n"&amp;#REF!&amp;"+"&amp;V333)</f>
        <v/>
      </c>
      <c r="DC333" s="44" t="str">
        <f>IF(W333="","","|n"&amp;#REF!&amp;"+"&amp;W333)</f>
        <v/>
      </c>
      <c r="DD333" s="44" t="str">
        <f>IF(X333="","","|n"&amp;#REF!&amp;"+"&amp;X333)</f>
        <v/>
      </c>
      <c r="DE333" s="44" t="str">
        <f>IF(Y333="","","|n"&amp;#REF!&amp;"+"&amp;Y333)</f>
        <v/>
      </c>
      <c r="DF333" s="44" t="str">
        <f>IF(Z333="","","|n"&amp;#REF!&amp;"+"&amp;Z333)</f>
        <v/>
      </c>
      <c r="DG333" s="44" t="str">
        <f>IF(AA333="","","|n"&amp;#REF!&amp;"+"&amp;AA333)</f>
        <v/>
      </c>
      <c r="DH333" s="44" t="str">
        <f>IF(AB333="","","|n"&amp;#REF!&amp;"+"&amp;AB333)</f>
        <v/>
      </c>
      <c r="DI333" s="44" t="str">
        <f>IF(AC333="","","|n"&amp;#REF!&amp;"+"&amp;AC333&amp;"%")</f>
        <v/>
      </c>
      <c r="DJ333" s="44" t="str">
        <f>IF(AD333="","","|n"&amp;#REF!&amp;"+"&amp;AD333)</f>
        <v/>
      </c>
      <c r="DK333" s="44" t="str">
        <f>IF(AE333="","","|n"&amp;#REF!&amp;"+"&amp;AE333)</f>
        <v/>
      </c>
      <c r="DL333" s="44" t="str">
        <f>IF(AF333="","","|n"&amp;#REF!&amp;"+"&amp;AF333)</f>
        <v/>
      </c>
      <c r="DM333" s="44" t="str">
        <f>IF(AG333="","","|n"&amp;#REF!&amp;"+"&amp;AG333&amp;"%")</f>
        <v/>
      </c>
      <c r="DN333" s="44" t="str">
        <f>IF(AH333="","","|n"&amp;#REF!&amp;"+"&amp;AH333)</f>
        <v/>
      </c>
      <c r="DO333" s="44" t="str">
        <f>IF(AI333="","","|n"&amp;#REF!&amp;"+"&amp;AI333)</f>
        <v/>
      </c>
      <c r="DP333" s="44" t="str">
        <f>IF(AJ333="","","|n"&amp;#REF!&amp;"+"&amp;AJ333)</f>
        <v/>
      </c>
    </row>
    <row r="334" spans="92:120">
      <c r="CN334" s="13" t="str">
        <f t="shared" si="3776"/>
        <v>InitUnitState('',,,,,,,,,,)</v>
      </c>
      <c r="CO334" s="13" t="str">
        <f t="shared" si="3777"/>
        <v>InitUnitNormal('',,,,,,,,,,)</v>
      </c>
      <c r="CP334" s="13" t="str">
        <f t="shared" si="3778"/>
        <v>InitUnitMagic('',,,,,,,,,,)</v>
      </c>
      <c r="CQ334" s="13" t="str">
        <f t="shared" si="3779"/>
        <v>InitUnitAdd('',,,,,,,,,,)</v>
      </c>
      <c r="CR334" s="13" t="str">
        <f t="shared" si="3780"/>
        <v>InitEquipData('',,"",,,,,'','','','','','',"")</v>
      </c>
      <c r="CU334" s="6" t="str">
        <f t="shared" si="3775"/>
        <v>|n</v>
      </c>
      <c r="DB334" s="44" t="str">
        <f>IF(V334="","","|n"&amp;#REF!&amp;"+"&amp;V334)</f>
        <v/>
      </c>
      <c r="DC334" s="44" t="str">
        <f>IF(W334="","","|n"&amp;#REF!&amp;"+"&amp;W334)</f>
        <v/>
      </c>
      <c r="DD334" s="44" t="str">
        <f>IF(X334="","","|n"&amp;#REF!&amp;"+"&amp;X334)</f>
        <v/>
      </c>
      <c r="DE334" s="44" t="str">
        <f>IF(Y334="","","|n"&amp;#REF!&amp;"+"&amp;Y334)</f>
        <v/>
      </c>
      <c r="DF334" s="44" t="str">
        <f>IF(Z334="","","|n"&amp;#REF!&amp;"+"&amp;Z334)</f>
        <v/>
      </c>
      <c r="DG334" s="44" t="str">
        <f>IF(AA334="","","|n"&amp;#REF!&amp;"+"&amp;AA334)</f>
        <v/>
      </c>
      <c r="DH334" s="44" t="str">
        <f>IF(AB334="","","|n"&amp;#REF!&amp;"+"&amp;AB334)</f>
        <v/>
      </c>
      <c r="DI334" s="44" t="str">
        <f>IF(AC334="","","|n"&amp;#REF!&amp;"+"&amp;AC334&amp;"%")</f>
        <v/>
      </c>
      <c r="DJ334" s="44" t="str">
        <f>IF(AD334="","","|n"&amp;#REF!&amp;"+"&amp;AD334)</f>
        <v/>
      </c>
      <c r="DK334" s="44" t="str">
        <f>IF(AE334="","","|n"&amp;#REF!&amp;"+"&amp;AE334)</f>
        <v/>
      </c>
      <c r="DL334" s="44" t="str">
        <f>IF(AF334="","","|n"&amp;#REF!&amp;"+"&amp;AF334)</f>
        <v/>
      </c>
      <c r="DM334" s="44" t="str">
        <f>IF(AG334="","","|n"&amp;#REF!&amp;"+"&amp;AG334&amp;"%")</f>
        <v/>
      </c>
      <c r="DN334" s="44" t="str">
        <f>IF(AH334="","","|n"&amp;#REF!&amp;"+"&amp;AH334)</f>
        <v/>
      </c>
      <c r="DO334" s="44" t="str">
        <f>IF(AI334="","","|n"&amp;#REF!&amp;"+"&amp;AI334)</f>
        <v/>
      </c>
      <c r="DP334" s="44" t="str">
        <f>IF(AJ334="","","|n"&amp;#REF!&amp;"+"&amp;AJ334)</f>
        <v/>
      </c>
    </row>
    <row r="335" spans="92:120">
      <c r="CN335" s="13" t="str">
        <f t="shared" si="3776"/>
        <v>InitUnitState('',,,,,,,,,,)</v>
      </c>
      <c r="CO335" s="13" t="str">
        <f t="shared" si="3777"/>
        <v>InitUnitNormal('',,,,,,,,,,)</v>
      </c>
      <c r="CP335" s="13" t="str">
        <f t="shared" si="3778"/>
        <v>InitUnitMagic('',,,,,,,,,,)</v>
      </c>
      <c r="CQ335" s="13" t="str">
        <f t="shared" si="3779"/>
        <v>InitUnitAdd('',,,,,,,,,,)</v>
      </c>
      <c r="CR335" s="13" t="str">
        <f t="shared" si="3780"/>
        <v>InitEquipData('',,"",,,,,'','','','','','',"")</v>
      </c>
      <c r="CU335" s="6" t="str">
        <f t="shared" si="3775"/>
        <v>|n</v>
      </c>
      <c r="DB335" s="44" t="str">
        <f>IF(V335="","","|n"&amp;#REF!&amp;"+"&amp;V335)</f>
        <v/>
      </c>
      <c r="DC335" s="44" t="str">
        <f>IF(W335="","","|n"&amp;#REF!&amp;"+"&amp;W335)</f>
        <v/>
      </c>
      <c r="DD335" s="44" t="str">
        <f>IF(X335="","","|n"&amp;#REF!&amp;"+"&amp;X335)</f>
        <v/>
      </c>
      <c r="DE335" s="44" t="str">
        <f>IF(Y335="","","|n"&amp;#REF!&amp;"+"&amp;Y335)</f>
        <v/>
      </c>
      <c r="DF335" s="44" t="str">
        <f>IF(Z335="","","|n"&amp;#REF!&amp;"+"&amp;Z335)</f>
        <v/>
      </c>
      <c r="DG335" s="44" t="str">
        <f>IF(AA335="","","|n"&amp;#REF!&amp;"+"&amp;AA335)</f>
        <v/>
      </c>
      <c r="DH335" s="44" t="str">
        <f>IF(AB335="","","|n"&amp;#REF!&amp;"+"&amp;AB335)</f>
        <v/>
      </c>
      <c r="DI335" s="44" t="str">
        <f>IF(AC335="","","|n"&amp;#REF!&amp;"+"&amp;AC335&amp;"%")</f>
        <v/>
      </c>
      <c r="DJ335" s="44" t="str">
        <f>IF(AD335="","","|n"&amp;#REF!&amp;"+"&amp;AD335)</f>
        <v/>
      </c>
      <c r="DK335" s="44" t="str">
        <f>IF(AE335="","","|n"&amp;#REF!&amp;"+"&amp;AE335)</f>
        <v/>
      </c>
      <c r="DL335" s="44" t="str">
        <f>IF(AF335="","","|n"&amp;#REF!&amp;"+"&amp;AF335)</f>
        <v/>
      </c>
      <c r="DM335" s="44" t="str">
        <f>IF(AG335="","","|n"&amp;#REF!&amp;"+"&amp;AG335&amp;"%")</f>
        <v/>
      </c>
      <c r="DN335" s="44" t="str">
        <f>IF(AH335="","","|n"&amp;#REF!&amp;"+"&amp;AH335)</f>
        <v/>
      </c>
      <c r="DO335" s="44" t="str">
        <f>IF(AI335="","","|n"&amp;#REF!&amp;"+"&amp;AI335)</f>
        <v/>
      </c>
      <c r="DP335" s="44" t="str">
        <f>IF(AJ335="","","|n"&amp;#REF!&amp;"+"&amp;AJ335)</f>
        <v/>
      </c>
    </row>
    <row r="336" spans="92:120">
      <c r="CN336" s="13" t="str">
        <f t="shared" si="3776"/>
        <v>InitUnitState('',,,,,,,,,,)</v>
      </c>
      <c r="CO336" s="13" t="str">
        <f t="shared" si="3777"/>
        <v>InitUnitNormal('',,,,,,,,,,)</v>
      </c>
      <c r="CP336" s="13" t="str">
        <f t="shared" si="3778"/>
        <v>InitUnitMagic('',,,,,,,,,,)</v>
      </c>
      <c r="CQ336" s="13" t="str">
        <f t="shared" si="3779"/>
        <v>InitUnitAdd('',,,,,,,,,,)</v>
      </c>
      <c r="CR336" s="13" t="str">
        <f t="shared" si="3780"/>
        <v>InitEquipData('',,"",,,,,'','','','','','',"")</v>
      </c>
      <c r="CU336" s="6" t="str">
        <f t="shared" si="3775"/>
        <v>|n</v>
      </c>
      <c r="DB336" s="44" t="str">
        <f>IF(V336="","","|n"&amp;#REF!&amp;"+"&amp;V336)</f>
        <v/>
      </c>
      <c r="DC336" s="44" t="str">
        <f>IF(W336="","","|n"&amp;#REF!&amp;"+"&amp;W336)</f>
        <v/>
      </c>
      <c r="DD336" s="44" t="str">
        <f>IF(X336="","","|n"&amp;#REF!&amp;"+"&amp;X336)</f>
        <v/>
      </c>
      <c r="DE336" s="44" t="str">
        <f>IF(Y336="","","|n"&amp;#REF!&amp;"+"&amp;Y336)</f>
        <v/>
      </c>
      <c r="DF336" s="44" t="str">
        <f>IF(Z336="","","|n"&amp;#REF!&amp;"+"&amp;Z336)</f>
        <v/>
      </c>
      <c r="DG336" s="44" t="str">
        <f>IF(AA336="","","|n"&amp;#REF!&amp;"+"&amp;AA336)</f>
        <v/>
      </c>
      <c r="DH336" s="44" t="str">
        <f>IF(AB336="","","|n"&amp;#REF!&amp;"+"&amp;AB336)</f>
        <v/>
      </c>
      <c r="DI336" s="44" t="str">
        <f>IF(AC336="","","|n"&amp;#REF!&amp;"+"&amp;AC336&amp;"%")</f>
        <v/>
      </c>
      <c r="DJ336" s="44" t="str">
        <f>IF(AD336="","","|n"&amp;#REF!&amp;"+"&amp;AD336)</f>
        <v/>
      </c>
      <c r="DK336" s="44" t="str">
        <f>IF(AE336="","","|n"&amp;#REF!&amp;"+"&amp;AE336)</f>
        <v/>
      </c>
      <c r="DL336" s="44" t="str">
        <f>IF(AF336="","","|n"&amp;#REF!&amp;"+"&amp;AF336)</f>
        <v/>
      </c>
      <c r="DM336" s="44" t="str">
        <f>IF(AG336="","","|n"&amp;#REF!&amp;"+"&amp;AG336&amp;"%")</f>
        <v/>
      </c>
      <c r="DN336" s="44" t="str">
        <f>IF(AH336="","","|n"&amp;#REF!&amp;"+"&amp;AH336)</f>
        <v/>
      </c>
      <c r="DO336" s="44" t="str">
        <f>IF(AI336="","","|n"&amp;#REF!&amp;"+"&amp;AI336)</f>
        <v/>
      </c>
      <c r="DP336" s="44" t="str">
        <f>IF(AJ336="","","|n"&amp;#REF!&amp;"+"&amp;AJ336)</f>
        <v/>
      </c>
    </row>
    <row r="337" spans="92:120">
      <c r="CN337" s="13" t="str">
        <f t="shared" si="3776"/>
        <v>InitUnitState('',,,,,,,,,,)</v>
      </c>
      <c r="CO337" s="13" t="str">
        <f t="shared" si="3777"/>
        <v>InitUnitNormal('',,,,,,,,,,)</v>
      </c>
      <c r="CP337" s="13" t="str">
        <f t="shared" si="3778"/>
        <v>InitUnitMagic('',,,,,,,,,,)</v>
      </c>
      <c r="CQ337" s="13" t="str">
        <f t="shared" si="3779"/>
        <v>InitUnitAdd('',,,,,,,,,,)</v>
      </c>
      <c r="CR337" s="13" t="str">
        <f t="shared" si="3780"/>
        <v>InitEquipData('',,"",,,,,'','','','','','',"")</v>
      </c>
      <c r="CU337" s="6" t="str">
        <f t="shared" si="3775"/>
        <v>|n</v>
      </c>
      <c r="DB337" s="44" t="str">
        <f>IF(V337="","","|n"&amp;#REF!&amp;"+"&amp;V337)</f>
        <v/>
      </c>
      <c r="DC337" s="44" t="str">
        <f>IF(W337="","","|n"&amp;#REF!&amp;"+"&amp;W337)</f>
        <v/>
      </c>
      <c r="DD337" s="44" t="str">
        <f>IF(X337="","","|n"&amp;#REF!&amp;"+"&amp;X337)</f>
        <v/>
      </c>
      <c r="DE337" s="44" t="str">
        <f>IF(Y337="","","|n"&amp;#REF!&amp;"+"&amp;Y337)</f>
        <v/>
      </c>
      <c r="DF337" s="44" t="str">
        <f>IF(Z337="","","|n"&amp;#REF!&amp;"+"&amp;Z337)</f>
        <v/>
      </c>
      <c r="DG337" s="44" t="str">
        <f>IF(AA337="","","|n"&amp;#REF!&amp;"+"&amp;AA337)</f>
        <v/>
      </c>
      <c r="DH337" s="44" t="str">
        <f>IF(AB337="","","|n"&amp;#REF!&amp;"+"&amp;AB337)</f>
        <v/>
      </c>
      <c r="DI337" s="44" t="str">
        <f>IF(AC337="","","|n"&amp;#REF!&amp;"+"&amp;AC337&amp;"%")</f>
        <v/>
      </c>
      <c r="DJ337" s="44" t="str">
        <f>IF(AD337="","","|n"&amp;#REF!&amp;"+"&amp;AD337)</f>
        <v/>
      </c>
      <c r="DK337" s="44" t="str">
        <f>IF(AE337="","","|n"&amp;#REF!&amp;"+"&amp;AE337)</f>
        <v/>
      </c>
      <c r="DL337" s="44" t="str">
        <f>IF(AF337="","","|n"&amp;#REF!&amp;"+"&amp;AF337)</f>
        <v/>
      </c>
      <c r="DM337" s="44" t="str">
        <f>IF(AG337="","","|n"&amp;#REF!&amp;"+"&amp;AG337&amp;"%")</f>
        <v/>
      </c>
      <c r="DN337" s="44" t="str">
        <f>IF(AH337="","","|n"&amp;#REF!&amp;"+"&amp;AH337)</f>
        <v/>
      </c>
      <c r="DO337" s="44" t="str">
        <f>IF(AI337="","","|n"&amp;#REF!&amp;"+"&amp;AI337)</f>
        <v/>
      </c>
      <c r="DP337" s="44" t="str">
        <f>IF(AJ337="","","|n"&amp;#REF!&amp;"+"&amp;AJ337)</f>
        <v/>
      </c>
    </row>
    <row r="338" spans="92:120">
      <c r="CN338" s="13" t="str">
        <f t="shared" si="3776"/>
        <v>InitUnitState('',,,,,,,,,,)</v>
      </c>
      <c r="CO338" s="13" t="str">
        <f t="shared" si="3777"/>
        <v>InitUnitNormal('',,,,,,,,,,)</v>
      </c>
      <c r="CP338" s="13" t="str">
        <f t="shared" si="3778"/>
        <v>InitUnitMagic('',,,,,,,,,,)</v>
      </c>
      <c r="CQ338" s="13" t="str">
        <f t="shared" si="3779"/>
        <v>InitUnitAdd('',,,,,,,,,,)</v>
      </c>
      <c r="CR338" s="13" t="str">
        <f t="shared" si="3780"/>
        <v>InitEquipData('',,"",,,,,'','','','','','',"")</v>
      </c>
      <c r="CU338" s="6" t="str">
        <f t="shared" si="3775"/>
        <v>|n</v>
      </c>
      <c r="DB338" s="44" t="str">
        <f>IF(V338="","","|n"&amp;#REF!&amp;"+"&amp;V338)</f>
        <v/>
      </c>
      <c r="DC338" s="44" t="str">
        <f>IF(W338="","","|n"&amp;#REF!&amp;"+"&amp;W338)</f>
        <v/>
      </c>
      <c r="DD338" s="44" t="str">
        <f>IF(X338="","","|n"&amp;#REF!&amp;"+"&amp;X338)</f>
        <v/>
      </c>
      <c r="DE338" s="44" t="str">
        <f>IF(Y338="","","|n"&amp;#REF!&amp;"+"&amp;Y338)</f>
        <v/>
      </c>
      <c r="DF338" s="44" t="str">
        <f>IF(Z338="","","|n"&amp;#REF!&amp;"+"&amp;Z338)</f>
        <v/>
      </c>
      <c r="DG338" s="44" t="str">
        <f>IF(AA338="","","|n"&amp;#REF!&amp;"+"&amp;AA338)</f>
        <v/>
      </c>
      <c r="DH338" s="44" t="str">
        <f>IF(AB338="","","|n"&amp;#REF!&amp;"+"&amp;AB338)</f>
        <v/>
      </c>
      <c r="DI338" s="44" t="str">
        <f>IF(AC338="","","|n"&amp;#REF!&amp;"+"&amp;AC338&amp;"%")</f>
        <v/>
      </c>
      <c r="DJ338" s="44" t="str">
        <f>IF(AD338="","","|n"&amp;#REF!&amp;"+"&amp;AD338)</f>
        <v/>
      </c>
      <c r="DK338" s="44" t="str">
        <f>IF(AE338="","","|n"&amp;#REF!&amp;"+"&amp;AE338)</f>
        <v/>
      </c>
      <c r="DL338" s="44" t="str">
        <f>IF(AF338="","","|n"&amp;#REF!&amp;"+"&amp;AF338)</f>
        <v/>
      </c>
      <c r="DM338" s="44" t="str">
        <f>IF(AG338="","","|n"&amp;#REF!&amp;"+"&amp;AG338&amp;"%")</f>
        <v/>
      </c>
      <c r="DN338" s="44" t="str">
        <f>IF(AH338="","","|n"&amp;#REF!&amp;"+"&amp;AH338)</f>
        <v/>
      </c>
      <c r="DO338" s="44" t="str">
        <f>IF(AI338="","","|n"&amp;#REF!&amp;"+"&amp;AI338)</f>
        <v/>
      </c>
      <c r="DP338" s="44" t="str">
        <f>IF(AJ338="","","|n"&amp;#REF!&amp;"+"&amp;AJ338)</f>
        <v/>
      </c>
    </row>
    <row r="339" spans="92:120">
      <c r="CN339" s="13" t="str">
        <f t="shared" si="3776"/>
        <v>InitUnitState('',,,,,,,,,,)</v>
      </c>
      <c r="CO339" s="13" t="str">
        <f t="shared" si="3777"/>
        <v>InitUnitNormal('',,,,,,,,,,)</v>
      </c>
      <c r="CP339" s="13" t="str">
        <f t="shared" si="3778"/>
        <v>InitUnitMagic('',,,,,,,,,,)</v>
      </c>
      <c r="CQ339" s="13" t="str">
        <f t="shared" si="3779"/>
        <v>InitUnitAdd('',,,,,,,,,,)</v>
      </c>
      <c r="CR339" s="13" t="str">
        <f t="shared" si="3780"/>
        <v>InitEquipData('',,"",,,,,'','','','','','',"")</v>
      </c>
      <c r="CU339" s="6" t="str">
        <f t="shared" si="3775"/>
        <v>|n</v>
      </c>
      <c r="DB339" s="44" t="str">
        <f>IF(V339="","","|n"&amp;#REF!&amp;"+"&amp;V339)</f>
        <v/>
      </c>
      <c r="DC339" s="44" t="str">
        <f>IF(W339="","","|n"&amp;#REF!&amp;"+"&amp;W339)</f>
        <v/>
      </c>
      <c r="DD339" s="44" t="str">
        <f>IF(X339="","","|n"&amp;#REF!&amp;"+"&amp;X339)</f>
        <v/>
      </c>
      <c r="DE339" s="44" t="str">
        <f>IF(Y339="","","|n"&amp;#REF!&amp;"+"&amp;Y339)</f>
        <v/>
      </c>
      <c r="DF339" s="44" t="str">
        <f>IF(Z339="","","|n"&amp;#REF!&amp;"+"&amp;Z339)</f>
        <v/>
      </c>
      <c r="DG339" s="44" t="str">
        <f>IF(AA339="","","|n"&amp;#REF!&amp;"+"&amp;AA339)</f>
        <v/>
      </c>
      <c r="DH339" s="44" t="str">
        <f>IF(AB339="","","|n"&amp;#REF!&amp;"+"&amp;AB339)</f>
        <v/>
      </c>
      <c r="DI339" s="44" t="str">
        <f>IF(AC339="","","|n"&amp;#REF!&amp;"+"&amp;AC339&amp;"%")</f>
        <v/>
      </c>
      <c r="DJ339" s="44" t="str">
        <f>IF(AD339="","","|n"&amp;#REF!&amp;"+"&amp;AD339)</f>
        <v/>
      </c>
      <c r="DK339" s="44" t="str">
        <f>IF(AE339="","","|n"&amp;#REF!&amp;"+"&amp;AE339)</f>
        <v/>
      </c>
      <c r="DL339" s="44" t="str">
        <f>IF(AF339="","","|n"&amp;#REF!&amp;"+"&amp;AF339)</f>
        <v/>
      </c>
      <c r="DM339" s="44" t="str">
        <f>IF(AG339="","","|n"&amp;#REF!&amp;"+"&amp;AG339&amp;"%")</f>
        <v/>
      </c>
      <c r="DN339" s="44" t="str">
        <f>IF(AH339="","","|n"&amp;#REF!&amp;"+"&amp;AH339)</f>
        <v/>
      </c>
      <c r="DO339" s="44" t="str">
        <f>IF(AI339="","","|n"&amp;#REF!&amp;"+"&amp;AI339)</f>
        <v/>
      </c>
      <c r="DP339" s="44" t="str">
        <f>IF(AJ339="","","|n"&amp;#REF!&amp;"+"&amp;AJ339)</f>
        <v/>
      </c>
    </row>
    <row r="340" spans="92:120">
      <c r="CN340" s="13" t="str">
        <f t="shared" si="3776"/>
        <v>InitUnitState('',,,,,,,,,,)</v>
      </c>
      <c r="CO340" s="13" t="str">
        <f t="shared" si="3777"/>
        <v>InitUnitNormal('',,,,,,,,,,)</v>
      </c>
      <c r="CP340" s="13" t="str">
        <f t="shared" si="3778"/>
        <v>InitUnitMagic('',,,,,,,,,,)</v>
      </c>
      <c r="CQ340" s="13" t="str">
        <f t="shared" si="3779"/>
        <v>InitUnitAdd('',,,,,,,,,,)</v>
      </c>
      <c r="CR340" s="13" t="str">
        <f t="shared" si="3780"/>
        <v>InitEquipData('',,"",,,,,'','','','','','',"")</v>
      </c>
      <c r="CU340" s="6" t="str">
        <f t="shared" si="3775"/>
        <v>|n</v>
      </c>
      <c r="DB340" s="44" t="str">
        <f>IF(V340="","","|n"&amp;#REF!&amp;"+"&amp;V340)</f>
        <v/>
      </c>
      <c r="DC340" s="44" t="str">
        <f>IF(W340="","","|n"&amp;#REF!&amp;"+"&amp;W340)</f>
        <v/>
      </c>
      <c r="DD340" s="44" t="str">
        <f>IF(X340="","","|n"&amp;#REF!&amp;"+"&amp;X340)</f>
        <v/>
      </c>
      <c r="DE340" s="44" t="str">
        <f>IF(Y340="","","|n"&amp;#REF!&amp;"+"&amp;Y340)</f>
        <v/>
      </c>
      <c r="DF340" s="44" t="str">
        <f>IF(Z340="","","|n"&amp;#REF!&amp;"+"&amp;Z340)</f>
        <v/>
      </c>
      <c r="DG340" s="44" t="str">
        <f>IF(AA340="","","|n"&amp;#REF!&amp;"+"&amp;AA340)</f>
        <v/>
      </c>
      <c r="DH340" s="44" t="str">
        <f>IF(AB340="","","|n"&amp;#REF!&amp;"+"&amp;AB340)</f>
        <v/>
      </c>
      <c r="DI340" s="44" t="str">
        <f>IF(AC340="","","|n"&amp;#REF!&amp;"+"&amp;AC340&amp;"%")</f>
        <v/>
      </c>
      <c r="DJ340" s="44" t="str">
        <f>IF(AD340="","","|n"&amp;#REF!&amp;"+"&amp;AD340)</f>
        <v/>
      </c>
      <c r="DK340" s="44" t="str">
        <f>IF(AE340="","","|n"&amp;#REF!&amp;"+"&amp;AE340)</f>
        <v/>
      </c>
      <c r="DL340" s="44" t="str">
        <f>IF(AF340="","","|n"&amp;#REF!&amp;"+"&amp;AF340)</f>
        <v/>
      </c>
      <c r="DM340" s="44" t="str">
        <f>IF(AG340="","","|n"&amp;#REF!&amp;"+"&amp;AG340&amp;"%")</f>
        <v/>
      </c>
      <c r="DN340" s="44" t="str">
        <f>IF(AH340="","","|n"&amp;#REF!&amp;"+"&amp;AH340)</f>
        <v/>
      </c>
      <c r="DO340" s="44" t="str">
        <f>IF(AI340="","","|n"&amp;#REF!&amp;"+"&amp;AI340)</f>
        <v/>
      </c>
      <c r="DP340" s="44" t="str">
        <f>IF(AJ340="","","|n"&amp;#REF!&amp;"+"&amp;AJ340)</f>
        <v/>
      </c>
    </row>
    <row r="341" spans="92:120">
      <c r="CN341" s="13" t="str">
        <f t="shared" si="3776"/>
        <v>InitUnitState('',,,,,,,,,,)</v>
      </c>
      <c r="CO341" s="13" t="str">
        <f t="shared" si="3777"/>
        <v>InitUnitNormal('',,,,,,,,,,)</v>
      </c>
      <c r="CP341" s="13" t="str">
        <f t="shared" si="3778"/>
        <v>InitUnitMagic('',,,,,,,,,,)</v>
      </c>
      <c r="CQ341" s="13" t="str">
        <f t="shared" si="3779"/>
        <v>InitUnitAdd('',,,,,,,,,,)</v>
      </c>
      <c r="CR341" s="13" t="str">
        <f t="shared" si="3780"/>
        <v>InitEquipData('',,"",,,,,'','','','','','',"")</v>
      </c>
      <c r="CU341" s="6" t="str">
        <f t="shared" si="3775"/>
        <v>|n</v>
      </c>
      <c r="DB341" s="44" t="str">
        <f>IF(V341="","","|n"&amp;#REF!&amp;"+"&amp;V341)</f>
        <v/>
      </c>
      <c r="DC341" s="44" t="str">
        <f>IF(W341="","","|n"&amp;#REF!&amp;"+"&amp;W341)</f>
        <v/>
      </c>
      <c r="DD341" s="44" t="str">
        <f>IF(X341="","","|n"&amp;#REF!&amp;"+"&amp;X341)</f>
        <v/>
      </c>
      <c r="DE341" s="44" t="str">
        <f>IF(Y341="","","|n"&amp;#REF!&amp;"+"&amp;Y341)</f>
        <v/>
      </c>
      <c r="DF341" s="44" t="str">
        <f>IF(Z341="","","|n"&amp;#REF!&amp;"+"&amp;Z341)</f>
        <v/>
      </c>
      <c r="DG341" s="44" t="str">
        <f>IF(AA341="","","|n"&amp;#REF!&amp;"+"&amp;AA341)</f>
        <v/>
      </c>
      <c r="DH341" s="44" t="str">
        <f>IF(AB341="","","|n"&amp;#REF!&amp;"+"&amp;AB341)</f>
        <v/>
      </c>
      <c r="DI341" s="44" t="str">
        <f>IF(AC341="","","|n"&amp;#REF!&amp;"+"&amp;AC341&amp;"%")</f>
        <v/>
      </c>
      <c r="DJ341" s="44" t="str">
        <f>IF(AD341="","","|n"&amp;#REF!&amp;"+"&amp;AD341)</f>
        <v/>
      </c>
      <c r="DK341" s="44" t="str">
        <f>IF(AE341="","","|n"&amp;#REF!&amp;"+"&amp;AE341)</f>
        <v/>
      </c>
      <c r="DL341" s="44" t="str">
        <f>IF(AF341="","","|n"&amp;#REF!&amp;"+"&amp;AF341)</f>
        <v/>
      </c>
      <c r="DM341" s="44" t="str">
        <f>IF(AG341="","","|n"&amp;#REF!&amp;"+"&amp;AG341&amp;"%")</f>
        <v/>
      </c>
      <c r="DN341" s="44" t="str">
        <f>IF(AH341="","","|n"&amp;#REF!&amp;"+"&amp;AH341)</f>
        <v/>
      </c>
      <c r="DO341" s="44" t="str">
        <f>IF(AI341="","","|n"&amp;#REF!&amp;"+"&amp;AI341)</f>
        <v/>
      </c>
      <c r="DP341" s="44" t="str">
        <f>IF(AJ341="","","|n"&amp;#REF!&amp;"+"&amp;AJ341)</f>
        <v/>
      </c>
    </row>
    <row r="342" spans="92:120">
      <c r="CN342" s="13" t="str">
        <f t="shared" si="3776"/>
        <v>InitUnitState('',,,,,,,,,,)</v>
      </c>
      <c r="CO342" s="13" t="str">
        <f t="shared" si="3777"/>
        <v>InitUnitNormal('',,,,,,,,,,)</v>
      </c>
      <c r="CP342" s="13" t="str">
        <f t="shared" si="3778"/>
        <v>InitUnitMagic('',,,,,,,,,,)</v>
      </c>
      <c r="CQ342" s="13" t="str">
        <f t="shared" si="3779"/>
        <v>InitUnitAdd('',,,,,,,,,,)</v>
      </c>
      <c r="CR342" s="13" t="str">
        <f t="shared" si="3780"/>
        <v>InitEquipData('',,"",,,,,'','','','','','',"")</v>
      </c>
      <c r="CU342" s="6" t="str">
        <f t="shared" si="3775"/>
        <v>|n</v>
      </c>
      <c r="DB342" s="44" t="str">
        <f>IF(V342="","","|n"&amp;#REF!&amp;"+"&amp;V342)</f>
        <v/>
      </c>
      <c r="DC342" s="44" t="str">
        <f>IF(W342="","","|n"&amp;#REF!&amp;"+"&amp;W342)</f>
        <v/>
      </c>
      <c r="DD342" s="44" t="str">
        <f>IF(X342="","","|n"&amp;#REF!&amp;"+"&amp;X342)</f>
        <v/>
      </c>
      <c r="DE342" s="44" t="str">
        <f>IF(Y342="","","|n"&amp;#REF!&amp;"+"&amp;Y342)</f>
        <v/>
      </c>
      <c r="DF342" s="44" t="str">
        <f>IF(Z342="","","|n"&amp;#REF!&amp;"+"&amp;Z342)</f>
        <v/>
      </c>
      <c r="DG342" s="44" t="str">
        <f>IF(AA342="","","|n"&amp;#REF!&amp;"+"&amp;AA342)</f>
        <v/>
      </c>
      <c r="DH342" s="44" t="str">
        <f>IF(AB342="","","|n"&amp;#REF!&amp;"+"&amp;AB342)</f>
        <v/>
      </c>
      <c r="DI342" s="44" t="str">
        <f>IF(AC342="","","|n"&amp;#REF!&amp;"+"&amp;AC342&amp;"%")</f>
        <v/>
      </c>
      <c r="DJ342" s="44" t="str">
        <f>IF(AD342="","","|n"&amp;#REF!&amp;"+"&amp;AD342)</f>
        <v/>
      </c>
      <c r="DK342" s="44" t="str">
        <f>IF(AE342="","","|n"&amp;#REF!&amp;"+"&amp;AE342)</f>
        <v/>
      </c>
      <c r="DL342" s="44" t="str">
        <f>IF(AF342="","","|n"&amp;#REF!&amp;"+"&amp;AF342)</f>
        <v/>
      </c>
      <c r="DM342" s="44" t="str">
        <f>IF(AG342="","","|n"&amp;#REF!&amp;"+"&amp;AG342&amp;"%")</f>
        <v/>
      </c>
      <c r="DN342" s="44" t="str">
        <f>IF(AH342="","","|n"&amp;#REF!&amp;"+"&amp;AH342)</f>
        <v/>
      </c>
      <c r="DO342" s="44" t="str">
        <f>IF(AI342="","","|n"&amp;#REF!&amp;"+"&amp;AI342)</f>
        <v/>
      </c>
      <c r="DP342" s="44" t="str">
        <f>IF(AJ342="","","|n"&amp;#REF!&amp;"+"&amp;AJ342)</f>
        <v/>
      </c>
    </row>
    <row r="343" spans="92:120">
      <c r="CN343" s="13" t="str">
        <f t="shared" si="3776"/>
        <v>InitUnitState('',,,,,,,,,,)</v>
      </c>
      <c r="CO343" s="13" t="str">
        <f t="shared" si="3777"/>
        <v>InitUnitNormal('',,,,,,,,,,)</v>
      </c>
      <c r="CP343" s="13" t="str">
        <f t="shared" si="3778"/>
        <v>InitUnitMagic('',,,,,,,,,,)</v>
      </c>
      <c r="CQ343" s="13" t="str">
        <f t="shared" si="3779"/>
        <v>InitUnitAdd('',,,,,,,,,,)</v>
      </c>
      <c r="CR343" s="13" t="str">
        <f t="shared" si="3780"/>
        <v>InitEquipData('',,"",,,,,'','','','','','',"")</v>
      </c>
      <c r="CU343" s="6" t="str">
        <f t="shared" si="3775"/>
        <v>|n</v>
      </c>
      <c r="DB343" s="44" t="str">
        <f>IF(V343="","","|n"&amp;#REF!&amp;"+"&amp;V343)</f>
        <v/>
      </c>
      <c r="DC343" s="44" t="str">
        <f>IF(W343="","","|n"&amp;#REF!&amp;"+"&amp;W343)</f>
        <v/>
      </c>
      <c r="DD343" s="44" t="str">
        <f>IF(X343="","","|n"&amp;#REF!&amp;"+"&amp;X343)</f>
        <v/>
      </c>
      <c r="DE343" s="44" t="str">
        <f>IF(Y343="","","|n"&amp;#REF!&amp;"+"&amp;Y343)</f>
        <v/>
      </c>
      <c r="DF343" s="44" t="str">
        <f>IF(Z343="","","|n"&amp;#REF!&amp;"+"&amp;Z343)</f>
        <v/>
      </c>
      <c r="DG343" s="44" t="str">
        <f>IF(AA343="","","|n"&amp;#REF!&amp;"+"&amp;AA343)</f>
        <v/>
      </c>
      <c r="DH343" s="44" t="str">
        <f>IF(AB343="","","|n"&amp;#REF!&amp;"+"&amp;AB343)</f>
        <v/>
      </c>
      <c r="DI343" s="44" t="str">
        <f>IF(AC343="","","|n"&amp;#REF!&amp;"+"&amp;AC343&amp;"%")</f>
        <v/>
      </c>
      <c r="DJ343" s="44" t="str">
        <f>IF(AD343="","","|n"&amp;#REF!&amp;"+"&amp;AD343)</f>
        <v/>
      </c>
      <c r="DK343" s="44" t="str">
        <f>IF(AE343="","","|n"&amp;#REF!&amp;"+"&amp;AE343)</f>
        <v/>
      </c>
      <c r="DL343" s="44" t="str">
        <f>IF(AF343="","","|n"&amp;#REF!&amp;"+"&amp;AF343)</f>
        <v/>
      </c>
      <c r="DM343" s="44" t="str">
        <f>IF(AG343="","","|n"&amp;#REF!&amp;"+"&amp;AG343&amp;"%")</f>
        <v/>
      </c>
      <c r="DN343" s="44" t="str">
        <f>IF(AH343="","","|n"&amp;#REF!&amp;"+"&amp;AH343)</f>
        <v/>
      </c>
      <c r="DO343" s="44" t="str">
        <f>IF(AI343="","","|n"&amp;#REF!&amp;"+"&amp;AI343)</f>
        <v/>
      </c>
      <c r="DP343" s="44" t="str">
        <f>IF(AJ343="","","|n"&amp;#REF!&amp;"+"&amp;AJ343)</f>
        <v/>
      </c>
    </row>
    <row r="344" spans="92:120">
      <c r="CN344" s="13" t="str">
        <f t="shared" si="3776"/>
        <v>InitUnitState('',,,,,,,,,,)</v>
      </c>
      <c r="CO344" s="13" t="str">
        <f t="shared" si="3777"/>
        <v>InitUnitNormal('',,,,,,,,,,)</v>
      </c>
      <c r="CP344" s="13" t="str">
        <f t="shared" si="3778"/>
        <v>InitUnitMagic('',,,,,,,,,,)</v>
      </c>
      <c r="CQ344" s="13" t="str">
        <f t="shared" si="3779"/>
        <v>InitUnitAdd('',,,,,,,,,,)</v>
      </c>
      <c r="CR344" s="13" t="str">
        <f t="shared" si="3780"/>
        <v>InitEquipData('',,"",,,,,'','','','','','',"")</v>
      </c>
      <c r="CU344" s="6" t="str">
        <f t="shared" si="3775"/>
        <v>|n</v>
      </c>
      <c r="DB344" s="44" t="str">
        <f>IF(V344="","","|n"&amp;#REF!&amp;"+"&amp;V344)</f>
        <v/>
      </c>
      <c r="DC344" s="44" t="str">
        <f>IF(W344="","","|n"&amp;#REF!&amp;"+"&amp;W344)</f>
        <v/>
      </c>
      <c r="DD344" s="44" t="str">
        <f>IF(X344="","","|n"&amp;#REF!&amp;"+"&amp;X344)</f>
        <v/>
      </c>
      <c r="DE344" s="44" t="str">
        <f>IF(Y344="","","|n"&amp;#REF!&amp;"+"&amp;Y344)</f>
        <v/>
      </c>
      <c r="DF344" s="44" t="str">
        <f>IF(Z344="","","|n"&amp;#REF!&amp;"+"&amp;Z344)</f>
        <v/>
      </c>
      <c r="DG344" s="44" t="str">
        <f>IF(AA344="","","|n"&amp;#REF!&amp;"+"&amp;AA344)</f>
        <v/>
      </c>
      <c r="DH344" s="44" t="str">
        <f>IF(AB344="","","|n"&amp;#REF!&amp;"+"&amp;AB344)</f>
        <v/>
      </c>
      <c r="DI344" s="44" t="str">
        <f>IF(AC344="","","|n"&amp;#REF!&amp;"+"&amp;AC344&amp;"%")</f>
        <v/>
      </c>
      <c r="DJ344" s="44" t="str">
        <f>IF(AD344="","","|n"&amp;#REF!&amp;"+"&amp;AD344)</f>
        <v/>
      </c>
      <c r="DK344" s="44" t="str">
        <f>IF(AE344="","","|n"&amp;#REF!&amp;"+"&amp;AE344)</f>
        <v/>
      </c>
      <c r="DL344" s="44" t="str">
        <f>IF(AF344="","","|n"&amp;#REF!&amp;"+"&amp;AF344)</f>
        <v/>
      </c>
      <c r="DM344" s="44" t="str">
        <f>IF(AG344="","","|n"&amp;#REF!&amp;"+"&amp;AG344&amp;"%")</f>
        <v/>
      </c>
      <c r="DN344" s="44" t="str">
        <f>IF(AH344="","","|n"&amp;#REF!&amp;"+"&amp;AH344)</f>
        <v/>
      </c>
      <c r="DO344" s="44" t="str">
        <f>IF(AI344="","","|n"&amp;#REF!&amp;"+"&amp;AI344)</f>
        <v/>
      </c>
      <c r="DP344" s="44" t="str">
        <f>IF(AJ344="","","|n"&amp;#REF!&amp;"+"&amp;AJ344)</f>
        <v/>
      </c>
    </row>
    <row r="345" spans="92:120">
      <c r="CN345" s="13" t="str">
        <f t="shared" si="3776"/>
        <v>InitUnitState('',,,,,,,,,,)</v>
      </c>
      <c r="CO345" s="13" t="str">
        <f t="shared" si="3777"/>
        <v>InitUnitNormal('',,,,,,,,,,)</v>
      </c>
      <c r="CP345" s="13" t="str">
        <f t="shared" si="3778"/>
        <v>InitUnitMagic('',,,,,,,,,,)</v>
      </c>
      <c r="CQ345" s="13" t="str">
        <f t="shared" si="3779"/>
        <v>InitUnitAdd('',,,,,,,,,,)</v>
      </c>
      <c r="CR345" s="13" t="str">
        <f t="shared" si="3780"/>
        <v>InitEquipData('',,"",,,,,'','','','','','',"")</v>
      </c>
      <c r="CU345" s="6" t="str">
        <f t="shared" si="3775"/>
        <v>|n</v>
      </c>
      <c r="DB345" s="44" t="str">
        <f>IF(V345="","","|n"&amp;#REF!&amp;"+"&amp;V345)</f>
        <v/>
      </c>
      <c r="DC345" s="44" t="str">
        <f>IF(W345="","","|n"&amp;#REF!&amp;"+"&amp;W345)</f>
        <v/>
      </c>
      <c r="DD345" s="44" t="str">
        <f>IF(X345="","","|n"&amp;#REF!&amp;"+"&amp;X345)</f>
        <v/>
      </c>
      <c r="DE345" s="44" t="str">
        <f>IF(Y345="","","|n"&amp;#REF!&amp;"+"&amp;Y345)</f>
        <v/>
      </c>
      <c r="DF345" s="44" t="str">
        <f>IF(Z345="","","|n"&amp;#REF!&amp;"+"&amp;Z345)</f>
        <v/>
      </c>
      <c r="DG345" s="44" t="str">
        <f>IF(AA345="","","|n"&amp;#REF!&amp;"+"&amp;AA345)</f>
        <v/>
      </c>
      <c r="DH345" s="44" t="str">
        <f>IF(AB345="","","|n"&amp;#REF!&amp;"+"&amp;AB345)</f>
        <v/>
      </c>
      <c r="DI345" s="44" t="str">
        <f>IF(AC345="","","|n"&amp;#REF!&amp;"+"&amp;AC345&amp;"%")</f>
        <v/>
      </c>
      <c r="DJ345" s="44" t="str">
        <f>IF(AD345="","","|n"&amp;#REF!&amp;"+"&amp;AD345)</f>
        <v/>
      </c>
      <c r="DK345" s="44" t="str">
        <f>IF(AE345="","","|n"&amp;#REF!&amp;"+"&amp;AE345)</f>
        <v/>
      </c>
      <c r="DL345" s="44" t="str">
        <f>IF(AF345="","","|n"&amp;#REF!&amp;"+"&amp;AF345)</f>
        <v/>
      </c>
      <c r="DM345" s="44" t="str">
        <f>IF(AG345="","","|n"&amp;#REF!&amp;"+"&amp;AG345&amp;"%")</f>
        <v/>
      </c>
      <c r="DN345" s="44" t="str">
        <f>IF(AH345="","","|n"&amp;#REF!&amp;"+"&amp;AH345)</f>
        <v/>
      </c>
      <c r="DO345" s="44" t="str">
        <f>IF(AI345="","","|n"&amp;#REF!&amp;"+"&amp;AI345)</f>
        <v/>
      </c>
      <c r="DP345" s="44" t="str">
        <f>IF(AJ345="","","|n"&amp;#REF!&amp;"+"&amp;AJ345)</f>
        <v/>
      </c>
    </row>
    <row r="346" spans="92:120">
      <c r="CN346" s="13" t="str">
        <f t="shared" si="3776"/>
        <v>InitUnitState('',,,,,,,,,,)</v>
      </c>
      <c r="CO346" s="13" t="str">
        <f t="shared" si="3777"/>
        <v>InitUnitNormal('',,,,,,,,,,)</v>
      </c>
      <c r="CP346" s="13" t="str">
        <f t="shared" si="3778"/>
        <v>InitUnitMagic('',,,,,,,,,,)</v>
      </c>
      <c r="CQ346" s="13" t="str">
        <f t="shared" si="3779"/>
        <v>InitUnitAdd('',,,,,,,,,,)</v>
      </c>
      <c r="CR346" s="13" t="str">
        <f t="shared" si="3780"/>
        <v>InitEquipData('',,"",,,,,'','','','','','',"")</v>
      </c>
      <c r="CU346" s="6" t="str">
        <f t="shared" si="3775"/>
        <v>|n</v>
      </c>
      <c r="DB346" s="44" t="str">
        <f>IF(V346="","","|n"&amp;#REF!&amp;"+"&amp;V346)</f>
        <v/>
      </c>
      <c r="DC346" s="44" t="str">
        <f>IF(W346="","","|n"&amp;#REF!&amp;"+"&amp;W346)</f>
        <v/>
      </c>
      <c r="DD346" s="44" t="str">
        <f>IF(X346="","","|n"&amp;#REF!&amp;"+"&amp;X346)</f>
        <v/>
      </c>
      <c r="DE346" s="44" t="str">
        <f>IF(Y346="","","|n"&amp;#REF!&amp;"+"&amp;Y346)</f>
        <v/>
      </c>
      <c r="DF346" s="44" t="str">
        <f>IF(Z346="","","|n"&amp;#REF!&amp;"+"&amp;Z346)</f>
        <v/>
      </c>
      <c r="DG346" s="44" t="str">
        <f>IF(AA346="","","|n"&amp;#REF!&amp;"+"&amp;AA346)</f>
        <v/>
      </c>
      <c r="DH346" s="44" t="str">
        <f>IF(AB346="","","|n"&amp;#REF!&amp;"+"&amp;AB346)</f>
        <v/>
      </c>
      <c r="DI346" s="44" t="str">
        <f>IF(AC346="","","|n"&amp;#REF!&amp;"+"&amp;AC346&amp;"%")</f>
        <v/>
      </c>
      <c r="DJ346" s="44" t="str">
        <f>IF(AD346="","","|n"&amp;#REF!&amp;"+"&amp;AD346)</f>
        <v/>
      </c>
      <c r="DK346" s="44" t="str">
        <f>IF(AE346="","","|n"&amp;#REF!&amp;"+"&amp;AE346)</f>
        <v/>
      </c>
      <c r="DL346" s="44" t="str">
        <f>IF(AF346="","","|n"&amp;#REF!&amp;"+"&amp;AF346)</f>
        <v/>
      </c>
      <c r="DM346" s="44" t="str">
        <f>IF(AG346="","","|n"&amp;#REF!&amp;"+"&amp;AG346&amp;"%")</f>
        <v/>
      </c>
      <c r="DN346" s="44" t="str">
        <f>IF(AH346="","","|n"&amp;#REF!&amp;"+"&amp;AH346)</f>
        <v/>
      </c>
      <c r="DO346" s="44" t="str">
        <f>IF(AI346="","","|n"&amp;#REF!&amp;"+"&amp;AI346)</f>
        <v/>
      </c>
      <c r="DP346" s="44" t="str">
        <f>IF(AJ346="","","|n"&amp;#REF!&amp;"+"&amp;AJ346)</f>
        <v/>
      </c>
    </row>
    <row r="347" spans="92:120">
      <c r="CN347" s="13" t="str">
        <f t="shared" si="3776"/>
        <v>InitUnitState('',,,,,,,,,,)</v>
      </c>
      <c r="CO347" s="13" t="str">
        <f t="shared" si="3777"/>
        <v>InitUnitNormal('',,,,,,,,,,)</v>
      </c>
      <c r="CP347" s="13" t="str">
        <f t="shared" si="3778"/>
        <v>InitUnitMagic('',,,,,,,,,,)</v>
      </c>
      <c r="CQ347" s="13" t="str">
        <f t="shared" si="3779"/>
        <v>InitUnitAdd('',,,,,,,,,,)</v>
      </c>
      <c r="CR347" s="13" t="str">
        <f t="shared" si="3780"/>
        <v>InitEquipData('',,"",,,,,'','','','','','',"")</v>
      </c>
      <c r="CU347" s="6" t="str">
        <f t="shared" si="3775"/>
        <v>|n</v>
      </c>
      <c r="DB347" s="44" t="str">
        <f>IF(V347="","","|n"&amp;#REF!&amp;"+"&amp;V347)</f>
        <v/>
      </c>
      <c r="DC347" s="44" t="str">
        <f>IF(W347="","","|n"&amp;#REF!&amp;"+"&amp;W347)</f>
        <v/>
      </c>
      <c r="DD347" s="44" t="str">
        <f>IF(X347="","","|n"&amp;#REF!&amp;"+"&amp;X347)</f>
        <v/>
      </c>
      <c r="DE347" s="44" t="str">
        <f>IF(Y347="","","|n"&amp;#REF!&amp;"+"&amp;Y347)</f>
        <v/>
      </c>
      <c r="DF347" s="44" t="str">
        <f>IF(Z347="","","|n"&amp;#REF!&amp;"+"&amp;Z347)</f>
        <v/>
      </c>
      <c r="DG347" s="44" t="str">
        <f>IF(AA347="","","|n"&amp;#REF!&amp;"+"&amp;AA347)</f>
        <v/>
      </c>
      <c r="DH347" s="44" t="str">
        <f>IF(AB347="","","|n"&amp;#REF!&amp;"+"&amp;AB347)</f>
        <v/>
      </c>
      <c r="DI347" s="44" t="str">
        <f>IF(AC347="","","|n"&amp;#REF!&amp;"+"&amp;AC347&amp;"%")</f>
        <v/>
      </c>
      <c r="DJ347" s="44" t="str">
        <f>IF(AD347="","","|n"&amp;#REF!&amp;"+"&amp;AD347)</f>
        <v/>
      </c>
      <c r="DK347" s="44" t="str">
        <f>IF(AE347="","","|n"&amp;#REF!&amp;"+"&amp;AE347)</f>
        <v/>
      </c>
      <c r="DL347" s="44" t="str">
        <f>IF(AF347="","","|n"&amp;#REF!&amp;"+"&amp;AF347)</f>
        <v/>
      </c>
      <c r="DM347" s="44" t="str">
        <f>IF(AG347="","","|n"&amp;#REF!&amp;"+"&amp;AG347&amp;"%")</f>
        <v/>
      </c>
      <c r="DN347" s="44" t="str">
        <f>IF(AH347="","","|n"&amp;#REF!&amp;"+"&amp;AH347)</f>
        <v/>
      </c>
      <c r="DO347" s="44" t="str">
        <f>IF(AI347="","","|n"&amp;#REF!&amp;"+"&amp;AI347)</f>
        <v/>
      </c>
      <c r="DP347" s="44" t="str">
        <f>IF(AJ347="","","|n"&amp;#REF!&amp;"+"&amp;AJ347)</f>
        <v/>
      </c>
    </row>
    <row r="348" spans="92:120">
      <c r="CN348" s="13" t="str">
        <f t="shared" si="3776"/>
        <v>InitUnitState('',,,,,,,,,,)</v>
      </c>
      <c r="CO348" s="13" t="str">
        <f t="shared" si="3777"/>
        <v>InitUnitNormal('',,,,,,,,,,)</v>
      </c>
      <c r="CP348" s="13" t="str">
        <f t="shared" si="3778"/>
        <v>InitUnitMagic('',,,,,,,,,,)</v>
      </c>
      <c r="CQ348" s="13" t="str">
        <f t="shared" si="3779"/>
        <v>InitUnitAdd('',,,,,,,,,,)</v>
      </c>
      <c r="CR348" s="13" t="str">
        <f t="shared" si="3780"/>
        <v>InitEquipData('',,"",,,,,'','','','','','',"")</v>
      </c>
      <c r="CU348" s="6" t="str">
        <f t="shared" si="3775"/>
        <v>|n</v>
      </c>
      <c r="DB348" s="44" t="str">
        <f>IF(V348="","","|n"&amp;#REF!&amp;"+"&amp;V348)</f>
        <v/>
      </c>
      <c r="DC348" s="44" t="str">
        <f>IF(W348="","","|n"&amp;#REF!&amp;"+"&amp;W348)</f>
        <v/>
      </c>
      <c r="DD348" s="44" t="str">
        <f>IF(X348="","","|n"&amp;#REF!&amp;"+"&amp;X348)</f>
        <v/>
      </c>
      <c r="DE348" s="44" t="str">
        <f>IF(Y348="","","|n"&amp;#REF!&amp;"+"&amp;Y348)</f>
        <v/>
      </c>
      <c r="DF348" s="44" t="str">
        <f>IF(Z348="","","|n"&amp;#REF!&amp;"+"&amp;Z348)</f>
        <v/>
      </c>
      <c r="DG348" s="44" t="str">
        <f>IF(AA348="","","|n"&amp;#REF!&amp;"+"&amp;AA348)</f>
        <v/>
      </c>
      <c r="DH348" s="44" t="str">
        <f>IF(AB348="","","|n"&amp;#REF!&amp;"+"&amp;AB348)</f>
        <v/>
      </c>
      <c r="DI348" s="44" t="str">
        <f>IF(AC348="","","|n"&amp;#REF!&amp;"+"&amp;AC348&amp;"%")</f>
        <v/>
      </c>
      <c r="DJ348" s="44" t="str">
        <f>IF(AD348="","","|n"&amp;#REF!&amp;"+"&amp;AD348)</f>
        <v/>
      </c>
      <c r="DK348" s="44" t="str">
        <f>IF(AE348="","","|n"&amp;#REF!&amp;"+"&amp;AE348)</f>
        <v/>
      </c>
      <c r="DL348" s="44" t="str">
        <f>IF(AF348="","","|n"&amp;#REF!&amp;"+"&amp;AF348)</f>
        <v/>
      </c>
      <c r="DM348" s="44" t="str">
        <f>IF(AG348="","","|n"&amp;#REF!&amp;"+"&amp;AG348&amp;"%")</f>
        <v/>
      </c>
      <c r="DN348" s="44" t="str">
        <f>IF(AH348="","","|n"&amp;#REF!&amp;"+"&amp;AH348)</f>
        <v/>
      </c>
      <c r="DO348" s="44" t="str">
        <f>IF(AI348="","","|n"&amp;#REF!&amp;"+"&amp;AI348)</f>
        <v/>
      </c>
      <c r="DP348" s="44" t="str">
        <f>IF(AJ348="","","|n"&amp;#REF!&amp;"+"&amp;AJ348)</f>
        <v/>
      </c>
    </row>
    <row r="349" spans="92:120">
      <c r="CN349" s="13" t="str">
        <f t="shared" si="3776"/>
        <v>InitUnitState('',,,,,,,,,,)</v>
      </c>
      <c r="CO349" s="13" t="str">
        <f t="shared" si="3777"/>
        <v>InitUnitNormal('',,,,,,,,,,)</v>
      </c>
      <c r="CP349" s="13" t="str">
        <f t="shared" si="3778"/>
        <v>InitUnitMagic('',,,,,,,,,,)</v>
      </c>
      <c r="CQ349" s="13" t="str">
        <f t="shared" si="3779"/>
        <v>InitUnitAdd('',,,,,,,,,,)</v>
      </c>
      <c r="CR349" s="13" t="str">
        <f t="shared" si="3780"/>
        <v>InitEquipData('',,"",,,,,'','','','','','',"")</v>
      </c>
      <c r="CU349" s="6" t="str">
        <f t="shared" si="3775"/>
        <v>|n</v>
      </c>
      <c r="DB349" s="44" t="str">
        <f>IF(V349="","","|n"&amp;#REF!&amp;"+"&amp;V349)</f>
        <v/>
      </c>
      <c r="DC349" s="44" t="str">
        <f>IF(W349="","","|n"&amp;#REF!&amp;"+"&amp;W349)</f>
        <v/>
      </c>
      <c r="DD349" s="44" t="str">
        <f>IF(X349="","","|n"&amp;#REF!&amp;"+"&amp;X349)</f>
        <v/>
      </c>
      <c r="DE349" s="44" t="str">
        <f>IF(Y349="","","|n"&amp;#REF!&amp;"+"&amp;Y349)</f>
        <v/>
      </c>
      <c r="DF349" s="44" t="str">
        <f>IF(Z349="","","|n"&amp;#REF!&amp;"+"&amp;Z349)</f>
        <v/>
      </c>
      <c r="DG349" s="44" t="str">
        <f>IF(AA349="","","|n"&amp;#REF!&amp;"+"&amp;AA349)</f>
        <v/>
      </c>
      <c r="DH349" s="44" t="str">
        <f>IF(AB349="","","|n"&amp;#REF!&amp;"+"&amp;AB349)</f>
        <v/>
      </c>
      <c r="DI349" s="44" t="str">
        <f>IF(AC349="","","|n"&amp;#REF!&amp;"+"&amp;AC349&amp;"%")</f>
        <v/>
      </c>
      <c r="DJ349" s="44" t="str">
        <f>IF(AD349="","","|n"&amp;#REF!&amp;"+"&amp;AD349)</f>
        <v/>
      </c>
      <c r="DK349" s="44" t="str">
        <f>IF(AE349="","","|n"&amp;#REF!&amp;"+"&amp;AE349)</f>
        <v/>
      </c>
      <c r="DL349" s="44" t="str">
        <f>IF(AF349="","","|n"&amp;#REF!&amp;"+"&amp;AF349)</f>
        <v/>
      </c>
      <c r="DM349" s="44" t="str">
        <f>IF(AG349="","","|n"&amp;#REF!&amp;"+"&amp;AG349&amp;"%")</f>
        <v/>
      </c>
      <c r="DN349" s="44" t="str">
        <f>IF(AH349="","","|n"&amp;#REF!&amp;"+"&amp;AH349)</f>
        <v/>
      </c>
      <c r="DO349" s="44" t="str">
        <f>IF(AI349="","","|n"&amp;#REF!&amp;"+"&amp;AI349)</f>
        <v/>
      </c>
      <c r="DP349" s="44" t="str">
        <f>IF(AJ349="","","|n"&amp;#REF!&amp;"+"&amp;AJ349)</f>
        <v/>
      </c>
    </row>
    <row r="350" spans="92:120">
      <c r="CN350" s="13" t="str">
        <f t="shared" si="3776"/>
        <v>InitUnitState('',,,,,,,,,,)</v>
      </c>
      <c r="CO350" s="13" t="str">
        <f t="shared" si="3777"/>
        <v>InitUnitNormal('',,,,,,,,,,)</v>
      </c>
      <c r="CP350" s="13" t="str">
        <f t="shared" si="3778"/>
        <v>InitUnitMagic('',,,,,,,,,,)</v>
      </c>
      <c r="CQ350" s="13" t="str">
        <f t="shared" si="3779"/>
        <v>InitUnitAdd('',,,,,,,,,,)</v>
      </c>
      <c r="CR350" s="13" t="str">
        <f t="shared" si="3780"/>
        <v>InitEquipData('',,"",,,,,'','','','','','',"")</v>
      </c>
      <c r="CU350" s="6" t="str">
        <f t="shared" si="3775"/>
        <v>|n</v>
      </c>
      <c r="DB350" s="44" t="str">
        <f>IF(V350="","","|n"&amp;#REF!&amp;"+"&amp;V350)</f>
        <v/>
      </c>
      <c r="DC350" s="44" t="str">
        <f>IF(W350="","","|n"&amp;#REF!&amp;"+"&amp;W350)</f>
        <v/>
      </c>
      <c r="DD350" s="44" t="str">
        <f>IF(X350="","","|n"&amp;#REF!&amp;"+"&amp;X350)</f>
        <v/>
      </c>
      <c r="DE350" s="44" t="str">
        <f>IF(Y350="","","|n"&amp;#REF!&amp;"+"&amp;Y350)</f>
        <v/>
      </c>
      <c r="DF350" s="44" t="str">
        <f>IF(Z350="","","|n"&amp;#REF!&amp;"+"&amp;Z350)</f>
        <v/>
      </c>
      <c r="DG350" s="44" t="str">
        <f>IF(AA350="","","|n"&amp;#REF!&amp;"+"&amp;AA350)</f>
        <v/>
      </c>
      <c r="DH350" s="44" t="str">
        <f>IF(AB350="","","|n"&amp;#REF!&amp;"+"&amp;AB350)</f>
        <v/>
      </c>
      <c r="DI350" s="44" t="str">
        <f>IF(AC350="","","|n"&amp;#REF!&amp;"+"&amp;AC350&amp;"%")</f>
        <v/>
      </c>
      <c r="DJ350" s="44" t="str">
        <f>IF(AD350="","","|n"&amp;#REF!&amp;"+"&amp;AD350)</f>
        <v/>
      </c>
      <c r="DK350" s="44" t="str">
        <f>IF(AE350="","","|n"&amp;#REF!&amp;"+"&amp;AE350)</f>
        <v/>
      </c>
      <c r="DL350" s="44" t="str">
        <f>IF(AF350="","","|n"&amp;#REF!&amp;"+"&amp;AF350)</f>
        <v/>
      </c>
      <c r="DM350" s="44" t="str">
        <f>IF(AG350="","","|n"&amp;#REF!&amp;"+"&amp;AG350&amp;"%")</f>
        <v/>
      </c>
      <c r="DN350" s="44" t="str">
        <f>IF(AH350="","","|n"&amp;#REF!&amp;"+"&amp;AH350)</f>
        <v/>
      </c>
      <c r="DO350" s="44" t="str">
        <f>IF(AI350="","","|n"&amp;#REF!&amp;"+"&amp;AI350)</f>
        <v/>
      </c>
      <c r="DP350" s="44" t="str">
        <f>IF(AJ350="","","|n"&amp;#REF!&amp;"+"&amp;AJ350)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31" customWidth="1"/>
    <col min="2" max="2" width="9" style="31"/>
    <col min="3" max="14" width="9" style="31" hidden="1" customWidth="1"/>
    <col min="15" max="15" width="41" style="31" customWidth="1"/>
    <col min="16" max="16" width="102.87962962963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16">
      <c r="A1" s="32" t="s">
        <v>786</v>
      </c>
      <c r="B1" s="33" t="s">
        <v>99</v>
      </c>
      <c r="C1" s="34" t="s">
        <v>106</v>
      </c>
      <c r="D1" s="34" t="s">
        <v>107</v>
      </c>
      <c r="E1" s="34" t="s">
        <v>108</v>
      </c>
      <c r="F1" s="34" t="s">
        <v>109</v>
      </c>
      <c r="G1" s="34" t="s">
        <v>110</v>
      </c>
      <c r="H1" s="34" t="s">
        <v>111</v>
      </c>
      <c r="I1" s="34" t="s">
        <v>106</v>
      </c>
      <c r="J1" s="34" t="s">
        <v>107</v>
      </c>
      <c r="K1" s="34" t="s">
        <v>108</v>
      </c>
      <c r="L1" s="34" t="s">
        <v>109</v>
      </c>
      <c r="M1" s="34" t="s">
        <v>110</v>
      </c>
      <c r="N1" s="34" t="s">
        <v>111</v>
      </c>
      <c r="O1" s="35" t="s">
        <v>787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物品!A178</f>
        <v>0</v>
      </c>
      <c r="B173" s="32" t="str">
        <f>"'"&amp;物品!B178&amp;"'"</f>
        <v>'IP01'</v>
      </c>
      <c r="C173" s="32">
        <f>物品!J178</f>
        <v>0</v>
      </c>
      <c r="D173" s="32">
        <f>物品!K178</f>
        <v>0</v>
      </c>
      <c r="E173" s="32">
        <f>物品!L178</f>
        <v>0</v>
      </c>
      <c r="F173" s="32">
        <f>物品!M178</f>
        <v>0</v>
      </c>
      <c r="G173" s="32">
        <f>物品!N178</f>
        <v>0</v>
      </c>
      <c r="H173" s="32">
        <f>物品!O178</f>
        <v>0</v>
      </c>
      <c r="I173" s="32">
        <f>IF(物品!J178=0,0,"'"&amp;物品!J178&amp;"'")</f>
        <v>0</v>
      </c>
      <c r="J173" s="32">
        <f>IF(物品!K178=0,0,"'"&amp;物品!K178&amp;"'")</f>
        <v>0</v>
      </c>
      <c r="K173" s="32">
        <f>IF(物品!L178=0,0,"'"&amp;物品!L178&amp;"'")</f>
        <v>0</v>
      </c>
      <c r="L173" s="32">
        <f>IF(物品!M178=0,0,"'"&amp;物品!M178&amp;"'")</f>
        <v>0</v>
      </c>
      <c r="M173" s="32">
        <f>IF(物品!N178=0,0,"'"&amp;物品!N178&amp;"'")</f>
        <v>0</v>
      </c>
      <c r="N173" s="32">
        <f>IF(物品!O178=0,0,"'"&amp;物品!O178&amp;"'")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物品!A179</f>
        <v>0</v>
      </c>
      <c r="B174" s="32" t="str">
        <f>"'"&amp;物品!B179&amp;"'"</f>
        <v>'IP02'</v>
      </c>
      <c r="C174" s="32">
        <f>物品!J179</f>
        <v>0</v>
      </c>
      <c r="D174" s="32">
        <f>物品!K179</f>
        <v>0</v>
      </c>
      <c r="E174" s="32">
        <f>物品!L179</f>
        <v>0</v>
      </c>
      <c r="F174" s="32">
        <f>物品!M179</f>
        <v>0</v>
      </c>
      <c r="G174" s="32">
        <f>物品!N179</f>
        <v>0</v>
      </c>
      <c r="H174" s="32">
        <f>物品!O179</f>
        <v>0</v>
      </c>
      <c r="I174" s="32">
        <f>IF(物品!J179=0,0,"'"&amp;物品!J179&amp;"'")</f>
        <v>0</v>
      </c>
      <c r="J174" s="32">
        <f>IF(物品!K179=0,0,"'"&amp;物品!K179&amp;"'")</f>
        <v>0</v>
      </c>
      <c r="K174" s="32">
        <f>IF(物品!L179=0,0,"'"&amp;物品!L179&amp;"'")</f>
        <v>0</v>
      </c>
      <c r="L174" s="32">
        <f>IF(物品!M179=0,0,"'"&amp;物品!M179&amp;"'")</f>
        <v>0</v>
      </c>
      <c r="M174" s="32">
        <f>IF(物品!N179=0,0,"'"&amp;物品!N179&amp;"'")</f>
        <v>0</v>
      </c>
      <c r="N174" s="32">
        <f>IF(物品!O179=0,0,"'"&amp;物品!O179&amp;"'")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物品!A180</f>
        <v>0</v>
      </c>
      <c r="B175" s="32" t="str">
        <f>"'"&amp;物品!B180&amp;"'"</f>
        <v>'IP03'</v>
      </c>
      <c r="C175" s="32">
        <f>物品!J180</f>
        <v>0</v>
      </c>
      <c r="D175" s="32">
        <f>物品!K180</f>
        <v>0</v>
      </c>
      <c r="E175" s="32">
        <f>物品!L180</f>
        <v>0</v>
      </c>
      <c r="F175" s="32">
        <f>物品!M180</f>
        <v>0</v>
      </c>
      <c r="G175" s="32">
        <f>物品!N180</f>
        <v>0</v>
      </c>
      <c r="H175" s="32">
        <f>物品!O180</f>
        <v>0</v>
      </c>
      <c r="I175" s="32">
        <f>IF(物品!J180=0,0,"'"&amp;物品!J180&amp;"'")</f>
        <v>0</v>
      </c>
      <c r="J175" s="32">
        <f>IF(物品!K180=0,0,"'"&amp;物品!K180&amp;"'")</f>
        <v>0</v>
      </c>
      <c r="K175" s="32">
        <f>IF(物品!L180=0,0,"'"&amp;物品!L180&amp;"'")</f>
        <v>0</v>
      </c>
      <c r="L175" s="32">
        <f>IF(物品!M180=0,0,"'"&amp;物品!M180&amp;"'")</f>
        <v>0</v>
      </c>
      <c r="M175" s="32">
        <f>IF(物品!N180=0,0,"'"&amp;物品!N180&amp;"'")</f>
        <v>0</v>
      </c>
      <c r="N175" s="32">
        <f>IF(物品!O180=0,0,"'"&amp;物品!O180&amp;"'")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物品!A187</f>
        <v>0</v>
      </c>
      <c r="B176" s="32" t="str">
        <f>"'"&amp;物品!B187&amp;"'"</f>
        <v>'IT01'</v>
      </c>
      <c r="C176" s="32">
        <f>物品!J187</f>
        <v>0</v>
      </c>
      <c r="D176" s="32">
        <f>物品!K187</f>
        <v>0</v>
      </c>
      <c r="E176" s="32">
        <f>物品!L187</f>
        <v>0</v>
      </c>
      <c r="F176" s="32">
        <f>物品!M187</f>
        <v>0</v>
      </c>
      <c r="G176" s="32">
        <f>物品!N187</f>
        <v>0</v>
      </c>
      <c r="H176" s="32">
        <f>物品!O187</f>
        <v>0</v>
      </c>
      <c r="I176" s="32">
        <f>IF(物品!J187=0,0,"'"&amp;物品!J187&amp;"'")</f>
        <v>0</v>
      </c>
      <c r="J176" s="32">
        <f>IF(物品!K187=0,0,"'"&amp;物品!K187&amp;"'")</f>
        <v>0</v>
      </c>
      <c r="K176" s="32">
        <f>IF(物品!L187=0,0,"'"&amp;物品!L187&amp;"'")</f>
        <v>0</v>
      </c>
      <c r="L176" s="32">
        <f>IF(物品!M187=0,0,"'"&amp;物品!M187&amp;"'")</f>
        <v>0</v>
      </c>
      <c r="M176" s="32">
        <f>IF(物品!N187=0,0,"'"&amp;物品!N187&amp;"'")</f>
        <v>0</v>
      </c>
      <c r="N176" s="32">
        <f>IF(物品!O187=0,0,"'"&amp;物品!O187&amp;"'")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物品!A188</f>
        <v>0</v>
      </c>
      <c r="B177" s="32" t="str">
        <f>"'"&amp;物品!B188&amp;"'"</f>
        <v>'IT02'</v>
      </c>
      <c r="C177" s="32">
        <f>物品!J188</f>
        <v>0</v>
      </c>
      <c r="D177" s="32">
        <f>物品!K188</f>
        <v>0</v>
      </c>
      <c r="E177" s="32">
        <f>物品!L188</f>
        <v>0</v>
      </c>
      <c r="F177" s="32">
        <f>物品!M188</f>
        <v>0</v>
      </c>
      <c r="G177" s="32">
        <f>物品!N188</f>
        <v>0</v>
      </c>
      <c r="H177" s="32">
        <f>物品!O188</f>
        <v>0</v>
      </c>
      <c r="I177" s="32">
        <f>IF(物品!J188=0,0,"'"&amp;物品!J188&amp;"'")</f>
        <v>0</v>
      </c>
      <c r="J177" s="32">
        <f>IF(物品!K188=0,0,"'"&amp;物品!K188&amp;"'")</f>
        <v>0</v>
      </c>
      <c r="K177" s="32">
        <f>IF(物品!L188=0,0,"'"&amp;物品!L188&amp;"'")</f>
        <v>0</v>
      </c>
      <c r="L177" s="32">
        <f>IF(物品!M188=0,0,"'"&amp;物品!M188&amp;"'")</f>
        <v>0</v>
      </c>
      <c r="M177" s="32">
        <f>IF(物品!N188=0,0,"'"&amp;物品!N188&amp;"'")</f>
        <v>0</v>
      </c>
      <c r="N177" s="32">
        <f>IF(物品!O188=0,0,"'"&amp;物品!O188&amp;"'")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物品!A189</f>
        <v>0</v>
      </c>
      <c r="B178" s="32" t="str">
        <f>"'"&amp;物品!B189&amp;"'"</f>
        <v>'IT03'</v>
      </c>
      <c r="C178" s="32">
        <f>物品!J189</f>
        <v>0</v>
      </c>
      <c r="D178" s="32">
        <f>物品!K189</f>
        <v>0</v>
      </c>
      <c r="E178" s="32">
        <f>物品!L189</f>
        <v>0</v>
      </c>
      <c r="F178" s="32">
        <f>物品!M189</f>
        <v>0</v>
      </c>
      <c r="G178" s="32">
        <f>物品!N189</f>
        <v>0</v>
      </c>
      <c r="H178" s="32">
        <f>物品!O189</f>
        <v>0</v>
      </c>
      <c r="I178" s="32">
        <f>IF(物品!J189=0,0,"'"&amp;物品!J189&amp;"'")</f>
        <v>0</v>
      </c>
      <c r="J178" s="32">
        <f>IF(物品!K189=0,0,"'"&amp;物品!K189&amp;"'")</f>
        <v>0</v>
      </c>
      <c r="K178" s="32">
        <f>IF(物品!L189=0,0,"'"&amp;物品!L189&amp;"'")</f>
        <v>0</v>
      </c>
      <c r="L178" s="32">
        <f>IF(物品!M189=0,0,"'"&amp;物品!M189&amp;"'")</f>
        <v>0</v>
      </c>
      <c r="M178" s="32">
        <f>IF(物品!N189=0,0,"'"&amp;物品!N189&amp;"'")</f>
        <v>0</v>
      </c>
      <c r="N178" s="32">
        <f>IF(物品!O189=0,0,"'"&amp;物品!O189&amp;"'")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物品!A190</f>
        <v>0</v>
      </c>
      <c r="B179" s="32" t="str">
        <f>"'"&amp;物品!B190&amp;"'"</f>
        <v>'IT04'</v>
      </c>
      <c r="C179" s="32">
        <f>物品!J190</f>
        <v>0</v>
      </c>
      <c r="D179" s="32">
        <f>物品!K190</f>
        <v>0</v>
      </c>
      <c r="E179" s="32">
        <f>物品!L190</f>
        <v>0</v>
      </c>
      <c r="F179" s="32">
        <f>物品!M190</f>
        <v>0</v>
      </c>
      <c r="G179" s="32">
        <f>物品!N190</f>
        <v>0</v>
      </c>
      <c r="H179" s="32">
        <f>物品!O190</f>
        <v>0</v>
      </c>
      <c r="I179" s="32">
        <f>IF(物品!J190=0,0,"'"&amp;物品!J190&amp;"'")</f>
        <v>0</v>
      </c>
      <c r="J179" s="32">
        <f>IF(物品!K190=0,0,"'"&amp;物品!K190&amp;"'")</f>
        <v>0</v>
      </c>
      <c r="K179" s="32">
        <f>IF(物品!L190=0,0,"'"&amp;物品!L190&amp;"'")</f>
        <v>0</v>
      </c>
      <c r="L179" s="32">
        <f>IF(物品!M190=0,0,"'"&amp;物品!M190&amp;"'")</f>
        <v>0</v>
      </c>
      <c r="M179" s="32">
        <f>IF(物品!N190=0,0,"'"&amp;物品!N190&amp;"'")</f>
        <v>0</v>
      </c>
      <c r="N179" s="32">
        <f>IF(物品!O190=0,0,"'"&amp;物品!O190&amp;"'")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物品!A191</f>
        <v>0</v>
      </c>
      <c r="B180" s="32" t="str">
        <f>"'"&amp;物品!B191&amp;"'"</f>
        <v>'IT05'</v>
      </c>
      <c r="C180" s="32">
        <f>物品!J191</f>
        <v>0</v>
      </c>
      <c r="D180" s="32">
        <f>物品!K191</f>
        <v>0</v>
      </c>
      <c r="E180" s="32">
        <f>物品!L191</f>
        <v>0</v>
      </c>
      <c r="F180" s="32">
        <f>物品!M191</f>
        <v>0</v>
      </c>
      <c r="G180" s="32">
        <f>物品!N191</f>
        <v>0</v>
      </c>
      <c r="H180" s="32">
        <f>物品!O191</f>
        <v>0</v>
      </c>
      <c r="I180" s="32">
        <f>IF(物品!J191=0,0,"'"&amp;物品!J191&amp;"'")</f>
        <v>0</v>
      </c>
      <c r="J180" s="32">
        <f>IF(物品!K191=0,0,"'"&amp;物品!K191&amp;"'")</f>
        <v>0</v>
      </c>
      <c r="K180" s="32">
        <f>IF(物品!L191=0,0,"'"&amp;物品!L191&amp;"'")</f>
        <v>0</v>
      </c>
      <c r="L180" s="32">
        <f>IF(物品!M191=0,0,"'"&amp;物品!M191&amp;"'")</f>
        <v>0</v>
      </c>
      <c r="M180" s="32">
        <f>IF(物品!N191=0,0,"'"&amp;物品!N191&amp;"'")</f>
        <v>0</v>
      </c>
      <c r="N180" s="32">
        <f>IF(物品!O191=0,0,"'"&amp;物品!O191&amp;"'")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物品!A192</f>
        <v>0</v>
      </c>
      <c r="B181" s="32" t="str">
        <f>"'"&amp;物品!B192&amp;"'"</f>
        <v>'IT06'</v>
      </c>
      <c r="C181" s="32">
        <f>物品!J192</f>
        <v>0</v>
      </c>
      <c r="D181" s="32">
        <f>物品!K192</f>
        <v>0</v>
      </c>
      <c r="E181" s="32">
        <f>物品!L192</f>
        <v>0</v>
      </c>
      <c r="F181" s="32">
        <f>物品!M192</f>
        <v>0</v>
      </c>
      <c r="G181" s="32">
        <f>物品!N192</f>
        <v>0</v>
      </c>
      <c r="H181" s="32">
        <f>物品!O192</f>
        <v>0</v>
      </c>
      <c r="I181" s="32">
        <f>IF(物品!J192=0,0,"'"&amp;物品!J192&amp;"'")</f>
        <v>0</v>
      </c>
      <c r="J181" s="32">
        <f>IF(物品!K192=0,0,"'"&amp;物品!K192&amp;"'")</f>
        <v>0</v>
      </c>
      <c r="K181" s="32">
        <f>IF(物品!L192=0,0,"'"&amp;物品!L192&amp;"'")</f>
        <v>0</v>
      </c>
      <c r="L181" s="32">
        <f>IF(物品!M192=0,0,"'"&amp;物品!M192&amp;"'")</f>
        <v>0</v>
      </c>
      <c r="M181" s="32">
        <f>IF(物品!N192=0,0,"'"&amp;物品!N192&amp;"'")</f>
        <v>0</v>
      </c>
      <c r="N181" s="32">
        <f>IF(物品!O192=0,0,"'"&amp;物品!O192&amp;"'")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物品!A193</f>
        <v>0</v>
      </c>
      <c r="B182" s="32" t="str">
        <f>"'"&amp;物品!B193&amp;"'"</f>
        <v>'IT07'</v>
      </c>
      <c r="C182" s="32">
        <f>物品!J193</f>
        <v>0</v>
      </c>
      <c r="D182" s="32">
        <f>物品!K193</f>
        <v>0</v>
      </c>
      <c r="E182" s="32">
        <f>物品!L193</f>
        <v>0</v>
      </c>
      <c r="F182" s="32">
        <f>物品!M193</f>
        <v>0</v>
      </c>
      <c r="G182" s="32">
        <f>物品!N193</f>
        <v>0</v>
      </c>
      <c r="H182" s="32">
        <f>物品!O193</f>
        <v>0</v>
      </c>
      <c r="I182" s="32">
        <f>IF(物品!J193=0,0,"'"&amp;物品!J193&amp;"'")</f>
        <v>0</v>
      </c>
      <c r="J182" s="32">
        <f>IF(物品!K193=0,0,"'"&amp;物品!K193&amp;"'")</f>
        <v>0</v>
      </c>
      <c r="K182" s="32">
        <f>IF(物品!L193=0,0,"'"&amp;物品!L193&amp;"'")</f>
        <v>0</v>
      </c>
      <c r="L182" s="32">
        <f>IF(物品!M193=0,0,"'"&amp;物品!M193&amp;"'")</f>
        <v>0</v>
      </c>
      <c r="M182" s="32">
        <f>IF(物品!N193=0,0,"'"&amp;物品!N193&amp;"'")</f>
        <v>0</v>
      </c>
      <c r="N182" s="32">
        <f>IF(物品!O193=0,0,"'"&amp;物品!O193&amp;"'")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物品!A194</f>
        <v>.</v>
      </c>
      <c r="B183" s="32" t="str">
        <f>"'"&amp;物品!B194&amp;"'"</f>
        <v>'IT08'</v>
      </c>
      <c r="C183" s="32">
        <f>物品!J194</f>
        <v>0</v>
      </c>
      <c r="D183" s="32">
        <f>物品!K194</f>
        <v>0</v>
      </c>
      <c r="E183" s="32">
        <f>物品!L194</f>
        <v>0</v>
      </c>
      <c r="F183" s="32">
        <f>物品!M194</f>
        <v>0</v>
      </c>
      <c r="G183" s="32">
        <f>物品!N194</f>
        <v>0</v>
      </c>
      <c r="H183" s="32">
        <f>物品!O194</f>
        <v>0</v>
      </c>
      <c r="I183" s="32">
        <f>IF(物品!J194=0,0,"'"&amp;物品!J194&amp;"'")</f>
        <v>0</v>
      </c>
      <c r="J183" s="32">
        <f>IF(物品!K194=0,0,"'"&amp;物品!K194&amp;"'")</f>
        <v>0</v>
      </c>
      <c r="K183" s="32">
        <f>IF(物品!L194=0,0,"'"&amp;物品!L194&amp;"'")</f>
        <v>0</v>
      </c>
      <c r="L183" s="32">
        <f>IF(物品!M194=0,0,"'"&amp;物品!M194&amp;"'")</f>
        <v>0</v>
      </c>
      <c r="M183" s="32">
        <f>IF(物品!N194=0,0,"'"&amp;物品!N194&amp;"'")</f>
        <v>0</v>
      </c>
      <c r="N183" s="32">
        <f>IF(物品!O194=0,0,"'"&amp;物品!O194&amp;"'")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物品!A195</f>
        <v>0</v>
      </c>
      <c r="B184" s="32" t="str">
        <f>"'"&amp;物品!B195&amp;"'"</f>
        <v>'IT09'</v>
      </c>
      <c r="C184" s="32">
        <f>物品!J195</f>
        <v>0</v>
      </c>
      <c r="D184" s="32">
        <f>物品!K195</f>
        <v>0</v>
      </c>
      <c r="E184" s="32">
        <f>物品!L195</f>
        <v>0</v>
      </c>
      <c r="F184" s="32">
        <f>物品!M195</f>
        <v>0</v>
      </c>
      <c r="G184" s="32">
        <f>物品!N195</f>
        <v>0</v>
      </c>
      <c r="H184" s="32">
        <f>物品!O195</f>
        <v>0</v>
      </c>
      <c r="I184" s="32">
        <f>IF(物品!J195=0,0,"'"&amp;物品!J195&amp;"'")</f>
        <v>0</v>
      </c>
      <c r="J184" s="32">
        <f>IF(物品!K195=0,0,"'"&amp;物品!K195&amp;"'")</f>
        <v>0</v>
      </c>
      <c r="K184" s="32">
        <f>IF(物品!L195=0,0,"'"&amp;物品!L195&amp;"'")</f>
        <v>0</v>
      </c>
      <c r="L184" s="32">
        <f>IF(物品!M195=0,0,"'"&amp;物品!M195&amp;"'")</f>
        <v>0</v>
      </c>
      <c r="M184" s="32">
        <f>IF(物品!N195=0,0,"'"&amp;物品!N195&amp;"'")</f>
        <v>0</v>
      </c>
      <c r="N184" s="32">
        <f>IF(物品!O195=0,0,"'"&amp;物品!O195&amp;"'")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物品!A196</f>
        <v>0</v>
      </c>
      <c r="B185" s="32" t="str">
        <f>"'"&amp;物品!B196&amp;"'"</f>
        <v>'IT10'</v>
      </c>
      <c r="C185" s="32">
        <f>物品!J196</f>
        <v>0</v>
      </c>
      <c r="D185" s="32">
        <f>物品!K196</f>
        <v>0</v>
      </c>
      <c r="E185" s="32">
        <f>物品!L196</f>
        <v>0</v>
      </c>
      <c r="F185" s="32">
        <f>物品!M196</f>
        <v>0</v>
      </c>
      <c r="G185" s="32">
        <f>物品!N196</f>
        <v>0</v>
      </c>
      <c r="H185" s="32">
        <f>物品!O196</f>
        <v>0</v>
      </c>
      <c r="I185" s="32">
        <f>IF(物品!J196=0,0,"'"&amp;物品!J196&amp;"'")</f>
        <v>0</v>
      </c>
      <c r="J185" s="32">
        <f>IF(物品!K196=0,0,"'"&amp;物品!K196&amp;"'")</f>
        <v>0</v>
      </c>
      <c r="K185" s="32">
        <f>IF(物品!L196=0,0,"'"&amp;物品!L196&amp;"'")</f>
        <v>0</v>
      </c>
      <c r="L185" s="32">
        <f>IF(物品!M196=0,0,"'"&amp;物品!M196&amp;"'")</f>
        <v>0</v>
      </c>
      <c r="M185" s="32">
        <f>IF(物品!N196=0,0,"'"&amp;物品!N196&amp;"'")</f>
        <v>0</v>
      </c>
      <c r="N185" s="32">
        <f>IF(物品!O196=0,0,"'"&amp;物品!O196&amp;"'")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物品!A204</f>
        <v>0</v>
      </c>
      <c r="B186" s="32" t="str">
        <f>"'"&amp;物品!B204&amp;"'"</f>
        <v>'IS02'</v>
      </c>
      <c r="C186" s="32">
        <f>物品!J204</f>
        <v>0</v>
      </c>
      <c r="D186" s="32">
        <f>物品!K204</f>
        <v>0</v>
      </c>
      <c r="E186" s="32">
        <f>物品!L204</f>
        <v>0</v>
      </c>
      <c r="F186" s="32">
        <f>物品!M204</f>
        <v>0</v>
      </c>
      <c r="G186" s="32">
        <f>物品!N204</f>
        <v>0</v>
      </c>
      <c r="H186" s="32">
        <f>物品!O204</f>
        <v>0</v>
      </c>
      <c r="I186" s="32">
        <f>IF(物品!J204=0,0,"'"&amp;物品!J204&amp;"'")</f>
        <v>0</v>
      </c>
      <c r="J186" s="32">
        <f>IF(物品!K204=0,0,"'"&amp;物品!K204&amp;"'")</f>
        <v>0</v>
      </c>
      <c r="K186" s="32">
        <f>IF(物品!L204=0,0,"'"&amp;物品!L204&amp;"'")</f>
        <v>0</v>
      </c>
      <c r="L186" s="32">
        <f>IF(物品!M204=0,0,"'"&amp;物品!M204&amp;"'")</f>
        <v>0</v>
      </c>
      <c r="M186" s="32">
        <f>IF(物品!N204=0,0,"'"&amp;物品!N204&amp;"'")</f>
        <v>0</v>
      </c>
      <c r="N186" s="32">
        <f>IF(物品!O204=0,0,"'"&amp;物品!O204&amp;"'")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物品!A205</f>
        <v>0</v>
      </c>
      <c r="B187" s="32" t="str">
        <f>"'"&amp;物品!B205&amp;"'"</f>
        <v>'IS03'</v>
      </c>
      <c r="C187" s="32">
        <f>物品!J205</f>
        <v>0</v>
      </c>
      <c r="D187" s="32">
        <f>物品!K205</f>
        <v>0</v>
      </c>
      <c r="E187" s="32">
        <f>物品!L205</f>
        <v>0</v>
      </c>
      <c r="F187" s="32">
        <f>物品!M205</f>
        <v>0</v>
      </c>
      <c r="G187" s="32">
        <f>物品!N205</f>
        <v>0</v>
      </c>
      <c r="H187" s="32">
        <f>物品!O205</f>
        <v>0</v>
      </c>
      <c r="I187" s="32">
        <f>IF(物品!J205=0,0,"'"&amp;物品!J205&amp;"'")</f>
        <v>0</v>
      </c>
      <c r="J187" s="32">
        <f>IF(物品!K205=0,0,"'"&amp;物品!K205&amp;"'")</f>
        <v>0</v>
      </c>
      <c r="K187" s="32">
        <f>IF(物品!L205=0,0,"'"&amp;物品!L205&amp;"'")</f>
        <v>0</v>
      </c>
      <c r="L187" s="32">
        <f>IF(物品!M205=0,0,"'"&amp;物品!M205&amp;"'")</f>
        <v>0</v>
      </c>
      <c r="M187" s="32">
        <f>IF(物品!N205=0,0,"'"&amp;物品!N205&amp;"'")</f>
        <v>0</v>
      </c>
      <c r="N187" s="32">
        <f>IF(物品!O205=0,0,"'"&amp;物品!O205&amp;"'")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物品!A213</f>
        <v>0</v>
      </c>
      <c r="B190" s="32" t="str">
        <f>"'"&amp;物品!B213&amp;"'"</f>
        <v>'IS12'</v>
      </c>
      <c r="C190" s="32">
        <f>物品!J213</f>
        <v>0</v>
      </c>
      <c r="D190" s="32">
        <f>物品!K213</f>
        <v>0</v>
      </c>
      <c r="E190" s="32">
        <f>物品!L213</f>
        <v>0</v>
      </c>
      <c r="F190" s="32">
        <f>物品!M213</f>
        <v>0</v>
      </c>
      <c r="G190" s="32">
        <f>物品!N213</f>
        <v>0</v>
      </c>
      <c r="H190" s="32">
        <f>物品!O213</f>
        <v>0</v>
      </c>
      <c r="I190" s="32">
        <f>IF(物品!J213=0,0,"'"&amp;物品!J213&amp;"'")</f>
        <v>0</v>
      </c>
      <c r="J190" s="32">
        <f>IF(物品!K213=0,0,"'"&amp;物品!K213&amp;"'")</f>
        <v>0</v>
      </c>
      <c r="K190" s="32">
        <f>IF(物品!L213=0,0,"'"&amp;物品!L213&amp;"'")</f>
        <v>0</v>
      </c>
      <c r="L190" s="32">
        <f>IF(物品!M213=0,0,"'"&amp;物品!M213&amp;"'")</f>
        <v>0</v>
      </c>
      <c r="M190" s="32">
        <f>IF(物品!N213=0,0,"'"&amp;物品!N213&amp;"'")</f>
        <v>0</v>
      </c>
      <c r="N190" s="32">
        <f>IF(物品!O213=0,0,"'"&amp;物品!O213&amp;"'")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物品!A234</f>
        <v>0</v>
      </c>
      <c r="B199" s="32" t="str">
        <f>"'"&amp;物品!B234&amp;"'"</f>
        <v>'IF01'</v>
      </c>
      <c r="C199" s="32">
        <f>物品!J234</f>
        <v>0</v>
      </c>
      <c r="D199" s="32">
        <f>物品!K234</f>
        <v>0</v>
      </c>
      <c r="E199" s="32">
        <f>物品!L234</f>
        <v>0</v>
      </c>
      <c r="F199" s="32">
        <f>物品!M234</f>
        <v>0</v>
      </c>
      <c r="G199" s="32">
        <f>物品!N234</f>
        <v>0</v>
      </c>
      <c r="H199" s="32">
        <f>物品!O234</f>
        <v>0</v>
      </c>
      <c r="I199" s="32">
        <f>IF(物品!J234=0,0,"'"&amp;物品!J234&amp;"'")</f>
        <v>0</v>
      </c>
      <c r="J199" s="32">
        <f>IF(物品!K234=0,0,"'"&amp;物品!K234&amp;"'")</f>
        <v>0</v>
      </c>
      <c r="K199" s="32">
        <f>IF(物品!L234=0,0,"'"&amp;物品!L234&amp;"'")</f>
        <v>0</v>
      </c>
      <c r="L199" s="32">
        <f>IF(物品!M234=0,0,"'"&amp;物品!M234&amp;"'")</f>
        <v>0</v>
      </c>
      <c r="M199" s="32">
        <f>IF(物品!N234=0,0,"'"&amp;物品!N234&amp;"'")</f>
        <v>0</v>
      </c>
      <c r="N199" s="32">
        <f>IF(物品!O234=0,0,"'"&amp;物品!O234&amp;"'")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物品!A235</f>
        <v>0</v>
      </c>
      <c r="B200" s="32" t="str">
        <f>"'"&amp;物品!B235&amp;"'"</f>
        <v>'IF02'</v>
      </c>
      <c r="C200" s="32">
        <f>物品!J235</f>
        <v>0</v>
      </c>
      <c r="D200" s="32">
        <f>物品!K235</f>
        <v>0</v>
      </c>
      <c r="E200" s="32">
        <f>物品!L235</f>
        <v>0</v>
      </c>
      <c r="F200" s="32">
        <f>物品!M235</f>
        <v>0</v>
      </c>
      <c r="G200" s="32">
        <f>物品!N235</f>
        <v>0</v>
      </c>
      <c r="H200" s="32">
        <f>物品!O235</f>
        <v>0</v>
      </c>
      <c r="I200" s="32">
        <f>IF(物品!J235=0,0,"'"&amp;物品!J235&amp;"'")</f>
        <v>0</v>
      </c>
      <c r="J200" s="32">
        <f>IF(物品!K235=0,0,"'"&amp;物品!K235&amp;"'")</f>
        <v>0</v>
      </c>
      <c r="K200" s="32">
        <f>IF(物品!L235=0,0,"'"&amp;物品!L235&amp;"'")</f>
        <v>0</v>
      </c>
      <c r="L200" s="32">
        <f>IF(物品!M235=0,0,"'"&amp;物品!M235&amp;"'")</f>
        <v>0</v>
      </c>
      <c r="M200" s="32">
        <f>IF(物品!N235=0,0,"'"&amp;物品!N235&amp;"'")</f>
        <v>0</v>
      </c>
      <c r="N200" s="32">
        <f>IF(物品!O235=0,0,"'"&amp;物品!O235&amp;"'")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物品!A236</f>
        <v>0</v>
      </c>
      <c r="B201" s="32" t="str">
        <f>"'"&amp;物品!B236&amp;"'"</f>
        <v>'IF03'</v>
      </c>
      <c r="C201" s="32">
        <f>物品!J236</f>
        <v>0</v>
      </c>
      <c r="D201" s="32">
        <f>物品!K236</f>
        <v>0</v>
      </c>
      <c r="E201" s="32">
        <f>物品!L236</f>
        <v>0</v>
      </c>
      <c r="F201" s="32">
        <f>物品!M236</f>
        <v>0</v>
      </c>
      <c r="G201" s="32">
        <f>物品!N236</f>
        <v>0</v>
      </c>
      <c r="H201" s="32">
        <f>物品!O236</f>
        <v>0</v>
      </c>
      <c r="I201" s="32">
        <f>IF(物品!J236=0,0,"'"&amp;物品!J236&amp;"'")</f>
        <v>0</v>
      </c>
      <c r="J201" s="32">
        <f>IF(物品!K236=0,0,"'"&amp;物品!K236&amp;"'")</f>
        <v>0</v>
      </c>
      <c r="K201" s="32">
        <f>IF(物品!L236=0,0,"'"&amp;物品!L236&amp;"'")</f>
        <v>0</v>
      </c>
      <c r="L201" s="32">
        <f>IF(物品!M236=0,0,"'"&amp;物品!M236&amp;"'")</f>
        <v>0</v>
      </c>
      <c r="M201" s="32">
        <f>IF(物品!N236=0,0,"'"&amp;物品!N236&amp;"'")</f>
        <v>0</v>
      </c>
      <c r="N201" s="32">
        <f>IF(物品!O236=0,0,"'"&amp;物品!O236&amp;"'")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物品!A237</f>
        <v>0</v>
      </c>
      <c r="B202" s="32" t="str">
        <f>"'"&amp;物品!B237&amp;"'"</f>
        <v>'IF04'</v>
      </c>
      <c r="C202" s="32">
        <f>物品!J237</f>
        <v>0</v>
      </c>
      <c r="D202" s="32">
        <f>物品!K237</f>
        <v>0</v>
      </c>
      <c r="E202" s="32">
        <f>物品!L237</f>
        <v>0</v>
      </c>
      <c r="F202" s="32">
        <f>物品!M237</f>
        <v>0</v>
      </c>
      <c r="G202" s="32">
        <f>物品!N237</f>
        <v>0</v>
      </c>
      <c r="H202" s="32">
        <f>物品!O237</f>
        <v>0</v>
      </c>
      <c r="I202" s="32">
        <f>IF(物品!J237=0,0,"'"&amp;物品!J237&amp;"'")</f>
        <v>0</v>
      </c>
      <c r="J202" s="32">
        <f>IF(物品!K237=0,0,"'"&amp;物品!K237&amp;"'")</f>
        <v>0</v>
      </c>
      <c r="K202" s="32">
        <f>IF(物品!L237=0,0,"'"&amp;物品!L237&amp;"'")</f>
        <v>0</v>
      </c>
      <c r="L202" s="32">
        <f>IF(物品!M237=0,0,"'"&amp;物品!M237&amp;"'")</f>
        <v>0</v>
      </c>
      <c r="M202" s="32">
        <f>IF(物品!N237=0,0,"'"&amp;物品!N237&amp;"'")</f>
        <v>0</v>
      </c>
      <c r="N202" s="32">
        <f>IF(物品!O237=0,0,"'"&amp;物品!O237&amp;"'")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物品!A238</f>
        <v>0</v>
      </c>
      <c r="B203" s="32" t="str">
        <f>"'"&amp;物品!B238&amp;"'"</f>
        <v>'IF05'</v>
      </c>
      <c r="C203" s="32">
        <f>物品!J238</f>
        <v>0</v>
      </c>
      <c r="D203" s="32">
        <f>物品!K238</f>
        <v>0</v>
      </c>
      <c r="E203" s="32">
        <f>物品!L238</f>
        <v>0</v>
      </c>
      <c r="F203" s="32">
        <f>物品!M238</f>
        <v>0</v>
      </c>
      <c r="G203" s="32">
        <f>物品!N238</f>
        <v>0</v>
      </c>
      <c r="H203" s="32">
        <f>物品!O238</f>
        <v>0</v>
      </c>
      <c r="I203" s="32">
        <f>IF(物品!J238=0,0,"'"&amp;物品!J238&amp;"'")</f>
        <v>0</v>
      </c>
      <c r="J203" s="32">
        <f>IF(物品!K238=0,0,"'"&amp;物品!K238&amp;"'")</f>
        <v>0</v>
      </c>
      <c r="K203" s="32">
        <f>IF(物品!L238=0,0,"'"&amp;物品!L238&amp;"'")</f>
        <v>0</v>
      </c>
      <c r="L203" s="32">
        <f>IF(物品!M238=0,0,"'"&amp;物品!M238&amp;"'")</f>
        <v>0</v>
      </c>
      <c r="M203" s="32">
        <f>IF(物品!N238=0,0,"'"&amp;物品!N238&amp;"'")</f>
        <v>0</v>
      </c>
      <c r="N203" s="32">
        <f>IF(物品!O238=0,0,"'"&amp;物品!O238&amp;"'")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物品!A239</f>
        <v>0</v>
      </c>
      <c r="B204" s="32" t="str">
        <f>"'"&amp;物品!B239&amp;"'"</f>
        <v>'IF06'</v>
      </c>
      <c r="C204" s="32">
        <f>物品!J239</f>
        <v>0</v>
      </c>
      <c r="D204" s="32">
        <f>物品!K239</f>
        <v>0</v>
      </c>
      <c r="E204" s="32">
        <f>物品!L239</f>
        <v>0</v>
      </c>
      <c r="F204" s="32">
        <f>物品!M239</f>
        <v>0</v>
      </c>
      <c r="G204" s="32">
        <f>物品!N239</f>
        <v>0</v>
      </c>
      <c r="H204" s="32">
        <f>物品!O239</f>
        <v>0</v>
      </c>
      <c r="I204" s="32">
        <f>IF(物品!J239=0,0,"'"&amp;物品!J239&amp;"'")</f>
        <v>0</v>
      </c>
      <c r="J204" s="32">
        <f>IF(物品!K239=0,0,"'"&amp;物品!K239&amp;"'")</f>
        <v>0</v>
      </c>
      <c r="K204" s="32">
        <f>IF(物品!L239=0,0,"'"&amp;物品!L239&amp;"'")</f>
        <v>0</v>
      </c>
      <c r="L204" s="32">
        <f>IF(物品!M239=0,0,"'"&amp;物品!M239&amp;"'")</f>
        <v>0</v>
      </c>
      <c r="M204" s="32">
        <f>IF(物品!N239=0,0,"'"&amp;物品!N239&amp;"'")</f>
        <v>0</v>
      </c>
      <c r="N204" s="32">
        <f>IF(物品!O239=0,0,"'"&amp;物品!O239&amp;"'")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物品!A240</f>
        <v>0</v>
      </c>
      <c r="B205" s="32" t="str">
        <f>"'"&amp;物品!B240&amp;"'"</f>
        <v>'IF07'</v>
      </c>
      <c r="C205" s="32">
        <f>物品!J240</f>
        <v>0</v>
      </c>
      <c r="D205" s="32">
        <f>物品!K240</f>
        <v>0</v>
      </c>
      <c r="E205" s="32">
        <f>物品!L240</f>
        <v>0</v>
      </c>
      <c r="F205" s="32">
        <f>物品!M240</f>
        <v>0</v>
      </c>
      <c r="G205" s="32">
        <f>物品!N240</f>
        <v>0</v>
      </c>
      <c r="H205" s="32">
        <f>物品!O240</f>
        <v>0</v>
      </c>
      <c r="I205" s="32">
        <f>IF(物品!J240=0,0,"'"&amp;物品!J240&amp;"'")</f>
        <v>0</v>
      </c>
      <c r="J205" s="32">
        <f>IF(物品!K240=0,0,"'"&amp;物品!K240&amp;"'")</f>
        <v>0</v>
      </c>
      <c r="K205" s="32">
        <f>IF(物品!L240=0,0,"'"&amp;物品!L240&amp;"'")</f>
        <v>0</v>
      </c>
      <c r="L205" s="32">
        <f>IF(物品!M240=0,0,"'"&amp;物品!M240&amp;"'")</f>
        <v>0</v>
      </c>
      <c r="M205" s="32">
        <f>IF(物品!N240=0,0,"'"&amp;物品!N240&amp;"'")</f>
        <v>0</v>
      </c>
      <c r="N205" s="32">
        <f>IF(物品!O240=0,0,"'"&amp;物品!O240&amp;"'")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物品!A241</f>
        <v>0</v>
      </c>
      <c r="B206" s="32" t="str">
        <f>"'"&amp;物品!B241&amp;"'"</f>
        <v>'IF08'</v>
      </c>
      <c r="C206" s="32">
        <f>物品!J241</f>
        <v>0</v>
      </c>
      <c r="D206" s="32">
        <f>物品!K241</f>
        <v>0</v>
      </c>
      <c r="E206" s="32">
        <f>物品!L241</f>
        <v>0</v>
      </c>
      <c r="F206" s="32">
        <f>物品!M241</f>
        <v>0</v>
      </c>
      <c r="G206" s="32">
        <f>物品!N241</f>
        <v>0</v>
      </c>
      <c r="H206" s="32">
        <f>物品!O241</f>
        <v>0</v>
      </c>
      <c r="I206" s="32">
        <f>IF(物品!J241=0,0,"'"&amp;物品!J241&amp;"'")</f>
        <v>0</v>
      </c>
      <c r="J206" s="32">
        <f>IF(物品!K241=0,0,"'"&amp;物品!K241&amp;"'")</f>
        <v>0</v>
      </c>
      <c r="K206" s="32">
        <f>IF(物品!L241=0,0,"'"&amp;物品!L241&amp;"'")</f>
        <v>0</v>
      </c>
      <c r="L206" s="32">
        <f>IF(物品!M241=0,0,"'"&amp;物品!M241&amp;"'")</f>
        <v>0</v>
      </c>
      <c r="M206" s="32">
        <f>IF(物品!N241=0,0,"'"&amp;物品!N241&amp;"'")</f>
        <v>0</v>
      </c>
      <c r="N206" s="32">
        <f>IF(物品!O241=0,0,"'"&amp;物品!O241&amp;"'")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物品!A242</f>
        <v>0</v>
      </c>
      <c r="B207" s="32" t="str">
        <f>"'"&amp;物品!B242&amp;"'"</f>
        <v>'IF09'</v>
      </c>
      <c r="C207" s="32">
        <f>物品!J242</f>
        <v>0</v>
      </c>
      <c r="D207" s="32">
        <f>物品!K242</f>
        <v>0</v>
      </c>
      <c r="E207" s="32">
        <f>物品!L242</f>
        <v>0</v>
      </c>
      <c r="F207" s="32">
        <f>物品!M242</f>
        <v>0</v>
      </c>
      <c r="G207" s="32">
        <f>物品!N242</f>
        <v>0</v>
      </c>
      <c r="H207" s="32">
        <f>物品!O242</f>
        <v>0</v>
      </c>
      <c r="I207" s="32">
        <f>IF(物品!J242=0,0,"'"&amp;物品!J242&amp;"'")</f>
        <v>0</v>
      </c>
      <c r="J207" s="32">
        <f>IF(物品!K242=0,0,"'"&amp;物品!K242&amp;"'")</f>
        <v>0</v>
      </c>
      <c r="K207" s="32">
        <f>IF(物品!L242=0,0,"'"&amp;物品!L242&amp;"'")</f>
        <v>0</v>
      </c>
      <c r="L207" s="32">
        <f>IF(物品!M242=0,0,"'"&amp;物品!M242&amp;"'")</f>
        <v>0</v>
      </c>
      <c r="M207" s="32">
        <f>IF(物品!N242=0,0,"'"&amp;物品!N242&amp;"'")</f>
        <v>0</v>
      </c>
      <c r="N207" s="32">
        <f>IF(物品!O242=0,0,"'"&amp;物品!O242&amp;"'")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物品!A243</f>
        <v>0</v>
      </c>
      <c r="B208" s="32" t="str">
        <f>"'"&amp;物品!B243&amp;"'"</f>
        <v>'IF10'</v>
      </c>
      <c r="C208" s="32">
        <f>物品!J243</f>
        <v>0</v>
      </c>
      <c r="D208" s="32">
        <f>物品!K243</f>
        <v>0</v>
      </c>
      <c r="E208" s="32">
        <f>物品!L243</f>
        <v>0</v>
      </c>
      <c r="F208" s="32">
        <f>物品!M243</f>
        <v>0</v>
      </c>
      <c r="G208" s="32">
        <f>物品!N243</f>
        <v>0</v>
      </c>
      <c r="H208" s="32">
        <f>物品!O243</f>
        <v>0</v>
      </c>
      <c r="I208" s="32">
        <f>IF(物品!J243=0,0,"'"&amp;物品!J243&amp;"'")</f>
        <v>0</v>
      </c>
      <c r="J208" s="32">
        <f>IF(物品!K243=0,0,"'"&amp;物品!K243&amp;"'")</f>
        <v>0</v>
      </c>
      <c r="K208" s="32">
        <f>IF(物品!L243=0,0,"'"&amp;物品!L243&amp;"'")</f>
        <v>0</v>
      </c>
      <c r="L208" s="32">
        <f>IF(物品!M243=0,0,"'"&amp;物品!M243&amp;"'")</f>
        <v>0</v>
      </c>
      <c r="M208" s="32">
        <f>IF(物品!N243=0,0,"'"&amp;物品!N243&amp;"'")</f>
        <v>0</v>
      </c>
      <c r="N208" s="32">
        <f>IF(物品!O243=0,0,"'"&amp;物品!O243&amp;"'")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物品!A244</f>
        <v>0</v>
      </c>
      <c r="B209" s="32" t="str">
        <f>"'"&amp;物品!B244&amp;"'"</f>
        <v>'IF11'</v>
      </c>
      <c r="C209" s="32">
        <f>物品!J244</f>
        <v>0</v>
      </c>
      <c r="D209" s="32">
        <f>物品!K244</f>
        <v>0</v>
      </c>
      <c r="E209" s="32">
        <f>物品!L244</f>
        <v>0</v>
      </c>
      <c r="F209" s="32">
        <f>物品!M244</f>
        <v>0</v>
      </c>
      <c r="G209" s="32">
        <f>物品!N244</f>
        <v>0</v>
      </c>
      <c r="H209" s="32">
        <f>物品!O244</f>
        <v>0</v>
      </c>
      <c r="I209" s="32">
        <f>IF(物品!J244=0,0,"'"&amp;物品!J244&amp;"'")</f>
        <v>0</v>
      </c>
      <c r="J209" s="32">
        <f>IF(物品!K244=0,0,"'"&amp;物品!K244&amp;"'")</f>
        <v>0</v>
      </c>
      <c r="K209" s="32">
        <f>IF(物品!L244=0,0,"'"&amp;物品!L244&amp;"'")</f>
        <v>0</v>
      </c>
      <c r="L209" s="32">
        <f>IF(物品!M244=0,0,"'"&amp;物品!M244&amp;"'")</f>
        <v>0</v>
      </c>
      <c r="M209" s="32">
        <f>IF(物品!N244=0,0,"'"&amp;物品!N244&amp;"'")</f>
        <v>0</v>
      </c>
      <c r="N209" s="32">
        <f>IF(物品!O244=0,0,"'"&amp;物品!O244&amp;"'")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物品!A245</f>
        <v>0</v>
      </c>
      <c r="B210" s="32" t="str">
        <f>"'"&amp;物品!B245&amp;"'"</f>
        <v>'IF12'</v>
      </c>
      <c r="C210" s="32">
        <f>物品!J245</f>
        <v>0</v>
      </c>
      <c r="D210" s="32">
        <f>物品!K245</f>
        <v>0</v>
      </c>
      <c r="E210" s="32">
        <f>物品!L245</f>
        <v>0</v>
      </c>
      <c r="F210" s="32">
        <f>物品!M245</f>
        <v>0</v>
      </c>
      <c r="G210" s="32">
        <f>物品!N245</f>
        <v>0</v>
      </c>
      <c r="H210" s="32">
        <f>物品!O245</f>
        <v>0</v>
      </c>
      <c r="I210" s="32">
        <f>IF(物品!J245=0,0,"'"&amp;物品!J245&amp;"'")</f>
        <v>0</v>
      </c>
      <c r="J210" s="32">
        <f>IF(物品!K245=0,0,"'"&amp;物品!K245&amp;"'")</f>
        <v>0</v>
      </c>
      <c r="K210" s="32">
        <f>IF(物品!L245=0,0,"'"&amp;物品!L245&amp;"'")</f>
        <v>0</v>
      </c>
      <c r="L210" s="32">
        <f>IF(物品!M245=0,0,"'"&amp;物品!M245&amp;"'")</f>
        <v>0</v>
      </c>
      <c r="M210" s="32">
        <f>IF(物品!N245=0,0,"'"&amp;物品!N245&amp;"'")</f>
        <v>0</v>
      </c>
      <c r="N210" s="32">
        <f>IF(物品!O245=0,0,"'"&amp;物品!O245&amp;"'")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物品!A246</f>
        <v>0</v>
      </c>
      <c r="B211" s="32" t="str">
        <f>"'"&amp;物品!B246&amp;"'"</f>
        <v>'IF13'</v>
      </c>
      <c r="C211" s="32">
        <f>物品!J246</f>
        <v>0</v>
      </c>
      <c r="D211" s="32">
        <f>物品!K246</f>
        <v>0</v>
      </c>
      <c r="E211" s="32">
        <f>物品!L246</f>
        <v>0</v>
      </c>
      <c r="F211" s="32">
        <f>物品!M246</f>
        <v>0</v>
      </c>
      <c r="G211" s="32">
        <f>物品!N246</f>
        <v>0</v>
      </c>
      <c r="H211" s="32">
        <f>物品!O246</f>
        <v>0</v>
      </c>
      <c r="I211" s="32">
        <f>IF(物品!J246=0,0,"'"&amp;物品!J246&amp;"'")</f>
        <v>0</v>
      </c>
      <c r="J211" s="32">
        <f>IF(物品!K246=0,0,"'"&amp;物品!K246&amp;"'")</f>
        <v>0</v>
      </c>
      <c r="K211" s="32">
        <f>IF(物品!L246=0,0,"'"&amp;物品!L246&amp;"'")</f>
        <v>0</v>
      </c>
      <c r="L211" s="32">
        <f>IF(物品!M246=0,0,"'"&amp;物品!M246&amp;"'")</f>
        <v>0</v>
      </c>
      <c r="M211" s="32">
        <f>IF(物品!N246=0,0,"'"&amp;物品!N246&amp;"'")</f>
        <v>0</v>
      </c>
      <c r="N211" s="32">
        <f>IF(物品!O246=0,0,"'"&amp;物品!O246&amp;"'")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物品!A247</f>
        <v>0</v>
      </c>
      <c r="B212" s="32" t="str">
        <f>"'"&amp;物品!B247&amp;"'"</f>
        <v>'IF14'</v>
      </c>
      <c r="C212" s="32">
        <f>物品!J247</f>
        <v>0</v>
      </c>
      <c r="D212" s="32">
        <f>物品!K247</f>
        <v>0</v>
      </c>
      <c r="E212" s="32">
        <f>物品!L247</f>
        <v>0</v>
      </c>
      <c r="F212" s="32">
        <f>物品!M247</f>
        <v>0</v>
      </c>
      <c r="G212" s="32">
        <f>物品!N247</f>
        <v>0</v>
      </c>
      <c r="H212" s="32">
        <f>物品!O247</f>
        <v>0</v>
      </c>
      <c r="I212" s="32">
        <f>IF(物品!J247=0,0,"'"&amp;物品!J247&amp;"'")</f>
        <v>0</v>
      </c>
      <c r="J212" s="32">
        <f>IF(物品!K247=0,0,"'"&amp;物品!K247&amp;"'")</f>
        <v>0</v>
      </c>
      <c r="K212" s="32">
        <f>IF(物品!L247=0,0,"'"&amp;物品!L247&amp;"'")</f>
        <v>0</v>
      </c>
      <c r="L212" s="32">
        <f>IF(物品!M247=0,0,"'"&amp;物品!M247&amp;"'")</f>
        <v>0</v>
      </c>
      <c r="M212" s="32">
        <f>IF(物品!N247=0,0,"'"&amp;物品!N247&amp;"'")</f>
        <v>0</v>
      </c>
      <c r="N212" s="32">
        <f>IF(物品!O247=0,0,"'"&amp;物品!O247&amp;"'")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物品!A248</f>
        <v>0</v>
      </c>
      <c r="B213" s="32" t="str">
        <f>"'"&amp;物品!B248&amp;"'"</f>
        <v>'IF15'</v>
      </c>
      <c r="C213" s="32">
        <f>物品!J248</f>
        <v>0</v>
      </c>
      <c r="D213" s="32">
        <f>物品!K248</f>
        <v>0</v>
      </c>
      <c r="E213" s="32">
        <f>物品!L248</f>
        <v>0</v>
      </c>
      <c r="F213" s="32">
        <f>物品!M248</f>
        <v>0</v>
      </c>
      <c r="G213" s="32">
        <f>物品!N248</f>
        <v>0</v>
      </c>
      <c r="H213" s="32">
        <f>物品!O248</f>
        <v>0</v>
      </c>
      <c r="I213" s="32">
        <f>IF(物品!J248=0,0,"'"&amp;物品!J248&amp;"'")</f>
        <v>0</v>
      </c>
      <c r="J213" s="32">
        <f>IF(物品!K248=0,0,"'"&amp;物品!K248&amp;"'")</f>
        <v>0</v>
      </c>
      <c r="K213" s="32">
        <f>IF(物品!L248=0,0,"'"&amp;物品!L248&amp;"'")</f>
        <v>0</v>
      </c>
      <c r="L213" s="32">
        <f>IF(物品!M248=0,0,"'"&amp;物品!M248&amp;"'")</f>
        <v>0</v>
      </c>
      <c r="M213" s="32">
        <f>IF(物品!N248=0,0,"'"&amp;物品!N248&amp;"'")</f>
        <v>0</v>
      </c>
      <c r="N213" s="32">
        <f>IF(物品!O248=0,0,"'"&amp;物品!O248&amp;"'")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物品!A249</f>
        <v>0</v>
      </c>
      <c r="B214" s="32" t="str">
        <f>"'"&amp;物品!B249&amp;"'"</f>
        <v>'IF16'</v>
      </c>
      <c r="C214" s="32">
        <f>物品!J249</f>
        <v>0</v>
      </c>
      <c r="D214" s="32">
        <f>物品!K249</f>
        <v>0</v>
      </c>
      <c r="E214" s="32">
        <f>物品!L249</f>
        <v>0</v>
      </c>
      <c r="F214" s="32">
        <f>物品!M249</f>
        <v>0</v>
      </c>
      <c r="G214" s="32">
        <f>物品!N249</f>
        <v>0</v>
      </c>
      <c r="H214" s="32">
        <f>物品!O249</f>
        <v>0</v>
      </c>
      <c r="I214" s="32">
        <f>IF(物品!J249=0,0,"'"&amp;物品!J249&amp;"'")</f>
        <v>0</v>
      </c>
      <c r="J214" s="32">
        <f>IF(物品!K249=0,0,"'"&amp;物品!K249&amp;"'")</f>
        <v>0</v>
      </c>
      <c r="K214" s="32">
        <f>IF(物品!L249=0,0,"'"&amp;物品!L249&amp;"'")</f>
        <v>0</v>
      </c>
      <c r="L214" s="32">
        <f>IF(物品!M249=0,0,"'"&amp;物品!M249&amp;"'")</f>
        <v>0</v>
      </c>
      <c r="M214" s="32">
        <f>IF(物品!N249=0,0,"'"&amp;物品!N249&amp;"'")</f>
        <v>0</v>
      </c>
      <c r="N214" s="32">
        <f>IF(物品!O249=0,0,"'"&amp;物品!O249&amp;"'")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物品!A250</f>
        <v>0</v>
      </c>
      <c r="B215" s="32" t="str">
        <f>"'"&amp;物品!B250&amp;"'"</f>
        <v>'IF17'</v>
      </c>
      <c r="C215" s="32">
        <f>物品!J250</f>
        <v>0</v>
      </c>
      <c r="D215" s="32">
        <f>物品!K250</f>
        <v>0</v>
      </c>
      <c r="E215" s="32">
        <f>物品!L250</f>
        <v>0</v>
      </c>
      <c r="F215" s="32">
        <f>物品!M250</f>
        <v>0</v>
      </c>
      <c r="G215" s="32">
        <f>物品!N250</f>
        <v>0</v>
      </c>
      <c r="H215" s="32">
        <f>物品!O250</f>
        <v>0</v>
      </c>
      <c r="I215" s="32">
        <f>IF(物品!J250=0,0,"'"&amp;物品!J250&amp;"'")</f>
        <v>0</v>
      </c>
      <c r="J215" s="32">
        <f>IF(物品!K250=0,0,"'"&amp;物品!K250&amp;"'")</f>
        <v>0</v>
      </c>
      <c r="K215" s="32">
        <f>IF(物品!L250=0,0,"'"&amp;物品!L250&amp;"'")</f>
        <v>0</v>
      </c>
      <c r="L215" s="32">
        <f>IF(物品!M250=0,0,"'"&amp;物品!M250&amp;"'")</f>
        <v>0</v>
      </c>
      <c r="M215" s="32">
        <f>IF(物品!N250=0,0,"'"&amp;物品!N250&amp;"'")</f>
        <v>0</v>
      </c>
      <c r="N215" s="32">
        <f>IF(物品!O250=0,0,"'"&amp;物品!O250&amp;"'")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物品!A251</f>
        <v>0</v>
      </c>
      <c r="B216" s="32" t="str">
        <f>"'"&amp;物品!B251&amp;"'"</f>
        <v>'IF18'</v>
      </c>
      <c r="C216" s="32">
        <f>物品!J251</f>
        <v>0</v>
      </c>
      <c r="D216" s="32">
        <f>物品!K251</f>
        <v>0</v>
      </c>
      <c r="E216" s="32">
        <f>物品!L251</f>
        <v>0</v>
      </c>
      <c r="F216" s="32">
        <f>物品!M251</f>
        <v>0</v>
      </c>
      <c r="G216" s="32">
        <f>物品!N251</f>
        <v>0</v>
      </c>
      <c r="H216" s="32">
        <f>物品!O251</f>
        <v>0</v>
      </c>
      <c r="I216" s="32">
        <f>IF(物品!J251=0,0,"'"&amp;物品!J251&amp;"'")</f>
        <v>0</v>
      </c>
      <c r="J216" s="32">
        <f>IF(物品!K251=0,0,"'"&amp;物品!K251&amp;"'")</f>
        <v>0</v>
      </c>
      <c r="K216" s="32">
        <f>IF(物品!L251=0,0,"'"&amp;物品!L251&amp;"'")</f>
        <v>0</v>
      </c>
      <c r="L216" s="32">
        <f>IF(物品!M251=0,0,"'"&amp;物品!M251&amp;"'")</f>
        <v>0</v>
      </c>
      <c r="M216" s="32">
        <f>IF(物品!N251=0,0,"'"&amp;物品!N251&amp;"'")</f>
        <v>0</v>
      </c>
      <c r="N216" s="32">
        <f>IF(物品!O251=0,0,"'"&amp;物品!O251&amp;"'")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物品!A252</f>
        <v>0</v>
      </c>
      <c r="B217" s="32" t="str">
        <f>"'"&amp;物品!B252&amp;"'"</f>
        <v>'IF19'</v>
      </c>
      <c r="C217" s="32">
        <f>物品!J252</f>
        <v>0</v>
      </c>
      <c r="D217" s="32">
        <f>物品!K252</f>
        <v>0</v>
      </c>
      <c r="E217" s="32">
        <f>物品!L252</f>
        <v>0</v>
      </c>
      <c r="F217" s="32">
        <f>物品!M252</f>
        <v>0</v>
      </c>
      <c r="G217" s="32">
        <f>物品!N252</f>
        <v>0</v>
      </c>
      <c r="H217" s="32">
        <f>物品!O252</f>
        <v>0</v>
      </c>
      <c r="I217" s="32">
        <f>IF(物品!J252=0,0,"'"&amp;物品!J252&amp;"'")</f>
        <v>0</v>
      </c>
      <c r="J217" s="32">
        <f>IF(物品!K252=0,0,"'"&amp;物品!K252&amp;"'")</f>
        <v>0</v>
      </c>
      <c r="K217" s="32">
        <f>IF(物品!L252=0,0,"'"&amp;物品!L252&amp;"'")</f>
        <v>0</v>
      </c>
      <c r="L217" s="32">
        <f>IF(物品!M252=0,0,"'"&amp;物品!M252&amp;"'")</f>
        <v>0</v>
      </c>
      <c r="M217" s="32">
        <f>IF(物品!N252=0,0,"'"&amp;物品!N252&amp;"'")</f>
        <v>0</v>
      </c>
      <c r="N217" s="32">
        <f>IF(物品!O252=0,0,"'"&amp;物品!O252&amp;"'")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物品!A253</f>
        <v>0</v>
      </c>
      <c r="B218" s="32" t="str">
        <f>"'"&amp;物品!B253&amp;"'"</f>
        <v>'IF20'</v>
      </c>
      <c r="C218" s="32">
        <f>物品!J253</f>
        <v>0</v>
      </c>
      <c r="D218" s="32">
        <f>物品!K253</f>
        <v>0</v>
      </c>
      <c r="E218" s="32">
        <f>物品!L253</f>
        <v>0</v>
      </c>
      <c r="F218" s="32">
        <f>物品!M253</f>
        <v>0</v>
      </c>
      <c r="G218" s="32">
        <f>物品!N253</f>
        <v>0</v>
      </c>
      <c r="H218" s="32">
        <f>物品!O253</f>
        <v>0</v>
      </c>
      <c r="I218" s="32">
        <f>IF(物品!J253=0,0,"'"&amp;物品!J253&amp;"'")</f>
        <v>0</v>
      </c>
      <c r="J218" s="32">
        <f>IF(物品!K253=0,0,"'"&amp;物品!K253&amp;"'")</f>
        <v>0</v>
      </c>
      <c r="K218" s="32">
        <f>IF(物品!L253=0,0,"'"&amp;物品!L253&amp;"'")</f>
        <v>0</v>
      </c>
      <c r="L218" s="32">
        <f>IF(物品!M253=0,0,"'"&amp;物品!M253&amp;"'")</f>
        <v>0</v>
      </c>
      <c r="M218" s="32">
        <f>IF(物品!N253=0,0,"'"&amp;物品!N253&amp;"'")</f>
        <v>0</v>
      </c>
      <c r="N218" s="32">
        <f>IF(物品!O253=0,0,"'"&amp;物品!O253&amp;"'")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物品!A254</f>
        <v>0</v>
      </c>
      <c r="B219" s="32" t="str">
        <f>"'"&amp;物品!B254&amp;"'"</f>
        <v>'IF21'</v>
      </c>
      <c r="C219" s="32">
        <f>物品!J254</f>
        <v>0</v>
      </c>
      <c r="D219" s="32">
        <f>物品!K254</f>
        <v>0</v>
      </c>
      <c r="E219" s="32">
        <f>物品!L254</f>
        <v>0</v>
      </c>
      <c r="F219" s="32">
        <f>物品!M254</f>
        <v>0</v>
      </c>
      <c r="G219" s="32">
        <f>物品!N254</f>
        <v>0</v>
      </c>
      <c r="H219" s="32">
        <f>物品!O254</f>
        <v>0</v>
      </c>
      <c r="I219" s="32">
        <f>IF(物品!J254=0,0,"'"&amp;物品!J254&amp;"'")</f>
        <v>0</v>
      </c>
      <c r="J219" s="32">
        <f>IF(物品!K254=0,0,"'"&amp;物品!K254&amp;"'")</f>
        <v>0</v>
      </c>
      <c r="K219" s="32">
        <f>IF(物品!L254=0,0,"'"&amp;物品!L254&amp;"'")</f>
        <v>0</v>
      </c>
      <c r="L219" s="32">
        <f>IF(物品!M254=0,0,"'"&amp;物品!M254&amp;"'")</f>
        <v>0</v>
      </c>
      <c r="M219" s="32">
        <f>IF(物品!N254=0,0,"'"&amp;物品!N254&amp;"'")</f>
        <v>0</v>
      </c>
      <c r="N219" s="32">
        <f>IF(物品!O254=0,0,"'"&amp;物品!O254&amp;"'")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物品!A255</f>
        <v>0</v>
      </c>
      <c r="B220" s="32" t="str">
        <f>"'"&amp;物品!B255&amp;"'"</f>
        <v>'IF22'</v>
      </c>
      <c r="C220" s="32">
        <f>物品!J255</f>
        <v>0</v>
      </c>
      <c r="D220" s="32">
        <f>物品!K255</f>
        <v>0</v>
      </c>
      <c r="E220" s="32">
        <f>物品!L255</f>
        <v>0</v>
      </c>
      <c r="F220" s="32">
        <f>物品!M255</f>
        <v>0</v>
      </c>
      <c r="G220" s="32">
        <f>物品!N255</f>
        <v>0</v>
      </c>
      <c r="H220" s="32">
        <f>物品!O255</f>
        <v>0</v>
      </c>
      <c r="I220" s="32">
        <f>IF(物品!J255=0,0,"'"&amp;物品!J255&amp;"'")</f>
        <v>0</v>
      </c>
      <c r="J220" s="32">
        <f>IF(物品!K255=0,0,"'"&amp;物品!K255&amp;"'")</f>
        <v>0</v>
      </c>
      <c r="K220" s="32">
        <f>IF(物品!L255=0,0,"'"&amp;物品!L255&amp;"'")</f>
        <v>0</v>
      </c>
      <c r="L220" s="32">
        <f>IF(物品!M255=0,0,"'"&amp;物品!M255&amp;"'")</f>
        <v>0</v>
      </c>
      <c r="M220" s="32">
        <f>IF(物品!N255=0,0,"'"&amp;物品!N255&amp;"'")</f>
        <v>0</v>
      </c>
      <c r="N220" s="32">
        <f>IF(物品!O255=0,0,"'"&amp;物品!O255&amp;"'")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物品!A256</f>
        <v>0</v>
      </c>
      <c r="B221" s="32" t="str">
        <f>"'"&amp;物品!B256&amp;"'"</f>
        <v>'IF23'</v>
      </c>
      <c r="C221" s="32">
        <f>物品!J256</f>
        <v>0</v>
      </c>
      <c r="D221" s="32">
        <f>物品!K256</f>
        <v>0</v>
      </c>
      <c r="E221" s="32">
        <f>物品!L256</f>
        <v>0</v>
      </c>
      <c r="F221" s="32">
        <f>物品!M256</f>
        <v>0</v>
      </c>
      <c r="G221" s="32">
        <f>物品!N256</f>
        <v>0</v>
      </c>
      <c r="H221" s="32">
        <f>物品!O256</f>
        <v>0</v>
      </c>
      <c r="I221" s="32">
        <f>IF(物品!J256=0,0,"'"&amp;物品!J256&amp;"'")</f>
        <v>0</v>
      </c>
      <c r="J221" s="32">
        <f>IF(物品!K256=0,0,"'"&amp;物品!K256&amp;"'")</f>
        <v>0</v>
      </c>
      <c r="K221" s="32">
        <f>IF(物品!L256=0,0,"'"&amp;物品!L256&amp;"'")</f>
        <v>0</v>
      </c>
      <c r="L221" s="32">
        <f>IF(物品!M256=0,0,"'"&amp;物品!M256&amp;"'")</f>
        <v>0</v>
      </c>
      <c r="M221" s="32">
        <f>IF(物品!N256=0,0,"'"&amp;物品!N256&amp;"'")</f>
        <v>0</v>
      </c>
      <c r="N221" s="32">
        <f>IF(物品!O256=0,0,"'"&amp;物品!O256&amp;"'")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物品!A257</f>
        <v>0</v>
      </c>
      <c r="B222" s="32" t="str">
        <f>"'"&amp;物品!B257&amp;"'"</f>
        <v>'IF24'</v>
      </c>
      <c r="C222" s="32">
        <f>物品!J257</f>
        <v>0</v>
      </c>
      <c r="D222" s="32">
        <f>物品!K257</f>
        <v>0</v>
      </c>
      <c r="E222" s="32">
        <f>物品!L257</f>
        <v>0</v>
      </c>
      <c r="F222" s="32">
        <f>物品!M257</f>
        <v>0</v>
      </c>
      <c r="G222" s="32">
        <f>物品!N257</f>
        <v>0</v>
      </c>
      <c r="H222" s="32">
        <f>物品!O257</f>
        <v>0</v>
      </c>
      <c r="I222" s="32">
        <f>IF(物品!J257=0,0,"'"&amp;物品!J257&amp;"'")</f>
        <v>0</v>
      </c>
      <c r="J222" s="32">
        <f>IF(物品!K257=0,0,"'"&amp;物品!K257&amp;"'")</f>
        <v>0</v>
      </c>
      <c r="K222" s="32">
        <f>IF(物品!L257=0,0,"'"&amp;物品!L257&amp;"'")</f>
        <v>0</v>
      </c>
      <c r="L222" s="32">
        <f>IF(物品!M257=0,0,"'"&amp;物品!M257&amp;"'")</f>
        <v>0</v>
      </c>
      <c r="M222" s="32">
        <f>IF(物品!N257=0,0,"'"&amp;物品!N257&amp;"'")</f>
        <v>0</v>
      </c>
      <c r="N222" s="32">
        <f>IF(物品!O257=0,0,"'"&amp;物品!O257&amp;"'")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物品!A258</f>
        <v>0</v>
      </c>
      <c r="B223" s="32" t="str">
        <f>"'"&amp;物品!B258&amp;"'"</f>
        <v>'IF25'</v>
      </c>
      <c r="C223" s="32">
        <f>物品!J258</f>
        <v>0</v>
      </c>
      <c r="D223" s="32">
        <f>物品!K258</f>
        <v>0</v>
      </c>
      <c r="E223" s="32">
        <f>物品!L258</f>
        <v>0</v>
      </c>
      <c r="F223" s="32">
        <f>物品!M258</f>
        <v>0</v>
      </c>
      <c r="G223" s="32">
        <f>物品!N258</f>
        <v>0</v>
      </c>
      <c r="H223" s="32">
        <f>物品!O258</f>
        <v>0</v>
      </c>
      <c r="I223" s="32">
        <f>IF(物品!J258=0,0,"'"&amp;物品!J258&amp;"'")</f>
        <v>0</v>
      </c>
      <c r="J223" s="32">
        <f>IF(物品!K258=0,0,"'"&amp;物品!K258&amp;"'")</f>
        <v>0</v>
      </c>
      <c r="K223" s="32">
        <f>IF(物品!L258=0,0,"'"&amp;物品!L258&amp;"'")</f>
        <v>0</v>
      </c>
      <c r="L223" s="32">
        <f>IF(物品!M258=0,0,"'"&amp;物品!M258&amp;"'")</f>
        <v>0</v>
      </c>
      <c r="M223" s="32">
        <f>IF(物品!N258=0,0,"'"&amp;物品!N258&amp;"'")</f>
        <v>0</v>
      </c>
      <c r="N223" s="32">
        <f>IF(物品!O258=0,0,"'"&amp;物品!O258&amp;"'")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物品!A259</f>
        <v>0</v>
      </c>
      <c r="B224" s="32" t="str">
        <f>"'"&amp;物品!B259&amp;"'"</f>
        <v>'IF26'</v>
      </c>
      <c r="C224" s="32">
        <f>物品!J259</f>
        <v>0</v>
      </c>
      <c r="D224" s="32">
        <f>物品!K259</f>
        <v>0</v>
      </c>
      <c r="E224" s="32">
        <f>物品!L259</f>
        <v>0</v>
      </c>
      <c r="F224" s="32">
        <f>物品!M259</f>
        <v>0</v>
      </c>
      <c r="G224" s="32">
        <f>物品!N259</f>
        <v>0</v>
      </c>
      <c r="H224" s="32">
        <f>物品!O259</f>
        <v>0</v>
      </c>
      <c r="I224" s="32">
        <f>IF(物品!J259=0,0,"'"&amp;物品!J259&amp;"'")</f>
        <v>0</v>
      </c>
      <c r="J224" s="32">
        <f>IF(物品!K259=0,0,"'"&amp;物品!K259&amp;"'")</f>
        <v>0</v>
      </c>
      <c r="K224" s="32">
        <f>IF(物品!L259=0,0,"'"&amp;物品!L259&amp;"'")</f>
        <v>0</v>
      </c>
      <c r="L224" s="32">
        <f>IF(物品!M259=0,0,"'"&amp;物品!M259&amp;"'")</f>
        <v>0</v>
      </c>
      <c r="M224" s="32">
        <f>IF(物品!N259=0,0,"'"&amp;物品!N259&amp;"'")</f>
        <v>0</v>
      </c>
      <c r="N224" s="32">
        <f>IF(物品!O259=0,0,"'"&amp;物品!O259&amp;"'")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物品!A260</f>
        <v>0</v>
      </c>
      <c r="B225" s="32" t="str">
        <f>"'"&amp;物品!B260&amp;"'"</f>
        <v>'IF27'</v>
      </c>
      <c r="C225" s="32">
        <f>物品!J260</f>
        <v>0</v>
      </c>
      <c r="D225" s="32">
        <f>物品!K260</f>
        <v>0</v>
      </c>
      <c r="E225" s="32">
        <f>物品!L260</f>
        <v>0</v>
      </c>
      <c r="F225" s="32">
        <f>物品!M260</f>
        <v>0</v>
      </c>
      <c r="G225" s="32">
        <f>物品!N260</f>
        <v>0</v>
      </c>
      <c r="H225" s="32">
        <f>物品!O260</f>
        <v>0</v>
      </c>
      <c r="I225" s="32">
        <f>IF(物品!J260=0,0,"'"&amp;物品!J260&amp;"'")</f>
        <v>0</v>
      </c>
      <c r="J225" s="32">
        <f>IF(物品!K260=0,0,"'"&amp;物品!K260&amp;"'")</f>
        <v>0</v>
      </c>
      <c r="K225" s="32">
        <f>IF(物品!L260=0,0,"'"&amp;物品!L260&amp;"'")</f>
        <v>0</v>
      </c>
      <c r="L225" s="32">
        <f>IF(物品!M260=0,0,"'"&amp;物品!M260&amp;"'")</f>
        <v>0</v>
      </c>
      <c r="M225" s="32">
        <f>IF(物品!N260=0,0,"'"&amp;物品!N260&amp;"'")</f>
        <v>0</v>
      </c>
      <c r="N225" s="32">
        <f>IF(物品!O260=0,0,"'"&amp;物品!O260&amp;"'")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物品!A261</f>
        <v>0</v>
      </c>
      <c r="B226" s="32" t="str">
        <f>"'"&amp;物品!B261&amp;"'"</f>
        <v>''</v>
      </c>
      <c r="C226" s="32">
        <f>物品!J261</f>
        <v>0</v>
      </c>
      <c r="D226" s="32">
        <f>物品!K261</f>
        <v>0</v>
      </c>
      <c r="E226" s="32">
        <f>物品!L261</f>
        <v>0</v>
      </c>
      <c r="F226" s="32">
        <f>物品!M261</f>
        <v>0</v>
      </c>
      <c r="G226" s="32">
        <f>物品!N261</f>
        <v>0</v>
      </c>
      <c r="H226" s="32">
        <f>物品!O261</f>
        <v>0</v>
      </c>
      <c r="I226" s="32">
        <f>IF(物品!J261=0,0,"'"&amp;物品!J261&amp;"'")</f>
        <v>0</v>
      </c>
      <c r="J226" s="32">
        <f>IF(物品!K261=0,0,"'"&amp;物品!K261&amp;"'")</f>
        <v>0</v>
      </c>
      <c r="K226" s="32">
        <f>IF(物品!L261=0,0,"'"&amp;物品!L261&amp;"'")</f>
        <v>0</v>
      </c>
      <c r="L226" s="32">
        <f>IF(物品!M261=0,0,"'"&amp;物品!M261&amp;"'")</f>
        <v>0</v>
      </c>
      <c r="M226" s="32">
        <f>IF(物品!N261=0,0,"'"&amp;物品!N261&amp;"'")</f>
        <v>0</v>
      </c>
      <c r="N226" s="32">
        <f>IF(物品!O261=0,0,"'"&amp;物品!O261&amp;"'")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物品!A262</f>
        <v>0</v>
      </c>
      <c r="B227" s="32" t="str">
        <f>"'"&amp;物品!B262&amp;"'"</f>
        <v>''</v>
      </c>
      <c r="C227" s="32">
        <f>物品!J262</f>
        <v>0</v>
      </c>
      <c r="D227" s="32">
        <f>物品!K262</f>
        <v>0</v>
      </c>
      <c r="E227" s="32">
        <f>物品!L262</f>
        <v>0</v>
      </c>
      <c r="F227" s="32">
        <f>物品!M262</f>
        <v>0</v>
      </c>
      <c r="G227" s="32">
        <f>物品!N262</f>
        <v>0</v>
      </c>
      <c r="H227" s="32">
        <f>物品!O262</f>
        <v>0</v>
      </c>
      <c r="I227" s="32">
        <f>IF(物品!J262=0,0,"'"&amp;物品!J262&amp;"'")</f>
        <v>0</v>
      </c>
      <c r="J227" s="32">
        <f>IF(物品!K262=0,0,"'"&amp;物品!K262&amp;"'")</f>
        <v>0</v>
      </c>
      <c r="K227" s="32">
        <f>IF(物品!L262=0,0,"'"&amp;物品!L262&amp;"'")</f>
        <v>0</v>
      </c>
      <c r="L227" s="32">
        <f>IF(物品!M262=0,0,"'"&amp;物品!M262&amp;"'")</f>
        <v>0</v>
      </c>
      <c r="M227" s="32">
        <f>IF(物品!N262=0,0,"'"&amp;物品!N262&amp;"'")</f>
        <v>0</v>
      </c>
      <c r="N227" s="32">
        <f>IF(物品!O262=0,0,"'"&amp;物品!O262&amp;"'")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物品!A263</f>
        <v>0</v>
      </c>
      <c r="B228" s="32" t="str">
        <f>"'"&amp;物品!B263&amp;"'"</f>
        <v>''</v>
      </c>
      <c r="C228" s="32">
        <f>物品!J263</f>
        <v>0</v>
      </c>
      <c r="D228" s="32">
        <f>物品!K263</f>
        <v>0</v>
      </c>
      <c r="E228" s="32">
        <f>物品!L263</f>
        <v>0</v>
      </c>
      <c r="F228" s="32">
        <f>物品!M263</f>
        <v>0</v>
      </c>
      <c r="G228" s="32">
        <f>物品!N263</f>
        <v>0</v>
      </c>
      <c r="H228" s="32">
        <f>物品!O263</f>
        <v>0</v>
      </c>
      <c r="I228" s="32">
        <f>IF(物品!J263=0,0,"'"&amp;物品!J263&amp;"'")</f>
        <v>0</v>
      </c>
      <c r="J228" s="32">
        <f>IF(物品!K263=0,0,"'"&amp;物品!K263&amp;"'")</f>
        <v>0</v>
      </c>
      <c r="K228" s="32">
        <f>IF(物品!L263=0,0,"'"&amp;物品!L263&amp;"'")</f>
        <v>0</v>
      </c>
      <c r="L228" s="32">
        <f>IF(物品!M263=0,0,"'"&amp;物品!M263&amp;"'")</f>
        <v>0</v>
      </c>
      <c r="M228" s="32">
        <f>IF(物品!N263=0,0,"'"&amp;物品!N263&amp;"'")</f>
        <v>0</v>
      </c>
      <c r="N228" s="32">
        <f>IF(物品!O263=0,0,"'"&amp;物品!O263&amp;"'")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物品!A264</f>
        <v>0</v>
      </c>
      <c r="B229" s="32" t="str">
        <f>"'"&amp;物品!B264&amp;"'"</f>
        <v>''</v>
      </c>
      <c r="C229" s="32">
        <f>物品!J264</f>
        <v>0</v>
      </c>
      <c r="D229" s="32">
        <f>物品!K264</f>
        <v>0</v>
      </c>
      <c r="E229" s="32">
        <f>物品!L264</f>
        <v>0</v>
      </c>
      <c r="F229" s="32">
        <f>物品!M264</f>
        <v>0</v>
      </c>
      <c r="G229" s="32">
        <f>物品!N264</f>
        <v>0</v>
      </c>
      <c r="H229" s="32">
        <f>物品!O264</f>
        <v>0</v>
      </c>
      <c r="I229" s="32">
        <f>IF(物品!J264=0,0,"'"&amp;物品!J264&amp;"'")</f>
        <v>0</v>
      </c>
      <c r="J229" s="32">
        <f>IF(物品!K264=0,0,"'"&amp;物品!K264&amp;"'")</f>
        <v>0</v>
      </c>
      <c r="K229" s="32">
        <f>IF(物品!L264=0,0,"'"&amp;物品!L264&amp;"'")</f>
        <v>0</v>
      </c>
      <c r="L229" s="32">
        <f>IF(物品!M264=0,0,"'"&amp;物品!M264&amp;"'")</f>
        <v>0</v>
      </c>
      <c r="M229" s="32">
        <f>IF(物品!N264=0,0,"'"&amp;物品!N264&amp;"'")</f>
        <v>0</v>
      </c>
      <c r="N229" s="32">
        <f>IF(物品!O264=0,0,"'"&amp;物品!O264&amp;"'")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物品!A265</f>
        <v>0</v>
      </c>
      <c r="B230" s="32" t="str">
        <f>"'"&amp;物品!B265&amp;"'"</f>
        <v>''</v>
      </c>
      <c r="C230" s="32">
        <f>物品!J265</f>
        <v>0</v>
      </c>
      <c r="D230" s="32">
        <f>物品!K265</f>
        <v>0</v>
      </c>
      <c r="E230" s="32">
        <f>物品!L265</f>
        <v>0</v>
      </c>
      <c r="F230" s="32">
        <f>物品!M265</f>
        <v>0</v>
      </c>
      <c r="G230" s="32">
        <f>物品!N265</f>
        <v>0</v>
      </c>
      <c r="H230" s="32">
        <f>物品!O265</f>
        <v>0</v>
      </c>
      <c r="I230" s="32">
        <f>IF(物品!J265=0,0,"'"&amp;物品!J265&amp;"'")</f>
        <v>0</v>
      </c>
      <c r="J230" s="32">
        <f>IF(物品!K265=0,0,"'"&amp;物品!K265&amp;"'")</f>
        <v>0</v>
      </c>
      <c r="K230" s="32">
        <f>IF(物品!L265=0,0,"'"&amp;物品!L265&amp;"'")</f>
        <v>0</v>
      </c>
      <c r="L230" s="32">
        <f>IF(物品!M265=0,0,"'"&amp;物品!M265&amp;"'")</f>
        <v>0</v>
      </c>
      <c r="M230" s="32">
        <f>IF(物品!N265=0,0,"'"&amp;物品!N265&amp;"'")</f>
        <v>0</v>
      </c>
      <c r="N230" s="32">
        <f>IF(物品!O265=0,0,"'"&amp;物品!O265&amp;"'")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物品!A266</f>
        <v>0</v>
      </c>
      <c r="B231" s="32" t="str">
        <f>"'"&amp;物品!B266&amp;"'"</f>
        <v>''</v>
      </c>
      <c r="C231" s="32">
        <f>物品!J266</f>
        <v>0</v>
      </c>
      <c r="D231" s="32">
        <f>物品!K266</f>
        <v>0</v>
      </c>
      <c r="E231" s="32">
        <f>物品!L266</f>
        <v>0</v>
      </c>
      <c r="F231" s="32">
        <f>物品!M266</f>
        <v>0</v>
      </c>
      <c r="G231" s="32">
        <f>物品!N266</f>
        <v>0</v>
      </c>
      <c r="H231" s="32">
        <f>物品!O266</f>
        <v>0</v>
      </c>
      <c r="I231" s="32">
        <f>IF(物品!J266=0,0,"'"&amp;物品!J266&amp;"'")</f>
        <v>0</v>
      </c>
      <c r="J231" s="32">
        <f>IF(物品!K266=0,0,"'"&amp;物品!K266&amp;"'")</f>
        <v>0</v>
      </c>
      <c r="K231" s="32">
        <f>IF(物品!L266=0,0,"'"&amp;物品!L266&amp;"'")</f>
        <v>0</v>
      </c>
      <c r="L231" s="32">
        <f>IF(物品!M266=0,0,"'"&amp;物品!M266&amp;"'")</f>
        <v>0</v>
      </c>
      <c r="M231" s="32">
        <f>IF(物品!N266=0,0,"'"&amp;物品!N266&amp;"'")</f>
        <v>0</v>
      </c>
      <c r="N231" s="32">
        <f>IF(物品!O266=0,0,"'"&amp;物品!O266&amp;"'")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物品!A267</f>
        <v>0</v>
      </c>
      <c r="B232" s="32" t="str">
        <f>"'"&amp;物品!B267&amp;"'"</f>
        <v>''</v>
      </c>
      <c r="C232" s="32">
        <f>物品!J267</f>
        <v>0</v>
      </c>
      <c r="D232" s="32">
        <f>物品!K267</f>
        <v>0</v>
      </c>
      <c r="E232" s="32">
        <f>物品!L267</f>
        <v>0</v>
      </c>
      <c r="F232" s="32">
        <f>物品!M267</f>
        <v>0</v>
      </c>
      <c r="G232" s="32">
        <f>物品!N267</f>
        <v>0</v>
      </c>
      <c r="H232" s="32">
        <f>物品!O267</f>
        <v>0</v>
      </c>
      <c r="I232" s="32">
        <f>IF(物品!J267=0,0,"'"&amp;物品!J267&amp;"'")</f>
        <v>0</v>
      </c>
      <c r="J232" s="32">
        <f>IF(物品!K267=0,0,"'"&amp;物品!K267&amp;"'")</f>
        <v>0</v>
      </c>
      <c r="K232" s="32">
        <f>IF(物品!L267=0,0,"'"&amp;物品!L267&amp;"'")</f>
        <v>0</v>
      </c>
      <c r="L232" s="32">
        <f>IF(物品!M267=0,0,"'"&amp;物品!M267&amp;"'")</f>
        <v>0</v>
      </c>
      <c r="M232" s="32">
        <f>IF(物品!N267=0,0,"'"&amp;物品!N267&amp;"'")</f>
        <v>0</v>
      </c>
      <c r="N232" s="32">
        <f>IF(物品!O267=0,0,"'"&amp;物品!O267&amp;"'")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物品!A268</f>
        <v>0</v>
      </c>
      <c r="B233" s="32" t="str">
        <f>"'"&amp;物品!B268&amp;"'"</f>
        <v>''</v>
      </c>
      <c r="C233" s="32">
        <f>物品!J268</f>
        <v>0</v>
      </c>
      <c r="D233" s="32">
        <f>物品!K268</f>
        <v>0</v>
      </c>
      <c r="E233" s="32">
        <f>物品!L268</f>
        <v>0</v>
      </c>
      <c r="F233" s="32">
        <f>物品!M268</f>
        <v>0</v>
      </c>
      <c r="G233" s="32">
        <f>物品!N268</f>
        <v>0</v>
      </c>
      <c r="H233" s="32">
        <f>物品!O268</f>
        <v>0</v>
      </c>
      <c r="I233" s="32">
        <f>IF(物品!J268=0,0,"'"&amp;物品!J268&amp;"'")</f>
        <v>0</v>
      </c>
      <c r="J233" s="32">
        <f>IF(物品!K268=0,0,"'"&amp;物品!K268&amp;"'")</f>
        <v>0</v>
      </c>
      <c r="K233" s="32">
        <f>IF(物品!L268=0,0,"'"&amp;物品!L268&amp;"'")</f>
        <v>0</v>
      </c>
      <c r="L233" s="32">
        <f>IF(物品!M268=0,0,"'"&amp;物品!M268&amp;"'")</f>
        <v>0</v>
      </c>
      <c r="M233" s="32">
        <f>IF(物品!N268=0,0,"'"&amp;物品!N268&amp;"'")</f>
        <v>0</v>
      </c>
      <c r="N233" s="32">
        <f>IF(物品!O268=0,0,"'"&amp;物品!O268&amp;"'")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物品!A269</f>
        <v>0</v>
      </c>
      <c r="B234" s="32" t="str">
        <f>"'"&amp;物品!B269&amp;"'"</f>
        <v>''</v>
      </c>
      <c r="C234" s="32">
        <f>物品!J269</f>
        <v>0</v>
      </c>
      <c r="D234" s="32">
        <f>物品!K269</f>
        <v>0</v>
      </c>
      <c r="E234" s="32">
        <f>物品!L269</f>
        <v>0</v>
      </c>
      <c r="F234" s="32">
        <f>物品!M269</f>
        <v>0</v>
      </c>
      <c r="G234" s="32">
        <f>物品!N269</f>
        <v>0</v>
      </c>
      <c r="H234" s="32">
        <f>物品!O269</f>
        <v>0</v>
      </c>
      <c r="I234" s="32">
        <f>IF(物品!J269=0,0,"'"&amp;物品!J269&amp;"'")</f>
        <v>0</v>
      </c>
      <c r="J234" s="32">
        <f>IF(物品!K269=0,0,"'"&amp;物品!K269&amp;"'")</f>
        <v>0</v>
      </c>
      <c r="K234" s="32">
        <f>IF(物品!L269=0,0,"'"&amp;物品!L269&amp;"'")</f>
        <v>0</v>
      </c>
      <c r="L234" s="32">
        <f>IF(物品!M269=0,0,"'"&amp;物品!M269&amp;"'")</f>
        <v>0</v>
      </c>
      <c r="M234" s="32">
        <f>IF(物品!N269=0,0,"'"&amp;物品!N269&amp;"'")</f>
        <v>0</v>
      </c>
      <c r="N234" s="32">
        <f>IF(物品!O269=0,0,"'"&amp;物品!O269&amp;"'")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物品!A270</f>
        <v>0</v>
      </c>
      <c r="B235" s="32" t="str">
        <f>"'"&amp;物品!B270&amp;"'"</f>
        <v>''</v>
      </c>
      <c r="C235" s="32">
        <f>物品!J270</f>
        <v>0</v>
      </c>
      <c r="D235" s="32">
        <f>物品!K270</f>
        <v>0</v>
      </c>
      <c r="E235" s="32">
        <f>物品!L270</f>
        <v>0</v>
      </c>
      <c r="F235" s="32">
        <f>物品!M270</f>
        <v>0</v>
      </c>
      <c r="G235" s="32">
        <f>物品!N270</f>
        <v>0</v>
      </c>
      <c r="H235" s="32">
        <f>物品!O270</f>
        <v>0</v>
      </c>
      <c r="I235" s="32">
        <f>IF(物品!J270=0,0,"'"&amp;物品!J270&amp;"'")</f>
        <v>0</v>
      </c>
      <c r="J235" s="32">
        <f>IF(物品!K270=0,0,"'"&amp;物品!K270&amp;"'")</f>
        <v>0</v>
      </c>
      <c r="K235" s="32">
        <f>IF(物品!L270=0,0,"'"&amp;物品!L270&amp;"'")</f>
        <v>0</v>
      </c>
      <c r="L235" s="32">
        <f>IF(物品!M270=0,0,"'"&amp;物品!M270&amp;"'")</f>
        <v>0</v>
      </c>
      <c r="M235" s="32">
        <f>IF(物品!N270=0,0,"'"&amp;物品!N270&amp;"'")</f>
        <v>0</v>
      </c>
      <c r="N235" s="32">
        <f>IF(物品!O270=0,0,"'"&amp;物品!O270&amp;"'")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物品!A271</f>
        <v>0</v>
      </c>
      <c r="B236" s="32" t="str">
        <f>"'"&amp;物品!B271&amp;"'"</f>
        <v>''</v>
      </c>
      <c r="C236" s="32">
        <f>物品!J271</f>
        <v>0</v>
      </c>
      <c r="D236" s="32">
        <f>物品!K271</f>
        <v>0</v>
      </c>
      <c r="E236" s="32">
        <f>物品!L271</f>
        <v>0</v>
      </c>
      <c r="F236" s="32">
        <f>物品!M271</f>
        <v>0</v>
      </c>
      <c r="G236" s="32">
        <f>物品!N271</f>
        <v>0</v>
      </c>
      <c r="H236" s="32">
        <f>物品!O271</f>
        <v>0</v>
      </c>
      <c r="I236" s="32">
        <f>IF(物品!J271=0,0,"'"&amp;物品!J271&amp;"'")</f>
        <v>0</v>
      </c>
      <c r="J236" s="32">
        <f>IF(物品!K271=0,0,"'"&amp;物品!K271&amp;"'")</f>
        <v>0</v>
      </c>
      <c r="K236" s="32">
        <f>IF(物品!L271=0,0,"'"&amp;物品!L271&amp;"'")</f>
        <v>0</v>
      </c>
      <c r="L236" s="32">
        <f>IF(物品!M271=0,0,"'"&amp;物品!M271&amp;"'")</f>
        <v>0</v>
      </c>
      <c r="M236" s="32">
        <f>IF(物品!N271=0,0,"'"&amp;物品!N271&amp;"'")</f>
        <v>0</v>
      </c>
      <c r="N236" s="32">
        <f>IF(物品!O271=0,0,"'"&amp;物品!O271&amp;"'")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物品!A272</f>
        <v>0</v>
      </c>
      <c r="B237" s="32" t="str">
        <f>"'"&amp;物品!B272&amp;"'"</f>
        <v>''</v>
      </c>
      <c r="C237" s="32">
        <f>物品!J272</f>
        <v>0</v>
      </c>
      <c r="D237" s="32">
        <f>物品!K272</f>
        <v>0</v>
      </c>
      <c r="E237" s="32">
        <f>物品!L272</f>
        <v>0</v>
      </c>
      <c r="F237" s="32">
        <f>物品!M272</f>
        <v>0</v>
      </c>
      <c r="G237" s="32">
        <f>物品!N272</f>
        <v>0</v>
      </c>
      <c r="H237" s="32">
        <f>物品!O272</f>
        <v>0</v>
      </c>
      <c r="I237" s="32">
        <f>IF(物品!J272=0,0,"'"&amp;物品!J272&amp;"'")</f>
        <v>0</v>
      </c>
      <c r="J237" s="32">
        <f>IF(物品!K272=0,0,"'"&amp;物品!K272&amp;"'")</f>
        <v>0</v>
      </c>
      <c r="K237" s="32">
        <f>IF(物品!L272=0,0,"'"&amp;物品!L272&amp;"'")</f>
        <v>0</v>
      </c>
      <c r="L237" s="32">
        <f>IF(物品!M272=0,0,"'"&amp;物品!M272&amp;"'")</f>
        <v>0</v>
      </c>
      <c r="M237" s="32">
        <f>IF(物品!N272=0,0,"'"&amp;物品!N272&amp;"'")</f>
        <v>0</v>
      </c>
      <c r="N237" s="32">
        <f>IF(物品!O272=0,0,"'"&amp;物品!O272&amp;"'")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物品!A273</f>
        <v>0</v>
      </c>
      <c r="B238" s="32" t="str">
        <f>"'"&amp;物品!B273&amp;"'"</f>
        <v>''</v>
      </c>
      <c r="C238" s="32">
        <f>物品!J273</f>
        <v>0</v>
      </c>
      <c r="D238" s="32">
        <f>物品!K273</f>
        <v>0</v>
      </c>
      <c r="E238" s="32">
        <f>物品!L273</f>
        <v>0</v>
      </c>
      <c r="F238" s="32">
        <f>物品!M273</f>
        <v>0</v>
      </c>
      <c r="G238" s="32">
        <f>物品!N273</f>
        <v>0</v>
      </c>
      <c r="H238" s="32">
        <f>物品!O273</f>
        <v>0</v>
      </c>
      <c r="I238" s="32">
        <f>IF(物品!J273=0,0,"'"&amp;物品!J273&amp;"'")</f>
        <v>0</v>
      </c>
      <c r="J238" s="32">
        <f>IF(物品!K273=0,0,"'"&amp;物品!K273&amp;"'")</f>
        <v>0</v>
      </c>
      <c r="K238" s="32">
        <f>IF(物品!L273=0,0,"'"&amp;物品!L273&amp;"'")</f>
        <v>0</v>
      </c>
      <c r="L238" s="32">
        <f>IF(物品!M273=0,0,"'"&amp;物品!M273&amp;"'")</f>
        <v>0</v>
      </c>
      <c r="M238" s="32">
        <f>IF(物品!N273=0,0,"'"&amp;物品!N273&amp;"'")</f>
        <v>0</v>
      </c>
      <c r="N238" s="32">
        <f>IF(物品!O273=0,0,"'"&amp;物品!O273&amp;"'")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物品!A274</f>
        <v>0</v>
      </c>
      <c r="B239" s="32" t="str">
        <f>"'"&amp;物品!B274&amp;"'"</f>
        <v>''</v>
      </c>
      <c r="C239" s="32">
        <f>物品!J274</f>
        <v>0</v>
      </c>
      <c r="D239" s="32">
        <f>物品!K274</f>
        <v>0</v>
      </c>
      <c r="E239" s="32">
        <f>物品!L274</f>
        <v>0</v>
      </c>
      <c r="F239" s="32">
        <f>物品!M274</f>
        <v>0</v>
      </c>
      <c r="G239" s="32">
        <f>物品!N274</f>
        <v>0</v>
      </c>
      <c r="H239" s="32">
        <f>物品!O274</f>
        <v>0</v>
      </c>
      <c r="I239" s="32">
        <f>IF(物品!J274=0,0,"'"&amp;物品!J274&amp;"'")</f>
        <v>0</v>
      </c>
      <c r="J239" s="32">
        <f>IF(物品!K274=0,0,"'"&amp;物品!K274&amp;"'")</f>
        <v>0</v>
      </c>
      <c r="K239" s="32">
        <f>IF(物品!L274=0,0,"'"&amp;物品!L274&amp;"'")</f>
        <v>0</v>
      </c>
      <c r="L239" s="32">
        <f>IF(物品!M274=0,0,"'"&amp;物品!M274&amp;"'")</f>
        <v>0</v>
      </c>
      <c r="M239" s="32">
        <f>IF(物品!N274=0,0,"'"&amp;物品!N274&amp;"'")</f>
        <v>0</v>
      </c>
      <c r="N239" s="32">
        <f>IF(物品!O274=0,0,"'"&amp;物品!O274&amp;"'")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物品!A275</f>
        <v>0</v>
      </c>
      <c r="B240" s="32" t="str">
        <f>"'"&amp;物品!B275&amp;"'"</f>
        <v>''</v>
      </c>
      <c r="C240" s="32">
        <f>物品!J275</f>
        <v>0</v>
      </c>
      <c r="D240" s="32">
        <f>物品!K275</f>
        <v>0</v>
      </c>
      <c r="E240" s="32">
        <f>物品!L275</f>
        <v>0</v>
      </c>
      <c r="F240" s="32">
        <f>物品!M275</f>
        <v>0</v>
      </c>
      <c r="G240" s="32">
        <f>物品!N275</f>
        <v>0</v>
      </c>
      <c r="H240" s="32">
        <f>物品!O275</f>
        <v>0</v>
      </c>
      <c r="I240" s="32">
        <f>IF(物品!J275=0,0,"'"&amp;物品!J275&amp;"'")</f>
        <v>0</v>
      </c>
      <c r="J240" s="32">
        <f>IF(物品!K275=0,0,"'"&amp;物品!K275&amp;"'")</f>
        <v>0</v>
      </c>
      <c r="K240" s="32">
        <f>IF(物品!L275=0,0,"'"&amp;物品!L275&amp;"'")</f>
        <v>0</v>
      </c>
      <c r="L240" s="32">
        <f>IF(物品!M275=0,0,"'"&amp;物品!M275&amp;"'")</f>
        <v>0</v>
      </c>
      <c r="M240" s="32">
        <f>IF(物品!N275=0,0,"'"&amp;物品!N275&amp;"'")</f>
        <v>0</v>
      </c>
      <c r="N240" s="32">
        <f>IF(物品!O275=0,0,"'"&amp;物品!O275&amp;"'")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物品!A276</f>
        <v>0</v>
      </c>
      <c r="B241" s="32" t="str">
        <f>"'"&amp;物品!B276&amp;"'"</f>
        <v>''</v>
      </c>
      <c r="C241" s="32">
        <f>物品!J276</f>
        <v>0</v>
      </c>
      <c r="D241" s="32">
        <f>物品!K276</f>
        <v>0</v>
      </c>
      <c r="E241" s="32">
        <f>物品!L276</f>
        <v>0</v>
      </c>
      <c r="F241" s="32">
        <f>物品!M276</f>
        <v>0</v>
      </c>
      <c r="G241" s="32">
        <f>物品!N276</f>
        <v>0</v>
      </c>
      <c r="H241" s="32">
        <f>物品!O276</f>
        <v>0</v>
      </c>
      <c r="I241" s="32">
        <f>IF(物品!J276=0,0,"'"&amp;物品!J276&amp;"'")</f>
        <v>0</v>
      </c>
      <c r="J241" s="32">
        <f>IF(物品!K276=0,0,"'"&amp;物品!K276&amp;"'")</f>
        <v>0</v>
      </c>
      <c r="K241" s="32">
        <f>IF(物品!L276=0,0,"'"&amp;物品!L276&amp;"'")</f>
        <v>0</v>
      </c>
      <c r="L241" s="32">
        <f>IF(物品!M276=0,0,"'"&amp;物品!M276&amp;"'")</f>
        <v>0</v>
      </c>
      <c r="M241" s="32">
        <f>IF(物品!N276=0,0,"'"&amp;物品!N276&amp;"'")</f>
        <v>0</v>
      </c>
      <c r="N241" s="32">
        <f>IF(物品!O276=0,0,"'"&amp;物品!O276&amp;"'")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物品!A277</f>
        <v>0</v>
      </c>
      <c r="B242" s="32" t="str">
        <f>"'"&amp;物品!B277&amp;"'"</f>
        <v>''</v>
      </c>
      <c r="C242" s="32">
        <f>物品!J277</f>
        <v>0</v>
      </c>
      <c r="D242" s="32">
        <f>物品!K277</f>
        <v>0</v>
      </c>
      <c r="E242" s="32">
        <f>物品!L277</f>
        <v>0</v>
      </c>
      <c r="F242" s="32">
        <f>物品!M277</f>
        <v>0</v>
      </c>
      <c r="G242" s="32">
        <f>物品!N277</f>
        <v>0</v>
      </c>
      <c r="H242" s="32">
        <f>物品!O277</f>
        <v>0</v>
      </c>
      <c r="I242" s="32">
        <f>IF(物品!J277=0,0,"'"&amp;物品!J277&amp;"'")</f>
        <v>0</v>
      </c>
      <c r="J242" s="32">
        <f>IF(物品!K277=0,0,"'"&amp;物品!K277&amp;"'")</f>
        <v>0</v>
      </c>
      <c r="K242" s="32">
        <f>IF(物品!L277=0,0,"'"&amp;物品!L277&amp;"'")</f>
        <v>0</v>
      </c>
      <c r="L242" s="32">
        <f>IF(物品!M277=0,0,"'"&amp;物品!M277&amp;"'")</f>
        <v>0</v>
      </c>
      <c r="M242" s="32">
        <f>IF(物品!N277=0,0,"'"&amp;物品!N277&amp;"'")</f>
        <v>0</v>
      </c>
      <c r="N242" s="32">
        <f>IF(物品!O277=0,0,"'"&amp;物品!O277&amp;"'")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物品!A278</f>
        <v>0</v>
      </c>
      <c r="B243" s="32" t="str">
        <f>"'"&amp;物品!B278&amp;"'"</f>
        <v>''</v>
      </c>
      <c r="C243" s="32">
        <f>物品!J278</f>
        <v>0</v>
      </c>
      <c r="D243" s="32">
        <f>物品!K278</f>
        <v>0</v>
      </c>
      <c r="E243" s="32">
        <f>物品!L278</f>
        <v>0</v>
      </c>
      <c r="F243" s="32">
        <f>物品!M278</f>
        <v>0</v>
      </c>
      <c r="G243" s="32">
        <f>物品!N278</f>
        <v>0</v>
      </c>
      <c r="H243" s="32">
        <f>物品!O278</f>
        <v>0</v>
      </c>
      <c r="I243" s="32">
        <f>IF(物品!J278=0,0,"'"&amp;物品!J278&amp;"'")</f>
        <v>0</v>
      </c>
      <c r="J243" s="32">
        <f>IF(物品!K278=0,0,"'"&amp;物品!K278&amp;"'")</f>
        <v>0</v>
      </c>
      <c r="K243" s="32">
        <f>IF(物品!L278=0,0,"'"&amp;物品!L278&amp;"'")</f>
        <v>0</v>
      </c>
      <c r="L243" s="32">
        <f>IF(物品!M278=0,0,"'"&amp;物品!M278&amp;"'")</f>
        <v>0</v>
      </c>
      <c r="M243" s="32">
        <f>IF(物品!N278=0,0,"'"&amp;物品!N278&amp;"'")</f>
        <v>0</v>
      </c>
      <c r="N243" s="32">
        <f>IF(物品!O278=0,0,"'"&amp;物品!O278&amp;"'")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物品!A279</f>
        <v>0</v>
      </c>
      <c r="B244" s="32" t="str">
        <f>"'"&amp;物品!B279&amp;"'"</f>
        <v>''</v>
      </c>
      <c r="C244" s="32">
        <f>物品!J279</f>
        <v>0</v>
      </c>
      <c r="D244" s="32">
        <f>物品!K279</f>
        <v>0</v>
      </c>
      <c r="E244" s="32">
        <f>物品!L279</f>
        <v>0</v>
      </c>
      <c r="F244" s="32">
        <f>物品!M279</f>
        <v>0</v>
      </c>
      <c r="G244" s="32">
        <f>物品!N279</f>
        <v>0</v>
      </c>
      <c r="H244" s="32">
        <f>物品!O279</f>
        <v>0</v>
      </c>
      <c r="I244" s="32">
        <f>IF(物品!J279=0,0,"'"&amp;物品!J279&amp;"'")</f>
        <v>0</v>
      </c>
      <c r="J244" s="32">
        <f>IF(物品!K279=0,0,"'"&amp;物品!K279&amp;"'")</f>
        <v>0</v>
      </c>
      <c r="K244" s="32">
        <f>IF(物品!L279=0,0,"'"&amp;物品!L279&amp;"'")</f>
        <v>0</v>
      </c>
      <c r="L244" s="32">
        <f>IF(物品!M279=0,0,"'"&amp;物品!M279&amp;"'")</f>
        <v>0</v>
      </c>
      <c r="M244" s="32">
        <f>IF(物品!N279=0,0,"'"&amp;物品!N279&amp;"'")</f>
        <v>0</v>
      </c>
      <c r="N244" s="32">
        <f>IF(物品!O279=0,0,"'"&amp;物品!O279&amp;"'")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物品!A280</f>
        <v>0</v>
      </c>
      <c r="B245" s="32" t="str">
        <f>"'"&amp;物品!B280&amp;"'"</f>
        <v>''</v>
      </c>
      <c r="C245" s="32">
        <f>物品!J280</f>
        <v>0</v>
      </c>
      <c r="D245" s="32">
        <f>物品!K280</f>
        <v>0</v>
      </c>
      <c r="E245" s="32">
        <f>物品!L280</f>
        <v>0</v>
      </c>
      <c r="F245" s="32">
        <f>物品!M280</f>
        <v>0</v>
      </c>
      <c r="G245" s="32">
        <f>物品!N280</f>
        <v>0</v>
      </c>
      <c r="H245" s="32">
        <f>物品!O280</f>
        <v>0</v>
      </c>
      <c r="I245" s="32">
        <f>IF(物品!J280=0,0,"'"&amp;物品!J280&amp;"'")</f>
        <v>0</v>
      </c>
      <c r="J245" s="32">
        <f>IF(物品!K280=0,0,"'"&amp;物品!K280&amp;"'")</f>
        <v>0</v>
      </c>
      <c r="K245" s="32">
        <f>IF(物品!L280=0,0,"'"&amp;物品!L280&amp;"'")</f>
        <v>0</v>
      </c>
      <c r="L245" s="32">
        <f>IF(物品!M280=0,0,"'"&amp;物品!M280&amp;"'")</f>
        <v>0</v>
      </c>
      <c r="M245" s="32">
        <f>IF(物品!N280=0,0,"'"&amp;物品!N280&amp;"'")</f>
        <v>0</v>
      </c>
      <c r="N245" s="32">
        <f>IF(物品!O280=0,0,"'"&amp;物品!O280&amp;"'")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物品!A281</f>
        <v>0</v>
      </c>
      <c r="B246" s="32" t="str">
        <f>"'"&amp;物品!B281&amp;"'"</f>
        <v>''</v>
      </c>
      <c r="C246" s="32">
        <f>物品!J281</f>
        <v>0</v>
      </c>
      <c r="D246" s="32">
        <f>物品!K281</f>
        <v>0</v>
      </c>
      <c r="E246" s="32">
        <f>物品!L281</f>
        <v>0</v>
      </c>
      <c r="F246" s="32">
        <f>物品!M281</f>
        <v>0</v>
      </c>
      <c r="G246" s="32">
        <f>物品!N281</f>
        <v>0</v>
      </c>
      <c r="H246" s="32">
        <f>物品!O281</f>
        <v>0</v>
      </c>
      <c r="I246" s="32">
        <f>IF(物品!J281=0,0,"'"&amp;物品!J281&amp;"'")</f>
        <v>0</v>
      </c>
      <c r="J246" s="32">
        <f>IF(物品!K281=0,0,"'"&amp;物品!K281&amp;"'")</f>
        <v>0</v>
      </c>
      <c r="K246" s="32">
        <f>IF(物品!L281=0,0,"'"&amp;物品!L281&amp;"'")</f>
        <v>0</v>
      </c>
      <c r="L246" s="32">
        <f>IF(物品!M281=0,0,"'"&amp;物品!M281&amp;"'")</f>
        <v>0</v>
      </c>
      <c r="M246" s="32">
        <f>IF(物品!N281=0,0,"'"&amp;物品!N281&amp;"'")</f>
        <v>0</v>
      </c>
      <c r="N246" s="32">
        <f>IF(物品!O281=0,0,"'"&amp;物品!O281&amp;"'")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物品!A282</f>
        <v>0</v>
      </c>
      <c r="B247" s="32" t="str">
        <f>"'"&amp;物品!B282&amp;"'"</f>
        <v>''</v>
      </c>
      <c r="C247" s="32">
        <f>物品!J282</f>
        <v>0</v>
      </c>
      <c r="D247" s="32">
        <f>物品!K282</f>
        <v>0</v>
      </c>
      <c r="E247" s="32">
        <f>物品!L282</f>
        <v>0</v>
      </c>
      <c r="F247" s="32">
        <f>物品!M282</f>
        <v>0</v>
      </c>
      <c r="G247" s="32">
        <f>物品!N282</f>
        <v>0</v>
      </c>
      <c r="H247" s="32">
        <f>物品!O282</f>
        <v>0</v>
      </c>
      <c r="I247" s="32">
        <f>IF(物品!J282=0,0,"'"&amp;物品!J282&amp;"'")</f>
        <v>0</v>
      </c>
      <c r="J247" s="32">
        <f>IF(物品!K282=0,0,"'"&amp;物品!K282&amp;"'")</f>
        <v>0</v>
      </c>
      <c r="K247" s="32">
        <f>IF(物品!L282=0,0,"'"&amp;物品!L282&amp;"'")</f>
        <v>0</v>
      </c>
      <c r="L247" s="32">
        <f>IF(物品!M282=0,0,"'"&amp;物品!M282&amp;"'")</f>
        <v>0</v>
      </c>
      <c r="M247" s="32">
        <f>IF(物品!N282=0,0,"'"&amp;物品!N282&amp;"'")</f>
        <v>0</v>
      </c>
      <c r="N247" s="32">
        <f>IF(物品!O282=0,0,"'"&amp;物品!O282&amp;"'")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物品!A283</f>
        <v>0</v>
      </c>
      <c r="B248" s="32" t="str">
        <f>"'"&amp;物品!B283&amp;"'"</f>
        <v>''</v>
      </c>
      <c r="C248" s="32">
        <f>物品!J283</f>
        <v>0</v>
      </c>
      <c r="D248" s="32">
        <f>物品!K283</f>
        <v>0</v>
      </c>
      <c r="E248" s="32">
        <f>物品!L283</f>
        <v>0</v>
      </c>
      <c r="F248" s="32">
        <f>物品!M283</f>
        <v>0</v>
      </c>
      <c r="G248" s="32">
        <f>物品!N283</f>
        <v>0</v>
      </c>
      <c r="H248" s="32">
        <f>物品!O283</f>
        <v>0</v>
      </c>
      <c r="I248" s="32">
        <f>IF(物品!J283=0,0,"'"&amp;物品!J283&amp;"'")</f>
        <v>0</v>
      </c>
      <c r="J248" s="32">
        <f>IF(物品!K283=0,0,"'"&amp;物品!K283&amp;"'")</f>
        <v>0</v>
      </c>
      <c r="K248" s="32">
        <f>IF(物品!L283=0,0,"'"&amp;物品!L283&amp;"'")</f>
        <v>0</v>
      </c>
      <c r="L248" s="32">
        <f>IF(物品!M283=0,0,"'"&amp;物品!M283&amp;"'")</f>
        <v>0</v>
      </c>
      <c r="M248" s="32">
        <f>IF(物品!N283=0,0,"'"&amp;物品!N283&amp;"'")</f>
        <v>0</v>
      </c>
      <c r="N248" s="32">
        <f>IF(物品!O283=0,0,"'"&amp;物品!O283&amp;"'")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物品!A284</f>
        <v>0</v>
      </c>
      <c r="B249" s="32" t="str">
        <f>"'"&amp;物品!B284&amp;"'"</f>
        <v>''</v>
      </c>
      <c r="C249" s="32">
        <f>物品!J284</f>
        <v>0</v>
      </c>
      <c r="D249" s="32">
        <f>物品!K284</f>
        <v>0</v>
      </c>
      <c r="E249" s="32">
        <f>物品!L284</f>
        <v>0</v>
      </c>
      <c r="F249" s="32">
        <f>物品!M284</f>
        <v>0</v>
      </c>
      <c r="G249" s="32">
        <f>物品!N284</f>
        <v>0</v>
      </c>
      <c r="H249" s="32">
        <f>物品!O284</f>
        <v>0</v>
      </c>
      <c r="I249" s="32">
        <f>IF(物品!J284=0,0,"'"&amp;物品!J284&amp;"'")</f>
        <v>0</v>
      </c>
      <c r="J249" s="32">
        <f>IF(物品!K284=0,0,"'"&amp;物品!K284&amp;"'")</f>
        <v>0</v>
      </c>
      <c r="K249" s="32">
        <f>IF(物品!L284=0,0,"'"&amp;物品!L284&amp;"'")</f>
        <v>0</v>
      </c>
      <c r="L249" s="32">
        <f>IF(物品!M284=0,0,"'"&amp;物品!M284&amp;"'")</f>
        <v>0</v>
      </c>
      <c r="M249" s="32">
        <f>IF(物品!N284=0,0,"'"&amp;物品!N284&amp;"'")</f>
        <v>0</v>
      </c>
      <c r="N249" s="32">
        <f>IF(物品!O284=0,0,"'"&amp;物品!O284&amp;"'")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物品!A285</f>
        <v>0</v>
      </c>
      <c r="B250" s="32" t="str">
        <f>"'"&amp;物品!B285&amp;"'"</f>
        <v>''</v>
      </c>
      <c r="C250" s="32">
        <f>物品!J285</f>
        <v>0</v>
      </c>
      <c r="D250" s="32">
        <f>物品!K285</f>
        <v>0</v>
      </c>
      <c r="E250" s="32">
        <f>物品!L285</f>
        <v>0</v>
      </c>
      <c r="F250" s="32">
        <f>物品!M285</f>
        <v>0</v>
      </c>
      <c r="G250" s="32">
        <f>物品!N285</f>
        <v>0</v>
      </c>
      <c r="H250" s="32">
        <f>物品!O285</f>
        <v>0</v>
      </c>
      <c r="I250" s="32">
        <f>IF(物品!J285=0,0,"'"&amp;物品!J285&amp;"'")</f>
        <v>0</v>
      </c>
      <c r="J250" s="32">
        <f>IF(物品!K285=0,0,"'"&amp;物品!K285&amp;"'")</f>
        <v>0</v>
      </c>
      <c r="K250" s="32">
        <f>IF(物品!L285=0,0,"'"&amp;物品!L285&amp;"'")</f>
        <v>0</v>
      </c>
      <c r="L250" s="32">
        <f>IF(物品!M285=0,0,"'"&amp;物品!M285&amp;"'")</f>
        <v>0</v>
      </c>
      <c r="M250" s="32">
        <f>IF(物品!N285=0,0,"'"&amp;物品!N285&amp;"'")</f>
        <v>0</v>
      </c>
      <c r="N250" s="32">
        <f>IF(物品!O285=0,0,"'"&amp;物品!O285&amp;"'")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物品!A286</f>
        <v>0</v>
      </c>
      <c r="B251" s="32" t="str">
        <f>"'"&amp;物品!B286&amp;"'"</f>
        <v>''</v>
      </c>
      <c r="C251" s="32">
        <f>物品!J286</f>
        <v>0</v>
      </c>
      <c r="D251" s="32">
        <f>物品!K286</f>
        <v>0</v>
      </c>
      <c r="E251" s="32">
        <f>物品!L286</f>
        <v>0</v>
      </c>
      <c r="F251" s="32">
        <f>物品!M286</f>
        <v>0</v>
      </c>
      <c r="G251" s="32">
        <f>物品!N286</f>
        <v>0</v>
      </c>
      <c r="H251" s="32">
        <f>物品!O286</f>
        <v>0</v>
      </c>
      <c r="I251" s="32">
        <f>IF(物品!J286=0,0,"'"&amp;物品!J286&amp;"'")</f>
        <v>0</v>
      </c>
      <c r="J251" s="32">
        <f>IF(物品!K286=0,0,"'"&amp;物品!K286&amp;"'")</f>
        <v>0</v>
      </c>
      <c r="K251" s="32">
        <f>IF(物品!L286=0,0,"'"&amp;物品!L286&amp;"'")</f>
        <v>0</v>
      </c>
      <c r="L251" s="32">
        <f>IF(物品!M286=0,0,"'"&amp;物品!M286&amp;"'")</f>
        <v>0</v>
      </c>
      <c r="M251" s="32">
        <f>IF(物品!N286=0,0,"'"&amp;物品!N286&amp;"'")</f>
        <v>0</v>
      </c>
      <c r="N251" s="32">
        <f>IF(物品!O286=0,0,"'"&amp;物品!O286&amp;"'")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物品!A287</f>
        <v>0</v>
      </c>
      <c r="B252" s="32" t="str">
        <f>"'"&amp;物品!B287&amp;"'"</f>
        <v>''</v>
      </c>
      <c r="C252" s="32">
        <f>物品!J287</f>
        <v>0</v>
      </c>
      <c r="D252" s="32">
        <f>物品!K287</f>
        <v>0</v>
      </c>
      <c r="E252" s="32">
        <f>物品!L287</f>
        <v>0</v>
      </c>
      <c r="F252" s="32">
        <f>物品!M287</f>
        <v>0</v>
      </c>
      <c r="G252" s="32">
        <f>物品!N287</f>
        <v>0</v>
      </c>
      <c r="H252" s="32">
        <f>物品!O287</f>
        <v>0</v>
      </c>
      <c r="I252" s="32">
        <f>IF(物品!J287=0,0,"'"&amp;物品!J287&amp;"'")</f>
        <v>0</v>
      </c>
      <c r="J252" s="32">
        <f>IF(物品!K287=0,0,"'"&amp;物品!K287&amp;"'")</f>
        <v>0</v>
      </c>
      <c r="K252" s="32">
        <f>IF(物品!L287=0,0,"'"&amp;物品!L287&amp;"'")</f>
        <v>0</v>
      </c>
      <c r="L252" s="32">
        <f>IF(物品!M287=0,0,"'"&amp;物品!M287&amp;"'")</f>
        <v>0</v>
      </c>
      <c r="M252" s="32">
        <f>IF(物品!N287=0,0,"'"&amp;物品!N287&amp;"'")</f>
        <v>0</v>
      </c>
      <c r="N252" s="32">
        <f>IF(物品!O287=0,0,"'"&amp;物品!O287&amp;"'")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物品!A288</f>
        <v>0</v>
      </c>
      <c r="B253" s="32" t="str">
        <f>"'"&amp;物品!B288&amp;"'"</f>
        <v>''</v>
      </c>
      <c r="C253" s="32">
        <f>物品!J288</f>
        <v>0</v>
      </c>
      <c r="D253" s="32">
        <f>物品!K288</f>
        <v>0</v>
      </c>
      <c r="E253" s="32">
        <f>物品!L288</f>
        <v>0</v>
      </c>
      <c r="F253" s="32">
        <f>物品!M288</f>
        <v>0</v>
      </c>
      <c r="G253" s="32">
        <f>物品!N288</f>
        <v>0</v>
      </c>
      <c r="H253" s="32">
        <f>物品!O288</f>
        <v>0</v>
      </c>
      <c r="I253" s="32">
        <f>IF(物品!J288=0,0,"'"&amp;物品!J288&amp;"'")</f>
        <v>0</v>
      </c>
      <c r="J253" s="32">
        <f>IF(物品!K288=0,0,"'"&amp;物品!K288&amp;"'")</f>
        <v>0</v>
      </c>
      <c r="K253" s="32">
        <f>IF(物品!L288=0,0,"'"&amp;物品!L288&amp;"'")</f>
        <v>0</v>
      </c>
      <c r="L253" s="32">
        <f>IF(物品!M288=0,0,"'"&amp;物品!M288&amp;"'")</f>
        <v>0</v>
      </c>
      <c r="M253" s="32">
        <f>IF(物品!N288=0,0,"'"&amp;物品!N288&amp;"'")</f>
        <v>0</v>
      </c>
      <c r="N253" s="32">
        <f>IF(物品!O288=0,0,"'"&amp;物品!O288&amp;"'")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物品!A289</f>
        <v>0</v>
      </c>
      <c r="B254" s="32" t="str">
        <f>"'"&amp;物品!B289&amp;"'"</f>
        <v>''</v>
      </c>
      <c r="C254" s="32">
        <f>物品!J289</f>
        <v>0</v>
      </c>
      <c r="D254" s="32">
        <f>物品!K289</f>
        <v>0</v>
      </c>
      <c r="E254" s="32">
        <f>物品!L289</f>
        <v>0</v>
      </c>
      <c r="F254" s="32">
        <f>物品!M289</f>
        <v>0</v>
      </c>
      <c r="G254" s="32">
        <f>物品!N289</f>
        <v>0</v>
      </c>
      <c r="H254" s="32">
        <f>物品!O289</f>
        <v>0</v>
      </c>
      <c r="I254" s="32">
        <f>IF(物品!J289=0,0,"'"&amp;物品!J289&amp;"'")</f>
        <v>0</v>
      </c>
      <c r="J254" s="32">
        <f>IF(物品!K289=0,0,"'"&amp;物品!K289&amp;"'")</f>
        <v>0</v>
      </c>
      <c r="K254" s="32">
        <f>IF(物品!L289=0,0,"'"&amp;物品!L289&amp;"'")</f>
        <v>0</v>
      </c>
      <c r="L254" s="32">
        <f>IF(物品!M289=0,0,"'"&amp;物品!M289&amp;"'")</f>
        <v>0</v>
      </c>
      <c r="M254" s="32">
        <f>IF(物品!N289=0,0,"'"&amp;物品!N289&amp;"'")</f>
        <v>0</v>
      </c>
      <c r="N254" s="32">
        <f>IF(物品!O289=0,0,"'"&amp;物品!O289&amp;"'")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物品!A290</f>
        <v>0</v>
      </c>
      <c r="B255" s="32" t="str">
        <f>"'"&amp;物品!B290&amp;"'"</f>
        <v>''</v>
      </c>
      <c r="C255" s="32">
        <f>物品!J290</f>
        <v>0</v>
      </c>
      <c r="D255" s="32">
        <f>物品!K290</f>
        <v>0</v>
      </c>
      <c r="E255" s="32">
        <f>物品!L290</f>
        <v>0</v>
      </c>
      <c r="F255" s="32">
        <f>物品!M290</f>
        <v>0</v>
      </c>
      <c r="G255" s="32">
        <f>物品!N290</f>
        <v>0</v>
      </c>
      <c r="H255" s="32">
        <f>物品!O290</f>
        <v>0</v>
      </c>
      <c r="I255" s="32">
        <f>IF(物品!J290=0,0,"'"&amp;物品!J290&amp;"'")</f>
        <v>0</v>
      </c>
      <c r="J255" s="32">
        <f>IF(物品!K290=0,0,"'"&amp;物品!K290&amp;"'")</f>
        <v>0</v>
      </c>
      <c r="K255" s="32">
        <f>IF(物品!L290=0,0,"'"&amp;物品!L290&amp;"'")</f>
        <v>0</v>
      </c>
      <c r="L255" s="32">
        <f>IF(物品!M290=0,0,"'"&amp;物品!M290&amp;"'")</f>
        <v>0</v>
      </c>
      <c r="M255" s="32">
        <f>IF(物品!N290=0,0,"'"&amp;物品!N290&amp;"'")</f>
        <v>0</v>
      </c>
      <c r="N255" s="32">
        <f>IF(物品!O290=0,0,"'"&amp;物品!O290&amp;"'")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物品!A291</f>
        <v>0</v>
      </c>
      <c r="B256" s="32" t="str">
        <f>"'"&amp;物品!B291&amp;"'"</f>
        <v>''</v>
      </c>
      <c r="C256" s="32">
        <f>物品!J291</f>
        <v>0</v>
      </c>
      <c r="D256" s="32">
        <f>物品!K291</f>
        <v>0</v>
      </c>
      <c r="E256" s="32">
        <f>物品!L291</f>
        <v>0</v>
      </c>
      <c r="F256" s="32">
        <f>物品!M291</f>
        <v>0</v>
      </c>
      <c r="G256" s="32">
        <f>物品!N291</f>
        <v>0</v>
      </c>
      <c r="H256" s="32">
        <f>物品!O291</f>
        <v>0</v>
      </c>
      <c r="I256" s="32">
        <f>IF(物品!J291=0,0,"'"&amp;物品!J291&amp;"'")</f>
        <v>0</v>
      </c>
      <c r="J256" s="32">
        <f>IF(物品!K291=0,0,"'"&amp;物品!K291&amp;"'")</f>
        <v>0</v>
      </c>
      <c r="K256" s="32">
        <f>IF(物品!L291=0,0,"'"&amp;物品!L291&amp;"'")</f>
        <v>0</v>
      </c>
      <c r="L256" s="32">
        <f>IF(物品!M291=0,0,"'"&amp;物品!M291&amp;"'")</f>
        <v>0</v>
      </c>
      <c r="M256" s="32">
        <f>IF(物品!N291=0,0,"'"&amp;物品!N291&amp;"'")</f>
        <v>0</v>
      </c>
      <c r="N256" s="32">
        <f>IF(物品!O291=0,0,"'"&amp;物品!O291&amp;"'")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物品!A292</f>
        <v>0</v>
      </c>
      <c r="B257" s="32" t="str">
        <f>"'"&amp;物品!B292&amp;"'"</f>
        <v>''</v>
      </c>
      <c r="C257" s="32">
        <f>物品!J292</f>
        <v>0</v>
      </c>
      <c r="D257" s="32">
        <f>物品!K292</f>
        <v>0</v>
      </c>
      <c r="E257" s="32">
        <f>物品!L292</f>
        <v>0</v>
      </c>
      <c r="F257" s="32">
        <f>物品!M292</f>
        <v>0</v>
      </c>
      <c r="G257" s="32">
        <f>物品!N292</f>
        <v>0</v>
      </c>
      <c r="H257" s="32">
        <f>物品!O292</f>
        <v>0</v>
      </c>
      <c r="I257" s="32">
        <f>IF(物品!J292=0,0,"'"&amp;物品!J292&amp;"'")</f>
        <v>0</v>
      </c>
      <c r="J257" s="32">
        <f>IF(物品!K292=0,0,"'"&amp;物品!K292&amp;"'")</f>
        <v>0</v>
      </c>
      <c r="K257" s="32">
        <f>IF(物品!L292=0,0,"'"&amp;物品!L292&amp;"'")</f>
        <v>0</v>
      </c>
      <c r="L257" s="32">
        <f>IF(物品!M292=0,0,"'"&amp;物品!M292&amp;"'")</f>
        <v>0</v>
      </c>
      <c r="M257" s="32">
        <f>IF(物品!N292=0,0,"'"&amp;物品!N292&amp;"'")</f>
        <v>0</v>
      </c>
      <c r="N257" s="32">
        <f>IF(物品!O292=0,0,"'"&amp;物品!O292&amp;"'")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物品!A293</f>
        <v>0</v>
      </c>
      <c r="B258" s="32" t="str">
        <f>"'"&amp;物品!B293&amp;"'"</f>
        <v>''</v>
      </c>
      <c r="C258" s="32">
        <f>物品!J293</f>
        <v>0</v>
      </c>
      <c r="D258" s="32">
        <f>物品!K293</f>
        <v>0</v>
      </c>
      <c r="E258" s="32">
        <f>物品!L293</f>
        <v>0</v>
      </c>
      <c r="F258" s="32">
        <f>物品!M293</f>
        <v>0</v>
      </c>
      <c r="G258" s="32">
        <f>物品!N293</f>
        <v>0</v>
      </c>
      <c r="H258" s="32">
        <f>物品!O293</f>
        <v>0</v>
      </c>
      <c r="I258" s="32">
        <f>IF(物品!J293=0,0,"'"&amp;物品!J293&amp;"'")</f>
        <v>0</v>
      </c>
      <c r="J258" s="32">
        <f>IF(物品!K293=0,0,"'"&amp;物品!K293&amp;"'")</f>
        <v>0</v>
      </c>
      <c r="K258" s="32">
        <f>IF(物品!L293=0,0,"'"&amp;物品!L293&amp;"'")</f>
        <v>0</v>
      </c>
      <c r="L258" s="32">
        <f>IF(物品!M293=0,0,"'"&amp;物品!M293&amp;"'")</f>
        <v>0</v>
      </c>
      <c r="M258" s="32">
        <f>IF(物品!N293=0,0,"'"&amp;物品!N293&amp;"'")</f>
        <v>0</v>
      </c>
      <c r="N258" s="32">
        <f>IF(物品!O293=0,0,"'"&amp;物品!O293&amp;"'")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物品!A294</f>
        <v>0</v>
      </c>
      <c r="B259" s="32" t="str">
        <f>"'"&amp;物品!B294&amp;"'"</f>
        <v>''</v>
      </c>
      <c r="C259" s="32">
        <f>物品!J294</f>
        <v>0</v>
      </c>
      <c r="D259" s="32">
        <f>物品!K294</f>
        <v>0</v>
      </c>
      <c r="E259" s="32">
        <f>物品!L294</f>
        <v>0</v>
      </c>
      <c r="F259" s="32">
        <f>物品!M294</f>
        <v>0</v>
      </c>
      <c r="G259" s="32">
        <f>物品!N294</f>
        <v>0</v>
      </c>
      <c r="H259" s="32">
        <f>物品!O294</f>
        <v>0</v>
      </c>
      <c r="I259" s="32">
        <f>IF(物品!J294=0,0,"'"&amp;物品!J294&amp;"'")</f>
        <v>0</v>
      </c>
      <c r="J259" s="32">
        <f>IF(物品!K294=0,0,"'"&amp;物品!K294&amp;"'")</f>
        <v>0</v>
      </c>
      <c r="K259" s="32">
        <f>IF(物品!L294=0,0,"'"&amp;物品!L294&amp;"'")</f>
        <v>0</v>
      </c>
      <c r="L259" s="32">
        <f>IF(物品!M294=0,0,"'"&amp;物品!M294&amp;"'")</f>
        <v>0</v>
      </c>
      <c r="M259" s="32">
        <f>IF(物品!N294=0,0,"'"&amp;物品!N294&amp;"'")</f>
        <v>0</v>
      </c>
      <c r="N259" s="32">
        <f>IF(物品!O294=0,0,"'"&amp;物品!O294&amp;"'")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物品!A295</f>
        <v>0</v>
      </c>
      <c r="B260" s="32" t="str">
        <f>"'"&amp;物品!B295&amp;"'"</f>
        <v>''</v>
      </c>
      <c r="C260" s="32">
        <f>物品!J295</f>
        <v>0</v>
      </c>
      <c r="D260" s="32">
        <f>物品!K295</f>
        <v>0</v>
      </c>
      <c r="E260" s="32">
        <f>物品!L295</f>
        <v>0</v>
      </c>
      <c r="F260" s="32">
        <f>物品!M295</f>
        <v>0</v>
      </c>
      <c r="G260" s="32">
        <f>物品!N295</f>
        <v>0</v>
      </c>
      <c r="H260" s="32">
        <f>物品!O295</f>
        <v>0</v>
      </c>
      <c r="I260" s="32">
        <f>IF(物品!J295=0,0,"'"&amp;物品!J295&amp;"'")</f>
        <v>0</v>
      </c>
      <c r="J260" s="32">
        <f>IF(物品!K295=0,0,"'"&amp;物品!K295&amp;"'")</f>
        <v>0</v>
      </c>
      <c r="K260" s="32">
        <f>IF(物品!L295=0,0,"'"&amp;物品!L295&amp;"'")</f>
        <v>0</v>
      </c>
      <c r="L260" s="32">
        <f>IF(物品!M295=0,0,"'"&amp;物品!M295&amp;"'")</f>
        <v>0</v>
      </c>
      <c r="M260" s="32">
        <f>IF(物品!N295=0,0,"'"&amp;物品!N295&amp;"'")</f>
        <v>0</v>
      </c>
      <c r="N260" s="32">
        <f>IF(物品!O295=0,0,"'"&amp;物品!O295&amp;"'")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物品!A296</f>
        <v>0</v>
      </c>
      <c r="B261" s="32" t="str">
        <f>"'"&amp;物品!B296&amp;"'"</f>
        <v>''</v>
      </c>
      <c r="C261" s="32">
        <f>物品!J296</f>
        <v>0</v>
      </c>
      <c r="D261" s="32">
        <f>物品!K296</f>
        <v>0</v>
      </c>
      <c r="E261" s="32">
        <f>物品!L296</f>
        <v>0</v>
      </c>
      <c r="F261" s="32">
        <f>物品!M296</f>
        <v>0</v>
      </c>
      <c r="G261" s="32">
        <f>物品!N296</f>
        <v>0</v>
      </c>
      <c r="H261" s="32">
        <f>物品!O296</f>
        <v>0</v>
      </c>
      <c r="I261" s="32">
        <f>IF(物品!J296=0,0,"'"&amp;物品!J296&amp;"'")</f>
        <v>0</v>
      </c>
      <c r="J261" s="32">
        <f>IF(物品!K296=0,0,"'"&amp;物品!K296&amp;"'")</f>
        <v>0</v>
      </c>
      <c r="K261" s="32">
        <f>IF(物品!L296=0,0,"'"&amp;物品!L296&amp;"'")</f>
        <v>0</v>
      </c>
      <c r="L261" s="32">
        <f>IF(物品!M296=0,0,"'"&amp;物品!M296&amp;"'")</f>
        <v>0</v>
      </c>
      <c r="M261" s="32">
        <f>IF(物品!N296=0,0,"'"&amp;物品!N296&amp;"'")</f>
        <v>0</v>
      </c>
      <c r="N261" s="32">
        <f>IF(物品!O296=0,0,"'"&amp;物品!O296&amp;"'")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物品!A297</f>
        <v>0</v>
      </c>
      <c r="B262" s="32" t="str">
        <f>"'"&amp;物品!B297&amp;"'"</f>
        <v>''</v>
      </c>
      <c r="C262" s="32">
        <f>物品!J297</f>
        <v>0</v>
      </c>
      <c r="D262" s="32">
        <f>物品!K297</f>
        <v>0</v>
      </c>
      <c r="E262" s="32">
        <f>物品!L297</f>
        <v>0</v>
      </c>
      <c r="F262" s="32">
        <f>物品!M297</f>
        <v>0</v>
      </c>
      <c r="G262" s="32">
        <f>物品!N297</f>
        <v>0</v>
      </c>
      <c r="H262" s="32">
        <f>物品!O297</f>
        <v>0</v>
      </c>
      <c r="I262" s="32">
        <f>IF(物品!J297=0,0,"'"&amp;物品!J297&amp;"'")</f>
        <v>0</v>
      </c>
      <c r="J262" s="32">
        <f>IF(物品!K297=0,0,"'"&amp;物品!K297&amp;"'")</f>
        <v>0</v>
      </c>
      <c r="K262" s="32">
        <f>IF(物品!L297=0,0,"'"&amp;物品!L297&amp;"'")</f>
        <v>0</v>
      </c>
      <c r="L262" s="32">
        <f>IF(物品!M297=0,0,"'"&amp;物品!M297&amp;"'")</f>
        <v>0</v>
      </c>
      <c r="M262" s="32">
        <f>IF(物品!N297=0,0,"'"&amp;物品!N297&amp;"'")</f>
        <v>0</v>
      </c>
      <c r="N262" s="32">
        <f>IF(物品!O297=0,0,"'"&amp;物品!O297&amp;"'")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物品!A298</f>
        <v>0</v>
      </c>
      <c r="B263" s="32" t="str">
        <f>"'"&amp;物品!B298&amp;"'"</f>
        <v>''</v>
      </c>
      <c r="C263" s="32">
        <f>物品!J298</f>
        <v>0</v>
      </c>
      <c r="D263" s="32">
        <f>物品!K298</f>
        <v>0</v>
      </c>
      <c r="E263" s="32">
        <f>物品!L298</f>
        <v>0</v>
      </c>
      <c r="F263" s="32">
        <f>物品!M298</f>
        <v>0</v>
      </c>
      <c r="G263" s="32">
        <f>物品!N298</f>
        <v>0</v>
      </c>
      <c r="H263" s="32">
        <f>物品!O298</f>
        <v>0</v>
      </c>
      <c r="I263" s="32">
        <f>IF(物品!J298=0,0,"'"&amp;物品!J298&amp;"'")</f>
        <v>0</v>
      </c>
      <c r="J263" s="32">
        <f>IF(物品!K298=0,0,"'"&amp;物品!K298&amp;"'")</f>
        <v>0</v>
      </c>
      <c r="K263" s="32">
        <f>IF(物品!L298=0,0,"'"&amp;物品!L298&amp;"'")</f>
        <v>0</v>
      </c>
      <c r="L263" s="32">
        <f>IF(物品!M298=0,0,"'"&amp;物品!M298&amp;"'")</f>
        <v>0</v>
      </c>
      <c r="M263" s="32">
        <f>IF(物品!N298=0,0,"'"&amp;物品!N298&amp;"'")</f>
        <v>0</v>
      </c>
      <c r="N263" s="32">
        <f>IF(物品!O298=0,0,"'"&amp;物品!O298&amp;"'")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58" workbookViewId="0">
      <selection activeCell="M3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4" t="s">
        <v>99</v>
      </c>
      <c r="B1" s="14" t="s">
        <v>100</v>
      </c>
      <c r="C1" s="14" t="s">
        <v>101</v>
      </c>
      <c r="D1" s="15" t="s">
        <v>102</v>
      </c>
      <c r="E1" s="15" t="s">
        <v>112</v>
      </c>
      <c r="F1" s="15" t="s">
        <v>104</v>
      </c>
      <c r="G1" s="15" t="s">
        <v>788</v>
      </c>
      <c r="H1" s="16" t="s">
        <v>789</v>
      </c>
      <c r="I1" s="20" t="s">
        <v>790</v>
      </c>
      <c r="J1" s="21" t="s">
        <v>786</v>
      </c>
      <c r="K1" s="22" t="s">
        <v>115</v>
      </c>
      <c r="L1" s="23" t="s">
        <v>116</v>
      </c>
      <c r="M1" s="24" t="s">
        <v>791</v>
      </c>
      <c r="N1" s="25" t="s">
        <v>792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IF(物品!B178="",0,"'"&amp;物品!B178&amp;"'")</f>
        <v>'IP01'</v>
      </c>
      <c r="B93" t="e">
        <f>物品!#REF!</f>
        <v>#REF!</v>
      </c>
      <c r="C93">
        <f>物品!E178</f>
        <v>0</v>
      </c>
      <c r="D93">
        <f>物品!F178</f>
        <v>0</v>
      </c>
      <c r="E93">
        <f>IF(ISTEXT(物品!G178)=TRUE,"'"&amp;物品!G178&amp;"'",物品!G178)</f>
        <v>0</v>
      </c>
      <c r="F93">
        <f>IF(ISTEXT(物品!H178)=TRUE,"'"&amp;物品!H178&amp;"'",物品!H178)</f>
        <v>0</v>
      </c>
      <c r="G93">
        <f>IF(物品!I178="",0,"'"&amp;物品!I178&amp;"'")</f>
        <v>0</v>
      </c>
      <c r="H93">
        <f>IF(物品!R178="",0,物品!R178)</f>
        <v>0</v>
      </c>
      <c r="I93">
        <f>IF(物品!S178="",0,物品!S178)</f>
        <v>0</v>
      </c>
      <c r="J93" t="str">
        <f>IF(物品!C178="",0,""""&amp;物品!C178&amp;"""")</f>
        <v>"|CffFF0000时渊碎片|r"</v>
      </c>
      <c r="K93" t="str">
        <f>IF(物品!T178="","""""",""""&amp;物品!T178&amp;"""")</f>
        <v>"每次|Cffffd24d完成|r时渊副本将消耗|Cffffd24d1|r个|Cffffd24d时渊碎片|r"</v>
      </c>
      <c r="L93" t="str">
        <f>IF(物品!U178="",0,""""&amp;物品!U178&amp;"""")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IF(物品!B179="",0,"'"&amp;物品!B179&amp;"'")</f>
        <v>'IP02'</v>
      </c>
      <c r="B94">
        <f>物品!D113</f>
        <v>0</v>
      </c>
      <c r="C94">
        <f>物品!E179</f>
        <v>0</v>
      </c>
      <c r="D94">
        <f>物品!F179</f>
        <v>0</v>
      </c>
      <c r="E94">
        <f>IF(ISTEXT(物品!G179)=TRUE,"'"&amp;物品!G179&amp;"'",物品!G179)</f>
        <v>0</v>
      </c>
      <c r="F94">
        <f>IF(ISTEXT(物品!H179)=TRUE,"'"&amp;物品!H179&amp;"'",物品!H179)</f>
        <v>0</v>
      </c>
      <c r="G94">
        <f>IF(物品!I179="",0,"'"&amp;物品!I179&amp;"'")</f>
        <v>0</v>
      </c>
      <c r="H94">
        <f>IF(物品!R179="",0,物品!R179)</f>
        <v>0</v>
      </c>
      <c r="I94">
        <f>IF(物品!S179="",0,物品!S179)</f>
        <v>0</v>
      </c>
      <c r="J94" t="str">
        <f>IF(物品!C179="",0,""""&amp;物品!C179&amp;"""")</f>
        <v>"|CffFFD24D补天石|r"</v>
      </c>
      <c r="K94" t="str">
        <f>IF(物品!T179="","""""",""""&amp;物品!T179&amp;"""")</f>
        <v>"点击|Cffffc926选中指定法宝|r后，再点击|Cffffc926重铸|r，可|Cffffc926重置|r指定法宝，|Cffffc926品质不变|r。|n|n|Cff00ff7f每次重铸消耗1个补天石|r"</v>
      </c>
      <c r="L94" t="str">
        <f>IF(物品!U179="",0,""""&amp;物品!U179&amp;"""")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IF(物品!B180="",0,"'"&amp;物品!B180&amp;"'")</f>
        <v>'IP03'</v>
      </c>
      <c r="B95">
        <f>物品!D114</f>
        <v>0</v>
      </c>
      <c r="C95">
        <f>物品!E180</f>
        <v>0</v>
      </c>
      <c r="D95">
        <f>物品!F180</f>
        <v>0</v>
      </c>
      <c r="E95">
        <f>IF(ISTEXT(物品!G180)=TRUE,"'"&amp;物品!G180&amp;"'",物品!G180)</f>
        <v>0</v>
      </c>
      <c r="F95">
        <f>IF(ISTEXT(物品!H180)=TRUE,"'"&amp;物品!H180&amp;"'",物品!H180)</f>
        <v>0</v>
      </c>
      <c r="G95">
        <f>IF(物品!I180="",0,"'"&amp;物品!I180&amp;"'")</f>
        <v>0</v>
      </c>
      <c r="H95">
        <f>IF(物品!R180="",0,物品!R180)</f>
        <v>0</v>
      </c>
      <c r="I95">
        <f>IF(物品!S180="",0,物品!S180)</f>
        <v>0</v>
      </c>
      <c r="J95" t="str">
        <f>IF(物品!C180="",0,""""&amp;物品!C180&amp;"""")</f>
        <v>"|CffFF0000鸿蒙结晶|r"</v>
      </c>
      <c r="K95" t="str">
        <f>IF(物品!T180="","""""",""""&amp;物品!T180&amp;"""")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IF(物品!U180="",0,""""&amp;物品!U180&amp;"""")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IF(物品!B187="",0,"'"&amp;物品!B187&amp;"'")</f>
        <v>'IT01'</v>
      </c>
      <c r="B96">
        <f>物品!D115</f>
        <v>0</v>
      </c>
      <c r="C96">
        <f>物品!E187</f>
        <v>0</v>
      </c>
      <c r="D96">
        <f>物品!F187</f>
        <v>0</v>
      </c>
      <c r="E96">
        <f>IF(ISTEXT(物品!G187)=TRUE,"'"&amp;物品!G187&amp;"'",物品!G187)</f>
        <v>0</v>
      </c>
      <c r="F96">
        <f>IF(ISTEXT(物品!H187)=TRUE,"'"&amp;物品!H187&amp;"'",物品!H187)</f>
        <v>0</v>
      </c>
      <c r="G96">
        <f>IF(物品!I187="",0,"'"&amp;物品!I187&amp;"'")</f>
        <v>0</v>
      </c>
      <c r="H96">
        <f>IF(物品!R187="",0,物品!R187)</f>
        <v>-8086</v>
      </c>
      <c r="I96">
        <f>IF(物品!S187="",0,物品!S187)</f>
        <v>-3245</v>
      </c>
      <c r="J96" t="str">
        <f>IF(物品!C187="",0,""""&amp;物品!C187&amp;"""")</f>
        <v>"噬心劫"</v>
      </c>
      <c r="K96" t="str">
        <f>IF(物品!T187="","""""",""""&amp;物品!T187&amp;"""")</f>
        <v>"渡过该劫后可结成低级道果。|n|n|Cfff0f0f0低级道果：|r|n攻击+1000|n法强+1000|n生命值+2000|n|Cffffd24d元神力+2|r|n|n|Cff00ff7f战力推荐：|r|n"</v>
      </c>
      <c r="L96" t="str">
        <f>IF(物品!U187="",0,""""&amp;物品!U187&amp;"""")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IF(物品!B188="",0,"'"&amp;物品!B188&amp;"'")</f>
        <v>'IT02'</v>
      </c>
      <c r="B97">
        <f>物品!D116</f>
        <v>0</v>
      </c>
      <c r="C97">
        <f>物品!E188</f>
        <v>0</v>
      </c>
      <c r="D97">
        <f>物品!F188</f>
        <v>0</v>
      </c>
      <c r="E97">
        <f>IF(ISTEXT(物品!G188)=TRUE,"'"&amp;物品!G188&amp;"'",物品!G188)</f>
        <v>0</v>
      </c>
      <c r="F97">
        <f>IF(ISTEXT(物品!H188)=TRUE,"'"&amp;物品!H188&amp;"'",物品!H188)</f>
        <v>0</v>
      </c>
      <c r="G97">
        <f>IF(物品!I188="",0,"'"&amp;物品!I188&amp;"'")</f>
        <v>0</v>
      </c>
      <c r="H97">
        <f>IF(物品!R188="",0,物品!R188)</f>
        <v>-7991</v>
      </c>
      <c r="I97">
        <f>IF(物品!S188="",0,物品!S188)</f>
        <v>-2312</v>
      </c>
      <c r="J97" t="str">
        <f>IF(物品!C188="",0,""""&amp;物品!C188&amp;"""")</f>
        <v>"三重轰雷劫"</v>
      </c>
      <c r="K97" t="str">
        <f>IF(物品!T188="","""""",""""&amp;物品!T188&amp;"""")</f>
        <v>"渡过该劫后可结成中级道果。|n|n|Cfff0f0f0中级道果：|r|n攻击+1500|n法强+1500|n生命值+3000 |n|Cffffd24d元神力+4|r|n|n|Cff00ff7f战力推荐：|r|n"</v>
      </c>
      <c r="L97" t="str">
        <f>IF(物品!U188="",0,""""&amp;物品!U188&amp;"""")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IF(物品!B189="",0,"'"&amp;物品!B189&amp;"'")</f>
        <v>'IT03'</v>
      </c>
      <c r="B98">
        <f>物品!D117</f>
        <v>0</v>
      </c>
      <c r="C98">
        <f>物品!E189</f>
        <v>0</v>
      </c>
      <c r="D98">
        <f>物品!F189</f>
        <v>0</v>
      </c>
      <c r="E98">
        <f>IF(ISTEXT(物品!G189)=TRUE,"'"&amp;物品!G189&amp;"'",物品!G189)</f>
        <v>0</v>
      </c>
      <c r="F98">
        <f>IF(ISTEXT(物品!H189)=TRUE,"'"&amp;物品!H189&amp;"'",物品!H189)</f>
        <v>0</v>
      </c>
      <c r="G98">
        <f>IF(物品!I189="",0,"'"&amp;物品!I189&amp;"'")</f>
        <v>0</v>
      </c>
      <c r="H98">
        <f>IF(物品!R189="",0,物品!R189)</f>
        <v>-8089</v>
      </c>
      <c r="I98">
        <f>IF(物品!S189="",0,物品!S189)</f>
        <v>-1230</v>
      </c>
      <c r="J98" t="str">
        <f>IF(物品!C189="",0,""""&amp;物品!C189&amp;"""")</f>
        <v>"|Cff00FF7F六重天雷劫|r"</v>
      </c>
      <c r="K98" t="str">
        <f>IF(物品!T189="","""""",""""&amp;物品!T189&amp;"""")</f>
        <v>"渡过该劫后可结成|Cff00ff7f高级道果|r。|n|n|Cff00ff7f高级道果：|r|n攻击+2000|n法强+2000|n生命值+4000 |n|Cffffd24d元神力+5|r|n|n|Cff00ff7f战力推荐：|r|n"</v>
      </c>
      <c r="L98" t="str">
        <f>IF(物品!U189="",0,""""&amp;物品!U189&amp;"""")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IF(物品!B190="",0,"'"&amp;物品!B190&amp;"'")</f>
        <v>'IT04'</v>
      </c>
      <c r="B99">
        <f>物品!D118</f>
        <v>0</v>
      </c>
      <c r="C99">
        <f>物品!E190</f>
        <v>0</v>
      </c>
      <c r="D99">
        <f>物品!F190</f>
        <v>0</v>
      </c>
      <c r="E99">
        <f>IF(ISTEXT(物品!G190)=TRUE,"'"&amp;物品!G190&amp;"'",物品!G190)</f>
        <v>0</v>
      </c>
      <c r="F99">
        <f>IF(ISTEXT(物品!H190)=TRUE,"'"&amp;物品!H190&amp;"'",物品!H190)</f>
        <v>0</v>
      </c>
      <c r="G99">
        <f>IF(物品!I190="",0,"'"&amp;物品!I190&amp;"'")</f>
        <v>0</v>
      </c>
      <c r="H99">
        <f>IF(物品!R190="",0,物品!R190)</f>
        <v>-7794</v>
      </c>
      <c r="I99">
        <f>IF(物品!S190="",0,物品!S190)</f>
        <v>195</v>
      </c>
      <c r="J99" t="str">
        <f>IF(物品!C190="",0,""""&amp;物品!C190&amp;"""")</f>
        <v>"|Cff00FF7F九重煅神劫|r"</v>
      </c>
      <c r="K99" t="str">
        <f>IF(物品!T190="","""""",""""&amp;物品!T190&amp;"""")</f>
        <v>"渡过该劫后可结成|Cff00ff7f黄级道果|r。|n|n|Cff00ff7f黄级道果：|r|n攻击+2500|n法强+2500|n生命值+5000|n|Cffffd24d元神力+6|r|n|n|Cff00ff7f战力推荐：|r|n"</v>
      </c>
      <c r="L99" t="str">
        <f>IF(物品!U190="",0,""""&amp;物品!U190&amp;"""")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IF(物品!B191="",0,"'"&amp;物品!B191&amp;"'")</f>
        <v>'IT05'</v>
      </c>
      <c r="B100">
        <f>物品!D119</f>
        <v>0</v>
      </c>
      <c r="C100">
        <f>物品!E191</f>
        <v>0</v>
      </c>
      <c r="D100">
        <f>物品!F191</f>
        <v>0</v>
      </c>
      <c r="E100">
        <f>IF(ISTEXT(物品!G191)=TRUE,"'"&amp;物品!G191&amp;"'",物品!G191)</f>
        <v>0</v>
      </c>
      <c r="F100">
        <f>IF(ISTEXT(物品!H191)=TRUE,"'"&amp;物品!H191&amp;"'",物品!H191)</f>
        <v>0</v>
      </c>
      <c r="G100">
        <f>IF(物品!I191="",0,"'"&amp;物品!I191&amp;"'")</f>
        <v>0</v>
      </c>
      <c r="H100">
        <f>IF(物品!R191="",0,物品!R191)</f>
        <v>-8110</v>
      </c>
      <c r="I100">
        <f>IF(物品!S191="",0,物品!S191)</f>
        <v>1810</v>
      </c>
      <c r="J100" t="str">
        <f>IF(物品!C191="",0,""""&amp;物品!C191&amp;"""")</f>
        <v>"|Cff00BFFF灭魄血煞劫|r"</v>
      </c>
      <c r="K100" t="str">
        <f>IF(物品!T191="","""""",""""&amp;物品!T191&amp;"""")</f>
        <v>"渡过该劫后可结成|Cff00bfff玄级道果|r。|n|n|Cff00bfff玄级道果：|r|n攻击+3000|n法强+3000|n生命值+6000|n|Cffffd24d元神力+7|r|n|n|Cff00ff7f战力推荐：|r|n"</v>
      </c>
      <c r="L100" t="str">
        <f>IF(物品!U191="",0,""""&amp;物品!U191&amp;"""")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IF(物品!B192="",0,"'"&amp;物品!B192&amp;"'")</f>
        <v>'IT06'</v>
      </c>
      <c r="B101">
        <f>物品!D120</f>
        <v>0</v>
      </c>
      <c r="C101">
        <f>物品!E192</f>
        <v>0</v>
      </c>
      <c r="D101">
        <f>物品!F192</f>
        <v>0</v>
      </c>
      <c r="E101">
        <f>IF(ISTEXT(物品!G192)=TRUE,"'"&amp;物品!G192&amp;"'",物品!G192)</f>
        <v>0</v>
      </c>
      <c r="F101">
        <f>IF(ISTEXT(物品!H192)=TRUE,"'"&amp;物品!H192&amp;"'",物品!H192)</f>
        <v>0</v>
      </c>
      <c r="G101">
        <f>IF(物品!I192="",0,"'"&amp;物品!I192&amp;"'")</f>
        <v>0</v>
      </c>
      <c r="H101">
        <f>IF(物品!R192="",0,物品!R192)</f>
        <v>-7896</v>
      </c>
      <c r="I101">
        <f>IF(物品!S192="",0,物品!S192)</f>
        <v>3839</v>
      </c>
      <c r="J101" t="str">
        <f>IF(物品!C192="",0,""""&amp;物品!C192&amp;"""")</f>
        <v>"|Cff00BFFF入微洞虚劫|r"</v>
      </c>
      <c r="K101" t="str">
        <f>IF(物品!T192="","""""",""""&amp;物品!T192&amp;"""")</f>
        <v>"渡过该劫后可结成|Cff00bfff地级道果|r。|n|n|Cff00bfff地级道果：|r|n攻击+4000|n法强+4000|n生命值+8000|n|Cffffd24d元神力+9|r|n|n|n|Cff00ff7f战力推荐：|r|n"</v>
      </c>
      <c r="L101" t="str">
        <f>IF(物品!U192="",0,""""&amp;物品!U192&amp;"""")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IF(物品!B193="",0,"'"&amp;物品!B193&amp;"'")</f>
        <v>'IT07'</v>
      </c>
      <c r="B102">
        <f>物品!D121</f>
        <v>0</v>
      </c>
      <c r="C102">
        <f>物品!E193</f>
        <v>0</v>
      </c>
      <c r="D102">
        <f>物品!F193</f>
        <v>0</v>
      </c>
      <c r="E102">
        <f>IF(ISTEXT(物品!G193)=TRUE,"'"&amp;物品!G193&amp;"'",物品!G193)</f>
        <v>0</v>
      </c>
      <c r="F102">
        <f>IF(ISTEXT(物品!H193)=TRUE,"'"&amp;物品!H193&amp;"'",物品!H193)</f>
        <v>0</v>
      </c>
      <c r="G102">
        <f>IF(物品!I193="",0,"'"&amp;物品!I193&amp;"'")</f>
        <v>0</v>
      </c>
      <c r="H102">
        <f>IF(物品!R193="",0,物品!R193)</f>
        <v>-7896</v>
      </c>
      <c r="I102">
        <f>IF(物品!S193="",0,物品!S193)</f>
        <v>5906</v>
      </c>
      <c r="J102" t="str">
        <f>IF(物品!C193="",0,""""&amp;物品!C193&amp;"""")</f>
        <v>"|CffFFD24D因果厄难劫|r"</v>
      </c>
      <c r="K102" t="str">
        <f>IF(物品!T193="","""""",""""&amp;物品!T193&amp;"""")</f>
        <v>"渡过该劫后可结成|Cffffc926天级道果|r。|n|n|Cffffc926天级道果：|r|n攻击+5000|n法强+5000|n生命值+10000|n|Cffffd24d元神力+11|r|n|n|Cff00ff7f战力推荐：|r|n"</v>
      </c>
      <c r="L102" t="str">
        <f>IF(物品!U193="",0,""""&amp;物品!U193&amp;"""")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IF(物品!B194="",0,"'"&amp;物品!B194&amp;"'")</f>
        <v>'IT08'</v>
      </c>
      <c r="B103">
        <f>物品!D122</f>
        <v>0</v>
      </c>
      <c r="C103">
        <f>物品!E194</f>
        <v>0</v>
      </c>
      <c r="D103">
        <f>物品!F194</f>
        <v>0</v>
      </c>
      <c r="E103">
        <f>IF(ISTEXT(物品!G194)=TRUE,"'"&amp;物品!G194&amp;"'",物品!G194)</f>
        <v>0</v>
      </c>
      <c r="F103">
        <f>IF(ISTEXT(物品!H194)=TRUE,"'"&amp;物品!H194&amp;"'",物品!H194)</f>
        <v>0</v>
      </c>
      <c r="G103">
        <f>IF(物品!I194="",0,"'"&amp;物品!I194&amp;"'")</f>
        <v>0</v>
      </c>
      <c r="H103">
        <f>IF(物品!R194="",0,物品!R194)</f>
        <v>-7970</v>
      </c>
      <c r="I103">
        <f>IF(物品!S194="",0,物品!S194)</f>
        <v>7965</v>
      </c>
      <c r="J103" t="str">
        <f>IF(物品!C194="",0,""""&amp;物品!C194&amp;"""")</f>
        <v>"|CffFFD24D迷魂幻世劫|r"</v>
      </c>
      <c r="K103" t="str">
        <f>IF(物品!T194="","""""",""""&amp;物品!T194&amp;"""")</f>
        <v>"渡过该劫后可结成|Cffffc926仙品道果|r。|n|n|Cffffc926仙品道果：|r|n攻击+6500|n法强+6500|n生命值+13000|n|Cffffd24d元神力+13|r|n|n|Cff00ff7f战力推荐：|r"</v>
      </c>
      <c r="L103" t="str">
        <f>IF(物品!U194="",0,""""&amp;物品!U194&amp;"""")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IF(物品!B195="",0,"'"&amp;物品!B195&amp;"'")</f>
        <v>'IT09'</v>
      </c>
      <c r="B104">
        <f>物品!D124</f>
        <v>0</v>
      </c>
      <c r="C104">
        <f>物品!E195</f>
        <v>0</v>
      </c>
      <c r="D104">
        <f>物品!F195</f>
        <v>0</v>
      </c>
      <c r="E104">
        <f>IF(ISTEXT(物品!G195)=TRUE,"'"&amp;物品!G195&amp;"'",物品!G195)</f>
        <v>0</v>
      </c>
      <c r="F104">
        <f>IF(ISTEXT(物品!H195)=TRUE,"'"&amp;物品!H195&amp;"'",物品!H195)</f>
        <v>0</v>
      </c>
      <c r="G104">
        <f>IF(物品!I195="",0,"'"&amp;物品!I195&amp;"'")</f>
        <v>0</v>
      </c>
      <c r="H104">
        <f>IF(物品!R195="",0,物品!R195)</f>
        <v>2100</v>
      </c>
      <c r="I104">
        <f>IF(物品!S195="",0,物品!S195)</f>
        <v>-5120</v>
      </c>
      <c r="J104" t="str">
        <f>IF(物品!C195="",0,""""&amp;物品!C195&amp;"""")</f>
        <v>"|CffFF0000天人五衰劫|r"</v>
      </c>
      <c r="K104" t="str">
        <f>IF(物品!T195="","""""",""""&amp;物品!T195&amp;"""")</f>
        <v>"渡过该劫后可结成|Cffff0000至圣道果|r。|n|n|Cffff0000至圣道果：|r|n攻击+8000|n法强+8000|n生命值+16000|n|Cffffd24d元神力+16|r|n|n|Cff00ff7f战力推荐：|r"</v>
      </c>
      <c r="L104" t="str">
        <f>IF(物品!U195="",0,""""&amp;物品!U195&amp;"""")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IF(物品!B196="",0,"'"&amp;物品!B196&amp;"'")</f>
        <v>'IT10'</v>
      </c>
      <c r="B105">
        <f>物品!D125</f>
        <v>0</v>
      </c>
      <c r="C105">
        <f>物品!E196</f>
        <v>0</v>
      </c>
      <c r="D105">
        <f>物品!F196</f>
        <v>0</v>
      </c>
      <c r="E105">
        <f>IF(ISTEXT(物品!G196)=TRUE,"'"&amp;物品!G196&amp;"'",物品!G196)</f>
        <v>0</v>
      </c>
      <c r="F105">
        <f>IF(ISTEXT(物品!H196)=TRUE,"'"&amp;物品!H196&amp;"'",物品!H196)</f>
        <v>0</v>
      </c>
      <c r="G105">
        <f>IF(物品!I196="",0,"'"&amp;物品!I196&amp;"'")</f>
        <v>0</v>
      </c>
      <c r="H105">
        <f>IF(物品!R196="",0,物品!R196)</f>
        <v>2268</v>
      </c>
      <c r="I105">
        <f>IF(物品!S196="",0,物品!S196)</f>
        <v>-8065</v>
      </c>
      <c r="J105" t="str">
        <f>IF(物品!C196="",0,""""&amp;物品!C196&amp;"""")</f>
        <v>"|CffFF0000混元灭世劫|r"</v>
      </c>
      <c r="K105" t="str">
        <f>IF(物品!T196="","""""",""""&amp;物品!T196&amp;"""")</f>
        <v>"渡过该劫后可结成|Cffff0000混沌道果|r。|n|n|Cffff0000混沌道果：|r|n攻击+10000|n法强+10000|n生命值+20000|n|Cffffd24d元神力+20|r|n|n|Cff00ff7f战力推荐：|r"</v>
      </c>
      <c r="L105" t="str">
        <f>IF(物品!U196="",0,""""&amp;物品!U196&amp;"""")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IF(物品!B197="",0,"'"&amp;物品!B197&amp;"'")</f>
        <v>'IT11'</v>
      </c>
      <c r="B106">
        <f>物品!D126</f>
        <v>0</v>
      </c>
      <c r="C106">
        <f>物品!E197</f>
        <v>0</v>
      </c>
      <c r="D106">
        <f>物品!F197</f>
        <v>0</v>
      </c>
      <c r="E106">
        <f>IF(ISTEXT(物品!G197)=TRUE,"'"&amp;物品!G197&amp;"'",物品!G197)</f>
        <v>0</v>
      </c>
      <c r="F106">
        <f>IF(ISTEXT(物品!H197)=TRUE,"'"&amp;物品!H197&amp;"'",物品!H197)</f>
        <v>0</v>
      </c>
      <c r="G106">
        <f>IF(物品!I197="",0,"'"&amp;物品!I197&amp;"'")</f>
        <v>0</v>
      </c>
      <c r="H106">
        <f>IF(物品!R197="",0,物品!R197)</f>
        <v>0</v>
      </c>
      <c r="I106">
        <f>IF(物品!S197="",0,物品!S197)</f>
        <v>0</v>
      </c>
      <c r="J106" t="str">
        <f>IF(物品!C197="",0,""""&amp;物品!C197&amp;"""")</f>
        <v>"斩三尸"</v>
      </c>
      <c r="K106" t="str">
        <f>IF(物品!T197="","""""",""""&amp;物品!T197&amp;"""")</f>
        <v>"境界挑战11"</v>
      </c>
      <c r="L106" t="str">
        <f>IF(物品!U197="",0,""""&amp;物品!U197&amp;"""")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IF(物品!B198="",0,"'"&amp;物品!B198&amp;"'")</f>
        <v>'IT12'</v>
      </c>
      <c r="B107">
        <f>物品!D127</f>
        <v>0</v>
      </c>
      <c r="C107">
        <f>物品!E198</f>
        <v>0</v>
      </c>
      <c r="D107">
        <f>物品!F198</f>
        <v>0</v>
      </c>
      <c r="E107">
        <f>IF(ISTEXT(物品!G198)=TRUE,"'"&amp;物品!G198&amp;"'",物品!G198)</f>
        <v>0</v>
      </c>
      <c r="F107">
        <f>IF(ISTEXT(物品!H198)=TRUE,"'"&amp;物品!H198&amp;"'",物品!H198)</f>
        <v>0</v>
      </c>
      <c r="G107">
        <f>IF(物品!I198="",0,"'"&amp;物品!I198&amp;"'")</f>
        <v>0</v>
      </c>
      <c r="H107">
        <f>IF(物品!R198="",0,物品!R198)</f>
        <v>0</v>
      </c>
      <c r="I107">
        <f>IF(物品!S198="",0,物品!S198)</f>
        <v>0</v>
      </c>
      <c r="J107" t="str">
        <f>IF(物品!C198="",0,""""&amp;物品!C198&amp;"""")</f>
        <v>"无量量劫"</v>
      </c>
      <c r="K107" t="str">
        <f>IF(物品!T198="","""""",""""&amp;物品!T198&amp;"""")</f>
        <v>"境界挑战12"</v>
      </c>
      <c r="L107" t="str">
        <f>IF(物品!U198="",0,""""&amp;物品!U198&amp;"""")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IF(物品!B199="",0,"'"&amp;物品!B199&amp;"'")</f>
        <v>'IT13'</v>
      </c>
      <c r="B108">
        <f>物品!D128</f>
        <v>0</v>
      </c>
      <c r="C108">
        <f>物品!E199</f>
        <v>0</v>
      </c>
      <c r="D108">
        <f>物品!F199</f>
        <v>0</v>
      </c>
      <c r="E108">
        <f>IF(ISTEXT(物品!G199)=TRUE,"'"&amp;物品!G199&amp;"'",物品!G199)</f>
        <v>0</v>
      </c>
      <c r="F108">
        <f>IF(ISTEXT(物品!H199)=TRUE,"'"&amp;物品!H199&amp;"'",物品!H199)</f>
        <v>0</v>
      </c>
      <c r="G108">
        <f>IF(物品!I199="",0,"'"&amp;物品!I199&amp;"'")</f>
        <v>0</v>
      </c>
      <c r="H108">
        <f>IF(物品!R199="",0,物品!R199)</f>
        <v>0</v>
      </c>
      <c r="I108">
        <f>IF(物品!S199="",0,物品!S199)</f>
        <v>0</v>
      </c>
      <c r="J108" t="str">
        <f>IF(物品!C199="",0,""""&amp;物品!C199&amp;"""")</f>
        <v>"鸿钧对练"</v>
      </c>
      <c r="K108" t="str">
        <f>IF(物品!T199="","""""",""""&amp;物品!T199&amp;"""")</f>
        <v>"境界挑战13"</v>
      </c>
      <c r="L108" t="str">
        <f>IF(物品!U199="",0,""""&amp;物品!U199&amp;"""")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IF(物品!B200="",0,"'"&amp;物品!B200&amp;"'")</f>
        <v>'IT14'</v>
      </c>
      <c r="B109">
        <f>物品!D129</f>
        <v>0</v>
      </c>
      <c r="C109">
        <f>物品!E200</f>
        <v>0</v>
      </c>
      <c r="D109">
        <f>物品!F200</f>
        <v>0</v>
      </c>
      <c r="E109">
        <f>IF(ISTEXT(物品!G200)=TRUE,"'"&amp;物品!G200&amp;"'",物品!G200)</f>
        <v>0</v>
      </c>
      <c r="F109">
        <f>IF(ISTEXT(物品!H200)=TRUE,"'"&amp;物品!H200&amp;"'",物品!H200)</f>
        <v>0</v>
      </c>
      <c r="G109">
        <f>IF(物品!I200="",0,"'"&amp;物品!I200&amp;"'")</f>
        <v>0</v>
      </c>
      <c r="H109">
        <f>IF(物品!R200="",0,物品!R200)</f>
        <v>0</v>
      </c>
      <c r="I109">
        <f>IF(物品!S200="",0,物品!S200)</f>
        <v>0</v>
      </c>
      <c r="J109" t="str">
        <f>IF(物品!C200="",0,""""&amp;物品!C200&amp;"""")</f>
        <v>"境界挑战14"</v>
      </c>
      <c r="K109" t="str">
        <f>IF(物品!T200="","""""",""""&amp;物品!T200&amp;"""")</f>
        <v>"境界挑战14"</v>
      </c>
      <c r="L109" t="str">
        <f>IF(物品!U200="",0,""""&amp;物品!U200&amp;"""")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IF(物品!B204="",0,"'"&amp;物品!B204&amp;"'")</f>
        <v>'IS02'</v>
      </c>
      <c r="B110">
        <f>物品!D130</f>
        <v>0</v>
      </c>
      <c r="C110">
        <f>物品!E204</f>
        <v>0</v>
      </c>
      <c r="D110">
        <f>物品!F204</f>
        <v>0</v>
      </c>
      <c r="E110">
        <f>IF(ISTEXT(物品!G204)=TRUE,"'"&amp;物品!G204&amp;"'",物品!G204)</f>
        <v>0</v>
      </c>
      <c r="F110">
        <f>IF(ISTEXT(物品!H204)=TRUE,"'"&amp;物品!H204&amp;"'",物品!H204)</f>
        <v>0</v>
      </c>
      <c r="G110">
        <f>IF(物品!I204="",0,"'"&amp;物品!I204&amp;"'")</f>
        <v>0</v>
      </c>
      <c r="H110">
        <f>IF(物品!R204="",0,物品!R204)</f>
        <v>0</v>
      </c>
      <c r="I110">
        <f>IF(物品!S204="",0,物品!S204)</f>
        <v>0</v>
      </c>
      <c r="J110" t="str">
        <f>IF(物品!C204="",0,""""&amp;物品!C204&amp;"""")</f>
        <v>"学习W技能"</v>
      </c>
      <c r="K110" t="str">
        <f>IF(物品!T204="","""""",""""&amp;物品!T204&amp;"""")</f>
        <v>"学习或重置当前|cffffd24dW技能|r。|n|cffffcc00抽取消耗：|r5000金币*次数|n|cffffcc00抽取次数：|r0/10|n|n|cff00ff7f单局最多抽取10次|r"</v>
      </c>
      <c r="L110" t="str">
        <f>IF(物品!U204="",0,""""&amp;物品!U204&amp;"""")</f>
        <v>"ReplaceableTextures\\CommandButtons\\BTN002.blp"</v>
      </c>
      <c r="M110" t="str">
        <f t="shared" si="4"/>
        <v/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IF(物品!B205="",0,"'"&amp;物品!B205&amp;"'")</f>
        <v>'IS03'</v>
      </c>
      <c r="B111">
        <f>物品!D131</f>
        <v>0</v>
      </c>
      <c r="C111">
        <f>物品!E205</f>
        <v>0</v>
      </c>
      <c r="D111">
        <f>物品!F205</f>
        <v>0</v>
      </c>
      <c r="E111">
        <f>IF(ISTEXT(物品!G205)=TRUE,"'"&amp;物品!G205&amp;"'",物品!G205)</f>
        <v>0</v>
      </c>
      <c r="F111">
        <f>IF(ISTEXT(物品!H205)=TRUE,"'"&amp;物品!H205&amp;"'",物品!H205)</f>
        <v>0</v>
      </c>
      <c r="G111">
        <f>IF(物品!I205="",0,"'"&amp;物品!I205&amp;"'")</f>
        <v>0</v>
      </c>
      <c r="H111">
        <f>IF(物品!R205="",0,物品!R205)</f>
        <v>0</v>
      </c>
      <c r="I111">
        <f>IF(物品!S205="",0,物品!S205)</f>
        <v>0</v>
      </c>
      <c r="J111" t="str">
        <f>IF(物品!C205="",0,""""&amp;物品!C205&amp;"""")</f>
        <v>"学习E技能"</v>
      </c>
      <c r="K111" t="str">
        <f>IF(物品!T205="","""""",""""&amp;物品!T205&amp;"""")</f>
        <v>"学习或重置当前|cffffd24dE技能|r。|n|cffffcc00抽取消耗：|r20000金币*次数|n|cffffcc00抽取次数：|r0/10|n|n|cff00ff7f单局最多抽取10次|r"</v>
      </c>
      <c r="L111" t="str">
        <f>IF(物品!U205="",0,""""&amp;物品!U205&amp;"""")</f>
        <v>"ReplaceableTextures\\CommandButtons\\BTN003.blp"</v>
      </c>
      <c r="M111" t="str">
        <f t="shared" si="4"/>
        <v/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>
        <f>物品!D132</f>
        <v>0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>
        <f>物品!D133</f>
        <v>0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IF(物品!B213="",0,"'"&amp;物品!B213&amp;"'")</f>
        <v>'IS12'</v>
      </c>
      <c r="B114">
        <f>物品!D134</f>
        <v>0</v>
      </c>
      <c r="C114">
        <f>物品!E213</f>
        <v>0</v>
      </c>
      <c r="D114">
        <f>物品!F213</f>
        <v>0</v>
      </c>
      <c r="E114">
        <f>IF(ISTEXT(物品!G213)=TRUE,"'"&amp;物品!G213&amp;"'",物品!G213)</f>
        <v>0</v>
      </c>
      <c r="F114">
        <f>IF(ISTEXT(物品!H213)=TRUE,"'"&amp;物品!H213&amp;"'",物品!H213)</f>
        <v>0</v>
      </c>
      <c r="G114">
        <f>IF(物品!I213="",0,"'"&amp;物品!I213&amp;"'")</f>
        <v>0</v>
      </c>
      <c r="H114">
        <f>IF(物品!R213="",0,物品!R213)</f>
        <v>0</v>
      </c>
      <c r="I114">
        <f>IF(物品!S213="",0,物品!S213)</f>
        <v>0</v>
      </c>
      <c r="J114" t="str">
        <f>IF(物品!C213="",0,""""&amp;物品!C213&amp;"""")</f>
        <v>"|CffFFD24D兽魂抽奖|r"</v>
      </c>
      <c r="K114" t="str">
        <f>IF(物品!T213="","""""",""""&amp;物品!T213&amp;"""")</f>
        <v>"|CffFFD24D兽魂抽奖|r"</v>
      </c>
      <c r="L114" t="str">
        <f>IF(物品!U213="",0,""""&amp;物品!U213&amp;"""")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InitTypeIdStrings('IS12',"|CffFFD24D兽魂抽奖|r","ReplaceableTextures\\CommandButtons\\BTNIS12.blp","|CffFFD24D兽魂抽奖|r")</v>
      </c>
    </row>
    <row r="115" spans="1:14">
      <c r="A115" t="e">
        <f>IF(物品!#REF!="",0,"'"&amp;物品!#REF!&amp;"'")</f>
        <v>#REF!</v>
      </c>
      <c r="B115">
        <f>物品!D135</f>
        <v>0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>
        <f>物品!D136</f>
        <v>0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>
        <f>物品!D137</f>
        <v>0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>
        <f>物品!D138</f>
        <v>0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>
        <f>物品!D139</f>
        <v>0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>
        <f>物品!D140</f>
        <v>0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>
        <f>物品!D141</f>
        <v>0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>
        <f>物品!D142</f>
        <v>0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IF(物品!B216="",0,"'"&amp;物品!B216&amp;"'")</f>
        <v>'IB01'</v>
      </c>
      <c r="B123">
        <f>物品!D143</f>
        <v>0</v>
      </c>
      <c r="C123">
        <f>物品!E216</f>
        <v>0</v>
      </c>
      <c r="D123">
        <f>物品!F216</f>
        <v>0</v>
      </c>
      <c r="E123">
        <f>IF(ISTEXT(物品!G216)=TRUE,"'"&amp;物品!G216&amp;"'",物品!G216)</f>
        <v>0</v>
      </c>
      <c r="F123">
        <f>IF(ISTEXT(物品!H216)=TRUE,"'"&amp;物品!H216&amp;"'",物品!H216)</f>
        <v>0</v>
      </c>
      <c r="G123">
        <f>IF(物品!I216="",0,"'"&amp;物品!I216&amp;"'")</f>
        <v>0</v>
      </c>
      <c r="H123">
        <f>IF(物品!R216="",0,物品!R216)</f>
        <v>0</v>
      </c>
      <c r="I123">
        <f>IF(物品!S216="",0,物品!S216)</f>
        <v>0</v>
      </c>
      <c r="J123" t="str">
        <f>IF(物品!C216="",0,""""&amp;物品!C216&amp;"""")</f>
        <v>"公众号礼包"</v>
      </c>
      <c r="K123" t="str">
        <f>IF(物品!T216="","""""",""""&amp;物品!T216&amp;"""")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IF(物品!U216="",0,""""&amp;物品!U216&amp;"""")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IF(物品!B217="",0,"'"&amp;物品!B217&amp;"'")</f>
        <v>'IB02'</v>
      </c>
      <c r="B124">
        <f>物品!D144</f>
        <v>0</v>
      </c>
      <c r="C124">
        <f>物品!E217</f>
        <v>0</v>
      </c>
      <c r="D124">
        <f>物品!F217</f>
        <v>0</v>
      </c>
      <c r="E124">
        <f>IF(ISTEXT(物品!G217)=TRUE,"'"&amp;物品!G217&amp;"'",物品!G217)</f>
        <v>0</v>
      </c>
      <c r="F124">
        <f>IF(ISTEXT(物品!H217)=TRUE,"'"&amp;物品!H217&amp;"'",物品!H217)</f>
        <v>0</v>
      </c>
      <c r="G124">
        <f>IF(物品!I217="",0,"'"&amp;物品!I217&amp;"'")</f>
        <v>0</v>
      </c>
      <c r="H124">
        <f>IF(物品!R217="",0,物品!R217)</f>
        <v>0</v>
      </c>
      <c r="I124">
        <f>IF(物品!S217="",0,物品!S217)</f>
        <v>0</v>
      </c>
      <c r="J124" t="str">
        <f>IF(物品!C217="",0,""""&amp;物品!C217&amp;"""")</f>
        <v>"入群礼包"</v>
      </c>
      <c r="K124" t="str">
        <f>IF(物品!T217="","""""",""""&amp;物品!T217&amp;"""")</f>
        <v>"加入《|cff00ffcc全民封神|r》官方QQ群，即可获得入群礼包码！|n|n输入礼包码即可获得：|n|cffffcc33金币+2000|n每秒攻击+2|n每秒业力+1|r"</v>
      </c>
      <c r="L124" t="str">
        <f>IF(物品!U217="",0,""""&amp;物品!U217&amp;"""")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IF(物品!B218="",0,"'"&amp;物品!B218&amp;"'")</f>
        <v>'IB03'</v>
      </c>
      <c r="B125">
        <f>物品!D145</f>
        <v>0</v>
      </c>
      <c r="C125">
        <f>物品!E218</f>
        <v>0</v>
      </c>
      <c r="D125">
        <f>物品!F218</f>
        <v>0</v>
      </c>
      <c r="E125">
        <f>IF(ISTEXT(物品!G218)=TRUE,"'"&amp;物品!G218&amp;"'",物品!G218)</f>
        <v>0</v>
      </c>
      <c r="F125">
        <f>IF(ISTEXT(物品!H218)=TRUE,"'"&amp;物品!H218&amp;"'",物品!H218)</f>
        <v>0</v>
      </c>
      <c r="G125">
        <f>IF(物品!I218="",0,"'"&amp;物品!I218&amp;"'")</f>
        <v>0</v>
      </c>
      <c r="H125">
        <f>IF(物品!R218="",0,物品!R218)</f>
        <v>0</v>
      </c>
      <c r="I125">
        <f>IF(物品!S218="",0,物品!S218)</f>
        <v>0</v>
      </c>
      <c r="J125" t="str">
        <f>IF(物品!C218="",0,""""&amp;物品!C218&amp;"""")</f>
        <v>"拜年礼包"</v>
      </c>
      <c r="K125" t="str">
        <f>IF(物品!T218="","""""",""""&amp;物品!T218&amp;"""")</f>
        <v>"|cff99ccff给与地图有效评论建议|r即可领取：|n|cffffff00杀敌生命+5+3*通行证等级|n杀敌业力+1|n|n|r|cff808080地图等级达到3级可领取|r"</v>
      </c>
      <c r="L125" t="str">
        <f>IF(物品!U218="",0,""""&amp;物品!U218&amp;"""")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IF(物品!B219="",0,"'"&amp;物品!B219&amp;"'")</f>
        <v>'IB04'</v>
      </c>
      <c r="B126">
        <f>物品!D146</f>
        <v>0</v>
      </c>
      <c r="C126">
        <f>物品!E219</f>
        <v>0</v>
      </c>
      <c r="D126">
        <f>物品!F219</f>
        <v>0</v>
      </c>
      <c r="E126">
        <f>IF(ISTEXT(物品!G219)=TRUE,"'"&amp;物品!G219&amp;"'",物品!G219)</f>
        <v>0</v>
      </c>
      <c r="F126">
        <f>IF(ISTEXT(物品!H219)=TRUE,"'"&amp;物品!H219&amp;"'",物品!H219)</f>
        <v>0</v>
      </c>
      <c r="G126">
        <f>IF(物品!I219="",0,"'"&amp;物品!I219&amp;"'")</f>
        <v>0</v>
      </c>
      <c r="H126">
        <f>IF(物品!R219="",0,物品!R219)</f>
        <v>0</v>
      </c>
      <c r="I126">
        <f>IF(物品!S219="",0,物品!S219)</f>
        <v>0</v>
      </c>
      <c r="J126" t="str">
        <f>IF(物品!C219="",0,""""&amp;物品!C219&amp;"""")</f>
        <v>"收藏礼包"</v>
      </c>
      <c r="K126" t="str">
        <f>IF(物品!T219="","""""",""""&amp;物品!T219&amp;"""")</f>
        <v>"|cff99ccff房间大厅界面点击右上角《|r|cffcc99ff收藏|r|cff99ccff》后可领取该礼包。|n|n|r属性：|n|cffffcc33物理伤害+5%|n法术伤害+5%|r"</v>
      </c>
      <c r="L126" t="str">
        <f>IF(物品!U219="",0,""""&amp;物品!U219&amp;"""")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IF(物品!B220="",0,"'"&amp;物品!B220&amp;"'")</f>
        <v>'IB05'</v>
      </c>
      <c r="B127">
        <f>物品!D147</f>
        <v>0</v>
      </c>
      <c r="C127">
        <f>物品!E220</f>
        <v>0</v>
      </c>
      <c r="D127">
        <f>物品!F220</f>
        <v>0</v>
      </c>
      <c r="E127">
        <f>IF(ISTEXT(物品!G220)=TRUE,"'"&amp;物品!G220&amp;"'",物品!G220)</f>
        <v>0</v>
      </c>
      <c r="F127">
        <f>IF(ISTEXT(物品!H220)=TRUE,"'"&amp;物品!H220&amp;"'",物品!H220)</f>
        <v>0</v>
      </c>
      <c r="G127">
        <f>IF(物品!I220="",0,"'"&amp;物品!I220&amp;"'")</f>
        <v>0</v>
      </c>
      <c r="H127">
        <f>IF(物品!R220="",0,物品!R220)</f>
        <v>0</v>
      </c>
      <c r="I127">
        <f>IF(物品!S220="",0,物品!S220)</f>
        <v>0</v>
      </c>
      <c r="J127" t="str">
        <f>IF(物品!C220="",0,""""&amp;物品!C220&amp;"""")</f>
        <v>"重置版礼包"</v>
      </c>
      <c r="K127" t="str">
        <f>IF(物品!T220="","""""",""""&amp;物品!T220&amp;"""")</f>
        <v>"|cff33ff00购买魔兽重制版可领取该礼包！|n|n|r属性：|n|cffffcc33高级聚宝盆|r"</v>
      </c>
      <c r="L127" t="str">
        <f>IF(物品!U220="",0,""""&amp;物品!U220&amp;"""")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IF(物品!B234="",0,"'"&amp;物品!B234&amp;"'")</f>
        <v>'IF01'</v>
      </c>
      <c r="B128">
        <f>物品!D148</f>
        <v>0</v>
      </c>
      <c r="C128">
        <f>物品!E234</f>
        <v>0</v>
      </c>
      <c r="D128">
        <f>物品!F234</f>
        <v>0</v>
      </c>
      <c r="E128">
        <f>IF(ISTEXT(物品!G234)=TRUE,"'"&amp;物品!G234&amp;"'",物品!G234)</f>
        <v>0</v>
      </c>
      <c r="F128">
        <f>IF(ISTEXT(物品!H234)=TRUE,"'"&amp;物品!H234&amp;"'",物品!H234)</f>
        <v>0</v>
      </c>
      <c r="G128">
        <f>IF(物品!I234="",0,"'"&amp;物品!I234&amp;"'")</f>
        <v>0</v>
      </c>
      <c r="H128">
        <f>IF(物品!R234="",0,物品!R234)</f>
        <v>0</v>
      </c>
      <c r="I128">
        <f>IF(物品!S234="",0,物品!S234)</f>
        <v>0</v>
      </c>
      <c r="J128" t="str">
        <f>IF(物品!C234="",0,""""&amp;物品!C234&amp;"""")</f>
        <v>"攻击"</v>
      </c>
      <c r="K128" t="str">
        <f>IF(物品!T234="","""""",""""&amp;物品!T234&amp;"""")</f>
        <v>""</v>
      </c>
      <c r="L128">
        <f>IF(物品!U234="",0,""""&amp;物品!U234&amp;"""")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IF(物品!B235="",0,"'"&amp;物品!B235&amp;"'")</f>
        <v>'IF02'</v>
      </c>
      <c r="B129">
        <f>物品!D149</f>
        <v>0</v>
      </c>
      <c r="C129">
        <f>物品!E235</f>
        <v>0</v>
      </c>
      <c r="D129">
        <f>物品!F235</f>
        <v>0</v>
      </c>
      <c r="E129">
        <f>IF(ISTEXT(物品!G235)=TRUE,"'"&amp;物品!G235&amp;"'",物品!G235)</f>
        <v>0</v>
      </c>
      <c r="F129">
        <f>IF(ISTEXT(物品!H235)=TRUE,"'"&amp;物品!H235&amp;"'",物品!H235)</f>
        <v>0</v>
      </c>
      <c r="G129">
        <f>IF(物品!I235="",0,"'"&amp;物品!I235&amp;"'")</f>
        <v>0</v>
      </c>
      <c r="H129">
        <f>IF(物品!R235="",0,物品!R235)</f>
        <v>0</v>
      </c>
      <c r="I129">
        <f>IF(物品!S235="",0,物品!S235)</f>
        <v>0</v>
      </c>
      <c r="J129" t="str">
        <f>IF(物品!C235="",0,""""&amp;物品!C235&amp;"""")</f>
        <v>"法强"</v>
      </c>
      <c r="K129" t="str">
        <f>IF(物品!T235="","""""",""""&amp;物品!T235&amp;"""")</f>
        <v>""</v>
      </c>
      <c r="L129">
        <f>IF(物品!U235="",0,""""&amp;物品!U235&amp;"""")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IF(物品!B236="",0,"'"&amp;物品!B236&amp;"'")</f>
        <v>'IF03'</v>
      </c>
      <c r="B130">
        <f>物品!D150</f>
        <v>0</v>
      </c>
      <c r="C130">
        <f>物品!E236</f>
        <v>0</v>
      </c>
      <c r="D130">
        <f>物品!F236</f>
        <v>0</v>
      </c>
      <c r="E130">
        <f>IF(ISTEXT(物品!G236)=TRUE,"'"&amp;物品!G236&amp;"'",物品!G236)</f>
        <v>0</v>
      </c>
      <c r="F130">
        <f>IF(ISTEXT(物品!H236)=TRUE,"'"&amp;物品!H236&amp;"'",物品!H236)</f>
        <v>0</v>
      </c>
      <c r="G130">
        <f>IF(物品!I236="",0,"'"&amp;物品!I236&amp;"'")</f>
        <v>0</v>
      </c>
      <c r="H130">
        <f>IF(物品!R236="",0,物品!R236)</f>
        <v>0</v>
      </c>
      <c r="I130">
        <f>IF(物品!S236="",0,物品!S236)</f>
        <v>0</v>
      </c>
      <c r="J130" t="str">
        <f>IF(物品!C236="",0,""""&amp;物品!C236&amp;"""")</f>
        <v>"攻击"</v>
      </c>
      <c r="K130" t="str">
        <f>IF(物品!T236="","""""",""""&amp;物品!T236&amp;"""")</f>
        <v>""</v>
      </c>
      <c r="L130">
        <f>IF(物品!U236="",0,""""&amp;物品!U236&amp;"""")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IF(物品!B237="",0,"'"&amp;物品!B237&amp;"'")</f>
        <v>'IF04'</v>
      </c>
      <c r="B131">
        <f>物品!D151</f>
        <v>0</v>
      </c>
      <c r="C131">
        <f>物品!E237</f>
        <v>0</v>
      </c>
      <c r="D131">
        <f>物品!F237</f>
        <v>0</v>
      </c>
      <c r="E131">
        <f>IF(ISTEXT(物品!G237)=TRUE,"'"&amp;物品!G237&amp;"'",物品!G237)</f>
        <v>0</v>
      </c>
      <c r="F131">
        <f>IF(ISTEXT(物品!H237)=TRUE,"'"&amp;物品!H237&amp;"'",物品!H237)</f>
        <v>0</v>
      </c>
      <c r="G131">
        <f>IF(物品!I237="",0,"'"&amp;物品!I237&amp;"'")</f>
        <v>0</v>
      </c>
      <c r="H131">
        <f>IF(物品!R237="",0,物品!R237)</f>
        <v>0</v>
      </c>
      <c r="I131">
        <f>IF(物品!S237="",0,物品!S237)</f>
        <v>0</v>
      </c>
      <c r="J131" t="str">
        <f>IF(物品!C237="",0,""""&amp;物品!C237&amp;"""")</f>
        <v>"法强"</v>
      </c>
      <c r="K131" t="str">
        <f>IF(物品!T237="","""""",""""&amp;物品!T237&amp;"""")</f>
        <v>""</v>
      </c>
      <c r="L131">
        <f>IF(物品!U237="",0,""""&amp;物品!U237&amp;"""")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IF(物品!B238="",0,"'"&amp;物品!B238&amp;"'")</f>
        <v>'IF05'</v>
      </c>
      <c r="B132">
        <f>物品!D152</f>
        <v>0</v>
      </c>
      <c r="C132">
        <f>物品!E238</f>
        <v>0</v>
      </c>
      <c r="D132">
        <f>物品!F238</f>
        <v>0</v>
      </c>
      <c r="E132">
        <f>IF(ISTEXT(物品!G238)=TRUE,"'"&amp;物品!G238&amp;"'",物品!G238)</f>
        <v>0</v>
      </c>
      <c r="F132">
        <f>IF(ISTEXT(物品!H238)=TRUE,"'"&amp;物品!H238&amp;"'",物品!H238)</f>
        <v>0</v>
      </c>
      <c r="G132">
        <f>IF(物品!I238="",0,"'"&amp;物品!I238&amp;"'")</f>
        <v>0</v>
      </c>
      <c r="H132">
        <f>IF(物品!R238="",0,物品!R238)</f>
        <v>0</v>
      </c>
      <c r="I132">
        <f>IF(物品!S238="",0,物品!S238)</f>
        <v>0</v>
      </c>
      <c r="J132" t="str">
        <f>IF(物品!C238="",0,""""&amp;物品!C238&amp;"""")</f>
        <v>"攻击"</v>
      </c>
      <c r="K132" t="str">
        <f>IF(物品!T238="","""""",""""&amp;物品!T238&amp;"""")</f>
        <v>""</v>
      </c>
      <c r="L132">
        <f>IF(物品!U238="",0,""""&amp;物品!U238&amp;"""")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IF(物品!B239="",0,"'"&amp;物品!B239&amp;"'")</f>
        <v>'IF06'</v>
      </c>
      <c r="B133">
        <f>物品!D153</f>
        <v>0</v>
      </c>
      <c r="C133">
        <f>物品!E239</f>
        <v>0</v>
      </c>
      <c r="D133">
        <f>物品!F239</f>
        <v>0</v>
      </c>
      <c r="E133">
        <f>IF(ISTEXT(物品!G239)=TRUE,"'"&amp;物品!G239&amp;"'",物品!G239)</f>
        <v>0</v>
      </c>
      <c r="F133">
        <f>IF(ISTEXT(物品!H239)=TRUE,"'"&amp;物品!H239&amp;"'",物品!H239)</f>
        <v>0</v>
      </c>
      <c r="G133">
        <f>IF(物品!I239="",0,"'"&amp;物品!I239&amp;"'")</f>
        <v>0</v>
      </c>
      <c r="H133">
        <f>IF(物品!R239="",0,物品!R239)</f>
        <v>0</v>
      </c>
      <c r="I133">
        <f>IF(物品!S239="",0,物品!S239)</f>
        <v>0</v>
      </c>
      <c r="J133" t="str">
        <f>IF(物品!C239="",0,""""&amp;物品!C239&amp;"""")</f>
        <v>"法强"</v>
      </c>
      <c r="K133" t="str">
        <f>IF(物品!T239="","""""",""""&amp;物品!T239&amp;"""")</f>
        <v>""</v>
      </c>
      <c r="L133">
        <f>IF(物品!U239="",0,""""&amp;物品!U239&amp;"""")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IF(物品!B240="",0,"'"&amp;物品!B240&amp;"'")</f>
        <v>'IF07'</v>
      </c>
      <c r="B134">
        <f>物品!D154</f>
        <v>0</v>
      </c>
      <c r="C134">
        <f>物品!E240</f>
        <v>0</v>
      </c>
      <c r="D134">
        <f>物品!F240</f>
        <v>0</v>
      </c>
      <c r="E134">
        <f>IF(ISTEXT(物品!G240)=TRUE,"'"&amp;物品!G240&amp;"'",物品!G240)</f>
        <v>0</v>
      </c>
      <c r="F134">
        <f>IF(ISTEXT(物品!H240)=TRUE,"'"&amp;物品!H240&amp;"'",物品!H240)</f>
        <v>0</v>
      </c>
      <c r="G134">
        <f>IF(物品!I240="",0,"'"&amp;物品!I240&amp;"'")</f>
        <v>0</v>
      </c>
      <c r="H134">
        <f>IF(物品!R240="",0,物品!R240)</f>
        <v>0</v>
      </c>
      <c r="I134">
        <f>IF(物品!S240="",0,物品!S240)</f>
        <v>0</v>
      </c>
      <c r="J134" t="str">
        <f>IF(物品!C240="",0,""""&amp;物品!C240&amp;"""")</f>
        <v>"攻击"</v>
      </c>
      <c r="K134" t="str">
        <f>IF(物品!T240="","""""",""""&amp;物品!T240&amp;"""")</f>
        <v>""</v>
      </c>
      <c r="L134">
        <f>IF(物品!U240="",0,""""&amp;物品!U240&amp;"""")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IF(物品!B241="",0,"'"&amp;物品!B241&amp;"'")</f>
        <v>'IF08'</v>
      </c>
      <c r="B135">
        <f>物品!D155</f>
        <v>0</v>
      </c>
      <c r="C135">
        <f>物品!E241</f>
        <v>0</v>
      </c>
      <c r="D135">
        <f>物品!F241</f>
        <v>0</v>
      </c>
      <c r="E135">
        <f>IF(ISTEXT(物品!G241)=TRUE,"'"&amp;物品!G241&amp;"'",物品!G241)</f>
        <v>0</v>
      </c>
      <c r="F135">
        <f>IF(ISTEXT(物品!H241)=TRUE,"'"&amp;物品!H241&amp;"'",物品!H241)</f>
        <v>0</v>
      </c>
      <c r="G135">
        <f>IF(物品!I241="",0,"'"&amp;物品!I241&amp;"'")</f>
        <v>0</v>
      </c>
      <c r="H135">
        <f>IF(物品!R241="",0,物品!R241)</f>
        <v>0</v>
      </c>
      <c r="I135">
        <f>IF(物品!S241="",0,物品!S241)</f>
        <v>0</v>
      </c>
      <c r="J135" t="str">
        <f>IF(物品!C241="",0,""""&amp;物品!C241&amp;"""")</f>
        <v>"法强"</v>
      </c>
      <c r="K135" t="str">
        <f>IF(物品!T241="","""""",""""&amp;物品!T241&amp;"""")</f>
        <v>""</v>
      </c>
      <c r="L135">
        <f>IF(物品!U241="",0,""""&amp;物品!U241&amp;"""")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IF(物品!B242="",0,"'"&amp;物品!B242&amp;"'")</f>
        <v>'IF09'</v>
      </c>
      <c r="B136">
        <f>物品!D156</f>
        <v>0</v>
      </c>
      <c r="C136">
        <f>物品!E242</f>
        <v>0</v>
      </c>
      <c r="D136">
        <f>物品!F242</f>
        <v>0</v>
      </c>
      <c r="E136">
        <f>IF(ISTEXT(物品!G242)=TRUE,"'"&amp;物品!G242&amp;"'",物品!G242)</f>
        <v>0</v>
      </c>
      <c r="F136">
        <f>IF(ISTEXT(物品!H242)=TRUE,"'"&amp;物品!H242&amp;"'",物品!H242)</f>
        <v>0</v>
      </c>
      <c r="G136">
        <f>IF(物品!I242="",0,"'"&amp;物品!I242&amp;"'")</f>
        <v>0</v>
      </c>
      <c r="H136">
        <f>IF(物品!R242="",0,物品!R242)</f>
        <v>0</v>
      </c>
      <c r="I136">
        <f>IF(物品!S242="",0,物品!S242)</f>
        <v>0</v>
      </c>
      <c r="J136" t="str">
        <f>IF(物品!C242="",0,""""&amp;物品!C242&amp;"""")</f>
        <v>"攻击"</v>
      </c>
      <c r="K136" t="str">
        <f>IF(物品!T242="","""""",""""&amp;物品!T242&amp;"""")</f>
        <v>""</v>
      </c>
      <c r="L136">
        <f>IF(物品!U242="",0,""""&amp;物品!U242&amp;"""")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IF(物品!B243="",0,"'"&amp;物品!B243&amp;"'")</f>
        <v>'IF10'</v>
      </c>
      <c r="B137">
        <f>物品!D157</f>
        <v>0</v>
      </c>
      <c r="C137">
        <f>物品!E243</f>
        <v>0</v>
      </c>
      <c r="D137">
        <f>物品!F243</f>
        <v>0</v>
      </c>
      <c r="E137">
        <f>IF(ISTEXT(物品!G243)=TRUE,"'"&amp;物品!G243&amp;"'",物品!G243)</f>
        <v>0</v>
      </c>
      <c r="F137">
        <f>IF(ISTEXT(物品!H243)=TRUE,"'"&amp;物品!H243&amp;"'",物品!H243)</f>
        <v>0</v>
      </c>
      <c r="G137">
        <f>IF(物品!I243="",0,"'"&amp;物品!I243&amp;"'")</f>
        <v>0</v>
      </c>
      <c r="H137">
        <f>IF(物品!R243="",0,物品!R243)</f>
        <v>0</v>
      </c>
      <c r="I137">
        <f>IF(物品!S243="",0,物品!S243)</f>
        <v>0</v>
      </c>
      <c r="J137" t="str">
        <f>IF(物品!C243="",0,""""&amp;物品!C243&amp;"""")</f>
        <v>"法强"</v>
      </c>
      <c r="K137" t="str">
        <f>IF(物品!T243="","""""",""""&amp;物品!T243&amp;"""")</f>
        <v>""</v>
      </c>
      <c r="L137">
        <f>IF(物品!U243="",0,""""&amp;物品!U243&amp;"""")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IF(物品!B244="",0,"'"&amp;物品!B244&amp;"'")</f>
        <v>'IF11'</v>
      </c>
      <c r="B138">
        <f>物品!D158</f>
        <v>0</v>
      </c>
      <c r="C138">
        <f>物品!E244</f>
        <v>0</v>
      </c>
      <c r="D138">
        <f>物品!F244</f>
        <v>0</v>
      </c>
      <c r="E138">
        <f>IF(ISTEXT(物品!G244)=TRUE,"'"&amp;物品!G244&amp;"'",物品!G244)</f>
        <v>0</v>
      </c>
      <c r="F138">
        <f>IF(ISTEXT(物品!H244)=TRUE,"'"&amp;物品!H244&amp;"'",物品!H244)</f>
        <v>0</v>
      </c>
      <c r="G138">
        <f>IF(物品!I244="",0,"'"&amp;物品!I244&amp;"'")</f>
        <v>0</v>
      </c>
      <c r="H138">
        <f>IF(物品!R244="",0,物品!R244)</f>
        <v>0</v>
      </c>
      <c r="I138">
        <f>IF(物品!S244="",0,物品!S244)</f>
        <v>0</v>
      </c>
      <c r="J138" t="str">
        <f>IF(物品!C244="",0,""""&amp;物品!C244&amp;"""")</f>
        <v>"攻击和法强"</v>
      </c>
      <c r="K138" t="str">
        <f>IF(物品!T244="","""""",""""&amp;物品!T244&amp;"""")</f>
        <v>""</v>
      </c>
      <c r="L138">
        <f>IF(物品!U244="",0,""""&amp;物品!U244&amp;"""")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IF(物品!B245="",0,"'"&amp;物品!B245&amp;"'")</f>
        <v>'IF12'</v>
      </c>
      <c r="B139">
        <f>物品!D159</f>
        <v>0</v>
      </c>
      <c r="C139">
        <f>物品!E245</f>
        <v>0</v>
      </c>
      <c r="D139">
        <f>物品!F245</f>
        <v>0</v>
      </c>
      <c r="E139">
        <f>IF(ISTEXT(物品!G245)=TRUE,"'"&amp;物品!G245&amp;"'",物品!G245)</f>
        <v>0</v>
      </c>
      <c r="F139">
        <f>IF(ISTEXT(物品!H245)=TRUE,"'"&amp;物品!H245&amp;"'",物品!H245)</f>
        <v>0</v>
      </c>
      <c r="G139">
        <f>IF(物品!I245="",0,"'"&amp;物品!I245&amp;"'")</f>
        <v>0</v>
      </c>
      <c r="H139">
        <f>IF(物品!R245="",0,物品!R245)</f>
        <v>0</v>
      </c>
      <c r="I139">
        <f>IF(物品!S245="",0,物品!S245)</f>
        <v>0</v>
      </c>
      <c r="J139" t="str">
        <f>IF(物品!C245="",0,""""&amp;物品!C245&amp;"""")</f>
        <v>"暴击"</v>
      </c>
      <c r="K139" t="str">
        <f>IF(物品!T245="","""""",""""&amp;物品!T245&amp;"""")</f>
        <v>""</v>
      </c>
      <c r="L139">
        <f>IF(物品!U245="",0,""""&amp;物品!U245&amp;"""")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IF(物品!B246="",0,"'"&amp;物品!B246&amp;"'")</f>
        <v>'IF13'</v>
      </c>
      <c r="B140">
        <f>物品!D160</f>
        <v>0</v>
      </c>
      <c r="C140">
        <f>物品!E246</f>
        <v>0</v>
      </c>
      <c r="D140">
        <f>物品!F246</f>
        <v>0</v>
      </c>
      <c r="E140">
        <f>IF(ISTEXT(物品!G246)=TRUE,"'"&amp;物品!G246&amp;"'",物品!G246)</f>
        <v>0</v>
      </c>
      <c r="F140">
        <f>IF(ISTEXT(物品!H246)=TRUE,"'"&amp;物品!H246&amp;"'",物品!H246)</f>
        <v>0</v>
      </c>
      <c r="G140">
        <f>IF(物品!I246="",0,"'"&amp;物品!I246&amp;"'")</f>
        <v>0</v>
      </c>
      <c r="H140">
        <f>IF(物品!R246="",0,物品!R246)</f>
        <v>0</v>
      </c>
      <c r="I140">
        <f>IF(物品!S246="",0,物品!S246)</f>
        <v>0</v>
      </c>
      <c r="J140" t="str">
        <f>IF(物品!C246="",0,""""&amp;物品!C246&amp;"""")</f>
        <v>"爆伤"</v>
      </c>
      <c r="K140" t="str">
        <f>IF(物品!T246="","""""",""""&amp;物品!T246&amp;"""")</f>
        <v>""</v>
      </c>
      <c r="L140">
        <f>IF(物品!U246="",0,""""&amp;物品!U246&amp;"""")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IF(物品!B247="",0,"'"&amp;物品!B247&amp;"'")</f>
        <v>'IF14'</v>
      </c>
      <c r="B141">
        <f>物品!D161</f>
        <v>0</v>
      </c>
      <c r="C141">
        <f>物品!E247</f>
        <v>0</v>
      </c>
      <c r="D141">
        <f>物品!F247</f>
        <v>0</v>
      </c>
      <c r="E141">
        <f>IF(ISTEXT(物品!G247)=TRUE,"'"&amp;物品!G247&amp;"'",物品!G247)</f>
        <v>0</v>
      </c>
      <c r="F141">
        <f>IF(ISTEXT(物品!H247)=TRUE,"'"&amp;物品!H247&amp;"'",物品!H247)</f>
        <v>0</v>
      </c>
      <c r="G141">
        <f>IF(物品!I247="",0,"'"&amp;物品!I247&amp;"'")</f>
        <v>0</v>
      </c>
      <c r="H141">
        <f>IF(物品!R247="",0,物品!R247)</f>
        <v>0</v>
      </c>
      <c r="I141">
        <f>IF(物品!S247="",0,物品!S247)</f>
        <v>0</v>
      </c>
      <c r="J141" t="str">
        <f>IF(物品!C247="",0,""""&amp;物品!C247&amp;"""")</f>
        <v>"爆伤"</v>
      </c>
      <c r="K141" t="str">
        <f>IF(物品!T247="","""""",""""&amp;物品!T247&amp;"""")</f>
        <v>""</v>
      </c>
      <c r="L141">
        <f>IF(物品!U247="",0,""""&amp;物品!U247&amp;"""")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IF(物品!B248="",0,"'"&amp;物品!B248&amp;"'")</f>
        <v>'IF15'</v>
      </c>
      <c r="B142">
        <f>物品!D162</f>
        <v>0</v>
      </c>
      <c r="C142">
        <f>物品!E248</f>
        <v>0</v>
      </c>
      <c r="D142">
        <f>物品!F248</f>
        <v>0</v>
      </c>
      <c r="E142">
        <f>IF(ISTEXT(物品!G248)=TRUE,"'"&amp;物品!G248&amp;"'",物品!G248)</f>
        <v>0</v>
      </c>
      <c r="F142">
        <f>IF(ISTEXT(物品!H248)=TRUE,"'"&amp;物品!H248&amp;"'",物品!H248)</f>
        <v>0</v>
      </c>
      <c r="G142">
        <f>IF(物品!I248="",0,"'"&amp;物品!I248&amp;"'")</f>
        <v>0</v>
      </c>
      <c r="H142">
        <f>IF(物品!R248="",0,物品!R248)</f>
        <v>0</v>
      </c>
      <c r="I142">
        <f>IF(物品!S248="",0,物品!S248)</f>
        <v>0</v>
      </c>
      <c r="J142" t="str">
        <f>IF(物品!C248="",0,""""&amp;物品!C248&amp;"""")</f>
        <v>"爆伤"</v>
      </c>
      <c r="K142" t="str">
        <f>IF(物品!T248="","""""",""""&amp;物品!T248&amp;"""")</f>
        <v>""</v>
      </c>
      <c r="L142">
        <f>IF(物品!U248="",0,""""&amp;物品!U248&amp;"""")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IF(物品!B249="",0,"'"&amp;物品!B249&amp;"'")</f>
        <v>'IF16'</v>
      </c>
      <c r="B143">
        <f>物品!D163</f>
        <v>0</v>
      </c>
      <c r="C143">
        <f>物品!E249</f>
        <v>0</v>
      </c>
      <c r="D143">
        <f>物品!F249</f>
        <v>0</v>
      </c>
      <c r="E143">
        <f>IF(ISTEXT(物品!G249)=TRUE,"'"&amp;物品!G249&amp;"'",物品!G249)</f>
        <v>0</v>
      </c>
      <c r="F143">
        <f>IF(ISTEXT(物品!H249)=TRUE,"'"&amp;物品!H249&amp;"'",物品!H249)</f>
        <v>0</v>
      </c>
      <c r="G143">
        <f>IF(物品!I249="",0,"'"&amp;物品!I249&amp;"'")</f>
        <v>0</v>
      </c>
      <c r="H143">
        <f>IF(物品!R249="",0,物品!R249)</f>
        <v>0</v>
      </c>
      <c r="I143">
        <f>IF(物品!S249="",0,物品!S249)</f>
        <v>0</v>
      </c>
      <c r="J143" t="str">
        <f>IF(物品!C249="",0,""""&amp;物品!C249&amp;"""")</f>
        <v>"冷却缩减"</v>
      </c>
      <c r="K143" t="str">
        <f>IF(物品!T249="","""""",""""&amp;物品!T249&amp;"""")</f>
        <v>""</v>
      </c>
      <c r="L143">
        <f>IF(物品!U249="",0,""""&amp;物品!U249&amp;"""")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IF(物品!B250="",0,"'"&amp;物品!B250&amp;"'")</f>
        <v>'IF17'</v>
      </c>
      <c r="B144">
        <f>物品!D164</f>
        <v>0</v>
      </c>
      <c r="C144">
        <f>物品!E250</f>
        <v>0</v>
      </c>
      <c r="D144">
        <f>物品!F250</f>
        <v>0</v>
      </c>
      <c r="E144">
        <f>IF(ISTEXT(物品!G250)=TRUE,"'"&amp;物品!G250&amp;"'",物品!G250)</f>
        <v>0</v>
      </c>
      <c r="F144">
        <f>IF(ISTEXT(物品!H250)=TRUE,"'"&amp;物品!H250&amp;"'",物品!H250)</f>
        <v>0</v>
      </c>
      <c r="G144">
        <f>IF(物品!I250="",0,"'"&amp;物品!I250&amp;"'")</f>
        <v>0</v>
      </c>
      <c r="H144">
        <f>IF(物品!R250="",0,物品!R250)</f>
        <v>0</v>
      </c>
      <c r="I144">
        <f>IF(物品!S250="",0,物品!S250)</f>
        <v>0</v>
      </c>
      <c r="J144" t="str">
        <f>IF(物品!C250="",0,""""&amp;物品!C250&amp;"""")</f>
        <v>"冷却缩减"</v>
      </c>
      <c r="K144" t="str">
        <f>IF(物品!T250="","""""",""""&amp;物品!T250&amp;"""")</f>
        <v>""</v>
      </c>
      <c r="L144">
        <f>IF(物品!U250="",0,""""&amp;物品!U250&amp;"""")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IF(物品!B251="",0,"'"&amp;物品!B251&amp;"'")</f>
        <v>'IF18'</v>
      </c>
      <c r="B145">
        <f>物品!D165</f>
        <v>0</v>
      </c>
      <c r="C145">
        <f>物品!E251</f>
        <v>0</v>
      </c>
      <c r="D145">
        <f>物品!F251</f>
        <v>0</v>
      </c>
      <c r="E145">
        <f>IF(ISTEXT(物品!G251)=TRUE,"'"&amp;物品!G251&amp;"'",物品!G251)</f>
        <v>0</v>
      </c>
      <c r="F145">
        <f>IF(ISTEXT(物品!H251)=TRUE,"'"&amp;物品!H251&amp;"'",物品!H251)</f>
        <v>0</v>
      </c>
      <c r="G145">
        <f>IF(物品!I251="",0,"'"&amp;物品!I251&amp;"'")</f>
        <v>0</v>
      </c>
      <c r="H145">
        <f>IF(物品!R251="",0,物品!R251)</f>
        <v>0</v>
      </c>
      <c r="I145">
        <f>IF(物品!S251="",0,物品!S251)</f>
        <v>0</v>
      </c>
      <c r="J145" t="str">
        <f>IF(物品!C251="",0,""""&amp;物品!C251&amp;"""")</f>
        <v>"攻击速度"</v>
      </c>
      <c r="K145" t="str">
        <f>IF(物品!T251="","""""",""""&amp;物品!T251&amp;"""")</f>
        <v>""</v>
      </c>
      <c r="L145">
        <f>IF(物品!U251="",0,""""&amp;物品!U251&amp;"""")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IF(物品!B252="",0,"'"&amp;物品!B252&amp;"'")</f>
        <v>'IF19'</v>
      </c>
      <c r="B146">
        <f>物品!D166</f>
        <v>0</v>
      </c>
      <c r="C146">
        <f>物品!E252</f>
        <v>0</v>
      </c>
      <c r="D146">
        <f>物品!F252</f>
        <v>0</v>
      </c>
      <c r="E146">
        <f>IF(ISTEXT(物品!G252)=TRUE,"'"&amp;物品!G252&amp;"'",物品!G252)</f>
        <v>0</v>
      </c>
      <c r="F146">
        <f>IF(ISTEXT(物品!H252)=TRUE,"'"&amp;物品!H252&amp;"'",物品!H252)</f>
        <v>0</v>
      </c>
      <c r="G146">
        <f>IF(物品!I252="",0,"'"&amp;物品!I252&amp;"'")</f>
        <v>0</v>
      </c>
      <c r="H146">
        <f>IF(物品!R252="",0,物品!R252)</f>
        <v>0</v>
      </c>
      <c r="I146">
        <f>IF(物品!S252="",0,物品!S252)</f>
        <v>0</v>
      </c>
      <c r="J146" t="str">
        <f>IF(物品!C252="",0,""""&amp;物品!C252&amp;"""")</f>
        <v>"攻击速度"</v>
      </c>
      <c r="K146" t="str">
        <f>IF(物品!T252="","""""",""""&amp;物品!T252&amp;"""")</f>
        <v>""</v>
      </c>
      <c r="L146">
        <f>IF(物品!U252="",0,""""&amp;物品!U252&amp;"""")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IF(物品!B253="",0,"'"&amp;物品!B253&amp;"'")</f>
        <v>'IF20'</v>
      </c>
      <c r="B147">
        <f>物品!D167</f>
        <v>0</v>
      </c>
      <c r="C147">
        <f>物品!E253</f>
        <v>0</v>
      </c>
      <c r="D147">
        <f>物品!F253</f>
        <v>0</v>
      </c>
      <c r="E147">
        <f>IF(ISTEXT(物品!G253)=TRUE,"'"&amp;物品!G253&amp;"'",物品!G253)</f>
        <v>0</v>
      </c>
      <c r="F147">
        <f>IF(ISTEXT(物品!H253)=TRUE,"'"&amp;物品!H253&amp;"'",物品!H253)</f>
        <v>0</v>
      </c>
      <c r="G147">
        <f>IF(物品!I253="",0,"'"&amp;物品!I253&amp;"'")</f>
        <v>0</v>
      </c>
      <c r="H147">
        <f>IF(物品!R253="",0,物品!R253)</f>
        <v>0</v>
      </c>
      <c r="I147">
        <f>IF(物品!S253="",0,物品!S253)</f>
        <v>0</v>
      </c>
      <c r="J147" t="str">
        <f>IF(物品!C253="",0,""""&amp;物品!C253&amp;"""")</f>
        <v>"普攻伤害"</v>
      </c>
      <c r="K147" t="str">
        <f>IF(物品!T253="","""""",""""&amp;物品!T253&amp;"""")</f>
        <v>""</v>
      </c>
      <c r="L147">
        <f>IF(物品!U253="",0,""""&amp;物品!U253&amp;"""")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IF(物品!B254="",0,"'"&amp;物品!B254&amp;"'")</f>
        <v>'IF21'</v>
      </c>
      <c r="B148">
        <f>物品!D178</f>
        <v>0</v>
      </c>
      <c r="C148">
        <f>物品!E254</f>
        <v>0</v>
      </c>
      <c r="D148">
        <f>物品!F254</f>
        <v>0</v>
      </c>
      <c r="E148">
        <f>IF(ISTEXT(物品!G254)=TRUE,"'"&amp;物品!G254&amp;"'",物品!G254)</f>
        <v>0</v>
      </c>
      <c r="F148">
        <f>IF(ISTEXT(物品!H254)=TRUE,"'"&amp;物品!H254&amp;"'",物品!H254)</f>
        <v>0</v>
      </c>
      <c r="G148">
        <f>IF(物品!I254="",0,"'"&amp;物品!I254&amp;"'")</f>
        <v>0</v>
      </c>
      <c r="H148">
        <f>IF(物品!R254="",0,物品!R254)</f>
        <v>0</v>
      </c>
      <c r="I148">
        <f>IF(物品!S254="",0,物品!S254)</f>
        <v>0</v>
      </c>
      <c r="J148" t="str">
        <f>IF(物品!C254="",0,""""&amp;物品!C254&amp;"""")</f>
        <v>"普攻伤害"</v>
      </c>
      <c r="K148" t="str">
        <f>IF(物品!T254="","""""",""""&amp;物品!T254&amp;"""")</f>
        <v>""</v>
      </c>
      <c r="L148">
        <f>IF(物品!U254="",0,""""&amp;物品!U254&amp;"""")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IF(物品!B255="",0,"'"&amp;物品!B255&amp;"'")</f>
        <v>'IF22'</v>
      </c>
      <c r="B149">
        <f>物品!D179</f>
        <v>0</v>
      </c>
      <c r="C149">
        <f>物品!E255</f>
        <v>0</v>
      </c>
      <c r="D149">
        <f>物品!F255</f>
        <v>0</v>
      </c>
      <c r="E149">
        <f>IF(ISTEXT(物品!G255)=TRUE,"'"&amp;物品!G255&amp;"'",物品!G255)</f>
        <v>0</v>
      </c>
      <c r="F149">
        <f>IF(ISTEXT(物品!H255)=TRUE,"'"&amp;物品!H255&amp;"'",物品!H255)</f>
        <v>0</v>
      </c>
      <c r="G149">
        <f>IF(物品!I255="",0,"'"&amp;物品!I255&amp;"'")</f>
        <v>0</v>
      </c>
      <c r="H149">
        <f>IF(物品!R255="",0,物品!R255)</f>
        <v>0</v>
      </c>
      <c r="I149">
        <f>IF(物品!S255="",0,物品!S255)</f>
        <v>0</v>
      </c>
      <c r="J149" t="str">
        <f>IF(物品!C255="",0,""""&amp;物品!C255&amp;"""")</f>
        <v>"回蓝"</v>
      </c>
      <c r="K149" t="str">
        <f>IF(物品!T255="","""""",""""&amp;物品!T255&amp;"""")</f>
        <v>""</v>
      </c>
      <c r="L149">
        <f>IF(物品!U255="",0,""""&amp;物品!U255&amp;"""")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IF(物品!B256="",0,"'"&amp;物品!B256&amp;"'")</f>
        <v>'IF23'</v>
      </c>
      <c r="B150">
        <f>物品!D180</f>
        <v>0</v>
      </c>
      <c r="C150">
        <f>物品!E256</f>
        <v>0</v>
      </c>
      <c r="D150">
        <f>物品!F256</f>
        <v>0</v>
      </c>
      <c r="E150">
        <f>IF(ISTEXT(物品!G256)=TRUE,"'"&amp;物品!G256&amp;"'",物品!G256)</f>
        <v>0</v>
      </c>
      <c r="F150">
        <f>IF(ISTEXT(物品!H256)=TRUE,"'"&amp;物品!H256&amp;"'",物品!H256)</f>
        <v>0</v>
      </c>
      <c r="G150">
        <f>IF(物品!I256="",0,"'"&amp;物品!I256&amp;"'")</f>
        <v>0</v>
      </c>
      <c r="H150">
        <f>IF(物品!R256="",0,物品!R256)</f>
        <v>0</v>
      </c>
      <c r="I150">
        <f>IF(物品!S256="",0,物品!S256)</f>
        <v>0</v>
      </c>
      <c r="J150" t="str">
        <f>IF(物品!C256="",0,""""&amp;物品!C256&amp;"""")</f>
        <v>"回蓝"</v>
      </c>
      <c r="K150" t="str">
        <f>IF(物品!T256="","""""",""""&amp;物品!T256&amp;"""")</f>
        <v>""</v>
      </c>
      <c r="L150">
        <f>IF(物品!U256="",0,""""&amp;物品!U256&amp;"""")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IF(物品!B257="",0,"'"&amp;物品!B257&amp;"'")</f>
        <v>'IF24'</v>
      </c>
      <c r="B151">
        <f>物品!D181</f>
        <v>0</v>
      </c>
      <c r="C151">
        <f>物品!E257</f>
        <v>0</v>
      </c>
      <c r="D151">
        <f>物品!F257</f>
        <v>0</v>
      </c>
      <c r="E151">
        <f>IF(ISTEXT(物品!G257)=TRUE,"'"&amp;物品!G257&amp;"'",物品!G257)</f>
        <v>0</v>
      </c>
      <c r="F151">
        <f>IF(ISTEXT(物品!H257)=TRUE,"'"&amp;物品!H257&amp;"'",物品!H257)</f>
        <v>0</v>
      </c>
      <c r="G151">
        <f>IF(物品!I257="",0,"'"&amp;物品!I257&amp;"'")</f>
        <v>0</v>
      </c>
      <c r="H151">
        <f>IF(物品!R257="",0,物品!R257)</f>
        <v>0</v>
      </c>
      <c r="I151">
        <f>IF(物品!S257="",0,物品!S257)</f>
        <v>0</v>
      </c>
      <c r="J151" t="str">
        <f>IF(物品!C257="",0,""""&amp;物品!C257&amp;"""")</f>
        <v>"生命回复"</v>
      </c>
      <c r="K151" t="str">
        <f>IF(物品!T257="","""""",""""&amp;物品!T257&amp;"""")</f>
        <v>""</v>
      </c>
      <c r="L151">
        <f>IF(物品!U257="",0,""""&amp;物品!U257&amp;"""")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IF(物品!B258="",0,"'"&amp;物品!B258&amp;"'")</f>
        <v>'IF25'</v>
      </c>
      <c r="B152">
        <f>物品!D182</f>
        <v>0</v>
      </c>
      <c r="C152">
        <f>物品!E258</f>
        <v>0</v>
      </c>
      <c r="D152">
        <f>物品!F258</f>
        <v>0</v>
      </c>
      <c r="E152">
        <f>IF(ISTEXT(物品!G258)=TRUE,"'"&amp;物品!G258&amp;"'",物品!G258)</f>
        <v>0</v>
      </c>
      <c r="F152">
        <f>IF(ISTEXT(物品!H258)=TRUE,"'"&amp;物品!H258&amp;"'",物品!H258)</f>
        <v>0</v>
      </c>
      <c r="G152">
        <f>IF(物品!I258="",0,"'"&amp;物品!I258&amp;"'")</f>
        <v>0</v>
      </c>
      <c r="H152">
        <f>IF(物品!R258="",0,物品!R258)</f>
        <v>0</v>
      </c>
      <c r="I152">
        <f>IF(物品!S258="",0,物品!S258)</f>
        <v>0</v>
      </c>
      <c r="J152" t="str">
        <f>IF(物品!C258="",0,""""&amp;物品!C258&amp;"""")</f>
        <v>"伤害吸血"</v>
      </c>
      <c r="K152" t="str">
        <f>IF(物品!T258="","""""",""""&amp;物品!T258&amp;"""")</f>
        <v>""</v>
      </c>
      <c r="L152">
        <f>IF(物品!U258="",0,""""&amp;物品!U258&amp;"""")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IF(物品!B259="",0,"'"&amp;物品!B259&amp;"'")</f>
        <v>'IF26'</v>
      </c>
      <c r="B153">
        <f>物品!D187</f>
        <v>0</v>
      </c>
      <c r="C153">
        <f>物品!E259</f>
        <v>0</v>
      </c>
      <c r="D153">
        <f>物品!F259</f>
        <v>0</v>
      </c>
      <c r="E153">
        <f>IF(ISTEXT(物品!G259)=TRUE,"'"&amp;物品!G259&amp;"'",物品!G259)</f>
        <v>0</v>
      </c>
      <c r="F153">
        <f>IF(ISTEXT(物品!H259)=TRUE,"'"&amp;物品!H259&amp;"'",物品!H259)</f>
        <v>0</v>
      </c>
      <c r="G153">
        <f>IF(物品!I259="",0,"'"&amp;物品!I259&amp;"'")</f>
        <v>0</v>
      </c>
      <c r="H153">
        <f>IF(物品!R259="",0,物品!R259)</f>
        <v>0</v>
      </c>
      <c r="I153">
        <f>IF(物品!S259="",0,物品!S259)</f>
        <v>0</v>
      </c>
      <c r="J153" t="str">
        <f>IF(物品!C259="",0,""""&amp;物品!C259&amp;"""")</f>
        <v>"闪避"</v>
      </c>
      <c r="K153" t="str">
        <f>IF(物品!T259="","""""",""""&amp;物品!T259&amp;"""")</f>
        <v>""</v>
      </c>
      <c r="L153">
        <f>IF(物品!U259="",0,""""&amp;物品!U259&amp;"""")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IF(物品!B260="",0,"'"&amp;物品!B260&amp;"'")</f>
        <v>'IF27'</v>
      </c>
      <c r="B154">
        <f>物品!D188</f>
        <v>0</v>
      </c>
      <c r="C154">
        <f>物品!E260</f>
        <v>0</v>
      </c>
      <c r="D154">
        <f>物品!F260</f>
        <v>0</v>
      </c>
      <c r="E154">
        <f>IF(ISTEXT(物品!G260)=TRUE,"'"&amp;物品!G260&amp;"'",物品!G260)</f>
        <v>0</v>
      </c>
      <c r="F154">
        <f>IF(ISTEXT(物品!H260)=TRUE,"'"&amp;物品!H260&amp;"'",物品!H260)</f>
        <v>0</v>
      </c>
      <c r="G154">
        <f>IF(物品!I260="",0,"'"&amp;物品!I260&amp;"'")</f>
        <v>0</v>
      </c>
      <c r="H154">
        <f>IF(物品!R260="",0,物品!R260)</f>
        <v>0</v>
      </c>
      <c r="I154">
        <f>IF(物品!S260="",0,物品!S260)</f>
        <v>0</v>
      </c>
      <c r="J154" t="str">
        <f>IF(物品!C260="",0,""""&amp;物品!C260&amp;"""")</f>
        <v>"伤害减免"</v>
      </c>
      <c r="K154" t="str">
        <f>IF(物品!T260="","""""",""""&amp;物品!T260&amp;"""")</f>
        <v>""</v>
      </c>
      <c r="L154">
        <f>IF(物品!U260="",0,""""&amp;物品!U260&amp;"""")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IF(物品!B261="",0,"'"&amp;物品!B261&amp;"'")</f>
        <v>0</v>
      </c>
      <c r="B155">
        <f>物品!D189</f>
        <v>0</v>
      </c>
      <c r="C155">
        <f>物品!E261</f>
        <v>0</v>
      </c>
      <c r="D155">
        <f>物品!F261</f>
        <v>0</v>
      </c>
      <c r="E155">
        <f>IF(ISTEXT(物品!G261)=TRUE,"'"&amp;物品!G261&amp;"'",物品!G261)</f>
        <v>0</v>
      </c>
      <c r="F155">
        <f>IF(ISTEXT(物品!H261)=TRUE,"'"&amp;物品!H261&amp;"'",物品!H261)</f>
        <v>0</v>
      </c>
      <c r="G155">
        <f>IF(物品!I261="",0,"'"&amp;物品!I261&amp;"'")</f>
        <v>0</v>
      </c>
      <c r="H155">
        <f>IF(物品!R261="",0,物品!R261)</f>
        <v>0</v>
      </c>
      <c r="I155">
        <f>IF(物品!S261="",0,物品!S261)</f>
        <v>0</v>
      </c>
      <c r="J155">
        <f>IF(物品!C261="",0,""""&amp;物品!C261&amp;"""")</f>
        <v>0</v>
      </c>
      <c r="K155" t="str">
        <f>IF(物品!T261="","""""",""""&amp;物品!T261&amp;"""")</f>
        <v>""</v>
      </c>
      <c r="L155">
        <f>IF(物品!U261="",0,""""&amp;物品!U261&amp;"""")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IF(物品!B262="",0,"'"&amp;物品!B262&amp;"'")</f>
        <v>0</v>
      </c>
      <c r="B156">
        <f>物品!D190</f>
        <v>0</v>
      </c>
      <c r="C156">
        <f>物品!E262</f>
        <v>0</v>
      </c>
      <c r="D156">
        <f>物品!F262</f>
        <v>0</v>
      </c>
      <c r="E156">
        <f>IF(ISTEXT(物品!G262)=TRUE,"'"&amp;物品!G262&amp;"'",物品!G262)</f>
        <v>0</v>
      </c>
      <c r="F156">
        <f>IF(ISTEXT(物品!H262)=TRUE,"'"&amp;物品!H262&amp;"'",物品!H262)</f>
        <v>0</v>
      </c>
      <c r="G156">
        <f>IF(物品!I262="",0,"'"&amp;物品!I262&amp;"'")</f>
        <v>0</v>
      </c>
      <c r="H156">
        <f>IF(物品!R262="",0,物品!R262)</f>
        <v>0</v>
      </c>
      <c r="I156">
        <f>IF(物品!S262="",0,物品!S262)</f>
        <v>0</v>
      </c>
      <c r="J156">
        <f>IF(物品!C262="",0,""""&amp;物品!C262&amp;"""")</f>
        <v>0</v>
      </c>
      <c r="K156" t="str">
        <f>IF(物品!T262="","""""",""""&amp;物品!T262&amp;"""")</f>
        <v>""</v>
      </c>
      <c r="L156">
        <f>IF(物品!U262="",0,""""&amp;物品!U262&amp;"""")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IF(物品!B263="",0,"'"&amp;物品!B263&amp;"'")</f>
        <v>0</v>
      </c>
      <c r="B157">
        <f>物品!D191</f>
        <v>0</v>
      </c>
      <c r="C157">
        <f>物品!E263</f>
        <v>0</v>
      </c>
      <c r="D157">
        <f>物品!F263</f>
        <v>0</v>
      </c>
      <c r="E157">
        <f>IF(ISTEXT(物品!G263)=TRUE,"'"&amp;物品!G263&amp;"'",物品!G263)</f>
        <v>0</v>
      </c>
      <c r="F157">
        <f>IF(ISTEXT(物品!H263)=TRUE,"'"&amp;物品!H263&amp;"'",物品!H263)</f>
        <v>0</v>
      </c>
      <c r="G157">
        <f>IF(物品!I263="",0,"'"&amp;物品!I263&amp;"'")</f>
        <v>0</v>
      </c>
      <c r="H157">
        <f>IF(物品!R263="",0,物品!R263)</f>
        <v>0</v>
      </c>
      <c r="I157">
        <f>IF(物品!S263="",0,物品!S263)</f>
        <v>0</v>
      </c>
      <c r="J157">
        <f>IF(物品!C263="",0,""""&amp;物品!C263&amp;"""")</f>
        <v>0</v>
      </c>
      <c r="K157" t="str">
        <f>IF(物品!T263="","""""",""""&amp;物品!T263&amp;"""")</f>
        <v>""</v>
      </c>
      <c r="L157">
        <f>IF(物品!U263="",0,""""&amp;物品!U263&amp;"""")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IF(物品!B264="",0,"'"&amp;物品!B264&amp;"'")</f>
        <v>0</v>
      </c>
      <c r="B158">
        <f>物品!D192</f>
        <v>0</v>
      </c>
      <c r="C158">
        <f>物品!E264</f>
        <v>0</v>
      </c>
      <c r="D158">
        <f>物品!F264</f>
        <v>0</v>
      </c>
      <c r="E158">
        <f>IF(ISTEXT(物品!G264)=TRUE,"'"&amp;物品!G264&amp;"'",物品!G264)</f>
        <v>0</v>
      </c>
      <c r="F158">
        <f>IF(ISTEXT(物品!H264)=TRUE,"'"&amp;物品!H264&amp;"'",物品!H264)</f>
        <v>0</v>
      </c>
      <c r="G158">
        <f>IF(物品!I264="",0,"'"&amp;物品!I264&amp;"'")</f>
        <v>0</v>
      </c>
      <c r="H158">
        <f>IF(物品!R264="",0,物品!R264)</f>
        <v>0</v>
      </c>
      <c r="I158">
        <f>IF(物品!S264="",0,物品!S264)</f>
        <v>0</v>
      </c>
      <c r="J158">
        <f>IF(物品!C264="",0,""""&amp;物品!C264&amp;"""")</f>
        <v>0</v>
      </c>
      <c r="K158" t="str">
        <f>IF(物品!T264="","""""",""""&amp;物品!T264&amp;"""")</f>
        <v>""</v>
      </c>
      <c r="L158">
        <f>IF(物品!U264="",0,""""&amp;物品!U264&amp;"""")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IF(物品!B265="",0,"'"&amp;物品!B265&amp;"'")</f>
        <v>0</v>
      </c>
      <c r="B159">
        <f>物品!D193</f>
        <v>0</v>
      </c>
      <c r="C159">
        <f>物品!E265</f>
        <v>0</v>
      </c>
      <c r="D159">
        <f>物品!F265</f>
        <v>0</v>
      </c>
      <c r="E159">
        <f>IF(ISTEXT(物品!G265)=TRUE,"'"&amp;物品!G265&amp;"'",物品!G265)</f>
        <v>0</v>
      </c>
      <c r="F159">
        <f>IF(ISTEXT(物品!H265)=TRUE,"'"&amp;物品!H265&amp;"'",物品!H265)</f>
        <v>0</v>
      </c>
      <c r="G159">
        <f>IF(物品!I265="",0,"'"&amp;物品!I265&amp;"'")</f>
        <v>0</v>
      </c>
      <c r="H159">
        <f>IF(物品!R265="",0,物品!R265)</f>
        <v>0</v>
      </c>
      <c r="I159">
        <f>IF(物品!S265="",0,物品!S265)</f>
        <v>0</v>
      </c>
      <c r="J159">
        <f>IF(物品!C265="",0,""""&amp;物品!C265&amp;"""")</f>
        <v>0</v>
      </c>
      <c r="K159" t="str">
        <f>IF(物品!T265="","""""",""""&amp;物品!T265&amp;"""")</f>
        <v>""</v>
      </c>
      <c r="L159">
        <f>IF(物品!U265="",0,""""&amp;物品!U265&amp;"""")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IF(物品!B266="",0,"'"&amp;物品!B266&amp;"'")</f>
        <v>0</v>
      </c>
      <c r="B160">
        <f>物品!D194</f>
        <v>0</v>
      </c>
      <c r="C160">
        <f>物品!E266</f>
        <v>0</v>
      </c>
      <c r="D160">
        <f>物品!F266</f>
        <v>0</v>
      </c>
      <c r="E160">
        <f>IF(ISTEXT(物品!G266)=TRUE,"'"&amp;物品!G266&amp;"'",物品!G266)</f>
        <v>0</v>
      </c>
      <c r="F160">
        <f>IF(ISTEXT(物品!H266)=TRUE,"'"&amp;物品!H266&amp;"'",物品!H266)</f>
        <v>0</v>
      </c>
      <c r="G160">
        <f>IF(物品!I266="",0,"'"&amp;物品!I266&amp;"'")</f>
        <v>0</v>
      </c>
      <c r="H160">
        <f>IF(物品!R266="",0,物品!R266)</f>
        <v>0</v>
      </c>
      <c r="I160">
        <f>IF(物品!S266="",0,物品!S266)</f>
        <v>0</v>
      </c>
      <c r="J160">
        <f>IF(物品!C266="",0,""""&amp;物品!C266&amp;"""")</f>
        <v>0</v>
      </c>
      <c r="K160" t="str">
        <f>IF(物品!T266="","""""",""""&amp;物品!T266&amp;"""")</f>
        <v>""</v>
      </c>
      <c r="L160">
        <f>IF(物品!U266="",0,""""&amp;物品!U266&amp;"""")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IF(物品!B267="",0,"'"&amp;物品!B267&amp;"'")</f>
        <v>0</v>
      </c>
      <c r="B161">
        <f>物品!D195</f>
        <v>0</v>
      </c>
      <c r="C161">
        <f>物品!E267</f>
        <v>0</v>
      </c>
      <c r="D161">
        <f>物品!F267</f>
        <v>0</v>
      </c>
      <c r="E161">
        <f>IF(ISTEXT(物品!G267)=TRUE,"'"&amp;物品!G267&amp;"'",物品!G267)</f>
        <v>0</v>
      </c>
      <c r="F161">
        <f>IF(ISTEXT(物品!H267)=TRUE,"'"&amp;物品!H267&amp;"'",物品!H267)</f>
        <v>0</v>
      </c>
      <c r="G161">
        <f>IF(物品!I267="",0,"'"&amp;物品!I267&amp;"'")</f>
        <v>0</v>
      </c>
      <c r="H161">
        <f>IF(物品!R267="",0,物品!R267)</f>
        <v>0</v>
      </c>
      <c r="I161">
        <f>IF(物品!S267="",0,物品!S267)</f>
        <v>0</v>
      </c>
      <c r="J161">
        <f>IF(物品!C267="",0,""""&amp;物品!C267&amp;"""")</f>
        <v>0</v>
      </c>
      <c r="K161" t="str">
        <f>IF(物品!T267="","""""",""""&amp;物品!T267&amp;"""")</f>
        <v>""</v>
      </c>
      <c r="L161">
        <f>IF(物品!U267="",0,""""&amp;物品!U267&amp;"""")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IF(物品!B268="",0,"'"&amp;物品!B268&amp;"'")</f>
        <v>0</v>
      </c>
      <c r="B162">
        <f>物品!D196</f>
        <v>0</v>
      </c>
      <c r="C162">
        <f>物品!E268</f>
        <v>0</v>
      </c>
      <c r="D162">
        <f>物品!F268</f>
        <v>0</v>
      </c>
      <c r="E162">
        <f>IF(ISTEXT(物品!G268)=TRUE,"'"&amp;物品!G268&amp;"'",物品!G268)</f>
        <v>0</v>
      </c>
      <c r="F162">
        <f>IF(ISTEXT(物品!H268)=TRUE,"'"&amp;物品!H268&amp;"'",物品!H268)</f>
        <v>0</v>
      </c>
      <c r="G162">
        <f>IF(物品!I268="",0,"'"&amp;物品!I268&amp;"'")</f>
        <v>0</v>
      </c>
      <c r="H162">
        <f>IF(物品!R268="",0,物品!R268)</f>
        <v>0</v>
      </c>
      <c r="I162">
        <f>IF(物品!S268="",0,物品!S268)</f>
        <v>0</v>
      </c>
      <c r="J162">
        <f>IF(物品!C268="",0,""""&amp;物品!C268&amp;"""")</f>
        <v>0</v>
      </c>
      <c r="K162" t="str">
        <f>IF(物品!T268="","""""",""""&amp;物品!T268&amp;"""")</f>
        <v>""</v>
      </c>
      <c r="L162">
        <f>IF(物品!U268="",0,""""&amp;物品!U268&amp;"""")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IF(物品!B269="",0,"'"&amp;物品!B269&amp;"'")</f>
        <v>0</v>
      </c>
      <c r="B163">
        <f>物品!D197</f>
        <v>0</v>
      </c>
      <c r="C163">
        <f>物品!E269</f>
        <v>0</v>
      </c>
      <c r="D163">
        <f>物品!F269</f>
        <v>0</v>
      </c>
      <c r="E163">
        <f>IF(ISTEXT(物品!G269)=TRUE,"'"&amp;物品!G269&amp;"'",物品!G269)</f>
        <v>0</v>
      </c>
      <c r="F163">
        <f>IF(ISTEXT(物品!H269)=TRUE,"'"&amp;物品!H269&amp;"'",物品!H269)</f>
        <v>0</v>
      </c>
      <c r="G163">
        <f>IF(物品!I269="",0,"'"&amp;物品!I269&amp;"'")</f>
        <v>0</v>
      </c>
      <c r="H163">
        <f>IF(物品!R269="",0,物品!R269)</f>
        <v>0</v>
      </c>
      <c r="I163">
        <f>IF(物品!S269="",0,物品!S269)</f>
        <v>0</v>
      </c>
      <c r="J163">
        <f>IF(物品!C269="",0,""""&amp;物品!C269&amp;"""")</f>
        <v>0</v>
      </c>
      <c r="K163" t="str">
        <f>IF(物品!T269="","""""",""""&amp;物品!T269&amp;"""")</f>
        <v>""</v>
      </c>
      <c r="L163">
        <f>IF(物品!U269="",0,""""&amp;物品!U269&amp;"""")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IF(物品!B270="",0,"'"&amp;物品!B270&amp;"'")</f>
        <v>0</v>
      </c>
      <c r="B164">
        <f>物品!D198</f>
        <v>0</v>
      </c>
      <c r="C164">
        <f>物品!E270</f>
        <v>0</v>
      </c>
      <c r="D164">
        <f>物品!F270</f>
        <v>0</v>
      </c>
      <c r="E164">
        <f>IF(ISTEXT(物品!G270)=TRUE,"'"&amp;物品!G270&amp;"'",物品!G270)</f>
        <v>0</v>
      </c>
      <c r="F164">
        <f>IF(ISTEXT(物品!H270)=TRUE,"'"&amp;物品!H270&amp;"'",物品!H270)</f>
        <v>0</v>
      </c>
      <c r="G164">
        <f>IF(物品!I270="",0,"'"&amp;物品!I270&amp;"'")</f>
        <v>0</v>
      </c>
      <c r="H164">
        <f>IF(物品!R270="",0,物品!R270)</f>
        <v>0</v>
      </c>
      <c r="I164">
        <f>IF(物品!S270="",0,物品!S270)</f>
        <v>0</v>
      </c>
      <c r="J164">
        <f>IF(物品!C270="",0,""""&amp;物品!C270&amp;"""")</f>
        <v>0</v>
      </c>
      <c r="K164" t="str">
        <f>IF(物品!T270="","""""",""""&amp;物品!T270&amp;"""")</f>
        <v>""</v>
      </c>
      <c r="L164">
        <f>IF(物品!U270="",0,""""&amp;物品!U270&amp;"""")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IF(物品!B271="",0,"'"&amp;物品!B271&amp;"'")</f>
        <v>0</v>
      </c>
      <c r="B165">
        <f>物品!D199</f>
        <v>0</v>
      </c>
      <c r="C165">
        <f>物品!E271</f>
        <v>0</v>
      </c>
      <c r="D165">
        <f>物品!F271</f>
        <v>0</v>
      </c>
      <c r="E165">
        <f>IF(ISTEXT(物品!G271)=TRUE,"'"&amp;物品!G271&amp;"'",物品!G271)</f>
        <v>0</v>
      </c>
      <c r="F165">
        <f>IF(ISTEXT(物品!H271)=TRUE,"'"&amp;物品!H271&amp;"'",物品!H271)</f>
        <v>0</v>
      </c>
      <c r="G165">
        <f>IF(物品!I271="",0,"'"&amp;物品!I271&amp;"'")</f>
        <v>0</v>
      </c>
      <c r="H165">
        <f>IF(物品!R271="",0,物品!R271)</f>
        <v>0</v>
      </c>
      <c r="I165">
        <f>IF(物品!S271="",0,物品!S271)</f>
        <v>0</v>
      </c>
      <c r="J165">
        <f>IF(物品!C271="",0,""""&amp;物品!C271&amp;"""")</f>
        <v>0</v>
      </c>
      <c r="K165" t="str">
        <f>IF(物品!T271="","""""",""""&amp;物品!T271&amp;"""")</f>
        <v>""</v>
      </c>
      <c r="L165">
        <f>IF(物品!U271="",0,""""&amp;物品!U271&amp;"""")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IF(物品!B272="",0,"'"&amp;物品!B272&amp;"'")</f>
        <v>0</v>
      </c>
      <c r="B166">
        <f>物品!D200</f>
        <v>0</v>
      </c>
      <c r="C166">
        <f>物品!E272</f>
        <v>0</v>
      </c>
      <c r="D166">
        <f>物品!F272</f>
        <v>0</v>
      </c>
      <c r="E166">
        <f>IF(ISTEXT(物品!G272)=TRUE,"'"&amp;物品!G272&amp;"'",物品!G272)</f>
        <v>0</v>
      </c>
      <c r="F166">
        <f>IF(ISTEXT(物品!H272)=TRUE,"'"&amp;物品!H272&amp;"'",物品!H272)</f>
        <v>0</v>
      </c>
      <c r="G166">
        <f>IF(物品!I272="",0,"'"&amp;物品!I272&amp;"'")</f>
        <v>0</v>
      </c>
      <c r="H166">
        <f>IF(物品!R272="",0,物品!R272)</f>
        <v>0</v>
      </c>
      <c r="I166">
        <f>IF(物品!S272="",0,物品!S272)</f>
        <v>0</v>
      </c>
      <c r="J166">
        <f>IF(物品!C272="",0,""""&amp;物品!C272&amp;"""")</f>
        <v>0</v>
      </c>
      <c r="K166" t="str">
        <f>IF(物品!T272="","""""",""""&amp;物品!T272&amp;"""")</f>
        <v>""</v>
      </c>
      <c r="L166">
        <f>IF(物品!U272="",0,""""&amp;物品!U272&amp;"""")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IF(物品!B273="",0,"'"&amp;物品!B273&amp;"'")</f>
        <v>0</v>
      </c>
      <c r="B167">
        <f>物品!D202</f>
        <v>0</v>
      </c>
      <c r="C167">
        <f>物品!E273</f>
        <v>0</v>
      </c>
      <c r="D167">
        <f>物品!F273</f>
        <v>0</v>
      </c>
      <c r="E167">
        <f>IF(ISTEXT(物品!G273)=TRUE,"'"&amp;物品!G273&amp;"'",物品!G273)</f>
        <v>0</v>
      </c>
      <c r="F167">
        <f>IF(ISTEXT(物品!H273)=TRUE,"'"&amp;物品!H273&amp;"'",物品!H273)</f>
        <v>0</v>
      </c>
      <c r="G167">
        <f>IF(物品!I273="",0,"'"&amp;物品!I273&amp;"'")</f>
        <v>0</v>
      </c>
      <c r="H167">
        <f>IF(物品!R273="",0,物品!R273)</f>
        <v>0</v>
      </c>
      <c r="I167">
        <f>IF(物品!S273="",0,物品!S273)</f>
        <v>0</v>
      </c>
      <c r="J167">
        <f>IF(物品!C273="",0,""""&amp;物品!C273&amp;"""")</f>
        <v>0</v>
      </c>
      <c r="K167" t="str">
        <f>IF(物品!T273="","""""",""""&amp;物品!T273&amp;"""")</f>
        <v>""</v>
      </c>
      <c r="L167">
        <f>IF(物品!U273="",0,""""&amp;物品!U273&amp;"""")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IF(物品!B274="",0,"'"&amp;物品!B274&amp;"'")</f>
        <v>0</v>
      </c>
      <c r="B168">
        <f>物品!D203</f>
        <v>0</v>
      </c>
      <c r="C168">
        <f>物品!E274</f>
        <v>0</v>
      </c>
      <c r="D168">
        <f>物品!F274</f>
        <v>0</v>
      </c>
      <c r="E168">
        <f>IF(ISTEXT(物品!G274)=TRUE,"'"&amp;物品!G274&amp;"'",物品!G274)</f>
        <v>0</v>
      </c>
      <c r="F168">
        <f>IF(ISTEXT(物品!H274)=TRUE,"'"&amp;物品!H274&amp;"'",物品!H274)</f>
        <v>0</v>
      </c>
      <c r="G168">
        <f>IF(物品!I274="",0,"'"&amp;物品!I274&amp;"'")</f>
        <v>0</v>
      </c>
      <c r="H168">
        <f>IF(物品!R274="",0,物品!R274)</f>
        <v>0</v>
      </c>
      <c r="I168">
        <f>IF(物品!S274="",0,物品!S274)</f>
        <v>0</v>
      </c>
      <c r="J168">
        <f>IF(物品!C274="",0,""""&amp;物品!C274&amp;"""")</f>
        <v>0</v>
      </c>
      <c r="K168" t="str">
        <f>IF(物品!T274="","""""",""""&amp;物品!T274&amp;"""")</f>
        <v>""</v>
      </c>
      <c r="L168">
        <f>IF(物品!U274="",0,""""&amp;物品!U274&amp;"""")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IF(物品!B275="",0,"'"&amp;物品!B275&amp;"'")</f>
        <v>0</v>
      </c>
      <c r="B169">
        <f>物品!D204</f>
        <v>0</v>
      </c>
      <c r="C169">
        <f>物品!E275</f>
        <v>0</v>
      </c>
      <c r="D169">
        <f>物品!F275</f>
        <v>0</v>
      </c>
      <c r="E169">
        <f>IF(ISTEXT(物品!G275)=TRUE,"'"&amp;物品!G275&amp;"'",物品!G275)</f>
        <v>0</v>
      </c>
      <c r="F169">
        <f>IF(ISTEXT(物品!H275)=TRUE,"'"&amp;物品!H275&amp;"'",物品!H275)</f>
        <v>0</v>
      </c>
      <c r="G169">
        <f>IF(物品!I275="",0,"'"&amp;物品!I275&amp;"'")</f>
        <v>0</v>
      </c>
      <c r="H169">
        <f>IF(物品!R275="",0,物品!R275)</f>
        <v>0</v>
      </c>
      <c r="I169">
        <f>IF(物品!S275="",0,物品!S275)</f>
        <v>0</v>
      </c>
      <c r="J169">
        <f>IF(物品!C275="",0,""""&amp;物品!C275&amp;"""")</f>
        <v>0</v>
      </c>
      <c r="K169" t="str">
        <f>IF(物品!T275="","""""",""""&amp;物品!T275&amp;"""")</f>
        <v>""</v>
      </c>
      <c r="L169">
        <f>IF(物品!U275="",0,""""&amp;物品!U275&amp;"""")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IF(物品!B276="",0,"'"&amp;物品!B276&amp;"'")</f>
        <v>0</v>
      </c>
      <c r="B170">
        <f>物品!D205</f>
        <v>0</v>
      </c>
      <c r="C170">
        <f>物品!E276</f>
        <v>0</v>
      </c>
      <c r="D170">
        <f>物品!F276</f>
        <v>0</v>
      </c>
      <c r="E170">
        <f>IF(ISTEXT(物品!G276)=TRUE,"'"&amp;物品!G276&amp;"'",物品!G276)</f>
        <v>0</v>
      </c>
      <c r="F170">
        <f>IF(ISTEXT(物品!H276)=TRUE,"'"&amp;物品!H276&amp;"'",物品!H276)</f>
        <v>0</v>
      </c>
      <c r="G170">
        <f>IF(物品!I276="",0,"'"&amp;物品!I276&amp;"'")</f>
        <v>0</v>
      </c>
      <c r="H170">
        <f>IF(物品!R276="",0,物品!R276)</f>
        <v>0</v>
      </c>
      <c r="I170">
        <f>IF(物品!S276="",0,物品!S276)</f>
        <v>0</v>
      </c>
      <c r="J170">
        <f>IF(物品!C276="",0,""""&amp;物品!C276&amp;"""")</f>
        <v>0</v>
      </c>
      <c r="K170" t="str">
        <f>IF(物品!T276="","""""",""""&amp;物品!T276&amp;"""")</f>
        <v>""</v>
      </c>
      <c r="L170">
        <f>IF(物品!U276="",0,""""&amp;物品!U276&amp;"""")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IF(物品!B277="",0,"'"&amp;物品!B277&amp;"'")</f>
        <v>0</v>
      </c>
      <c r="B171">
        <f>物品!D206</f>
        <v>0</v>
      </c>
      <c r="C171">
        <f>物品!E277</f>
        <v>0</v>
      </c>
      <c r="D171">
        <f>物品!F277</f>
        <v>0</v>
      </c>
      <c r="E171">
        <f>IF(ISTEXT(物品!G277)=TRUE,"'"&amp;物品!G277&amp;"'",物品!G277)</f>
        <v>0</v>
      </c>
      <c r="F171">
        <f>IF(ISTEXT(物品!H277)=TRUE,"'"&amp;物品!H277&amp;"'",物品!H277)</f>
        <v>0</v>
      </c>
      <c r="G171">
        <f>IF(物品!I277="",0,"'"&amp;物品!I277&amp;"'")</f>
        <v>0</v>
      </c>
      <c r="H171">
        <f>IF(物品!R277="",0,物品!R277)</f>
        <v>0</v>
      </c>
      <c r="I171">
        <f>IF(物品!S277="",0,物品!S277)</f>
        <v>0</v>
      </c>
      <c r="J171">
        <f>IF(物品!C277="",0,""""&amp;物品!C277&amp;"""")</f>
        <v>0</v>
      </c>
      <c r="K171" t="str">
        <f>IF(物品!T277="","""""",""""&amp;物品!T277&amp;"""")</f>
        <v>""</v>
      </c>
      <c r="L171">
        <f>IF(物品!U277="",0,""""&amp;物品!U277&amp;"""")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IF(物品!B278="",0,"'"&amp;物品!B278&amp;"'")</f>
        <v>0</v>
      </c>
      <c r="B172">
        <f>物品!D207</f>
        <v>0</v>
      </c>
      <c r="C172">
        <f>物品!E278</f>
        <v>0</v>
      </c>
      <c r="D172">
        <f>物品!F278</f>
        <v>0</v>
      </c>
      <c r="E172">
        <f>IF(ISTEXT(物品!G278)=TRUE,"'"&amp;物品!G278&amp;"'",物品!G278)</f>
        <v>0</v>
      </c>
      <c r="F172">
        <f>IF(ISTEXT(物品!H278)=TRUE,"'"&amp;物品!H278&amp;"'",物品!H278)</f>
        <v>0</v>
      </c>
      <c r="G172">
        <f>IF(物品!I278="",0,"'"&amp;物品!I278&amp;"'")</f>
        <v>0</v>
      </c>
      <c r="H172">
        <f>IF(物品!R278="",0,物品!R278)</f>
        <v>0</v>
      </c>
      <c r="I172">
        <f>IF(物品!S278="",0,物品!S278)</f>
        <v>0</v>
      </c>
      <c r="J172">
        <f>IF(物品!C278="",0,""""&amp;物品!C278&amp;"""")</f>
        <v>0</v>
      </c>
      <c r="K172" t="str">
        <f>IF(物品!T278="","""""",""""&amp;物品!T278&amp;"""")</f>
        <v>""</v>
      </c>
      <c r="L172">
        <f>IF(物品!U278="",0,""""&amp;物品!U278&amp;"""")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IF(物品!B279="",0,"'"&amp;物品!B279&amp;"'")</f>
        <v>0</v>
      </c>
      <c r="B173">
        <f>物品!D208</f>
        <v>0</v>
      </c>
      <c r="C173">
        <f>物品!E279</f>
        <v>0</v>
      </c>
      <c r="D173">
        <f>物品!F279</f>
        <v>0</v>
      </c>
      <c r="E173">
        <f>IF(ISTEXT(物品!G279)=TRUE,"'"&amp;物品!G279&amp;"'",物品!G279)</f>
        <v>0</v>
      </c>
      <c r="F173">
        <f>IF(ISTEXT(物品!H279)=TRUE,"'"&amp;物品!H279&amp;"'",物品!H279)</f>
        <v>0</v>
      </c>
      <c r="G173">
        <f>IF(物品!I279="",0,"'"&amp;物品!I279&amp;"'")</f>
        <v>0</v>
      </c>
      <c r="H173">
        <f>IF(物品!R279="",0,物品!R279)</f>
        <v>0</v>
      </c>
      <c r="I173">
        <f>IF(物品!S279="",0,物品!S279)</f>
        <v>0</v>
      </c>
      <c r="J173">
        <f>IF(物品!C279="",0,""""&amp;物品!C279&amp;"""")</f>
        <v>0</v>
      </c>
      <c r="K173" t="str">
        <f>IF(物品!T279="","""""",""""&amp;物品!T279&amp;"""")</f>
        <v>""</v>
      </c>
      <c r="L173">
        <f>IF(物品!U279="",0,""""&amp;物品!U279&amp;"""")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IF(物品!B280="",0,"'"&amp;物品!B280&amp;"'")</f>
        <v>0</v>
      </c>
      <c r="B174">
        <f>物品!D212</f>
        <v>0</v>
      </c>
      <c r="C174">
        <f>物品!E280</f>
        <v>0</v>
      </c>
      <c r="D174">
        <f>物品!F280</f>
        <v>0</v>
      </c>
      <c r="E174">
        <f>IF(ISTEXT(物品!G280)=TRUE,"'"&amp;物品!G280&amp;"'",物品!G280)</f>
        <v>0</v>
      </c>
      <c r="F174">
        <f>IF(ISTEXT(物品!H280)=TRUE,"'"&amp;物品!H280&amp;"'",物品!H280)</f>
        <v>0</v>
      </c>
      <c r="G174">
        <f>IF(物品!I280="",0,"'"&amp;物品!I280&amp;"'")</f>
        <v>0</v>
      </c>
      <c r="H174">
        <f>IF(物品!R280="",0,物品!R280)</f>
        <v>0</v>
      </c>
      <c r="I174">
        <f>IF(物品!S280="",0,物品!S280)</f>
        <v>0</v>
      </c>
      <c r="J174">
        <f>IF(物品!C280="",0,""""&amp;物品!C280&amp;"""")</f>
        <v>0</v>
      </c>
      <c r="K174" t="str">
        <f>IF(物品!T280="","""""",""""&amp;物品!T280&amp;"""")</f>
        <v>""</v>
      </c>
      <c r="L174">
        <f>IF(物品!U280="",0,""""&amp;物品!U280&amp;"""")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IF(物品!B281="",0,"'"&amp;物品!B281&amp;"'")</f>
        <v>0</v>
      </c>
      <c r="B175">
        <f>物品!D213</f>
        <v>0</v>
      </c>
      <c r="C175">
        <f>物品!E281</f>
        <v>0</v>
      </c>
      <c r="D175">
        <f>物品!F281</f>
        <v>0</v>
      </c>
      <c r="E175">
        <f>IF(ISTEXT(物品!G281)=TRUE,"'"&amp;物品!G281&amp;"'",物品!G281)</f>
        <v>0</v>
      </c>
      <c r="F175">
        <f>IF(ISTEXT(物品!H281)=TRUE,"'"&amp;物品!H281&amp;"'",物品!H281)</f>
        <v>0</v>
      </c>
      <c r="G175">
        <f>IF(物品!I281="",0,"'"&amp;物品!I281&amp;"'")</f>
        <v>0</v>
      </c>
      <c r="H175">
        <f>IF(物品!R281="",0,物品!R281)</f>
        <v>0</v>
      </c>
      <c r="I175">
        <f>IF(物品!S281="",0,物品!S281)</f>
        <v>0</v>
      </c>
      <c r="J175">
        <f>IF(物品!C281="",0,""""&amp;物品!C281&amp;"""")</f>
        <v>0</v>
      </c>
      <c r="K175" t="str">
        <f>IF(物品!T281="","""""",""""&amp;物品!T281&amp;"""")</f>
        <v>""</v>
      </c>
      <c r="L175">
        <f>IF(物品!U281="",0,""""&amp;物品!U281&amp;"""")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IF(物品!B282="",0,"'"&amp;物品!B282&amp;"'")</f>
        <v>0</v>
      </c>
      <c r="B176" t="e">
        <f>物品!#REF!</f>
        <v>#REF!</v>
      </c>
      <c r="C176">
        <f>物品!E282</f>
        <v>0</v>
      </c>
      <c r="D176">
        <f>物品!F282</f>
        <v>0</v>
      </c>
      <c r="E176">
        <f>IF(ISTEXT(物品!G282)=TRUE,"'"&amp;物品!G282&amp;"'",物品!G282)</f>
        <v>0</v>
      </c>
      <c r="F176">
        <f>IF(ISTEXT(物品!H282)=TRUE,"'"&amp;物品!H282&amp;"'",物品!H282)</f>
        <v>0</v>
      </c>
      <c r="G176">
        <f>IF(物品!I282="",0,"'"&amp;物品!I282&amp;"'")</f>
        <v>0</v>
      </c>
      <c r="H176">
        <f>IF(物品!R282="",0,物品!R282)</f>
        <v>0</v>
      </c>
      <c r="I176">
        <f>IF(物品!S282="",0,物品!S282)</f>
        <v>0</v>
      </c>
      <c r="J176">
        <f>IF(物品!C282="",0,""""&amp;物品!C282&amp;"""")</f>
        <v>0</v>
      </c>
      <c r="K176" t="str">
        <f>IF(物品!T282="","""""",""""&amp;物品!T282&amp;"""")</f>
        <v>""</v>
      </c>
      <c r="L176">
        <f>IF(物品!U282="",0,""""&amp;物品!U282&amp;"""")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IF(物品!B283="",0,"'"&amp;物品!B283&amp;"'")</f>
        <v>0</v>
      </c>
      <c r="B177" t="e">
        <f>物品!#REF!</f>
        <v>#REF!</v>
      </c>
      <c r="C177">
        <f>物品!E283</f>
        <v>0</v>
      </c>
      <c r="D177">
        <f>物品!F283</f>
        <v>0</v>
      </c>
      <c r="E177">
        <f>IF(ISTEXT(物品!G283)=TRUE,"'"&amp;物品!G283&amp;"'",物品!G283)</f>
        <v>0</v>
      </c>
      <c r="F177">
        <f>IF(ISTEXT(物品!H283)=TRUE,"'"&amp;物品!H283&amp;"'",物品!H283)</f>
        <v>0</v>
      </c>
      <c r="G177">
        <f>IF(物品!I283="",0,"'"&amp;物品!I283&amp;"'")</f>
        <v>0</v>
      </c>
      <c r="H177">
        <f>IF(物品!R283="",0,物品!R283)</f>
        <v>0</v>
      </c>
      <c r="I177">
        <f>IF(物品!S283="",0,物品!S283)</f>
        <v>0</v>
      </c>
      <c r="J177">
        <f>IF(物品!C283="",0,""""&amp;物品!C283&amp;"""")</f>
        <v>0</v>
      </c>
      <c r="K177" t="str">
        <f>IF(物品!T283="","""""",""""&amp;物品!T283&amp;"""")</f>
        <v>""</v>
      </c>
      <c r="L177">
        <f>IF(物品!U283="",0,""""&amp;物品!U283&amp;"""")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IF(物品!B284="",0,"'"&amp;物品!B284&amp;"'")</f>
        <v>0</v>
      </c>
      <c r="B178" t="e">
        <f>物品!#REF!</f>
        <v>#REF!</v>
      </c>
      <c r="C178">
        <f>物品!E284</f>
        <v>0</v>
      </c>
      <c r="D178">
        <f>物品!F284</f>
        <v>0</v>
      </c>
      <c r="E178">
        <f>IF(ISTEXT(物品!G284)=TRUE,"'"&amp;物品!G284&amp;"'",物品!G284)</f>
        <v>0</v>
      </c>
      <c r="F178">
        <f>IF(ISTEXT(物品!H284)=TRUE,"'"&amp;物品!H284&amp;"'",物品!H284)</f>
        <v>0</v>
      </c>
      <c r="G178">
        <f>IF(物品!I284="",0,"'"&amp;物品!I284&amp;"'")</f>
        <v>0</v>
      </c>
      <c r="H178">
        <f>IF(物品!R284="",0,物品!R284)</f>
        <v>0</v>
      </c>
      <c r="I178">
        <f>IF(物品!S284="",0,物品!S284)</f>
        <v>0</v>
      </c>
      <c r="J178">
        <f>IF(物品!C284="",0,""""&amp;物品!C284&amp;"""")</f>
        <v>0</v>
      </c>
      <c r="K178" t="str">
        <f>IF(物品!T284="","""""",""""&amp;物品!T284&amp;"""")</f>
        <v>""</v>
      </c>
      <c r="L178">
        <f>IF(物品!U284="",0,""""&amp;物品!U284&amp;"""")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IF(物品!B285="",0,"'"&amp;物品!B285&amp;"'")</f>
        <v>0</v>
      </c>
      <c r="B179" t="e">
        <f>物品!#REF!</f>
        <v>#REF!</v>
      </c>
      <c r="C179">
        <f>物品!E285</f>
        <v>0</v>
      </c>
      <c r="D179">
        <f>物品!F285</f>
        <v>0</v>
      </c>
      <c r="E179">
        <f>IF(ISTEXT(物品!G285)=TRUE,"'"&amp;物品!G285&amp;"'",物品!G285)</f>
        <v>0</v>
      </c>
      <c r="F179">
        <f>IF(ISTEXT(物品!H285)=TRUE,"'"&amp;物品!H285&amp;"'",物品!H285)</f>
        <v>0</v>
      </c>
      <c r="G179">
        <f>IF(物品!I285="",0,"'"&amp;物品!I285&amp;"'")</f>
        <v>0</v>
      </c>
      <c r="H179">
        <f>IF(物品!R285="",0,物品!R285)</f>
        <v>0</v>
      </c>
      <c r="I179">
        <f>IF(物品!S285="",0,物品!S285)</f>
        <v>0</v>
      </c>
      <c r="J179">
        <f>IF(物品!C285="",0,""""&amp;物品!C285&amp;"""")</f>
        <v>0</v>
      </c>
      <c r="K179" t="str">
        <f>IF(物品!T285="","""""",""""&amp;物品!T285&amp;"""")</f>
        <v>""</v>
      </c>
      <c r="L179">
        <f>IF(物品!U285="",0,""""&amp;物品!U285&amp;"""")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IF(物品!B286="",0,"'"&amp;物品!B286&amp;"'")</f>
        <v>0</v>
      </c>
      <c r="B180" t="e">
        <f>物品!#REF!</f>
        <v>#REF!</v>
      </c>
      <c r="C180">
        <f>物品!E286</f>
        <v>0</v>
      </c>
      <c r="D180">
        <f>物品!F286</f>
        <v>0</v>
      </c>
      <c r="E180">
        <f>IF(ISTEXT(物品!G286)=TRUE,"'"&amp;物品!G286&amp;"'",物品!G286)</f>
        <v>0</v>
      </c>
      <c r="F180">
        <f>IF(ISTEXT(物品!H286)=TRUE,"'"&amp;物品!H286&amp;"'",物品!H286)</f>
        <v>0</v>
      </c>
      <c r="G180">
        <f>IF(物品!I286="",0,"'"&amp;物品!I286&amp;"'")</f>
        <v>0</v>
      </c>
      <c r="H180">
        <f>IF(物品!R286="",0,物品!R286)</f>
        <v>0</v>
      </c>
      <c r="I180">
        <f>IF(物品!S286="",0,物品!S286)</f>
        <v>0</v>
      </c>
      <c r="J180">
        <f>IF(物品!C286="",0,""""&amp;物品!C286&amp;"""")</f>
        <v>0</v>
      </c>
      <c r="K180" t="str">
        <f>IF(物品!T286="","""""",""""&amp;物品!T286&amp;"""")</f>
        <v>""</v>
      </c>
      <c r="L180">
        <f>IF(物品!U286="",0,""""&amp;物品!U286&amp;"""")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IF(物品!B287="",0,"'"&amp;物品!B287&amp;"'")</f>
        <v>0</v>
      </c>
      <c r="B181" t="e">
        <f>物品!#REF!</f>
        <v>#REF!</v>
      </c>
      <c r="C181">
        <f>物品!E287</f>
        <v>0</v>
      </c>
      <c r="D181">
        <f>物品!F287</f>
        <v>0</v>
      </c>
      <c r="E181">
        <f>IF(ISTEXT(物品!G287)=TRUE,"'"&amp;物品!G287&amp;"'",物品!G287)</f>
        <v>0</v>
      </c>
      <c r="F181">
        <f>IF(ISTEXT(物品!H287)=TRUE,"'"&amp;物品!H287&amp;"'",物品!H287)</f>
        <v>0</v>
      </c>
      <c r="G181">
        <f>IF(物品!I287="",0,"'"&amp;物品!I287&amp;"'")</f>
        <v>0</v>
      </c>
      <c r="H181">
        <f>IF(物品!R287="",0,物品!R287)</f>
        <v>0</v>
      </c>
      <c r="I181">
        <f>IF(物品!S287="",0,物品!S287)</f>
        <v>0</v>
      </c>
      <c r="J181">
        <f>IF(物品!C287="",0,""""&amp;物品!C287&amp;"""")</f>
        <v>0</v>
      </c>
      <c r="K181" t="str">
        <f>IF(物品!T287="","""""",""""&amp;物品!T287&amp;"""")</f>
        <v>""</v>
      </c>
      <c r="L181">
        <f>IF(物品!U287="",0,""""&amp;物品!U287&amp;"""")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IF(物品!B288="",0,"'"&amp;物品!B288&amp;"'")</f>
        <v>0</v>
      </c>
      <c r="B182" t="e">
        <f>物品!#REF!</f>
        <v>#REF!</v>
      </c>
      <c r="C182">
        <f>物品!E288</f>
        <v>0</v>
      </c>
      <c r="D182">
        <f>物品!F288</f>
        <v>0</v>
      </c>
      <c r="E182">
        <f>IF(ISTEXT(物品!G288)=TRUE,"'"&amp;物品!G288&amp;"'",物品!G288)</f>
        <v>0</v>
      </c>
      <c r="F182">
        <f>IF(ISTEXT(物品!H288)=TRUE,"'"&amp;物品!H288&amp;"'",物品!H288)</f>
        <v>0</v>
      </c>
      <c r="G182">
        <f>IF(物品!I288="",0,"'"&amp;物品!I288&amp;"'")</f>
        <v>0</v>
      </c>
      <c r="H182">
        <f>IF(物品!R288="",0,物品!R288)</f>
        <v>0</v>
      </c>
      <c r="I182">
        <f>IF(物品!S288="",0,物品!S288)</f>
        <v>0</v>
      </c>
      <c r="J182">
        <f>IF(物品!C288="",0,""""&amp;物品!C288&amp;"""")</f>
        <v>0</v>
      </c>
      <c r="K182" t="str">
        <f>IF(物品!T288="","""""",""""&amp;物品!T288&amp;"""")</f>
        <v>""</v>
      </c>
      <c r="L182">
        <f>IF(物品!U288="",0,""""&amp;物品!U288&amp;"""")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IF(物品!B289="",0,"'"&amp;物品!B289&amp;"'")</f>
        <v>0</v>
      </c>
      <c r="B183" t="e">
        <f>物品!#REF!</f>
        <v>#REF!</v>
      </c>
      <c r="C183">
        <f>物品!E289</f>
        <v>0</v>
      </c>
      <c r="D183">
        <f>物品!F289</f>
        <v>0</v>
      </c>
      <c r="E183">
        <f>IF(ISTEXT(物品!G289)=TRUE,"'"&amp;物品!G289&amp;"'",物品!G289)</f>
        <v>0</v>
      </c>
      <c r="F183">
        <f>IF(ISTEXT(物品!H289)=TRUE,"'"&amp;物品!H289&amp;"'",物品!H289)</f>
        <v>0</v>
      </c>
      <c r="G183">
        <f>IF(物品!I289="",0,"'"&amp;物品!I289&amp;"'")</f>
        <v>0</v>
      </c>
      <c r="H183">
        <f>IF(物品!R289="",0,物品!R289)</f>
        <v>0</v>
      </c>
      <c r="I183">
        <f>IF(物品!S289="",0,物品!S289)</f>
        <v>0</v>
      </c>
      <c r="J183">
        <f>IF(物品!C289="",0,""""&amp;物品!C289&amp;"""")</f>
        <v>0</v>
      </c>
      <c r="K183" t="str">
        <f>IF(物品!T289="","""""",""""&amp;物品!T289&amp;"""")</f>
        <v>""</v>
      </c>
      <c r="L183">
        <f>IF(物品!U289="",0,""""&amp;物品!U289&amp;"""")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IF(物品!B290="",0,"'"&amp;物品!B290&amp;"'")</f>
        <v>0</v>
      </c>
      <c r="B184">
        <f>物品!D216</f>
        <v>0</v>
      </c>
      <c r="C184">
        <f>物品!E290</f>
        <v>0</v>
      </c>
      <c r="D184">
        <f>物品!F290</f>
        <v>0</v>
      </c>
      <c r="E184">
        <f>IF(ISTEXT(物品!G290)=TRUE,"'"&amp;物品!G290&amp;"'",物品!G290)</f>
        <v>0</v>
      </c>
      <c r="F184">
        <f>IF(ISTEXT(物品!H290)=TRUE,"'"&amp;物品!H290&amp;"'",物品!H290)</f>
        <v>0</v>
      </c>
      <c r="G184">
        <f>IF(物品!I290="",0,"'"&amp;物品!I290&amp;"'")</f>
        <v>0</v>
      </c>
      <c r="H184">
        <f>IF(物品!R290="",0,物品!R290)</f>
        <v>0</v>
      </c>
      <c r="I184">
        <f>IF(物品!S290="",0,物品!S290)</f>
        <v>0</v>
      </c>
      <c r="J184">
        <f>IF(物品!C290="",0,""""&amp;物品!C290&amp;"""")</f>
        <v>0</v>
      </c>
      <c r="K184" t="str">
        <f>IF(物品!T290="","""""",""""&amp;物品!T290&amp;"""")</f>
        <v>""</v>
      </c>
      <c r="L184">
        <f>IF(物品!U290="",0,""""&amp;物品!U290&amp;"""")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IF(物品!B300="",0,"'"&amp;物品!B300&amp;"'")</f>
        <v>0</v>
      </c>
      <c r="B185">
        <f>物品!D217</f>
        <v>0</v>
      </c>
      <c r="C185">
        <f>物品!E300</f>
        <v>0</v>
      </c>
      <c r="D185">
        <f>物品!F300</f>
        <v>0</v>
      </c>
      <c r="E185">
        <f>IF(ISTEXT(物品!G291)=TRUE,"'"&amp;物品!G291&amp;"'",物品!G291)</f>
        <v>0</v>
      </c>
      <c r="F185">
        <f>IF(ISTEXT(物品!H291)=TRUE,"'"&amp;物品!H291&amp;"'",物品!H291)</f>
        <v>0</v>
      </c>
      <c r="G185">
        <f>IF(物品!I300="",0,"'"&amp;物品!I300&amp;"'")</f>
        <v>0</v>
      </c>
      <c r="H185">
        <f>IF(物品!R291="",0,物品!R291)</f>
        <v>0</v>
      </c>
      <c r="I185">
        <f>IF(物品!S291="",0,物品!S291)</f>
        <v>0</v>
      </c>
      <c r="J185">
        <f>IF(物品!C300="",0,""""&amp;物品!C300&amp;"""")</f>
        <v>0</v>
      </c>
      <c r="K185" t="str">
        <f>IF(物品!T300="","""""",""""&amp;物品!T300&amp;"""")</f>
        <v>""</v>
      </c>
      <c r="L185">
        <f>IF(物品!U300="",0,""""&amp;物品!U300&amp;"""")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IF(物品!B301="",0,"'"&amp;物品!B301&amp;"'")</f>
        <v>0</v>
      </c>
      <c r="B186">
        <f>物品!D218</f>
        <v>0</v>
      </c>
      <c r="C186">
        <f>物品!E301</f>
        <v>0</v>
      </c>
      <c r="D186">
        <f>物品!F301</f>
        <v>0</v>
      </c>
      <c r="E186">
        <f>IF(ISTEXT(物品!G292)=TRUE,"'"&amp;物品!G292&amp;"'",物品!G292)</f>
        <v>0</v>
      </c>
      <c r="F186">
        <f>IF(ISTEXT(物品!H292)=TRUE,"'"&amp;物品!H292&amp;"'",物品!H292)</f>
        <v>0</v>
      </c>
      <c r="G186">
        <f>IF(物品!I301="",0,"'"&amp;物品!I301&amp;"'")</f>
        <v>0</v>
      </c>
      <c r="H186">
        <f>IF(物品!R292="",0,物品!R292)</f>
        <v>0</v>
      </c>
      <c r="I186">
        <f>IF(物品!S292="",0,物品!S292)</f>
        <v>0</v>
      </c>
      <c r="J186">
        <f>IF(物品!C301="",0,""""&amp;物品!C301&amp;"""")</f>
        <v>0</v>
      </c>
      <c r="K186" t="str">
        <f>IF(物品!T301="","""""",""""&amp;物品!T301&amp;"""")</f>
        <v>""</v>
      </c>
      <c r="L186">
        <f>IF(物品!U301="",0,""""&amp;物品!U301&amp;"""")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IF(物品!B302="",0,"'"&amp;物品!B302&amp;"'")</f>
        <v>0</v>
      </c>
      <c r="B187">
        <f>物品!D219</f>
        <v>0</v>
      </c>
      <c r="C187">
        <f>物品!E302</f>
        <v>0</v>
      </c>
      <c r="D187">
        <f>物品!F302</f>
        <v>0</v>
      </c>
      <c r="E187">
        <f>IF(ISTEXT(物品!G293)=TRUE,"'"&amp;物品!G293&amp;"'",物品!G293)</f>
        <v>0</v>
      </c>
      <c r="F187">
        <f>IF(ISTEXT(物品!H293)=TRUE,"'"&amp;物品!H293&amp;"'",物品!H293)</f>
        <v>0</v>
      </c>
      <c r="G187">
        <f>IF(物品!I302="",0,"'"&amp;物品!I302&amp;"'")</f>
        <v>0</v>
      </c>
      <c r="H187">
        <f>IF(物品!R293="",0,物品!R293)</f>
        <v>0</v>
      </c>
      <c r="I187">
        <f>IF(物品!S293="",0,物品!S293)</f>
        <v>0</v>
      </c>
      <c r="J187">
        <f>IF(物品!C302="",0,""""&amp;物品!C302&amp;"""")</f>
        <v>0</v>
      </c>
      <c r="K187" t="str">
        <f>IF(物品!T302="","""""",""""&amp;物品!T302&amp;"""")</f>
        <v>""</v>
      </c>
      <c r="L187">
        <f>IF(物品!U302="",0,""""&amp;物品!U302&amp;"""")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IF(物品!B303="",0,"'"&amp;物品!B303&amp;"'")</f>
        <v>0</v>
      </c>
      <c r="B188">
        <f>物品!D220</f>
        <v>0</v>
      </c>
      <c r="C188">
        <f>物品!E303</f>
        <v>0</v>
      </c>
      <c r="D188">
        <f>物品!F303</f>
        <v>0</v>
      </c>
      <c r="E188">
        <f>IF(ISTEXT(物品!G294)=TRUE,"'"&amp;物品!G294&amp;"'",物品!G294)</f>
        <v>0</v>
      </c>
      <c r="F188">
        <f>IF(ISTEXT(物品!H294)=TRUE,"'"&amp;物品!H294&amp;"'",物品!H294)</f>
        <v>0</v>
      </c>
      <c r="G188">
        <f>IF(物品!I303="",0,"'"&amp;物品!I303&amp;"'")</f>
        <v>0</v>
      </c>
      <c r="H188">
        <f>IF(物品!R294="",0,物品!R294)</f>
        <v>0</v>
      </c>
      <c r="I188">
        <f>IF(物品!S294="",0,物品!S294)</f>
        <v>0</v>
      </c>
      <c r="J188">
        <f>IF(物品!C303="",0,""""&amp;物品!C303&amp;"""")</f>
        <v>0</v>
      </c>
      <c r="K188" t="str">
        <f>IF(物品!T303="","""""",""""&amp;物品!T303&amp;"""")</f>
        <v>""</v>
      </c>
      <c r="L188">
        <f>IF(物品!U303="",0,""""&amp;物品!U303&amp;"""")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IF(物品!B304="",0,"'"&amp;物品!B304&amp;"'")</f>
        <v>0</v>
      </c>
      <c r="B189">
        <f>物品!D221</f>
        <v>0</v>
      </c>
      <c r="C189">
        <f>物品!E304</f>
        <v>0</v>
      </c>
      <c r="D189">
        <f>物品!F304</f>
        <v>0</v>
      </c>
      <c r="E189">
        <f>IF(ISTEXT(物品!G295)=TRUE,"'"&amp;物品!G295&amp;"'",物品!G295)</f>
        <v>0</v>
      </c>
      <c r="F189">
        <f>IF(ISTEXT(物品!H295)=TRUE,"'"&amp;物品!H295&amp;"'",物品!H295)</f>
        <v>0</v>
      </c>
      <c r="G189">
        <f>IF(物品!I304="",0,"'"&amp;物品!I304&amp;"'")</f>
        <v>0</v>
      </c>
      <c r="H189">
        <f>IF(物品!R295="",0,物品!R295)</f>
        <v>0</v>
      </c>
      <c r="I189">
        <f>IF(物品!S295="",0,物品!S295)</f>
        <v>0</v>
      </c>
      <c r="J189">
        <f>IF(物品!C304="",0,""""&amp;物品!C304&amp;"""")</f>
        <v>0</v>
      </c>
      <c r="K189" t="str">
        <f>IF(物品!T304="","""""",""""&amp;物品!T304&amp;"""")</f>
        <v>""</v>
      </c>
      <c r="L189">
        <f>IF(物品!U304="",0,""""&amp;物品!U304&amp;"""")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IF(物品!B305="",0,"'"&amp;物品!B305&amp;"'")</f>
        <v>0</v>
      </c>
      <c r="B190">
        <f>物品!D222</f>
        <v>0</v>
      </c>
      <c r="C190">
        <f>物品!E305</f>
        <v>0</v>
      </c>
      <c r="D190">
        <f>物品!F305</f>
        <v>0</v>
      </c>
      <c r="E190">
        <f>IF(ISTEXT(物品!G296)=TRUE,"'"&amp;物品!G296&amp;"'",物品!G296)</f>
        <v>0</v>
      </c>
      <c r="F190">
        <f>IF(ISTEXT(物品!H296)=TRUE,"'"&amp;物品!H296&amp;"'",物品!H296)</f>
        <v>0</v>
      </c>
      <c r="G190">
        <f>IF(物品!I305="",0,"'"&amp;物品!I305&amp;"'")</f>
        <v>0</v>
      </c>
      <c r="H190">
        <f>IF(物品!R296="",0,物品!R296)</f>
        <v>0</v>
      </c>
      <c r="I190">
        <f>IF(物品!S296="",0,物品!S296)</f>
        <v>0</v>
      </c>
      <c r="J190">
        <f>IF(物品!C305="",0,""""&amp;物品!C305&amp;"""")</f>
        <v>0</v>
      </c>
      <c r="K190" t="str">
        <f>IF(物品!T305="","""""",""""&amp;物品!T305&amp;"""")</f>
        <v>""</v>
      </c>
      <c r="L190">
        <f>IF(物品!U305="",0,""""&amp;物品!U305&amp;"""")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IF(物品!B306="",0,"'"&amp;物品!B306&amp;"'")</f>
        <v>0</v>
      </c>
      <c r="B191">
        <f>物品!D223</f>
        <v>0</v>
      </c>
      <c r="C191">
        <f>物品!E306</f>
        <v>0</v>
      </c>
      <c r="D191">
        <f>物品!F306</f>
        <v>0</v>
      </c>
      <c r="E191">
        <f>IF(ISTEXT(物品!G297)=TRUE,"'"&amp;物品!G297&amp;"'",物品!G297)</f>
        <v>0</v>
      </c>
      <c r="F191">
        <f>IF(ISTEXT(物品!H297)=TRUE,"'"&amp;物品!H297&amp;"'",物品!H297)</f>
        <v>0</v>
      </c>
      <c r="G191">
        <f>IF(物品!I306="",0,"'"&amp;物品!I306&amp;"'")</f>
        <v>0</v>
      </c>
      <c r="H191">
        <f>IF(物品!R297="",0,物品!R297)</f>
        <v>0</v>
      </c>
      <c r="I191">
        <f>IF(物品!S297="",0,物品!S297)</f>
        <v>0</v>
      </c>
      <c r="J191">
        <f>IF(物品!C306="",0,""""&amp;物品!C306&amp;"""")</f>
        <v>0</v>
      </c>
      <c r="K191" t="str">
        <f>IF(物品!T306="","""""",""""&amp;物品!T306&amp;"""")</f>
        <v>""</v>
      </c>
      <c r="L191">
        <f>IF(物品!U306="",0,""""&amp;物品!U306&amp;"""")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IF(物品!B307="",0,"'"&amp;物品!B307&amp;"'")</f>
        <v>0</v>
      </c>
      <c r="B192">
        <f>物品!D234</f>
        <v>0</v>
      </c>
      <c r="C192">
        <f>物品!E307</f>
        <v>0</v>
      </c>
      <c r="D192">
        <f>物品!F307</f>
        <v>0</v>
      </c>
      <c r="E192">
        <f>IF(ISTEXT(物品!G298)=TRUE,"'"&amp;物品!G298&amp;"'",物品!G298)</f>
        <v>0</v>
      </c>
      <c r="F192">
        <f>IF(ISTEXT(物品!H298)=TRUE,"'"&amp;物品!H298&amp;"'",物品!H298)</f>
        <v>0</v>
      </c>
      <c r="G192">
        <f>IF(物品!I307="",0,"'"&amp;物品!I307&amp;"'")</f>
        <v>0</v>
      </c>
      <c r="H192">
        <f>IF(物品!R298="",0,物品!R298)</f>
        <v>0</v>
      </c>
      <c r="I192">
        <f>IF(物品!S298="",0,物品!S298)</f>
        <v>0</v>
      </c>
      <c r="J192">
        <f>IF(物品!C307="",0,""""&amp;物品!C307&amp;"""")</f>
        <v>0</v>
      </c>
      <c r="K192" t="str">
        <f>IF(物品!T307="","""""",""""&amp;物品!T307&amp;"""")</f>
        <v>""</v>
      </c>
      <c r="L192">
        <f>IF(物品!U307="",0,""""&amp;物品!U307&amp;"""")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IF(物品!B308="",0,"'"&amp;物品!B308&amp;"'")</f>
        <v>0</v>
      </c>
      <c r="B193">
        <f>物品!D235</f>
        <v>0</v>
      </c>
      <c r="C193">
        <f>物品!E308</f>
        <v>0</v>
      </c>
      <c r="D193">
        <f>物品!F308</f>
        <v>0</v>
      </c>
      <c r="E193">
        <f>IF(ISTEXT(物品!G299)=TRUE,"'"&amp;物品!G299&amp;"'",物品!G299)</f>
        <v>0</v>
      </c>
      <c r="F193">
        <f>IF(ISTEXT(物品!H299)=TRUE,"'"&amp;物品!H299&amp;"'",物品!H299)</f>
        <v>0</v>
      </c>
      <c r="G193">
        <f>IF(物品!I308="",0,"'"&amp;物品!I308&amp;"'")</f>
        <v>0</v>
      </c>
      <c r="H193">
        <f>IF(物品!R299="",0,物品!R299)</f>
        <v>0</v>
      </c>
      <c r="I193">
        <f>IF(物品!S299="",0,物品!S299)</f>
        <v>0</v>
      </c>
      <c r="J193">
        <f>IF(物品!C308="",0,""""&amp;物品!C308&amp;"""")</f>
        <v>0</v>
      </c>
      <c r="K193" t="str">
        <f>IF(物品!T308="","""""",""""&amp;物品!T308&amp;"""")</f>
        <v>""</v>
      </c>
      <c r="L193">
        <f>IF(物品!U308="",0,""""&amp;物品!U308&amp;"""")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IF(物品!B309="",0,"'"&amp;物品!B309&amp;"'")</f>
        <v>0</v>
      </c>
      <c r="B194">
        <f>物品!D236</f>
        <v>0</v>
      </c>
      <c r="C194">
        <f>物品!E309</f>
        <v>0</v>
      </c>
      <c r="D194">
        <f>物品!F309</f>
        <v>0</v>
      </c>
      <c r="E194">
        <f>IF(ISTEXT(物品!G300)=TRUE,"'"&amp;物品!G300&amp;"'",物品!G300)</f>
        <v>0</v>
      </c>
      <c r="F194">
        <f>IF(ISTEXT(物品!H300)=TRUE,"'"&amp;物品!H300&amp;"'",物品!H300)</f>
        <v>0</v>
      </c>
      <c r="G194">
        <f>IF(物品!I309="",0,"'"&amp;物品!I309&amp;"'")</f>
        <v>0</v>
      </c>
      <c r="H194">
        <f>IF(物品!R300="",0,物品!R300)</f>
        <v>0</v>
      </c>
      <c r="I194">
        <f>IF(物品!S300="",0,物品!S300)</f>
        <v>0</v>
      </c>
      <c r="J194">
        <f>IF(物品!C309="",0,""""&amp;物品!C309&amp;"""")</f>
        <v>0</v>
      </c>
      <c r="K194" t="str">
        <f>IF(物品!T309="","""""",""""&amp;物品!T309&amp;"""")</f>
        <v>""</v>
      </c>
      <c r="L194">
        <f>IF(物品!U309="",0,""""&amp;物品!U309&amp;"""")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IF(物品!B310="",0,"'"&amp;物品!B310&amp;"'")</f>
        <v>0</v>
      </c>
      <c r="B195">
        <f>物品!D237</f>
        <v>0</v>
      </c>
      <c r="C195">
        <f>物品!E310</f>
        <v>0</v>
      </c>
      <c r="D195">
        <f>物品!F310</f>
        <v>0</v>
      </c>
      <c r="E195">
        <f>IF(ISTEXT(物品!G301)=TRUE,"'"&amp;物品!G301&amp;"'",物品!G301)</f>
        <v>0</v>
      </c>
      <c r="F195">
        <f>IF(ISTEXT(物品!H301)=TRUE,"'"&amp;物品!H301&amp;"'",物品!H301)</f>
        <v>0</v>
      </c>
      <c r="G195">
        <f>IF(物品!I310="",0,"'"&amp;物品!I310&amp;"'")</f>
        <v>0</v>
      </c>
      <c r="H195">
        <f>IF(物品!R301="",0,物品!R301)</f>
        <v>0</v>
      </c>
      <c r="I195">
        <f>IF(物品!S301="",0,物品!S301)</f>
        <v>0</v>
      </c>
      <c r="J195">
        <f>IF(物品!C310="",0,""""&amp;物品!C310&amp;"""")</f>
        <v>0</v>
      </c>
      <c r="K195" t="str">
        <f>IF(物品!T310="","""""",""""&amp;物品!T310&amp;"""")</f>
        <v>""</v>
      </c>
      <c r="L195">
        <f>IF(物品!U310="",0,""""&amp;物品!U310&amp;"""")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IF(物品!B311="",0,"'"&amp;物品!B311&amp;"'")</f>
        <v>0</v>
      </c>
      <c r="B196">
        <f>物品!D238</f>
        <v>0</v>
      </c>
      <c r="C196">
        <f>物品!E311</f>
        <v>0</v>
      </c>
      <c r="D196">
        <f>物品!F311</f>
        <v>0</v>
      </c>
      <c r="E196">
        <f>IF(ISTEXT(物品!G302)=TRUE,"'"&amp;物品!G302&amp;"'",物品!G302)</f>
        <v>0</v>
      </c>
      <c r="F196">
        <f>IF(ISTEXT(物品!H302)=TRUE,"'"&amp;物品!H302&amp;"'",物品!H302)</f>
        <v>0</v>
      </c>
      <c r="G196">
        <f>IF(物品!I311="",0,"'"&amp;物品!I311&amp;"'")</f>
        <v>0</v>
      </c>
      <c r="H196">
        <f>IF(物品!R302="",0,物品!R302)</f>
        <v>0</v>
      </c>
      <c r="I196">
        <f>IF(物品!S302="",0,物品!S302)</f>
        <v>0</v>
      </c>
      <c r="J196">
        <f>IF(物品!C311="",0,""""&amp;物品!C311&amp;"""")</f>
        <v>0</v>
      </c>
      <c r="K196" t="str">
        <f>IF(物品!T311="","""""",""""&amp;物品!T311&amp;"""")</f>
        <v>""</v>
      </c>
      <c r="L196">
        <f>IF(物品!U311="",0,""""&amp;物品!U311&amp;"""")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IF(物品!B312="",0,"'"&amp;物品!B312&amp;"'")</f>
        <v>0</v>
      </c>
      <c r="B197">
        <f>物品!D239</f>
        <v>0</v>
      </c>
      <c r="C197">
        <f>物品!E312</f>
        <v>0</v>
      </c>
      <c r="D197">
        <f>物品!F312</f>
        <v>0</v>
      </c>
      <c r="E197">
        <f>IF(ISTEXT(物品!G303)=TRUE,"'"&amp;物品!G303&amp;"'",物品!G303)</f>
        <v>0</v>
      </c>
      <c r="F197">
        <f>IF(ISTEXT(物品!H303)=TRUE,"'"&amp;物品!H303&amp;"'",物品!H303)</f>
        <v>0</v>
      </c>
      <c r="G197">
        <f>IF(物品!I312="",0,"'"&amp;物品!I312&amp;"'")</f>
        <v>0</v>
      </c>
      <c r="H197">
        <f>IF(物品!R303="",0,物品!R303)</f>
        <v>0</v>
      </c>
      <c r="I197">
        <f>IF(物品!S303="",0,物品!S303)</f>
        <v>0</v>
      </c>
      <c r="J197">
        <f>IF(物品!C312="",0,""""&amp;物品!C312&amp;"""")</f>
        <v>0</v>
      </c>
      <c r="K197" t="str">
        <f>IF(物品!T312="","""""",""""&amp;物品!T312&amp;"""")</f>
        <v>""</v>
      </c>
      <c r="L197">
        <f>IF(物品!U312="",0,""""&amp;物品!U312&amp;"""")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IF(物品!B313="",0,"'"&amp;物品!B313&amp;"'")</f>
        <v>0</v>
      </c>
      <c r="B198">
        <f>物品!D240</f>
        <v>0</v>
      </c>
      <c r="C198">
        <f>物品!E313</f>
        <v>0</v>
      </c>
      <c r="D198">
        <f>物品!F313</f>
        <v>0</v>
      </c>
      <c r="E198">
        <f>IF(ISTEXT(物品!G304)=TRUE,"'"&amp;物品!G304&amp;"'",物品!G304)</f>
        <v>0</v>
      </c>
      <c r="F198">
        <f>IF(ISTEXT(物品!H304)=TRUE,"'"&amp;物品!H304&amp;"'",物品!H304)</f>
        <v>0</v>
      </c>
      <c r="G198">
        <f>IF(物品!I313="",0,"'"&amp;物品!I313&amp;"'")</f>
        <v>0</v>
      </c>
      <c r="H198">
        <f>IF(物品!R304="",0,物品!R304)</f>
        <v>0</v>
      </c>
      <c r="I198">
        <f>IF(物品!S304="",0,物品!S304)</f>
        <v>0</v>
      </c>
      <c r="J198">
        <f>IF(物品!C313="",0,""""&amp;物品!C313&amp;"""")</f>
        <v>0</v>
      </c>
      <c r="K198" t="str">
        <f>IF(物品!T313="","""""",""""&amp;物品!T313&amp;"""")</f>
        <v>""</v>
      </c>
      <c r="L198">
        <f>IF(物品!U313="",0,""""&amp;物品!U313&amp;"""")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IF(物品!B314="",0,"'"&amp;物品!B314&amp;"'")</f>
        <v>0</v>
      </c>
      <c r="B199">
        <f>物品!D241</f>
        <v>0</v>
      </c>
      <c r="C199">
        <f>物品!E314</f>
        <v>0</v>
      </c>
      <c r="D199">
        <f>物品!F314</f>
        <v>0</v>
      </c>
      <c r="E199">
        <f>IF(ISTEXT(物品!G305)=TRUE,"'"&amp;物品!G305&amp;"'",物品!G305)</f>
        <v>0</v>
      </c>
      <c r="F199">
        <f>IF(ISTEXT(物品!H305)=TRUE,"'"&amp;物品!H305&amp;"'",物品!H305)</f>
        <v>0</v>
      </c>
      <c r="G199">
        <f>IF(物品!I314="",0,"'"&amp;物品!I314&amp;"'")</f>
        <v>0</v>
      </c>
      <c r="H199">
        <f>IF(物品!R305="",0,物品!R305)</f>
        <v>0</v>
      </c>
      <c r="I199">
        <f>IF(物品!S305="",0,物品!S305)</f>
        <v>0</v>
      </c>
      <c r="J199">
        <f>IF(物品!C314="",0,""""&amp;物品!C314&amp;"""")</f>
        <v>0</v>
      </c>
      <c r="K199" t="str">
        <f>IF(物品!T314="","""""",""""&amp;物品!T314&amp;"""")</f>
        <v>""</v>
      </c>
      <c r="L199">
        <f>IF(物品!U314="",0,""""&amp;物品!U314&amp;"""")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IF(物品!B315="",0,"'"&amp;物品!B315&amp;"'")</f>
        <v>0</v>
      </c>
      <c r="B200">
        <f>物品!D242</f>
        <v>0</v>
      </c>
      <c r="C200">
        <f>物品!E315</f>
        <v>0</v>
      </c>
      <c r="D200">
        <f>物品!F315</f>
        <v>0</v>
      </c>
      <c r="E200">
        <f>IF(ISTEXT(物品!G306)=TRUE,"'"&amp;物品!G306&amp;"'",物品!G306)</f>
        <v>0</v>
      </c>
      <c r="F200">
        <f>IF(ISTEXT(物品!H306)=TRUE,"'"&amp;物品!H306&amp;"'",物品!H306)</f>
        <v>0</v>
      </c>
      <c r="G200">
        <f>IF(物品!I315="",0,"'"&amp;物品!I315&amp;"'")</f>
        <v>0</v>
      </c>
      <c r="H200">
        <f>IF(物品!R306="",0,物品!R306)</f>
        <v>0</v>
      </c>
      <c r="I200">
        <f>IF(物品!S306="",0,物品!S306)</f>
        <v>0</v>
      </c>
      <c r="J200">
        <f>IF(物品!C315="",0,""""&amp;物品!C315&amp;"""")</f>
        <v>0</v>
      </c>
      <c r="K200" t="str">
        <f>IF(物品!T315="","""""",""""&amp;物品!T315&amp;"""")</f>
        <v>""</v>
      </c>
      <c r="L200">
        <f>IF(物品!U315="",0,""""&amp;物品!U315&amp;"""")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IF(物品!B316="",0,"'"&amp;物品!B316&amp;"'")</f>
        <v>0</v>
      </c>
      <c r="B201">
        <f>物品!D243</f>
        <v>0</v>
      </c>
      <c r="C201">
        <f>物品!E316</f>
        <v>0</v>
      </c>
      <c r="D201">
        <f>物品!F316</f>
        <v>0</v>
      </c>
      <c r="E201">
        <f>IF(ISTEXT(物品!G307)=TRUE,"'"&amp;物品!G307&amp;"'",物品!G307)</f>
        <v>0</v>
      </c>
      <c r="F201">
        <f>IF(ISTEXT(物品!H307)=TRUE,"'"&amp;物品!H307&amp;"'",物品!H307)</f>
        <v>0</v>
      </c>
      <c r="G201">
        <f>IF(物品!I316="",0,"'"&amp;物品!I316&amp;"'")</f>
        <v>0</v>
      </c>
      <c r="H201">
        <f>IF(物品!R307="",0,物品!R307)</f>
        <v>0</v>
      </c>
      <c r="I201">
        <f>IF(物品!S307="",0,物品!S307)</f>
        <v>0</v>
      </c>
      <c r="J201">
        <f>IF(物品!C316="",0,""""&amp;物品!C316&amp;"""")</f>
        <v>0</v>
      </c>
      <c r="K201" t="str">
        <f>IF(物品!T316="","""""",""""&amp;物品!T316&amp;"""")</f>
        <v>""</v>
      </c>
      <c r="L201">
        <f>IF(物品!U316="",0,""""&amp;物品!U316&amp;"""")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IF(物品!B317="",0,"'"&amp;物品!B317&amp;"'")</f>
        <v>0</v>
      </c>
      <c r="B202">
        <f>物品!D244</f>
        <v>0</v>
      </c>
      <c r="C202">
        <f>物品!E317</f>
        <v>0</v>
      </c>
      <c r="D202">
        <f>物品!F317</f>
        <v>0</v>
      </c>
      <c r="E202">
        <f>IF(ISTEXT(物品!G308)=TRUE,"'"&amp;物品!G308&amp;"'",物品!G308)</f>
        <v>0</v>
      </c>
      <c r="F202">
        <f>IF(ISTEXT(物品!H308)=TRUE,"'"&amp;物品!H308&amp;"'",物品!H308)</f>
        <v>0</v>
      </c>
      <c r="G202">
        <f>IF(物品!I317="",0,"'"&amp;物品!I317&amp;"'")</f>
        <v>0</v>
      </c>
      <c r="H202">
        <f>IF(物品!R308="",0,物品!R308)</f>
        <v>0</v>
      </c>
      <c r="I202">
        <f>IF(物品!S308="",0,物品!S308)</f>
        <v>0</v>
      </c>
      <c r="J202">
        <f>IF(物品!C317="",0,""""&amp;物品!C317&amp;"""")</f>
        <v>0</v>
      </c>
      <c r="K202" t="str">
        <f>IF(物品!T317="","""""",""""&amp;物品!T317&amp;"""")</f>
        <v>""</v>
      </c>
      <c r="L202">
        <f>IF(物品!U317="",0,""""&amp;物品!U317&amp;"""")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IF(物品!B318="",0,"'"&amp;物品!B318&amp;"'")</f>
        <v>0</v>
      </c>
      <c r="B203">
        <f>物品!D245</f>
        <v>0</v>
      </c>
      <c r="C203">
        <f>物品!E318</f>
        <v>0</v>
      </c>
      <c r="D203">
        <f>物品!F318</f>
        <v>0</v>
      </c>
      <c r="E203">
        <f>IF(ISTEXT(物品!G309)=TRUE,"'"&amp;物品!G309&amp;"'",物品!G309)</f>
        <v>0</v>
      </c>
      <c r="F203">
        <f>IF(ISTEXT(物品!H309)=TRUE,"'"&amp;物品!H309&amp;"'",物品!H309)</f>
        <v>0</v>
      </c>
      <c r="G203">
        <f>IF(物品!I318="",0,"'"&amp;物品!I318&amp;"'")</f>
        <v>0</v>
      </c>
      <c r="H203">
        <f>IF(物品!R309="",0,物品!R309)</f>
        <v>0</v>
      </c>
      <c r="I203">
        <f>IF(物品!S309="",0,物品!S309)</f>
        <v>0</v>
      </c>
      <c r="J203">
        <f>IF(物品!C318="",0,""""&amp;物品!C318&amp;"""")</f>
        <v>0</v>
      </c>
      <c r="K203" t="str">
        <f>IF(物品!T318="","""""",""""&amp;物品!T318&amp;"""")</f>
        <v>""</v>
      </c>
      <c r="L203">
        <f>IF(物品!U318="",0,""""&amp;物品!U318&amp;"""")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IF(物品!B319="",0,"'"&amp;物品!B319&amp;"'")</f>
        <v>0</v>
      </c>
      <c r="B204">
        <f>物品!D246</f>
        <v>0</v>
      </c>
      <c r="C204">
        <f>物品!E319</f>
        <v>0</v>
      </c>
      <c r="D204">
        <f>物品!F319</f>
        <v>0</v>
      </c>
      <c r="E204">
        <f>IF(ISTEXT(物品!G310)=TRUE,"'"&amp;物品!G310&amp;"'",物品!G310)</f>
        <v>0</v>
      </c>
      <c r="F204">
        <f>IF(ISTEXT(物品!H310)=TRUE,"'"&amp;物品!H310&amp;"'",物品!H310)</f>
        <v>0</v>
      </c>
      <c r="G204">
        <f>IF(物品!I319="",0,"'"&amp;物品!I319&amp;"'")</f>
        <v>0</v>
      </c>
      <c r="H204">
        <f>IF(物品!R310="",0,物品!R310)</f>
        <v>0</v>
      </c>
      <c r="I204">
        <f>IF(物品!S310="",0,物品!S310)</f>
        <v>0</v>
      </c>
      <c r="J204">
        <f>IF(物品!C319="",0,""""&amp;物品!C319&amp;"""")</f>
        <v>0</v>
      </c>
      <c r="K204" t="str">
        <f>IF(物品!T319="","""""",""""&amp;物品!T319&amp;"""")</f>
        <v>""</v>
      </c>
      <c r="L204">
        <f>IF(物品!U319="",0,""""&amp;物品!U319&amp;"""")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IF(物品!B320="",0,"'"&amp;物品!B320&amp;"'")</f>
        <v>0</v>
      </c>
      <c r="B205">
        <f>物品!D247</f>
        <v>0</v>
      </c>
      <c r="C205">
        <f>物品!E320</f>
        <v>0</v>
      </c>
      <c r="D205">
        <f>物品!F320</f>
        <v>0</v>
      </c>
      <c r="E205">
        <f>IF(ISTEXT(物品!G311)=TRUE,"'"&amp;物品!G311&amp;"'",物品!G311)</f>
        <v>0</v>
      </c>
      <c r="F205">
        <f>IF(ISTEXT(物品!H311)=TRUE,"'"&amp;物品!H311&amp;"'",物品!H311)</f>
        <v>0</v>
      </c>
      <c r="G205">
        <f>IF(物品!I320="",0,"'"&amp;物品!I320&amp;"'")</f>
        <v>0</v>
      </c>
      <c r="H205">
        <f>IF(物品!R311="",0,物品!R311)</f>
        <v>0</v>
      </c>
      <c r="I205">
        <f>IF(物品!S311="",0,物品!S311)</f>
        <v>0</v>
      </c>
      <c r="J205">
        <f>IF(物品!C320="",0,""""&amp;物品!C320&amp;"""")</f>
        <v>0</v>
      </c>
      <c r="K205" t="str">
        <f>IF(物品!T320="","""""",""""&amp;物品!T320&amp;"""")</f>
        <v>""</v>
      </c>
      <c r="L205">
        <f>IF(物品!U320="",0,""""&amp;物品!U320&amp;"""")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IF(物品!B321="",0,"'"&amp;物品!B321&amp;"'")</f>
        <v>0</v>
      </c>
      <c r="B206">
        <f>物品!D248</f>
        <v>0</v>
      </c>
      <c r="C206">
        <f>物品!E321</f>
        <v>0</v>
      </c>
      <c r="D206">
        <f>物品!F321</f>
        <v>0</v>
      </c>
      <c r="E206">
        <f>IF(ISTEXT(物品!G312)=TRUE,"'"&amp;物品!G312&amp;"'",物品!G312)</f>
        <v>0</v>
      </c>
      <c r="F206">
        <f>IF(ISTEXT(物品!H312)=TRUE,"'"&amp;物品!H312&amp;"'",物品!H312)</f>
        <v>0</v>
      </c>
      <c r="G206">
        <f>IF(物品!I321="",0,"'"&amp;物品!I321&amp;"'")</f>
        <v>0</v>
      </c>
      <c r="H206">
        <f>IF(物品!R312="",0,物品!R312)</f>
        <v>0</v>
      </c>
      <c r="I206">
        <f>IF(物品!S312="",0,物品!S312)</f>
        <v>0</v>
      </c>
      <c r="J206">
        <f>IF(物品!C321="",0,""""&amp;物品!C321&amp;"""")</f>
        <v>0</v>
      </c>
      <c r="K206" t="str">
        <f>IF(物品!T321="","""""",""""&amp;物品!T321&amp;"""")</f>
        <v>""</v>
      </c>
      <c r="L206">
        <f>IF(物品!U321="",0,""""&amp;物品!U321&amp;"""")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IF(物品!B322="",0,"'"&amp;物品!B322&amp;"'")</f>
        <v>0</v>
      </c>
      <c r="B207">
        <f>物品!D249</f>
        <v>0</v>
      </c>
      <c r="C207">
        <f>物品!E322</f>
        <v>0</v>
      </c>
      <c r="D207">
        <f>物品!F322</f>
        <v>0</v>
      </c>
      <c r="E207">
        <f>IF(ISTEXT(物品!G313)=TRUE,"'"&amp;物品!G313&amp;"'",物品!G313)</f>
        <v>0</v>
      </c>
      <c r="F207">
        <f>IF(ISTEXT(物品!H313)=TRUE,"'"&amp;物品!H313&amp;"'",物品!H313)</f>
        <v>0</v>
      </c>
      <c r="G207">
        <f>IF(物品!I322="",0,"'"&amp;物品!I322&amp;"'")</f>
        <v>0</v>
      </c>
      <c r="H207">
        <f>IF(物品!R313="",0,物品!R313)</f>
        <v>0</v>
      </c>
      <c r="I207">
        <f>IF(物品!S313="",0,物品!S313)</f>
        <v>0</v>
      </c>
      <c r="J207">
        <f>IF(物品!C322="",0,""""&amp;物品!C322&amp;"""")</f>
        <v>0</v>
      </c>
      <c r="K207" t="str">
        <f>IF(物品!T322="","""""",""""&amp;物品!T322&amp;"""")</f>
        <v>""</v>
      </c>
      <c r="L207">
        <f>IF(物品!U322="",0,""""&amp;物品!U322&amp;"""")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IF(物品!B323="",0,"'"&amp;物品!B323&amp;"'")</f>
        <v>0</v>
      </c>
      <c r="B208">
        <f>物品!D250</f>
        <v>0</v>
      </c>
      <c r="C208">
        <f>物品!E323</f>
        <v>0</v>
      </c>
      <c r="D208">
        <f>物品!F323</f>
        <v>0</v>
      </c>
      <c r="E208">
        <f>IF(ISTEXT(物品!G314)=TRUE,"'"&amp;物品!G314&amp;"'",物品!G314)</f>
        <v>0</v>
      </c>
      <c r="F208">
        <f>IF(ISTEXT(物品!H314)=TRUE,"'"&amp;物品!H314&amp;"'",物品!H314)</f>
        <v>0</v>
      </c>
      <c r="G208">
        <f>IF(物品!I323="",0,"'"&amp;物品!I323&amp;"'")</f>
        <v>0</v>
      </c>
      <c r="H208">
        <f>IF(物品!R314="",0,物品!R314)</f>
        <v>0</v>
      </c>
      <c r="I208">
        <f>IF(物品!S314="",0,物品!S314)</f>
        <v>0</v>
      </c>
      <c r="J208">
        <f>IF(物品!C323="",0,""""&amp;物品!C323&amp;"""")</f>
        <v>0</v>
      </c>
      <c r="K208" t="str">
        <f>IF(物品!T323="","""""",""""&amp;物品!T323&amp;"""")</f>
        <v>""</v>
      </c>
      <c r="L208">
        <f>IF(物品!U323="",0,""""&amp;物品!U323&amp;"""")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IF(物品!B324="",0,"'"&amp;物品!B324&amp;"'")</f>
        <v>0</v>
      </c>
      <c r="B209">
        <f>物品!D251</f>
        <v>0</v>
      </c>
      <c r="C209">
        <f>物品!E324</f>
        <v>0</v>
      </c>
      <c r="D209">
        <f>物品!F324</f>
        <v>0</v>
      </c>
      <c r="E209">
        <f>IF(ISTEXT(物品!G315)=TRUE,"'"&amp;物品!G315&amp;"'",物品!G315)</f>
        <v>0</v>
      </c>
      <c r="F209">
        <f>IF(ISTEXT(物品!H315)=TRUE,"'"&amp;物品!H315&amp;"'",物品!H315)</f>
        <v>0</v>
      </c>
      <c r="G209">
        <f>IF(物品!I324="",0,"'"&amp;物品!I324&amp;"'")</f>
        <v>0</v>
      </c>
      <c r="H209">
        <f>IF(物品!R315="",0,物品!R315)</f>
        <v>0</v>
      </c>
      <c r="I209">
        <f>IF(物品!S315="",0,物品!S315)</f>
        <v>0</v>
      </c>
      <c r="J209">
        <f>IF(物品!C324="",0,""""&amp;物品!C324&amp;"""")</f>
        <v>0</v>
      </c>
      <c r="K209" t="str">
        <f>IF(物品!T324="","""""",""""&amp;物品!T324&amp;"""")</f>
        <v>""</v>
      </c>
      <c r="L209">
        <f>IF(物品!U324="",0,""""&amp;物品!U324&amp;"""")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IF(物品!B325="",0,"'"&amp;物品!B325&amp;"'")</f>
        <v>0</v>
      </c>
      <c r="B210">
        <f>物品!D252</f>
        <v>0</v>
      </c>
      <c r="C210">
        <f>物品!E325</f>
        <v>0</v>
      </c>
      <c r="D210">
        <f>物品!F325</f>
        <v>0</v>
      </c>
      <c r="E210">
        <f>IF(ISTEXT(物品!G316)=TRUE,"'"&amp;物品!G316&amp;"'",物品!G316)</f>
        <v>0</v>
      </c>
      <c r="F210">
        <f>IF(ISTEXT(物品!H316)=TRUE,"'"&amp;物品!H316&amp;"'",物品!H316)</f>
        <v>0</v>
      </c>
      <c r="G210">
        <f>IF(物品!I325="",0,"'"&amp;物品!I325&amp;"'")</f>
        <v>0</v>
      </c>
      <c r="H210">
        <f>IF(物品!R316="",0,物品!R316)</f>
        <v>0</v>
      </c>
      <c r="I210">
        <f>IF(物品!S316="",0,物品!S316)</f>
        <v>0</v>
      </c>
      <c r="J210">
        <f>IF(物品!C325="",0,""""&amp;物品!C325&amp;"""")</f>
        <v>0</v>
      </c>
      <c r="K210" t="str">
        <f>IF(物品!T325="","""""",""""&amp;物品!T325&amp;"""")</f>
        <v>""</v>
      </c>
      <c r="L210">
        <f>IF(物品!U325="",0,""""&amp;物品!U325&amp;"""")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IF(物品!B326="",0,"'"&amp;物品!B326&amp;"'")</f>
        <v>0</v>
      </c>
      <c r="B211">
        <f>物品!D253</f>
        <v>0</v>
      </c>
      <c r="C211">
        <f>物品!E326</f>
        <v>0</v>
      </c>
      <c r="D211">
        <f>物品!F326</f>
        <v>0</v>
      </c>
      <c r="E211">
        <f>IF(ISTEXT(物品!G317)=TRUE,"'"&amp;物品!G317&amp;"'",物品!G317)</f>
        <v>0</v>
      </c>
      <c r="F211">
        <f>IF(ISTEXT(物品!H317)=TRUE,"'"&amp;物品!H317&amp;"'",物品!H317)</f>
        <v>0</v>
      </c>
      <c r="G211">
        <f>IF(物品!I326="",0,"'"&amp;物品!I326&amp;"'")</f>
        <v>0</v>
      </c>
      <c r="H211">
        <f>IF(物品!R317="",0,物品!R317)</f>
        <v>0</v>
      </c>
      <c r="I211">
        <f>IF(物品!S317="",0,物品!S317)</f>
        <v>0</v>
      </c>
      <c r="J211">
        <f>IF(物品!C326="",0,""""&amp;物品!C326&amp;"""")</f>
        <v>0</v>
      </c>
      <c r="K211" t="str">
        <f>IF(物品!T326="","""""",""""&amp;物品!T326&amp;"""")</f>
        <v>""</v>
      </c>
      <c r="L211">
        <f>IF(物品!U326="",0,""""&amp;物品!U326&amp;"""")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IF(物品!B327="",0,"'"&amp;物品!B327&amp;"'")</f>
        <v>0</v>
      </c>
      <c r="B212">
        <f>物品!D254</f>
        <v>0</v>
      </c>
      <c r="C212">
        <f>物品!E327</f>
        <v>0</v>
      </c>
      <c r="D212">
        <f>物品!F327</f>
        <v>0</v>
      </c>
      <c r="E212">
        <f>IF(ISTEXT(物品!G318)=TRUE,"'"&amp;物品!G318&amp;"'",物品!G318)</f>
        <v>0</v>
      </c>
      <c r="F212">
        <f>IF(ISTEXT(物品!H318)=TRUE,"'"&amp;物品!H318&amp;"'",物品!H318)</f>
        <v>0</v>
      </c>
      <c r="G212">
        <f>IF(物品!I327="",0,"'"&amp;物品!I327&amp;"'")</f>
        <v>0</v>
      </c>
      <c r="H212">
        <f>IF(物品!R318="",0,物品!R318)</f>
        <v>0</v>
      </c>
      <c r="I212">
        <f>IF(物品!S318="",0,物品!S318)</f>
        <v>0</v>
      </c>
      <c r="J212">
        <f>IF(物品!C327="",0,""""&amp;物品!C327&amp;"""")</f>
        <v>0</v>
      </c>
      <c r="K212" t="str">
        <f>IF(物品!T327="","""""",""""&amp;物品!T327&amp;"""")</f>
        <v>""</v>
      </c>
      <c r="L212">
        <f>IF(物品!U327="",0,""""&amp;物品!U327&amp;"""")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IF(物品!B328="",0,"'"&amp;物品!B328&amp;"'")</f>
        <v>0</v>
      </c>
      <c r="B213">
        <f>物品!D255</f>
        <v>0</v>
      </c>
      <c r="C213">
        <f>物品!E328</f>
        <v>0</v>
      </c>
      <c r="D213">
        <f>物品!F328</f>
        <v>0</v>
      </c>
      <c r="E213">
        <f>IF(ISTEXT(物品!G319)=TRUE,"'"&amp;物品!G319&amp;"'",物品!G319)</f>
        <v>0</v>
      </c>
      <c r="F213">
        <f>IF(ISTEXT(物品!H319)=TRUE,"'"&amp;物品!H319&amp;"'",物品!H319)</f>
        <v>0</v>
      </c>
      <c r="G213">
        <f>IF(物品!I328="",0,"'"&amp;物品!I328&amp;"'")</f>
        <v>0</v>
      </c>
      <c r="H213">
        <f>IF(物品!R319="",0,物品!R319)</f>
        <v>0</v>
      </c>
      <c r="I213">
        <f>IF(物品!S319="",0,物品!S319)</f>
        <v>0</v>
      </c>
      <c r="J213">
        <f>IF(物品!C328="",0,""""&amp;物品!C328&amp;"""")</f>
        <v>0</v>
      </c>
      <c r="K213" t="str">
        <f>IF(物品!T328="","""""",""""&amp;物品!T328&amp;"""")</f>
        <v>""</v>
      </c>
      <c r="L213">
        <f>IF(物品!U328="",0,""""&amp;物品!U328&amp;"""")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IF(物品!B329="",0,"'"&amp;物品!B329&amp;"'")</f>
        <v>0</v>
      </c>
      <c r="B214">
        <f>物品!D256</f>
        <v>0</v>
      </c>
      <c r="C214">
        <f>物品!E329</f>
        <v>0</v>
      </c>
      <c r="D214">
        <f>物品!F329</f>
        <v>0</v>
      </c>
      <c r="E214">
        <f>IF(ISTEXT(物品!G320)=TRUE,"'"&amp;物品!G320&amp;"'",物品!G320)</f>
        <v>0</v>
      </c>
      <c r="F214">
        <f>IF(ISTEXT(物品!H320)=TRUE,"'"&amp;物品!H320&amp;"'",物品!H320)</f>
        <v>0</v>
      </c>
      <c r="G214">
        <f>IF(物品!I329="",0,"'"&amp;物品!I329&amp;"'")</f>
        <v>0</v>
      </c>
      <c r="H214">
        <f>IF(物品!R320="",0,物品!R320)</f>
        <v>0</v>
      </c>
      <c r="I214">
        <f>IF(物品!S320="",0,物品!S320)</f>
        <v>0</v>
      </c>
      <c r="J214">
        <f>IF(物品!C329="",0,""""&amp;物品!C329&amp;"""")</f>
        <v>0</v>
      </c>
      <c r="K214" t="str">
        <f>IF(物品!T329="","""""",""""&amp;物品!T329&amp;"""")</f>
        <v>""</v>
      </c>
      <c r="L214">
        <f>IF(物品!U329="",0,""""&amp;物品!U329&amp;"""")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IF(物品!B330="",0,"'"&amp;物品!B330&amp;"'")</f>
        <v>0</v>
      </c>
      <c r="B215">
        <f>物品!D257</f>
        <v>0</v>
      </c>
      <c r="C215">
        <f>物品!E330</f>
        <v>0</v>
      </c>
      <c r="D215">
        <f>物品!F330</f>
        <v>0</v>
      </c>
      <c r="E215">
        <f>IF(ISTEXT(物品!G321)=TRUE,"'"&amp;物品!G321&amp;"'",物品!G321)</f>
        <v>0</v>
      </c>
      <c r="F215">
        <f>IF(ISTEXT(物品!H321)=TRUE,"'"&amp;物品!H321&amp;"'",物品!H321)</f>
        <v>0</v>
      </c>
      <c r="G215">
        <f>IF(物品!I330="",0,"'"&amp;物品!I330&amp;"'")</f>
        <v>0</v>
      </c>
      <c r="H215">
        <f>IF(物品!R321="",0,物品!R321)</f>
        <v>0</v>
      </c>
      <c r="I215">
        <f>IF(物品!S321="",0,物品!S321)</f>
        <v>0</v>
      </c>
      <c r="J215">
        <f>IF(物品!C330="",0,""""&amp;物品!C330&amp;"""")</f>
        <v>0</v>
      </c>
      <c r="K215" t="str">
        <f>IF(物品!T330="","""""",""""&amp;物品!T330&amp;"""")</f>
        <v>""</v>
      </c>
      <c r="L215">
        <f>IF(物品!U330="",0,""""&amp;物品!U330&amp;"""")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IF(物品!B331="",0,"'"&amp;物品!B331&amp;"'")</f>
        <v>0</v>
      </c>
      <c r="B216">
        <f>物品!D258</f>
        <v>0</v>
      </c>
      <c r="C216">
        <f>物品!E331</f>
        <v>0</v>
      </c>
      <c r="D216">
        <f>物品!F331</f>
        <v>0</v>
      </c>
      <c r="E216">
        <f>IF(ISTEXT(物品!G322)=TRUE,"'"&amp;物品!G322&amp;"'",物品!G322)</f>
        <v>0</v>
      </c>
      <c r="F216">
        <f>IF(ISTEXT(物品!H322)=TRUE,"'"&amp;物品!H322&amp;"'",物品!H322)</f>
        <v>0</v>
      </c>
      <c r="G216">
        <f>IF(物品!I331="",0,"'"&amp;物品!I331&amp;"'")</f>
        <v>0</v>
      </c>
      <c r="H216">
        <f>IF(物品!R322="",0,物品!R322)</f>
        <v>0</v>
      </c>
      <c r="I216">
        <f>IF(物品!S322="",0,物品!S322)</f>
        <v>0</v>
      </c>
      <c r="J216">
        <f>IF(物品!C331="",0,""""&amp;物品!C331&amp;"""")</f>
        <v>0</v>
      </c>
      <c r="K216" t="str">
        <f>IF(物品!T331="","""""",""""&amp;物品!T331&amp;"""")</f>
        <v>""</v>
      </c>
      <c r="L216">
        <f>IF(物品!U331="",0,""""&amp;物品!U331&amp;"""")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IF(物品!B332="",0,"'"&amp;物品!B332&amp;"'")</f>
        <v>0</v>
      </c>
      <c r="B217">
        <f>物品!D259</f>
        <v>0</v>
      </c>
      <c r="C217">
        <f>物品!E332</f>
        <v>0</v>
      </c>
      <c r="D217">
        <f>物品!F332</f>
        <v>0</v>
      </c>
      <c r="E217">
        <f>IF(ISTEXT(物品!G323)=TRUE,"'"&amp;物品!G323&amp;"'",物品!G323)</f>
        <v>0</v>
      </c>
      <c r="F217">
        <f>IF(ISTEXT(物品!H323)=TRUE,"'"&amp;物品!H323&amp;"'",物品!H323)</f>
        <v>0</v>
      </c>
      <c r="G217">
        <f>IF(物品!I332="",0,"'"&amp;物品!I332&amp;"'")</f>
        <v>0</v>
      </c>
      <c r="H217">
        <f>IF(物品!R323="",0,物品!R323)</f>
        <v>0</v>
      </c>
      <c r="I217">
        <f>IF(物品!S323="",0,物品!S323)</f>
        <v>0</v>
      </c>
      <c r="J217">
        <f>IF(物品!C332="",0,""""&amp;物品!C332&amp;"""")</f>
        <v>0</v>
      </c>
      <c r="K217" t="str">
        <f>IF(物品!T332="","""""",""""&amp;物品!T332&amp;"""")</f>
        <v>""</v>
      </c>
      <c r="L217">
        <f>IF(物品!U332="",0,""""&amp;物品!U332&amp;"""")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IF(物品!B333="",0,"'"&amp;物品!B333&amp;"'")</f>
        <v>0</v>
      </c>
      <c r="B218">
        <f>物品!D260</f>
        <v>0</v>
      </c>
      <c r="C218">
        <f>物品!E333</f>
        <v>0</v>
      </c>
      <c r="D218">
        <f>物品!F333</f>
        <v>0</v>
      </c>
      <c r="E218">
        <f>IF(ISTEXT(物品!G324)=TRUE,"'"&amp;物品!G324&amp;"'",物品!G324)</f>
        <v>0</v>
      </c>
      <c r="F218">
        <f>IF(ISTEXT(物品!H324)=TRUE,"'"&amp;物品!H324&amp;"'",物品!H324)</f>
        <v>0</v>
      </c>
      <c r="G218">
        <f>IF(物品!I333="",0,"'"&amp;物品!I333&amp;"'")</f>
        <v>0</v>
      </c>
      <c r="H218">
        <f>IF(物品!R324="",0,物品!R324)</f>
        <v>0</v>
      </c>
      <c r="I218">
        <f>IF(物品!S324="",0,物品!S324)</f>
        <v>0</v>
      </c>
      <c r="J218">
        <f>IF(物品!C333="",0,""""&amp;物品!C333&amp;"""")</f>
        <v>0</v>
      </c>
      <c r="K218" t="str">
        <f>IF(物品!T333="","""""",""""&amp;物品!T333&amp;"""")</f>
        <v>""</v>
      </c>
      <c r="L218">
        <f>IF(物品!U333="",0,""""&amp;物品!U333&amp;"""")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IF(物品!B334="",0,"'"&amp;物品!B334&amp;"'")</f>
        <v>0</v>
      </c>
      <c r="B219">
        <f>物品!D261</f>
        <v>0</v>
      </c>
      <c r="C219">
        <f>物品!E334</f>
        <v>0</v>
      </c>
      <c r="D219">
        <f>物品!F334</f>
        <v>0</v>
      </c>
      <c r="E219">
        <f>IF(ISTEXT(物品!G325)=TRUE,"'"&amp;物品!G325&amp;"'",物品!G325)</f>
        <v>0</v>
      </c>
      <c r="F219">
        <f>IF(ISTEXT(物品!H325)=TRUE,"'"&amp;物品!H325&amp;"'",物品!H325)</f>
        <v>0</v>
      </c>
      <c r="G219">
        <f>IF(物品!I334="",0,"'"&amp;物品!I334&amp;"'")</f>
        <v>0</v>
      </c>
      <c r="H219">
        <f>IF(物品!R325="",0,物品!R325)</f>
        <v>0</v>
      </c>
      <c r="I219">
        <f>IF(物品!S325="",0,物品!S325)</f>
        <v>0</v>
      </c>
      <c r="J219">
        <f>IF(物品!C334="",0,""""&amp;物品!C334&amp;"""")</f>
        <v>0</v>
      </c>
      <c r="K219" t="str">
        <f>IF(物品!T334="","""""",""""&amp;物品!T334&amp;"""")</f>
        <v>""</v>
      </c>
      <c r="L219">
        <f>IF(物品!U334="",0,""""&amp;物品!U334&amp;"""")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IF(物品!B335="",0,"'"&amp;物品!B335&amp;"'")</f>
        <v>0</v>
      </c>
      <c r="B220">
        <f>物品!D262</f>
        <v>0</v>
      </c>
      <c r="C220">
        <f>物品!E335</f>
        <v>0</v>
      </c>
      <c r="D220">
        <f>物品!F335</f>
        <v>0</v>
      </c>
      <c r="E220">
        <f>IF(ISTEXT(物品!G326)=TRUE,"'"&amp;物品!G326&amp;"'",物品!G326)</f>
        <v>0</v>
      </c>
      <c r="F220">
        <f>IF(ISTEXT(物品!H326)=TRUE,"'"&amp;物品!H326&amp;"'",物品!H326)</f>
        <v>0</v>
      </c>
      <c r="G220">
        <f>IF(物品!I335="",0,"'"&amp;物品!I335&amp;"'")</f>
        <v>0</v>
      </c>
      <c r="H220">
        <f>IF(物品!R326="",0,物品!R326)</f>
        <v>0</v>
      </c>
      <c r="I220">
        <f>IF(物品!S326="",0,物品!S326)</f>
        <v>0</v>
      </c>
      <c r="J220">
        <f>IF(物品!C335="",0,""""&amp;物品!C335&amp;"""")</f>
        <v>0</v>
      </c>
      <c r="K220" t="str">
        <f>IF(物品!T335="","""""",""""&amp;物品!T335&amp;"""")</f>
        <v>""</v>
      </c>
      <c r="L220">
        <f>IF(物品!U335="",0,""""&amp;物品!U335&amp;"""")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IF(物品!B336="",0,"'"&amp;物品!B336&amp;"'")</f>
        <v>0</v>
      </c>
      <c r="B221">
        <f>物品!D263</f>
        <v>0</v>
      </c>
      <c r="C221">
        <f>物品!E336</f>
        <v>0</v>
      </c>
      <c r="D221">
        <f>物品!F336</f>
        <v>0</v>
      </c>
      <c r="E221">
        <f>IF(ISTEXT(物品!G327)=TRUE,"'"&amp;物品!G327&amp;"'",物品!G327)</f>
        <v>0</v>
      </c>
      <c r="F221">
        <f>IF(ISTEXT(物品!H327)=TRUE,"'"&amp;物品!H327&amp;"'",物品!H327)</f>
        <v>0</v>
      </c>
      <c r="G221">
        <f>IF(物品!I336="",0,"'"&amp;物品!I336&amp;"'")</f>
        <v>0</v>
      </c>
      <c r="H221">
        <f>IF(物品!R327="",0,物品!R327)</f>
        <v>0</v>
      </c>
      <c r="I221">
        <f>IF(物品!S327="",0,物品!S327)</f>
        <v>0</v>
      </c>
      <c r="J221">
        <f>IF(物品!C336="",0,""""&amp;物品!C336&amp;"""")</f>
        <v>0</v>
      </c>
      <c r="K221" t="str">
        <f>IF(物品!T336="","""""",""""&amp;物品!T336&amp;"""")</f>
        <v>""</v>
      </c>
      <c r="L221">
        <f>IF(物品!U336="",0,""""&amp;物品!U336&amp;"""")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IF(物品!B337="",0,"'"&amp;物品!B337&amp;"'")</f>
        <v>0</v>
      </c>
      <c r="B222">
        <f>物品!D264</f>
        <v>0</v>
      </c>
      <c r="C222">
        <f>物品!E337</f>
        <v>0</v>
      </c>
      <c r="D222">
        <f>物品!F337</f>
        <v>0</v>
      </c>
      <c r="E222">
        <f>IF(ISTEXT(物品!G328)=TRUE,"'"&amp;物品!G328&amp;"'",物品!G328)</f>
        <v>0</v>
      </c>
      <c r="F222">
        <f>IF(ISTEXT(物品!H328)=TRUE,"'"&amp;物品!H328&amp;"'",物品!H328)</f>
        <v>0</v>
      </c>
      <c r="G222">
        <f>IF(物品!I337="",0,"'"&amp;物品!I337&amp;"'")</f>
        <v>0</v>
      </c>
      <c r="H222">
        <f>IF(物品!R328="",0,物品!R328)</f>
        <v>0</v>
      </c>
      <c r="I222">
        <f>IF(物品!S328="",0,物品!S328)</f>
        <v>0</v>
      </c>
      <c r="J222">
        <f>IF(物品!C337="",0,""""&amp;物品!C337&amp;"""")</f>
        <v>0</v>
      </c>
      <c r="K222" t="str">
        <f>IF(物品!T337="","""""",""""&amp;物品!T337&amp;"""")</f>
        <v>""</v>
      </c>
      <c r="L222">
        <f>IF(物品!U337="",0,""""&amp;物品!U337&amp;"""")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IF(物品!B338="",0,"'"&amp;物品!B338&amp;"'")</f>
        <v>0</v>
      </c>
      <c r="B223">
        <f>物品!D265</f>
        <v>0</v>
      </c>
      <c r="C223">
        <f>物品!E338</f>
        <v>0</v>
      </c>
      <c r="D223">
        <f>物品!F338</f>
        <v>0</v>
      </c>
      <c r="E223">
        <f>IF(ISTEXT(物品!G329)=TRUE,"'"&amp;物品!G329&amp;"'",物品!G329)</f>
        <v>0</v>
      </c>
      <c r="F223">
        <f>IF(ISTEXT(物品!H329)=TRUE,"'"&amp;物品!H329&amp;"'",物品!H329)</f>
        <v>0</v>
      </c>
      <c r="G223">
        <f>IF(物品!I338="",0,"'"&amp;物品!I338&amp;"'")</f>
        <v>0</v>
      </c>
      <c r="H223">
        <f>IF(物品!R329="",0,物品!R329)</f>
        <v>0</v>
      </c>
      <c r="I223">
        <f>IF(物品!S329="",0,物品!S329)</f>
        <v>0</v>
      </c>
      <c r="J223">
        <f>IF(物品!C338="",0,""""&amp;物品!C338&amp;"""")</f>
        <v>0</v>
      </c>
      <c r="K223" t="str">
        <f>IF(物品!T338="","""""",""""&amp;物品!T338&amp;"""")</f>
        <v>""</v>
      </c>
      <c r="L223">
        <f>IF(物品!U338="",0,""""&amp;物品!U338&amp;"""")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IF(物品!B339="",0,"'"&amp;物品!B339&amp;"'")</f>
        <v>0</v>
      </c>
      <c r="B224">
        <f>物品!D266</f>
        <v>0</v>
      </c>
      <c r="C224">
        <f>物品!E339</f>
        <v>0</v>
      </c>
      <c r="D224">
        <f>物品!F339</f>
        <v>0</v>
      </c>
      <c r="E224">
        <f>IF(ISTEXT(物品!G330)=TRUE,"'"&amp;物品!G330&amp;"'",物品!G330)</f>
        <v>0</v>
      </c>
      <c r="F224">
        <f>IF(ISTEXT(物品!H330)=TRUE,"'"&amp;物品!H330&amp;"'",物品!H330)</f>
        <v>0</v>
      </c>
      <c r="G224">
        <f>IF(物品!I339="",0,"'"&amp;物品!I339&amp;"'")</f>
        <v>0</v>
      </c>
      <c r="H224">
        <f>IF(物品!R330="",0,物品!R330)</f>
        <v>0</v>
      </c>
      <c r="I224">
        <f>IF(物品!S330="",0,物品!S330)</f>
        <v>0</v>
      </c>
      <c r="J224">
        <f>IF(物品!C339="",0,""""&amp;物品!C339&amp;"""")</f>
        <v>0</v>
      </c>
      <c r="K224" t="str">
        <f>IF(物品!T339="","""""",""""&amp;物品!T339&amp;"""")</f>
        <v>""</v>
      </c>
      <c r="L224">
        <f>IF(物品!U339="",0,""""&amp;物品!U339&amp;"""")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IF(物品!B340="",0,"'"&amp;物品!B340&amp;"'")</f>
        <v>0</v>
      </c>
      <c r="B225">
        <f>物品!D267</f>
        <v>0</v>
      </c>
      <c r="C225">
        <f>物品!E340</f>
        <v>0</v>
      </c>
      <c r="D225">
        <f>物品!F340</f>
        <v>0</v>
      </c>
      <c r="E225">
        <f>IF(ISTEXT(物品!G331)=TRUE,"'"&amp;物品!G331&amp;"'",物品!G331)</f>
        <v>0</v>
      </c>
      <c r="F225">
        <f>IF(ISTEXT(物品!H331)=TRUE,"'"&amp;物品!H331&amp;"'",物品!H331)</f>
        <v>0</v>
      </c>
      <c r="G225">
        <f>IF(物品!I340="",0,"'"&amp;物品!I340&amp;"'")</f>
        <v>0</v>
      </c>
      <c r="H225">
        <f>IF(物品!R331="",0,物品!R331)</f>
        <v>0</v>
      </c>
      <c r="I225">
        <f>IF(物品!S331="",0,物品!S331)</f>
        <v>0</v>
      </c>
      <c r="J225">
        <f>IF(物品!C340="",0,""""&amp;物品!C340&amp;"""")</f>
        <v>0</v>
      </c>
      <c r="K225" t="str">
        <f>IF(物品!T340="","""""",""""&amp;物品!T340&amp;"""")</f>
        <v>""</v>
      </c>
      <c r="L225">
        <f>IF(物品!U340="",0,""""&amp;物品!U340&amp;"""")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3"/>
      <c r="CC1" s="3" t="s">
        <v>793</v>
      </c>
      <c r="CD1" s="3" t="s">
        <v>793</v>
      </c>
      <c r="CE1" s="3" t="s">
        <v>793</v>
      </c>
      <c r="CF1" s="3" t="s">
        <v>793</v>
      </c>
      <c r="CH1" s="3" t="s">
        <v>793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794</v>
      </c>
      <c r="CC2" s="3" t="s">
        <v>795</v>
      </c>
      <c r="CD2" s="3" t="s">
        <v>796</v>
      </c>
      <c r="CE2" s="3" t="s">
        <v>797</v>
      </c>
      <c r="CF2" s="3" t="s">
        <v>798</v>
      </c>
      <c r="CG2" s="3" t="s">
        <v>799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3" t="s">
        <v>800</v>
      </c>
      <c r="B1" s="3" t="s">
        <v>801</v>
      </c>
      <c r="C1" s="3" t="s">
        <v>802</v>
      </c>
      <c r="D1" s="3" t="s">
        <v>803</v>
      </c>
      <c r="E1" s="3" t="s">
        <v>804</v>
      </c>
    </row>
    <row r="2" ht="15" spans="1:5">
      <c r="A2" s="5">
        <v>1</v>
      </c>
      <c r="B2" s="5" t="s">
        <v>518</v>
      </c>
      <c r="C2" s="6">
        <v>4</v>
      </c>
      <c r="D2" s="3" t="str">
        <f>VLOOKUP(B2,物品!B:E,2,FALSE)</f>
        <v>快乐刷Q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5">
        <v>1</v>
      </c>
      <c r="B3" s="5" t="s">
        <v>521</v>
      </c>
      <c r="C3" s="6">
        <v>4</v>
      </c>
      <c r="D3" s="3" t="str">
        <f>VLOOKUP(B3,物品!B:E,2,FALSE)</f>
        <v>快乐刷W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5">
        <v>1</v>
      </c>
      <c r="B4" s="5" t="s">
        <v>524</v>
      </c>
      <c r="C4" s="6">
        <v>4</v>
      </c>
      <c r="D4" s="3" t="str">
        <f>VLOOKUP(B4,物品!B:E,2,FALSE)</f>
        <v>快乐刷E</v>
      </c>
      <c r="E4" t="str">
        <f t="shared" si="0"/>
        <v>            ItemPoolAddItemType(ItemPool[1],'IN03',4)</v>
      </c>
    </row>
    <row r="5" ht="15" spans="1:5">
      <c r="A5" s="5">
        <v>1</v>
      </c>
      <c r="B5" s="5" t="s">
        <v>527</v>
      </c>
      <c r="C5" s="6">
        <v>1</v>
      </c>
      <c r="D5" s="3" t="str">
        <f>VLOOKUP(B5,物品!B:E,2,FALSE)</f>
        <v>九重锻神丹</v>
      </c>
      <c r="E5" t="str">
        <f t="shared" si="0"/>
        <v>            ItemPoolAddItemType(ItemPool[1],'IN04',1)</v>
      </c>
    </row>
    <row r="6" ht="15" spans="1:5">
      <c r="A6" s="5">
        <v>1</v>
      </c>
      <c r="B6" s="5" t="s">
        <v>530</v>
      </c>
      <c r="C6" s="6">
        <v>1</v>
      </c>
      <c r="D6" s="3" t="str">
        <f>VLOOKUP(B6,物品!B:E,2,FALSE)</f>
        <v>灭魄血煞丹</v>
      </c>
      <c r="E6" t="str">
        <f t="shared" si="0"/>
        <v>            ItemPoolAddItemType(ItemPool[1],'IN05',1)</v>
      </c>
    </row>
    <row r="7" ht="15" spans="1:5">
      <c r="A7" s="5">
        <v>1</v>
      </c>
      <c r="B7" s="5" t="s">
        <v>533</v>
      </c>
      <c r="C7" s="6">
        <v>1</v>
      </c>
      <c r="D7" s="3" t="str">
        <f>VLOOKUP(B7,物品!B:E,2,FALSE)</f>
        <v>入微洞虚丹</v>
      </c>
      <c r="E7" t="str">
        <f t="shared" si="0"/>
        <v>            ItemPoolAddItemType(ItemPool[1],'IN06',1)</v>
      </c>
    </row>
    <row r="8" ht="15" spans="1:5">
      <c r="A8" s="5">
        <v>1</v>
      </c>
      <c r="B8" s="5" t="s">
        <v>536</v>
      </c>
      <c r="C8" s="6">
        <v>2</v>
      </c>
      <c r="D8" s="3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5">
        <v>1</v>
      </c>
      <c r="B9" s="5" t="s">
        <v>539</v>
      </c>
      <c r="C9" s="6">
        <v>2</v>
      </c>
      <c r="D9" s="3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5">
        <v>1</v>
      </c>
      <c r="B10" s="5" t="s">
        <v>542</v>
      </c>
      <c r="C10" s="6">
        <v>3</v>
      </c>
      <c r="D10" s="3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5">
        <v>1</v>
      </c>
      <c r="B11" s="5" t="s">
        <v>545</v>
      </c>
      <c r="C11" s="6">
        <v>2</v>
      </c>
      <c r="D11" s="3" t="str">
        <f>VLOOKUP(B11,物品!B:E,2,FALSE)</f>
        <v>福娃这么可爱..</v>
      </c>
      <c r="E11" t="str">
        <f t="shared" si="0"/>
        <v>            ItemPoolAddItemType(ItemPool[1],'IN10',2)</v>
      </c>
      <c r="K11" s="9"/>
    </row>
    <row r="12" ht="15" spans="1:5">
      <c r="A12" s="5">
        <v>1</v>
      </c>
      <c r="B12" s="5" t="s">
        <v>548</v>
      </c>
      <c r="C12" s="6">
        <v>2</v>
      </c>
      <c r="D12" s="3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5">
        <v>1</v>
      </c>
      <c r="B13" s="5" t="s">
        <v>551</v>
      </c>
      <c r="C13" s="6">
        <v>2</v>
      </c>
      <c r="D13" s="3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5">
        <v>1</v>
      </c>
      <c r="B14" s="5" t="s">
        <v>554</v>
      </c>
      <c r="C14" s="6">
        <v>4</v>
      </c>
      <c r="D14" s="3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5">
        <v>1</v>
      </c>
      <c r="B15" s="5" t="s">
        <v>557</v>
      </c>
      <c r="C15" s="6">
        <v>1</v>
      </c>
      <c r="D15" s="3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5">
        <v>1</v>
      </c>
      <c r="B16" s="5" t="s">
        <v>560</v>
      </c>
      <c r="C16" s="6">
        <v>1</v>
      </c>
      <c r="D16" s="3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5">
        <v>1</v>
      </c>
      <c r="B17" s="5" t="s">
        <v>563</v>
      </c>
      <c r="C17" s="6">
        <v>1</v>
      </c>
      <c r="D17" s="3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5">
        <v>1</v>
      </c>
      <c r="B18" s="5" t="s">
        <v>566</v>
      </c>
      <c r="C18" s="6">
        <v>2</v>
      </c>
      <c r="D18" s="3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5">
        <v>1</v>
      </c>
      <c r="B19" s="5" t="s">
        <v>569</v>
      </c>
      <c r="C19" s="6">
        <v>2</v>
      </c>
      <c r="D19" s="3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7"/>
      <c r="B20" s="3"/>
      <c r="C20" s="6"/>
      <c r="D20" s="3"/>
    </row>
    <row r="21" ht="15" spans="1:5">
      <c r="A21" s="5">
        <v>2</v>
      </c>
      <c r="B21" s="8" t="s">
        <v>753</v>
      </c>
      <c r="C21" s="6">
        <v>3</v>
      </c>
      <c r="D21" s="3" t="str">
        <f>VLOOKUP(B21,物品!B:E,2,FALSE)</f>
        <v>攻击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5">
        <v>2</v>
      </c>
      <c r="B22" s="8" t="s">
        <v>754</v>
      </c>
      <c r="C22" s="6">
        <v>3</v>
      </c>
      <c r="D22" s="3" t="str">
        <f>VLOOKUP(B22,物品!B:E,2,FALSE)</f>
        <v>法强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5">
        <v>2</v>
      </c>
      <c r="B23" s="8" t="s">
        <v>756</v>
      </c>
      <c r="C23" s="6">
        <v>1</v>
      </c>
      <c r="D23" s="3" t="str">
        <f>VLOOKUP(B23,物品!B:E,2,FALSE)</f>
        <v>攻击</v>
      </c>
      <c r="E23" t="str">
        <f t="shared" si="1"/>
        <v>            ItemPoolAddItemType(ItemPool[2],'IF03',1)</v>
      </c>
    </row>
    <row r="24" ht="15" spans="1:5">
      <c r="A24" s="5">
        <v>2</v>
      </c>
      <c r="B24" s="8" t="s">
        <v>757</v>
      </c>
      <c r="C24" s="6">
        <v>1</v>
      </c>
      <c r="D24" s="3" t="str">
        <f>VLOOKUP(B24,物品!B:E,2,FALSE)</f>
        <v>法强</v>
      </c>
      <c r="E24" t="str">
        <f t="shared" si="1"/>
        <v>            ItemPoolAddItemType(ItemPool[2],'IF04',1)</v>
      </c>
    </row>
    <row r="25" ht="15" spans="1:5">
      <c r="A25" s="5">
        <v>2</v>
      </c>
      <c r="B25" s="8" t="s">
        <v>758</v>
      </c>
      <c r="C25" s="6">
        <v>1</v>
      </c>
      <c r="D25" s="3" t="str">
        <f>VLOOKUP(B25,物品!B:E,2,FALSE)</f>
        <v>攻击</v>
      </c>
      <c r="E25" t="str">
        <f t="shared" si="1"/>
        <v>            ItemPoolAddItemType(ItemPool[2],'IF05',1)</v>
      </c>
    </row>
    <row r="26" ht="15" spans="1:5">
      <c r="A26" s="5">
        <v>2</v>
      </c>
      <c r="B26" s="8" t="s">
        <v>759</v>
      </c>
      <c r="C26" s="6">
        <v>1</v>
      </c>
      <c r="D26" s="3" t="str">
        <f>VLOOKUP(B26,物品!B:E,2,FALSE)</f>
        <v>法强</v>
      </c>
      <c r="E26" t="str">
        <f t="shared" si="1"/>
        <v>            ItemPoolAddItemType(ItemPool[2],'IF06',1)</v>
      </c>
    </row>
    <row r="27" ht="15" spans="1:5">
      <c r="A27" s="5">
        <v>2</v>
      </c>
      <c r="B27" s="8" t="s">
        <v>760</v>
      </c>
      <c r="C27" s="6">
        <v>3</v>
      </c>
      <c r="D27" s="3" t="str">
        <f>VLOOKUP(B27,物品!B:E,2,FALSE)</f>
        <v>攻击</v>
      </c>
      <c r="E27" t="str">
        <f t="shared" si="1"/>
        <v>            ItemPoolAddItemType(ItemPool[2],'IF07',3)</v>
      </c>
    </row>
    <row r="28" ht="15" spans="1:5">
      <c r="A28" s="5">
        <v>2</v>
      </c>
      <c r="B28" s="8" t="s">
        <v>761</v>
      </c>
      <c r="C28" s="6">
        <v>3</v>
      </c>
      <c r="D28" s="3" t="str">
        <f>VLOOKUP(B28,物品!B:E,2,FALSE)</f>
        <v>法强</v>
      </c>
      <c r="E28" t="str">
        <f t="shared" si="1"/>
        <v>            ItemPoolAddItemType(ItemPool[2],'IF08',3)</v>
      </c>
    </row>
    <row r="29" ht="15" spans="1:5">
      <c r="A29" s="5">
        <v>2</v>
      </c>
      <c r="B29" s="8" t="s">
        <v>762</v>
      </c>
      <c r="C29" s="6">
        <v>1</v>
      </c>
      <c r="D29" s="3" t="str">
        <f>VLOOKUP(B29,物品!B:E,2,FALSE)</f>
        <v>攻击</v>
      </c>
      <c r="E29" t="str">
        <f t="shared" si="1"/>
        <v>            ItemPoolAddItemType(ItemPool[2],'IF09',1)</v>
      </c>
    </row>
    <row r="30" ht="15" spans="1:5">
      <c r="A30" s="5">
        <v>2</v>
      </c>
      <c r="B30" s="8" t="s">
        <v>763</v>
      </c>
      <c r="C30" s="6">
        <v>1</v>
      </c>
      <c r="D30" s="3" t="str">
        <f>VLOOKUP(B30,物品!B:E,2,FALSE)</f>
        <v>法强</v>
      </c>
      <c r="E30" t="str">
        <f t="shared" si="1"/>
        <v>            ItemPoolAddItemType(ItemPool[2],'IF10',1)</v>
      </c>
    </row>
    <row r="31" ht="15" spans="1:5">
      <c r="A31" s="5">
        <v>2</v>
      </c>
      <c r="B31" s="8" t="s">
        <v>764</v>
      </c>
      <c r="C31" s="6">
        <v>2</v>
      </c>
      <c r="D31" s="3" t="str">
        <f>VLOOKUP(B31,物品!B:E,2,FALSE)</f>
        <v>攻击和法强</v>
      </c>
      <c r="E31" t="str">
        <f t="shared" si="1"/>
        <v>            ItemPoolAddItemType(ItemPool[2],'IF11',2)</v>
      </c>
    </row>
    <row r="32" ht="15" spans="1:5">
      <c r="A32" s="5">
        <v>2</v>
      </c>
      <c r="B32" s="8" t="s">
        <v>766</v>
      </c>
      <c r="C32" s="6">
        <v>1</v>
      </c>
      <c r="D32" s="3" t="str">
        <f>VLOOKUP(B32,物品!B:E,2,FALSE)</f>
        <v>暴击</v>
      </c>
      <c r="E32" t="str">
        <f t="shared" si="1"/>
        <v>            ItemPoolAddItemType(ItemPool[2],'IF12',1)</v>
      </c>
    </row>
    <row r="33" ht="15" spans="1:5">
      <c r="A33" s="5">
        <v>2</v>
      </c>
      <c r="B33" s="8" t="s">
        <v>767</v>
      </c>
      <c r="C33" s="6">
        <v>3</v>
      </c>
      <c r="D33" s="3" t="str">
        <f>VLOOKUP(B33,物品!B:E,2,FALSE)</f>
        <v>爆伤</v>
      </c>
      <c r="E33" t="str">
        <f t="shared" si="1"/>
        <v>            ItemPoolAddItemType(ItemPool[2],'IF13',3)</v>
      </c>
    </row>
    <row r="34" ht="15" spans="1:5">
      <c r="A34" s="5">
        <v>2</v>
      </c>
      <c r="B34" s="8" t="s">
        <v>769</v>
      </c>
      <c r="C34" s="6">
        <v>2</v>
      </c>
      <c r="D34" s="3" t="str">
        <f>VLOOKUP(B34,物品!B:E,2,FALSE)</f>
        <v>爆伤</v>
      </c>
      <c r="E34" t="str">
        <f t="shared" si="1"/>
        <v>            ItemPoolAddItemType(ItemPool[2],'IF14',2)</v>
      </c>
    </row>
    <row r="35" ht="15" spans="1:5">
      <c r="A35" s="5">
        <v>2</v>
      </c>
      <c r="B35" s="8" t="s">
        <v>770</v>
      </c>
      <c r="C35" s="6">
        <v>1</v>
      </c>
      <c r="D35" s="3" t="str">
        <f>VLOOKUP(B35,物品!B:E,2,FALSE)</f>
        <v>爆伤</v>
      </c>
      <c r="E35" t="str">
        <f t="shared" si="1"/>
        <v>            ItemPoolAddItemType(ItemPool[2],'IF15',1)</v>
      </c>
    </row>
    <row r="36" ht="15" spans="1:5">
      <c r="A36" s="5">
        <v>2</v>
      </c>
      <c r="B36" s="8" t="s">
        <v>771</v>
      </c>
      <c r="C36" s="6">
        <v>2</v>
      </c>
      <c r="D36" s="3" t="str">
        <f>VLOOKUP(B36,物品!B:E,2,FALSE)</f>
        <v>冷却缩减</v>
      </c>
      <c r="E36" t="str">
        <f t="shared" si="1"/>
        <v>            ItemPoolAddItemType(ItemPool[2],'IF16',2)</v>
      </c>
    </row>
    <row r="37" ht="15" spans="1:5">
      <c r="A37" s="5">
        <v>2</v>
      </c>
      <c r="B37" s="8" t="s">
        <v>772</v>
      </c>
      <c r="C37" s="6">
        <v>1</v>
      </c>
      <c r="D37" s="3" t="str">
        <f>VLOOKUP(B37,物品!B:E,2,FALSE)</f>
        <v>冷却缩减</v>
      </c>
      <c r="E37" t="str">
        <f t="shared" si="1"/>
        <v>            ItemPoolAddItemType(ItemPool[2],'IF17',1)</v>
      </c>
    </row>
    <row r="38" ht="15" spans="1:5">
      <c r="A38" s="5">
        <v>2</v>
      </c>
      <c r="B38" s="8" t="s">
        <v>773</v>
      </c>
      <c r="C38" s="6">
        <v>2</v>
      </c>
      <c r="D38" s="3" t="str">
        <f>VLOOKUP(B38,物品!B:E,2,FALSE)</f>
        <v>攻击速度</v>
      </c>
      <c r="E38" t="str">
        <f t="shared" si="1"/>
        <v>            ItemPoolAddItemType(ItemPool[2],'IF18',2)</v>
      </c>
    </row>
    <row r="39" ht="15" spans="1:5">
      <c r="A39" s="5">
        <v>2</v>
      </c>
      <c r="B39" s="8" t="s">
        <v>775</v>
      </c>
      <c r="C39" s="6">
        <v>1</v>
      </c>
      <c r="D39" s="3" t="str">
        <f>VLOOKUP(B39,物品!B:E,2,FALSE)</f>
        <v>攻击速度</v>
      </c>
      <c r="E39" t="str">
        <f t="shared" si="1"/>
        <v>            ItemPoolAddItemType(ItemPool[2],'IF19',1)</v>
      </c>
    </row>
    <row r="40" ht="15" spans="1:5">
      <c r="A40" s="5">
        <v>2</v>
      </c>
      <c r="B40" s="8" t="s">
        <v>776</v>
      </c>
      <c r="C40" s="6">
        <v>3</v>
      </c>
      <c r="D40" s="3" t="str">
        <f>VLOOKUP(B40,物品!B:E,2,FALSE)</f>
        <v>普攻伤害</v>
      </c>
      <c r="E40" t="str">
        <f t="shared" si="1"/>
        <v>            ItemPoolAddItemType(ItemPool[2],'IF20',3)</v>
      </c>
    </row>
    <row r="41" ht="15" spans="1:5">
      <c r="A41" s="5">
        <v>2</v>
      </c>
      <c r="B41" s="8" t="s">
        <v>777</v>
      </c>
      <c r="C41" s="6">
        <v>1</v>
      </c>
      <c r="D41" s="3" t="str">
        <f>VLOOKUP(B41,物品!B:E,2,FALSE)</f>
        <v>普攻伤害</v>
      </c>
      <c r="E41" t="str">
        <f t="shared" si="1"/>
        <v>            ItemPoolAddItemType(ItemPool[2],'IF21',1)</v>
      </c>
    </row>
    <row r="42" ht="15" spans="1:5">
      <c r="A42" s="5">
        <v>2</v>
      </c>
      <c r="B42" s="8" t="s">
        <v>778</v>
      </c>
      <c r="C42" s="6">
        <v>3</v>
      </c>
      <c r="D42" s="3" t="str">
        <f>VLOOKUP(B42,物品!B:E,2,FALSE)</f>
        <v>回蓝</v>
      </c>
      <c r="E42" t="str">
        <f t="shared" si="1"/>
        <v>            ItemPoolAddItemType(ItemPool[2],'IF22',3)</v>
      </c>
    </row>
    <row r="43" ht="15" spans="1:5">
      <c r="A43" s="5">
        <v>2</v>
      </c>
      <c r="B43" s="8" t="s">
        <v>780</v>
      </c>
      <c r="C43" s="6">
        <v>1</v>
      </c>
      <c r="D43" s="3" t="str">
        <f>VLOOKUP(B43,物品!B:E,2,FALSE)</f>
        <v>回蓝</v>
      </c>
      <c r="E43" t="str">
        <f t="shared" si="1"/>
        <v>            ItemPoolAddItemType(ItemPool[2],'IF23',1)</v>
      </c>
    </row>
    <row r="44" ht="15" spans="1:5">
      <c r="A44" s="5">
        <v>2</v>
      </c>
      <c r="B44" s="8" t="s">
        <v>781</v>
      </c>
      <c r="C44" s="6">
        <v>2</v>
      </c>
      <c r="D44" s="3" t="str">
        <f>VLOOKUP(B44,物品!B:E,2,FALSE)</f>
        <v>生命回复</v>
      </c>
      <c r="E44" t="str">
        <f t="shared" si="1"/>
        <v>            ItemPoolAddItemType(ItemPool[2],'IF24',2)</v>
      </c>
    </row>
    <row r="45" ht="15" spans="1:5">
      <c r="A45" s="5">
        <v>2</v>
      </c>
      <c r="B45" s="8" t="s">
        <v>782</v>
      </c>
      <c r="C45" s="6">
        <v>2</v>
      </c>
      <c r="D45" s="3" t="str">
        <f>VLOOKUP(B45,物品!B:E,2,FALSE)</f>
        <v>伤害吸血</v>
      </c>
      <c r="E45" t="str">
        <f t="shared" si="1"/>
        <v>            ItemPoolAddItemType(ItemPool[2],'IF25',2)</v>
      </c>
    </row>
    <row r="46" ht="15" spans="1:5">
      <c r="A46" s="5">
        <v>2</v>
      </c>
      <c r="B46" s="8" t="s">
        <v>784</v>
      </c>
      <c r="C46" s="6">
        <v>3</v>
      </c>
      <c r="D46" s="3" t="str">
        <f>VLOOKUP(B46,物品!B:E,2,FALSE)</f>
        <v>闪避</v>
      </c>
      <c r="E46" t="str">
        <f t="shared" si="1"/>
        <v>            ItemPoolAddItemType(ItemPool[2],'IF26',3)</v>
      </c>
    </row>
    <row r="47" ht="15" spans="1:5">
      <c r="A47" s="5">
        <v>2</v>
      </c>
      <c r="B47" s="8" t="s">
        <v>785</v>
      </c>
      <c r="C47" s="6">
        <v>3</v>
      </c>
      <c r="D47" s="3" t="str">
        <f>VLOOKUP(B47,物品!B:E,2,FALSE)</f>
        <v>伤害减免</v>
      </c>
      <c r="E47" t="str">
        <f t="shared" si="1"/>
        <v>            ItemPoolAddItemType(ItemPool[2],'IF27',3)</v>
      </c>
    </row>
    <row r="48" spans="1:4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ht="15" spans="1:4">
      <c r="A83" s="7"/>
      <c r="B83" s="10"/>
      <c r="C83" s="7"/>
      <c r="D83" s="3"/>
    </row>
    <row r="84" ht="15" spans="1:4">
      <c r="A84" s="7"/>
      <c r="B84" s="10"/>
      <c r="C84" s="7"/>
      <c r="D84" s="3"/>
    </row>
    <row r="85" ht="15" spans="1:4">
      <c r="A85" s="7"/>
      <c r="B85" s="10"/>
      <c r="C85" s="7"/>
      <c r="D85" s="3"/>
    </row>
    <row r="86" ht="15" spans="1:4">
      <c r="A86" s="7"/>
      <c r="B86" s="10"/>
      <c r="C86" s="7"/>
      <c r="D86" s="3"/>
    </row>
    <row r="87" ht="15" spans="1:4">
      <c r="A87" s="7"/>
      <c r="B87" s="10"/>
      <c r="C87" s="7"/>
      <c r="D87" s="3"/>
    </row>
    <row r="88" ht="15" spans="1:4">
      <c r="A88" s="7"/>
      <c r="B88" s="10"/>
      <c r="C88" s="7"/>
      <c r="D88" s="3"/>
    </row>
    <row r="89" ht="15" spans="1:4">
      <c r="A89" s="7"/>
      <c r="B89" s="11"/>
      <c r="C89" s="7"/>
      <c r="D89" s="3"/>
    </row>
    <row r="90" ht="15" spans="1:4">
      <c r="A90" s="7"/>
      <c r="B90" s="10"/>
      <c r="C90" s="7"/>
      <c r="D90" s="3"/>
    </row>
    <row r="91" ht="15" spans="1:4">
      <c r="A91" s="7"/>
      <c r="B91" s="10"/>
      <c r="C91" s="7"/>
      <c r="D91" s="3"/>
    </row>
    <row r="92" ht="15" spans="1:4">
      <c r="A92" s="7"/>
      <c r="B92" s="10"/>
      <c r="C92" s="7"/>
      <c r="D92" s="3"/>
    </row>
    <row r="93" ht="15" spans="2:4">
      <c r="B93" s="10"/>
      <c r="C93" s="7"/>
      <c r="D93" s="3"/>
    </row>
    <row r="94" ht="15" spans="2:4">
      <c r="B94" s="10"/>
      <c r="C94" s="7"/>
      <c r="D94" s="3"/>
    </row>
    <row r="95" ht="15" spans="1:4">
      <c r="A95" s="3"/>
      <c r="B95" s="12"/>
      <c r="D95" s="3"/>
    </row>
    <row r="96" ht="15" spans="1:4">
      <c r="A96" s="3"/>
      <c r="B96" s="12"/>
      <c r="D96" s="3"/>
    </row>
    <row r="97" ht="15" spans="1:4">
      <c r="A97" s="3"/>
      <c r="B97" s="12"/>
      <c r="D97" s="3"/>
    </row>
    <row r="98" ht="15" spans="1:4">
      <c r="A98" s="3"/>
      <c r="B98" s="12"/>
      <c r="D98" s="3"/>
    </row>
    <row r="99" ht="15" spans="1:4">
      <c r="A99" s="3"/>
      <c r="B99" s="12"/>
      <c r="D99" s="3"/>
    </row>
    <row r="100" ht="15" spans="1:4">
      <c r="A100" s="3"/>
      <c r="B100" s="12"/>
      <c r="D100" s="3"/>
    </row>
    <row r="101" ht="15" spans="1:4">
      <c r="A101" s="3"/>
      <c r="B101" s="12"/>
      <c r="D101" s="3"/>
    </row>
    <row r="102" ht="15" spans="1:4">
      <c r="A102" s="3"/>
      <c r="B102" s="12"/>
      <c r="D102" s="3"/>
    </row>
    <row r="103" ht="15" spans="1:4">
      <c r="A103" s="3"/>
      <c r="B103" s="12"/>
      <c r="D103" s="3"/>
    </row>
    <row r="104" ht="15" spans="1:4">
      <c r="A104" s="3"/>
      <c r="B104" s="12"/>
      <c r="D104" s="3"/>
    </row>
    <row r="105" ht="15" spans="1:4">
      <c r="A105" s="3"/>
      <c r="B105" s="12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102</v>
      </c>
      <c r="E1" t="s">
        <v>103</v>
      </c>
      <c r="F1" t="s">
        <v>805</v>
      </c>
      <c r="G1" t="s">
        <v>806</v>
      </c>
      <c r="I1" t="s">
        <v>807</v>
      </c>
      <c r="J1">
        <v>11</v>
      </c>
      <c r="P1" t="s">
        <v>808</v>
      </c>
      <c r="U1" t="s">
        <v>809</v>
      </c>
      <c r="V1" t="s">
        <v>810</v>
      </c>
      <c r="X1" s="3" t="s">
        <v>811</v>
      </c>
    </row>
    <row r="2" spans="1:25">
      <c r="A2" t="s">
        <v>812</v>
      </c>
      <c r="D2">
        <v>800</v>
      </c>
      <c r="E2" s="1">
        <v>1</v>
      </c>
      <c r="F2" s="2">
        <f>D2/E2</f>
        <v>800</v>
      </c>
      <c r="I2" t="s">
        <v>813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814</v>
      </c>
      <c r="D3">
        <v>800</v>
      </c>
      <c r="E3" s="1">
        <v>1</v>
      </c>
      <c r="F3" s="2">
        <f t="shared" ref="F3:F25" si="1">D3/E3</f>
        <v>800</v>
      </c>
      <c r="I3" t="s">
        <v>815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816</v>
      </c>
      <c r="D4">
        <v>800</v>
      </c>
      <c r="E4" s="1">
        <v>1</v>
      </c>
      <c r="F4" s="2">
        <f t="shared" si="1"/>
        <v>800</v>
      </c>
      <c r="I4" t="s">
        <v>817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818</v>
      </c>
      <c r="D5">
        <v>800</v>
      </c>
      <c r="E5" s="1">
        <v>1</v>
      </c>
      <c r="F5" s="2">
        <f t="shared" si="1"/>
        <v>800</v>
      </c>
      <c r="I5" t="s">
        <v>819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820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821</v>
      </c>
      <c r="D7">
        <v>2500</v>
      </c>
      <c r="E7" s="1">
        <v>0.85</v>
      </c>
      <c r="F7" s="2">
        <f t="shared" si="1"/>
        <v>2941.17647058824</v>
      </c>
      <c r="J7" t="s">
        <v>822</v>
      </c>
      <c r="K7" s="3" t="s">
        <v>823</v>
      </c>
      <c r="L7" s="3" t="s">
        <v>824</v>
      </c>
      <c r="M7" t="s">
        <v>825</v>
      </c>
      <c r="N7" t="s">
        <v>826</v>
      </c>
      <c r="P7">
        <f t="shared" si="0"/>
        <v>85</v>
      </c>
    </row>
    <row r="8" spans="1:16">
      <c r="A8" t="s">
        <v>827</v>
      </c>
      <c r="D8">
        <v>2500</v>
      </c>
      <c r="E8" s="1">
        <v>0.85</v>
      </c>
      <c r="F8" s="2">
        <f t="shared" si="1"/>
        <v>2941.17647058824</v>
      </c>
      <c r="I8" t="s">
        <v>828</v>
      </c>
      <c r="J8" s="2">
        <f>G6/J$1/W2</f>
        <v>29.0909090909091</v>
      </c>
      <c r="K8" s="2">
        <f>D2/J$1/W2*J$2</f>
        <v>5.81818181818182</v>
      </c>
      <c r="L8" s="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829</v>
      </c>
      <c r="D9">
        <v>2500</v>
      </c>
      <c r="E9" s="1">
        <v>0.85</v>
      </c>
      <c r="F9" s="2">
        <f t="shared" si="1"/>
        <v>2941.17647058824</v>
      </c>
      <c r="I9" t="s">
        <v>830</v>
      </c>
      <c r="J9" s="2">
        <f>G11/J$1/W3</f>
        <v>35.650623885918</v>
      </c>
      <c r="K9" s="2">
        <f>D6/J$1/W3*J$2</f>
        <v>6.06060606060606</v>
      </c>
      <c r="L9" s="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831</v>
      </c>
      <c r="D10">
        <v>2500</v>
      </c>
      <c r="E10" s="1">
        <v>0.85</v>
      </c>
      <c r="F10" s="2">
        <f t="shared" si="1"/>
        <v>2941.17647058824</v>
      </c>
      <c r="I10" t="s">
        <v>832</v>
      </c>
      <c r="J10" s="2">
        <f>G16/J$1/W4</f>
        <v>75.5608028335301</v>
      </c>
      <c r="K10" s="2">
        <f>D11/J$1/W4*J$2</f>
        <v>13.2231404958678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833</v>
      </c>
      <c r="D11">
        <v>10000</v>
      </c>
      <c r="E11" s="1">
        <v>1</v>
      </c>
      <c r="F11" s="2">
        <f t="shared" si="1"/>
        <v>10000</v>
      </c>
      <c r="G11">
        <f>SUM(F7:F10)</f>
        <v>11764.7058823529</v>
      </c>
      <c r="I11" t="s">
        <v>834</v>
      </c>
      <c r="J11" s="2">
        <f>G21/J$1/W5</f>
        <v>134.680134680135</v>
      </c>
      <c r="K11" s="2">
        <f>D16/J$1/W5*J$2</f>
        <v>24.2424242424242</v>
      </c>
      <c r="L11" s="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835</v>
      </c>
      <c r="D12">
        <v>8000</v>
      </c>
      <c r="E12" s="1">
        <v>0.7</v>
      </c>
      <c r="F12" s="2">
        <f t="shared" si="1"/>
        <v>11428.5714285714</v>
      </c>
      <c r="I12" t="s">
        <v>836</v>
      </c>
      <c r="J12" s="2">
        <f>G26/J$1/W6</f>
        <v>169.69696969697</v>
      </c>
      <c r="K12" s="2">
        <f>D21/J$1/W6*J$2</f>
        <v>16.969696969697</v>
      </c>
      <c r="L12" s="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837</v>
      </c>
      <c r="D13">
        <v>8000</v>
      </c>
      <c r="E13" s="1">
        <v>0.7</v>
      </c>
      <c r="F13" s="2">
        <f t="shared" si="1"/>
        <v>11428.5714285714</v>
      </c>
      <c r="J13" s="2"/>
      <c r="M13" t="s">
        <v>838</v>
      </c>
      <c r="N13">
        <f>SUM(N8:N12)</f>
        <v>1061280</v>
      </c>
      <c r="P13">
        <f t="shared" si="0"/>
        <v>70</v>
      </c>
    </row>
    <row r="14" spans="1:16">
      <c r="A14" t="s">
        <v>839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16">
      <c r="A15" t="s">
        <v>840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16">
      <c r="A16" t="s">
        <v>841</v>
      </c>
      <c r="D16">
        <v>30000</v>
      </c>
      <c r="E16" s="1">
        <v>1</v>
      </c>
      <c r="F16" s="2">
        <f t="shared" si="1"/>
        <v>30000</v>
      </c>
      <c r="G16">
        <f>SUM(F12:F15)</f>
        <v>45714.2857142857</v>
      </c>
      <c r="J16">
        <v>1000</v>
      </c>
      <c r="K16" s="1">
        <v>1</v>
      </c>
      <c r="P16">
        <f t="shared" si="0"/>
        <v>100</v>
      </c>
    </row>
    <row r="17" spans="1:16">
      <c r="A17" t="s">
        <v>842</v>
      </c>
      <c r="D17">
        <v>20000</v>
      </c>
      <c r="E17" s="1">
        <v>0.6</v>
      </c>
      <c r="F17" s="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843</v>
      </c>
      <c r="D18">
        <v>20000</v>
      </c>
      <c r="E18" s="1">
        <v>0.6</v>
      </c>
      <c r="F18" s="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844</v>
      </c>
      <c r="D19">
        <v>20000</v>
      </c>
      <c r="E19" s="1">
        <v>0.6</v>
      </c>
      <c r="F19" s="2">
        <f t="shared" si="1"/>
        <v>33333.3333333333</v>
      </c>
      <c r="J19">
        <v>2500</v>
      </c>
      <c r="K19" s="1">
        <v>0.85</v>
      </c>
      <c r="P19">
        <f t="shared" si="0"/>
        <v>60</v>
      </c>
    </row>
    <row r="20" spans="1:16">
      <c r="A20" t="s">
        <v>845</v>
      </c>
      <c r="D20">
        <v>20000</v>
      </c>
      <c r="E20" s="1">
        <v>0.6</v>
      </c>
      <c r="F20" s="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846</v>
      </c>
      <c r="D21">
        <v>35000</v>
      </c>
      <c r="E21" s="1">
        <v>1</v>
      </c>
      <c r="F21" s="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847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850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</v>
      </c>
      <c r="P25">
        <f t="shared" si="0"/>
        <v>50</v>
      </c>
    </row>
    <row r="26" spans="1:10">
      <c r="A26" t="s">
        <v>851</v>
      </c>
      <c r="E26" t="s">
        <v>852</v>
      </c>
      <c r="F26" s="2">
        <f>SUM(F2:F25)</f>
        <v>551512.324929972</v>
      </c>
      <c r="G26">
        <f>SUM(F22:F25)</f>
        <v>280000</v>
      </c>
      <c r="J26" s="3">
        <v>20000</v>
      </c>
    </row>
    <row r="27" spans="5:6">
      <c r="E27" t="s">
        <v>853</v>
      </c>
      <c r="F27">
        <f>F26*2</f>
        <v>1103024.64985994</v>
      </c>
    </row>
    <row r="29" spans="11:11">
      <c r="K29" s="3"/>
    </row>
    <row r="30" spans="10:11">
      <c r="J30" s="3"/>
      <c r="K30" s="3"/>
    </row>
    <row r="31" spans="1:11">
      <c r="A31" s="3" t="s">
        <v>854</v>
      </c>
      <c r="B31" s="3" t="s">
        <v>102</v>
      </c>
      <c r="C31" s="3" t="s">
        <v>112</v>
      </c>
      <c r="F31" s="3" t="s">
        <v>855</v>
      </c>
      <c r="J31" s="3"/>
      <c r="K31" s="3"/>
    </row>
    <row r="32" spans="1:15">
      <c r="A32">
        <v>1</v>
      </c>
      <c r="B32">
        <v>2000</v>
      </c>
      <c r="C32">
        <v>1</v>
      </c>
      <c r="F32" s="3" t="s">
        <v>856</v>
      </c>
      <c r="G32" s="3" t="s">
        <v>857</v>
      </c>
      <c r="H32" s="3" t="s">
        <v>805</v>
      </c>
      <c r="J32" s="3" t="s">
        <v>858</v>
      </c>
      <c r="K32" s="3" t="s">
        <v>859</v>
      </c>
      <c r="L32" s="3" t="s">
        <v>1</v>
      </c>
      <c r="M32" s="3" t="s">
        <v>805</v>
      </c>
      <c r="N32" s="3" t="s">
        <v>102</v>
      </c>
      <c r="O32" s="3" t="s">
        <v>104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</v>
      </c>
      <c r="J36">
        <v>4</v>
      </c>
      <c r="K36" s="3">
        <v>1500</v>
      </c>
      <c r="L36" s="3" t="s">
        <v>102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</v>
      </c>
      <c r="H39" s="1">
        <f>SUM(G$33:G39)</f>
        <v>1.33</v>
      </c>
      <c r="J39" s="3">
        <v>7</v>
      </c>
      <c r="K39" s="3">
        <v>3000</v>
      </c>
      <c r="L39" s="3" t="s">
        <v>102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852</v>
      </c>
      <c r="N41">
        <f>SUM(N33:N40)</f>
        <v>28860</v>
      </c>
      <c r="O41">
        <f>SUM(O33:O40)</f>
        <v>9600</v>
      </c>
    </row>
    <row r="42" spans="1:11">
      <c r="A42" s="3" t="s">
        <v>852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7:8">
      <c r="G43" s="1"/>
      <c r="H43" s="1"/>
    </row>
    <row r="44" spans="7:11">
      <c r="G44" s="1"/>
      <c r="H44" s="1"/>
      <c r="J44" s="3"/>
      <c r="K44" s="3"/>
    </row>
    <row r="45" spans="1:11">
      <c r="A45" s="3" t="s">
        <v>860</v>
      </c>
      <c r="B45" s="3" t="s">
        <v>861</v>
      </c>
      <c r="C45" s="3" t="s">
        <v>862</v>
      </c>
      <c r="F45" s="3" t="s">
        <v>863</v>
      </c>
      <c r="G45" s="1"/>
      <c r="H45" s="1"/>
      <c r="J45" s="3"/>
      <c r="K45" s="3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3" t="s">
        <v>864</v>
      </c>
      <c r="G46" s="4" t="s">
        <v>865</v>
      </c>
      <c r="H46" s="4" t="s">
        <v>154</v>
      </c>
      <c r="I46" s="3" t="s">
        <v>866</v>
      </c>
      <c r="K46" s="3"/>
    </row>
    <row r="47" spans="1:11">
      <c r="A47">
        <v>2</v>
      </c>
      <c r="B47">
        <f t="shared" si="11"/>
        <v>200</v>
      </c>
      <c r="C47" s="3" t="s">
        <v>867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7">
      <c r="A57">
        <v>12</v>
      </c>
      <c r="B57">
        <f t="shared" si="15"/>
        <v>1200</v>
      </c>
      <c r="F57" s="3" t="s">
        <v>852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2020-01-20T12:07:06Z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