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040" windowHeight="9420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P000!$A$1:$BU$331</definedName>
  </definedNames>
  <calcPr calcId="144525"/>
</workbook>
</file>

<file path=xl/sharedStrings.xml><?xml version="1.0" encoding="utf-8"?>
<sst xmlns="http://schemas.openxmlformats.org/spreadsheetml/2006/main" count="4937" uniqueCount="1201">
  <si>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</si>
  <si>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</si>
  <si>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</si>
  <si>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</si>
  <si>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</si>
  <si>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</si>
  <si>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</si>
  <si>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</si>
  <si>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</si>
  <si>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</si>
  <si>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</si>
  <si>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</si>
  <si>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</si>
  <si>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</si>
  <si>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</si>
  <si>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</si>
  <si>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</si>
  <si>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</si>
  <si>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</si>
  <si>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</si>
  <si>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</si>
  <si>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</si>
  <si>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</si>
  <si>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</si>
  <si>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</si>
  <si>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</si>
  <si>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</si>
  <si>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</si>
  <si>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</si>
  <si>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</si>
  <si>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</si>
  <si>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</si>
  <si>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</si>
  <si>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</si>
  <si>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</si>
  <si>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</si>
  <si>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</si>
  <si>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</si>
  <si>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</si>
  <si>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</si>
  <si>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</si>
  <si>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</si>
  <si>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</si>
  <si>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</si>
  <si>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</si>
  <si>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</si>
  <si>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</si>
  <si>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</si>
  <si>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</si>
  <si>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</si>
  <si>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</si>
  <si>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</si>
  <si>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</si>
  <si>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</si>
  <si>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</si>
  <si>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</si>
  <si>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</si>
  <si>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</si>
  <si>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</si>
  <si>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</si>
  <si>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</si>
  <si>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</si>
  <si>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</si>
  <si>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</si>
  <si>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</si>
  <si>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</si>
  <si>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</si>
  <si>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</si>
  <si>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</si>
  <si>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</si>
  <si>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</si>
  <si>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</si>
  <si>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</si>
  <si>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</si>
  <si>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</si>
  <si>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</si>
  <si>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</si>
  <si>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</si>
  <si>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</si>
  <si>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</si>
  <si>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</si>
  <si>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</si>
  <si>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</si>
  <si>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</si>
  <si>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</si>
  <si>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</si>
  <si>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</si>
  <si>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</si>
  <si>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</si>
  <si>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</si>
  <si>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</si>
  <si>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</si>
  <si>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</si>
  <si>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</si>
  <si>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</si>
  <si>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</si>
  <si>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</si>
  <si>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</si>
  <si>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</si>
  <si>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</si>
  <si>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</si>
  <si>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</si>
  <si>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</si>
  <si>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</si>
  <si>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</si>
  <si>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</si>
  <si>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</si>
  <si>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</si>
  <si>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</si>
  <si>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</si>
  <si>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</si>
  <si>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</si>
  <si>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</si>
  <si>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</si>
  <si>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</si>
  <si>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</si>
  <si>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</si>
  <si>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</si>
  <si>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</si>
  <si>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</si>
  <si>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</si>
  <si>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</si>
  <si>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</si>
  <si>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</si>
  <si>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</si>
  <si>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</si>
  <si>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</si>
  <si>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</si>
  <si>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</si>
  <si>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</si>
  <si>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</si>
  <si>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</si>
  <si>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</si>
  <si>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</si>
  <si>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</si>
  <si>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</si>
  <si>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</si>
  <si>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</si>
  <si>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</si>
  <si>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</si>
  <si>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</si>
  <si>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</si>
  <si>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</si>
  <si>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</si>
  <si>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</si>
  <si>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</si>
  <si>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</si>
  <si>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</si>
  <si>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</si>
  <si>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</si>
  <si>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</si>
  <si>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</si>
  <si>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</si>
  <si>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</si>
  <si>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</si>
  <si>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</si>
  <si>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</si>
  <si>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</si>
  <si>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</si>
  <si>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</si>
  <si>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</si>
  <si>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</si>
  <si>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</si>
  <si>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</si>
  <si>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</si>
  <si>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</si>
  <si>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</si>
  <si>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</si>
  <si>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</si>
  <si>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</si>
  <si>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</si>
  <si>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</si>
  <si>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</si>
  <si>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</si>
  <si>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</si>
  <si>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</si>
  <si>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</si>
  <si>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</si>
  <si>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</si>
  <si>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</si>
  <si>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</si>
  <si>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</si>
  <si>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</si>
  <si>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</si>
  <si>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</si>
  <si>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</si>
  <si>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</si>
  <si>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</si>
  <si>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</si>
  <si>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</si>
  <si>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</si>
  <si>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</si>
  <si>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</si>
  <si>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</si>
  <si>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</si>
  <si>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</si>
  <si>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</si>
  <si>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</si>
  <si>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</si>
  <si>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</si>
  <si>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</si>
  <si>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</si>
  <si>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</si>
  <si>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</si>
  <si>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</si>
  <si>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</si>
  <si>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</si>
  <si>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</si>
  <si>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</si>
  <si>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</si>
  <si>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</si>
  <si>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</si>
  <si>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</si>
  <si>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</si>
  <si>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</si>
  <si>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</si>
  <si>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</si>
  <si>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</si>
  <si>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</si>
  <si>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</si>
  <si>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</si>
  <si>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</si>
  <si>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</si>
  <si>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</si>
  <si>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</si>
  <si>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</si>
  <si>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</si>
  <si>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</si>
  <si>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</si>
  <si>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</si>
  <si>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</si>
  <si>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</si>
  <si>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</si>
  <si>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</si>
  <si>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</si>
  <si>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</si>
  <si>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</si>
  <si>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</si>
  <si>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</si>
  <si>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</si>
  <si>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</si>
  <si>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</si>
  <si>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</si>
  <si>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</si>
  <si>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</si>
  <si>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</si>
  <si>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</si>
  <si>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</si>
  <si>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</si>
  <si>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</si>
  <si>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</si>
  <si>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</si>
  <si>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</si>
  <si>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</si>
  <si>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</si>
  <si>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</si>
  <si>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</si>
  <si>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</si>
  <si>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</si>
  <si>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</si>
  <si>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</si>
  <si>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</si>
  <si>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</si>
  <si>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</si>
  <si>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</si>
  <si>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</si>
  <si>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</si>
  <si>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</si>
  <si>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</si>
  <si>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</si>
  <si>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</si>
  <si>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</si>
  <si>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</si>
  <si>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</si>
  <si>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</si>
  <si>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</si>
  <si>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</si>
  <si>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</si>
  <si>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</si>
  <si>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</si>
  <si>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</si>
  <si>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</si>
  <si>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</si>
  <si>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</si>
  <si>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</si>
  <si>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</si>
  <si>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</si>
  <si>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</si>
  <si>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</si>
  <si>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</si>
  <si>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</si>
  <si>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</si>
  <si>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</si>
  <si>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</si>
  <si>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</si>
  <si>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</si>
  <si>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</si>
  <si>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</si>
  <si>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</si>
  <si>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</si>
  <si>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</si>
  <si>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</si>
  <si>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</si>
  <si>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</si>
  <si>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</si>
  <si>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</si>
  <si>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</si>
  <si>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</si>
  <si>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</si>
  <si>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</si>
  <si>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</si>
  <si>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</si>
  <si>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</si>
  <si>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</si>
  <si>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</si>
  <si>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</si>
  <si>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</si>
  <si>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</si>
  <si>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</si>
  <si>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</si>
  <si>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</si>
  <si>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</si>
  <si>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</si>
  <si>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</si>
  <si>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</si>
  <si>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</si>
  <si>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</si>
  <si>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</si>
  <si>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</si>
  <si>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</si>
  <si>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</si>
  <si>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</si>
  <si>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</si>
  <si>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</si>
  <si>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</si>
  <si>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</si>
  <si>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</si>
  <si>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</si>
  <si>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</si>
  <si>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</si>
  <si>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</si>
  <si>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</si>
  <si>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</si>
  <si>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</si>
  <si>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</si>
  <si>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</si>
  <si>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</si>
  <si>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</si>
  <si>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</si>
  <si>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</si>
  <si>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</si>
  <si>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</si>
  <si>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</si>
  <si>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</si>
  <si>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</si>
  <si>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</si>
  <si>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</si>
  <si>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</si>
  <si>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</si>
  <si>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</si>
  <si>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</si>
  <si>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</si>
  <si>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</si>
  <si>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</si>
  <si>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</si>
  <si>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</si>
  <si>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</si>
  <si>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</si>
  <si>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</si>
  <si>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</si>
  <si>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</si>
  <si>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</si>
  <si>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</si>
  <si>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</si>
  <si>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</si>
  <si>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</si>
  <si>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</si>
  <si>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</si>
  <si>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</si>
  <si>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</si>
  <si>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</si>
  <si>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</si>
  <si>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</si>
  <si>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</si>
  <si>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</si>
  <si>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</si>
  <si>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</si>
  <si>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</si>
  <si>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</si>
  <si>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</si>
  <si>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</si>
  <si>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</si>
  <si>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</si>
  <si>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</si>
  <si>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</si>
  <si>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</si>
  <si>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</si>
  <si>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</si>
  <si>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</si>
  <si>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</si>
  <si>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</si>
  <si>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</si>
  <si>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</si>
  <si>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</si>
  <si>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</si>
  <si>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</si>
  <si>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</si>
  <si>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</si>
  <si>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</si>
  <si>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</si>
  <si>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</si>
  <si>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</si>
  <si>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</si>
  <si>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</si>
  <si>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</si>
  <si>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</si>
  <si>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</si>
  <si>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</si>
  <si>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</si>
  <si>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</si>
  <si>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</si>
  <si>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</si>
  <si>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</si>
  <si>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</si>
  <si>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</si>
  <si>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</si>
  <si>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</si>
  <si>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</si>
  <si>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</si>
  <si>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</si>
  <si>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</si>
  <si>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</si>
  <si>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</si>
  <si>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</si>
  <si>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</si>
  <si>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</si>
  <si>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</si>
  <si>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</si>
  <si>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</si>
  <si>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</si>
  <si>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</si>
  <si>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</si>
  <si>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</si>
  <si>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</si>
  <si>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</si>
  <si>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</si>
  <si>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</si>
  <si>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</si>
  <si>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</si>
  <si>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</si>
  <si>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</si>
  <si>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</si>
  <si>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</si>
  <si>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</si>
  <si>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</si>
  <si>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</si>
  <si>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</si>
  <si>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</si>
  <si>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</si>
  <si>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</si>
  <si>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</si>
  <si>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</si>
  <si>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</si>
  <si>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</si>
  <si>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</si>
  <si>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</si>
  <si>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</si>
  <si>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</si>
  <si>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</si>
  <si>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</si>
  <si>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</si>
  <si>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</si>
  <si>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</si>
  <si>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</si>
  <si>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</si>
  <si>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</si>
  <si>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</si>
  <si>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</si>
  <si>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</si>
  <si>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</si>
  <si>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</si>
  <si>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</si>
  <si>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</si>
  <si>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</si>
  <si>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</si>
  <si>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</si>
  <si>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</si>
  <si>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</si>
  <si>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</si>
  <si>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</si>
  <si>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</si>
  <si>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</si>
  <si>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</si>
  <si>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</si>
  <si>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</si>
  <si>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</si>
  <si>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</si>
  <si>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</si>
  <si>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</si>
  <si>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</si>
  <si>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</si>
  <si>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</si>
  <si>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</si>
  <si>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</si>
  <si>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</si>
  <si>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</si>
  <si>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</si>
  <si>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</si>
  <si>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</si>
  <si>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</si>
  <si>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</si>
  <si>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</si>
  <si>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</si>
  <si>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</si>
  <si>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</si>
  <si>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</si>
  <si>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</si>
  <si>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</si>
  <si>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</si>
  <si>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</si>
  <si>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</si>
  <si>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</si>
  <si>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</si>
  <si>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</si>
  <si>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</si>
  <si>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</si>
  <si>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</si>
  <si>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</si>
  <si>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</si>
  <si>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</si>
  <si>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</si>
  <si>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</si>
  <si>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</si>
  <si>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</si>
  <si>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</si>
  <si>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</si>
  <si>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</si>
  <si>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</si>
  <si>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</si>
  <si>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</si>
  <si>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</si>
  <si>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</si>
  <si>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</si>
  <si>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</si>
  <si>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</si>
  <si>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</si>
  <si>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</si>
  <si>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</si>
  <si>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</si>
  <si>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</si>
  <si>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</si>
  <si>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</si>
  <si>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</si>
  <si>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</si>
  <si>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</si>
  <si>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</si>
  <si>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</si>
  <si>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</si>
  <si>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</si>
  <si>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</si>
  <si>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</si>
  <si>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</si>
  <si>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</si>
  <si>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</si>
  <si>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</si>
  <si>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</si>
  <si>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</si>
  <si>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</si>
  <si>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</si>
  <si>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</si>
  <si>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</si>
  <si>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</si>
  <si>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</si>
  <si>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</si>
  <si>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</si>
  <si>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</si>
  <si>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</si>
  <si>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</si>
  <si>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</si>
  <si>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</si>
  <si>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</si>
  <si>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</si>
  <si>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</si>
  <si>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</si>
  <si>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</si>
  <si>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</si>
  <si>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</si>
  <si>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</si>
  <si>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</si>
  <si>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</si>
  <si>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</si>
  <si>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</si>
  <si>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</si>
  <si>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</si>
  <si>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</si>
  <si>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</si>
  <si>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</si>
  <si>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</si>
  <si>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</si>
  <si>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</si>
  <si>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</si>
  <si>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</si>
  <si>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</si>
  <si>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</si>
  <si>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</si>
  <si>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</si>
  <si>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</si>
  <si>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</si>
  <si>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</si>
  <si>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</si>
  <si>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</si>
  <si>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</si>
  <si>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</si>
  <si>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</si>
  <si>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</si>
  <si>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</si>
  <si>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</si>
  <si>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</si>
  <si>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</si>
  <si>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</si>
  <si>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</si>
  <si>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</si>
  <si>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</si>
  <si>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</si>
  <si>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</si>
  <si>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</si>
  <si>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</si>
  <si>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</si>
  <si>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</si>
  <si>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</si>
  <si>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</si>
  <si>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</si>
  <si>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</si>
  <si>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</si>
  <si>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</si>
  <si>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</si>
  <si>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</si>
  <si>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</si>
  <si>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</si>
  <si>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</si>
  <si>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</si>
  <si>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</si>
  <si>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</si>
  <si>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</si>
  <si>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</si>
  <si>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</si>
  <si>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</si>
  <si>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</si>
  <si>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</si>
  <si>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</si>
  <si>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</si>
  <si>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</si>
  <si>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</si>
  <si>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</si>
  <si>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</si>
  <si>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</si>
  <si>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</si>
  <si>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</si>
  <si>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</si>
  <si>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</si>
  <si>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</si>
  <si>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</si>
  <si>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</si>
  <si>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</si>
  <si>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</si>
  <si>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</si>
  <si>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</si>
  <si>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</si>
  <si>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</si>
  <si>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</si>
  <si>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</si>
  <si>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</si>
  <si>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</si>
  <si>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</si>
  <si>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</si>
  <si>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</si>
  <si>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</si>
  <si>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</si>
  <si>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</si>
  <si>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</si>
  <si>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</si>
  <si>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</si>
  <si>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</si>
  <si>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</si>
  <si>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</si>
  <si>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</si>
  <si>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</si>
  <si>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</si>
  <si>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</si>
  <si>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</si>
  <si>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</si>
  <si>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</si>
  <si>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</si>
  <si>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</si>
  <si>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</si>
  <si>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</si>
  <si>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</si>
  <si>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</si>
  <si>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</si>
  <si>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</si>
  <si>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</si>
  <si>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</si>
  <si>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</si>
  <si>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</si>
  <si>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</si>
  <si>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</si>
  <si>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</si>
  <si>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</si>
  <si>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</si>
  <si>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</si>
  <si>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</si>
  <si>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</si>
  <si>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</si>
  <si>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</si>
  <si>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</si>
  <si>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</si>
  <si>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</si>
  <si>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</si>
  <si>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</si>
  <si>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</si>
  <si>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</si>
  <si>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</si>
  <si>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</si>
  <si>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</si>
  <si>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</si>
  <si>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</si>
  <si>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</si>
  <si>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</si>
  <si>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</si>
  <si>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</si>
  <si>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</si>
  <si>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</si>
  <si>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</si>
  <si>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</si>
  <si>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</si>
  <si>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</si>
  <si>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</si>
  <si>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</si>
  <si>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</si>
  <si>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</si>
  <si>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</si>
  <si>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</si>
  <si>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</si>
  <si>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</si>
  <si>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</si>
  <si>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</si>
  <si>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</si>
  <si>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</si>
  <si>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</si>
  <si>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</si>
  <si>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</si>
  <si>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</si>
  <si>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</si>
  <si>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</si>
  <si>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</si>
  <si>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</si>
  <si>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</si>
  <si>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</si>
  <si>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</si>
  <si>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</si>
  <si>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</si>
  <si>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</si>
  <si>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</si>
  <si>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</si>
  <si>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</si>
  <si>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</si>
  <si>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</si>
  <si>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</si>
  <si>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</si>
  <si>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</si>
  <si>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</si>
  <si>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</si>
  <si>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</si>
  <si>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</si>
  <si>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</si>
  <si>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</si>
  <si>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</si>
  <si>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</si>
  <si>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</si>
  <si>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</si>
  <si>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</si>
  <si>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</si>
  <si>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</si>
  <si>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</si>
  <si>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</si>
  <si>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</si>
  <si>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</si>
  <si>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ut21</t>
  </si>
  <si>
    <t>寻宝秘境-秘境领主</t>
  </si>
  <si>
    <t>ut30</t>
  </si>
  <si>
    <t>万魔窟-领主1</t>
  </si>
  <si>
    <t>ut31</t>
  </si>
  <si>
    <t>万魔窟-领主2</t>
  </si>
  <si>
    <t>ut32</t>
  </si>
  <si>
    <t>万魔窟-领主3</t>
  </si>
  <si>
    <t>ut33</t>
  </si>
  <si>
    <t>万魔窟-领主4</t>
  </si>
  <si>
    <t>ut34</t>
  </si>
  <si>
    <t>万魔窟-领主5</t>
  </si>
  <si>
    <t>ut35</t>
  </si>
  <si>
    <t>万魔窟-领主6</t>
  </si>
  <si>
    <t>ut40</t>
  </si>
  <si>
    <t>万魔窟-小怪1</t>
  </si>
  <si>
    <t>ut41</t>
  </si>
  <si>
    <t>万魔窟-小怪2</t>
  </si>
  <si>
    <t>ut42</t>
  </si>
  <si>
    <t>万魔窟-小怪3</t>
  </si>
  <si>
    <t>ut43</t>
  </si>
  <si>
    <t>万魔窟-小怪4</t>
  </si>
  <si>
    <t>ut44</t>
  </si>
  <si>
    <t>万魔窟-小怪5</t>
  </si>
  <si>
    <t>ut45</t>
  </si>
  <si>
    <t>万魔窟-小怪6</t>
  </si>
  <si>
    <t>ut46</t>
  </si>
  <si>
    <t>万魔窟-小怪7</t>
  </si>
  <si>
    <t>ut47</t>
  </si>
  <si>
    <t>万魔窟-小怪8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</si>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</sst>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_ "/>
  </numFmts>
  <fonts count="31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0006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0"/>
      <color theme="1"/>
      <name val="微软雅黑"/>
      <charset val="134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1">
    <xf numFmtId="0" fontId="0" fillId="0" borderId="0"/>
    <xf numFmtId="42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2" fillId="15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1" borderId="8" applyNumberFormat="0" applyFont="0" applyAlignment="0" applyProtection="0">
      <alignment vertical="center"/>
    </xf>
    <xf numFmtId="0" fontId="10" fillId="25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18" fillId="0" borderId="4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20" fillId="0" borderId="7" applyNumberFormat="0" applyFill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9" fillId="8" borderId="10" applyNumberFormat="0" applyAlignment="0" applyProtection="0">
      <alignment vertical="center"/>
    </xf>
    <xf numFmtId="0" fontId="12" fillId="8" borderId="3" applyNumberFormat="0" applyAlignment="0" applyProtection="0">
      <alignment vertical="center"/>
    </xf>
    <xf numFmtId="0" fontId="17" fillId="11" borderId="5" applyNumberFormat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6" fillId="23" borderId="0" applyNumberFormat="0" applyBorder="0" applyAlignment="0" applyProtection="0">
      <alignment vertical="center"/>
    </xf>
    <xf numFmtId="0" fontId="11" fillId="28" borderId="0" applyNumberFormat="0" applyBorder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1" fillId="17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11" fillId="16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11" fillId="6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11" fillId="33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0" fillId="0" borderId="0"/>
  </cellStyleXfs>
  <cellXfs count="53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50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7" fillId="2" borderId="0" xfId="0" applyFont="1" applyFill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9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4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1" fillId="3" borderId="0" xfId="0" applyNumberFormat="1" applyFont="1" applyFill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  <cellStyle name="常规 2" xfId="50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800100</xdr:colOff>
          <xdr:row>1</xdr:row>
          <xdr:rowOff>76200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800100" cy="2667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281940</xdr:colOff>
          <xdr:row>3</xdr:row>
          <xdr:rowOff>0</xdr:rowOff>
        </xdr:from>
        <xdr:to>
          <xdr:col>1</xdr:col>
          <xdr:colOff>0</xdr:colOff>
          <xdr:row>3</xdr:row>
          <xdr:rowOff>7620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281940" y="545465"/>
              <a:ext cx="1175385" cy="762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U349"/>
  <sheetViews>
    <sheetView tabSelected="1" workbookViewId="0">
      <pane xSplit="6" ySplit="2" topLeftCell="G180" activePane="bottomRight" state="frozen"/>
      <selection/>
      <selection pane="topRight"/>
      <selection pane="bottomLeft"/>
      <selection pane="bottomRight" activeCell="G192" sqref="G192"/>
    </sheetView>
  </sheetViews>
  <sheetFormatPr defaultColWidth="9" defaultRowHeight="15"/>
  <cols>
    <col min="1" max="1" width="21.25" style="8" customWidth="1"/>
    <col min="2" max="2" width="9" style="8"/>
    <col min="3" max="3" width="9" style="8" customWidth="1"/>
    <col min="4" max="4" width="14.1296296296296" style="8" customWidth="1"/>
    <col min="5" max="5" width="30" style="9" customWidth="1"/>
    <col min="6" max="6" width="20.8796296296296" style="9" hidden="1" customWidth="1"/>
    <col min="7" max="7" width="13.8796296296296" style="5" customWidth="1"/>
    <col min="8" max="8" width="27.5" style="8" customWidth="1"/>
    <col min="9" max="9" width="10.3796296296296" style="8" customWidth="1"/>
    <col min="10" max="10" width="32.75" style="8" customWidth="1"/>
    <col min="11" max="11" width="16.3796296296296" style="8" customWidth="1"/>
    <col min="12" max="13" width="10.3796296296296" style="8" customWidth="1"/>
    <col min="14" max="14" width="61.6296296296296" style="8" customWidth="1"/>
    <col min="15" max="15" width="55" style="8" customWidth="1"/>
    <col min="16" max="17" width="14.8796296296296" style="8" customWidth="1"/>
    <col min="18" max="20" width="5.62962962962963" style="8" customWidth="1"/>
    <col min="21" max="22" width="16.75" style="8" customWidth="1"/>
    <col min="23" max="23" width="14.3796296296296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96296296296" style="8" customWidth="1"/>
    <col min="29" max="29" width="11.1296296296296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96296296296" style="8" customWidth="1"/>
    <col min="37" max="41" width="13" style="8" customWidth="1"/>
    <col min="42" max="46" width="12.3796296296296" style="8" customWidth="1"/>
    <col min="47" max="47" width="10" style="8" customWidth="1"/>
    <col min="48" max="48" width="9" style="8"/>
    <col min="49" max="49" width="13.5" style="8" customWidth="1"/>
    <col min="50" max="50" width="16.6296296296296" style="8" customWidth="1"/>
    <col min="51" max="54" width="19.5" style="8" customWidth="1"/>
    <col min="55" max="60" width="14.3796296296296" style="8" customWidth="1"/>
    <col min="61" max="61" width="12.3796296296296" style="8" customWidth="1"/>
    <col min="62" max="16384" width="9" style="8"/>
  </cols>
  <sheetData>
    <row r="1" s="5" customFormat="1" spans="1:73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="5" customFormat="1" spans="1:73">
      <c r="A2" s="9">
        <f>COUNTA(B:B)+1</f>
        <v>331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="5" customFormat="1" ht="12.95" customHeight="1" spans="2:7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="5" customFormat="1" spans="2:7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="5" customFormat="1" spans="2:7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3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="5" customFormat="1" spans="2:7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="5" customFormat="1" spans="2:7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="5" customFormat="1" spans="2:7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3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="5" customFormat="1" spans="2:7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3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="5" customFormat="1" spans="2:7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="5" customFormat="1" spans="2:7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="5" customFormat="1" spans="2:7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="5" customFormat="1" spans="2:7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3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="5" customFormat="1" spans="2:7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="5" customFormat="1" spans="2:7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="5" customFormat="1" spans="2:7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3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="5" customFormat="1" spans="2:7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3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="5" customFormat="1" spans="2:7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="5" customFormat="1" spans="2:7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="5" customFormat="1" spans="2:7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="5" customFormat="1" spans="2:7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="5" customFormat="1" spans="2:7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="5" customFormat="1" spans="2:7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3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="5" customFormat="1" spans="2:7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="5" customFormat="1" spans="2:7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="5" customFormat="1" spans="2:7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="5" customFormat="1" spans="2:7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="5" customFormat="1" spans="2:7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="5" customFormat="1" spans="2:7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="5" customFormat="1" spans="2:7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="5" customFormat="1" spans="2:7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3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="5" customFormat="1" spans="2:7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3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="5" customFormat="1" spans="2:7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3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="6" customFormat="1" spans="2:69">
      <c r="B34" s="16" t="s">
        <v>281</v>
      </c>
      <c r="C34" s="6" t="s">
        <v>71</v>
      </c>
      <c r="D34" s="16" t="s">
        <v>282</v>
      </c>
      <c r="E34" s="17" t="s">
        <v>283</v>
      </c>
      <c r="F34" s="18"/>
      <c r="G34" s="16" t="s">
        <v>284</v>
      </c>
      <c r="H34" s="16"/>
      <c r="I34" s="16" t="s">
        <v>285</v>
      </c>
      <c r="J34" s="16"/>
      <c r="K34" s="16"/>
      <c r="L34" s="16">
        <v>0</v>
      </c>
      <c r="M34" s="16">
        <v>0</v>
      </c>
      <c r="N34" s="16"/>
      <c r="O34" s="16" t="s">
        <v>286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3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="6" customFormat="1" spans="2:69">
      <c r="B35" s="16" t="s">
        <v>287</v>
      </c>
      <c r="C35" s="6" t="s">
        <v>71</v>
      </c>
      <c r="D35" s="16" t="s">
        <v>282</v>
      </c>
      <c r="E35" s="19" t="s">
        <v>288</v>
      </c>
      <c r="F35" s="18"/>
      <c r="G35" s="16" t="s">
        <v>284</v>
      </c>
      <c r="H35" s="16"/>
      <c r="I35" s="16" t="s">
        <v>285</v>
      </c>
      <c r="J35" s="16"/>
      <c r="K35" s="16"/>
      <c r="L35" s="16">
        <v>0</v>
      </c>
      <c r="M35" s="16">
        <v>0</v>
      </c>
      <c r="N35" s="16"/>
      <c r="O35" s="16" t="s">
        <v>289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290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3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="6" customFormat="1" spans="2:69">
      <c r="B36" s="16" t="s">
        <v>291</v>
      </c>
      <c r="C36" s="6" t="s">
        <v>71</v>
      </c>
      <c r="D36" s="16" t="s">
        <v>282</v>
      </c>
      <c r="E36" s="17" t="s">
        <v>292</v>
      </c>
      <c r="F36" s="18"/>
      <c r="G36" s="16" t="s">
        <v>284</v>
      </c>
      <c r="H36" s="16"/>
      <c r="I36" s="16" t="s">
        <v>285</v>
      </c>
      <c r="J36" s="16"/>
      <c r="K36" s="16"/>
      <c r="L36" s="16">
        <v>0</v>
      </c>
      <c r="M36" s="16">
        <v>0</v>
      </c>
      <c r="N36" s="16"/>
      <c r="O36" s="16" t="s">
        <v>286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3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="6" customFormat="1" spans="2:69">
      <c r="B37" s="16" t="s">
        <v>293</v>
      </c>
      <c r="C37" s="6" t="s">
        <v>71</v>
      </c>
      <c r="D37" s="16" t="s">
        <v>282</v>
      </c>
      <c r="E37" s="19" t="s">
        <v>294</v>
      </c>
      <c r="F37" s="18"/>
      <c r="G37" s="16" t="s">
        <v>284</v>
      </c>
      <c r="H37" s="16"/>
      <c r="I37" s="16" t="s">
        <v>285</v>
      </c>
      <c r="J37" s="16"/>
      <c r="K37" s="16"/>
      <c r="L37" s="16">
        <v>0</v>
      </c>
      <c r="M37" s="16">
        <v>0</v>
      </c>
      <c r="N37" s="16"/>
      <c r="O37" s="16" t="s">
        <v>289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290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3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="6" customFormat="1" spans="2:69">
      <c r="B38" s="16" t="s">
        <v>295</v>
      </c>
      <c r="C38" s="6" t="s">
        <v>71</v>
      </c>
      <c r="D38" s="16" t="s">
        <v>282</v>
      </c>
      <c r="E38" s="17" t="s">
        <v>296</v>
      </c>
      <c r="F38" s="18"/>
      <c r="G38" s="16" t="s">
        <v>284</v>
      </c>
      <c r="H38" s="16"/>
      <c r="I38" s="16" t="s">
        <v>285</v>
      </c>
      <c r="J38" s="16"/>
      <c r="K38" s="16"/>
      <c r="L38" s="16">
        <v>0</v>
      </c>
      <c r="M38" s="16">
        <v>0</v>
      </c>
      <c r="N38" s="16"/>
      <c r="O38" s="16" t="s">
        <v>286</v>
      </c>
      <c r="P38" s="16">
        <v>1.1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3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="6" customFormat="1" spans="2:69">
      <c r="B39" s="16" t="s">
        <v>297</v>
      </c>
      <c r="C39" s="6" t="s">
        <v>71</v>
      </c>
      <c r="D39" s="16" t="s">
        <v>282</v>
      </c>
      <c r="E39" s="19" t="s">
        <v>298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289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290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3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="6" customFormat="1" ht="15.6" spans="2:69">
      <c r="B40" s="16" t="s">
        <v>299</v>
      </c>
      <c r="C40" s="6" t="s">
        <v>71</v>
      </c>
      <c r="D40" s="16" t="s">
        <v>282</v>
      </c>
      <c r="E40" s="17" t="s">
        <v>300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301</v>
      </c>
      <c r="P40" s="16">
        <v>1.1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3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="6" customFormat="1" spans="2:69">
      <c r="B41" s="16" t="s">
        <v>302</v>
      </c>
      <c r="C41" s="6" t="s">
        <v>71</v>
      </c>
      <c r="D41" s="16" t="s">
        <v>282</v>
      </c>
      <c r="E41" s="20" t="s">
        <v>303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304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3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="6" customFormat="1" spans="2:69">
      <c r="B42" s="16" t="s">
        <v>305</v>
      </c>
      <c r="C42" s="6" t="s">
        <v>71</v>
      </c>
      <c r="D42" s="16" t="s">
        <v>282</v>
      </c>
      <c r="E42" s="18" t="s">
        <v>306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301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3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="6" customFormat="1" spans="2:69">
      <c r="B43" s="16" t="s">
        <v>307</v>
      </c>
      <c r="C43" s="6" t="s">
        <v>71</v>
      </c>
      <c r="D43" s="16" t="s">
        <v>282</v>
      </c>
      <c r="E43" s="20" t="s">
        <v>308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304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3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="6" customFormat="1" spans="2:69">
      <c r="B44" s="16" t="s">
        <v>309</v>
      </c>
      <c r="C44" s="6" t="s">
        <v>71</v>
      </c>
      <c r="D44" s="16" t="s">
        <v>282</v>
      </c>
      <c r="E44" s="18" t="s">
        <v>310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311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3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="6" customFormat="1" spans="2:69">
      <c r="B45" s="16" t="s">
        <v>312</v>
      </c>
      <c r="C45" s="6" t="s">
        <v>71</v>
      </c>
      <c r="D45" s="16" t="s">
        <v>282</v>
      </c>
      <c r="E45" s="20" t="s">
        <v>313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304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3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="6" customFormat="1" spans="2:69">
      <c r="B46" s="16" t="s">
        <v>314</v>
      </c>
      <c r="C46" s="6" t="s">
        <v>71</v>
      </c>
      <c r="D46" s="16" t="s">
        <v>282</v>
      </c>
      <c r="E46" s="21" t="s">
        <v>315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3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="6" customFormat="1" spans="2:69">
      <c r="B47" s="16" t="s">
        <v>316</v>
      </c>
      <c r="C47" s="6" t="s">
        <v>71</v>
      </c>
      <c r="D47" s="16" t="s">
        <v>282</v>
      </c>
      <c r="E47" s="22" t="s">
        <v>317</v>
      </c>
      <c r="F47" s="23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318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319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3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="6" customFormat="1" spans="2:69">
      <c r="B48" s="16" t="s">
        <v>320</v>
      </c>
      <c r="C48" s="6" t="s">
        <v>71</v>
      </c>
      <c r="D48" s="16" t="s">
        <v>282</v>
      </c>
      <c r="E48" s="21" t="s">
        <v>321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322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3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0.58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="6" customFormat="1" spans="2:69">
      <c r="B49" s="16" t="s">
        <v>323</v>
      </c>
      <c r="C49" s="6" t="s">
        <v>71</v>
      </c>
      <c r="D49" s="16" t="s">
        <v>282</v>
      </c>
      <c r="E49" s="22" t="s">
        <v>324</v>
      </c>
      <c r="F49" s="23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325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326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3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="6" customFormat="1" spans="2:69">
      <c r="B50" s="16" t="s">
        <v>327</v>
      </c>
      <c r="C50" s="6" t="s">
        <v>71</v>
      </c>
      <c r="D50" s="16" t="s">
        <v>282</v>
      </c>
      <c r="E50" s="21" t="s">
        <v>328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329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3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="6" customFormat="1" spans="2:69">
      <c r="B51" s="16" t="s">
        <v>330</v>
      </c>
      <c r="C51" s="6" t="s">
        <v>71</v>
      </c>
      <c r="D51" s="16" t="s">
        <v>282</v>
      </c>
      <c r="E51" s="20" t="s">
        <v>331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4" t="s">
        <v>332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333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3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="6" customFormat="1" spans="2:69">
      <c r="B52" s="16" t="s">
        <v>334</v>
      </c>
      <c r="C52" s="6" t="s">
        <v>71</v>
      </c>
      <c r="D52" s="16" t="s">
        <v>282</v>
      </c>
      <c r="E52" s="21" t="s">
        <v>335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336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3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="6" customFormat="1" spans="2:69">
      <c r="B53" s="16" t="s">
        <v>337</v>
      </c>
      <c r="C53" s="6" t="s">
        <v>71</v>
      </c>
      <c r="D53" s="16" t="s">
        <v>282</v>
      </c>
      <c r="E53" s="20" t="s">
        <v>338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339</v>
      </c>
      <c r="P53" s="16">
        <v>1.1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340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3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="6" customFormat="1" spans="2:69">
      <c r="B54" s="16" t="s">
        <v>341</v>
      </c>
      <c r="C54" s="6" t="s">
        <v>71</v>
      </c>
      <c r="D54" s="16" t="s">
        <v>282</v>
      </c>
      <c r="E54" s="20" t="s">
        <v>342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343</v>
      </c>
      <c r="P54" s="16">
        <v>1.1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344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3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="6" customFormat="1" spans="2:69">
      <c r="B55" s="16" t="s">
        <v>345</v>
      </c>
      <c r="C55" s="6" t="s">
        <v>71</v>
      </c>
      <c r="D55" s="16" t="s">
        <v>282</v>
      </c>
      <c r="E55" s="21" t="s">
        <v>346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347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3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="6" customFormat="1" spans="2:69">
      <c r="B56" s="16" t="s">
        <v>348</v>
      </c>
      <c r="C56" s="6" t="s">
        <v>71</v>
      </c>
      <c r="D56" s="16" t="s">
        <v>282</v>
      </c>
      <c r="E56" s="21" t="s">
        <v>349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350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3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="6" customFormat="1" spans="2:69">
      <c r="B57" s="16" t="s">
        <v>351</v>
      </c>
      <c r="C57" s="6" t="s">
        <v>71</v>
      </c>
      <c r="D57" s="16" t="s">
        <v>282</v>
      </c>
      <c r="E57" s="20" t="s">
        <v>352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353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3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="6" customFormat="1" spans="2:69">
      <c r="B58" s="16" t="s">
        <v>354</v>
      </c>
      <c r="C58" s="6" t="s">
        <v>71</v>
      </c>
      <c r="D58" s="16" t="s">
        <v>282</v>
      </c>
      <c r="E58" s="21" t="s">
        <v>355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356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357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4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="6" customFormat="1" spans="2:69">
      <c r="B59" s="16" t="s">
        <v>358</v>
      </c>
      <c r="C59" s="6" t="s">
        <v>71</v>
      </c>
      <c r="D59" s="16" t="s">
        <v>282</v>
      </c>
      <c r="E59" s="21" t="s">
        <v>359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356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3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="6" customFormat="1" spans="2:69">
      <c r="B60" s="16" t="s">
        <v>361</v>
      </c>
      <c r="C60" s="6" t="s">
        <v>71</v>
      </c>
      <c r="D60" s="16" t="s">
        <v>282</v>
      </c>
      <c r="E60" s="21" t="s">
        <v>362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356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3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="6" customFormat="1" spans="2:69">
      <c r="B61" s="16" t="s">
        <v>363</v>
      </c>
      <c r="C61" s="6" t="s">
        <v>71</v>
      </c>
      <c r="D61" s="16" t="s">
        <v>282</v>
      </c>
      <c r="E61" s="21" t="s">
        <v>364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356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3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="6" customFormat="1" spans="2:69">
      <c r="B62" s="16" t="s">
        <v>365</v>
      </c>
      <c r="C62" s="6" t="s">
        <v>71</v>
      </c>
      <c r="D62" s="16" t="s">
        <v>282</v>
      </c>
      <c r="E62" s="21" t="s">
        <v>366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367</v>
      </c>
      <c r="P62" s="16">
        <v>1.1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3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="6" customFormat="1" spans="2:69">
      <c r="B63" s="16" t="s">
        <v>368</v>
      </c>
      <c r="C63" s="6" t="s">
        <v>71</v>
      </c>
      <c r="D63" s="16" t="s">
        <v>282</v>
      </c>
      <c r="E63" s="21" t="s">
        <v>369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367</v>
      </c>
      <c r="P63" s="16">
        <v>1.1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360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3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="6" customFormat="1" spans="2:69">
      <c r="B64" s="16" t="s">
        <v>370</v>
      </c>
      <c r="C64" s="6" t="s">
        <v>71</v>
      </c>
      <c r="D64" s="16" t="s">
        <v>282</v>
      </c>
      <c r="E64" s="20" t="s">
        <v>371</v>
      </c>
      <c r="F64" s="24"/>
      <c r="G64" s="16" t="s">
        <v>284</v>
      </c>
      <c r="H64" s="16"/>
      <c r="I64" s="16" t="s">
        <v>285</v>
      </c>
      <c r="J64" s="16" t="s">
        <v>372</v>
      </c>
      <c r="K64" s="16"/>
      <c r="L64" s="16">
        <v>0</v>
      </c>
      <c r="M64" s="16">
        <v>0</v>
      </c>
      <c r="N64" s="16"/>
      <c r="O64" s="16" t="s">
        <v>373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374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3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="6" customFormat="1" spans="2:69">
      <c r="B65" s="16" t="s">
        <v>375</v>
      </c>
      <c r="C65" s="6" t="s">
        <v>71</v>
      </c>
      <c r="D65" s="16" t="s">
        <v>282</v>
      </c>
      <c r="E65" s="20" t="s">
        <v>376</v>
      </c>
      <c r="F65" s="24"/>
      <c r="G65" s="16" t="s">
        <v>284</v>
      </c>
      <c r="H65" s="16"/>
      <c r="I65" s="16" t="s">
        <v>285</v>
      </c>
      <c r="J65" s="16" t="s">
        <v>372</v>
      </c>
      <c r="K65" s="16"/>
      <c r="L65" s="16">
        <v>0</v>
      </c>
      <c r="M65" s="16">
        <v>0</v>
      </c>
      <c r="N65" s="16"/>
      <c r="O65" s="16" t="s">
        <v>373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374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3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="6" customFormat="1" spans="2:69">
      <c r="B66" s="16" t="s">
        <v>377</v>
      </c>
      <c r="C66" s="6" t="s">
        <v>71</v>
      </c>
      <c r="D66" s="16" t="s">
        <v>282</v>
      </c>
      <c r="E66" s="20" t="s">
        <v>378</v>
      </c>
      <c r="F66" s="24"/>
      <c r="G66" s="16" t="s">
        <v>284</v>
      </c>
      <c r="H66" s="16"/>
      <c r="I66" s="16" t="s">
        <v>285</v>
      </c>
      <c r="J66" s="16" t="s">
        <v>372</v>
      </c>
      <c r="K66" s="16"/>
      <c r="L66" s="16">
        <v>0</v>
      </c>
      <c r="M66" s="16">
        <v>0</v>
      </c>
      <c r="N66" s="16"/>
      <c r="O66" s="16" t="s">
        <v>373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3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="6" customFormat="1" spans="2:69">
      <c r="B67" s="16" t="s">
        <v>379</v>
      </c>
      <c r="C67" s="6" t="s">
        <v>71</v>
      </c>
      <c r="D67" s="16" t="s">
        <v>282</v>
      </c>
      <c r="E67" s="20" t="s">
        <v>380</v>
      </c>
      <c r="F67" s="24"/>
      <c r="G67" s="16" t="s">
        <v>284</v>
      </c>
      <c r="H67" s="16"/>
      <c r="I67" s="16" t="s">
        <v>285</v>
      </c>
      <c r="J67" s="16" t="s">
        <v>372</v>
      </c>
      <c r="K67" s="16"/>
      <c r="L67" s="16">
        <v>0</v>
      </c>
      <c r="M67" s="16">
        <v>0</v>
      </c>
      <c r="N67" s="16"/>
      <c r="O67" s="16" t="s">
        <v>373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3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="6" customFormat="1" spans="2:69">
      <c r="B68" s="16" t="s">
        <v>381</v>
      </c>
      <c r="C68" s="6" t="s">
        <v>71</v>
      </c>
      <c r="D68" s="16" t="s">
        <v>282</v>
      </c>
      <c r="E68" s="20" t="s">
        <v>382</v>
      </c>
      <c r="F68" s="24"/>
      <c r="G68" s="16" t="s">
        <v>284</v>
      </c>
      <c r="H68" s="16"/>
      <c r="I68" s="16" t="s">
        <v>285</v>
      </c>
      <c r="J68" s="16" t="s">
        <v>372</v>
      </c>
      <c r="K68" s="16"/>
      <c r="L68" s="16">
        <v>0</v>
      </c>
      <c r="M68" s="16">
        <v>0</v>
      </c>
      <c r="N68" s="16"/>
      <c r="O68" s="16" t="s">
        <v>373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374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3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="6" customFormat="1" spans="2:69">
      <c r="B69" s="16" t="s">
        <v>383</v>
      </c>
      <c r="C69" s="6" t="s">
        <v>71</v>
      </c>
      <c r="D69" s="16" t="s">
        <v>282</v>
      </c>
      <c r="E69" s="20" t="s">
        <v>384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3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="6" customFormat="1" spans="2:69">
      <c r="B70" s="16" t="s">
        <v>385</v>
      </c>
      <c r="C70" s="6" t="s">
        <v>71</v>
      </c>
      <c r="D70" s="16" t="s">
        <v>282</v>
      </c>
      <c r="E70" s="20" t="s">
        <v>386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3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="6" customFormat="1" spans="2:69">
      <c r="B71" s="16" t="s">
        <v>387</v>
      </c>
      <c r="C71" s="6" t="s">
        <v>71</v>
      </c>
      <c r="D71" s="16" t="s">
        <v>282</v>
      </c>
      <c r="E71" s="20" t="s">
        <v>388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3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="6" customFormat="1" spans="2:69">
      <c r="B72" s="16" t="s">
        <v>389</v>
      </c>
      <c r="C72" s="6" t="s">
        <v>71</v>
      </c>
      <c r="D72" s="16" t="s">
        <v>282</v>
      </c>
      <c r="E72" s="20" t="s">
        <v>390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3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="5" customFormat="1" spans="2:69">
      <c r="B73" s="16" t="s">
        <v>391</v>
      </c>
      <c r="C73" s="5" t="s">
        <v>71</v>
      </c>
      <c r="D73" s="10" t="s">
        <v>142</v>
      </c>
      <c r="E73" s="32" t="s">
        <v>392</v>
      </c>
      <c r="F73" s="24"/>
      <c r="G73" s="10" t="s">
        <v>393</v>
      </c>
      <c r="H73" s="10" t="s">
        <v>394</v>
      </c>
      <c r="I73" s="10" t="s">
        <v>145</v>
      </c>
      <c r="J73" s="12" t="s">
        <v>395</v>
      </c>
      <c r="K73" s="10"/>
      <c r="L73" s="10">
        <v>0</v>
      </c>
      <c r="M73" s="10">
        <v>0</v>
      </c>
      <c r="N73" s="10"/>
      <c r="O73" s="10" t="s">
        <v>396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5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="5" customFormat="1" spans="2:69">
      <c r="B74" s="16" t="s">
        <v>397</v>
      </c>
      <c r="C74" s="5" t="s">
        <v>71</v>
      </c>
      <c r="D74" s="10" t="s">
        <v>142</v>
      </c>
      <c r="E74" t="s">
        <v>398</v>
      </c>
      <c r="F74" s="24"/>
      <c r="G74" s="10" t="s">
        <v>393</v>
      </c>
      <c r="H74" s="10" t="s">
        <v>394</v>
      </c>
      <c r="I74" s="10" t="s">
        <v>145</v>
      </c>
      <c r="J74" s="12" t="s">
        <v>399</v>
      </c>
      <c r="K74" s="10"/>
      <c r="L74" s="10">
        <v>0</v>
      </c>
      <c r="M74" s="10">
        <v>0</v>
      </c>
      <c r="N74" s="10"/>
      <c r="O74" s="10" t="s">
        <v>400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5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="5" customFormat="1" spans="2:69">
      <c r="B75" s="16" t="s">
        <v>401</v>
      </c>
      <c r="C75" s="5" t="s">
        <v>71</v>
      </c>
      <c r="D75" s="10" t="s">
        <v>142</v>
      </c>
      <c r="E75" t="s">
        <v>402</v>
      </c>
      <c r="F75" s="24"/>
      <c r="G75" s="10" t="s">
        <v>393</v>
      </c>
      <c r="H75" s="10" t="s">
        <v>394</v>
      </c>
      <c r="I75" s="10" t="s">
        <v>145</v>
      </c>
      <c r="J75" s="12" t="s">
        <v>403</v>
      </c>
      <c r="K75" s="10"/>
      <c r="L75" s="10">
        <v>0</v>
      </c>
      <c r="M75" s="10">
        <v>0</v>
      </c>
      <c r="N75" s="10"/>
      <c r="O75" s="10" t="s">
        <v>404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5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="5" customFormat="1" spans="2:69">
      <c r="B76" s="16" t="s">
        <v>405</v>
      </c>
      <c r="C76" s="5" t="s">
        <v>71</v>
      </c>
      <c r="D76" s="10" t="s">
        <v>142</v>
      </c>
      <c r="E76" t="s">
        <v>406</v>
      </c>
      <c r="F76" s="24"/>
      <c r="G76" s="10" t="s">
        <v>393</v>
      </c>
      <c r="H76" s="10" t="s">
        <v>394</v>
      </c>
      <c r="I76" s="10" t="s">
        <v>145</v>
      </c>
      <c r="J76" s="12" t="s">
        <v>407</v>
      </c>
      <c r="K76" s="10"/>
      <c r="L76" s="10">
        <v>0</v>
      </c>
      <c r="M76" s="10">
        <v>0</v>
      </c>
      <c r="N76" s="10"/>
      <c r="O76" s="10" t="s">
        <v>408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5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="5" customFormat="1" spans="2:69">
      <c r="B77" s="16" t="s">
        <v>409</v>
      </c>
      <c r="C77" s="5" t="s">
        <v>71</v>
      </c>
      <c r="D77" s="10" t="s">
        <v>142</v>
      </c>
      <c r="E77" t="s">
        <v>410</v>
      </c>
      <c r="F77" s="24"/>
      <c r="G77" s="10" t="s">
        <v>393</v>
      </c>
      <c r="H77" s="10" t="s">
        <v>394</v>
      </c>
      <c r="I77" s="10" t="s">
        <v>145</v>
      </c>
      <c r="J77" s="12" t="s">
        <v>411</v>
      </c>
      <c r="K77" s="10"/>
      <c r="L77" s="10">
        <v>0</v>
      </c>
      <c r="M77" s="10">
        <v>0</v>
      </c>
      <c r="N77" s="10"/>
      <c r="O77" s="10" t="s">
        <v>412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5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="5" customFormat="1" spans="2:69">
      <c r="B78" s="16" t="s">
        <v>413</v>
      </c>
      <c r="C78" s="5" t="s">
        <v>71</v>
      </c>
      <c r="D78" s="10" t="s">
        <v>142</v>
      </c>
      <c r="E78" s="33" t="s">
        <v>414</v>
      </c>
      <c r="F78" s="24"/>
      <c r="G78" s="10" t="s">
        <v>393</v>
      </c>
      <c r="H78" s="10" t="s">
        <v>394</v>
      </c>
      <c r="I78" s="10" t="s">
        <v>145</v>
      </c>
      <c r="J78" s="12" t="s">
        <v>415</v>
      </c>
      <c r="K78" s="10"/>
      <c r="L78" s="10">
        <v>0</v>
      </c>
      <c r="M78" s="10">
        <v>0</v>
      </c>
      <c r="N78" s="10"/>
      <c r="O78" s="10" t="s">
        <v>416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417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3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="5" customFormat="1" spans="2:69">
      <c r="B79" s="16" t="s">
        <v>418</v>
      </c>
      <c r="C79" s="5" t="s">
        <v>71</v>
      </c>
      <c r="D79" s="10" t="s">
        <v>142</v>
      </c>
      <c r="E79" t="s">
        <v>419</v>
      </c>
      <c r="F79" s="24"/>
      <c r="G79" s="10" t="s">
        <v>393</v>
      </c>
      <c r="H79" s="10" t="s">
        <v>394</v>
      </c>
      <c r="I79" s="10" t="s">
        <v>145</v>
      </c>
      <c r="J79" s="10" t="s">
        <v>420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5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="5" customFormat="1" spans="2:69">
      <c r="B80" s="16" t="s">
        <v>421</v>
      </c>
      <c r="C80" s="5" t="s">
        <v>71</v>
      </c>
      <c r="D80" s="10" t="s">
        <v>142</v>
      </c>
      <c r="E80" s="33" t="s">
        <v>422</v>
      </c>
      <c r="F80" s="24"/>
      <c r="G80" s="10" t="s">
        <v>393</v>
      </c>
      <c r="H80" s="10" t="s">
        <v>394</v>
      </c>
      <c r="I80" s="10" t="s">
        <v>145</v>
      </c>
      <c r="J80" s="10" t="s">
        <v>423</v>
      </c>
      <c r="K80" s="10"/>
      <c r="L80" s="10">
        <v>0</v>
      </c>
      <c r="M80" s="10">
        <v>0</v>
      </c>
      <c r="N80" s="10"/>
      <c r="O80" s="10" t="s">
        <v>424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425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3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="5" customFormat="1" spans="2:69">
      <c r="B81" s="16" t="s">
        <v>426</v>
      </c>
      <c r="C81" s="5" t="s">
        <v>71</v>
      </c>
      <c r="D81" s="10" t="s">
        <v>142</v>
      </c>
      <c r="E81" t="s">
        <v>427</v>
      </c>
      <c r="F81" s="24"/>
      <c r="G81" s="10" t="s">
        <v>393</v>
      </c>
      <c r="H81" s="10" t="s">
        <v>394</v>
      </c>
      <c r="I81" s="10" t="s">
        <v>145</v>
      </c>
      <c r="J81" s="10" t="s">
        <v>423</v>
      </c>
      <c r="K81" s="10"/>
      <c r="L81" s="10">
        <v>0</v>
      </c>
      <c r="M81" s="10">
        <v>0</v>
      </c>
      <c r="N81" s="10"/>
      <c r="O81" s="10" t="s">
        <v>428</v>
      </c>
      <c r="P81" s="10">
        <v>1.5</v>
      </c>
      <c r="Q81" s="10"/>
      <c r="R81" s="10"/>
      <c r="S81" s="10"/>
      <c r="T81" s="10"/>
      <c r="U81" s="10">
        <v>4</v>
      </c>
      <c r="V81" s="10">
        <v>8</v>
      </c>
      <c r="W81" s="16" t="s">
        <v>429</v>
      </c>
      <c r="X81" s="10">
        <v>450</v>
      </c>
      <c r="Y81" s="10">
        <v>1500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5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600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="5" customFormat="1" spans="2:69">
      <c r="B82" s="16" t="s">
        <v>430</v>
      </c>
      <c r="C82" s="5" t="s">
        <v>71</v>
      </c>
      <c r="D82" s="10" t="s">
        <v>142</v>
      </c>
      <c r="E82" t="s">
        <v>427</v>
      </c>
      <c r="F82" s="24"/>
      <c r="G82" s="10" t="s">
        <v>393</v>
      </c>
      <c r="H82" s="10" t="s">
        <v>394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5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250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="5" customFormat="1" spans="2:69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393</v>
      </c>
      <c r="H83" s="10" t="s">
        <v>394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429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5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="5" customFormat="1" spans="2:69">
      <c r="B84" s="16" t="s">
        <v>436</v>
      </c>
      <c r="C84" s="5" t="s">
        <v>71</v>
      </c>
      <c r="D84" s="10" t="s">
        <v>142</v>
      </c>
      <c r="E84" t="s">
        <v>437</v>
      </c>
      <c r="F84" s="24"/>
      <c r="G84" s="10" t="s">
        <v>393</v>
      </c>
      <c r="H84" s="10" t="s">
        <v>394</v>
      </c>
      <c r="I84" s="10" t="s">
        <v>145</v>
      </c>
      <c r="J84" s="10" t="s">
        <v>438</v>
      </c>
      <c r="K84" s="10"/>
      <c r="L84" s="10">
        <v>0</v>
      </c>
      <c r="M84" s="10">
        <v>0</v>
      </c>
      <c r="N84" s="10"/>
      <c r="O84" s="10" t="s">
        <v>439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5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="5" customFormat="1" spans="2:69">
      <c r="B85" s="16" t="s">
        <v>440</v>
      </c>
      <c r="C85" s="5" t="s">
        <v>71</v>
      </c>
      <c r="D85" s="10" t="s">
        <v>142</v>
      </c>
      <c r="E85" t="s">
        <v>441</v>
      </c>
      <c r="F85" s="24"/>
      <c r="G85" s="10" t="s">
        <v>393</v>
      </c>
      <c r="H85" s="10" t="s">
        <v>394</v>
      </c>
      <c r="I85" s="10" t="s">
        <v>145</v>
      </c>
      <c r="J85" s="10" t="s">
        <v>442</v>
      </c>
      <c r="K85" s="10"/>
      <c r="L85" s="10">
        <v>0</v>
      </c>
      <c r="M85" s="10">
        <v>0</v>
      </c>
      <c r="N85" s="10"/>
      <c r="O85" s="10" t="s">
        <v>443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5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="5" customFormat="1" spans="2:69">
      <c r="B86" s="16" t="s">
        <v>444</v>
      </c>
      <c r="C86" s="5" t="s">
        <v>71</v>
      </c>
      <c r="D86" s="10" t="s">
        <v>142</v>
      </c>
      <c r="E86" t="s">
        <v>445</v>
      </c>
      <c r="F86" s="24"/>
      <c r="G86" s="10" t="s">
        <v>393</v>
      </c>
      <c r="H86" s="10" t="s">
        <v>394</v>
      </c>
      <c r="I86" s="10" t="s">
        <v>145</v>
      </c>
      <c r="J86" s="10" t="s">
        <v>446</v>
      </c>
      <c r="K86" s="10"/>
      <c r="L86" s="10">
        <v>0</v>
      </c>
      <c r="M86" s="10">
        <v>0</v>
      </c>
      <c r="N86" s="10"/>
      <c r="O86" s="10" t="s">
        <v>447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5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="5" customFormat="1" spans="2:69">
      <c r="B87" s="16" t="s">
        <v>448</v>
      </c>
      <c r="C87" s="5" t="s">
        <v>71</v>
      </c>
      <c r="D87" s="10" t="s">
        <v>142</v>
      </c>
      <c r="E87" t="s">
        <v>449</v>
      </c>
      <c r="F87" s="24"/>
      <c r="G87" s="10" t="s">
        <v>393</v>
      </c>
      <c r="H87" s="10" t="s">
        <v>394</v>
      </c>
      <c r="I87" s="10" t="s">
        <v>145</v>
      </c>
      <c r="J87" s="10" t="s">
        <v>450</v>
      </c>
      <c r="K87" s="10"/>
      <c r="L87" s="10">
        <v>0</v>
      </c>
      <c r="M87" s="10">
        <v>0</v>
      </c>
      <c r="N87" s="10"/>
      <c r="O87" s="10" t="s">
        <v>451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5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="5" customFormat="1" customHeight="1" spans="2:69">
      <c r="B88" s="16" t="s">
        <v>452</v>
      </c>
      <c r="C88" s="5" t="s">
        <v>71</v>
      </c>
      <c r="D88" s="10" t="s">
        <v>142</v>
      </c>
      <c r="E88" t="s">
        <v>453</v>
      </c>
      <c r="F88" s="34"/>
      <c r="G88" s="10" t="s">
        <v>393</v>
      </c>
      <c r="H88" s="10" t="s">
        <v>394</v>
      </c>
      <c r="I88" s="10" t="s">
        <v>145</v>
      </c>
      <c r="J88" s="10" t="s">
        <v>454</v>
      </c>
      <c r="K88" s="10"/>
      <c r="L88" s="10">
        <v>0</v>
      </c>
      <c r="M88" s="10">
        <v>0</v>
      </c>
      <c r="N88" s="10"/>
      <c r="O88" s="10" t="s">
        <v>455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5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="5" customFormat="1" spans="2:69">
      <c r="B89" s="16" t="s">
        <v>456</v>
      </c>
      <c r="C89" s="5" t="s">
        <v>71</v>
      </c>
      <c r="D89" s="10" t="s">
        <v>142</v>
      </c>
      <c r="E89" t="s">
        <v>457</v>
      </c>
      <c r="F89" s="24"/>
      <c r="G89" s="10" t="s">
        <v>393</v>
      </c>
      <c r="H89" s="10" t="s">
        <v>394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5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="5" customFormat="1" spans="2:69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393</v>
      </c>
      <c r="H90" s="10" t="s">
        <v>394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5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="5" customFormat="1" spans="2:69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393</v>
      </c>
      <c r="H91" s="10" t="s">
        <v>394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1.15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5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="5" customFormat="1" spans="2:69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393</v>
      </c>
      <c r="H92" s="10" t="s">
        <v>394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5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="5" customFormat="1" spans="2:69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393</v>
      </c>
      <c r="H93" s="10" t="s">
        <v>394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5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="5" customFormat="1" spans="2:69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393</v>
      </c>
      <c r="H94" s="10" t="s">
        <v>394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5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="5" customFormat="1" spans="2:69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393</v>
      </c>
      <c r="H95" s="10" t="s">
        <v>394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5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="5" customFormat="1" spans="2:69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393</v>
      </c>
      <c r="H96" s="10" t="s">
        <v>394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5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="5" customFormat="1" spans="2:69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393</v>
      </c>
      <c r="H97" s="10" t="s">
        <v>394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5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="7" customFormat="1" spans="2:69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393</v>
      </c>
      <c r="H98" s="35" t="s">
        <v>394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6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="6" customFormat="1" spans="2:69">
      <c r="B99" s="16" t="s">
        <v>478</v>
      </c>
      <c r="C99" s="6" t="s">
        <v>71</v>
      </c>
      <c r="D99" s="16" t="s">
        <v>282</v>
      </c>
      <c r="E99" s="18" t="s">
        <v>479</v>
      </c>
      <c r="F99" s="18"/>
      <c r="G99" s="16" t="s">
        <v>480</v>
      </c>
      <c r="H99" s="16"/>
      <c r="I99" s="16" t="s">
        <v>285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3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="6" customFormat="1" spans="2:69">
      <c r="B100" s="16" t="s">
        <v>484</v>
      </c>
      <c r="C100" s="6" t="s">
        <v>71</v>
      </c>
      <c r="D100" s="16" t="s">
        <v>282</v>
      </c>
      <c r="E100" t="s">
        <v>485</v>
      </c>
      <c r="F100" s="18"/>
      <c r="G100" s="16" t="s">
        <v>480</v>
      </c>
      <c r="H100" s="16"/>
      <c r="I100" s="16" t="s">
        <v>285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3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="6" customFormat="1" spans="2:69">
      <c r="B101" s="16" t="s">
        <v>487</v>
      </c>
      <c r="C101" s="6" t="s">
        <v>71</v>
      </c>
      <c r="D101" s="16" t="s">
        <v>282</v>
      </c>
      <c r="E101" t="s">
        <v>488</v>
      </c>
      <c r="F101" s="18"/>
      <c r="G101" s="16" t="s">
        <v>480</v>
      </c>
      <c r="H101" s="16"/>
      <c r="I101" s="16" t="s">
        <v>285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3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="6" customFormat="1" spans="2:69">
      <c r="B102" s="16" t="s">
        <v>490</v>
      </c>
      <c r="C102" s="6" t="s">
        <v>71</v>
      </c>
      <c r="D102" s="16" t="s">
        <v>282</v>
      </c>
      <c r="E102" t="s">
        <v>491</v>
      </c>
      <c r="F102" s="18"/>
      <c r="G102" s="16" t="s">
        <v>480</v>
      </c>
      <c r="H102" s="16"/>
      <c r="I102" s="16" t="s">
        <v>285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3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="6" customFormat="1" spans="2:69">
      <c r="B103" s="16" t="s">
        <v>493</v>
      </c>
      <c r="C103" s="6" t="s">
        <v>71</v>
      </c>
      <c r="D103" s="16" t="s">
        <v>282</v>
      </c>
      <c r="E103" t="s">
        <v>494</v>
      </c>
      <c r="F103" s="18"/>
      <c r="G103" s="16" t="s">
        <v>480</v>
      </c>
      <c r="H103" s="16"/>
      <c r="I103" s="16" t="s">
        <v>285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3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="6" customFormat="1" spans="2:73">
      <c r="B104" s="16" t="s">
        <v>496</v>
      </c>
      <c r="C104" s="6" t="s">
        <v>71</v>
      </c>
      <c r="D104" s="16" t="s">
        <v>282</v>
      </c>
      <c r="E104" s="37" t="s">
        <v>497</v>
      </c>
      <c r="F104" s="24"/>
      <c r="G104" s="37" t="s">
        <v>498</v>
      </c>
      <c r="H104" s="16"/>
      <c r="I104" s="16" t="s">
        <v>285</v>
      </c>
      <c r="J104" s="16" t="s">
        <v>372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3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="6" customFormat="1" spans="2:73">
      <c r="B105" s="16" t="s">
        <v>500</v>
      </c>
      <c r="C105" s="6" t="s">
        <v>71</v>
      </c>
      <c r="D105" s="16" t="s">
        <v>282</v>
      </c>
      <c r="E105" s="38" t="s">
        <v>501</v>
      </c>
      <c r="F105" s="24"/>
      <c r="G105" s="37" t="s">
        <v>502</v>
      </c>
      <c r="H105" s="16"/>
      <c r="I105" s="16" t="s">
        <v>285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3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="6" customFormat="1" spans="2:73">
      <c r="B106" s="16" t="s">
        <v>506</v>
      </c>
      <c r="C106" s="6" t="s">
        <v>71</v>
      </c>
      <c r="D106" s="16" t="s">
        <v>282</v>
      </c>
      <c r="E106" s="38" t="s">
        <v>507</v>
      </c>
      <c r="F106" s="24"/>
      <c r="G106" s="39" t="s">
        <v>508</v>
      </c>
      <c r="H106" s="16"/>
      <c r="I106" s="16" t="s">
        <v>285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3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="6" customFormat="1" spans="2:73">
      <c r="B107" s="16" t="s">
        <v>512</v>
      </c>
      <c r="C107" s="6" t="s">
        <v>71</v>
      </c>
      <c r="D107" s="16" t="s">
        <v>282</v>
      </c>
      <c r="E107" s="38" t="s">
        <v>513</v>
      </c>
      <c r="F107" s="24"/>
      <c r="G107" s="39" t="s">
        <v>514</v>
      </c>
      <c r="H107" s="16"/>
      <c r="I107" s="16" t="s">
        <v>285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3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="6" customFormat="1" spans="2:73">
      <c r="B108" s="16" t="s">
        <v>518</v>
      </c>
      <c r="C108" s="6" t="s">
        <v>71</v>
      </c>
      <c r="D108" s="16" t="s">
        <v>282</v>
      </c>
      <c r="E108" s="37" t="s">
        <v>519</v>
      </c>
      <c r="F108" s="24"/>
      <c r="G108" s="39" t="s">
        <v>520</v>
      </c>
      <c r="H108" s="16"/>
      <c r="I108" s="16" t="s">
        <v>285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3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="6" customFormat="1" spans="2:73">
      <c r="B109" s="16" t="s">
        <v>524</v>
      </c>
      <c r="C109" s="6" t="s">
        <v>71</v>
      </c>
      <c r="D109" s="16" t="s">
        <v>282</v>
      </c>
      <c r="E109" s="37" t="s">
        <v>525</v>
      </c>
      <c r="F109" s="24"/>
      <c r="G109" s="40" t="s">
        <v>526</v>
      </c>
      <c r="H109" s="16"/>
      <c r="I109" s="16" t="s">
        <v>285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3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="6" customFormat="1" spans="2:73">
      <c r="B110" s="16" t="s">
        <v>528</v>
      </c>
      <c r="C110" s="6" t="s">
        <v>71</v>
      </c>
      <c r="D110" s="16" t="s">
        <v>282</v>
      </c>
      <c r="E110" s="38" t="s">
        <v>529</v>
      </c>
      <c r="F110" s="24"/>
      <c r="G110" s="40" t="s">
        <v>530</v>
      </c>
      <c r="H110" s="16"/>
      <c r="I110" s="16" t="s">
        <v>285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3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="6" customFormat="1" spans="2:73">
      <c r="B111" s="16" t="s">
        <v>533</v>
      </c>
      <c r="C111" s="6" t="s">
        <v>71</v>
      </c>
      <c r="D111" s="16" t="s">
        <v>282</v>
      </c>
      <c r="E111" s="37" t="s">
        <v>534</v>
      </c>
      <c r="F111" s="24"/>
      <c r="G111" s="40" t="s">
        <v>535</v>
      </c>
      <c r="H111" s="16"/>
      <c r="I111" s="16" t="s">
        <v>285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3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="6" customFormat="1" spans="2:73">
      <c r="B112" s="16" t="s">
        <v>539</v>
      </c>
      <c r="C112" s="6" t="s">
        <v>71</v>
      </c>
      <c r="D112" s="16" t="s">
        <v>282</v>
      </c>
      <c r="E112" s="37" t="s">
        <v>540</v>
      </c>
      <c r="F112" s="24"/>
      <c r="G112" s="40" t="s">
        <v>541</v>
      </c>
      <c r="H112" s="16"/>
      <c r="I112" s="16" t="s">
        <v>285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443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3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="6" customFormat="1" spans="2:73">
      <c r="B113" s="16" t="s">
        <v>544</v>
      </c>
      <c r="C113" s="6" t="s">
        <v>71</v>
      </c>
      <c r="D113" s="16" t="s">
        <v>282</v>
      </c>
      <c r="E113" s="37" t="s">
        <v>545</v>
      </c>
      <c r="F113" s="24"/>
      <c r="G113" s="40" t="s">
        <v>546</v>
      </c>
      <c r="H113" s="16"/>
      <c r="I113" s="16" t="s">
        <v>285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3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="6" customFormat="1" spans="2:69">
      <c r="B114" s="16" t="s">
        <v>552</v>
      </c>
      <c r="C114" s="6" t="s">
        <v>71</v>
      </c>
      <c r="D114" s="16" t="s">
        <v>282</v>
      </c>
      <c r="E114" s="37" t="s">
        <v>553</v>
      </c>
      <c r="F114" s="24"/>
      <c r="G114" s="40"/>
      <c r="H114" s="16"/>
      <c r="I114" s="16" t="s">
        <v>285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3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="6" customFormat="1" spans="2:69">
      <c r="B115" s="16" t="s">
        <v>554</v>
      </c>
      <c r="C115" s="6" t="s">
        <v>71</v>
      </c>
      <c r="D115" s="16" t="s">
        <v>282</v>
      </c>
      <c r="E115" s="37" t="s">
        <v>555</v>
      </c>
      <c r="F115" s="24"/>
      <c r="G115" s="40"/>
      <c r="H115" s="16"/>
      <c r="I115" s="16" t="s">
        <v>285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3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="6" customFormat="1" spans="2:69">
      <c r="B116" s="16" t="s">
        <v>556</v>
      </c>
      <c r="C116" s="6" t="s">
        <v>71</v>
      </c>
      <c r="D116" s="16" t="s">
        <v>282</v>
      </c>
      <c r="E116" s="37" t="s">
        <v>557</v>
      </c>
      <c r="F116" s="24"/>
      <c r="G116" s="40"/>
      <c r="H116" s="16"/>
      <c r="I116" s="16" t="s">
        <v>285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3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="6" customFormat="1" spans="2:69">
      <c r="B117" s="16" t="s">
        <v>558</v>
      </c>
      <c r="C117" s="6" t="s">
        <v>71</v>
      </c>
      <c r="D117" s="16" t="s">
        <v>282</v>
      </c>
      <c r="E117" s="37" t="s">
        <v>559</v>
      </c>
      <c r="F117" s="24"/>
      <c r="G117" s="40"/>
      <c r="H117" s="16"/>
      <c r="I117" s="16" t="s">
        <v>285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3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="6" customFormat="1" spans="2:69">
      <c r="B118" s="16" t="s">
        <v>560</v>
      </c>
      <c r="C118" s="6" t="s">
        <v>71</v>
      </c>
      <c r="D118" s="16" t="s">
        <v>282</v>
      </c>
      <c r="E118" s="37" t="s">
        <v>561</v>
      </c>
      <c r="F118" s="37"/>
      <c r="G118" s="37" t="s">
        <v>562</v>
      </c>
      <c r="H118" s="16"/>
      <c r="I118" s="16" t="s">
        <v>285</v>
      </c>
      <c r="J118" s="16" t="s">
        <v>372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3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="6" customFormat="1" spans="2:69">
      <c r="B119" s="16" t="s">
        <v>564</v>
      </c>
      <c r="C119" s="6" t="s">
        <v>71</v>
      </c>
      <c r="D119" s="16" t="s">
        <v>282</v>
      </c>
      <c r="E119" s="37" t="s">
        <v>565</v>
      </c>
      <c r="F119" s="37"/>
      <c r="G119" s="37" t="s">
        <v>562</v>
      </c>
      <c r="H119" s="16"/>
      <c r="I119" s="16" t="s">
        <v>285</v>
      </c>
      <c r="J119" s="16" t="s">
        <v>372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3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="6" customFormat="1" spans="2:69">
      <c r="B120" s="16" t="s">
        <v>566</v>
      </c>
      <c r="C120" s="6" t="s">
        <v>71</v>
      </c>
      <c r="D120" s="16" t="s">
        <v>282</v>
      </c>
      <c r="E120" s="37" t="s">
        <v>567</v>
      </c>
      <c r="F120" s="37"/>
      <c r="G120" s="37" t="s">
        <v>562</v>
      </c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3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="6" customFormat="1" spans="2:69">
      <c r="B121" s="16" t="s">
        <v>568</v>
      </c>
      <c r="C121" s="6" t="s">
        <v>71</v>
      </c>
      <c r="D121" s="16" t="s">
        <v>282</v>
      </c>
      <c r="E121" s="37" t="s">
        <v>569</v>
      </c>
      <c r="F121" s="37"/>
      <c r="G121" s="37" t="s">
        <v>562</v>
      </c>
      <c r="H121" s="16"/>
      <c r="I121" s="16" t="s">
        <v>285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3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="6" customFormat="1" spans="2:69">
      <c r="B122" s="16" t="s">
        <v>570</v>
      </c>
      <c r="C122" s="6" t="s">
        <v>71</v>
      </c>
      <c r="D122" s="16" t="s">
        <v>282</v>
      </c>
      <c r="E122" s="37" t="s">
        <v>571</v>
      </c>
      <c r="F122" s="37"/>
      <c r="G122" s="37" t="s">
        <v>562</v>
      </c>
      <c r="H122" s="16"/>
      <c r="I122" s="16" t="s">
        <v>285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3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="6" customFormat="1" spans="2:69">
      <c r="B123" s="16" t="s">
        <v>572</v>
      </c>
      <c r="C123" s="6" t="s">
        <v>71</v>
      </c>
      <c r="D123" s="16" t="s">
        <v>282</v>
      </c>
      <c r="E123" s="37" t="s">
        <v>573</v>
      </c>
      <c r="F123" s="37"/>
      <c r="G123" s="37" t="s">
        <v>574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575</v>
      </c>
      <c r="P123" s="16">
        <v>2.03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3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="6" customFormat="1" spans="2:69">
      <c r="B124" s="16" t="s">
        <v>576</v>
      </c>
      <c r="C124" s="6" t="s">
        <v>71</v>
      </c>
      <c r="D124" s="16" t="s">
        <v>282</v>
      </c>
      <c r="E124" s="37" t="s">
        <v>577</v>
      </c>
      <c r="F124" s="37"/>
      <c r="G124" s="37" t="s">
        <v>574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575</v>
      </c>
      <c r="P124" s="16">
        <v>2.03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3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="6" customFormat="1" spans="2:69">
      <c r="B125" s="16" t="s">
        <v>578</v>
      </c>
      <c r="C125" s="6" t="s">
        <v>71</v>
      </c>
      <c r="D125" s="16" t="s">
        <v>282</v>
      </c>
      <c r="E125" s="37" t="s">
        <v>579</v>
      </c>
      <c r="F125" s="37"/>
      <c r="G125" s="37" t="s">
        <v>574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575</v>
      </c>
      <c r="P125" s="16">
        <v>2.03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3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="6" customFormat="1" spans="2:69">
      <c r="B126" s="16" t="s">
        <v>580</v>
      </c>
      <c r="C126" s="6" t="s">
        <v>71</v>
      </c>
      <c r="D126" s="16" t="s">
        <v>282</v>
      </c>
      <c r="E126" s="37" t="s">
        <v>581</v>
      </c>
      <c r="F126" s="37"/>
      <c r="G126" s="37" t="s">
        <v>574</v>
      </c>
      <c r="H126" s="16"/>
      <c r="I126" s="16" t="s">
        <v>285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575</v>
      </c>
      <c r="P126" s="16">
        <v>2.03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3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="6" customFormat="1" spans="2:69">
      <c r="B127" s="16" t="s">
        <v>582</v>
      </c>
      <c r="C127" s="6" t="s">
        <v>71</v>
      </c>
      <c r="D127" s="16" t="s">
        <v>282</v>
      </c>
      <c r="E127" s="37" t="s">
        <v>583</v>
      </c>
      <c r="F127" s="37"/>
      <c r="G127" s="37" t="s">
        <v>584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585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3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="6" customFormat="1" spans="2:69">
      <c r="B128" s="16" t="s">
        <v>586</v>
      </c>
      <c r="C128" s="6" t="s">
        <v>71</v>
      </c>
      <c r="D128" s="16" t="s">
        <v>282</v>
      </c>
      <c r="E128" s="37" t="s">
        <v>587</v>
      </c>
      <c r="F128" s="37"/>
      <c r="G128" s="37" t="s">
        <v>584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585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3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="6" customFormat="1" spans="2:69">
      <c r="B129" s="16" t="s">
        <v>588</v>
      </c>
      <c r="C129" s="6" t="s">
        <v>71</v>
      </c>
      <c r="D129" s="16" t="s">
        <v>282</v>
      </c>
      <c r="E129" s="37" t="s">
        <v>589</v>
      </c>
      <c r="F129" s="37"/>
      <c r="G129" s="37" t="s">
        <v>584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585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3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="6" customFormat="1" spans="2:69">
      <c r="B130" s="16" t="s">
        <v>590</v>
      </c>
      <c r="C130" s="6" t="s">
        <v>71</v>
      </c>
      <c r="D130" s="16" t="s">
        <v>282</v>
      </c>
      <c r="E130" s="37" t="s">
        <v>591</v>
      </c>
      <c r="F130" s="37"/>
      <c r="G130" s="37" t="s">
        <v>584</v>
      </c>
      <c r="H130" s="16"/>
      <c r="I130" s="16" t="s">
        <v>285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585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3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="6" customFormat="1" spans="2:69">
      <c r="B131" s="16" t="s">
        <v>592</v>
      </c>
      <c r="C131" s="6" t="s">
        <v>71</v>
      </c>
      <c r="D131" s="16" t="s">
        <v>282</v>
      </c>
      <c r="E131" s="37" t="s">
        <v>571</v>
      </c>
      <c r="F131" s="37"/>
      <c r="G131" s="37" t="s">
        <v>584</v>
      </c>
      <c r="H131" s="16"/>
      <c r="I131" s="16" t="s">
        <v>285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585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3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="6" customFormat="1" spans="2:72">
      <c r="B132" t="s">
        <v>593</v>
      </c>
      <c r="C132" s="6" t="s">
        <v>71</v>
      </c>
      <c r="D132" s="16" t="s">
        <v>282</v>
      </c>
      <c r="E132" s="32" t="s">
        <v>594</v>
      </c>
      <c r="F132" s="24"/>
      <c r="G132" s="16" t="s">
        <v>595</v>
      </c>
      <c r="H132" s="16"/>
      <c r="I132" s="16" t="s">
        <v>285</v>
      </c>
      <c r="J132" s="16"/>
      <c r="K132" s="16"/>
      <c r="L132" s="16">
        <v>0</v>
      </c>
      <c r="M132" s="16">
        <v>0</v>
      </c>
      <c r="N132" s="16"/>
      <c r="O132" s="16" t="s">
        <v>596</v>
      </c>
      <c r="P132" s="16">
        <v>1.1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3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597</v>
      </c>
    </row>
    <row r="133" s="6" customFormat="1" spans="2:72">
      <c r="B133" t="s">
        <v>598</v>
      </c>
      <c r="C133" s="6" t="s">
        <v>71</v>
      </c>
      <c r="D133" s="16" t="s">
        <v>282</v>
      </c>
      <c r="E133" s="32" t="s">
        <v>599</v>
      </c>
      <c r="F133" s="24"/>
      <c r="G133" s="16" t="s">
        <v>595</v>
      </c>
      <c r="H133" s="16"/>
      <c r="I133" s="16" t="s">
        <v>285</v>
      </c>
      <c r="J133" s="16" t="s">
        <v>600</v>
      </c>
      <c r="K133" s="16"/>
      <c r="L133" s="16">
        <v>0</v>
      </c>
      <c r="M133" s="16">
        <v>0</v>
      </c>
      <c r="N133" s="16"/>
      <c r="O133" s="16" t="s">
        <v>601</v>
      </c>
      <c r="P133" s="16">
        <v>2.2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3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597</v>
      </c>
    </row>
    <row r="134" s="6" customFormat="1" spans="2:72">
      <c r="B134" t="s">
        <v>602</v>
      </c>
      <c r="C134" s="6" t="s">
        <v>71</v>
      </c>
      <c r="D134" s="16" t="s">
        <v>282</v>
      </c>
      <c r="E134" s="32" t="s">
        <v>603</v>
      </c>
      <c r="F134" s="24"/>
      <c r="G134" s="16" t="s">
        <v>595</v>
      </c>
      <c r="H134" s="16"/>
      <c r="I134" s="16" t="s">
        <v>285</v>
      </c>
      <c r="J134" s="12" t="s">
        <v>604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3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597</v>
      </c>
    </row>
    <row r="135" s="6" customFormat="1" spans="2:72">
      <c r="B135" t="s">
        <v>605</v>
      </c>
      <c r="C135" s="6" t="s">
        <v>71</v>
      </c>
      <c r="D135" s="16" t="s">
        <v>282</v>
      </c>
      <c r="E135" s="32" t="s">
        <v>606</v>
      </c>
      <c r="F135" s="24"/>
      <c r="G135" s="16" t="s">
        <v>595</v>
      </c>
      <c r="H135" s="16"/>
      <c r="I135" s="16" t="s">
        <v>285</v>
      </c>
      <c r="J135" s="12" t="s">
        <v>607</v>
      </c>
      <c r="K135" s="16"/>
      <c r="L135" s="16">
        <v>0</v>
      </c>
      <c r="M135" s="16">
        <v>0</v>
      </c>
      <c r="N135" s="16"/>
      <c r="O135" s="16" t="s">
        <v>608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3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597</v>
      </c>
    </row>
    <row r="136" s="6" customFormat="1" spans="2:72">
      <c r="B136" t="s">
        <v>609</v>
      </c>
      <c r="C136" s="6" t="s">
        <v>71</v>
      </c>
      <c r="D136" s="16" t="s">
        <v>282</v>
      </c>
      <c r="E136" s="32" t="s">
        <v>610</v>
      </c>
      <c r="F136" s="24"/>
      <c r="G136" s="16" t="s">
        <v>595</v>
      </c>
      <c r="H136" s="16"/>
      <c r="I136" s="16" t="s">
        <v>285</v>
      </c>
      <c r="J136" s="12" t="s">
        <v>611</v>
      </c>
      <c r="K136" s="16"/>
      <c r="L136" s="16">
        <v>0</v>
      </c>
      <c r="M136" s="16">
        <v>0</v>
      </c>
      <c r="N136" s="16"/>
      <c r="O136" s="16" t="s">
        <v>451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3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597</v>
      </c>
    </row>
    <row r="137" s="6" customFormat="1" spans="2:72">
      <c r="B137" t="s">
        <v>612</v>
      </c>
      <c r="C137" s="6" t="s">
        <v>71</v>
      </c>
      <c r="D137" s="16" t="s">
        <v>282</v>
      </c>
      <c r="E137" s="32" t="s">
        <v>613</v>
      </c>
      <c r="F137" s="24"/>
      <c r="G137" s="16" t="s">
        <v>614</v>
      </c>
      <c r="H137" s="16"/>
      <c r="I137" s="16" t="s">
        <v>285</v>
      </c>
      <c r="J137" s="16" t="s">
        <v>615</v>
      </c>
      <c r="K137" s="16"/>
      <c r="L137" s="16">
        <v>0</v>
      </c>
      <c r="M137" s="16">
        <v>0</v>
      </c>
      <c r="N137" s="16"/>
      <c r="O137" s="16" t="s">
        <v>616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3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597</v>
      </c>
    </row>
    <row r="138" s="6" customFormat="1" spans="2:72">
      <c r="B138" t="s">
        <v>617</v>
      </c>
      <c r="C138" s="6" t="s">
        <v>71</v>
      </c>
      <c r="D138" s="16" t="s">
        <v>282</v>
      </c>
      <c r="E138" s="32" t="s">
        <v>618</v>
      </c>
      <c r="F138" s="24"/>
      <c r="G138" s="16" t="s">
        <v>614</v>
      </c>
      <c r="H138" s="16"/>
      <c r="I138" s="16" t="s">
        <v>285</v>
      </c>
      <c r="J138" s="12" t="s">
        <v>619</v>
      </c>
      <c r="K138" s="16"/>
      <c r="L138" s="16">
        <v>0</v>
      </c>
      <c r="M138" s="16">
        <v>0</v>
      </c>
      <c r="N138" s="16"/>
      <c r="O138" s="16" t="s">
        <v>620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3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597</v>
      </c>
    </row>
    <row r="139" s="6" customFormat="1" spans="2:72">
      <c r="B139" t="s">
        <v>621</v>
      </c>
      <c r="C139" s="6" t="s">
        <v>71</v>
      </c>
      <c r="D139" s="16" t="s">
        <v>282</v>
      </c>
      <c r="E139" s="32" t="s">
        <v>622</v>
      </c>
      <c r="F139" s="24"/>
      <c r="G139" s="16" t="s">
        <v>614</v>
      </c>
      <c r="H139" s="16"/>
      <c r="I139" s="16" t="s">
        <v>285</v>
      </c>
      <c r="J139" s="12" t="s">
        <v>623</v>
      </c>
      <c r="K139" s="16"/>
      <c r="L139" s="16">
        <v>0</v>
      </c>
      <c r="M139" s="16">
        <v>0</v>
      </c>
      <c r="N139" s="16"/>
      <c r="O139" s="16" t="s">
        <v>624</v>
      </c>
      <c r="P139" s="16">
        <v>2.2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3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597</v>
      </c>
    </row>
    <row r="140" s="6" customFormat="1" spans="2:72">
      <c r="B140" t="s">
        <v>625</v>
      </c>
      <c r="C140" s="6" t="s">
        <v>71</v>
      </c>
      <c r="D140" s="16" t="s">
        <v>282</v>
      </c>
      <c r="E140" s="32" t="s">
        <v>626</v>
      </c>
      <c r="F140" s="24"/>
      <c r="G140" s="16" t="s">
        <v>627</v>
      </c>
      <c r="H140" s="16"/>
      <c r="I140" s="16" t="s">
        <v>285</v>
      </c>
      <c r="J140" s="12" t="s">
        <v>628</v>
      </c>
      <c r="K140" s="16"/>
      <c r="L140" s="16">
        <v>0</v>
      </c>
      <c r="M140" s="16">
        <v>0</v>
      </c>
      <c r="N140" s="16"/>
      <c r="O140" s="16" t="s">
        <v>629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3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597</v>
      </c>
    </row>
    <row r="141" s="6" customFormat="1" spans="2:72">
      <c r="B141" t="s">
        <v>630</v>
      </c>
      <c r="C141" s="6" t="s">
        <v>71</v>
      </c>
      <c r="D141" s="16" t="s">
        <v>282</v>
      </c>
      <c r="E141" s="32" t="s">
        <v>631</v>
      </c>
      <c r="F141" s="24"/>
      <c r="G141" s="16" t="s">
        <v>627</v>
      </c>
      <c r="H141" s="16"/>
      <c r="I141" s="16" t="s">
        <v>285</v>
      </c>
      <c r="J141" s="10" t="s">
        <v>632</v>
      </c>
      <c r="K141" s="16"/>
      <c r="L141" s="16">
        <v>0</v>
      </c>
      <c r="M141" s="16">
        <v>0</v>
      </c>
      <c r="N141" s="16"/>
      <c r="O141" s="16" t="s">
        <v>629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3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597</v>
      </c>
    </row>
    <row r="142" s="6" customFormat="1" spans="2:72">
      <c r="B142" t="s">
        <v>633</v>
      </c>
      <c r="C142" s="6" t="s">
        <v>71</v>
      </c>
      <c r="D142" s="16" t="s">
        <v>282</v>
      </c>
      <c r="E142" s="32" t="s">
        <v>634</v>
      </c>
      <c r="F142" s="24"/>
      <c r="G142" s="16" t="s">
        <v>627</v>
      </c>
      <c r="H142" s="16"/>
      <c r="I142" s="16" t="s">
        <v>285</v>
      </c>
      <c r="J142" s="10" t="s">
        <v>635</v>
      </c>
      <c r="K142" s="16"/>
      <c r="L142" s="16">
        <v>0</v>
      </c>
      <c r="M142" s="16">
        <v>0</v>
      </c>
      <c r="N142" s="16"/>
      <c r="O142" s="16" t="s">
        <v>629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3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597</v>
      </c>
    </row>
    <row r="143" s="6" customFormat="1" spans="2:72">
      <c r="B143" t="s">
        <v>636</v>
      </c>
      <c r="C143" s="6" t="s">
        <v>71</v>
      </c>
      <c r="D143" s="16" t="s">
        <v>282</v>
      </c>
      <c r="E143" s="32" t="s">
        <v>637</v>
      </c>
      <c r="F143" s="24"/>
      <c r="G143" s="16" t="s">
        <v>627</v>
      </c>
      <c r="H143" s="16"/>
      <c r="I143" s="16" t="s">
        <v>285</v>
      </c>
      <c r="J143" s="10" t="s">
        <v>638</v>
      </c>
      <c r="K143" s="16"/>
      <c r="L143" s="16">
        <v>0</v>
      </c>
      <c r="M143" s="16">
        <v>0</v>
      </c>
      <c r="N143" s="16"/>
      <c r="O143" s="16" t="s">
        <v>629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3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597</v>
      </c>
    </row>
    <row r="144" s="6" customFormat="1" spans="2:72">
      <c r="B144" t="s">
        <v>639</v>
      </c>
      <c r="C144" s="6" t="s">
        <v>71</v>
      </c>
      <c r="D144" s="16" t="s">
        <v>282</v>
      </c>
      <c r="E144" s="32" t="s">
        <v>640</v>
      </c>
      <c r="F144" s="24"/>
      <c r="G144" s="16" t="s">
        <v>627</v>
      </c>
      <c r="H144" s="16"/>
      <c r="I144" s="16" t="s">
        <v>285</v>
      </c>
      <c r="J144" s="10" t="s">
        <v>641</v>
      </c>
      <c r="K144" s="16"/>
      <c r="L144" s="16">
        <v>0</v>
      </c>
      <c r="M144" s="16">
        <v>0</v>
      </c>
      <c r="N144" s="16"/>
      <c r="O144" s="16" t="s">
        <v>629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3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597</v>
      </c>
    </row>
    <row r="145" s="6" customFormat="1" spans="2:72">
      <c r="B145" t="s">
        <v>642</v>
      </c>
      <c r="C145" s="6" t="s">
        <v>71</v>
      </c>
      <c r="D145" s="16" t="s">
        <v>282</v>
      </c>
      <c r="E145" s="32" t="s">
        <v>643</v>
      </c>
      <c r="F145" s="24"/>
      <c r="G145" s="16" t="s">
        <v>644</v>
      </c>
      <c r="H145" s="16"/>
      <c r="I145" s="16" t="s">
        <v>285</v>
      </c>
      <c r="J145" s="12" t="s">
        <v>645</v>
      </c>
      <c r="K145" s="16"/>
      <c r="L145" s="16">
        <v>0</v>
      </c>
      <c r="M145" s="16">
        <v>0</v>
      </c>
      <c r="N145" s="16"/>
      <c r="O145" s="16" t="s">
        <v>646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3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597</v>
      </c>
    </row>
    <row r="146" s="6" customFormat="1" spans="2:72">
      <c r="B146" t="s">
        <v>647</v>
      </c>
      <c r="C146" s="6" t="s">
        <v>71</v>
      </c>
      <c r="D146" s="16" t="s">
        <v>282</v>
      </c>
      <c r="E146" s="32" t="s">
        <v>648</v>
      </c>
      <c r="F146" s="24"/>
      <c r="G146" s="16" t="s">
        <v>644</v>
      </c>
      <c r="H146" s="16"/>
      <c r="I146" s="16" t="s">
        <v>285</v>
      </c>
      <c r="J146" s="12" t="s">
        <v>649</v>
      </c>
      <c r="K146" s="16"/>
      <c r="L146" s="16">
        <v>0</v>
      </c>
      <c r="M146" s="16">
        <v>0</v>
      </c>
      <c r="N146" s="16"/>
      <c r="O146" s="16" t="s">
        <v>650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3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597</v>
      </c>
    </row>
    <row r="147" s="6" customFormat="1" spans="2:72">
      <c r="B147" t="s">
        <v>651</v>
      </c>
      <c r="C147" s="6" t="s">
        <v>71</v>
      </c>
      <c r="D147" s="16" t="s">
        <v>282</v>
      </c>
      <c r="E147" s="32" t="s">
        <v>652</v>
      </c>
      <c r="F147" s="24"/>
      <c r="G147" s="16" t="s">
        <v>644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653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3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597</v>
      </c>
    </row>
    <row r="148" s="6" customFormat="1" spans="2:72">
      <c r="B148" t="s">
        <v>654</v>
      </c>
      <c r="C148" s="6" t="s">
        <v>71</v>
      </c>
      <c r="D148" s="16" t="s">
        <v>282</v>
      </c>
      <c r="E148" s="32" t="s">
        <v>652</v>
      </c>
      <c r="F148" s="24"/>
      <c r="G148" s="16" t="s">
        <v>644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653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3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597</v>
      </c>
    </row>
    <row r="149" s="6" customFormat="1" spans="2:72">
      <c r="B149" t="s">
        <v>655</v>
      </c>
      <c r="C149" s="6" t="s">
        <v>71</v>
      </c>
      <c r="D149" s="16" t="s">
        <v>282</v>
      </c>
      <c r="E149" s="32" t="s">
        <v>656</v>
      </c>
      <c r="F149" s="24"/>
      <c r="G149" s="16" t="s">
        <v>644</v>
      </c>
      <c r="H149" s="16"/>
      <c r="I149" s="16" t="s">
        <v>285</v>
      </c>
      <c r="J149" s="12" t="s">
        <v>657</v>
      </c>
      <c r="K149" s="16"/>
      <c r="L149" s="16">
        <v>0</v>
      </c>
      <c r="M149" s="16">
        <v>0</v>
      </c>
      <c r="N149" s="16"/>
      <c r="O149" s="16" t="s">
        <v>658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3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597</v>
      </c>
    </row>
    <row r="150" s="6" customFormat="1" spans="2:72">
      <c r="B150" t="s">
        <v>659</v>
      </c>
      <c r="C150" s="6" t="s">
        <v>71</v>
      </c>
      <c r="D150" s="16" t="s">
        <v>282</v>
      </c>
      <c r="E150" s="32" t="s">
        <v>660</v>
      </c>
      <c r="F150" s="24"/>
      <c r="G150" s="16" t="s">
        <v>644</v>
      </c>
      <c r="H150" s="16"/>
      <c r="I150" s="16" t="s">
        <v>285</v>
      </c>
      <c r="J150" s="16"/>
      <c r="K150" s="16"/>
      <c r="L150" s="16">
        <v>0</v>
      </c>
      <c r="M150" s="16">
        <v>0</v>
      </c>
      <c r="N150" s="16"/>
      <c r="O150" s="16" t="s">
        <v>661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3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597</v>
      </c>
    </row>
    <row r="151" s="6" customFormat="1" spans="2:72">
      <c r="B151" t="s">
        <v>662</v>
      </c>
      <c r="C151" s="6" t="s">
        <v>71</v>
      </c>
      <c r="D151" s="16" t="s">
        <v>282</v>
      </c>
      <c r="E151" s="32" t="s">
        <v>663</v>
      </c>
      <c r="F151" s="24"/>
      <c r="G151" s="16" t="s">
        <v>644</v>
      </c>
      <c r="H151" s="16"/>
      <c r="I151" s="16" t="s">
        <v>285</v>
      </c>
      <c r="J151" s="12" t="s">
        <v>664</v>
      </c>
      <c r="K151" s="16"/>
      <c r="L151" s="16">
        <v>0</v>
      </c>
      <c r="M151" s="16">
        <v>0</v>
      </c>
      <c r="N151" s="16"/>
      <c r="O151" s="16" t="s">
        <v>665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3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597</v>
      </c>
    </row>
    <row r="152" s="6" customFormat="1" spans="2:72">
      <c r="B152" t="s">
        <v>666</v>
      </c>
      <c r="C152" s="6" t="s">
        <v>71</v>
      </c>
      <c r="D152" s="16" t="s">
        <v>282</v>
      </c>
      <c r="E152" s="32" t="s">
        <v>667</v>
      </c>
      <c r="F152" s="24"/>
      <c r="G152" s="16" t="s">
        <v>644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668</v>
      </c>
      <c r="P152" s="16">
        <v>1.1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3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597</v>
      </c>
    </row>
    <row r="153" s="6" customFormat="1" spans="2:72">
      <c r="B153" t="s">
        <v>669</v>
      </c>
      <c r="C153" s="6" t="s">
        <v>71</v>
      </c>
      <c r="D153" s="16" t="s">
        <v>282</v>
      </c>
      <c r="E153" s="32" t="s">
        <v>670</v>
      </c>
      <c r="F153" s="24"/>
      <c r="G153" s="16" t="s">
        <v>644</v>
      </c>
      <c r="H153" s="16"/>
      <c r="I153" s="16" t="s">
        <v>285</v>
      </c>
      <c r="J153" s="12" t="s">
        <v>671</v>
      </c>
      <c r="K153" s="16"/>
      <c r="L153" s="16">
        <v>0</v>
      </c>
      <c r="M153" s="16">
        <v>0</v>
      </c>
      <c r="N153" s="16"/>
      <c r="O153" s="16" t="s">
        <v>672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3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597</v>
      </c>
    </row>
    <row r="154" s="6" customFormat="1" spans="2:72">
      <c r="B154" t="s">
        <v>673</v>
      </c>
      <c r="C154" s="6" t="s">
        <v>71</v>
      </c>
      <c r="D154" s="16" t="s">
        <v>282</v>
      </c>
      <c r="E154" s="32" t="s">
        <v>674</v>
      </c>
      <c r="F154" s="24"/>
      <c r="G154" s="16" t="s">
        <v>644</v>
      </c>
      <c r="H154" s="16"/>
      <c r="I154" s="16" t="s">
        <v>285</v>
      </c>
      <c r="J154" s="16"/>
      <c r="K154" s="16"/>
      <c r="L154" s="16">
        <v>0</v>
      </c>
      <c r="M154" s="16">
        <v>0</v>
      </c>
      <c r="N154" s="16"/>
      <c r="O154" s="16" t="s">
        <v>675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3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597</v>
      </c>
    </row>
    <row r="155" s="6" customFormat="1" spans="2:72">
      <c r="B155" t="s">
        <v>676</v>
      </c>
      <c r="C155" s="6" t="s">
        <v>71</v>
      </c>
      <c r="D155" s="16" t="s">
        <v>282</v>
      </c>
      <c r="E155" s="32" t="s">
        <v>677</v>
      </c>
      <c r="F155" s="24"/>
      <c r="G155" s="16" t="s">
        <v>678</v>
      </c>
      <c r="H155" s="16"/>
      <c r="I155" s="16" t="s">
        <v>285</v>
      </c>
      <c r="J155" s="12" t="s">
        <v>679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3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597</v>
      </c>
    </row>
    <row r="156" s="6" customFormat="1" spans="2:72">
      <c r="B156" t="s">
        <v>680</v>
      </c>
      <c r="C156" s="6" t="s">
        <v>71</v>
      </c>
      <c r="D156" s="16" t="s">
        <v>282</v>
      </c>
      <c r="E156" t="s">
        <v>681</v>
      </c>
      <c r="F156" s="24"/>
      <c r="G156" s="16" t="s">
        <v>678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301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3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597</v>
      </c>
    </row>
    <row r="157" s="6" customFormat="1" spans="2:72">
      <c r="B157" t="s">
        <v>682</v>
      </c>
      <c r="C157" s="6" t="s">
        <v>71</v>
      </c>
      <c r="D157" s="16" t="s">
        <v>282</v>
      </c>
      <c r="E157" t="s">
        <v>683</v>
      </c>
      <c r="F157" s="24"/>
      <c r="G157" s="16" t="s">
        <v>678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311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3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597</v>
      </c>
    </row>
    <row r="158" s="6" customFormat="1" spans="2:72">
      <c r="B158" t="s">
        <v>684</v>
      </c>
      <c r="C158" s="6" t="s">
        <v>71</v>
      </c>
      <c r="D158" s="16" t="s">
        <v>282</v>
      </c>
      <c r="E158" t="s">
        <v>685</v>
      </c>
      <c r="F158" s="24"/>
      <c r="G158" s="16" t="s">
        <v>678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304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3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597</v>
      </c>
    </row>
    <row r="159" s="6" customFormat="1" spans="2:72">
      <c r="B159" t="s">
        <v>686</v>
      </c>
      <c r="C159" s="6" t="s">
        <v>71</v>
      </c>
      <c r="D159" s="16" t="s">
        <v>282</v>
      </c>
      <c r="E159" t="s">
        <v>687</v>
      </c>
      <c r="F159" s="24"/>
      <c r="G159" s="16" t="s">
        <v>678</v>
      </c>
      <c r="H159" s="16"/>
      <c r="I159" s="16" t="s">
        <v>285</v>
      </c>
      <c r="J159" s="16" t="s">
        <v>688</v>
      </c>
      <c r="K159" s="16"/>
      <c r="L159" s="16">
        <v>0</v>
      </c>
      <c r="M159" s="16">
        <v>0</v>
      </c>
      <c r="N159" s="16"/>
      <c r="O159" s="16" t="s">
        <v>689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3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597</v>
      </c>
    </row>
    <row r="160" s="6" customFormat="1" spans="2:72">
      <c r="B160" t="s">
        <v>690</v>
      </c>
      <c r="C160" s="6" t="s">
        <v>71</v>
      </c>
      <c r="D160" s="16" t="s">
        <v>282</v>
      </c>
      <c r="E160" t="s">
        <v>156</v>
      </c>
      <c r="F160" s="24"/>
      <c r="G160" s="16" t="s">
        <v>678</v>
      </c>
      <c r="H160" s="16"/>
      <c r="I160" s="16" t="s">
        <v>285</v>
      </c>
      <c r="J160" s="16" t="s">
        <v>691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3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597</v>
      </c>
    </row>
    <row r="161" s="6" customFormat="1" spans="2:72">
      <c r="B161" t="s">
        <v>692</v>
      </c>
      <c r="C161" s="6" t="s">
        <v>71</v>
      </c>
      <c r="D161" s="16" t="s">
        <v>282</v>
      </c>
      <c r="E161" t="s">
        <v>693</v>
      </c>
      <c r="F161" s="24"/>
      <c r="G161" s="16" t="s">
        <v>694</v>
      </c>
      <c r="H161" s="16"/>
      <c r="I161" s="16" t="s">
        <v>285</v>
      </c>
      <c r="J161" s="12" t="s">
        <v>695</v>
      </c>
      <c r="K161" s="16"/>
      <c r="L161" s="16">
        <v>0</v>
      </c>
      <c r="M161" s="16">
        <v>0</v>
      </c>
      <c r="N161" s="16"/>
      <c r="O161" s="16" t="s">
        <v>696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3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597</v>
      </c>
    </row>
    <row r="162" s="6" customFormat="1" spans="2:72">
      <c r="B162" t="s">
        <v>697</v>
      </c>
      <c r="C162" s="6" t="s">
        <v>71</v>
      </c>
      <c r="D162" s="16" t="s">
        <v>282</v>
      </c>
      <c r="E162" t="s">
        <v>698</v>
      </c>
      <c r="F162" s="24"/>
      <c r="G162" s="16" t="s">
        <v>694</v>
      </c>
      <c r="H162" s="16"/>
      <c r="I162" s="16" t="s">
        <v>285</v>
      </c>
      <c r="J162" s="12" t="s">
        <v>699</v>
      </c>
      <c r="K162" s="16"/>
      <c r="L162" s="16">
        <v>0</v>
      </c>
      <c r="M162" s="16">
        <v>0</v>
      </c>
      <c r="N162" s="16"/>
      <c r="O162" s="16" t="s">
        <v>700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3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597</v>
      </c>
    </row>
    <row r="163" s="6" customFormat="1" spans="2:72">
      <c r="B163" t="s">
        <v>701</v>
      </c>
      <c r="C163" s="6" t="s">
        <v>71</v>
      </c>
      <c r="D163" s="16" t="s">
        <v>282</v>
      </c>
      <c r="E163" t="s">
        <v>253</v>
      </c>
      <c r="F163" s="24"/>
      <c r="G163" s="16" t="s">
        <v>694</v>
      </c>
      <c r="H163" s="16"/>
      <c r="I163" s="16" t="s">
        <v>285</v>
      </c>
      <c r="J163" s="12" t="s">
        <v>702</v>
      </c>
      <c r="K163" s="16"/>
      <c r="L163" s="16">
        <v>0</v>
      </c>
      <c r="M163" s="16">
        <v>0</v>
      </c>
      <c r="N163" s="16"/>
      <c r="O163" s="10" t="s">
        <v>255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3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597</v>
      </c>
    </row>
    <row r="164" s="6" customFormat="1" spans="2:72">
      <c r="B164" t="s">
        <v>703</v>
      </c>
      <c r="C164" s="6" t="s">
        <v>71</v>
      </c>
      <c r="D164" s="16" t="s">
        <v>282</v>
      </c>
      <c r="E164" t="s">
        <v>704</v>
      </c>
      <c r="F164" s="24"/>
      <c r="G164" s="16" t="s">
        <v>705</v>
      </c>
      <c r="H164" s="16"/>
      <c r="I164" s="16" t="s">
        <v>285</v>
      </c>
      <c r="J164" s="12" t="s">
        <v>706</v>
      </c>
      <c r="K164" s="16"/>
      <c r="L164" s="16">
        <v>0</v>
      </c>
      <c r="M164" s="16">
        <v>0</v>
      </c>
      <c r="N164" s="16"/>
      <c r="O164" s="16" t="s">
        <v>707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3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597</v>
      </c>
    </row>
    <row r="165" s="6" customFormat="1" spans="2:72">
      <c r="B165" t="s">
        <v>708</v>
      </c>
      <c r="C165" s="6" t="s">
        <v>71</v>
      </c>
      <c r="D165" s="16" t="s">
        <v>282</v>
      </c>
      <c r="E165" t="s">
        <v>709</v>
      </c>
      <c r="F165" s="24"/>
      <c r="G165" s="16" t="s">
        <v>705</v>
      </c>
      <c r="H165" s="16"/>
      <c r="I165" s="16" t="s">
        <v>285</v>
      </c>
      <c r="J165" s="12" t="s">
        <v>710</v>
      </c>
      <c r="K165" s="16"/>
      <c r="L165" s="16">
        <v>0</v>
      </c>
      <c r="M165" s="16">
        <v>0</v>
      </c>
      <c r="N165" s="16"/>
      <c r="O165" s="16" t="s">
        <v>601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3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597</v>
      </c>
    </row>
    <row r="166" s="6" customFormat="1" spans="2:72">
      <c r="B166" t="s">
        <v>711</v>
      </c>
      <c r="C166" s="6" t="s">
        <v>71</v>
      </c>
      <c r="D166" s="16" t="s">
        <v>282</v>
      </c>
      <c r="E166" t="s">
        <v>712</v>
      </c>
      <c r="F166" s="24"/>
      <c r="G166" s="16" t="s">
        <v>705</v>
      </c>
      <c r="H166" s="16"/>
      <c r="I166" s="16" t="s">
        <v>285</v>
      </c>
      <c r="J166" s="12" t="s">
        <v>713</v>
      </c>
      <c r="K166" s="16"/>
      <c r="L166" s="16">
        <v>0</v>
      </c>
      <c r="M166" s="16">
        <v>0</v>
      </c>
      <c r="N166" s="16"/>
      <c r="O166" s="16" t="s">
        <v>714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3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597</v>
      </c>
    </row>
    <row r="167" s="6" customFormat="1" spans="2:72">
      <c r="B167" t="s">
        <v>715</v>
      </c>
      <c r="C167" s="6" t="s">
        <v>71</v>
      </c>
      <c r="D167" s="16" t="s">
        <v>282</v>
      </c>
      <c r="E167" t="s">
        <v>716</v>
      </c>
      <c r="F167" s="24"/>
      <c r="G167" s="16" t="s">
        <v>705</v>
      </c>
      <c r="H167" s="16"/>
      <c r="I167" s="16" t="s">
        <v>285</v>
      </c>
      <c r="J167" s="12" t="s">
        <v>717</v>
      </c>
      <c r="K167" s="16"/>
      <c r="L167" s="16">
        <v>0</v>
      </c>
      <c r="M167" s="16">
        <v>0</v>
      </c>
      <c r="N167" s="16"/>
      <c r="O167" s="16" t="s">
        <v>718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3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597</v>
      </c>
    </row>
    <row r="168" s="6" customFormat="1" spans="2:72">
      <c r="B168" t="s">
        <v>719</v>
      </c>
      <c r="C168" s="6" t="s">
        <v>71</v>
      </c>
      <c r="D168" s="16" t="s">
        <v>282</v>
      </c>
      <c r="E168" t="s">
        <v>720</v>
      </c>
      <c r="F168" s="24"/>
      <c r="G168" s="16" t="s">
        <v>705</v>
      </c>
      <c r="H168" s="16"/>
      <c r="I168" s="16" t="s">
        <v>285</v>
      </c>
      <c r="J168" s="12" t="s">
        <v>721</v>
      </c>
      <c r="K168" s="16"/>
      <c r="L168" s="16">
        <v>0</v>
      </c>
      <c r="M168" s="16">
        <v>0</v>
      </c>
      <c r="N168" s="16"/>
      <c r="O168" s="16" t="s">
        <v>722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3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597</v>
      </c>
    </row>
    <row r="169" s="6" customFormat="1" spans="2:72">
      <c r="B169" t="s">
        <v>723</v>
      </c>
      <c r="C169" s="6" t="s">
        <v>71</v>
      </c>
      <c r="D169" s="16" t="s">
        <v>282</v>
      </c>
      <c r="E169" t="s">
        <v>724</v>
      </c>
      <c r="F169" s="24"/>
      <c r="G169" s="16" t="s">
        <v>725</v>
      </c>
      <c r="H169" s="16"/>
      <c r="I169" s="16" t="s">
        <v>285</v>
      </c>
      <c r="J169" s="12" t="s">
        <v>726</v>
      </c>
      <c r="K169" s="16"/>
      <c r="L169" s="16">
        <v>0</v>
      </c>
      <c r="M169" s="16">
        <v>0</v>
      </c>
      <c r="N169" s="16"/>
      <c r="O169" s="16" t="s">
        <v>727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3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597</v>
      </c>
    </row>
    <row r="170" s="6" customFormat="1" spans="2:72">
      <c r="B170" t="s">
        <v>728</v>
      </c>
      <c r="C170" s="6" t="s">
        <v>71</v>
      </c>
      <c r="D170" s="16" t="s">
        <v>282</v>
      </c>
      <c r="E170" t="s">
        <v>729</v>
      </c>
      <c r="F170" s="24"/>
      <c r="G170" s="16" t="s">
        <v>725</v>
      </c>
      <c r="H170" s="16"/>
      <c r="I170" s="16" t="s">
        <v>285</v>
      </c>
      <c r="J170" s="12" t="s">
        <v>730</v>
      </c>
      <c r="K170" s="16"/>
      <c r="L170" s="16">
        <v>0</v>
      </c>
      <c r="M170" s="16">
        <v>0</v>
      </c>
      <c r="N170" s="16"/>
      <c r="O170" s="16" t="s">
        <v>731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3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597</v>
      </c>
    </row>
    <row r="171" s="6" customFormat="1" spans="2:72">
      <c r="B171" t="s">
        <v>732</v>
      </c>
      <c r="C171" s="6" t="s">
        <v>71</v>
      </c>
      <c r="D171" s="16" t="s">
        <v>282</v>
      </c>
      <c r="E171" t="s">
        <v>733</v>
      </c>
      <c r="F171" s="24"/>
      <c r="G171" s="16" t="s">
        <v>725</v>
      </c>
      <c r="H171" s="16"/>
      <c r="I171" s="16" t="s">
        <v>285</v>
      </c>
      <c r="J171" s="12" t="s">
        <v>734</v>
      </c>
      <c r="K171" s="16"/>
      <c r="L171" s="16">
        <v>0</v>
      </c>
      <c r="M171" s="16">
        <v>0</v>
      </c>
      <c r="N171" s="16"/>
      <c r="O171" s="16" t="s">
        <v>735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3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597</v>
      </c>
    </row>
    <row r="172" s="6" customFormat="1" spans="2:72">
      <c r="B172" t="s">
        <v>736</v>
      </c>
      <c r="C172" s="6" t="s">
        <v>71</v>
      </c>
      <c r="D172" s="16" t="s">
        <v>282</v>
      </c>
      <c r="E172" t="s">
        <v>737</v>
      </c>
      <c r="F172" s="24"/>
      <c r="G172" s="16" t="s">
        <v>725</v>
      </c>
      <c r="H172" s="16"/>
      <c r="I172" s="16" t="s">
        <v>285</v>
      </c>
      <c r="J172" s="12" t="s">
        <v>738</v>
      </c>
      <c r="K172" s="16"/>
      <c r="L172" s="16">
        <v>0</v>
      </c>
      <c r="M172" s="16">
        <v>0</v>
      </c>
      <c r="N172" s="16"/>
      <c r="O172" s="16" t="s">
        <v>739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3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597</v>
      </c>
    </row>
    <row r="173" s="6" customFormat="1" spans="2:72">
      <c r="B173" t="s">
        <v>740</v>
      </c>
      <c r="C173" s="6" t="s">
        <v>71</v>
      </c>
      <c r="D173" s="16" t="s">
        <v>282</v>
      </c>
      <c r="E173" t="s">
        <v>741</v>
      </c>
      <c r="F173" s="24"/>
      <c r="G173" s="16" t="s">
        <v>725</v>
      </c>
      <c r="H173" s="16"/>
      <c r="I173" s="16" t="s">
        <v>285</v>
      </c>
      <c r="J173" s="12" t="s">
        <v>742</v>
      </c>
      <c r="K173" s="16"/>
      <c r="L173" s="16">
        <v>0</v>
      </c>
      <c r="M173" s="16">
        <v>0</v>
      </c>
      <c r="N173" s="16"/>
      <c r="O173" s="16" t="s">
        <v>743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3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597</v>
      </c>
    </row>
    <row r="174" s="6" customFormat="1" spans="2:72">
      <c r="B174" t="s">
        <v>744</v>
      </c>
      <c r="C174" s="6" t="s">
        <v>71</v>
      </c>
      <c r="D174" s="16" t="s">
        <v>282</v>
      </c>
      <c r="E174" t="s">
        <v>745</v>
      </c>
      <c r="F174" s="24"/>
      <c r="G174" s="16" t="s">
        <v>725</v>
      </c>
      <c r="H174" s="16"/>
      <c r="I174" s="16" t="s">
        <v>285</v>
      </c>
      <c r="J174" s="12" t="s">
        <v>746</v>
      </c>
      <c r="K174" s="16"/>
      <c r="L174" s="16">
        <v>0</v>
      </c>
      <c r="M174" s="16">
        <v>0</v>
      </c>
      <c r="N174" s="16"/>
      <c r="O174" s="16" t="s">
        <v>747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3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597</v>
      </c>
    </row>
    <row r="175" s="6" customFormat="1" spans="2:72">
      <c r="B175" t="s">
        <v>748</v>
      </c>
      <c r="C175" s="6" t="s">
        <v>71</v>
      </c>
      <c r="D175" s="16" t="s">
        <v>282</v>
      </c>
      <c r="E175" t="s">
        <v>749</v>
      </c>
      <c r="F175" s="24"/>
      <c r="G175" s="16" t="s">
        <v>725</v>
      </c>
      <c r="H175" s="16"/>
      <c r="I175" s="16" t="s">
        <v>285</v>
      </c>
      <c r="J175" s="12" t="s">
        <v>750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3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597</v>
      </c>
    </row>
    <row r="176" s="6" customFormat="1" spans="2:72">
      <c r="B176" t="s">
        <v>751</v>
      </c>
      <c r="C176" s="6" t="s">
        <v>71</v>
      </c>
      <c r="D176" s="16" t="s">
        <v>282</v>
      </c>
      <c r="E176" t="s">
        <v>749</v>
      </c>
      <c r="F176" s="24"/>
      <c r="G176" s="16" t="s">
        <v>725</v>
      </c>
      <c r="H176" s="16"/>
      <c r="I176" s="16" t="s">
        <v>285</v>
      </c>
      <c r="J176" s="12" t="s">
        <v>752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3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597</v>
      </c>
    </row>
    <row r="177" s="6" customFormat="1" spans="2:69">
      <c r="B177" t="s">
        <v>753</v>
      </c>
      <c r="C177" s="6" t="s">
        <v>71</v>
      </c>
      <c r="D177" s="16" t="s">
        <v>282</v>
      </c>
      <c r="E177" t="s">
        <v>754</v>
      </c>
      <c r="F177" s="24"/>
      <c r="G177" s="16" t="s">
        <v>755</v>
      </c>
      <c r="H177" s="16"/>
      <c r="I177" s="16" t="s">
        <v>285</v>
      </c>
      <c r="J177" s="12" t="s">
        <v>756</v>
      </c>
      <c r="K177" s="16"/>
      <c r="L177" s="16">
        <v>0</v>
      </c>
      <c r="M177" s="16">
        <v>0</v>
      </c>
      <c r="N177" s="16"/>
      <c r="O177" s="16" t="s">
        <v>757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3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="6" customFormat="1" spans="2:69">
      <c r="B178" t="s">
        <v>758</v>
      </c>
      <c r="C178" s="6" t="s">
        <v>71</v>
      </c>
      <c r="D178" s="16" t="s">
        <v>282</v>
      </c>
      <c r="E178" t="s">
        <v>759</v>
      </c>
      <c r="F178" s="24"/>
      <c r="G178" s="16" t="s">
        <v>755</v>
      </c>
      <c r="H178" s="16"/>
      <c r="I178" s="16" t="s">
        <v>285</v>
      </c>
      <c r="J178" s="12" t="s">
        <v>760</v>
      </c>
      <c r="K178" s="16"/>
      <c r="L178" s="16">
        <v>0</v>
      </c>
      <c r="M178" s="16">
        <v>0</v>
      </c>
      <c r="N178" s="16"/>
      <c r="O178" s="16" t="s">
        <v>761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3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="6" customFormat="1" spans="2:69">
      <c r="B179" t="s">
        <v>762</v>
      </c>
      <c r="C179" s="6" t="s">
        <v>71</v>
      </c>
      <c r="D179" s="16" t="s">
        <v>282</v>
      </c>
      <c r="E179" t="s">
        <v>763</v>
      </c>
      <c r="F179" s="24"/>
      <c r="G179" s="16" t="s">
        <v>755</v>
      </c>
      <c r="H179" s="16"/>
      <c r="I179" s="16" t="s">
        <v>285</v>
      </c>
      <c r="J179" s="12" t="s">
        <v>764</v>
      </c>
      <c r="K179" s="16"/>
      <c r="L179" s="16">
        <v>0</v>
      </c>
      <c r="M179" s="16">
        <v>0</v>
      </c>
      <c r="N179" s="16"/>
      <c r="O179" s="16" t="s">
        <v>765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3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="6" customFormat="1" spans="2:69">
      <c r="B180" t="s">
        <v>766</v>
      </c>
      <c r="C180" s="6" t="s">
        <v>71</v>
      </c>
      <c r="D180" s="16" t="s">
        <v>282</v>
      </c>
      <c r="E180" t="s">
        <v>767</v>
      </c>
      <c r="F180" s="24"/>
      <c r="G180" s="16" t="s">
        <v>755</v>
      </c>
      <c r="H180" s="16"/>
      <c r="I180" s="16" t="s">
        <v>285</v>
      </c>
      <c r="J180" s="12" t="s">
        <v>768</v>
      </c>
      <c r="K180" s="16"/>
      <c r="L180" s="16">
        <v>0</v>
      </c>
      <c r="M180" s="16">
        <v>0</v>
      </c>
      <c r="N180" s="16"/>
      <c r="O180" s="16" t="s">
        <v>769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3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="6" customFormat="1" spans="2:69">
      <c r="B181" t="s">
        <v>770</v>
      </c>
      <c r="C181" s="6" t="s">
        <v>71</v>
      </c>
      <c r="D181" s="16" t="s">
        <v>282</v>
      </c>
      <c r="E181" s="32" t="s">
        <v>771</v>
      </c>
      <c r="F181" s="24"/>
      <c r="G181" s="16" t="s">
        <v>755</v>
      </c>
      <c r="H181" s="16"/>
      <c r="I181" s="16" t="s">
        <v>285</v>
      </c>
      <c r="J181" s="12"/>
      <c r="K181" s="16"/>
      <c r="L181" s="16">
        <v>0</v>
      </c>
      <c r="M181" s="16">
        <v>0</v>
      </c>
      <c r="N181" s="16"/>
      <c r="O181" s="16" t="s">
        <v>772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3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="6" customFormat="1" spans="2:69">
      <c r="B182" t="s">
        <v>773</v>
      </c>
      <c r="C182" s="6" t="s">
        <v>71</v>
      </c>
      <c r="D182" s="16" t="s">
        <v>282</v>
      </c>
      <c r="E182" t="s">
        <v>774</v>
      </c>
      <c r="F182" s="24"/>
      <c r="G182" s="16" t="s">
        <v>755</v>
      </c>
      <c r="H182" s="16"/>
      <c r="I182" s="16" t="s">
        <v>285</v>
      </c>
      <c r="J182" s="12" t="s">
        <v>775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3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600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="6" customFormat="1" spans="2:69">
      <c r="B183" t="s">
        <v>776</v>
      </c>
      <c r="C183" s="6" t="s">
        <v>71</v>
      </c>
      <c r="D183" s="16" t="s">
        <v>282</v>
      </c>
      <c r="E183" t="s">
        <v>161</v>
      </c>
      <c r="F183" s="24"/>
      <c r="G183" s="16" t="s">
        <v>777</v>
      </c>
      <c r="H183" s="16"/>
      <c r="I183" s="16" t="s">
        <v>285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3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="6" customFormat="1" spans="2:69">
      <c r="B184" t="s">
        <v>778</v>
      </c>
      <c r="C184" s="6" t="s">
        <v>71</v>
      </c>
      <c r="D184" s="16" t="s">
        <v>282</v>
      </c>
      <c r="E184" t="s">
        <v>172</v>
      </c>
      <c r="F184" s="24"/>
      <c r="G184" s="16" t="s">
        <v>777</v>
      </c>
      <c r="H184" s="16"/>
      <c r="I184" s="16" t="s">
        <v>285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3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="6" customFormat="1" spans="2:69">
      <c r="B185" t="s">
        <v>779</v>
      </c>
      <c r="C185" s="6" t="s">
        <v>71</v>
      </c>
      <c r="D185" s="16" t="s">
        <v>282</v>
      </c>
      <c r="E185" t="s">
        <v>780</v>
      </c>
      <c r="F185" s="24"/>
      <c r="G185" s="16" t="s">
        <v>777</v>
      </c>
      <c r="H185" s="16"/>
      <c r="I185" s="16" t="s">
        <v>285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3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="6" customFormat="1" spans="2:69">
      <c r="B186" t="s">
        <v>781</v>
      </c>
      <c r="C186" s="6" t="s">
        <v>71</v>
      </c>
      <c r="D186" s="16" t="s">
        <v>282</v>
      </c>
      <c r="E186" s="4" t="s">
        <v>782</v>
      </c>
      <c r="F186" s="24"/>
      <c r="G186" s="16" t="s">
        <v>777</v>
      </c>
      <c r="H186" s="16"/>
      <c r="I186" s="16" t="s">
        <v>285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646</v>
      </c>
      <c r="P186" s="16">
        <v>2.01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3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="6" customFormat="1" spans="2:69">
      <c r="B187" t="s">
        <v>783</v>
      </c>
      <c r="C187" s="6" t="s">
        <v>71</v>
      </c>
      <c r="D187" s="16" t="s">
        <v>282</v>
      </c>
      <c r="E187" t="s">
        <v>784</v>
      </c>
      <c r="F187" s="24"/>
      <c r="G187" s="16" t="s">
        <v>777</v>
      </c>
      <c r="H187" s="16"/>
      <c r="I187" s="16" t="s">
        <v>285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2.3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3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="6" customFormat="1" spans="2:69">
      <c r="B188" t="s">
        <v>785</v>
      </c>
      <c r="C188" s="6" t="s">
        <v>71</v>
      </c>
      <c r="D188" s="16" t="s">
        <v>282</v>
      </c>
      <c r="E188" t="s">
        <v>786</v>
      </c>
      <c r="F188" s="24"/>
      <c r="G188" s="16"/>
      <c r="H188" s="16"/>
      <c r="I188" s="16" t="s">
        <v>285</v>
      </c>
      <c r="J188" s="16" t="s">
        <v>461</v>
      </c>
      <c r="K188" s="16"/>
      <c r="L188" s="16">
        <v>0</v>
      </c>
      <c r="M188" s="16">
        <v>0</v>
      </c>
      <c r="N188" s="16"/>
      <c r="O188" s="16" t="s">
        <v>646</v>
      </c>
      <c r="P188" s="10">
        <v>2</v>
      </c>
      <c r="Q188" s="16"/>
      <c r="R188" s="16"/>
      <c r="S188" s="16"/>
      <c r="T188" s="16"/>
      <c r="U188" s="16">
        <v>4</v>
      </c>
      <c r="V188" s="16">
        <v>2</v>
      </c>
      <c r="W188" s="16" t="s">
        <v>150</v>
      </c>
      <c r="X188" s="16">
        <v>450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3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600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100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="6" customFormat="1" spans="2:69">
      <c r="B189" t="s">
        <v>787</v>
      </c>
      <c r="C189" s="6" t="s">
        <v>71</v>
      </c>
      <c r="D189" s="16" t="s">
        <v>282</v>
      </c>
      <c r="E189" t="s">
        <v>788</v>
      </c>
      <c r="F189" s="24"/>
      <c r="G189" s="16"/>
      <c r="H189" s="16"/>
      <c r="I189" s="16" t="s">
        <v>285</v>
      </c>
      <c r="J189" s="16" t="s">
        <v>461</v>
      </c>
      <c r="K189" s="16"/>
      <c r="L189" s="16">
        <v>0</v>
      </c>
      <c r="M189" s="16">
        <v>0</v>
      </c>
      <c r="N189" s="16"/>
      <c r="O189" s="16" t="s">
        <v>646</v>
      </c>
      <c r="P189" s="10">
        <v>2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/>
      <c r="AC189" s="16"/>
      <c r="AD189" s="16">
        <v>0</v>
      </c>
      <c r="AE189" s="16" t="s">
        <v>151</v>
      </c>
      <c r="AF189" s="16"/>
      <c r="AG189" s="16"/>
      <c r="AH189" s="53" t="s">
        <v>152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="6" customFormat="1" spans="2:69">
      <c r="B190" t="s">
        <v>789</v>
      </c>
      <c r="C190" s="6" t="s">
        <v>71</v>
      </c>
      <c r="D190" s="16" t="s">
        <v>282</v>
      </c>
      <c r="E190" t="s">
        <v>790</v>
      </c>
      <c r="F190" s="24"/>
      <c r="G190" s="16"/>
      <c r="H190" s="16"/>
      <c r="I190" s="16" t="s">
        <v>285</v>
      </c>
      <c r="J190" s="16" t="s">
        <v>461</v>
      </c>
      <c r="K190" s="16"/>
      <c r="L190" s="16">
        <v>0</v>
      </c>
      <c r="M190" s="16">
        <v>0</v>
      </c>
      <c r="N190" s="16"/>
      <c r="O190" s="16" t="s">
        <v>646</v>
      </c>
      <c r="P190" s="10">
        <v>2</v>
      </c>
      <c r="Q190" s="16"/>
      <c r="R190" s="16"/>
      <c r="S190" s="16"/>
      <c r="T190" s="16"/>
      <c r="U190" s="16">
        <v>4</v>
      </c>
      <c r="V190" s="16">
        <v>2</v>
      </c>
      <c r="W190" s="16" t="s">
        <v>150</v>
      </c>
      <c r="X190" s="16">
        <v>450</v>
      </c>
      <c r="Y190" s="16">
        <v>0</v>
      </c>
      <c r="Z190" s="16" t="s">
        <v>151</v>
      </c>
      <c r="AA190" s="16">
        <v>1500</v>
      </c>
      <c r="AB190" s="16"/>
      <c r="AC190" s="16"/>
      <c r="AD190" s="16">
        <v>0</v>
      </c>
      <c r="AE190" s="16" t="s">
        <v>151</v>
      </c>
      <c r="AF190" s="16"/>
      <c r="AG190" s="16"/>
      <c r="AH190" s="53" t="s">
        <v>152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="6" customFormat="1" spans="2:69">
      <c r="B191" t="s">
        <v>791</v>
      </c>
      <c r="C191" s="6" t="s">
        <v>71</v>
      </c>
      <c r="D191" s="16" t="s">
        <v>282</v>
      </c>
      <c r="E191" t="s">
        <v>792</v>
      </c>
      <c r="F191" s="24"/>
      <c r="G191" s="16"/>
      <c r="H191" s="16"/>
      <c r="I191" s="16" t="s">
        <v>285</v>
      </c>
      <c r="J191" s="16" t="s">
        <v>461</v>
      </c>
      <c r="K191" s="16"/>
      <c r="L191" s="16">
        <v>0</v>
      </c>
      <c r="M191" s="16">
        <v>0</v>
      </c>
      <c r="N191" s="16"/>
      <c r="O191" s="16" t="s">
        <v>646</v>
      </c>
      <c r="P191" s="10">
        <v>2</v>
      </c>
      <c r="Q191" s="16"/>
      <c r="R191" s="16"/>
      <c r="S191" s="16"/>
      <c r="T191" s="16"/>
      <c r="U191" s="16">
        <v>1</v>
      </c>
      <c r="V191" s="16">
        <v>2</v>
      </c>
      <c r="W191" s="16" t="s">
        <v>150</v>
      </c>
      <c r="X191" s="16">
        <v>450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3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="6" customFormat="1" spans="2:69">
      <c r="B192" t="s">
        <v>793</v>
      </c>
      <c r="C192" s="6" t="s">
        <v>71</v>
      </c>
      <c r="D192" s="16" t="s">
        <v>282</v>
      </c>
      <c r="E192" t="s">
        <v>794</v>
      </c>
      <c r="F192" s="24"/>
      <c r="G192" s="16"/>
      <c r="H192" s="16"/>
      <c r="I192" s="16" t="s">
        <v>285</v>
      </c>
      <c r="J192" s="16" t="s">
        <v>461</v>
      </c>
      <c r="K192" s="16"/>
      <c r="L192" s="16">
        <v>0</v>
      </c>
      <c r="M192" s="16">
        <v>0</v>
      </c>
      <c r="N192" s="16"/>
      <c r="O192" s="16" t="s">
        <v>646</v>
      </c>
      <c r="P192" s="10">
        <v>2</v>
      </c>
      <c r="Q192" s="16"/>
      <c r="R192" s="16"/>
      <c r="S192" s="16"/>
      <c r="T192" s="16"/>
      <c r="U192" s="16">
        <v>4</v>
      </c>
      <c r="V192" s="16">
        <v>2</v>
      </c>
      <c r="W192" s="16" t="s">
        <v>150</v>
      </c>
      <c r="X192" s="16">
        <v>450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3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="6" customFormat="1" spans="2:69">
      <c r="B193" t="s">
        <v>795</v>
      </c>
      <c r="C193" s="6" t="s">
        <v>71</v>
      </c>
      <c r="D193" s="16" t="s">
        <v>282</v>
      </c>
      <c r="E193" t="s">
        <v>796</v>
      </c>
      <c r="F193" s="24"/>
      <c r="G193" s="16"/>
      <c r="H193" s="16"/>
      <c r="I193" s="16" t="s">
        <v>285</v>
      </c>
      <c r="J193" s="16" t="s">
        <v>461</v>
      </c>
      <c r="K193" s="16"/>
      <c r="L193" s="16">
        <v>0</v>
      </c>
      <c r="M193" s="16">
        <v>0</v>
      </c>
      <c r="N193" s="16"/>
      <c r="O193" s="16" t="s">
        <v>646</v>
      </c>
      <c r="P193" s="10">
        <v>2</v>
      </c>
      <c r="Q193" s="16"/>
      <c r="R193" s="16"/>
      <c r="S193" s="16"/>
      <c r="T193" s="16"/>
      <c r="U193" s="16">
        <v>4</v>
      </c>
      <c r="V193" s="16">
        <v>2</v>
      </c>
      <c r="W193" s="16" t="s">
        <v>150</v>
      </c>
      <c r="X193" s="16">
        <v>450</v>
      </c>
      <c r="Y193" s="16">
        <v>0</v>
      </c>
      <c r="Z193" s="16" t="s">
        <v>151</v>
      </c>
      <c r="AA193" s="16">
        <v>1500</v>
      </c>
      <c r="AB193" s="16"/>
      <c r="AC193" s="16"/>
      <c r="AD193" s="16">
        <v>0</v>
      </c>
      <c r="AE193" s="16" t="s">
        <v>151</v>
      </c>
      <c r="AF193" s="16"/>
      <c r="AG193" s="16"/>
      <c r="AH193" s="53" t="s">
        <v>152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="6" customFormat="1" spans="2:69">
      <c r="B194" t="s">
        <v>797</v>
      </c>
      <c r="C194" s="6" t="s">
        <v>71</v>
      </c>
      <c r="D194" s="16" t="s">
        <v>282</v>
      </c>
      <c r="E194" t="s">
        <v>798</v>
      </c>
      <c r="F194" s="24"/>
      <c r="G194" s="16"/>
      <c r="H194" s="16"/>
      <c r="I194" s="16" t="s">
        <v>285</v>
      </c>
      <c r="J194" s="16" t="s">
        <v>461</v>
      </c>
      <c r="K194" s="16"/>
      <c r="L194" s="16">
        <v>0</v>
      </c>
      <c r="M194" s="16">
        <v>0</v>
      </c>
      <c r="N194" s="16"/>
      <c r="O194" s="16" t="s">
        <v>646</v>
      </c>
      <c r="P194" s="10">
        <v>2</v>
      </c>
      <c r="Q194" s="16"/>
      <c r="R194" s="16"/>
      <c r="S194" s="16"/>
      <c r="T194" s="16"/>
      <c r="U194" s="16">
        <v>1</v>
      </c>
      <c r="V194" s="16">
        <v>2</v>
      </c>
      <c r="W194" s="16" t="s">
        <v>150</v>
      </c>
      <c r="X194" s="16">
        <v>450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3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="6" customFormat="1" spans="2:69">
      <c r="B195" t="s">
        <v>799</v>
      </c>
      <c r="C195" s="6" t="s">
        <v>71</v>
      </c>
      <c r="D195" s="16" t="s">
        <v>282</v>
      </c>
      <c r="E195" t="s">
        <v>800</v>
      </c>
      <c r="F195" s="24"/>
      <c r="G195" s="16"/>
      <c r="H195" s="16"/>
      <c r="I195" s="16" t="s">
        <v>285</v>
      </c>
      <c r="J195" s="16" t="s">
        <v>461</v>
      </c>
      <c r="K195" s="16"/>
      <c r="L195" s="16">
        <v>0</v>
      </c>
      <c r="M195" s="16">
        <v>0</v>
      </c>
      <c r="N195" s="16"/>
      <c r="O195" s="16" t="s">
        <v>646</v>
      </c>
      <c r="P195" s="10">
        <v>2</v>
      </c>
      <c r="Q195" s="16"/>
      <c r="R195" s="16"/>
      <c r="S195" s="16"/>
      <c r="T195" s="16"/>
      <c r="U195" s="16">
        <v>4</v>
      </c>
      <c r="V195" s="16">
        <v>2</v>
      </c>
      <c r="W195" s="16" t="s">
        <v>150</v>
      </c>
      <c r="X195" s="16">
        <v>450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3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="6" customFormat="1" spans="2:69">
      <c r="B196" t="s">
        <v>801</v>
      </c>
      <c r="C196" s="6" t="s">
        <v>71</v>
      </c>
      <c r="D196" s="16" t="s">
        <v>282</v>
      </c>
      <c r="E196" t="s">
        <v>802</v>
      </c>
      <c r="F196" s="24"/>
      <c r="G196" s="16"/>
      <c r="H196" s="16"/>
      <c r="I196" s="16" t="s">
        <v>285</v>
      </c>
      <c r="J196" s="16" t="s">
        <v>461</v>
      </c>
      <c r="K196" s="16"/>
      <c r="L196" s="16">
        <v>0</v>
      </c>
      <c r="M196" s="16">
        <v>0</v>
      </c>
      <c r="N196" s="16"/>
      <c r="O196" s="16" t="s">
        <v>646</v>
      </c>
      <c r="P196" s="10">
        <v>2</v>
      </c>
      <c r="Q196" s="16"/>
      <c r="R196" s="16"/>
      <c r="S196" s="16"/>
      <c r="T196" s="16"/>
      <c r="U196" s="16">
        <v>4</v>
      </c>
      <c r="V196" s="16">
        <v>2</v>
      </c>
      <c r="W196" s="16" t="s">
        <v>150</v>
      </c>
      <c r="X196" s="16">
        <v>450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3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="6" customFormat="1" spans="2:69">
      <c r="B197" t="s">
        <v>803</v>
      </c>
      <c r="C197" s="6" t="s">
        <v>71</v>
      </c>
      <c r="D197" s="16" t="s">
        <v>282</v>
      </c>
      <c r="E197" t="s">
        <v>804</v>
      </c>
      <c r="F197" s="24"/>
      <c r="G197" s="16"/>
      <c r="H197" s="16"/>
      <c r="I197" s="16" t="s">
        <v>285</v>
      </c>
      <c r="J197" s="16" t="s">
        <v>461</v>
      </c>
      <c r="K197" s="16"/>
      <c r="L197" s="16">
        <v>0</v>
      </c>
      <c r="M197" s="16">
        <v>0</v>
      </c>
      <c r="N197" s="16"/>
      <c r="O197" s="16" t="s">
        <v>646</v>
      </c>
      <c r="P197" s="10">
        <v>2</v>
      </c>
      <c r="Q197" s="16"/>
      <c r="R197" s="16"/>
      <c r="S197" s="16"/>
      <c r="T197" s="16"/>
      <c r="U197" s="16">
        <v>4</v>
      </c>
      <c r="V197" s="16">
        <v>2</v>
      </c>
      <c r="W197" s="16" t="s">
        <v>150</v>
      </c>
      <c r="X197" s="16">
        <v>450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3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="6" customFormat="1" spans="2:69">
      <c r="B198" t="s">
        <v>805</v>
      </c>
      <c r="C198" s="6" t="s">
        <v>71</v>
      </c>
      <c r="D198" s="16" t="s">
        <v>282</v>
      </c>
      <c r="E198" t="s">
        <v>806</v>
      </c>
      <c r="F198" s="24"/>
      <c r="G198" s="16"/>
      <c r="H198" s="16"/>
      <c r="I198" s="16" t="s">
        <v>285</v>
      </c>
      <c r="J198" s="16" t="s">
        <v>461</v>
      </c>
      <c r="K198" s="16"/>
      <c r="L198" s="16">
        <v>0</v>
      </c>
      <c r="M198" s="16">
        <v>0</v>
      </c>
      <c r="N198" s="16"/>
      <c r="O198" s="16" t="s">
        <v>646</v>
      </c>
      <c r="P198" s="10">
        <v>2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450</v>
      </c>
      <c r="Y198" s="16">
        <v>0</v>
      </c>
      <c r="Z198" s="16" t="s">
        <v>151</v>
      </c>
      <c r="AA198" s="16">
        <v>1500</v>
      </c>
      <c r="AB198" s="16"/>
      <c r="AC198" s="16"/>
      <c r="AD198" s="16">
        <v>0</v>
      </c>
      <c r="AE198" s="16" t="s">
        <v>151</v>
      </c>
      <c r="AF198" s="16"/>
      <c r="AG198" s="16"/>
      <c r="AH198" s="53" t="s">
        <v>152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600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="6" customFormat="1" spans="2:69">
      <c r="B199" t="s">
        <v>807</v>
      </c>
      <c r="C199" s="6" t="s">
        <v>71</v>
      </c>
      <c r="D199" s="16" t="s">
        <v>282</v>
      </c>
      <c r="E199" t="s">
        <v>808</v>
      </c>
      <c r="F199" s="24"/>
      <c r="G199" s="16"/>
      <c r="H199" s="16"/>
      <c r="I199" s="16" t="s">
        <v>285</v>
      </c>
      <c r="J199" s="16" t="s">
        <v>461</v>
      </c>
      <c r="K199" s="16"/>
      <c r="L199" s="16">
        <v>0</v>
      </c>
      <c r="M199" s="16">
        <v>0</v>
      </c>
      <c r="N199" s="16"/>
      <c r="O199" s="16" t="s">
        <v>646</v>
      </c>
      <c r="P199" s="10">
        <v>2</v>
      </c>
      <c r="Q199" s="16"/>
      <c r="R199" s="16"/>
      <c r="S199" s="16"/>
      <c r="T199" s="16"/>
      <c r="U199" s="16">
        <v>4</v>
      </c>
      <c r="V199" s="16">
        <v>2</v>
      </c>
      <c r="W199" s="16" t="s">
        <v>150</v>
      </c>
      <c r="X199" s="16">
        <v>450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3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600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="6" customFormat="1" spans="2:69">
      <c r="B200" t="s">
        <v>809</v>
      </c>
      <c r="C200" s="6" t="s">
        <v>71</v>
      </c>
      <c r="D200" s="16" t="s">
        <v>282</v>
      </c>
      <c r="E200" t="s">
        <v>810</v>
      </c>
      <c r="F200" s="24"/>
      <c r="G200" s="16"/>
      <c r="H200" s="16"/>
      <c r="I200" s="16" t="s">
        <v>285</v>
      </c>
      <c r="J200" s="16" t="s">
        <v>461</v>
      </c>
      <c r="K200" s="16"/>
      <c r="L200" s="16">
        <v>0</v>
      </c>
      <c r="M200" s="16">
        <v>0</v>
      </c>
      <c r="N200" s="16"/>
      <c r="O200" s="16" t="s">
        <v>646</v>
      </c>
      <c r="P200" s="10">
        <v>2</v>
      </c>
      <c r="Q200" s="16"/>
      <c r="R200" s="16"/>
      <c r="S200" s="16"/>
      <c r="T200" s="16"/>
      <c r="U200" s="16">
        <v>4</v>
      </c>
      <c r="V200" s="16">
        <v>2</v>
      </c>
      <c r="W200" s="16" t="s">
        <v>150</v>
      </c>
      <c r="X200" s="16">
        <v>450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3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600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="6" customFormat="1" spans="2:69">
      <c r="B201" t="s">
        <v>811</v>
      </c>
      <c r="C201" s="6" t="s">
        <v>71</v>
      </c>
      <c r="D201" s="16" t="s">
        <v>282</v>
      </c>
      <c r="E201" t="s">
        <v>812</v>
      </c>
      <c r="F201" s="24"/>
      <c r="G201" s="16"/>
      <c r="H201" s="16"/>
      <c r="I201" s="16" t="s">
        <v>285</v>
      </c>
      <c r="J201" s="16" t="s">
        <v>461</v>
      </c>
      <c r="K201" s="16"/>
      <c r="L201" s="16">
        <v>0</v>
      </c>
      <c r="M201" s="16">
        <v>0</v>
      </c>
      <c r="N201" s="16"/>
      <c r="O201" s="16" t="s">
        <v>646</v>
      </c>
      <c r="P201" s="10">
        <v>2</v>
      </c>
      <c r="Q201" s="16"/>
      <c r="R201" s="16"/>
      <c r="S201" s="16"/>
      <c r="T201" s="16"/>
      <c r="U201" s="16">
        <v>4</v>
      </c>
      <c r="V201" s="16">
        <v>2</v>
      </c>
      <c r="W201" s="16" t="s">
        <v>150</v>
      </c>
      <c r="X201" s="16">
        <v>450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3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600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="6" customFormat="1" spans="2:69">
      <c r="B202" t="s">
        <v>813</v>
      </c>
      <c r="C202" s="6" t="s">
        <v>71</v>
      </c>
      <c r="D202" s="16" t="s">
        <v>282</v>
      </c>
      <c r="E202" t="s">
        <v>814</v>
      </c>
      <c r="F202" s="24"/>
      <c r="G202" s="16"/>
      <c r="H202" s="16"/>
      <c r="I202" s="16" t="s">
        <v>285</v>
      </c>
      <c r="J202" s="16" t="s">
        <v>461</v>
      </c>
      <c r="K202" s="16"/>
      <c r="L202" s="16">
        <v>0</v>
      </c>
      <c r="M202" s="16">
        <v>0</v>
      </c>
      <c r="N202" s="16"/>
      <c r="O202" s="16" t="s">
        <v>646</v>
      </c>
      <c r="P202" s="10">
        <v>2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450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3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600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="6" customFormat="1" spans="2:69">
      <c r="B203" t="s">
        <v>815</v>
      </c>
      <c r="C203" s="6" t="s">
        <v>71</v>
      </c>
      <c r="D203" s="16" t="s">
        <v>282</v>
      </c>
      <c r="E203" t="s">
        <v>816</v>
      </c>
      <c r="F203" s="24"/>
      <c r="G203" s="16"/>
      <c r="H203" s="16"/>
      <c r="I203" s="16" t="s">
        <v>285</v>
      </c>
      <c r="J203" s="16" t="s">
        <v>461</v>
      </c>
      <c r="K203" s="16"/>
      <c r="L203" s="16">
        <v>0</v>
      </c>
      <c r="M203" s="16">
        <v>0</v>
      </c>
      <c r="N203" s="16"/>
      <c r="O203" s="16" t="s">
        <v>646</v>
      </c>
      <c r="P203" s="10">
        <v>2</v>
      </c>
      <c r="Q203" s="16"/>
      <c r="R203" s="16"/>
      <c r="S203" s="16"/>
      <c r="T203" s="16"/>
      <c r="U203" s="16">
        <v>4</v>
      </c>
      <c r="V203" s="16">
        <v>2</v>
      </c>
      <c r="W203" s="16" t="s">
        <v>150</v>
      </c>
      <c r="X203" s="16">
        <v>450</v>
      </c>
      <c r="Y203" s="16">
        <v>0</v>
      </c>
      <c r="Z203" s="16" t="s">
        <v>151</v>
      </c>
      <c r="AA203" s="16">
        <v>1500</v>
      </c>
      <c r="AB203" s="16"/>
      <c r="AC203" s="16"/>
      <c r="AD203" s="16">
        <v>0</v>
      </c>
      <c r="AE203" s="16" t="s">
        <v>151</v>
      </c>
      <c r="AF203" s="16"/>
      <c r="AG203" s="16"/>
      <c r="AH203" s="53" t="s">
        <v>152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="6" customFormat="1" spans="2:69">
      <c r="B204" s="4" t="s">
        <v>817</v>
      </c>
      <c r="C204" s="6" t="s">
        <v>71</v>
      </c>
      <c r="D204" s="16" t="s">
        <v>282</v>
      </c>
      <c r="E204" s="41" t="s">
        <v>818</v>
      </c>
      <c r="F204" s="24"/>
      <c r="G204" s="16" t="s">
        <v>819</v>
      </c>
      <c r="H204" s="16"/>
      <c r="I204" s="16" t="s">
        <v>285</v>
      </c>
      <c r="J204" s="12"/>
      <c r="K204" s="16"/>
      <c r="L204" s="16">
        <v>0</v>
      </c>
      <c r="M204" s="16">
        <v>0</v>
      </c>
      <c r="N204" s="16"/>
      <c r="O204" s="16" t="s">
        <v>820</v>
      </c>
      <c r="P204" s="16">
        <v>1.34</v>
      </c>
      <c r="Q204" s="16"/>
      <c r="R204" s="16"/>
      <c r="S204" s="16"/>
      <c r="T204" s="16"/>
      <c r="U204" s="16">
        <v>2</v>
      </c>
      <c r="V204" s="16">
        <v>2</v>
      </c>
      <c r="W204" s="16" t="s">
        <v>150</v>
      </c>
      <c r="X204" s="16">
        <v>450</v>
      </c>
      <c r="Y204" s="16">
        <v>0</v>
      </c>
      <c r="Z204" s="16" t="s">
        <v>151</v>
      </c>
      <c r="AA204" s="16">
        <v>600</v>
      </c>
      <c r="AB204" s="16"/>
      <c r="AC204" s="16"/>
      <c r="AD204" s="16">
        <v>0</v>
      </c>
      <c r="AE204" s="16" t="s">
        <v>151</v>
      </c>
      <c r="AF204" s="16"/>
      <c r="AG204" s="16"/>
      <c r="AH204" s="53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250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6"/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="6" customFormat="1" spans="2:69">
      <c r="B205" s="4" t="s">
        <v>821</v>
      </c>
      <c r="C205" s="6" t="s">
        <v>71</v>
      </c>
      <c r="D205" s="16" t="s">
        <v>282</v>
      </c>
      <c r="E205" s="41" t="s">
        <v>822</v>
      </c>
      <c r="F205" s="24"/>
      <c r="G205" s="16" t="s">
        <v>819</v>
      </c>
      <c r="H205" s="16"/>
      <c r="I205" s="16" t="s">
        <v>285</v>
      </c>
      <c r="J205" s="12"/>
      <c r="K205" s="16"/>
      <c r="L205" s="16">
        <v>0</v>
      </c>
      <c r="M205" s="16">
        <v>0</v>
      </c>
      <c r="N205" s="16"/>
      <c r="O205" s="16" t="s">
        <v>820</v>
      </c>
      <c r="P205" s="16">
        <v>1.4</v>
      </c>
      <c r="Q205" s="16"/>
      <c r="R205" s="16"/>
      <c r="S205" s="16"/>
      <c r="T205" s="16"/>
      <c r="U205" s="16">
        <v>2</v>
      </c>
      <c r="V205" s="16">
        <v>2</v>
      </c>
      <c r="W205" s="16" t="s">
        <v>150</v>
      </c>
      <c r="X205" s="16">
        <v>450</v>
      </c>
      <c r="Y205" s="16">
        <v>0</v>
      </c>
      <c r="Z205" s="16" t="s">
        <v>151</v>
      </c>
      <c r="AA205" s="16">
        <v>600</v>
      </c>
      <c r="AB205" s="16"/>
      <c r="AC205" s="16"/>
      <c r="AD205" s="16">
        <v>0</v>
      </c>
      <c r="AE205" s="16" t="s">
        <v>151</v>
      </c>
      <c r="AF205" s="16"/>
      <c r="AG205" s="16"/>
      <c r="AH205" s="53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250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6"/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="6" customFormat="1" spans="2:69">
      <c r="B206" s="4" t="s">
        <v>823</v>
      </c>
      <c r="C206" s="6" t="s">
        <v>71</v>
      </c>
      <c r="D206" s="16" t="s">
        <v>282</v>
      </c>
      <c r="E206" s="41" t="s">
        <v>824</v>
      </c>
      <c r="F206" s="24"/>
      <c r="G206" s="16" t="s">
        <v>819</v>
      </c>
      <c r="H206" s="16"/>
      <c r="I206" s="16" t="s">
        <v>285</v>
      </c>
      <c r="J206" s="12"/>
      <c r="K206" s="16"/>
      <c r="L206" s="16">
        <v>0</v>
      </c>
      <c r="M206" s="16">
        <v>0</v>
      </c>
      <c r="N206" s="16"/>
      <c r="O206" s="16" t="s">
        <v>820</v>
      </c>
      <c r="P206" s="16">
        <v>1.46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3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="6" customFormat="1" spans="2:69">
      <c r="B207" s="4" t="s">
        <v>825</v>
      </c>
      <c r="C207" s="6" t="s">
        <v>71</v>
      </c>
      <c r="D207" s="16" t="s">
        <v>282</v>
      </c>
      <c r="E207" s="41" t="s">
        <v>826</v>
      </c>
      <c r="F207" s="24"/>
      <c r="G207" s="16" t="s">
        <v>819</v>
      </c>
      <c r="H207" s="16"/>
      <c r="I207" s="16" t="s">
        <v>285</v>
      </c>
      <c r="J207" s="12"/>
      <c r="K207" s="16"/>
      <c r="L207" s="16">
        <v>0</v>
      </c>
      <c r="M207" s="16">
        <v>0</v>
      </c>
      <c r="N207" s="16"/>
      <c r="O207" s="16" t="s">
        <v>820</v>
      </c>
      <c r="P207" s="16">
        <v>1.52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3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="6" customFormat="1" spans="2:69">
      <c r="B208" s="4" t="s">
        <v>827</v>
      </c>
      <c r="C208" s="6" t="s">
        <v>71</v>
      </c>
      <c r="D208" s="16" t="s">
        <v>282</v>
      </c>
      <c r="E208" s="41" t="s">
        <v>828</v>
      </c>
      <c r="F208" s="24"/>
      <c r="G208" s="16" t="s">
        <v>819</v>
      </c>
      <c r="H208" s="16"/>
      <c r="I208" s="16" t="s">
        <v>285</v>
      </c>
      <c r="J208" s="12"/>
      <c r="K208" s="16"/>
      <c r="L208" s="16">
        <v>0</v>
      </c>
      <c r="M208" s="16">
        <v>0</v>
      </c>
      <c r="N208" s="16"/>
      <c r="O208" s="16" t="s">
        <v>820</v>
      </c>
      <c r="P208" s="16">
        <v>1.58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3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="6" customFormat="1" spans="2:69">
      <c r="B209" s="4" t="s">
        <v>829</v>
      </c>
      <c r="C209" s="6" t="s">
        <v>71</v>
      </c>
      <c r="D209" s="16" t="s">
        <v>282</v>
      </c>
      <c r="E209" s="41" t="s">
        <v>830</v>
      </c>
      <c r="F209" s="24"/>
      <c r="G209" s="16" t="s">
        <v>819</v>
      </c>
      <c r="H209" s="16"/>
      <c r="I209" s="16" t="s">
        <v>285</v>
      </c>
      <c r="J209" s="12"/>
      <c r="K209" s="16"/>
      <c r="L209" s="16">
        <v>0</v>
      </c>
      <c r="M209" s="16">
        <v>0</v>
      </c>
      <c r="N209" s="16"/>
      <c r="O209" s="16" t="s">
        <v>820</v>
      </c>
      <c r="P209" s="16">
        <v>1.64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3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="6" customFormat="1" spans="2:69">
      <c r="B210" s="4" t="s">
        <v>831</v>
      </c>
      <c r="C210" s="6" t="s">
        <v>71</v>
      </c>
      <c r="D210" s="16" t="s">
        <v>282</v>
      </c>
      <c r="E210" s="41" t="s">
        <v>832</v>
      </c>
      <c r="F210" s="24"/>
      <c r="G210" s="16" t="s">
        <v>819</v>
      </c>
      <c r="H210" s="16"/>
      <c r="I210" s="16" t="s">
        <v>285</v>
      </c>
      <c r="J210" s="12"/>
      <c r="K210" s="16"/>
      <c r="L210" s="16">
        <v>0</v>
      </c>
      <c r="M210" s="16">
        <v>0</v>
      </c>
      <c r="N210" s="16"/>
      <c r="O210" s="16" t="s">
        <v>820</v>
      </c>
      <c r="P210" s="16">
        <v>1.7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3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="6" customFormat="1" spans="2:69">
      <c r="B211" s="4" t="s">
        <v>833</v>
      </c>
      <c r="C211" s="6" t="s">
        <v>71</v>
      </c>
      <c r="D211" s="16" t="s">
        <v>282</v>
      </c>
      <c r="E211" s="41" t="s">
        <v>834</v>
      </c>
      <c r="F211" s="24"/>
      <c r="G211" s="16" t="s">
        <v>819</v>
      </c>
      <c r="H211" s="16"/>
      <c r="I211" s="16" t="s">
        <v>285</v>
      </c>
      <c r="J211" s="12"/>
      <c r="K211" s="16"/>
      <c r="L211" s="16">
        <v>0</v>
      </c>
      <c r="M211" s="16">
        <v>0</v>
      </c>
      <c r="N211" s="16"/>
      <c r="O211" s="16" t="s">
        <v>820</v>
      </c>
      <c r="P211" s="16">
        <v>1.76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3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="6" customFormat="1" spans="2:69">
      <c r="B212" s="4" t="s">
        <v>835</v>
      </c>
      <c r="C212" s="6" t="s">
        <v>71</v>
      </c>
      <c r="D212" s="16" t="s">
        <v>282</v>
      </c>
      <c r="E212" s="41" t="s">
        <v>836</v>
      </c>
      <c r="F212" s="24"/>
      <c r="G212" s="16" t="s">
        <v>819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820</v>
      </c>
      <c r="P212" s="16">
        <v>1.82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3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="6" customFormat="1" spans="2:69">
      <c r="B213" s="4" t="s">
        <v>837</v>
      </c>
      <c r="C213" s="6" t="s">
        <v>71</v>
      </c>
      <c r="D213" s="16" t="s">
        <v>282</v>
      </c>
      <c r="E213" s="41" t="s">
        <v>838</v>
      </c>
      <c r="F213" s="24"/>
      <c r="G213" s="16" t="s">
        <v>819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820</v>
      </c>
      <c r="P213" s="16">
        <v>1.88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3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="6" customFormat="1" spans="2:69">
      <c r="B214" s="4" t="s">
        <v>839</v>
      </c>
      <c r="C214" s="6" t="s">
        <v>71</v>
      </c>
      <c r="D214" s="16" t="s">
        <v>282</v>
      </c>
      <c r="E214" s="41" t="s">
        <v>840</v>
      </c>
      <c r="F214" s="24"/>
      <c r="G214" s="16" t="s">
        <v>819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820</v>
      </c>
      <c r="P214" s="16">
        <v>1.94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3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="6" customFormat="1" spans="2:69">
      <c r="B215" s="4" t="s">
        <v>841</v>
      </c>
      <c r="C215" s="6" t="s">
        <v>71</v>
      </c>
      <c r="D215" s="16" t="s">
        <v>282</v>
      </c>
      <c r="E215" s="41" t="s">
        <v>842</v>
      </c>
      <c r="F215" s="24"/>
      <c r="G215" s="16" t="s">
        <v>819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820</v>
      </c>
      <c r="P215" s="16">
        <v>2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3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="6" customFormat="1" spans="2:69">
      <c r="B216" s="4" t="s">
        <v>843</v>
      </c>
      <c r="C216" s="6" t="s">
        <v>71</v>
      </c>
      <c r="D216" s="16" t="s">
        <v>282</v>
      </c>
      <c r="E216" s="41" t="s">
        <v>844</v>
      </c>
      <c r="F216" s="24"/>
      <c r="G216" s="16" t="s">
        <v>819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757</v>
      </c>
      <c r="P216" s="16">
        <v>1.34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3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="6" customFormat="1" spans="2:69">
      <c r="B217" s="4" t="s">
        <v>845</v>
      </c>
      <c r="C217" s="6" t="s">
        <v>71</v>
      </c>
      <c r="D217" s="16" t="s">
        <v>282</v>
      </c>
      <c r="E217" s="41" t="s">
        <v>846</v>
      </c>
      <c r="F217" s="24"/>
      <c r="G217" s="16" t="s">
        <v>819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757</v>
      </c>
      <c r="P217" s="16">
        <v>1.4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3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="6" customFormat="1" spans="2:69">
      <c r="B218" s="4" t="s">
        <v>847</v>
      </c>
      <c r="C218" s="6" t="s">
        <v>71</v>
      </c>
      <c r="D218" s="16" t="s">
        <v>282</v>
      </c>
      <c r="E218" s="41" t="s">
        <v>848</v>
      </c>
      <c r="F218" s="24"/>
      <c r="G218" s="16" t="s">
        <v>819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757</v>
      </c>
      <c r="P218" s="16">
        <v>1.46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3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="6" customFormat="1" spans="2:69">
      <c r="B219" s="4" t="s">
        <v>849</v>
      </c>
      <c r="C219" s="6" t="s">
        <v>71</v>
      </c>
      <c r="D219" s="16" t="s">
        <v>282</v>
      </c>
      <c r="E219" s="41" t="s">
        <v>850</v>
      </c>
      <c r="F219" s="24"/>
      <c r="G219" s="16" t="s">
        <v>819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757</v>
      </c>
      <c r="P219" s="16">
        <v>1.52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3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="6" customFormat="1" spans="2:69">
      <c r="B220" s="4" t="s">
        <v>851</v>
      </c>
      <c r="C220" s="6" t="s">
        <v>71</v>
      </c>
      <c r="D220" s="16" t="s">
        <v>282</v>
      </c>
      <c r="E220" s="41" t="s">
        <v>852</v>
      </c>
      <c r="F220" s="24"/>
      <c r="G220" s="16" t="s">
        <v>819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757</v>
      </c>
      <c r="P220" s="16">
        <v>1.58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3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="6" customFormat="1" spans="2:69">
      <c r="B221" s="4" t="s">
        <v>853</v>
      </c>
      <c r="C221" s="6" t="s">
        <v>71</v>
      </c>
      <c r="D221" s="16" t="s">
        <v>282</v>
      </c>
      <c r="E221" s="41" t="s">
        <v>854</v>
      </c>
      <c r="F221" s="24"/>
      <c r="G221" s="16" t="s">
        <v>819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757</v>
      </c>
      <c r="P221" s="16">
        <v>1.64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3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="6" customFormat="1" spans="2:69">
      <c r="B222" s="4" t="s">
        <v>855</v>
      </c>
      <c r="C222" s="6" t="s">
        <v>71</v>
      </c>
      <c r="D222" s="16" t="s">
        <v>282</v>
      </c>
      <c r="E222" s="41" t="s">
        <v>856</v>
      </c>
      <c r="F222" s="24"/>
      <c r="G222" s="16" t="s">
        <v>819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757</v>
      </c>
      <c r="P222" s="16">
        <v>1.7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3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="6" customFormat="1" spans="2:69">
      <c r="B223" s="4" t="s">
        <v>857</v>
      </c>
      <c r="C223" s="6" t="s">
        <v>71</v>
      </c>
      <c r="D223" s="16" t="s">
        <v>282</v>
      </c>
      <c r="E223" s="41" t="s">
        <v>858</v>
      </c>
      <c r="F223" s="24"/>
      <c r="G223" s="16" t="s">
        <v>819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757</v>
      </c>
      <c r="P223" s="16">
        <v>1.76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3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="6" customFormat="1" spans="2:69">
      <c r="B224" s="4" t="s">
        <v>859</v>
      </c>
      <c r="C224" s="6" t="s">
        <v>71</v>
      </c>
      <c r="D224" s="16" t="s">
        <v>282</v>
      </c>
      <c r="E224" s="41" t="s">
        <v>860</v>
      </c>
      <c r="F224" s="24"/>
      <c r="G224" s="16" t="s">
        <v>819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757</v>
      </c>
      <c r="P224" s="16">
        <v>1.82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3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="6" customFormat="1" spans="2:69">
      <c r="B225" s="4" t="s">
        <v>861</v>
      </c>
      <c r="C225" s="6" t="s">
        <v>71</v>
      </c>
      <c r="D225" s="16" t="s">
        <v>282</v>
      </c>
      <c r="E225" s="41" t="s">
        <v>862</v>
      </c>
      <c r="F225" s="24"/>
      <c r="G225" s="16" t="s">
        <v>819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757</v>
      </c>
      <c r="P225" s="16">
        <v>1.88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3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="6" customFormat="1" spans="2:69">
      <c r="B226" s="4" t="s">
        <v>863</v>
      </c>
      <c r="C226" s="6" t="s">
        <v>71</v>
      </c>
      <c r="D226" s="16" t="s">
        <v>282</v>
      </c>
      <c r="E226" s="41" t="s">
        <v>864</v>
      </c>
      <c r="F226" s="24"/>
      <c r="G226" s="16" t="s">
        <v>819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757</v>
      </c>
      <c r="P226" s="16">
        <v>1.94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3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="6" customFormat="1" spans="2:69">
      <c r="B227" s="4" t="s">
        <v>865</v>
      </c>
      <c r="C227" s="6" t="s">
        <v>71</v>
      </c>
      <c r="D227" s="16" t="s">
        <v>282</v>
      </c>
      <c r="E227" s="41" t="s">
        <v>866</v>
      </c>
      <c r="F227" s="24"/>
      <c r="G227" s="16" t="s">
        <v>819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757</v>
      </c>
      <c r="P227" s="16">
        <v>2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3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="6" customFormat="1" spans="2:69">
      <c r="B228" s="4" t="s">
        <v>867</v>
      </c>
      <c r="C228" s="6" t="s">
        <v>71</v>
      </c>
      <c r="D228" s="16" t="s">
        <v>282</v>
      </c>
      <c r="E228" s="41" t="s">
        <v>868</v>
      </c>
      <c r="F228" s="24"/>
      <c r="G228" s="16" t="s">
        <v>819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869</v>
      </c>
      <c r="P228" s="16">
        <v>1.2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3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400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="6" customFormat="1" spans="2:69">
      <c r="B229" s="4" t="s">
        <v>870</v>
      </c>
      <c r="C229" s="6" t="s">
        <v>71</v>
      </c>
      <c r="D229" s="16" t="s">
        <v>282</v>
      </c>
      <c r="E229" s="41" t="s">
        <v>871</v>
      </c>
      <c r="F229" s="24"/>
      <c r="G229" s="16" t="s">
        <v>819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869</v>
      </c>
      <c r="P229" s="16">
        <v>1.4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3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400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="6" customFormat="1" spans="2:69">
      <c r="B230" s="4" t="s">
        <v>872</v>
      </c>
      <c r="C230" s="6" t="s">
        <v>71</v>
      </c>
      <c r="D230" s="16" t="s">
        <v>282</v>
      </c>
      <c r="E230" s="41" t="s">
        <v>873</v>
      </c>
      <c r="F230" s="24"/>
      <c r="G230" s="16" t="s">
        <v>819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869</v>
      </c>
      <c r="P230" s="16">
        <v>1.6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3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="6" customFormat="1" spans="2:69">
      <c r="B231" s="4" t="s">
        <v>874</v>
      </c>
      <c r="C231" s="6" t="s">
        <v>71</v>
      </c>
      <c r="D231" s="16" t="s">
        <v>282</v>
      </c>
      <c r="E231" s="41" t="s">
        <v>875</v>
      </c>
      <c r="F231" s="24"/>
      <c r="G231" s="16" t="s">
        <v>819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869</v>
      </c>
      <c r="P231" s="16">
        <v>1.8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3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="6" customFormat="1" spans="2:69">
      <c r="B232" s="4" t="s">
        <v>876</v>
      </c>
      <c r="C232" s="6" t="s">
        <v>71</v>
      </c>
      <c r="D232" s="16" t="s">
        <v>282</v>
      </c>
      <c r="E232" s="41" t="s">
        <v>877</v>
      </c>
      <c r="F232" s="24"/>
      <c r="G232" s="16" t="s">
        <v>819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869</v>
      </c>
      <c r="P232" s="16">
        <v>2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3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="6" customFormat="1" spans="2:69">
      <c r="B233" s="4" t="s">
        <v>878</v>
      </c>
      <c r="C233" s="6" t="s">
        <v>71</v>
      </c>
      <c r="D233" s="16" t="s">
        <v>282</v>
      </c>
      <c r="E233" s="41" t="s">
        <v>879</v>
      </c>
      <c r="F233" s="24"/>
      <c r="G233" s="16" t="s">
        <v>819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869</v>
      </c>
      <c r="P233" s="16">
        <v>2.2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3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="6" customFormat="1" spans="2:69">
      <c r="B234" s="4" t="s">
        <v>880</v>
      </c>
      <c r="C234" s="6" t="s">
        <v>71</v>
      </c>
      <c r="D234" s="16" t="s">
        <v>282</v>
      </c>
      <c r="E234" s="41" t="s">
        <v>881</v>
      </c>
      <c r="F234" s="24"/>
      <c r="G234" s="16" t="s">
        <v>819</v>
      </c>
      <c r="H234" s="16"/>
      <c r="I234" s="16" t="s">
        <v>285</v>
      </c>
      <c r="J234" s="12" t="s">
        <v>882</v>
      </c>
      <c r="K234" s="16"/>
      <c r="L234" s="16">
        <v>0</v>
      </c>
      <c r="M234" s="16">
        <v>0</v>
      </c>
      <c r="N234" s="16"/>
      <c r="O234" s="16" t="s">
        <v>869</v>
      </c>
      <c r="P234" s="16">
        <v>2.4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3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>
        <v>20</v>
      </c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="6" customFormat="1" spans="2:69">
      <c r="B235" s="4" t="s">
        <v>883</v>
      </c>
      <c r="C235" s="6" t="s">
        <v>71</v>
      </c>
      <c r="D235" s="16" t="s">
        <v>282</v>
      </c>
      <c r="E235" s="41" t="s">
        <v>884</v>
      </c>
      <c r="F235" s="24"/>
      <c r="G235" s="16" t="s">
        <v>819</v>
      </c>
      <c r="H235" s="16"/>
      <c r="I235" s="16" t="s">
        <v>285</v>
      </c>
      <c r="J235" s="12" t="s">
        <v>882</v>
      </c>
      <c r="K235" s="16"/>
      <c r="L235" s="16">
        <v>0</v>
      </c>
      <c r="M235" s="16">
        <v>0</v>
      </c>
      <c r="N235" s="16"/>
      <c r="O235" s="16" t="s">
        <v>869</v>
      </c>
      <c r="P235" s="16">
        <v>2.6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3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>
        <v>20</v>
      </c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="6" customFormat="1" spans="2:69">
      <c r="B236" s="4" t="s">
        <v>885</v>
      </c>
      <c r="C236" s="6" t="s">
        <v>71</v>
      </c>
      <c r="D236" s="16" t="s">
        <v>282</v>
      </c>
      <c r="E236" s="41" t="s">
        <v>886</v>
      </c>
      <c r="F236" s="24"/>
      <c r="G236" s="16" t="s">
        <v>819</v>
      </c>
      <c r="H236" s="16"/>
      <c r="I236" s="16" t="s">
        <v>285</v>
      </c>
      <c r="J236" s="12" t="s">
        <v>882</v>
      </c>
      <c r="K236" s="16"/>
      <c r="L236" s="16">
        <v>0</v>
      </c>
      <c r="M236" s="16">
        <v>0</v>
      </c>
      <c r="N236" s="16"/>
      <c r="O236" s="16" t="s">
        <v>869</v>
      </c>
      <c r="P236" s="16">
        <v>2.8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3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>
        <v>20</v>
      </c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="6" customFormat="1" spans="2:69">
      <c r="B237" s="41" t="s">
        <v>887</v>
      </c>
      <c r="C237" s="6" t="s">
        <v>71</v>
      </c>
      <c r="D237" s="16" t="s">
        <v>282</v>
      </c>
      <c r="E237" s="41" t="s">
        <v>888</v>
      </c>
      <c r="F237" s="24"/>
      <c r="G237" s="16" t="s">
        <v>819</v>
      </c>
      <c r="H237" s="16"/>
      <c r="I237" s="16" t="s">
        <v>285</v>
      </c>
      <c r="J237" s="12" t="s">
        <v>882</v>
      </c>
      <c r="K237" s="16"/>
      <c r="L237" s="16">
        <v>0</v>
      </c>
      <c r="M237" s="16">
        <v>0</v>
      </c>
      <c r="N237" s="16"/>
      <c r="O237" s="16" t="s">
        <v>869</v>
      </c>
      <c r="P237" s="16">
        <v>3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3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>
        <v>20</v>
      </c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="6" customFormat="1" spans="2:69">
      <c r="B238" s="41" t="s">
        <v>889</v>
      </c>
      <c r="C238" s="6" t="s">
        <v>71</v>
      </c>
      <c r="D238" s="16" t="s">
        <v>282</v>
      </c>
      <c r="E238" s="41" t="s">
        <v>890</v>
      </c>
      <c r="F238" s="24"/>
      <c r="G238" s="16" t="s">
        <v>819</v>
      </c>
      <c r="H238" s="16"/>
      <c r="I238" s="16" t="s">
        <v>285</v>
      </c>
      <c r="J238" s="12"/>
      <c r="K238" s="16"/>
      <c r="L238" s="16">
        <v>0</v>
      </c>
      <c r="M238" s="16">
        <v>0</v>
      </c>
      <c r="N238" s="16"/>
      <c r="O238" s="16" t="s">
        <v>869</v>
      </c>
      <c r="P238" s="16">
        <v>3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3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/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="6" customFormat="1" spans="2:69">
      <c r="B239" s="41" t="s">
        <v>891</v>
      </c>
      <c r="C239" s="6" t="s">
        <v>71</v>
      </c>
      <c r="D239" s="16" t="s">
        <v>282</v>
      </c>
      <c r="E239" s="41" t="s">
        <v>892</v>
      </c>
      <c r="F239" s="24"/>
      <c r="G239" s="16" t="s">
        <v>819</v>
      </c>
      <c r="H239" s="16"/>
      <c r="I239" s="16" t="s">
        <v>285</v>
      </c>
      <c r="J239" s="12"/>
      <c r="K239" s="16"/>
      <c r="L239" s="16">
        <v>0</v>
      </c>
      <c r="M239" s="16">
        <v>0</v>
      </c>
      <c r="N239" s="16"/>
      <c r="O239" s="16" t="s">
        <v>869</v>
      </c>
      <c r="P239" s="16">
        <v>3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3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/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="6" customFormat="1" spans="2:69">
      <c r="B240" s="41" t="s">
        <v>893</v>
      </c>
      <c r="C240" s="6" t="s">
        <v>71</v>
      </c>
      <c r="D240" s="16" t="s">
        <v>282</v>
      </c>
      <c r="E240" s="41" t="s">
        <v>894</v>
      </c>
      <c r="F240" s="24"/>
      <c r="G240" s="16" t="s">
        <v>819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869</v>
      </c>
      <c r="P240" s="16">
        <v>3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3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="6" customFormat="1" spans="2:69">
      <c r="B241" s="41" t="s">
        <v>895</v>
      </c>
      <c r="C241" s="6" t="s">
        <v>71</v>
      </c>
      <c r="D241" s="16" t="s">
        <v>282</v>
      </c>
      <c r="E241" s="41" t="s">
        <v>896</v>
      </c>
      <c r="F241" s="24"/>
      <c r="G241" s="16" t="s">
        <v>819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869</v>
      </c>
      <c r="P241" s="16">
        <v>3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3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="6" customFormat="1" spans="2:69">
      <c r="B242" s="41" t="s">
        <v>897</v>
      </c>
      <c r="C242" s="6" t="s">
        <v>71</v>
      </c>
      <c r="D242" s="16" t="s">
        <v>282</v>
      </c>
      <c r="E242" s="41" t="s">
        <v>898</v>
      </c>
      <c r="F242" s="24"/>
      <c r="G242" s="16" t="s">
        <v>819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869</v>
      </c>
      <c r="P242" s="16">
        <v>3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3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="6" customFormat="1" spans="2:69">
      <c r="B243" s="41" t="s">
        <v>899</v>
      </c>
      <c r="C243" s="6" t="s">
        <v>71</v>
      </c>
      <c r="D243" s="16" t="s">
        <v>282</v>
      </c>
      <c r="E243" s="41" t="s">
        <v>900</v>
      </c>
      <c r="F243" s="24"/>
      <c r="G243" s="16" t="s">
        <v>819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869</v>
      </c>
      <c r="P243" s="16">
        <v>3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3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="6" customFormat="1" spans="2:69">
      <c r="B244" s="41" t="s">
        <v>901</v>
      </c>
      <c r="C244" s="6" t="s">
        <v>71</v>
      </c>
      <c r="D244" s="16" t="s">
        <v>282</v>
      </c>
      <c r="E244" s="41" t="s">
        <v>902</v>
      </c>
      <c r="F244" s="24"/>
      <c r="G244" s="16" t="s">
        <v>819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869</v>
      </c>
      <c r="P244" s="16">
        <v>3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3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="6" customFormat="1" spans="2:69">
      <c r="B245" s="41" t="s">
        <v>903</v>
      </c>
      <c r="C245" s="6" t="s">
        <v>71</v>
      </c>
      <c r="D245" s="16" t="s">
        <v>282</v>
      </c>
      <c r="E245" s="41" t="s">
        <v>904</v>
      </c>
      <c r="F245" s="24"/>
      <c r="G245" s="16" t="s">
        <v>819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869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3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="6" customFormat="1" spans="2:69">
      <c r="B246" s="41" t="s">
        <v>905</v>
      </c>
      <c r="C246" s="6" t="s">
        <v>71</v>
      </c>
      <c r="D246" s="16" t="s">
        <v>282</v>
      </c>
      <c r="E246" s="41" t="s">
        <v>906</v>
      </c>
      <c r="F246" s="24"/>
      <c r="G246" s="16" t="s">
        <v>819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869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3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="6" customFormat="1" spans="2:69">
      <c r="B247" s="41" t="s">
        <v>907</v>
      </c>
      <c r="C247" s="6" t="s">
        <v>71</v>
      </c>
      <c r="D247" s="16" t="s">
        <v>282</v>
      </c>
      <c r="E247" s="41" t="s">
        <v>908</v>
      </c>
      <c r="F247" s="24"/>
      <c r="G247" s="16" t="s">
        <v>819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869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3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="6" customFormat="1" spans="2:69">
      <c r="B248" s="4" t="s">
        <v>909</v>
      </c>
      <c r="C248" s="6" t="s">
        <v>71</v>
      </c>
      <c r="D248" s="16" t="s">
        <v>282</v>
      </c>
      <c r="E248" s="42" t="s">
        <v>910</v>
      </c>
      <c r="F248" s="24"/>
      <c r="G248" s="16" t="s">
        <v>819</v>
      </c>
      <c r="H248" s="16"/>
      <c r="I248" s="16" t="s">
        <v>285</v>
      </c>
      <c r="J248" s="12" t="s">
        <v>911</v>
      </c>
      <c r="K248" s="16"/>
      <c r="L248" s="16">
        <v>0</v>
      </c>
      <c r="M248" s="16">
        <v>0</v>
      </c>
      <c r="N248" s="16"/>
      <c r="O248" s="43" t="s">
        <v>912</v>
      </c>
      <c r="P248" s="16">
        <v>1.2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3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>
        <v>20</v>
      </c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="6" customFormat="1" spans="2:69">
      <c r="B249" s="4" t="s">
        <v>913</v>
      </c>
      <c r="C249" s="6" t="s">
        <v>71</v>
      </c>
      <c r="D249" s="16" t="s">
        <v>282</v>
      </c>
      <c r="E249" s="42" t="s">
        <v>914</v>
      </c>
      <c r="F249" s="24"/>
      <c r="G249" s="16" t="s">
        <v>819</v>
      </c>
      <c r="H249" s="16"/>
      <c r="I249" s="16" t="s">
        <v>285</v>
      </c>
      <c r="J249" s="12" t="s">
        <v>911</v>
      </c>
      <c r="K249" s="16"/>
      <c r="L249" s="16">
        <v>0</v>
      </c>
      <c r="M249" s="16">
        <v>0</v>
      </c>
      <c r="N249" s="16"/>
      <c r="O249" s="43" t="s">
        <v>912</v>
      </c>
      <c r="P249" s="16">
        <v>1.2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3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>
        <v>20</v>
      </c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="6" customFormat="1" spans="2:69">
      <c r="B250" s="4" t="s">
        <v>915</v>
      </c>
      <c r="C250" s="6" t="s">
        <v>71</v>
      </c>
      <c r="D250" s="16" t="s">
        <v>282</v>
      </c>
      <c r="E250" s="42" t="s">
        <v>916</v>
      </c>
      <c r="F250" s="24"/>
      <c r="G250" s="16" t="s">
        <v>819</v>
      </c>
      <c r="H250" s="16"/>
      <c r="I250" s="16" t="s">
        <v>285</v>
      </c>
      <c r="J250" s="12" t="s">
        <v>911</v>
      </c>
      <c r="K250" s="16"/>
      <c r="L250" s="16">
        <v>0</v>
      </c>
      <c r="M250" s="16">
        <v>0</v>
      </c>
      <c r="N250" s="16"/>
      <c r="O250" s="43" t="s">
        <v>912</v>
      </c>
      <c r="P250" s="16">
        <v>1.2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3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>
        <v>20</v>
      </c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="6" customFormat="1" spans="2:69">
      <c r="B251" s="4" t="s">
        <v>917</v>
      </c>
      <c r="C251" s="6" t="s">
        <v>71</v>
      </c>
      <c r="D251" s="16" t="s">
        <v>282</v>
      </c>
      <c r="E251" s="42" t="s">
        <v>918</v>
      </c>
      <c r="F251" s="24"/>
      <c r="G251" s="16" t="s">
        <v>819</v>
      </c>
      <c r="H251" s="16"/>
      <c r="I251" s="16" t="s">
        <v>285</v>
      </c>
      <c r="J251" s="12" t="s">
        <v>911</v>
      </c>
      <c r="K251" s="16"/>
      <c r="L251" s="16">
        <v>0</v>
      </c>
      <c r="M251" s="16">
        <v>0</v>
      </c>
      <c r="N251" s="16"/>
      <c r="O251" s="43" t="s">
        <v>912</v>
      </c>
      <c r="P251" s="16">
        <v>1.2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3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>
        <v>20</v>
      </c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="6" customFormat="1" spans="2:69">
      <c r="B252" s="4" t="s">
        <v>919</v>
      </c>
      <c r="C252" s="6" t="s">
        <v>71</v>
      </c>
      <c r="D252" s="16" t="s">
        <v>282</v>
      </c>
      <c r="E252" s="42" t="s">
        <v>920</v>
      </c>
      <c r="F252" s="24"/>
      <c r="G252" s="16" t="s">
        <v>819</v>
      </c>
      <c r="H252" s="16"/>
      <c r="I252" s="16" t="s">
        <v>285</v>
      </c>
      <c r="J252" s="12"/>
      <c r="K252" s="16"/>
      <c r="L252" s="16">
        <v>0</v>
      </c>
      <c r="M252" s="16">
        <v>0</v>
      </c>
      <c r="N252" s="16"/>
      <c r="O252" s="43" t="s">
        <v>912</v>
      </c>
      <c r="P252" s="16">
        <v>1.2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3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/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="6" customFormat="1" spans="2:69">
      <c r="B253" s="4" t="s">
        <v>921</v>
      </c>
      <c r="C253" s="6" t="s">
        <v>71</v>
      </c>
      <c r="D253" s="16" t="s">
        <v>282</v>
      </c>
      <c r="E253" s="42" t="s">
        <v>922</v>
      </c>
      <c r="F253" s="24"/>
      <c r="G253" s="16" t="s">
        <v>819</v>
      </c>
      <c r="H253" s="16"/>
      <c r="I253" s="16" t="s">
        <v>285</v>
      </c>
      <c r="J253" s="12"/>
      <c r="K253" s="16"/>
      <c r="L253" s="16">
        <v>0</v>
      </c>
      <c r="M253" s="16">
        <v>0</v>
      </c>
      <c r="N253" s="16"/>
      <c r="O253" s="43" t="s">
        <v>912</v>
      </c>
      <c r="P253" s="16">
        <v>1.2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3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/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="6" customFormat="1" spans="2:69">
      <c r="B254" s="4" t="s">
        <v>923</v>
      </c>
      <c r="C254" s="6" t="s">
        <v>71</v>
      </c>
      <c r="D254" s="16" t="s">
        <v>282</v>
      </c>
      <c r="E254" s="42" t="s">
        <v>924</v>
      </c>
      <c r="F254" s="24"/>
      <c r="G254" s="16" t="s">
        <v>819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43" t="s">
        <v>912</v>
      </c>
      <c r="P254" s="16">
        <v>1.2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3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="6" customFormat="1" spans="2:69">
      <c r="B255" s="4" t="s">
        <v>925</v>
      </c>
      <c r="C255" s="6" t="s">
        <v>71</v>
      </c>
      <c r="D255" s="16" t="s">
        <v>282</v>
      </c>
      <c r="E255" s="42" t="s">
        <v>926</v>
      </c>
      <c r="F255" s="24"/>
      <c r="G255" s="16" t="s">
        <v>819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43" t="s">
        <v>912</v>
      </c>
      <c r="P255" s="16">
        <v>1.2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3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="6" customFormat="1" spans="2:69">
      <c r="B256" s="4" t="s">
        <v>927</v>
      </c>
      <c r="C256" s="6" t="s">
        <v>71</v>
      </c>
      <c r="D256" s="16" t="s">
        <v>282</v>
      </c>
      <c r="E256" s="42" t="s">
        <v>928</v>
      </c>
      <c r="F256" s="24"/>
      <c r="G256" s="16" t="s">
        <v>819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16" t="s">
        <v>757</v>
      </c>
      <c r="P256" s="16">
        <v>1.5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3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250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="6" customFormat="1" spans="2:69">
      <c r="B257" s="4" t="s">
        <v>929</v>
      </c>
      <c r="C257" s="6" t="s">
        <v>71</v>
      </c>
      <c r="D257" s="16" t="s">
        <v>282</v>
      </c>
      <c r="E257" s="42" t="s">
        <v>930</v>
      </c>
      <c r="F257" s="24"/>
      <c r="G257" s="16" t="s">
        <v>819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16" t="s">
        <v>757</v>
      </c>
      <c r="P257" s="16">
        <v>1.5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3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250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="6" customFormat="1" spans="2:69">
      <c r="B258" s="4" t="s">
        <v>931</v>
      </c>
      <c r="C258" s="6" t="s">
        <v>71</v>
      </c>
      <c r="D258" s="16" t="s">
        <v>282</v>
      </c>
      <c r="E258" s="42" t="s">
        <v>932</v>
      </c>
      <c r="F258" s="24"/>
      <c r="G258" s="16" t="s">
        <v>819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757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3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="6" customFormat="1" spans="2:69">
      <c r="B259" s="4" t="s">
        <v>933</v>
      </c>
      <c r="C259" s="6" t="s">
        <v>71</v>
      </c>
      <c r="D259" s="16" t="s">
        <v>282</v>
      </c>
      <c r="E259" s="42" t="s">
        <v>934</v>
      </c>
      <c r="F259" s="24"/>
      <c r="G259" s="16" t="s">
        <v>819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757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3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="6" customFormat="1" spans="2:69">
      <c r="B260" s="4" t="s">
        <v>935</v>
      </c>
      <c r="C260" s="6" t="s">
        <v>71</v>
      </c>
      <c r="D260" s="16" t="s">
        <v>282</v>
      </c>
      <c r="E260" s="42" t="s">
        <v>936</v>
      </c>
      <c r="F260" s="24"/>
      <c r="G260" s="16" t="s">
        <v>819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757</v>
      </c>
      <c r="P260" s="16">
        <v>1.5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3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="6" customFormat="1" spans="2:69">
      <c r="B261" s="4" t="s">
        <v>937</v>
      </c>
      <c r="C261" s="6" t="s">
        <v>71</v>
      </c>
      <c r="D261" s="16" t="s">
        <v>282</v>
      </c>
      <c r="E261" s="42" t="s">
        <v>938</v>
      </c>
      <c r="F261" s="24"/>
      <c r="G261" s="16" t="s">
        <v>819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757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3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="6" customFormat="1" spans="2:69">
      <c r="B262" s="4" t="s">
        <v>939</v>
      </c>
      <c r="C262" s="6" t="s">
        <v>71</v>
      </c>
      <c r="D262" s="16" t="s">
        <v>282</v>
      </c>
      <c r="E262" s="42" t="s">
        <v>940</v>
      </c>
      <c r="F262" s="24"/>
      <c r="G262" s="16" t="s">
        <v>819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757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3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="6" customFormat="1" spans="2:69">
      <c r="B263" s="4" t="s">
        <v>941</v>
      </c>
      <c r="C263" s="6" t="s">
        <v>71</v>
      </c>
      <c r="D263" s="16" t="s">
        <v>282</v>
      </c>
      <c r="E263" s="44" t="s">
        <v>942</v>
      </c>
      <c r="F263" s="24"/>
      <c r="G263" s="16" t="s">
        <v>819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757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3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="6" customFormat="1" spans="2:69">
      <c r="B264" s="4" t="s">
        <v>943</v>
      </c>
      <c r="C264" s="6" t="s">
        <v>71</v>
      </c>
      <c r="D264" s="16" t="s">
        <v>282</v>
      </c>
      <c r="E264" s="45" t="s">
        <v>944</v>
      </c>
      <c r="F264" s="24"/>
      <c r="G264" s="16" t="s">
        <v>819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945</v>
      </c>
      <c r="P264" s="16">
        <v>1</v>
      </c>
      <c r="Q264" s="16"/>
      <c r="R264" s="16"/>
      <c r="S264" s="16"/>
      <c r="T264" s="16"/>
      <c r="U264" s="16">
        <v>1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3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="6" customFormat="1" spans="2:69">
      <c r="B265" s="4" t="s">
        <v>946</v>
      </c>
      <c r="C265" s="6" t="s">
        <v>71</v>
      </c>
      <c r="D265" s="16" t="s">
        <v>282</v>
      </c>
      <c r="E265" s="45" t="s">
        <v>947</v>
      </c>
      <c r="F265" s="24"/>
      <c r="G265" s="16" t="s">
        <v>819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948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3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="6" customFormat="1" spans="2:69">
      <c r="B266" s="4" t="s">
        <v>949</v>
      </c>
      <c r="C266" s="6" t="s">
        <v>71</v>
      </c>
      <c r="D266" s="16" t="s">
        <v>282</v>
      </c>
      <c r="E266" s="46" t="s">
        <v>950</v>
      </c>
      <c r="F266" s="24"/>
      <c r="G266" s="16" t="s">
        <v>819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951</v>
      </c>
      <c r="P266" s="16">
        <v>1.15</v>
      </c>
      <c r="Q266" s="16"/>
      <c r="R266" s="16"/>
      <c r="S266" s="16"/>
      <c r="T266" s="16"/>
      <c r="U266" s="16">
        <v>1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 t="s">
        <v>952</v>
      </c>
      <c r="AC266" s="16"/>
      <c r="AD266" s="16">
        <v>900</v>
      </c>
      <c r="AE266" s="16" t="s">
        <v>151</v>
      </c>
      <c r="AF266" s="16">
        <v>0.1</v>
      </c>
      <c r="AG266" s="16">
        <v>1</v>
      </c>
      <c r="AH266" s="53" t="s">
        <v>165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600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="6" customFormat="1" spans="2:69">
      <c r="B267" s="4" t="s">
        <v>953</v>
      </c>
      <c r="C267" s="6" t="s">
        <v>71</v>
      </c>
      <c r="D267" s="16" t="s">
        <v>282</v>
      </c>
      <c r="E267" s="46" t="s">
        <v>954</v>
      </c>
      <c r="F267" s="24"/>
      <c r="G267" s="16" t="s">
        <v>819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955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 t="s">
        <v>956</v>
      </c>
      <c r="AC267" s="16"/>
      <c r="AD267" s="16">
        <v>900</v>
      </c>
      <c r="AE267" s="16" t="s">
        <v>151</v>
      </c>
      <c r="AF267" s="16">
        <v>0.1</v>
      </c>
      <c r="AG267" s="16">
        <v>1</v>
      </c>
      <c r="AH267" s="53" t="s">
        <v>165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600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="6" customFormat="1" spans="2:69">
      <c r="B268" s="4" t="s">
        <v>957</v>
      </c>
      <c r="C268" s="6" t="s">
        <v>71</v>
      </c>
      <c r="D268" s="16" t="s">
        <v>282</v>
      </c>
      <c r="E268" s="45" t="s">
        <v>958</v>
      </c>
      <c r="F268" s="24"/>
      <c r="G268" s="16" t="s">
        <v>819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959</v>
      </c>
      <c r="P268" s="16">
        <v>1.6</v>
      </c>
      <c r="Q268" s="16"/>
      <c r="R268" s="16"/>
      <c r="S268" s="16"/>
      <c r="T268" s="16"/>
      <c r="U268" s="16">
        <v>2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/>
      <c r="AC268" s="16"/>
      <c r="AD268" s="16">
        <v>0</v>
      </c>
      <c r="AE268" s="16" t="s">
        <v>151</v>
      </c>
      <c r="AF268" s="16"/>
      <c r="AG268" s="16"/>
      <c r="AH268" s="53" t="s">
        <v>152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250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="6" customFormat="1" spans="2:69">
      <c r="B269" s="4" t="s">
        <v>960</v>
      </c>
      <c r="C269" s="6" t="s">
        <v>71</v>
      </c>
      <c r="D269" s="16" t="s">
        <v>282</v>
      </c>
      <c r="E269" s="46" t="s">
        <v>961</v>
      </c>
      <c r="F269" s="24"/>
      <c r="G269" s="16" t="s">
        <v>819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962</v>
      </c>
      <c r="P269" s="16">
        <v>1.25</v>
      </c>
      <c r="Q269" s="16"/>
      <c r="R269" s="16"/>
      <c r="S269" s="16"/>
      <c r="T269" s="16"/>
      <c r="U269" s="16">
        <v>1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 t="s">
        <v>963</v>
      </c>
      <c r="AC269" s="16"/>
      <c r="AD269" s="16">
        <v>900</v>
      </c>
      <c r="AE269" s="16" t="s">
        <v>151</v>
      </c>
      <c r="AF269" s="16">
        <v>0.1</v>
      </c>
      <c r="AG269" s="16">
        <v>1</v>
      </c>
      <c r="AH269" s="53" t="s">
        <v>165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600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="6" customFormat="1" spans="2:69">
      <c r="B270" s="4" t="s">
        <v>964</v>
      </c>
      <c r="C270" s="6" t="s">
        <v>71</v>
      </c>
      <c r="D270" s="16" t="s">
        <v>282</v>
      </c>
      <c r="E270" s="46" t="s">
        <v>965</v>
      </c>
      <c r="F270" s="24"/>
      <c r="G270" s="16" t="s">
        <v>819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966</v>
      </c>
      <c r="P270" s="16">
        <v>1.3</v>
      </c>
      <c r="Q270" s="16"/>
      <c r="R270" s="16"/>
      <c r="S270" s="16"/>
      <c r="T270" s="16"/>
      <c r="U270" s="16">
        <v>1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 t="s">
        <v>967</v>
      </c>
      <c r="AC270" s="16"/>
      <c r="AD270" s="16">
        <v>900</v>
      </c>
      <c r="AE270" s="16" t="s">
        <v>151</v>
      </c>
      <c r="AF270" s="16">
        <v>0.1</v>
      </c>
      <c r="AG270" s="16">
        <v>1</v>
      </c>
      <c r="AH270" s="53" t="s">
        <v>165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600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="6" customFormat="1" spans="2:69">
      <c r="B271" s="4" t="s">
        <v>968</v>
      </c>
      <c r="C271" s="6" t="s">
        <v>71</v>
      </c>
      <c r="D271" s="16" t="s">
        <v>282</v>
      </c>
      <c r="E271" s="45" t="s">
        <v>969</v>
      </c>
      <c r="F271" s="24"/>
      <c r="G271" s="16" t="s">
        <v>819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970</v>
      </c>
      <c r="P271" s="16">
        <v>1.5</v>
      </c>
      <c r="Q271" s="16"/>
      <c r="R271" s="16"/>
      <c r="S271" s="16"/>
      <c r="T271" s="16"/>
      <c r="U271" s="16">
        <v>2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/>
      <c r="AC271" s="16"/>
      <c r="AD271" s="16">
        <v>0</v>
      </c>
      <c r="AE271" s="16" t="s">
        <v>151</v>
      </c>
      <c r="AF271" s="16"/>
      <c r="AG271" s="16"/>
      <c r="AH271" s="53" t="s">
        <v>152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250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="6" customFormat="1" spans="2:69">
      <c r="B272" s="4" t="s">
        <v>971</v>
      </c>
      <c r="C272" s="6" t="s">
        <v>71</v>
      </c>
      <c r="D272" s="16" t="s">
        <v>282</v>
      </c>
      <c r="E272" s="45" t="s">
        <v>972</v>
      </c>
      <c r="F272" s="24"/>
      <c r="G272" s="16" t="s">
        <v>819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973</v>
      </c>
      <c r="P272" s="16">
        <v>1.3</v>
      </c>
      <c r="Q272" s="16"/>
      <c r="R272" s="16"/>
      <c r="S272" s="16"/>
      <c r="T272" s="16"/>
      <c r="U272" s="16">
        <v>2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/>
      <c r="AC272" s="16"/>
      <c r="AD272" s="16">
        <v>0</v>
      </c>
      <c r="AE272" s="16" t="s">
        <v>151</v>
      </c>
      <c r="AF272" s="16"/>
      <c r="AG272" s="16"/>
      <c r="AH272" s="53" t="s">
        <v>152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250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="6" customFormat="1" spans="2:69">
      <c r="B273" s="41" t="s">
        <v>974</v>
      </c>
      <c r="C273" s="6" t="s">
        <v>71</v>
      </c>
      <c r="D273" s="16" t="s">
        <v>282</v>
      </c>
      <c r="E273" s="46" t="s">
        <v>975</v>
      </c>
      <c r="F273" s="24"/>
      <c r="G273" s="16" t="s">
        <v>819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976</v>
      </c>
      <c r="P273" s="16">
        <v>1.7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 t="s">
        <v>977</v>
      </c>
      <c r="AC273" s="16"/>
      <c r="AD273" s="16">
        <v>900</v>
      </c>
      <c r="AE273" s="16" t="s">
        <v>151</v>
      </c>
      <c r="AF273" s="16">
        <v>0.1</v>
      </c>
      <c r="AG273" s="16">
        <v>1</v>
      </c>
      <c r="AH273" s="53" t="s">
        <v>165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600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="6" customFormat="1" spans="2:69">
      <c r="B274" s="41" t="s">
        <v>978</v>
      </c>
      <c r="C274" s="6" t="s">
        <v>71</v>
      </c>
      <c r="D274" s="16" t="s">
        <v>282</v>
      </c>
      <c r="E274" s="45" t="s">
        <v>979</v>
      </c>
      <c r="F274" s="24"/>
      <c r="G274" s="16" t="s">
        <v>819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980</v>
      </c>
      <c r="P274" s="16">
        <v>1.5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3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="6" customFormat="1" spans="2:69">
      <c r="B275" s="41" t="s">
        <v>981</v>
      </c>
      <c r="C275" s="6" t="s">
        <v>71</v>
      </c>
      <c r="D275" s="16" t="s">
        <v>282</v>
      </c>
      <c r="E275" s="46" t="s">
        <v>982</v>
      </c>
      <c r="F275" s="24"/>
      <c r="G275" s="16" t="s">
        <v>819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983</v>
      </c>
      <c r="P275" s="16">
        <v>2.2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 t="s">
        <v>984</v>
      </c>
      <c r="AC275" s="16"/>
      <c r="AD275" s="16">
        <v>900</v>
      </c>
      <c r="AE275" s="16" t="s">
        <v>151</v>
      </c>
      <c r="AF275" s="16">
        <v>0.1</v>
      </c>
      <c r="AG275" s="16">
        <v>1</v>
      </c>
      <c r="AH275" s="53" t="s">
        <v>165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600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="6" customFormat="1" spans="2:69">
      <c r="B276" s="41" t="s">
        <v>985</v>
      </c>
      <c r="C276" s="6" t="s">
        <v>71</v>
      </c>
      <c r="D276" s="16" t="s">
        <v>282</v>
      </c>
      <c r="E276" s="46" t="s">
        <v>986</v>
      </c>
      <c r="F276" s="24"/>
      <c r="G276" s="16" t="s">
        <v>819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987</v>
      </c>
      <c r="P276" s="16">
        <v>1.3</v>
      </c>
      <c r="Q276" s="16"/>
      <c r="R276" s="16"/>
      <c r="S276" s="16"/>
      <c r="T276" s="16"/>
      <c r="U276" s="16">
        <v>1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 t="s">
        <v>374</v>
      </c>
      <c r="AC276" s="16"/>
      <c r="AD276" s="16">
        <v>900</v>
      </c>
      <c r="AE276" s="16" t="s">
        <v>151</v>
      </c>
      <c r="AF276" s="16">
        <v>0.1</v>
      </c>
      <c r="AG276" s="16">
        <v>1</v>
      </c>
      <c r="AH276" s="53" t="s">
        <v>165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600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="6" customFormat="1" spans="2:69">
      <c r="B277" s="41" t="s">
        <v>988</v>
      </c>
      <c r="C277" s="6" t="s">
        <v>71</v>
      </c>
      <c r="D277" s="16" t="s">
        <v>282</v>
      </c>
      <c r="E277" s="46" t="s">
        <v>989</v>
      </c>
      <c r="F277" s="24"/>
      <c r="G277" s="16" t="s">
        <v>819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990</v>
      </c>
      <c r="P277" s="16">
        <v>1.5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360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3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="6" customFormat="1" spans="2:69">
      <c r="B278" s="41" t="s">
        <v>991</v>
      </c>
      <c r="C278" s="6" t="s">
        <v>71</v>
      </c>
      <c r="D278" s="16" t="s">
        <v>282</v>
      </c>
      <c r="E278" s="45" t="s">
        <v>992</v>
      </c>
      <c r="F278" s="24"/>
      <c r="G278" s="16" t="s">
        <v>819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993</v>
      </c>
      <c r="P278" s="16">
        <v>1.3</v>
      </c>
      <c r="Q278" s="16"/>
      <c r="R278" s="16"/>
      <c r="S278" s="16"/>
      <c r="T278" s="16"/>
      <c r="U278" s="16">
        <v>2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/>
      <c r="AC278" s="16"/>
      <c r="AD278" s="16">
        <v>0</v>
      </c>
      <c r="AE278" s="16" t="s">
        <v>151</v>
      </c>
      <c r="AF278" s="16"/>
      <c r="AG278" s="16"/>
      <c r="AH278" s="53" t="s">
        <v>152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250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="6" customFormat="1" spans="2:69">
      <c r="B279" s="41" t="s">
        <v>994</v>
      </c>
      <c r="C279" s="6" t="s">
        <v>71</v>
      </c>
      <c r="D279" s="16" t="s">
        <v>282</v>
      </c>
      <c r="E279" s="46" t="s">
        <v>995</v>
      </c>
      <c r="F279" s="24"/>
      <c r="G279" s="16" t="s">
        <v>819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996</v>
      </c>
      <c r="P279" s="16">
        <v>1.3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 t="s">
        <v>374</v>
      </c>
      <c r="AC279" s="16"/>
      <c r="AD279" s="16">
        <v>900</v>
      </c>
      <c r="AE279" s="16" t="s">
        <v>151</v>
      </c>
      <c r="AF279" s="16">
        <v>0.1</v>
      </c>
      <c r="AG279" s="16">
        <v>1</v>
      </c>
      <c r="AH279" s="53" t="s">
        <v>165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600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="6" customFormat="1" spans="2:69">
      <c r="B280" s="41" t="s">
        <v>997</v>
      </c>
      <c r="C280" s="6" t="s">
        <v>71</v>
      </c>
      <c r="D280" s="16" t="s">
        <v>282</v>
      </c>
      <c r="E280" s="45" t="s">
        <v>998</v>
      </c>
      <c r="F280" s="24"/>
      <c r="G280" s="16" t="s">
        <v>819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757</v>
      </c>
      <c r="P280" s="16">
        <v>1.5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3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="6" customFormat="1" spans="2:69">
      <c r="B281" s="41" t="s">
        <v>999</v>
      </c>
      <c r="C281" s="6" t="s">
        <v>71</v>
      </c>
      <c r="D281" s="16" t="s">
        <v>282</v>
      </c>
      <c r="E281" s="45" t="s">
        <v>1000</v>
      </c>
      <c r="F281" s="24"/>
      <c r="G281" s="16" t="s">
        <v>819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757</v>
      </c>
      <c r="P281" s="16">
        <v>1.5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/>
      <c r="AC281" s="16"/>
      <c r="AD281" s="16">
        <v>0</v>
      </c>
      <c r="AE281" s="16" t="s">
        <v>151</v>
      </c>
      <c r="AF281" s="16"/>
      <c r="AG281" s="16"/>
      <c r="AH281" s="53" t="s">
        <v>152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250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="6" customFormat="1" spans="2:69">
      <c r="B282" s="41" t="s">
        <v>1001</v>
      </c>
      <c r="C282" s="6" t="s">
        <v>71</v>
      </c>
      <c r="D282" s="16" t="s">
        <v>282</v>
      </c>
      <c r="E282" s="41" t="s">
        <v>1002</v>
      </c>
      <c r="F282" s="24"/>
      <c r="G282" s="16" t="s">
        <v>819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757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3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="6" customFormat="1" spans="2:69">
      <c r="B283" s="41" t="s">
        <v>1003</v>
      </c>
      <c r="C283" s="6" t="s">
        <v>71</v>
      </c>
      <c r="D283" s="16" t="s">
        <v>282</v>
      </c>
      <c r="E283" s="41" t="s">
        <v>1004</v>
      </c>
      <c r="F283" s="24"/>
      <c r="G283" s="16" t="s">
        <v>819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757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3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="6" customFormat="1" spans="2:69">
      <c r="B284" s="41" t="s">
        <v>1005</v>
      </c>
      <c r="C284" s="6" t="s">
        <v>71</v>
      </c>
      <c r="D284" s="16" t="s">
        <v>282</v>
      </c>
      <c r="E284" s="41" t="s">
        <v>1006</v>
      </c>
      <c r="F284" s="24"/>
      <c r="G284" s="16" t="s">
        <v>819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757</v>
      </c>
      <c r="P284" s="16">
        <v>1.5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3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="6" customFormat="1" spans="2:69">
      <c r="B285" s="41" t="s">
        <v>1007</v>
      </c>
      <c r="C285" s="6" t="s">
        <v>71</v>
      </c>
      <c r="D285" s="16" t="s">
        <v>282</v>
      </c>
      <c r="E285" s="41" t="s">
        <v>1008</v>
      </c>
      <c r="F285" s="24"/>
      <c r="G285" s="16" t="s">
        <v>819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757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3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="6" customFormat="1" spans="2:69">
      <c r="B286" s="41" t="s">
        <v>1009</v>
      </c>
      <c r="C286" s="6" t="s">
        <v>71</v>
      </c>
      <c r="D286" s="16" t="s">
        <v>282</v>
      </c>
      <c r="E286" s="41" t="s">
        <v>1010</v>
      </c>
      <c r="F286" s="24"/>
      <c r="G286" s="16" t="s">
        <v>819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757</v>
      </c>
      <c r="P286" s="16">
        <v>1.5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3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="6" customFormat="1" spans="2:69">
      <c r="B287" s="41" t="s">
        <v>1011</v>
      </c>
      <c r="C287" s="6" t="s">
        <v>71</v>
      </c>
      <c r="D287" s="16" t="s">
        <v>282</v>
      </c>
      <c r="E287" s="41" t="s">
        <v>1012</v>
      </c>
      <c r="F287" s="24"/>
      <c r="G287" s="16" t="s">
        <v>819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757</v>
      </c>
      <c r="P287" s="16">
        <v>1.5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3" t="s">
        <v>152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250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="6" customFormat="1" spans="2:69">
      <c r="B288" t="s">
        <v>1013</v>
      </c>
      <c r="C288" s="6" t="s">
        <v>71</v>
      </c>
      <c r="D288" s="16" t="s">
        <v>282</v>
      </c>
      <c r="E288" s="4" t="s">
        <v>1014</v>
      </c>
      <c r="F288" s="4"/>
      <c r="G288" s="16" t="s">
        <v>480</v>
      </c>
      <c r="H288" s="16"/>
      <c r="I288" s="16" t="s">
        <v>285</v>
      </c>
      <c r="J288" s="16"/>
      <c r="K288" s="16"/>
      <c r="L288" s="16">
        <v>0</v>
      </c>
      <c r="M288" s="16">
        <v>0</v>
      </c>
      <c r="N288" s="16"/>
      <c r="O288" s="16" t="s">
        <v>1015</v>
      </c>
      <c r="P288" s="16">
        <v>5</v>
      </c>
      <c r="Q288" s="16"/>
      <c r="R288" s="16"/>
      <c r="S288" s="16"/>
      <c r="T288" s="16"/>
      <c r="U288" s="16">
        <v>1</v>
      </c>
      <c r="V288" s="16">
        <v>2</v>
      </c>
      <c r="W288" s="16" t="s">
        <v>482</v>
      </c>
      <c r="X288" s="16">
        <v>300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3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0.7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="6" customFormat="1" spans="2:69">
      <c r="B289" t="s">
        <v>1016</v>
      </c>
      <c r="C289" s="6" t="s">
        <v>71</v>
      </c>
      <c r="D289" s="16" t="s">
        <v>282</v>
      </c>
      <c r="E289" s="4" t="s">
        <v>1017</v>
      </c>
      <c r="F289" s="4"/>
      <c r="G289" s="16" t="s">
        <v>480</v>
      </c>
      <c r="H289" s="16"/>
      <c r="I289" s="16" t="s">
        <v>285</v>
      </c>
      <c r="J289" s="16"/>
      <c r="K289" s="16"/>
      <c r="L289" s="16">
        <v>0</v>
      </c>
      <c r="M289" s="16">
        <v>0</v>
      </c>
      <c r="N289" s="16"/>
      <c r="O289" s="16" t="s">
        <v>1015</v>
      </c>
      <c r="P289" s="16">
        <v>8</v>
      </c>
      <c r="Q289" s="16"/>
      <c r="R289" s="16"/>
      <c r="S289" s="16"/>
      <c r="T289" s="16"/>
      <c r="U289" s="16">
        <v>1</v>
      </c>
      <c r="V289" s="16">
        <v>2</v>
      </c>
      <c r="W289" s="16" t="s">
        <v>482</v>
      </c>
      <c r="X289" s="16">
        <v>300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3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="6" customFormat="1" spans="2:69">
      <c r="B290" t="s">
        <v>1018</v>
      </c>
      <c r="C290" s="6" t="s">
        <v>71</v>
      </c>
      <c r="D290" s="16" t="s">
        <v>282</v>
      </c>
      <c r="E290" s="4" t="s">
        <v>1019</v>
      </c>
      <c r="F290" s="4"/>
      <c r="G290" s="16" t="s">
        <v>480</v>
      </c>
      <c r="H290" s="16"/>
      <c r="I290" s="16" t="s">
        <v>285</v>
      </c>
      <c r="J290" s="16"/>
      <c r="K290" s="16"/>
      <c r="L290" s="16">
        <v>0</v>
      </c>
      <c r="M290" s="16">
        <v>0</v>
      </c>
      <c r="N290" s="16"/>
      <c r="O290" s="16" t="s">
        <v>1015</v>
      </c>
      <c r="P290" s="16">
        <v>10.5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300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3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0.3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="6" customFormat="1" spans="2:69">
      <c r="B291" t="s">
        <v>1020</v>
      </c>
      <c r="C291" s="6" t="s">
        <v>71</v>
      </c>
      <c r="D291" s="16" t="s">
        <v>282</v>
      </c>
      <c r="E291" s="4" t="s">
        <v>1021</v>
      </c>
      <c r="F291" s="4"/>
      <c r="G291" s="16" t="s">
        <v>480</v>
      </c>
      <c r="H291" s="16"/>
      <c r="I291" s="16" t="s">
        <v>285</v>
      </c>
      <c r="J291" s="16"/>
      <c r="K291" s="16"/>
      <c r="L291" s="16">
        <v>0</v>
      </c>
      <c r="M291" s="16">
        <v>0</v>
      </c>
      <c r="N291" s="16"/>
      <c r="O291" s="16" t="s">
        <v>1015</v>
      </c>
      <c r="P291" s="16">
        <v>12.5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300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3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0.1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="7" customFormat="1" spans="2:69">
      <c r="B292" s="47" t="s">
        <v>1022</v>
      </c>
      <c r="C292" s="7" t="s">
        <v>71</v>
      </c>
      <c r="D292" s="35" t="s">
        <v>282</v>
      </c>
      <c r="E292" s="36" t="s">
        <v>1023</v>
      </c>
      <c r="F292" s="47"/>
      <c r="G292" s="35" t="s">
        <v>1024</v>
      </c>
      <c r="H292" s="35"/>
      <c r="I292" s="35" t="s">
        <v>285</v>
      </c>
      <c r="J292" s="35"/>
      <c r="K292" s="35"/>
      <c r="L292" s="35">
        <v>0</v>
      </c>
      <c r="M292" s="35">
        <v>0</v>
      </c>
      <c r="N292" s="35"/>
      <c r="O292" s="35" t="s">
        <v>1025</v>
      </c>
      <c r="P292" s="35">
        <v>0.55</v>
      </c>
      <c r="Q292" s="35"/>
      <c r="R292" s="35"/>
      <c r="S292" s="35"/>
      <c r="T292" s="35"/>
      <c r="U292" s="35">
        <v>1</v>
      </c>
      <c r="V292" s="35">
        <v>2</v>
      </c>
      <c r="W292" s="35" t="s">
        <v>482</v>
      </c>
      <c r="X292" s="35">
        <v>450</v>
      </c>
      <c r="Y292" s="35">
        <v>0</v>
      </c>
      <c r="Z292" s="35" t="s">
        <v>151</v>
      </c>
      <c r="AA292" s="16">
        <v>600</v>
      </c>
      <c r="AB292" s="35"/>
      <c r="AC292" s="35"/>
      <c r="AD292" s="35">
        <v>0</v>
      </c>
      <c r="AE292" s="35" t="s">
        <v>151</v>
      </c>
      <c r="AF292" s="35"/>
      <c r="AG292" s="35"/>
      <c r="AH292" s="56" t="s">
        <v>152</v>
      </c>
      <c r="AI292" s="36" t="s">
        <v>153</v>
      </c>
      <c r="AJ292" s="35">
        <v>0.5</v>
      </c>
      <c r="AK292" s="35">
        <v>0.5</v>
      </c>
      <c r="AL292" s="35"/>
      <c r="AM292" s="35">
        <v>1</v>
      </c>
      <c r="AN292" s="35"/>
      <c r="AO292" s="35"/>
      <c r="AP292" s="35">
        <v>250</v>
      </c>
      <c r="AQ292" s="35">
        <v>0.5</v>
      </c>
      <c r="AR292" s="35"/>
      <c r="AS292" s="35"/>
      <c r="AT292" s="35"/>
      <c r="AU292" s="35">
        <v>1</v>
      </c>
      <c r="AV292" s="35"/>
      <c r="AW292" s="35">
        <v>0</v>
      </c>
      <c r="AX292" s="35">
        <v>0</v>
      </c>
      <c r="AY292" s="35">
        <v>0</v>
      </c>
      <c r="AZ292" s="35">
        <v>0</v>
      </c>
      <c r="BA292" s="35">
        <v>0</v>
      </c>
      <c r="BB292" s="35">
        <v>0</v>
      </c>
      <c r="BC292" s="35">
        <v>100</v>
      </c>
      <c r="BD292" s="10">
        <v>100</v>
      </c>
      <c r="BE292" s="35"/>
      <c r="BF292" s="35" t="s">
        <v>154</v>
      </c>
      <c r="BG292" s="35">
        <v>0</v>
      </c>
      <c r="BH292" s="35">
        <v>0</v>
      </c>
      <c r="BI292" s="35">
        <v>100</v>
      </c>
      <c r="BJ292" s="35"/>
      <c r="BK292" s="35"/>
      <c r="BL292" s="35"/>
      <c r="BM292" s="35"/>
      <c r="BN292" s="35"/>
      <c r="BO292" s="35"/>
      <c r="BP292" s="35"/>
      <c r="BQ292" s="7">
        <v>0</v>
      </c>
    </row>
    <row r="293" s="7" customFormat="1" spans="2:69">
      <c r="B293" s="47" t="s">
        <v>1026</v>
      </c>
      <c r="C293" s="7" t="s">
        <v>71</v>
      </c>
      <c r="D293" s="35" t="s">
        <v>282</v>
      </c>
      <c r="E293" s="36" t="s">
        <v>1023</v>
      </c>
      <c r="F293" s="47"/>
      <c r="G293" s="35" t="s">
        <v>1024</v>
      </c>
      <c r="H293" s="35"/>
      <c r="I293" s="35" t="s">
        <v>285</v>
      </c>
      <c r="J293" s="35"/>
      <c r="K293" s="35"/>
      <c r="L293" s="35">
        <v>0</v>
      </c>
      <c r="M293" s="35">
        <v>0</v>
      </c>
      <c r="N293" s="35"/>
      <c r="O293" s="35" t="s">
        <v>1025</v>
      </c>
      <c r="P293" s="35">
        <f>P292+0.05</f>
        <v>0.6</v>
      </c>
      <c r="Q293" s="35"/>
      <c r="R293" s="35"/>
      <c r="S293" s="35"/>
      <c r="T293" s="35"/>
      <c r="U293" s="35">
        <v>1</v>
      </c>
      <c r="V293" s="35">
        <v>2</v>
      </c>
      <c r="W293" s="35" t="s">
        <v>482</v>
      </c>
      <c r="X293" s="35">
        <v>450</v>
      </c>
      <c r="Y293" s="35">
        <v>0</v>
      </c>
      <c r="Z293" s="35" t="s">
        <v>151</v>
      </c>
      <c r="AA293" s="16">
        <v>600</v>
      </c>
      <c r="AB293" s="35"/>
      <c r="AC293" s="35"/>
      <c r="AD293" s="35">
        <v>0</v>
      </c>
      <c r="AE293" s="35" t="s">
        <v>151</v>
      </c>
      <c r="AF293" s="35"/>
      <c r="AG293" s="35"/>
      <c r="AH293" s="56" t="s">
        <v>152</v>
      </c>
      <c r="AI293" s="36" t="s">
        <v>153</v>
      </c>
      <c r="AJ293" s="35">
        <v>0.5</v>
      </c>
      <c r="AK293" s="35">
        <v>0.5</v>
      </c>
      <c r="AL293" s="35"/>
      <c r="AM293" s="35">
        <v>1</v>
      </c>
      <c r="AN293" s="35"/>
      <c r="AO293" s="35"/>
      <c r="AP293" s="35">
        <v>250</v>
      </c>
      <c r="AQ293" s="35">
        <v>0.5</v>
      </c>
      <c r="AR293" s="35"/>
      <c r="AS293" s="35"/>
      <c r="AT293" s="35"/>
      <c r="AU293" s="35">
        <v>1</v>
      </c>
      <c r="AV293" s="35"/>
      <c r="AW293" s="35">
        <v>0</v>
      </c>
      <c r="AX293" s="35">
        <v>0</v>
      </c>
      <c r="AY293" s="35">
        <v>0</v>
      </c>
      <c r="AZ293" s="35">
        <v>0</v>
      </c>
      <c r="BA293" s="35">
        <v>0</v>
      </c>
      <c r="BB293" s="35">
        <v>0</v>
      </c>
      <c r="BC293" s="35">
        <v>100</v>
      </c>
      <c r="BD293" s="10">
        <v>100</v>
      </c>
      <c r="BE293" s="35"/>
      <c r="BF293" s="35" t="s">
        <v>154</v>
      </c>
      <c r="BG293" s="35">
        <v>0</v>
      </c>
      <c r="BH293" s="35">
        <v>0</v>
      </c>
      <c r="BI293" s="35">
        <v>100</v>
      </c>
      <c r="BJ293" s="35"/>
      <c r="BK293" s="35"/>
      <c r="BL293" s="35"/>
      <c r="BM293" s="35"/>
      <c r="BN293" s="35"/>
      <c r="BO293" s="35"/>
      <c r="BP293" s="35"/>
      <c r="BQ293" s="7">
        <v>0</v>
      </c>
    </row>
    <row r="294" s="7" customFormat="1" spans="2:69">
      <c r="B294" s="47" t="s">
        <v>1027</v>
      </c>
      <c r="C294" s="7" t="s">
        <v>71</v>
      </c>
      <c r="D294" s="35" t="s">
        <v>282</v>
      </c>
      <c r="E294" s="36" t="s">
        <v>1023</v>
      </c>
      <c r="F294" s="47"/>
      <c r="G294" s="35" t="s">
        <v>1024</v>
      </c>
      <c r="H294" s="35"/>
      <c r="I294" s="35" t="s">
        <v>285</v>
      </c>
      <c r="J294" s="35"/>
      <c r="K294" s="35"/>
      <c r="L294" s="35">
        <v>0</v>
      </c>
      <c r="M294" s="35">
        <v>0</v>
      </c>
      <c r="N294" s="35"/>
      <c r="O294" s="35" t="s">
        <v>1025</v>
      </c>
      <c r="P294" s="35">
        <f t="shared" ref="P294:P304" si="6">P293+0.05</f>
        <v>0.65</v>
      </c>
      <c r="Q294" s="35"/>
      <c r="R294" s="35"/>
      <c r="S294" s="35"/>
      <c r="T294" s="35"/>
      <c r="U294" s="35">
        <v>1</v>
      </c>
      <c r="V294" s="35">
        <v>2</v>
      </c>
      <c r="W294" s="35" t="s">
        <v>482</v>
      </c>
      <c r="X294" s="35">
        <v>450</v>
      </c>
      <c r="Y294" s="35">
        <v>0</v>
      </c>
      <c r="Z294" s="35" t="s">
        <v>151</v>
      </c>
      <c r="AA294" s="16">
        <v>600</v>
      </c>
      <c r="AB294" s="35"/>
      <c r="AC294" s="35"/>
      <c r="AD294" s="35">
        <v>0</v>
      </c>
      <c r="AE294" s="35" t="s">
        <v>151</v>
      </c>
      <c r="AF294" s="35"/>
      <c r="AG294" s="35"/>
      <c r="AH294" s="56" t="s">
        <v>152</v>
      </c>
      <c r="AI294" s="36" t="s">
        <v>153</v>
      </c>
      <c r="AJ294" s="35">
        <v>0.5</v>
      </c>
      <c r="AK294" s="35">
        <v>0.5</v>
      </c>
      <c r="AL294" s="35"/>
      <c r="AM294" s="35">
        <v>1</v>
      </c>
      <c r="AN294" s="35"/>
      <c r="AO294" s="35"/>
      <c r="AP294" s="35">
        <v>250</v>
      </c>
      <c r="AQ294" s="35">
        <v>0.5</v>
      </c>
      <c r="AR294" s="35"/>
      <c r="AS294" s="35"/>
      <c r="AT294" s="35"/>
      <c r="AU294" s="35">
        <v>1</v>
      </c>
      <c r="AV294" s="35"/>
      <c r="AW294" s="35">
        <v>0</v>
      </c>
      <c r="AX294" s="35">
        <v>0</v>
      </c>
      <c r="AY294" s="35">
        <v>0</v>
      </c>
      <c r="AZ294" s="35">
        <v>0</v>
      </c>
      <c r="BA294" s="35">
        <v>0</v>
      </c>
      <c r="BB294" s="35">
        <v>0</v>
      </c>
      <c r="BC294" s="35">
        <v>100</v>
      </c>
      <c r="BD294" s="10">
        <v>100</v>
      </c>
      <c r="BE294" s="35"/>
      <c r="BF294" s="35" t="s">
        <v>154</v>
      </c>
      <c r="BG294" s="35">
        <v>0</v>
      </c>
      <c r="BH294" s="35">
        <v>0</v>
      </c>
      <c r="BI294" s="35">
        <v>100</v>
      </c>
      <c r="BJ294" s="35"/>
      <c r="BK294" s="35"/>
      <c r="BL294" s="35"/>
      <c r="BM294" s="35"/>
      <c r="BN294" s="35"/>
      <c r="BO294" s="35"/>
      <c r="BP294" s="35"/>
      <c r="BQ294" s="7">
        <v>0</v>
      </c>
    </row>
    <row r="295" s="7" customFormat="1" spans="2:69">
      <c r="B295" s="47" t="s">
        <v>1028</v>
      </c>
      <c r="C295" s="7" t="s">
        <v>71</v>
      </c>
      <c r="D295" s="35" t="s">
        <v>282</v>
      </c>
      <c r="E295" s="36" t="s">
        <v>1023</v>
      </c>
      <c r="F295" s="47"/>
      <c r="G295" s="35" t="s">
        <v>1024</v>
      </c>
      <c r="H295" s="35"/>
      <c r="I295" s="35" t="s">
        <v>285</v>
      </c>
      <c r="J295" s="35"/>
      <c r="K295" s="35"/>
      <c r="L295" s="35">
        <v>0</v>
      </c>
      <c r="M295" s="35">
        <v>0</v>
      </c>
      <c r="N295" s="35"/>
      <c r="O295" s="35" t="s">
        <v>1025</v>
      </c>
      <c r="P295" s="35">
        <f t="shared" si="6"/>
        <v>0.7</v>
      </c>
      <c r="Q295" s="35"/>
      <c r="R295" s="35"/>
      <c r="S295" s="35"/>
      <c r="T295" s="35"/>
      <c r="U295" s="35">
        <v>1</v>
      </c>
      <c r="V295" s="35">
        <v>2</v>
      </c>
      <c r="W295" s="35" t="s">
        <v>482</v>
      </c>
      <c r="X295" s="35">
        <v>450</v>
      </c>
      <c r="Y295" s="35">
        <v>0</v>
      </c>
      <c r="Z295" s="35" t="s">
        <v>151</v>
      </c>
      <c r="AA295" s="16">
        <v>600</v>
      </c>
      <c r="AB295" s="35"/>
      <c r="AC295" s="35"/>
      <c r="AD295" s="35">
        <v>0</v>
      </c>
      <c r="AE295" s="35" t="s">
        <v>151</v>
      </c>
      <c r="AF295" s="35"/>
      <c r="AG295" s="35"/>
      <c r="AH295" s="56" t="s">
        <v>152</v>
      </c>
      <c r="AI295" s="36" t="s">
        <v>153</v>
      </c>
      <c r="AJ295" s="35">
        <v>0.5</v>
      </c>
      <c r="AK295" s="35">
        <v>0.5</v>
      </c>
      <c r="AL295" s="35"/>
      <c r="AM295" s="35">
        <v>1</v>
      </c>
      <c r="AN295" s="35"/>
      <c r="AO295" s="35"/>
      <c r="AP295" s="35">
        <v>250</v>
      </c>
      <c r="AQ295" s="35">
        <v>0.5</v>
      </c>
      <c r="AR295" s="35"/>
      <c r="AS295" s="35"/>
      <c r="AT295" s="35"/>
      <c r="AU295" s="35">
        <v>1</v>
      </c>
      <c r="AV295" s="35"/>
      <c r="AW295" s="35">
        <v>0</v>
      </c>
      <c r="AX295" s="35">
        <v>0</v>
      </c>
      <c r="AY295" s="35">
        <v>0</v>
      </c>
      <c r="AZ295" s="35">
        <v>0</v>
      </c>
      <c r="BA295" s="35">
        <v>0</v>
      </c>
      <c r="BB295" s="35">
        <v>0</v>
      </c>
      <c r="BC295" s="35">
        <v>100</v>
      </c>
      <c r="BD295" s="10">
        <v>100</v>
      </c>
      <c r="BE295" s="35"/>
      <c r="BF295" s="35" t="s">
        <v>154</v>
      </c>
      <c r="BG295" s="35">
        <v>0</v>
      </c>
      <c r="BH295" s="35">
        <v>0</v>
      </c>
      <c r="BI295" s="35">
        <v>100</v>
      </c>
      <c r="BJ295" s="35"/>
      <c r="BK295" s="35"/>
      <c r="BL295" s="35"/>
      <c r="BM295" s="35"/>
      <c r="BN295" s="35"/>
      <c r="BO295" s="35"/>
      <c r="BP295" s="35"/>
      <c r="BQ295" s="7">
        <v>0</v>
      </c>
    </row>
    <row r="296" s="7" customFormat="1" spans="2:69">
      <c r="B296" s="47" t="s">
        <v>1029</v>
      </c>
      <c r="C296" s="7" t="s">
        <v>71</v>
      </c>
      <c r="D296" s="35" t="s">
        <v>282</v>
      </c>
      <c r="E296" s="36" t="s">
        <v>1023</v>
      </c>
      <c r="F296" s="47"/>
      <c r="G296" s="35" t="s">
        <v>1024</v>
      </c>
      <c r="H296" s="35"/>
      <c r="I296" s="35" t="s">
        <v>285</v>
      </c>
      <c r="J296" s="35"/>
      <c r="K296" s="35"/>
      <c r="L296" s="35">
        <v>0</v>
      </c>
      <c r="M296" s="35">
        <v>0</v>
      </c>
      <c r="N296" s="35"/>
      <c r="O296" s="35" t="s">
        <v>1025</v>
      </c>
      <c r="P296" s="35">
        <f t="shared" si="6"/>
        <v>0.75</v>
      </c>
      <c r="Q296" s="35"/>
      <c r="R296" s="35"/>
      <c r="S296" s="35"/>
      <c r="T296" s="35"/>
      <c r="U296" s="35">
        <v>1</v>
      </c>
      <c r="V296" s="35">
        <v>2</v>
      </c>
      <c r="W296" s="35" t="s">
        <v>482</v>
      </c>
      <c r="X296" s="35">
        <v>450</v>
      </c>
      <c r="Y296" s="35">
        <v>0</v>
      </c>
      <c r="Z296" s="35" t="s">
        <v>151</v>
      </c>
      <c r="AA296" s="16">
        <v>600</v>
      </c>
      <c r="AB296" s="35"/>
      <c r="AC296" s="35"/>
      <c r="AD296" s="35">
        <v>0</v>
      </c>
      <c r="AE296" s="35" t="s">
        <v>151</v>
      </c>
      <c r="AF296" s="35"/>
      <c r="AG296" s="35"/>
      <c r="AH296" s="56" t="s">
        <v>152</v>
      </c>
      <c r="AI296" s="36" t="s">
        <v>153</v>
      </c>
      <c r="AJ296" s="35">
        <v>0.5</v>
      </c>
      <c r="AK296" s="35">
        <v>0.5</v>
      </c>
      <c r="AL296" s="35"/>
      <c r="AM296" s="35">
        <v>1</v>
      </c>
      <c r="AN296" s="35"/>
      <c r="AO296" s="35"/>
      <c r="AP296" s="35">
        <v>250</v>
      </c>
      <c r="AQ296" s="35">
        <v>0.5</v>
      </c>
      <c r="AR296" s="35"/>
      <c r="AS296" s="35"/>
      <c r="AT296" s="35"/>
      <c r="AU296" s="35">
        <v>1</v>
      </c>
      <c r="AV296" s="35"/>
      <c r="AW296" s="35">
        <v>0</v>
      </c>
      <c r="AX296" s="35">
        <v>0</v>
      </c>
      <c r="AY296" s="35">
        <v>0</v>
      </c>
      <c r="AZ296" s="35">
        <v>0</v>
      </c>
      <c r="BA296" s="35">
        <v>0</v>
      </c>
      <c r="BB296" s="35">
        <v>0</v>
      </c>
      <c r="BC296" s="35">
        <v>100</v>
      </c>
      <c r="BD296" s="10">
        <v>100</v>
      </c>
      <c r="BE296" s="35"/>
      <c r="BF296" s="35" t="s">
        <v>154</v>
      </c>
      <c r="BG296" s="35">
        <v>0</v>
      </c>
      <c r="BH296" s="35">
        <v>0</v>
      </c>
      <c r="BI296" s="35">
        <v>100</v>
      </c>
      <c r="BJ296" s="35"/>
      <c r="BK296" s="35"/>
      <c r="BL296" s="35"/>
      <c r="BM296" s="35"/>
      <c r="BN296" s="35"/>
      <c r="BO296" s="35"/>
      <c r="BP296" s="35"/>
      <c r="BQ296" s="7">
        <v>0</v>
      </c>
    </row>
    <row r="297" s="7" customFormat="1" spans="2:69">
      <c r="B297" s="47" t="s">
        <v>1030</v>
      </c>
      <c r="C297" s="7" t="s">
        <v>71</v>
      </c>
      <c r="D297" s="35" t="s">
        <v>282</v>
      </c>
      <c r="E297" s="36" t="s">
        <v>1023</v>
      </c>
      <c r="F297" s="47"/>
      <c r="G297" s="35" t="s">
        <v>1024</v>
      </c>
      <c r="H297" s="35"/>
      <c r="I297" s="35" t="s">
        <v>285</v>
      </c>
      <c r="J297" s="35"/>
      <c r="K297" s="35"/>
      <c r="L297" s="35">
        <v>0</v>
      </c>
      <c r="M297" s="35">
        <v>0</v>
      </c>
      <c r="N297" s="35"/>
      <c r="O297" s="35" t="s">
        <v>1025</v>
      </c>
      <c r="P297" s="35">
        <f t="shared" si="6"/>
        <v>0.8</v>
      </c>
      <c r="Q297" s="35"/>
      <c r="R297" s="35"/>
      <c r="S297" s="35"/>
      <c r="T297" s="35"/>
      <c r="U297" s="35">
        <v>1</v>
      </c>
      <c r="V297" s="35">
        <v>2</v>
      </c>
      <c r="W297" s="35" t="s">
        <v>482</v>
      </c>
      <c r="X297" s="35">
        <v>450</v>
      </c>
      <c r="Y297" s="35">
        <v>0</v>
      </c>
      <c r="Z297" s="35" t="s">
        <v>151</v>
      </c>
      <c r="AA297" s="16">
        <v>600</v>
      </c>
      <c r="AB297" s="35"/>
      <c r="AC297" s="35"/>
      <c r="AD297" s="35">
        <v>0</v>
      </c>
      <c r="AE297" s="35" t="s">
        <v>151</v>
      </c>
      <c r="AF297" s="35"/>
      <c r="AG297" s="35"/>
      <c r="AH297" s="56" t="s">
        <v>152</v>
      </c>
      <c r="AI297" s="36" t="s">
        <v>153</v>
      </c>
      <c r="AJ297" s="35">
        <v>0.5</v>
      </c>
      <c r="AK297" s="35">
        <v>0.5</v>
      </c>
      <c r="AL297" s="35"/>
      <c r="AM297" s="35">
        <v>1</v>
      </c>
      <c r="AN297" s="35"/>
      <c r="AO297" s="35"/>
      <c r="AP297" s="35">
        <v>250</v>
      </c>
      <c r="AQ297" s="35">
        <v>0.5</v>
      </c>
      <c r="AR297" s="35"/>
      <c r="AS297" s="35"/>
      <c r="AT297" s="35"/>
      <c r="AU297" s="35">
        <v>1</v>
      </c>
      <c r="AV297" s="35"/>
      <c r="AW297" s="35">
        <v>0</v>
      </c>
      <c r="AX297" s="35">
        <v>0</v>
      </c>
      <c r="AY297" s="35">
        <v>0</v>
      </c>
      <c r="AZ297" s="35">
        <v>0</v>
      </c>
      <c r="BA297" s="35">
        <v>0</v>
      </c>
      <c r="BB297" s="35">
        <v>0</v>
      </c>
      <c r="BC297" s="35">
        <v>100</v>
      </c>
      <c r="BD297" s="10">
        <v>100</v>
      </c>
      <c r="BE297" s="35"/>
      <c r="BF297" s="35" t="s">
        <v>154</v>
      </c>
      <c r="BG297" s="35">
        <v>0</v>
      </c>
      <c r="BH297" s="35">
        <v>0</v>
      </c>
      <c r="BI297" s="35">
        <v>100</v>
      </c>
      <c r="BJ297" s="35"/>
      <c r="BK297" s="35"/>
      <c r="BL297" s="35"/>
      <c r="BM297" s="35"/>
      <c r="BN297" s="35"/>
      <c r="BO297" s="35"/>
      <c r="BP297" s="35"/>
      <c r="BQ297" s="7">
        <v>0</v>
      </c>
    </row>
    <row r="298" s="7" customFormat="1" spans="2:69">
      <c r="B298" s="47" t="s">
        <v>1031</v>
      </c>
      <c r="C298" s="7" t="s">
        <v>71</v>
      </c>
      <c r="D298" s="35" t="s">
        <v>282</v>
      </c>
      <c r="E298" s="36" t="s">
        <v>1023</v>
      </c>
      <c r="F298" s="47"/>
      <c r="G298" s="35" t="s">
        <v>1024</v>
      </c>
      <c r="H298" s="35"/>
      <c r="I298" s="35" t="s">
        <v>285</v>
      </c>
      <c r="J298" s="35"/>
      <c r="K298" s="35"/>
      <c r="L298" s="35">
        <v>0</v>
      </c>
      <c r="M298" s="35">
        <v>0</v>
      </c>
      <c r="N298" s="35"/>
      <c r="O298" s="35" t="s">
        <v>1025</v>
      </c>
      <c r="P298" s="35">
        <f t="shared" si="6"/>
        <v>0.85</v>
      </c>
      <c r="Q298" s="35"/>
      <c r="R298" s="35"/>
      <c r="S298" s="35"/>
      <c r="T298" s="35"/>
      <c r="U298" s="35">
        <v>1</v>
      </c>
      <c r="V298" s="35">
        <v>2</v>
      </c>
      <c r="W298" s="35" t="s">
        <v>482</v>
      </c>
      <c r="X298" s="35">
        <v>450</v>
      </c>
      <c r="Y298" s="35">
        <v>0</v>
      </c>
      <c r="Z298" s="35" t="s">
        <v>151</v>
      </c>
      <c r="AA298" s="16">
        <v>600</v>
      </c>
      <c r="AB298" s="35"/>
      <c r="AC298" s="35"/>
      <c r="AD298" s="35">
        <v>0</v>
      </c>
      <c r="AE298" s="35" t="s">
        <v>151</v>
      </c>
      <c r="AF298" s="35"/>
      <c r="AG298" s="35"/>
      <c r="AH298" s="56" t="s">
        <v>152</v>
      </c>
      <c r="AI298" s="36" t="s">
        <v>153</v>
      </c>
      <c r="AJ298" s="35">
        <v>0.5</v>
      </c>
      <c r="AK298" s="35">
        <v>0.5</v>
      </c>
      <c r="AL298" s="35"/>
      <c r="AM298" s="35">
        <v>1</v>
      </c>
      <c r="AN298" s="35"/>
      <c r="AO298" s="35"/>
      <c r="AP298" s="35">
        <v>250</v>
      </c>
      <c r="AQ298" s="35">
        <v>0.5</v>
      </c>
      <c r="AR298" s="35"/>
      <c r="AS298" s="35"/>
      <c r="AT298" s="35"/>
      <c r="AU298" s="35">
        <v>1</v>
      </c>
      <c r="AV298" s="35"/>
      <c r="AW298" s="35">
        <v>0</v>
      </c>
      <c r="AX298" s="35">
        <v>0</v>
      </c>
      <c r="AY298" s="35">
        <v>0</v>
      </c>
      <c r="AZ298" s="35">
        <v>0</v>
      </c>
      <c r="BA298" s="35">
        <v>0</v>
      </c>
      <c r="BB298" s="35">
        <v>0</v>
      </c>
      <c r="BC298" s="35">
        <v>100</v>
      </c>
      <c r="BD298" s="10">
        <v>100</v>
      </c>
      <c r="BE298" s="35"/>
      <c r="BF298" s="35" t="s">
        <v>154</v>
      </c>
      <c r="BG298" s="35">
        <v>0</v>
      </c>
      <c r="BH298" s="35">
        <v>0</v>
      </c>
      <c r="BI298" s="35">
        <v>100</v>
      </c>
      <c r="BJ298" s="35"/>
      <c r="BK298" s="35"/>
      <c r="BL298" s="35"/>
      <c r="BM298" s="35"/>
      <c r="BN298" s="35"/>
      <c r="BO298" s="35"/>
      <c r="BP298" s="35"/>
      <c r="BQ298" s="7">
        <v>0</v>
      </c>
    </row>
    <row r="299" s="7" customFormat="1" spans="2:69">
      <c r="B299" s="47" t="s">
        <v>1032</v>
      </c>
      <c r="C299" s="7" t="s">
        <v>71</v>
      </c>
      <c r="D299" s="35" t="s">
        <v>282</v>
      </c>
      <c r="E299" s="36" t="s">
        <v>1023</v>
      </c>
      <c r="F299" s="47"/>
      <c r="G299" s="35" t="s">
        <v>1024</v>
      </c>
      <c r="H299" s="35"/>
      <c r="I299" s="35" t="s">
        <v>285</v>
      </c>
      <c r="J299" s="35"/>
      <c r="K299" s="35"/>
      <c r="L299" s="35">
        <v>0</v>
      </c>
      <c r="M299" s="35">
        <v>0</v>
      </c>
      <c r="N299" s="35"/>
      <c r="O299" s="35" t="s">
        <v>1025</v>
      </c>
      <c r="P299" s="35">
        <f t="shared" si="6"/>
        <v>0.9</v>
      </c>
      <c r="Q299" s="35"/>
      <c r="R299" s="35"/>
      <c r="S299" s="35"/>
      <c r="T299" s="35"/>
      <c r="U299" s="35">
        <v>1</v>
      </c>
      <c r="V299" s="35">
        <v>2</v>
      </c>
      <c r="W299" s="35" t="s">
        <v>482</v>
      </c>
      <c r="X299" s="35">
        <v>450</v>
      </c>
      <c r="Y299" s="35">
        <v>0</v>
      </c>
      <c r="Z299" s="35" t="s">
        <v>151</v>
      </c>
      <c r="AA299" s="16">
        <v>600</v>
      </c>
      <c r="AB299" s="35"/>
      <c r="AC299" s="35"/>
      <c r="AD299" s="35">
        <v>0</v>
      </c>
      <c r="AE299" s="35" t="s">
        <v>151</v>
      </c>
      <c r="AF299" s="35"/>
      <c r="AG299" s="35"/>
      <c r="AH299" s="56" t="s">
        <v>152</v>
      </c>
      <c r="AI299" s="36" t="s">
        <v>153</v>
      </c>
      <c r="AJ299" s="35">
        <v>0.5</v>
      </c>
      <c r="AK299" s="35">
        <v>0.5</v>
      </c>
      <c r="AL299" s="35"/>
      <c r="AM299" s="35">
        <v>1</v>
      </c>
      <c r="AN299" s="35"/>
      <c r="AO299" s="35"/>
      <c r="AP299" s="35">
        <v>250</v>
      </c>
      <c r="AQ299" s="35">
        <v>0.5</v>
      </c>
      <c r="AR299" s="35"/>
      <c r="AS299" s="35"/>
      <c r="AT299" s="35"/>
      <c r="AU299" s="35">
        <v>1</v>
      </c>
      <c r="AV299" s="35"/>
      <c r="AW299" s="35">
        <v>0</v>
      </c>
      <c r="AX299" s="35">
        <v>0</v>
      </c>
      <c r="AY299" s="35">
        <v>0</v>
      </c>
      <c r="AZ299" s="35">
        <v>0</v>
      </c>
      <c r="BA299" s="35">
        <v>0</v>
      </c>
      <c r="BB299" s="35">
        <v>0</v>
      </c>
      <c r="BC299" s="35">
        <v>100</v>
      </c>
      <c r="BD299" s="10">
        <v>100</v>
      </c>
      <c r="BE299" s="35"/>
      <c r="BF299" s="35" t="s">
        <v>154</v>
      </c>
      <c r="BG299" s="35">
        <v>0</v>
      </c>
      <c r="BH299" s="35">
        <v>0</v>
      </c>
      <c r="BI299" s="35">
        <v>100</v>
      </c>
      <c r="BJ299" s="35"/>
      <c r="BK299" s="35"/>
      <c r="BL299" s="35"/>
      <c r="BM299" s="35"/>
      <c r="BN299" s="35"/>
      <c r="BO299" s="35"/>
      <c r="BP299" s="35"/>
      <c r="BQ299" s="7">
        <v>0</v>
      </c>
    </row>
    <row r="300" s="7" customFormat="1" spans="2:69">
      <c r="B300" s="47" t="s">
        <v>1033</v>
      </c>
      <c r="C300" s="7" t="s">
        <v>71</v>
      </c>
      <c r="D300" s="35" t="s">
        <v>282</v>
      </c>
      <c r="E300" s="36" t="s">
        <v>1023</v>
      </c>
      <c r="F300" s="47"/>
      <c r="G300" s="35" t="s">
        <v>1024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1025</v>
      </c>
      <c r="P300" s="35">
        <f t="shared" si="6"/>
        <v>0.95</v>
      </c>
      <c r="Q300" s="35"/>
      <c r="R300" s="35"/>
      <c r="S300" s="35"/>
      <c r="T300" s="35"/>
      <c r="U300" s="35">
        <v>1</v>
      </c>
      <c r="V300" s="35">
        <v>2</v>
      </c>
      <c r="W300" s="35" t="s">
        <v>482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56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="7" customFormat="1" spans="2:69">
      <c r="B301" s="47" t="s">
        <v>1034</v>
      </c>
      <c r="C301" s="7" t="s">
        <v>71</v>
      </c>
      <c r="D301" s="35" t="s">
        <v>282</v>
      </c>
      <c r="E301" s="36" t="s">
        <v>1023</v>
      </c>
      <c r="F301" s="47"/>
      <c r="G301" s="35" t="s">
        <v>1024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1025</v>
      </c>
      <c r="P301" s="35">
        <f t="shared" si="6"/>
        <v>1</v>
      </c>
      <c r="Q301" s="35"/>
      <c r="R301" s="35"/>
      <c r="S301" s="35"/>
      <c r="T301" s="35"/>
      <c r="U301" s="35">
        <v>1</v>
      </c>
      <c r="V301" s="35">
        <v>2</v>
      </c>
      <c r="W301" s="35" t="s">
        <v>482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56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="7" customFormat="1" spans="2:69">
      <c r="B302" s="47" t="s">
        <v>1035</v>
      </c>
      <c r="C302" s="7" t="s">
        <v>71</v>
      </c>
      <c r="D302" s="35" t="s">
        <v>282</v>
      </c>
      <c r="E302" s="36" t="s">
        <v>1023</v>
      </c>
      <c r="F302" s="47"/>
      <c r="G302" s="35" t="s">
        <v>1024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1025</v>
      </c>
      <c r="P302" s="35">
        <f t="shared" si="6"/>
        <v>1.05</v>
      </c>
      <c r="Q302" s="35"/>
      <c r="R302" s="35"/>
      <c r="S302" s="35"/>
      <c r="T302" s="35"/>
      <c r="U302" s="35">
        <v>1</v>
      </c>
      <c r="V302" s="35">
        <v>2</v>
      </c>
      <c r="W302" s="35" t="s">
        <v>482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56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="7" customFormat="1" spans="2:69">
      <c r="B303" s="47" t="s">
        <v>1036</v>
      </c>
      <c r="C303" s="7" t="s">
        <v>71</v>
      </c>
      <c r="D303" s="35" t="s">
        <v>282</v>
      </c>
      <c r="E303" s="36" t="s">
        <v>1023</v>
      </c>
      <c r="F303" s="47"/>
      <c r="G303" s="35" t="s">
        <v>1024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1025</v>
      </c>
      <c r="P303" s="35">
        <f t="shared" si="6"/>
        <v>1.1</v>
      </c>
      <c r="Q303" s="35"/>
      <c r="R303" s="35"/>
      <c r="S303" s="35"/>
      <c r="T303" s="35"/>
      <c r="U303" s="35">
        <v>1</v>
      </c>
      <c r="V303" s="35">
        <v>2</v>
      </c>
      <c r="W303" s="35" t="s">
        <v>482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56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="7" customFormat="1" spans="2:69">
      <c r="B304" s="47" t="s">
        <v>1037</v>
      </c>
      <c r="C304" s="7" t="s">
        <v>71</v>
      </c>
      <c r="D304" s="35" t="s">
        <v>282</v>
      </c>
      <c r="E304" s="36" t="s">
        <v>1023</v>
      </c>
      <c r="F304" s="47"/>
      <c r="G304" s="35" t="s">
        <v>1024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1025</v>
      </c>
      <c r="P304" s="35">
        <f t="shared" si="6"/>
        <v>1.15</v>
      </c>
      <c r="Q304" s="35"/>
      <c r="R304" s="35"/>
      <c r="S304" s="35"/>
      <c r="T304" s="35"/>
      <c r="U304" s="35">
        <v>1</v>
      </c>
      <c r="V304" s="35">
        <v>2</v>
      </c>
      <c r="W304" s="35" t="s">
        <v>482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56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="6" customFormat="1" spans="2:69">
      <c r="B305" s="24" t="s">
        <v>1038</v>
      </c>
      <c r="C305" s="6" t="s">
        <v>71</v>
      </c>
      <c r="D305" s="16" t="s">
        <v>282</v>
      </c>
      <c r="E305" s="48" t="s">
        <v>1039</v>
      </c>
      <c r="F305" s="24"/>
      <c r="G305" s="16" t="s">
        <v>1024</v>
      </c>
      <c r="H305" s="16"/>
      <c r="I305" s="16" t="s">
        <v>285</v>
      </c>
      <c r="J305" s="16"/>
      <c r="K305" s="16"/>
      <c r="L305" s="16">
        <v>0</v>
      </c>
      <c r="M305" s="16">
        <v>0</v>
      </c>
      <c r="N305" s="16"/>
      <c r="O305" s="16" t="s">
        <v>1040</v>
      </c>
      <c r="P305" s="16">
        <v>0.4</v>
      </c>
      <c r="Q305" s="16"/>
      <c r="R305" s="16"/>
      <c r="S305" s="16"/>
      <c r="T305" s="16"/>
      <c r="U305" s="16">
        <v>1</v>
      </c>
      <c r="V305" s="16">
        <v>2</v>
      </c>
      <c r="W305" s="16" t="s">
        <v>482</v>
      </c>
      <c r="X305" s="16">
        <v>400</v>
      </c>
      <c r="Y305" s="16">
        <v>0</v>
      </c>
      <c r="Z305" s="16" t="s">
        <v>151</v>
      </c>
      <c r="AA305" s="16">
        <v>600</v>
      </c>
      <c r="AB305" s="16"/>
      <c r="AC305" s="16"/>
      <c r="AD305" s="16">
        <v>0</v>
      </c>
      <c r="AE305" s="16" t="s">
        <v>151</v>
      </c>
      <c r="AF305" s="16"/>
      <c r="AG305" s="16"/>
      <c r="AH305" s="53" t="s">
        <v>152</v>
      </c>
      <c r="AI305" s="4" t="s">
        <v>153</v>
      </c>
      <c r="AJ305" s="16">
        <v>0.5</v>
      </c>
      <c r="AK305" s="16">
        <v>0.5</v>
      </c>
      <c r="AL305" s="16"/>
      <c r="AM305" s="16">
        <v>1</v>
      </c>
      <c r="AN305" s="16"/>
      <c r="AO305" s="16"/>
      <c r="AP305" s="16">
        <v>250</v>
      </c>
      <c r="AQ305" s="16">
        <v>0.5</v>
      </c>
      <c r="AR305" s="16"/>
      <c r="AS305" s="16"/>
      <c r="AT305" s="16"/>
      <c r="AU305" s="16">
        <v>1</v>
      </c>
      <c r="AV305" s="16"/>
      <c r="AW305" s="16">
        <v>0</v>
      </c>
      <c r="AX305" s="16">
        <v>0</v>
      </c>
      <c r="AY305" s="16">
        <v>0</v>
      </c>
      <c r="AZ305" s="16">
        <v>0</v>
      </c>
      <c r="BA305" s="16">
        <v>0</v>
      </c>
      <c r="BB305" s="16">
        <v>0</v>
      </c>
      <c r="BC305" s="16">
        <v>100</v>
      </c>
      <c r="BD305" s="10">
        <v>100</v>
      </c>
      <c r="BE305" s="16"/>
      <c r="BF305" s="10" t="s">
        <v>154</v>
      </c>
      <c r="BG305" s="10">
        <v>0</v>
      </c>
      <c r="BH305" s="16">
        <v>0</v>
      </c>
      <c r="BI305" s="16">
        <v>100</v>
      </c>
      <c r="BJ305" s="16"/>
      <c r="BK305" s="16"/>
      <c r="BL305" s="16"/>
      <c r="BM305" s="16"/>
      <c r="BN305" s="16"/>
      <c r="BO305" s="16"/>
      <c r="BP305" s="16"/>
      <c r="BQ305" s="6">
        <v>0</v>
      </c>
    </row>
    <row r="306" s="6" customFormat="1" spans="2:69">
      <c r="B306" s="24" t="s">
        <v>1041</v>
      </c>
      <c r="C306" s="6" t="s">
        <v>71</v>
      </c>
      <c r="D306" s="16" t="s">
        <v>282</v>
      </c>
      <c r="E306" s="4" t="s">
        <v>1042</v>
      </c>
      <c r="F306" s="24"/>
      <c r="G306" s="16" t="s">
        <v>1024</v>
      </c>
      <c r="H306" s="16"/>
      <c r="I306" s="16" t="s">
        <v>285</v>
      </c>
      <c r="J306" s="16"/>
      <c r="K306" s="16"/>
      <c r="L306" s="16">
        <v>0</v>
      </c>
      <c r="M306" s="16">
        <v>0</v>
      </c>
      <c r="N306" s="16"/>
      <c r="O306" s="16" t="s">
        <v>1040</v>
      </c>
      <c r="P306" s="16">
        <v>0.45</v>
      </c>
      <c r="Q306" s="16"/>
      <c r="R306" s="16"/>
      <c r="S306" s="16"/>
      <c r="T306" s="16"/>
      <c r="U306" s="16">
        <v>1</v>
      </c>
      <c r="V306" s="16">
        <v>2</v>
      </c>
      <c r="W306" s="16" t="s">
        <v>482</v>
      </c>
      <c r="X306" s="16">
        <v>400</v>
      </c>
      <c r="Y306" s="16">
        <v>0</v>
      </c>
      <c r="Z306" s="16" t="s">
        <v>151</v>
      </c>
      <c r="AA306" s="16">
        <v>600</v>
      </c>
      <c r="AB306" s="16"/>
      <c r="AC306" s="16"/>
      <c r="AD306" s="16">
        <v>0</v>
      </c>
      <c r="AE306" s="16" t="s">
        <v>151</v>
      </c>
      <c r="AF306" s="16"/>
      <c r="AG306" s="16"/>
      <c r="AH306" s="53" t="s">
        <v>152</v>
      </c>
      <c r="AI306" s="4" t="s">
        <v>153</v>
      </c>
      <c r="AJ306" s="16">
        <v>0.5</v>
      </c>
      <c r="AK306" s="16">
        <v>0.5</v>
      </c>
      <c r="AL306" s="16"/>
      <c r="AM306" s="16">
        <v>1</v>
      </c>
      <c r="AN306" s="16"/>
      <c r="AO306" s="16"/>
      <c r="AP306" s="16">
        <v>250</v>
      </c>
      <c r="AQ306" s="16">
        <v>0.5</v>
      </c>
      <c r="AR306" s="16"/>
      <c r="AS306" s="16"/>
      <c r="AT306" s="16"/>
      <c r="AU306" s="16">
        <v>1</v>
      </c>
      <c r="AV306" s="16"/>
      <c r="AW306" s="16">
        <v>0</v>
      </c>
      <c r="AX306" s="16">
        <v>0</v>
      </c>
      <c r="AY306" s="16">
        <v>0</v>
      </c>
      <c r="AZ306" s="16">
        <v>0</v>
      </c>
      <c r="BA306" s="16">
        <v>0</v>
      </c>
      <c r="BB306" s="16">
        <v>0</v>
      </c>
      <c r="BC306" s="16">
        <v>100</v>
      </c>
      <c r="BD306" s="10">
        <v>100</v>
      </c>
      <c r="BE306" s="16"/>
      <c r="BF306" s="10" t="s">
        <v>154</v>
      </c>
      <c r="BG306" s="10">
        <v>0</v>
      </c>
      <c r="BH306" s="16">
        <v>0</v>
      </c>
      <c r="BI306" s="16">
        <v>100</v>
      </c>
      <c r="BJ306" s="16"/>
      <c r="BK306" s="16"/>
      <c r="BL306" s="16"/>
      <c r="BM306" s="16"/>
      <c r="BN306" s="16"/>
      <c r="BO306" s="16"/>
      <c r="BP306" s="16"/>
      <c r="BQ306" s="6">
        <v>0</v>
      </c>
    </row>
    <row r="307" s="6" customFormat="1" spans="2:69">
      <c r="B307" s="24" t="s">
        <v>1043</v>
      </c>
      <c r="C307" s="6" t="s">
        <v>71</v>
      </c>
      <c r="D307" s="16" t="s">
        <v>282</v>
      </c>
      <c r="E307" s="4" t="s">
        <v>1044</v>
      </c>
      <c r="F307" s="24"/>
      <c r="G307" s="16" t="s">
        <v>1024</v>
      </c>
      <c r="H307" s="16"/>
      <c r="I307" s="16" t="s">
        <v>285</v>
      </c>
      <c r="J307" s="16"/>
      <c r="K307" s="16"/>
      <c r="L307" s="16">
        <v>0</v>
      </c>
      <c r="M307" s="16">
        <v>0</v>
      </c>
      <c r="N307" s="16"/>
      <c r="O307" s="16" t="s">
        <v>1040</v>
      </c>
      <c r="P307" s="16">
        <v>0.5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3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="6" customFormat="1" spans="2:69">
      <c r="B308" s="24" t="s">
        <v>1045</v>
      </c>
      <c r="C308" s="6" t="s">
        <v>71</v>
      </c>
      <c r="D308" s="16" t="s">
        <v>282</v>
      </c>
      <c r="E308" s="4" t="s">
        <v>1046</v>
      </c>
      <c r="F308" s="24"/>
      <c r="G308" s="16" t="s">
        <v>1024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1040</v>
      </c>
      <c r="P308" s="16">
        <v>0.55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3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="6" customFormat="1" spans="2:69">
      <c r="B309" s="24" t="s">
        <v>1047</v>
      </c>
      <c r="C309" s="6" t="s">
        <v>71</v>
      </c>
      <c r="D309" s="16" t="s">
        <v>282</v>
      </c>
      <c r="E309" s="4" t="s">
        <v>1048</v>
      </c>
      <c r="F309" s="24"/>
      <c r="G309" s="16" t="s">
        <v>1024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1040</v>
      </c>
      <c r="P309" s="16">
        <v>0.6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3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="6" customFormat="1" spans="2:69">
      <c r="B310" s="24" t="s">
        <v>1049</v>
      </c>
      <c r="C310" s="6" t="s">
        <v>71</v>
      </c>
      <c r="D310" s="16" t="s">
        <v>282</v>
      </c>
      <c r="E310" s="4" t="s">
        <v>1050</v>
      </c>
      <c r="F310" s="24"/>
      <c r="G310" s="16" t="s">
        <v>1024</v>
      </c>
      <c r="H310" s="16"/>
      <c r="I310" s="16" t="s">
        <v>285</v>
      </c>
      <c r="J310" s="16" t="s">
        <v>882</v>
      </c>
      <c r="K310" s="16"/>
      <c r="L310" s="16">
        <v>0</v>
      </c>
      <c r="M310" s="16">
        <v>0</v>
      </c>
      <c r="N310" s="16"/>
      <c r="O310" s="16" t="s">
        <v>1051</v>
      </c>
      <c r="P310" s="16">
        <v>1.3</v>
      </c>
      <c r="Q310" s="16"/>
      <c r="R310" s="16"/>
      <c r="S310" s="16"/>
      <c r="T310" s="16"/>
      <c r="U310" s="16">
        <v>2</v>
      </c>
      <c r="V310" s="16">
        <v>2</v>
      </c>
      <c r="W310" s="16" t="s">
        <v>150</v>
      </c>
      <c r="X310" s="16">
        <v>450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3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0.2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>
        <v>20</v>
      </c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="6" customFormat="1" spans="2:69">
      <c r="B311" s="24" t="s">
        <v>1052</v>
      </c>
      <c r="C311" s="6" t="s">
        <v>71</v>
      </c>
      <c r="D311" s="16" t="s">
        <v>282</v>
      </c>
      <c r="E311" s="4" t="s">
        <v>1053</v>
      </c>
      <c r="F311" s="24"/>
      <c r="G311" s="16" t="s">
        <v>1024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1040</v>
      </c>
      <c r="P311" s="16">
        <v>0.4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3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="6" customFormat="1" spans="2:69">
      <c r="B312" s="24" t="s">
        <v>1054</v>
      </c>
      <c r="C312" s="6" t="s">
        <v>71</v>
      </c>
      <c r="D312" s="16" t="s">
        <v>282</v>
      </c>
      <c r="E312" s="4" t="s">
        <v>1055</v>
      </c>
      <c r="F312" s="24"/>
      <c r="G312" s="16" t="s">
        <v>1024</v>
      </c>
      <c r="H312" s="16"/>
      <c r="I312" s="16" t="s">
        <v>285</v>
      </c>
      <c r="J312" s="16"/>
      <c r="K312" s="16"/>
      <c r="L312" s="16">
        <v>0</v>
      </c>
      <c r="M312" s="16">
        <v>0</v>
      </c>
      <c r="N312" s="16"/>
      <c r="O312" s="16" t="s">
        <v>1040</v>
      </c>
      <c r="P312" s="16">
        <v>0.45</v>
      </c>
      <c r="Q312" s="16"/>
      <c r="R312" s="16"/>
      <c r="S312" s="16"/>
      <c r="T312" s="16"/>
      <c r="U312" s="16">
        <v>1</v>
      </c>
      <c r="V312" s="16">
        <v>2</v>
      </c>
      <c r="W312" s="16" t="s">
        <v>482</v>
      </c>
      <c r="X312" s="16">
        <v>400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3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0.5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/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="6" customFormat="1" spans="2:69">
      <c r="B313" s="24" t="s">
        <v>1056</v>
      </c>
      <c r="C313" s="6" t="s">
        <v>71</v>
      </c>
      <c r="D313" s="16" t="s">
        <v>282</v>
      </c>
      <c r="E313" s="4" t="s">
        <v>1057</v>
      </c>
      <c r="F313" s="24"/>
      <c r="G313" s="16" t="s">
        <v>1024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1040</v>
      </c>
      <c r="P313" s="16">
        <v>0.5</v>
      </c>
      <c r="Q313" s="16"/>
      <c r="R313" s="16"/>
      <c r="S313" s="16"/>
      <c r="T313" s="16"/>
      <c r="U313" s="16">
        <v>1</v>
      </c>
      <c r="V313" s="16">
        <v>2</v>
      </c>
      <c r="W313" s="16" t="s">
        <v>482</v>
      </c>
      <c r="X313" s="16">
        <v>400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3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0.5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="6" customFormat="1" spans="2:69">
      <c r="B314" s="24" t="s">
        <v>1058</v>
      </c>
      <c r="C314" s="6" t="s">
        <v>71</v>
      </c>
      <c r="D314" s="16" t="s">
        <v>282</v>
      </c>
      <c r="E314" s="4" t="s">
        <v>1059</v>
      </c>
      <c r="F314" s="24"/>
      <c r="G314" s="16" t="s">
        <v>1024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1040</v>
      </c>
      <c r="P314" s="16">
        <v>0.55</v>
      </c>
      <c r="Q314" s="16"/>
      <c r="R314" s="16"/>
      <c r="S314" s="16"/>
      <c r="T314" s="16"/>
      <c r="U314" s="16">
        <v>1</v>
      </c>
      <c r="V314" s="16">
        <v>2</v>
      </c>
      <c r="W314" s="16" t="s">
        <v>482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3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="6" customFormat="1" spans="2:69">
      <c r="B315" s="24" t="s">
        <v>1060</v>
      </c>
      <c r="C315" s="6" t="s">
        <v>71</v>
      </c>
      <c r="D315" s="16" t="s">
        <v>282</v>
      </c>
      <c r="E315" s="4" t="s">
        <v>1061</v>
      </c>
      <c r="F315" s="24"/>
      <c r="G315" s="16" t="s">
        <v>1024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1040</v>
      </c>
      <c r="P315" s="16">
        <v>0.6</v>
      </c>
      <c r="Q315" s="16"/>
      <c r="R315" s="16"/>
      <c r="S315" s="16"/>
      <c r="T315" s="16"/>
      <c r="U315" s="16">
        <v>1</v>
      </c>
      <c r="V315" s="16">
        <v>2</v>
      </c>
      <c r="W315" s="16" t="s">
        <v>482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3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="6" customFormat="1" spans="2:69">
      <c r="B316" s="24" t="s">
        <v>1062</v>
      </c>
      <c r="C316" s="6" t="s">
        <v>71</v>
      </c>
      <c r="D316" s="16" t="s">
        <v>282</v>
      </c>
      <c r="E316" s="4" t="s">
        <v>1063</v>
      </c>
      <c r="F316" s="24"/>
      <c r="G316" s="16" t="s">
        <v>1024</v>
      </c>
      <c r="H316" s="16"/>
      <c r="I316" s="16" t="s">
        <v>285</v>
      </c>
      <c r="J316" s="16" t="s">
        <v>882</v>
      </c>
      <c r="K316" s="16"/>
      <c r="L316" s="16">
        <v>0</v>
      </c>
      <c r="M316" s="16">
        <v>0</v>
      </c>
      <c r="N316" s="16"/>
      <c r="O316" s="16" t="s">
        <v>1064</v>
      </c>
      <c r="P316" s="16">
        <v>1.3</v>
      </c>
      <c r="Q316" s="16"/>
      <c r="R316" s="16"/>
      <c r="S316" s="16"/>
      <c r="T316" s="16"/>
      <c r="U316" s="16">
        <v>2</v>
      </c>
      <c r="V316" s="16">
        <v>2</v>
      </c>
      <c r="W316" s="16" t="s">
        <v>150</v>
      </c>
      <c r="X316" s="16">
        <v>450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3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0.2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>
        <v>20</v>
      </c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="6" customFormat="1" spans="2:69">
      <c r="B317" s="24" t="s">
        <v>1065</v>
      </c>
      <c r="C317" s="6" t="s">
        <v>71</v>
      </c>
      <c r="D317" s="16" t="s">
        <v>282</v>
      </c>
      <c r="E317" s="4" t="s">
        <v>1066</v>
      </c>
      <c r="F317" s="24"/>
      <c r="G317" s="16" t="s">
        <v>1024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1040</v>
      </c>
      <c r="P317" s="16">
        <v>0.4</v>
      </c>
      <c r="Q317" s="16"/>
      <c r="R317" s="16"/>
      <c r="S317" s="16"/>
      <c r="T317" s="16"/>
      <c r="U317" s="16">
        <v>1</v>
      </c>
      <c r="V317" s="16">
        <v>2</v>
      </c>
      <c r="W317" s="16" t="s">
        <v>482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3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="6" customFormat="1" spans="2:69">
      <c r="B318" s="24" t="s">
        <v>1067</v>
      </c>
      <c r="C318" s="6" t="s">
        <v>71</v>
      </c>
      <c r="D318" s="16" t="s">
        <v>282</v>
      </c>
      <c r="E318" s="4" t="s">
        <v>1068</v>
      </c>
      <c r="F318" s="24"/>
      <c r="G318" s="16" t="s">
        <v>1024</v>
      </c>
      <c r="H318" s="16"/>
      <c r="I318" s="16" t="s">
        <v>285</v>
      </c>
      <c r="J318" s="16"/>
      <c r="K318" s="16"/>
      <c r="L318" s="16">
        <v>0</v>
      </c>
      <c r="M318" s="16">
        <v>0</v>
      </c>
      <c r="N318" s="16"/>
      <c r="O318" s="16" t="s">
        <v>1040</v>
      </c>
      <c r="P318" s="16">
        <v>0.45</v>
      </c>
      <c r="Q318" s="16"/>
      <c r="R318" s="16"/>
      <c r="S318" s="16"/>
      <c r="T318" s="16"/>
      <c r="U318" s="16">
        <v>1</v>
      </c>
      <c r="V318" s="16">
        <v>2</v>
      </c>
      <c r="W318" s="16" t="s">
        <v>482</v>
      </c>
      <c r="X318" s="16">
        <v>400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3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0.5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/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="6" customFormat="1" spans="2:69">
      <c r="B319" s="24" t="s">
        <v>1069</v>
      </c>
      <c r="C319" s="6" t="s">
        <v>71</v>
      </c>
      <c r="D319" s="16" t="s">
        <v>282</v>
      </c>
      <c r="E319" s="4" t="s">
        <v>1070</v>
      </c>
      <c r="F319" s="24"/>
      <c r="G319" s="16" t="s">
        <v>1024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1040</v>
      </c>
      <c r="P319" s="16">
        <v>0.5</v>
      </c>
      <c r="Q319" s="16"/>
      <c r="R319" s="16"/>
      <c r="S319" s="16"/>
      <c r="T319" s="16"/>
      <c r="U319" s="16">
        <v>1</v>
      </c>
      <c r="V319" s="16">
        <v>2</v>
      </c>
      <c r="W319" s="16" t="s">
        <v>482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3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="6" customFormat="1" spans="2:69">
      <c r="B320" s="24" t="s">
        <v>1071</v>
      </c>
      <c r="C320" s="6" t="s">
        <v>71</v>
      </c>
      <c r="D320" s="16" t="s">
        <v>282</v>
      </c>
      <c r="E320" s="4" t="s">
        <v>1072</v>
      </c>
      <c r="F320" s="24"/>
      <c r="G320" s="16" t="s">
        <v>1024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1040</v>
      </c>
      <c r="P320" s="16">
        <v>0.55</v>
      </c>
      <c r="Q320" s="16"/>
      <c r="R320" s="16"/>
      <c r="S320" s="16"/>
      <c r="T320" s="16"/>
      <c r="U320" s="16">
        <v>1</v>
      </c>
      <c r="V320" s="16">
        <v>2</v>
      </c>
      <c r="W320" s="16" t="s">
        <v>482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3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="6" customFormat="1" spans="2:69">
      <c r="B321" s="24" t="s">
        <v>1073</v>
      </c>
      <c r="C321" s="6" t="s">
        <v>71</v>
      </c>
      <c r="D321" s="16" t="s">
        <v>282</v>
      </c>
      <c r="E321" s="4" t="s">
        <v>1074</v>
      </c>
      <c r="F321" s="24"/>
      <c r="G321" s="16" t="s">
        <v>1024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1040</v>
      </c>
      <c r="P321" s="16">
        <v>0.6</v>
      </c>
      <c r="Q321" s="16"/>
      <c r="R321" s="16"/>
      <c r="S321" s="16"/>
      <c r="T321" s="16"/>
      <c r="U321" s="16">
        <v>1</v>
      </c>
      <c r="V321" s="16">
        <v>2</v>
      </c>
      <c r="W321" s="16" t="s">
        <v>482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3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="6" customFormat="1" spans="2:69">
      <c r="B322" s="24" t="s">
        <v>1075</v>
      </c>
      <c r="C322" s="6" t="s">
        <v>71</v>
      </c>
      <c r="D322" s="16" t="s">
        <v>282</v>
      </c>
      <c r="E322" s="4" t="s">
        <v>1076</v>
      </c>
      <c r="F322" s="24"/>
      <c r="G322" s="16" t="s">
        <v>1024</v>
      </c>
      <c r="H322" s="16"/>
      <c r="I322" s="16" t="s">
        <v>285</v>
      </c>
      <c r="J322" s="16" t="s">
        <v>882</v>
      </c>
      <c r="K322" s="16"/>
      <c r="L322" s="16">
        <v>0</v>
      </c>
      <c r="M322" s="16">
        <v>0</v>
      </c>
      <c r="N322" s="16"/>
      <c r="O322" s="16" t="s">
        <v>1077</v>
      </c>
      <c r="P322" s="16">
        <v>1.5</v>
      </c>
      <c r="Q322" s="16"/>
      <c r="R322" s="16"/>
      <c r="S322" s="16"/>
      <c r="T322" s="16"/>
      <c r="U322" s="16">
        <v>2</v>
      </c>
      <c r="V322" s="16">
        <v>2</v>
      </c>
      <c r="W322" s="16" t="s">
        <v>150</v>
      </c>
      <c r="X322" s="16">
        <v>450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3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0.2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>
        <v>20</v>
      </c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="6" customFormat="1" spans="2:69">
      <c r="B323" s="24" t="s">
        <v>1078</v>
      </c>
      <c r="C323" s="6" t="s">
        <v>71</v>
      </c>
      <c r="D323" s="16" t="s">
        <v>282</v>
      </c>
      <c r="E323" s="4" t="s">
        <v>1079</v>
      </c>
      <c r="F323" s="24"/>
      <c r="G323" s="16" t="s">
        <v>1024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1040</v>
      </c>
      <c r="P323" s="16">
        <v>0.4</v>
      </c>
      <c r="Q323" s="16"/>
      <c r="R323" s="16"/>
      <c r="S323" s="16"/>
      <c r="T323" s="16"/>
      <c r="U323" s="16">
        <v>1</v>
      </c>
      <c r="V323" s="16">
        <v>2</v>
      </c>
      <c r="W323" s="16" t="s">
        <v>482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3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="6" customFormat="1" spans="2:69">
      <c r="B324" s="24" t="s">
        <v>1080</v>
      </c>
      <c r="C324" s="6" t="s">
        <v>71</v>
      </c>
      <c r="D324" s="16" t="s">
        <v>282</v>
      </c>
      <c r="E324" s="4" t="s">
        <v>1081</v>
      </c>
      <c r="F324" s="24"/>
      <c r="G324" s="16" t="s">
        <v>1024</v>
      </c>
      <c r="H324" s="16"/>
      <c r="I324" s="16" t="s">
        <v>285</v>
      </c>
      <c r="J324" s="16"/>
      <c r="K324" s="16"/>
      <c r="L324" s="16">
        <v>0</v>
      </c>
      <c r="M324" s="16">
        <v>0</v>
      </c>
      <c r="N324" s="16"/>
      <c r="O324" s="16" t="s">
        <v>1040</v>
      </c>
      <c r="P324" s="16">
        <v>0.45</v>
      </c>
      <c r="Q324" s="16"/>
      <c r="R324" s="16"/>
      <c r="S324" s="16"/>
      <c r="T324" s="16"/>
      <c r="U324" s="16">
        <v>1</v>
      </c>
      <c r="V324" s="16">
        <v>2</v>
      </c>
      <c r="W324" s="16" t="s">
        <v>482</v>
      </c>
      <c r="X324" s="16">
        <v>400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3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0.5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/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="6" customFormat="1" spans="2:69">
      <c r="B325" s="24" t="s">
        <v>1082</v>
      </c>
      <c r="C325" s="6" t="s">
        <v>71</v>
      </c>
      <c r="D325" s="16" t="s">
        <v>282</v>
      </c>
      <c r="E325" s="4" t="s">
        <v>1083</v>
      </c>
      <c r="F325" s="24"/>
      <c r="G325" s="16" t="s">
        <v>1024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1040</v>
      </c>
      <c r="P325" s="16">
        <v>0.5</v>
      </c>
      <c r="Q325" s="16"/>
      <c r="R325" s="16"/>
      <c r="S325" s="16"/>
      <c r="T325" s="16"/>
      <c r="U325" s="16">
        <v>1</v>
      </c>
      <c r="V325" s="16">
        <v>2</v>
      </c>
      <c r="W325" s="16" t="s">
        <v>482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3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="6" customFormat="1" spans="2:69">
      <c r="B326" s="24" t="s">
        <v>1084</v>
      </c>
      <c r="C326" s="6" t="s">
        <v>71</v>
      </c>
      <c r="D326" s="16" t="s">
        <v>282</v>
      </c>
      <c r="E326" s="4" t="s">
        <v>1085</v>
      </c>
      <c r="F326" s="24"/>
      <c r="G326" s="16" t="s">
        <v>1024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1040</v>
      </c>
      <c r="P326" s="16">
        <v>0.55</v>
      </c>
      <c r="Q326" s="16"/>
      <c r="R326" s="16"/>
      <c r="S326" s="16"/>
      <c r="T326" s="16"/>
      <c r="U326" s="16">
        <v>1</v>
      </c>
      <c r="V326" s="16">
        <v>2</v>
      </c>
      <c r="W326" s="16" t="s">
        <v>482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3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="6" customFormat="1" spans="2:69">
      <c r="B327" s="24" t="s">
        <v>1086</v>
      </c>
      <c r="C327" s="6" t="s">
        <v>71</v>
      </c>
      <c r="D327" s="16" t="s">
        <v>282</v>
      </c>
      <c r="E327" s="4" t="s">
        <v>1087</v>
      </c>
      <c r="F327" s="24"/>
      <c r="G327" s="16" t="s">
        <v>1024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1040</v>
      </c>
      <c r="P327" s="16">
        <v>0.6</v>
      </c>
      <c r="Q327" s="16"/>
      <c r="R327" s="16"/>
      <c r="S327" s="16"/>
      <c r="T327" s="16"/>
      <c r="U327" s="16">
        <v>1</v>
      </c>
      <c r="V327" s="16">
        <v>2</v>
      </c>
      <c r="W327" s="16" t="s">
        <v>482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3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="6" customFormat="1" spans="2:69">
      <c r="B328" s="24" t="s">
        <v>1088</v>
      </c>
      <c r="C328" s="6" t="s">
        <v>71</v>
      </c>
      <c r="D328" s="16" t="s">
        <v>282</v>
      </c>
      <c r="E328" s="4" t="s">
        <v>1089</v>
      </c>
      <c r="F328" s="24"/>
      <c r="G328" s="16" t="s">
        <v>1024</v>
      </c>
      <c r="H328" s="16"/>
      <c r="I328" s="16" t="s">
        <v>285</v>
      </c>
      <c r="J328" s="16" t="s">
        <v>882</v>
      </c>
      <c r="K328" s="16"/>
      <c r="L328" s="16">
        <v>0</v>
      </c>
      <c r="M328" s="16">
        <v>0</v>
      </c>
      <c r="N328" s="16"/>
      <c r="O328" s="16" t="s">
        <v>1090</v>
      </c>
      <c r="P328" s="16">
        <v>1.7</v>
      </c>
      <c r="Q328" s="16"/>
      <c r="R328" s="16"/>
      <c r="S328" s="16"/>
      <c r="T328" s="16"/>
      <c r="U328" s="16">
        <v>2</v>
      </c>
      <c r="V328" s="16">
        <v>2</v>
      </c>
      <c r="W328" s="16" t="s">
        <v>150</v>
      </c>
      <c r="X328" s="16">
        <v>450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3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0.2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>
        <v>20</v>
      </c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="6" customFormat="1" spans="2:72">
      <c r="B329" s="49" t="s">
        <v>1091</v>
      </c>
      <c r="C329" s="6" t="s">
        <v>71</v>
      </c>
      <c r="D329" s="16" t="s">
        <v>282</v>
      </c>
      <c r="E329" t="s">
        <v>1092</v>
      </c>
      <c r="F329" s="24"/>
      <c r="G329" s="16" t="s">
        <v>1024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356</v>
      </c>
      <c r="P329" s="16">
        <v>0.5</v>
      </c>
      <c r="Q329" s="16"/>
      <c r="R329" s="16"/>
      <c r="S329" s="16"/>
      <c r="T329" s="16"/>
      <c r="U329" s="16">
        <v>0.5</v>
      </c>
      <c r="V329" s="16">
        <v>2</v>
      </c>
      <c r="W329" s="16" t="s">
        <v>150</v>
      </c>
      <c r="X329" s="16">
        <v>300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3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1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2</v>
      </c>
      <c r="BJ329" s="16"/>
      <c r="BK329" s="16"/>
      <c r="BL329" s="16"/>
      <c r="BM329" s="16"/>
      <c r="BN329" s="16"/>
      <c r="BO329" s="16"/>
      <c r="BP329" s="16"/>
      <c r="BQ329" s="6">
        <v>0</v>
      </c>
      <c r="BT329" s="6" t="s">
        <v>597</v>
      </c>
    </row>
    <row r="330" s="6" customFormat="1" spans="2:72">
      <c r="B330" t="s">
        <v>1093</v>
      </c>
      <c r="C330" s="6" t="s">
        <v>71</v>
      </c>
      <c r="D330" s="16" t="s">
        <v>282</v>
      </c>
      <c r="E330" t="s">
        <v>1094</v>
      </c>
      <c r="F330" s="24"/>
      <c r="G330" s="16" t="s">
        <v>1024</v>
      </c>
      <c r="H330" s="16"/>
      <c r="I330" s="16" t="s">
        <v>285</v>
      </c>
      <c r="J330" s="16" t="s">
        <v>372</v>
      </c>
      <c r="K330" s="16"/>
      <c r="L330" s="16">
        <v>0</v>
      </c>
      <c r="M330" s="16">
        <v>0</v>
      </c>
      <c r="N330" s="16"/>
      <c r="O330" s="16" t="s">
        <v>1095</v>
      </c>
      <c r="P330" s="16">
        <v>1.5</v>
      </c>
      <c r="Q330" s="16"/>
      <c r="R330" s="16"/>
      <c r="S330" s="16"/>
      <c r="T330" s="16"/>
      <c r="U330" s="16">
        <v>1</v>
      </c>
      <c r="V330" s="16">
        <v>2</v>
      </c>
      <c r="W330" s="16" t="s">
        <v>150</v>
      </c>
      <c r="X330" s="16">
        <v>350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3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0.8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/>
      <c r="BF330" s="10" t="s">
        <v>154</v>
      </c>
      <c r="BG330" s="10">
        <v>0</v>
      </c>
      <c r="BH330" s="16">
        <v>0</v>
      </c>
      <c r="BI330" s="16">
        <v>3</v>
      </c>
      <c r="BJ330" s="16"/>
      <c r="BK330" s="16"/>
      <c r="BL330" s="16"/>
      <c r="BM330" s="16"/>
      <c r="BN330" s="16"/>
      <c r="BO330" s="16"/>
      <c r="BP330" s="16"/>
      <c r="BQ330" s="6">
        <v>0</v>
      </c>
      <c r="BT330" s="6" t="s">
        <v>597</v>
      </c>
    </row>
    <row r="331" s="6" customFormat="1" spans="2:72">
      <c r="B331" s="4" t="s">
        <v>1096</v>
      </c>
      <c r="C331" s="6" t="s">
        <v>71</v>
      </c>
      <c r="D331" s="16" t="s">
        <v>282</v>
      </c>
      <c r="E331" s="4" t="s">
        <v>1097</v>
      </c>
      <c r="F331" s="24"/>
      <c r="G331" s="16" t="s">
        <v>1098</v>
      </c>
      <c r="H331" s="16"/>
      <c r="I331" s="16" t="s">
        <v>285</v>
      </c>
      <c r="J331" s="16" t="s">
        <v>1099</v>
      </c>
      <c r="K331" s="16"/>
      <c r="L331" s="16">
        <v>0</v>
      </c>
      <c r="M331" s="16">
        <v>0</v>
      </c>
      <c r="N331" s="16"/>
      <c r="O331" s="4" t="s">
        <v>1100</v>
      </c>
      <c r="P331" s="16">
        <v>1.6</v>
      </c>
      <c r="Q331" s="16"/>
      <c r="R331" s="16"/>
      <c r="S331" s="16"/>
      <c r="T331" s="16"/>
      <c r="U331" s="16">
        <v>3</v>
      </c>
      <c r="V331" s="16">
        <v>2</v>
      </c>
      <c r="W331" s="16" t="s">
        <v>150</v>
      </c>
      <c r="X331" s="16">
        <v>350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3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0.8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100</v>
      </c>
      <c r="BJ331" s="16"/>
      <c r="BK331" s="16"/>
      <c r="BL331" s="16"/>
      <c r="BM331" s="16"/>
      <c r="BN331" s="16"/>
      <c r="BO331" s="16"/>
      <c r="BP331" s="16"/>
      <c r="BQ331" s="6">
        <v>0</v>
      </c>
      <c r="BT331" s="6" t="s">
        <v>597</v>
      </c>
    </row>
    <row r="332" s="5" customFormat="1" spans="2:73">
      <c r="B332" s="10"/>
      <c r="D332" s="10"/>
      <c r="E332" s="50"/>
      <c r="F332" s="50"/>
      <c r="G332" s="10"/>
      <c r="H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0"/>
      <c r="Z332" s="10"/>
      <c r="AA332" s="10"/>
      <c r="AB332" s="10"/>
      <c r="AC332" s="10"/>
      <c r="AD332" s="10"/>
      <c r="AE332" s="10"/>
      <c r="AF332" s="10"/>
      <c r="AG332" s="10"/>
      <c r="AH332" s="10"/>
      <c r="AI332" s="10"/>
      <c r="AJ332" s="10"/>
      <c r="AK332" s="10"/>
      <c r="AL332" s="10"/>
      <c r="AM332" s="10"/>
      <c r="AN332" s="10"/>
      <c r="AO332" s="10"/>
      <c r="AP332" s="10"/>
      <c r="AQ332" s="10"/>
      <c r="AR332" s="10"/>
      <c r="AS332" s="10"/>
      <c r="AT332" s="10"/>
      <c r="AU332" s="10"/>
      <c r="AV332" s="10"/>
      <c r="AW332" s="10"/>
      <c r="AX332" s="10"/>
      <c r="AY332" s="10"/>
      <c r="AZ332" s="10"/>
      <c r="BA332" s="10"/>
      <c r="BB332" s="10"/>
      <c r="BC332" s="10"/>
      <c r="BD332" s="10"/>
      <c r="BE332" s="10"/>
      <c r="BF332" s="10"/>
      <c r="BG332" s="10"/>
      <c r="BH332" s="10"/>
      <c r="BI332" s="10"/>
      <c r="BJ332" s="51"/>
      <c r="BK332" s="51"/>
      <c r="BL332" s="51"/>
      <c r="BM332" s="51"/>
      <c r="BN332" s="51"/>
      <c r="BO332" s="51"/>
      <c r="BP332" s="52"/>
      <c r="BQ332" s="6"/>
      <c r="BR332" s="6"/>
      <c r="BS332" s="6"/>
      <c r="BT332" s="6"/>
      <c r="BU332" s="6"/>
    </row>
    <row r="333" s="5" customFormat="1" spans="2:73">
      <c r="B333" s="10"/>
      <c r="D333" s="10"/>
      <c r="E333" s="50"/>
      <c r="F333" s="50"/>
      <c r="G333" s="10"/>
      <c r="H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0"/>
      <c r="Z333" s="10"/>
      <c r="AA333" s="10"/>
      <c r="AB333" s="10"/>
      <c r="AC333" s="10"/>
      <c r="AD333" s="10"/>
      <c r="AE333" s="10"/>
      <c r="AF333" s="10"/>
      <c r="AG333" s="10"/>
      <c r="AH333" s="10"/>
      <c r="AI333" s="10"/>
      <c r="AJ333" s="10"/>
      <c r="AK333" s="10"/>
      <c r="AL333" s="10"/>
      <c r="AM333" s="10"/>
      <c r="AN333" s="10"/>
      <c r="AO333" s="10"/>
      <c r="AP333" s="10"/>
      <c r="AQ333" s="10"/>
      <c r="AR333" s="10"/>
      <c r="AS333" s="10"/>
      <c r="AT333" s="10"/>
      <c r="AU333" s="10"/>
      <c r="AV333" s="10"/>
      <c r="AW333" s="10"/>
      <c r="AX333" s="10"/>
      <c r="AY333" s="10"/>
      <c r="AZ333" s="10"/>
      <c r="BA333" s="10"/>
      <c r="BB333" s="10"/>
      <c r="BC333" s="10"/>
      <c r="BD333" s="10"/>
      <c r="BE333" s="10"/>
      <c r="BF333" s="10"/>
      <c r="BG333" s="10"/>
      <c r="BH333" s="10"/>
      <c r="BI333" s="10"/>
      <c r="BJ333" s="51"/>
      <c r="BK333" s="51"/>
      <c r="BL333" s="51"/>
      <c r="BM333" s="51"/>
      <c r="BN333" s="51"/>
      <c r="BO333" s="51"/>
      <c r="BP333" s="52"/>
      <c r="BQ333" s="6"/>
      <c r="BR333" s="6"/>
      <c r="BS333" s="6"/>
      <c r="BT333" s="6"/>
      <c r="BU333" s="6"/>
    </row>
    <row r="334" s="5" customFormat="1" spans="2:73">
      <c r="B334" s="10"/>
      <c r="D334" s="10"/>
      <c r="E334" s="50"/>
      <c r="F334" s="50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51"/>
      <c r="BK334" s="51"/>
      <c r="BL334" s="51"/>
      <c r="BM334" s="51"/>
      <c r="BN334" s="51"/>
      <c r="BO334" s="51"/>
      <c r="BP334" s="52"/>
      <c r="BQ334" s="6"/>
      <c r="BR334" s="6"/>
      <c r="BS334" s="6"/>
      <c r="BT334" s="6"/>
      <c r="BU334" s="6"/>
    </row>
    <row r="335" s="5" customFormat="1" spans="2:73">
      <c r="B335" s="10"/>
      <c r="D335" s="10"/>
      <c r="E335" s="50"/>
      <c r="F335" s="50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51"/>
      <c r="BK335" s="51"/>
      <c r="BL335" s="51"/>
      <c r="BM335" s="51"/>
      <c r="BN335" s="51"/>
      <c r="BO335" s="51"/>
      <c r="BP335" s="52"/>
      <c r="BQ335" s="6"/>
      <c r="BR335" s="6"/>
      <c r="BS335" s="6"/>
      <c r="BT335" s="6"/>
      <c r="BU335" s="6"/>
    </row>
    <row r="336" s="5" customFormat="1" spans="2:73">
      <c r="B336" s="10"/>
      <c r="D336" s="10"/>
      <c r="E336" s="50"/>
      <c r="F336" s="50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51"/>
      <c r="BK336" s="51"/>
      <c r="BL336" s="51"/>
      <c r="BM336" s="51"/>
      <c r="BN336" s="51"/>
      <c r="BO336" s="51"/>
      <c r="BP336" s="52"/>
      <c r="BQ336" s="6"/>
      <c r="BR336" s="6"/>
      <c r="BS336" s="6"/>
      <c r="BT336" s="6"/>
      <c r="BU336" s="6"/>
    </row>
    <row r="337" s="5" customFormat="1" spans="2:73">
      <c r="B337" s="10"/>
      <c r="D337" s="10"/>
      <c r="E337" s="50"/>
      <c r="F337" s="50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51"/>
      <c r="BK337" s="51"/>
      <c r="BL337" s="51"/>
      <c r="BM337" s="51"/>
      <c r="BN337" s="51"/>
      <c r="BO337" s="51"/>
      <c r="BP337" s="52"/>
      <c r="BQ337" s="6"/>
      <c r="BR337" s="6"/>
      <c r="BS337" s="6"/>
      <c r="BT337" s="6"/>
      <c r="BU337" s="6"/>
    </row>
    <row r="338" s="5" customFormat="1" spans="2:73">
      <c r="B338" s="10"/>
      <c r="D338" s="10"/>
      <c r="E338" s="50"/>
      <c r="F338" s="50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51"/>
      <c r="BK338" s="51"/>
      <c r="BL338" s="51"/>
      <c r="BM338" s="51"/>
      <c r="BN338" s="51"/>
      <c r="BO338" s="51"/>
      <c r="BP338" s="52"/>
      <c r="BQ338" s="6"/>
      <c r="BR338" s="6"/>
      <c r="BS338" s="6"/>
      <c r="BT338" s="6"/>
      <c r="BU338" s="6"/>
    </row>
    <row r="339" s="5" customFormat="1" spans="2:73">
      <c r="B339" s="10"/>
      <c r="D339" s="10"/>
      <c r="E339" s="50"/>
      <c r="F339" s="50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51"/>
      <c r="BK339" s="51"/>
      <c r="BL339" s="51"/>
      <c r="BM339" s="51"/>
      <c r="BN339" s="51"/>
      <c r="BO339" s="51"/>
      <c r="BP339" s="52"/>
      <c r="BQ339" s="6"/>
      <c r="BR339" s="6"/>
      <c r="BS339" s="6"/>
      <c r="BT339" s="6"/>
      <c r="BU339" s="6"/>
    </row>
    <row r="340" s="5" customFormat="1" spans="2:73">
      <c r="B340" s="10"/>
      <c r="D340" s="10"/>
      <c r="E340" s="50"/>
      <c r="F340" s="50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1"/>
      <c r="BK340" s="51"/>
      <c r="BL340" s="51"/>
      <c r="BM340" s="51"/>
      <c r="BN340" s="51"/>
      <c r="BO340" s="51"/>
      <c r="BP340" s="52"/>
      <c r="BQ340" s="6"/>
      <c r="BR340" s="6"/>
      <c r="BS340" s="6"/>
      <c r="BT340" s="6"/>
      <c r="BU340" s="6"/>
    </row>
    <row r="341" s="5" customFormat="1" spans="2:73">
      <c r="B341" s="10"/>
      <c r="D341" s="10"/>
      <c r="E341" s="50"/>
      <c r="F341" s="50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1"/>
      <c r="BK341" s="51"/>
      <c r="BL341" s="51"/>
      <c r="BM341" s="51"/>
      <c r="BN341" s="51"/>
      <c r="BO341" s="51"/>
      <c r="BP341" s="52"/>
      <c r="BQ341" s="6"/>
      <c r="BR341" s="6"/>
      <c r="BS341" s="6"/>
      <c r="BT341" s="6"/>
      <c r="BU341" s="6"/>
    </row>
    <row r="342" s="5" customFormat="1" spans="2:73">
      <c r="B342" s="10"/>
      <c r="D342" s="10"/>
      <c r="E342" s="50"/>
      <c r="F342" s="50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1"/>
      <c r="BK342" s="51"/>
      <c r="BL342" s="51"/>
      <c r="BM342" s="51"/>
      <c r="BN342" s="51"/>
      <c r="BO342" s="51"/>
      <c r="BP342" s="52"/>
      <c r="BQ342" s="6"/>
      <c r="BR342" s="6"/>
      <c r="BS342" s="6"/>
      <c r="BT342" s="6"/>
      <c r="BU342" s="6"/>
    </row>
    <row r="343" s="5" customFormat="1" spans="2:73">
      <c r="B343" s="10"/>
      <c r="D343" s="10"/>
      <c r="E343" s="50"/>
      <c r="F343" s="50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1"/>
      <c r="BK343" s="51"/>
      <c r="BL343" s="51"/>
      <c r="BM343" s="51"/>
      <c r="BN343" s="51"/>
      <c r="BO343" s="51"/>
      <c r="BP343" s="52"/>
      <c r="BQ343" s="6"/>
      <c r="BR343" s="6"/>
      <c r="BS343" s="6"/>
      <c r="BT343" s="6"/>
      <c r="BU343" s="6"/>
    </row>
    <row r="344" s="5" customFormat="1" spans="2:73">
      <c r="B344" s="10"/>
      <c r="D344" s="10"/>
      <c r="E344" s="50"/>
      <c r="F344" s="50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1"/>
      <c r="BK344" s="51"/>
      <c r="BL344" s="51"/>
      <c r="BM344" s="51"/>
      <c r="BN344" s="51"/>
      <c r="BO344" s="51"/>
      <c r="BP344" s="52"/>
      <c r="BQ344" s="6"/>
      <c r="BR344" s="6"/>
      <c r="BS344" s="6"/>
      <c r="BT344" s="6"/>
      <c r="BU344" s="6"/>
    </row>
    <row r="345" s="5" customFormat="1" spans="2:73">
      <c r="B345" s="10"/>
      <c r="D345" s="10"/>
      <c r="E345" s="50"/>
      <c r="F345" s="50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1"/>
      <c r="BK345" s="51"/>
      <c r="BL345" s="51"/>
      <c r="BM345" s="51"/>
      <c r="BN345" s="51"/>
      <c r="BO345" s="51"/>
      <c r="BP345" s="52"/>
      <c r="BQ345" s="6"/>
      <c r="BR345" s="6"/>
      <c r="BS345" s="6"/>
      <c r="BT345" s="6"/>
      <c r="BU345" s="6"/>
    </row>
    <row r="346" s="5" customFormat="1" spans="2:73">
      <c r="B346" s="10"/>
      <c r="D346" s="10"/>
      <c r="E346" s="50"/>
      <c r="F346" s="50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1"/>
      <c r="BK346" s="51"/>
      <c r="BL346" s="51"/>
      <c r="BM346" s="51"/>
      <c r="BN346" s="51"/>
      <c r="BO346" s="51"/>
      <c r="BP346" s="52"/>
      <c r="BQ346" s="6"/>
      <c r="BR346" s="6"/>
      <c r="BS346" s="6"/>
      <c r="BT346" s="6"/>
      <c r="BU346" s="6"/>
    </row>
    <row r="347" s="5" customFormat="1" spans="2:73">
      <c r="B347" s="10"/>
      <c r="D347" s="10"/>
      <c r="E347" s="50"/>
      <c r="F347" s="50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1"/>
      <c r="BK347" s="51"/>
      <c r="BL347" s="51"/>
      <c r="BM347" s="51"/>
      <c r="BN347" s="51"/>
      <c r="BO347" s="51"/>
      <c r="BP347" s="52"/>
      <c r="BQ347" s="6"/>
      <c r="BR347" s="6"/>
      <c r="BS347" s="6"/>
      <c r="BT347" s="6"/>
      <c r="BU347" s="6"/>
    </row>
    <row r="348" s="5" customFormat="1" spans="2:73">
      <c r="B348" s="10"/>
      <c r="D348" s="10"/>
      <c r="E348" s="50"/>
      <c r="F348" s="50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1"/>
      <c r="BK348" s="51"/>
      <c r="BL348" s="51"/>
      <c r="BM348" s="51"/>
      <c r="BN348" s="51"/>
      <c r="BO348" s="51"/>
      <c r="BP348" s="52"/>
      <c r="BQ348" s="6"/>
      <c r="BR348" s="6"/>
      <c r="BS348" s="6"/>
      <c r="BT348" s="6"/>
      <c r="BU348" s="6"/>
    </row>
    <row r="349" s="5" customFormat="1" spans="2:73">
      <c r="B349" s="10"/>
      <c r="D349" s="10"/>
      <c r="E349" s="50"/>
      <c r="F349" s="50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1"/>
      <c r="BK349" s="51"/>
      <c r="BL349" s="51"/>
      <c r="BM349" s="51"/>
      <c r="BN349" s="51"/>
      <c r="BO349" s="51"/>
      <c r="BP349" s="52"/>
      <c r="BQ349" s="6"/>
      <c r="BR349" s="6"/>
      <c r="BS349" s="6"/>
      <c r="BT349" s="6"/>
      <c r="BU349" s="6"/>
    </row>
  </sheetData>
  <autoFilter ref="A1:BU331">
    <extLst/>
  </autoFilter>
  <sortState ref="A2:BT33">
    <sortCondition ref="B2:B33"/>
  </sortState>
  <conditionalFormatting sqref="AP192">
    <cfRule type="cellIs" dxfId="0" priority="3" operator="greaterThan">
      <formula>600</formula>
    </cfRule>
  </conditionalFormatting>
  <conditionalFormatting sqref="AP196">
    <cfRule type="cellIs" dxfId="0" priority="1" operator="greaterThan">
      <formula>600</formula>
    </cfRule>
  </conditionalFormatting>
  <conditionalFormatting sqref="AP193:AP195">
    <cfRule type="cellIs" dxfId="0" priority="4" operator="greaterThan">
      <formula>600</formula>
    </cfRule>
  </conditionalFormatting>
  <conditionalFormatting sqref="AP197:AP199">
    <cfRule type="cellIs" dxfId="0" priority="2" operator="greaterThan">
      <formula>600</formula>
    </cfRule>
  </conditionalFormatting>
  <conditionalFormatting sqref="AP1:AP187 AP204:AP1048576">
    <cfRule type="cellIs" dxfId="0" priority="7" operator="greaterThan">
      <formula>600</formula>
    </cfRule>
  </conditionalFormatting>
  <conditionalFormatting sqref="AP188:AP189 AP201:AP203">
    <cfRule type="cellIs" dxfId="0" priority="6" operator="greaterThan">
      <formula>600</formula>
    </cfRule>
  </conditionalFormatting>
  <conditionalFormatting sqref="AP190:AP191 AP200">
    <cfRule type="cellIs" dxfId="0" priority="5" operator="greaterThan">
      <formula>600</formula>
    </cfRule>
  </conditionalFormatting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800100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281940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1101</v>
      </c>
      <c r="B1" s="4" t="s">
        <v>1102</v>
      </c>
      <c r="C1" s="4" t="s">
        <v>1103</v>
      </c>
      <c r="D1" s="4" t="s">
        <v>1104</v>
      </c>
      <c r="E1" s="4" t="s">
        <v>1105</v>
      </c>
    </row>
    <row r="2" spans="1:5">
      <c r="A2">
        <v>1</v>
      </c>
      <c r="B2" s="2" t="s">
        <v>1106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1107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1108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1109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1110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1111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1112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1113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1114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1115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1116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1117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1118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1119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1120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1121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1122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1123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1124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1125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1126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1127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1128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1129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1130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1131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1132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1133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1134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1135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1136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1137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1138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1139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1140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1141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1142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1143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1144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1145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1146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1147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1148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1149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1150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1151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1152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1153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1154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1155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1156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1157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1158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1159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1160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1161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1162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1163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1164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1165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1166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1167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1168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1169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1170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1171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1172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1173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1174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1175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1176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1177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1178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1179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1180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1181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1182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1183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1184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1185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1186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1187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1188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1189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1190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1191</v>
      </c>
      <c r="C2" s="1" t="s">
        <v>71</v>
      </c>
      <c r="D2" s="3" t="s">
        <v>282</v>
      </c>
      <c r="E2" s="2" t="s">
        <v>1192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1193</v>
      </c>
      <c r="N2" s="2" t="s">
        <v>1194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1195</v>
      </c>
      <c r="Z2" s="3">
        <v>500</v>
      </c>
      <c r="AA2" s="3"/>
      <c r="AB2" s="3">
        <v>0</v>
      </c>
      <c r="AC2" s="3" t="s">
        <v>152</v>
      </c>
      <c r="AD2" s="3"/>
      <c r="AE2" s="3"/>
      <c r="AF2" s="57" t="s">
        <v>152</v>
      </c>
      <c r="AG2" s="3" t="s">
        <v>1196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1197</v>
      </c>
      <c r="C3" s="1" t="s">
        <v>71</v>
      </c>
      <c r="D3" s="3" t="s">
        <v>282</v>
      </c>
      <c r="E3" s="2" t="s">
        <v>1198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1199</v>
      </c>
      <c r="N3" s="2" t="s">
        <v>1200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1195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58" t="s">
        <v>165</v>
      </c>
      <c r="AG3" s="3" t="s">
        <v>1196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ASUS</cp:lastModifiedBy>
  <dcterms:created xsi:type="dcterms:W3CDTF">2015-06-05T18:19:00Z</dcterms:created>
  <dcterms:modified xsi:type="dcterms:W3CDTF">2020-04-04T09:45:31Z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