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P000!$A$1:$BU$354</definedName>
  </definedNames>
  <calcPr calcId="125725"/>
</workbook>
</file>

<file path=xl/calcChain.xml><?xml version="1.0" encoding="utf-8"?>
<calcChain xmlns="http://schemas.openxmlformats.org/spreadsheetml/2006/main">
  <c r="H43" i="1"/>
  <c r="AQ46"/>
  <c r="AQ45"/>
  <c r="H42"/>
  <c r="H41"/>
  <c r="H40"/>
  <c r="H39"/>
  <c r="H38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6" i="1"/>
  <c r="P317" s="1"/>
  <c r="P318" s="1"/>
  <c r="P319" s="1"/>
  <c r="P320" s="1"/>
  <c r="P321" s="1"/>
  <c r="P322" s="1"/>
  <c r="P323" s="1"/>
  <c r="P324" s="1"/>
  <c r="P325" s="1"/>
  <c r="P326" s="1"/>
  <c r="P327" s="1"/>
  <c r="AQ118"/>
  <c r="AQ119" s="1"/>
  <c r="AQ120" s="1"/>
  <c r="AQ121" s="1"/>
  <c r="AQ122" s="1"/>
  <c r="AQ123" s="1"/>
  <c r="AQ124" s="1"/>
  <c r="AQ125" s="1"/>
  <c r="AQ87"/>
  <c r="AQ88" s="1"/>
  <c r="AQ89" s="1"/>
  <c r="AQ90" s="1"/>
  <c r="AQ91" s="1"/>
  <c r="AQ92" s="1"/>
  <c r="AQ93" s="1"/>
  <c r="AQ79"/>
  <c r="AQ80" s="1"/>
  <c r="AQ81" s="1"/>
  <c r="AQ82" s="1"/>
  <c r="AQ83" s="1"/>
  <c r="AQ84" s="1"/>
  <c r="AQ85" s="1"/>
  <c r="AQ78"/>
  <c r="AQ49"/>
  <c r="AQ50" s="1"/>
  <c r="AQ51" s="1"/>
  <c r="AQ52" s="1"/>
  <c r="AQ53" s="1"/>
  <c r="AQ54" s="1"/>
  <c r="AQ55" s="1"/>
  <c r="AQ56" s="1"/>
  <c r="AQ57" s="1"/>
  <c r="AQ58" s="1"/>
  <c r="AQ59" s="1"/>
  <c r="AQ60" s="1"/>
  <c r="AQ61" s="1"/>
  <c r="AQ62" s="1"/>
  <c r="AQ63" s="1"/>
  <c r="AQ64" s="1"/>
  <c r="AQ65" s="1"/>
  <c r="AQ66" s="1"/>
  <c r="AQ67" s="1"/>
  <c r="AQ68" s="1"/>
  <c r="AQ69" s="1"/>
  <c r="AQ70" s="1"/>
  <c r="AQ71" s="1"/>
  <c r="AQ72" s="1"/>
  <c r="AQ73" s="1"/>
  <c r="AQ48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<sst xmlns="http://schemas.openxmlformats.org/spreadsheetml/2006/main" count="5321" uniqueCount="1303">
  <si>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</si>
  <si>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</si>
  <si>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</si>
  <si>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</si>
  <si>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</si>
  <si>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</si>
  <si>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</si>
  <si>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</si>
  <si>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</si>
  <si>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</si>
  <si>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</si>
  <si>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</si>
  <si>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</si>
  <si>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</si>
  <si>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</si>
  <si>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</si>
  <si>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</si>
  <si>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</si>
  <si>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</si>
  <si>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</si>
  <si>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</si>
  <si>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</si>
  <si>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</si>
  <si>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</si>
  <si>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</si>
  <si>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</si>
  <si>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</si>
  <si>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</si>
  <si>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</si>
  <si>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</si>
  <si>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</si>
  <si>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</si>
  <si>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</si>
  <si>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</si>
  <si>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</si>
  <si>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</si>
  <si>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</si>
  <si>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</si>
  <si>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</si>
  <si>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</si>
  <si>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</si>
  <si>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</si>
  <si>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</si>
  <si>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</si>
  <si>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</si>
  <si>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</si>
  <si>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</si>
  <si>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</si>
  <si>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</si>
  <si>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</si>
  <si>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</si>
  <si>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</si>
  <si>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</si>
  <si>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</si>
  <si>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</si>
  <si>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</si>
  <si>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</si>
  <si>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</si>
  <si>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</si>
  <si>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</si>
  <si>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</si>
  <si>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</si>
  <si>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</si>
  <si>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</si>
  <si>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</si>
  <si>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</si>
  <si>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</si>
  <si>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</si>
  <si>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</si>
  <si>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</si>
  <si>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</si>
  <si>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</si>
  <si>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</si>
  <si>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</si>
  <si>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</si>
  <si>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</si>
  <si>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</si>
  <si>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</si>
  <si>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</si>
  <si>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</si>
  <si>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</si>
  <si>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</si>
  <si>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</si>
  <si>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</si>
  <si>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</si>
  <si>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</si>
  <si>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</si>
  <si>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</si>
  <si>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</si>
  <si>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</si>
  <si>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</si>
  <si>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</si>
  <si>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</si>
  <si>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</si>
  <si>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</si>
  <si>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</si>
  <si>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</si>
  <si>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</si>
  <si>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</si>
  <si>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</si>
  <si>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</si>
  <si>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</si>
  <si>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</si>
  <si>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</si>
  <si>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</si>
  <si>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</si>
  <si>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</si>
  <si>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</si>
  <si>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</si>
  <si>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</si>
  <si>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</si>
  <si>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</si>
  <si>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</si>
  <si>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</si>
  <si>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</si>
  <si>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</si>
  <si>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</si>
  <si>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</si>
  <si>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</si>
  <si>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</si>
  <si>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</si>
  <si>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</si>
  <si>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</si>
  <si>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</si>
  <si>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</si>
  <si>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</si>
  <si>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</si>
  <si>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</si>
  <si>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</si>
  <si>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</si>
  <si>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</si>
  <si>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</si>
  <si>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</si>
  <si>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</si>
  <si>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</si>
  <si>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</si>
  <si>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</si>
  <si>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</si>
  <si>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</si>
  <si>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</si>
  <si>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</si>
  <si>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</si>
  <si>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</si>
  <si>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</si>
  <si>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</si>
  <si>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</si>
  <si>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</si>
  <si>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</si>
  <si>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</si>
  <si>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</si>
  <si>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</si>
  <si>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</si>
  <si>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</si>
  <si>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</si>
  <si>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</si>
  <si>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</si>
  <si>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</si>
  <si>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</si>
  <si>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</si>
  <si>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</si>
  <si>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</si>
  <si>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</si>
  <si>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</si>
  <si>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</si>
  <si>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</si>
  <si>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</si>
  <si>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</si>
  <si>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</si>
  <si>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</si>
  <si>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</si>
  <si>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</si>
  <si>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</si>
  <si>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</si>
  <si>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</si>
  <si>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</si>
  <si>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</si>
  <si>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</si>
  <si>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</si>
  <si>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</si>
  <si>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</si>
  <si>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</si>
  <si>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</si>
  <si>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</si>
  <si>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</si>
  <si>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</si>
  <si>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</si>
  <si>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</si>
  <si>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</si>
  <si>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</si>
  <si>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</si>
  <si>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</si>
  <si>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</si>
  <si>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</si>
  <si>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</si>
  <si>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</si>
  <si>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</si>
  <si>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</si>
  <si>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</si>
  <si>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</si>
  <si>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</si>
  <si>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</si>
  <si>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</si>
  <si>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</si>
  <si>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</si>
  <si>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</si>
  <si>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</si>
  <si>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</si>
  <si>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</si>
  <si>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</si>
  <si>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</si>
  <si>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</si>
  <si>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</si>
  <si>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</si>
  <si>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</si>
  <si>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</si>
  <si>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</si>
  <si>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</si>
  <si>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</si>
  <si>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</si>
  <si>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</si>
  <si>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</si>
  <si>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</si>
  <si>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</si>
  <si>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</si>
  <si>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</si>
  <si>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</si>
  <si>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</si>
  <si>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</si>
  <si>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</si>
  <si>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</si>
  <si>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</si>
  <si>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</si>
  <si>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</si>
  <si>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</si>
  <si>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</si>
  <si>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</si>
  <si>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</si>
  <si>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</si>
  <si>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</si>
  <si>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</si>
  <si>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</si>
  <si>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</si>
  <si>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</si>
  <si>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</si>
  <si>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</si>
  <si>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</si>
  <si>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</si>
  <si>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</si>
  <si>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</si>
  <si>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</si>
  <si>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</si>
  <si>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</si>
  <si>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</si>
  <si>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</si>
  <si>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</si>
  <si>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</si>
  <si>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</si>
  <si>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</si>
  <si>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</si>
  <si>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</si>
  <si>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</si>
  <si>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</si>
  <si>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</si>
  <si>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</si>
  <si>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</si>
  <si>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</si>
  <si>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</si>
  <si>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</si>
  <si>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</si>
  <si>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</si>
  <si>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</si>
  <si>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</si>
  <si>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</si>
  <si>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</si>
  <si>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</si>
  <si>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</si>
  <si>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</si>
  <si>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</si>
  <si>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</si>
  <si>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</si>
  <si>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</si>
  <si>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</si>
  <si>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</si>
  <si>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</si>
  <si>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</si>
  <si>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</si>
  <si>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</si>
  <si>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</si>
  <si>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</si>
  <si>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</si>
  <si>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</si>
  <si>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</si>
  <si>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</si>
  <si>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</si>
  <si>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</si>
  <si>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</si>
  <si>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</si>
  <si>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</si>
  <si>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</si>
  <si>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</si>
  <si>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</si>
  <si>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</si>
  <si>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</si>
  <si>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</si>
  <si>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</si>
  <si>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</si>
  <si>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</si>
  <si>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</si>
  <si>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</si>
  <si>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</si>
  <si>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</si>
  <si>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</si>
  <si>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</si>
  <si>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</si>
  <si>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</si>
  <si>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</si>
  <si>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</si>
  <si>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</si>
  <si>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</si>
  <si>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</si>
  <si>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</si>
  <si>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</si>
  <si>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</si>
  <si>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</si>
  <si>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</si>
  <si>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</si>
  <si>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</si>
  <si>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</si>
  <si>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</si>
  <si>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</si>
  <si>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</si>
  <si>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</si>
  <si>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</si>
  <si>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</si>
  <si>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</si>
  <si>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</si>
  <si>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</si>
  <si>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</si>
  <si>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</si>
  <si>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</si>
  <si>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</si>
  <si>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</si>
  <si>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</si>
  <si>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</si>
  <si>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</si>
  <si>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</si>
  <si>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</si>
  <si>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</si>
  <si>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</si>
  <si>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</si>
  <si>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</si>
  <si>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</si>
  <si>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</si>
  <si>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</si>
  <si>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</si>
  <si>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</si>
  <si>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</si>
  <si>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</si>
  <si>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</si>
  <si>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</si>
  <si>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</si>
  <si>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</si>
  <si>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</si>
  <si>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</si>
  <si>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</si>
  <si>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</si>
  <si>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</si>
  <si>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</si>
  <si>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</si>
  <si>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</si>
  <si>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</si>
  <si>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</si>
  <si>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</si>
  <si>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</si>
  <si>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</si>
  <si>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</si>
  <si>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</si>
  <si>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</si>
  <si>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</si>
  <si>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</si>
  <si>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</si>
  <si>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</si>
  <si>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</si>
  <si>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</si>
  <si>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</si>
  <si>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</si>
  <si>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</si>
  <si>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</si>
  <si>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</si>
  <si>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</si>
  <si>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</si>
  <si>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</si>
  <si>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</si>
  <si>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</si>
  <si>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</si>
  <si>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</si>
  <si>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</si>
  <si>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</si>
  <si>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</si>
  <si>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</si>
  <si>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</si>
  <si>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</si>
  <si>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</si>
  <si>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</si>
  <si>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</si>
  <si>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</si>
  <si>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</si>
  <si>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</si>
  <si>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</si>
  <si>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</si>
  <si>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</si>
  <si>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</si>
  <si>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</si>
  <si>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</si>
  <si>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</si>
  <si>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</si>
  <si>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</si>
  <si>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</si>
  <si>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</si>
  <si>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</si>
  <si>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</si>
  <si>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</si>
  <si>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</si>
  <si>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</si>
  <si>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</si>
  <si>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</si>
  <si>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</si>
  <si>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</si>
  <si>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</si>
  <si>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</si>
  <si>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</si>
  <si>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</si>
  <si>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</si>
  <si>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</si>
  <si>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</si>
  <si>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</si>
  <si>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</si>
  <si>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</si>
  <si>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</si>
  <si>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</si>
  <si>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</si>
  <si>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</si>
  <si>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</si>
  <si>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</si>
  <si>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</si>
  <si>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</si>
  <si>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</si>
  <si>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</si>
  <si>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</si>
  <si>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</si>
  <si>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</si>
  <si>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</si>
  <si>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</si>
  <si>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</si>
  <si>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</si>
  <si>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</si>
  <si>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</si>
  <si>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</si>
  <si>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</si>
  <si>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</si>
  <si>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</si>
  <si>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</si>
  <si>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</si>
  <si>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</si>
  <si>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</si>
  <si>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</si>
  <si>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</si>
  <si>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</si>
  <si>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</si>
  <si>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</si>
  <si>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</si>
  <si>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</si>
  <si>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</si>
  <si>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</si>
  <si>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</si>
  <si>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</si>
  <si>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</si>
  <si>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</si>
  <si>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</si>
  <si>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</si>
  <si>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</si>
  <si>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</si>
  <si>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</si>
  <si>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</si>
  <si>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</si>
  <si>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</si>
  <si>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</si>
  <si>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</si>
  <si>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</si>
  <si>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</si>
  <si>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</si>
  <si>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</si>
  <si>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</si>
  <si>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</si>
  <si>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</si>
  <si>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</si>
  <si>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</si>
  <si>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</si>
  <si>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</si>
  <si>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</si>
  <si>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</si>
  <si>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</si>
  <si>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</si>
  <si>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</si>
  <si>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</si>
  <si>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</si>
  <si>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</si>
  <si>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</si>
  <si>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</si>
  <si>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</si>
  <si>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</si>
  <si>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</si>
  <si>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</si>
  <si>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</si>
  <si>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</si>
  <si>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</si>
  <si>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</si>
  <si>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</si>
  <si>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</si>
  <si>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</si>
  <si>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</si>
  <si>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</si>
  <si>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</si>
  <si>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</si>
  <si>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</si>
  <si>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</si>
  <si>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</si>
  <si>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</si>
  <si>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</si>
  <si>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</si>
  <si>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</si>
  <si>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</si>
  <si>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</si>
  <si>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</si>
  <si>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</si>
  <si>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</si>
  <si>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</si>
  <si>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</si>
  <si>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</si>
  <si>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</si>
  <si>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</si>
  <si>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混沌道果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</si>
  <si>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</si>
  <si>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</si>
  <si>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</si>
  <si>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</si>
  <si>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</si>
  <si>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</si>
  <si>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</si>
  <si>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</si>
  <si>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</si>
  <si>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</si>
  <si>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</si>
  <si>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</si>
  <si>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</si>
  <si>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</si>
  <si>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</si>
  <si>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</si>
  <si>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</si>
  <si>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</si>
  <si>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</si>
  <si>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</si>
  <si>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</si>
  <si>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</si>
  <si>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</si>
  <si>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</si>
  <si>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</si>
  <si>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</si>
  <si>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</si>
  <si>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</si>
  <si>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</si>
  <si>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</si>
  <si>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</si>
  <si>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</si>
  <si>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</si>
  <si>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</si>
  <si>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</si>
  <si>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</si>
  <si>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</si>
  <si>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</si>
  <si>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</si>
  <si>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</si>
  <si>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</si>
  <si>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</si>
  <si>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</si>
  <si>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</si>
  <si>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</si>
  <si>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</si>
  <si>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</si>
  <si>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</si>
  <si>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</si>
  <si>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</si>
  <si>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</si>
  <si>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</si>
  <si>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</si>
  <si>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</si>
  <si>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</si>
  <si>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</si>
  <si>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</si>
  <si>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</si>
  <si>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</si>
  <si>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</si>
  <si>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</si>
  <si>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</si>
  <si>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</si>
  <si>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</si>
  <si>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</si>
  <si>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</si>
  <si>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</si>
  <si>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</si>
  <si>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</si>
  <si>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</si>
  <si>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</si>
  <si>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</si>
  <si>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</si>
  <si>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</si>
  <si>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</si>
  <si>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</si>
  <si>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</si>
  <si>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</si>
  <si>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</si>
  <si>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</si>
  <si>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</si>
  <si>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</si>
  <si>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</si>
  <si>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</si>
  <si>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</si>
  <si>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</si>
  <si>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</si>
  <si>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</si>
  <si>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</si>
  <si>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</si>
  <si>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</si>
  <si>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</si>
  <si>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</si>
  <si>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</si>
  <si>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</si>
  <si>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</si>
  <si>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</si>
  <si>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</si>
  <si>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</si>
  <si>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</si>
  <si>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</si>
  <si>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</si>
  <si>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</si>
  <si>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</si>
  <si>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</si>
  <si>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</si>
  <si>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</si>
  <si>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</si>
  <si>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</si>
  <si>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</si>
  <si>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</si>
  <si>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</si>
  <si>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</si>
  <si>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</si>
  <si>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</si>
  <si>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</si>
  <si>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</si>
  <si>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</si>
  <si>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</si>
  <si>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</si>
  <si>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</si>
  <si>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</si>
  <si>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</si>
  <si>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</si>
  <si>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</si>
  <si>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</si>
  <si>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</si>
  <si>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</si>
  <si>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</si>
  <si>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</si>
  <si>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</si>
  <si>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</si>
  <si>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</si>
  <si>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</si>
  <si>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</si>
  <si>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</si>
  <si>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</si>
  <si>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</si>
  <si>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</si>
  <si>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</si>
  <si>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</si>
  <si>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</si>
  <si>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</si>
  <si>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</si>
  <si>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</si>
  <si>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</si>
  <si>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</si>
  <si>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</si>
  <si>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</si>
  <si>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</si>
  <si>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</si>
  <si>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</si>
  <si>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</si>
  <si>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</si>
  <si>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</si>
  <si>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</si>
  <si>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</si>
  <si>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</si>
  <si>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</si>
  <si>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</si>
  <si>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</si>
  <si>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</si>
  <si>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</si>
  <si>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</si>
  <si>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</si>
  <si>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</si>
  <si>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</si>
  <si>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</si>
  <si>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</si>
  <si>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</si>
  <si>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</si>
  <si>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</si>
  <si>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</si>
  <si>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</si>
  <si>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</si>
  <si>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</si>
  <si>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</si>
  <si>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</si>
  <si>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</si>
  <si>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</si>
  <si>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</si>
  <si>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</si>
  <si>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</si>
  <si>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</si>
  <si>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</si>
  <si>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</si>
  <si>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</si>
  <si>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</si>
  <si>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</si>
  <si>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</si>
  <si>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</si>
  <si>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</si>
  <si>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</si>
  <si>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</si>
  <si>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</si>
  <si>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</si>
  <si>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</si>
  <si>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</si>
  <si>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</si>
  <si>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</si>
  <si>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</si>
  <si>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</si>
  <si>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</si>
  <si>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</si>
  <si>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</si>
  <si>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</si>
  <si>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</si>
  <si>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</si>
  <si>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</si>
  <si>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</si>
  <si>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</si>
  <si>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</si>
  <si>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</si>
  <si>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</si>
  <si>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</si>
  <si>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</si>
  <si>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</si>
  <si>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</si>
  <si>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</si>
  <si>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</si>
  <si>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</si>
  <si>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</si>
  <si>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</si>
  <si>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</si>
  <si>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</si>
  <si>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</si>
  <si>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</si>
  <si>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</si>
  <si>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</si>
  <si>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</si>
  <si>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</si>
  <si>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</si>
  <si>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</si>
  <si>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</si>
  <si>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</si>
  <si>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</si>
  <si>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</si>
  <si>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</si>
  <si>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</si>
  <si>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</si>
  <si>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</si>
  <si>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</si>
  <si>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  <scheme val="minor"/>
      </rPr>
      <t>AZ0A</t>
    </r>
    <r>
      <rPr>
        <sz val="11"/>
        <color theme="1"/>
        <rFont val="等线"/>
        <family val="3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</si>
  <si>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</si>
  <si>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</si>
  <si>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</si>
  <si>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  <scheme val="minor"/>
      </rPr>
      <t>AZ0B</t>
    </r>
    <r>
      <rPr>
        <sz val="11"/>
        <color theme="1"/>
        <rFont val="等线"/>
        <family val="3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</si>
  <si>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</si>
  <si>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</si>
  <si>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</si>
  <si>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</si>
  <si>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</si>
  <si>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</si>
  <si>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</si>
  <si>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</si>
  <si>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</si>
  <si>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</si>
  <si>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</si>
  <si>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</si>
  <si>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</si>
  <si>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</si>
  <si>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</si>
  <si>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</si>
  <si>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</si>
  <si>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</si>
  <si>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</si>
  <si>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</si>
  <si>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</si>
  <si>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</si>
  <si>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</si>
  <si>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</si>
  <si>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</si>
  <si>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</si>
  <si>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</si>
  <si>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</si>
  <si>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</si>
  <si>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</si>
  <si>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</si>
  <si>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</si>
  <si>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</si>
  <si>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</si>
  <si>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</si>
  <si>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</si>
  <si>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</si>
  <si>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</si>
  <si>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</si>
  <si>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</si>
  <si>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</si>
  <si>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</si>
  <si>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</si>
  <si>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</si>
  <si>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</si>
  <si>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</si>
  <si>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</si>
  <si>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</si>
  <si>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</si>
  <si>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</si>
  <si>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</si>
  <si>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</si>
  <si>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</si>
  <si>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</si>
  <si>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</si>
  <si>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</si>
  <si>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</si>
  <si>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</si>
  <si>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</si>
  <si>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</si>
  <si>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</si>
  <si>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</si>
  <si>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</si>
  <si>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</si>
  <si>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</si>
  <si>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</si>
  <si>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</si>
  <si>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</si>
  <si>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</si>
  <si>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</si>
  <si>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</si>
  <si>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</si>
  <si>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</si>
  <si>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</si>
  <si>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</si>
  <si>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</si>
  <si>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</si>
  <si>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</si>
  <si>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</si>
  <si>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</si>
  <si>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</si>
  <si>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</si>
  <si>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</si>
  <si>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</si>
  <si>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</si>
  <si>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</si>
  <si>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</si>
  <si>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</si>
  <si>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</si>
  <si>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</si>
  <si>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</si>
  <si>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</si>
  <si>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</si>
  <si>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</si>
  <si>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</si>
  <si>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</si>
  <si>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</si>
  <si>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</si>
  <si>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</si>
  <si>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</si>
  <si>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</si>
  <si>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</si>
  <si>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</si>
  <si>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</si>
  <si>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</si>
  <si>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</si>
  <si>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</si>
  <si>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</si>
  <si>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</si>
  <si>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</si>
  <si>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</si>
  <si>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</si>
  <si>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</si>
  <si>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</si>
  <si>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</si>
  <si>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</si>
  <si>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</si>
  <si>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</si>
  <si>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</si>
  <si>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</si>
  <si>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</si>
  <si>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</si>
  <si>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</si>
  <si>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</si>
  <si>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</si>
  <si>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</si>
  <si>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</si>
  <si>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</si>
  <si>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</si>
  <si>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</si>
  <si>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</si>
  <si>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</si>
  <si>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</si>
  <si>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</si>
  <si>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</si>
  <si>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</si>
  <si>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</si>
  <si>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</si>
  <si>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</si>
  <si>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</si>
  <si>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</si>
  <si>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</si>
  <si>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</si>
  <si>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</si>
  <si>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</si>
  <si>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</si>
  <si>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</si>
  <si>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</si>
  <si>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</si>
  <si>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</si>
  <si>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</si>
  <si>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</si>
  <si>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</si>
  <si>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</si>
  <si>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</si>
  <si>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</si>
  <si>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</si>
  <si>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</si>
  <si>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</si>
  <si>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</si>
  <si>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</si>
  <si>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</si>
  <si>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</si>
  <si>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</si>
  <si>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</si>
  <si>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</si>
  <si>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</si>
  <si>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</si>
  <si>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</si>
  <si>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</si>
  <si>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</si>
  <si>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</si>
  <si>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</si>
  <si>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</si>
  <si>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</si>
  <si>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</si>
  <si>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</si>
  <si>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</si>
  <si>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</si>
  <si>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</si>
  <si>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</si>
  <si>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</si>
  <si>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</si>
  <si>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</si>
  <si>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</si>
  <si>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</si>
  <si>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</si>
  <si>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</si>
  <si>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</si>
  <si>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</si>
  <si>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</si>
  <si>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</si>
  <si>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</si>
  <si>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</si>
  <si>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</si>
  <si>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</si>
  <si>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</si>
  <si>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</si>
  <si>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</si>
  <si>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</si>
  <si>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</si>
  <si>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</si>
  <si>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</si>
  <si>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</si>
  <si>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</si>
  <si>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</si>
  <si>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</si>
  <si>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</si>
  <si>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</si>
  <si>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</si>
  <si>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</si>
  <si>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</si>
  <si>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</si>
  <si>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</si>
  <si>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</si>
  <si>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</si>
  <si>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</si>
  <si>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</si>
  <si>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</si>
  <si>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</si>
  <si>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</si>
  <si>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</si>
  <si>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</si>
  <si>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</si>
  <si>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</si>
  <si>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</si>
  <si>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</si>
  <si>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</si>
  <si>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</si>
  <si>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</si>
  <si>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</si>
  <si>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</si>
  <si>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</si>
  <si>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</si>
  <si>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</si>
  <si>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</si>
  <si>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</si>
  <si>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</si>
  <si>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</si>
  <si>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</si>
  <si>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</si>
  <si>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</si>
  <si>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</si>
  <si>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</si>
  <si>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</si>
  <si>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</si>
  <si>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</si>
  <si>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</si>
  <si>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</si>
  <si>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</si>
  <si>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</si>
  <si>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</si>
  <si>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</si>
  <si>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</si>
  <si>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</si>
  <si>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</si>
  <si>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</si>
  <si>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</si>
  <si>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</si>
  <si>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</si>
  <si>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</si>
  <si>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</si>
  <si>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</si>
  <si>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</si>
  <si>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</si>
  <si>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</si>
  <si>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</si>
  <si>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</si>
  <si>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</si>
  <si>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</si>
  <si>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</si>
  <si>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</si>
  <si>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</si>
  <si>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</si>
  <si>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</si>
  <si>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</si>
  <si>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</si>
  <si>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</si>
  <si>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</si>
  <si>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</si>
  <si>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</si>
  <si>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</si>
  <si>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</si>
  <si>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</si>
  <si>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</si>
  <si>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</si>
  <si>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</si>
  <si>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</si>
  <si>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</si>
  <si>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</si>
  <si>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</si>
  <si>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</si>
  <si>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</si>
  <si>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</si>
  <si>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</si>
  <si>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</si>
  <si>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</si>
  <si>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</si>
  <si>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</si>
  <si>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</si>
  <si>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</si>
  <si>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</si>
  <si>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</si>
  <si>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</si>
  <si>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</si>
  <si>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</si>
  <si>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</si>
  <si>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</si>
  <si>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</si>
  <si>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</si>
  <si>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</si>
  <si>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</si>
  <si>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</si>
  <si>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</si>
  <si>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</si>
  <si>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</si>
  <si>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</si>
  <si>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</si>
  <si>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</si>
  <si>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</si>
  <si>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</si>
  <si>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</si>
  <si>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</si>
  <si>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</si>
  <si>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</si>
  <si>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</si>
  <si>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</si>
  <si>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</si>
  <si>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</si>
  <si>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</si>
  <si>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</si>
  <si>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</si>
  <si>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</si>
  <si>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</si>
  <si>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</si>
  <si>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</si>
  <si>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</si>
  <si>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</si>
  <si>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</si>
  <si>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</si>
  <si>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</si>
  <si>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</si>
  <si>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</si>
  <si>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</si>
  <si>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</si>
  <si>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</si>
  <si>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</si>
  <si>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</si>
  <si>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</si>
  <si>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</si>
  <si>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</si>
  <si>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</si>
  <si>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</si>
  <si>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</si>
  <si>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</si>
  <si>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</si>
  <si>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</si>
  <si>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</si>
  <si>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</si>
  <si>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</si>
  <si>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</si>
  <si>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</si>
  <si>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</si>
  <si>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</si>
  <si>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</si>
  <si>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</si>
  <si>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</si>
  <si>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</si>
  <si>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</si>
  <si>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</si>
  <si>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</si>
  <si>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</si>
  <si>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</si>
  <si>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</si>
  <si>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</si>
  <si>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</si>
  <si>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</si>
  <si>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</si>
  <si>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</si>
  <si>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</si>
  <si>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</si>
  <si>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</si>
  <si>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</si>
  <si>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</si>
  <si>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</si>
  <si>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</si>
  <si>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</si>
  <si>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</si>
  <si>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</si>
  <si>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</si>
  <si>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</si>
  <si>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</si>
  <si>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</si>
  <si>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</si>
  <si>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</si>
  <si>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</si>
  <si>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</si>
  <si>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</si>
  <si>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</si>
  <si>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</si>
  <si>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</si>
  <si>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</si>
  <si>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</si>
  <si>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</si>
  <si>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</si>
  <si>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</si>
  <si>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</si>
  <si>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</si>
  <si>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</si>
  <si>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</si>
  <si>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</si>
  <si>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</si>
  <si>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</si>
  <si>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</si>
  <si>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</si>
  <si>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</si>
  <si>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</si>
  <si>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</si>
  <si>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</si>
  <si>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</si>
  <si>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</si>
  <si>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</si>
  <si>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</si>
  <si>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</si>
  <si>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</si>
  <si>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</si>
  <si>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</si>
  <si>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</si>
  <si>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</si>
  <si>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</si>
  <si>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</si>
  <si>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</si>
  <si>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</si>
  <si>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</si>
  <si>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</si>
  <si>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</si>
  <si>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</si>
  <si>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</si>
  <si>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</si>
  <si>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</si>
  <si>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</si>
  <si>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</si>
  <si>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  <phoneticPr fontId="16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</si>
  <si>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</si>
  <si>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</si>
  <si>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</si>
  <si>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</si>
  <si>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</si>
  <si>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</si>
  <si>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6" type="noConversion"/>
  </si>
  <si>
    <t>通天教主真身</t>
    <phoneticPr fontId="16" type="noConversion"/>
  </si>
  <si>
    <t>AZ1L,AZ92</t>
    <phoneticPr fontId="16" type="noConversion"/>
  </si>
  <si>
    <t>AZ92,AZ3E,AZ3F</t>
    <phoneticPr fontId="16" type="noConversion"/>
  </si>
  <si>
    <t>moster_yangtouguai_07.mdl</t>
  </si>
  <si>
    <t>moster_wdsm.mdl</t>
  </si>
  <si>
    <t>|CffFF0000陨世之炎[10]|r</t>
    <phoneticPr fontId="16" type="noConversion"/>
  </si>
  <si>
    <t>|CffFF0000五难法相[11]|r</t>
    <phoneticPr fontId="16" type="noConversion"/>
  </si>
  <si>
    <t>Unit_zhushen12.mdl</t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</si>
  <si>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  <phoneticPr fontId="16" type="noConversion"/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</si>
  <si>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</si>
  <si>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</si>
  <si>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  <r>
      <rPr>
        <sz val="11"/>
        <color theme="1"/>
        <rFont val="等线"/>
        <family val="2"/>
        <charset val="134"/>
        <scheme val="minor"/>
      </rPr>
      <t/>
    </r>
  </si>
  <si>
    <t>风神</t>
    <phoneticPr fontId="16" type="noConversion"/>
  </si>
  <si>
    <t>火神</t>
    <phoneticPr fontId="16" type="noConversion"/>
  </si>
  <si>
    <t>雷神</t>
    <phoneticPr fontId="16" type="noConversion"/>
  </si>
  <si>
    <t>|Cff00FF7F噬心魔[1]|r</t>
    <phoneticPr fontId="16" type="noConversion"/>
  </si>
  <si>
    <t>AZ2J,AZ92</t>
    <phoneticPr fontId="16" type="noConversion"/>
  </si>
  <si>
    <t>AZ92,AZ2K,A00G,A00H</t>
    <phoneticPr fontId="16" type="noConversion"/>
  </si>
  <si>
    <t>always</t>
  </si>
  <si>
    <r>
      <t>u</t>
    </r>
    <r>
      <rPr>
        <sz val="11"/>
        <color theme="1"/>
        <rFont val="等线"/>
        <family val="3"/>
        <charset val="134"/>
        <scheme val="minor"/>
      </rPr>
      <t>h01</t>
    </r>
    <phoneticPr fontId="16" type="noConversion"/>
  </si>
  <si>
    <r>
      <t>u</t>
    </r>
    <r>
      <rPr>
        <sz val="11"/>
        <color theme="1"/>
        <rFont val="等线"/>
        <family val="3"/>
        <charset val="134"/>
        <scheme val="minor"/>
      </rPr>
      <t>h02</t>
    </r>
    <r>
      <rPr>
        <sz val="11"/>
        <color theme="1"/>
        <rFont val="等线"/>
        <family val="2"/>
        <charset val="134"/>
        <scheme val="minor"/>
      </rPr>
      <t/>
    </r>
  </si>
  <si>
    <t>好吃懒做的恶徒</t>
  </si>
  <si>
    <r>
      <t>war3mapImported\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ST_SHITOU06.mdl</t>
    </r>
    <phoneticPr fontId="16" type="noConversion"/>
  </si>
  <si>
    <t>不屈的山</t>
    <phoneticPr fontId="16" type="noConversion"/>
  </si>
  <si>
    <t xml:space="preserve"> </t>
    <phoneticPr fontId="16" type="noConversion"/>
  </si>
  <si>
    <t>苟策划</t>
    <phoneticPr fontId="16" type="noConversion"/>
  </si>
  <si>
    <r>
      <t>H03</t>
    </r>
    <r>
      <rPr>
        <sz val="10"/>
        <color theme="1"/>
        <rFont val="微软雅黑"/>
        <family val="2"/>
        <charset val="134"/>
      </rPr>
      <t>7</t>
    </r>
    <phoneticPr fontId="16" type="noConversion"/>
  </si>
  <si>
    <t>zs_mqeb.mdl</t>
  </si>
  <si>
    <t>ReplaceableTextures\\CommandButtons\\BTNPET02.blp</t>
    <phoneticPr fontId="16" type="noConversion"/>
  </si>
  <si>
    <r>
      <t>H0</t>
    </r>
    <r>
      <rPr>
        <sz val="10"/>
        <color theme="1"/>
        <rFont val="微软雅黑"/>
        <family val="2"/>
        <charset val="134"/>
      </rPr>
      <t>38</t>
    </r>
    <phoneticPr fontId="16" type="noConversion"/>
  </si>
  <si>
    <r>
      <t>H039</t>
    </r>
    <r>
      <rPr>
        <sz val="10"/>
        <color theme="1"/>
        <rFont val="微软雅黑"/>
        <family val="2"/>
        <charset val="134"/>
      </rPr>
      <t/>
    </r>
  </si>
  <si>
    <t>孔宣</t>
    <phoneticPr fontId="16" type="noConversion"/>
  </si>
  <si>
    <t>AInv</t>
    <phoneticPr fontId="16" type="noConversion"/>
  </si>
  <si>
    <t>HS02.mdx</t>
  </si>
  <si>
    <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  <phoneticPr fontId="16" type="noConversion"/>
  </si>
  <si>
    <t>utJB</t>
    <phoneticPr fontId="16" type="noConversion"/>
  </si>
  <si>
    <t>utJC</t>
    <phoneticPr fontId="16" type="noConversion"/>
  </si>
  <si>
    <t>utJD</t>
    <phoneticPr fontId="16" type="noConversion"/>
  </si>
  <si>
    <t>utJE</t>
    <phoneticPr fontId="16" type="noConversion"/>
  </si>
  <si>
    <t>龙宫-虾兵</t>
    <phoneticPr fontId="16" type="noConversion"/>
  </si>
  <si>
    <t>龙宫-蟹将</t>
    <phoneticPr fontId="16" type="noConversion"/>
  </si>
  <si>
    <t>龙宫-龟丞相</t>
    <phoneticPr fontId="16" type="noConversion"/>
  </si>
  <si>
    <t>龙宫-老龙王</t>
    <phoneticPr fontId="16" type="noConversion"/>
  </si>
  <si>
    <r>
      <t>AZ0A</t>
    </r>
    <r>
      <rPr>
        <sz val="11"/>
        <color theme="1"/>
        <rFont val="等线"/>
        <family val="3"/>
        <charset val="134"/>
        <scheme val="minor"/>
      </rPr>
      <t>,AZ91</t>
    </r>
    <phoneticPr fontId="16" type="noConversion"/>
  </si>
  <si>
    <t>AZ1S,AZ92</t>
    <phoneticPr fontId="16" type="noConversion"/>
  </si>
  <si>
    <t>AZ1P,AZ91</t>
    <phoneticPr fontId="16" type="noConversion"/>
  </si>
  <si>
    <t>H042.mdl</t>
  </si>
  <si>
    <t>H040.mdl</t>
    <phoneticPr fontId="16" type="noConversion"/>
  </si>
  <si>
    <t>Units\\Creeps\\Lobstrokkred\\Lobstrokkred</t>
  </si>
  <si>
    <t>units\\creeps\\MurlocMutant\\MurlocMutant</t>
  </si>
  <si>
    <r>
      <t>H0</t>
    </r>
    <r>
      <rPr>
        <sz val="10"/>
        <color theme="1"/>
        <rFont val="微软雅黑"/>
        <family val="2"/>
        <charset val="134"/>
      </rPr>
      <t>40</t>
    </r>
    <phoneticPr fontId="16" type="noConversion"/>
  </si>
  <si>
    <t>龟丞相</t>
    <phoneticPr fontId="16" type="noConversion"/>
  </si>
  <si>
    <t>H040.mdx</t>
    <phoneticPr fontId="16" type="noConversion"/>
  </si>
  <si>
    <t>ReplaceableTextures\\CommandButtons\\BTNH040.blp</t>
    <phoneticPr fontId="16" type="noConversion"/>
  </si>
  <si>
    <t>m10A</t>
    <phoneticPr fontId="16" type="noConversion"/>
  </si>
  <si>
    <t>m10B</t>
    <phoneticPr fontId="16" type="noConversion"/>
  </si>
  <si>
    <t>m10C</t>
    <phoneticPr fontId="16" type="noConversion"/>
  </si>
  <si>
    <t>进攻怪 长弓兵</t>
    <phoneticPr fontId="16" type="noConversion"/>
  </si>
  <si>
    <t>进攻怪 卫兵</t>
    <phoneticPr fontId="16" type="noConversion"/>
  </si>
  <si>
    <t>进攻怪 骑兵</t>
    <phoneticPr fontId="16" type="noConversion"/>
  </si>
  <si>
    <r>
      <t>H0</t>
    </r>
    <r>
      <rPr>
        <sz val="10"/>
        <color theme="1"/>
        <rFont val="微软雅黑"/>
        <family val="2"/>
        <charset val="134"/>
      </rPr>
      <t>41</t>
    </r>
    <phoneticPr fontId="16" type="noConversion"/>
  </si>
  <si>
    <t>巨灵神</t>
    <phoneticPr fontId="16" type="noConversion"/>
  </si>
  <si>
    <t>ReplaceableTextures\\CommandButtons\\BTNH041.blp</t>
  </si>
  <si>
    <t>H041.mdx</t>
  </si>
</sst>
</file>

<file path=xl/styles.xml><?xml version="1.0" encoding="utf-8"?>
<styleSheet xmlns="http://schemas.openxmlformats.org/spreadsheetml/2006/main">
  <numFmts count="1">
    <numFmt numFmtId="176" formatCode="0.0_ "/>
  </numFmts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2B2B2B"/>
      <name val="微软雅黑"/>
      <family val="2"/>
      <charset val="134"/>
    </font>
    <font>
      <sz val="11"/>
      <color theme="1"/>
      <name val="等线"/>
      <family val="3"/>
      <charset val="134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0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4" fillId="5" borderId="0" applyNumberFormat="0" applyBorder="0" applyAlignment="0" applyProtection="0">
      <alignment vertical="center"/>
    </xf>
    <xf numFmtId="0" fontId="10" fillId="0" borderId="0"/>
  </cellStyleXfs>
  <cellXfs count="7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2" fillId="0" borderId="0" xfId="0" applyNumberFormat="1" applyFont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2" fillId="0" borderId="0" xfId="0" applyNumberFormat="1" applyFont="1"/>
    <xf numFmtId="0" fontId="2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center" vertical="center"/>
    </xf>
    <xf numFmtId="0" fontId="10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left" vertical="center"/>
    </xf>
    <xf numFmtId="0" fontId="2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2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2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" fillId="0" borderId="0" xfId="0" applyFont="1"/>
    <xf numFmtId="0" fontId="7" fillId="0" borderId="0" xfId="0" applyFont="1"/>
    <xf numFmtId="0" fontId="0" fillId="0" borderId="0" xfId="0" applyFont="1" applyFill="1" applyAlignment="1">
      <alignment wrapText="1"/>
    </xf>
    <xf numFmtId="0" fontId="2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2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0" borderId="0" xfId="0" applyFont="1"/>
    <xf numFmtId="0" fontId="9" fillId="2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7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3" fillId="0" borderId="0" xfId="0" applyFont="1"/>
    <xf numFmtId="49" fontId="0" fillId="0" borderId="0" xfId="0" applyNumberFormat="1"/>
    <xf numFmtId="0" fontId="2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2" fillId="2" borderId="0" xfId="0" quotePrefix="1" applyNumberFormat="1" applyFont="1" applyFill="1" applyAlignment="1">
      <alignment horizontal="center" vertical="center"/>
    </xf>
    <xf numFmtId="0" fontId="2" fillId="4" borderId="0" xfId="0" quotePrefix="1" applyNumberFormat="1" applyFont="1" applyFill="1" applyAlignment="1">
      <alignment horizontal="center" vertical="center"/>
    </xf>
    <xf numFmtId="0" fontId="2" fillId="0" borderId="0" xfId="0" quotePrefix="1" applyNumberFormat="1" applyFont="1" applyAlignment="1">
      <alignment horizontal="center" vertical="center"/>
    </xf>
    <xf numFmtId="0" fontId="2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7" fillId="0" borderId="0" xfId="0" applyNumberFormat="1" applyFont="1" applyAlignment="1">
      <alignment horizontal="center" vertical="center"/>
    </xf>
    <xf numFmtId="0" fontId="19" fillId="0" borderId="0" xfId="0" applyFont="1"/>
    <xf numFmtId="0" fontId="20" fillId="0" borderId="0" xfId="0" applyFont="1" applyAlignment="1">
      <alignment horizontal="left" vertical="center"/>
    </xf>
    <xf numFmtId="0" fontId="17" fillId="0" borderId="1" xfId="0" applyFont="1" applyBorder="1" applyAlignment="1">
      <alignment vertical="center"/>
    </xf>
    <xf numFmtId="0" fontId="17" fillId="2" borderId="0" xfId="0" applyNumberFormat="1" applyFont="1" applyFill="1" applyAlignment="1">
      <alignment horizontal="center" vertical="center"/>
    </xf>
    <xf numFmtId="0" fontId="21" fillId="0" borderId="0" xfId="0" applyFont="1"/>
    <xf numFmtId="0" fontId="19" fillId="0" borderId="0" xfId="2" applyFont="1"/>
    <xf numFmtId="0" fontId="10" fillId="0" borderId="0" xfId="2" applyFont="1"/>
    <xf numFmtId="0" fontId="10" fillId="0" borderId="0" xfId="0" applyFont="1" applyFill="1" applyAlignment="1">
      <alignment vertical="center"/>
    </xf>
    <xf numFmtId="0" fontId="6" fillId="0" borderId="0" xfId="0" applyFont="1"/>
  </cellXfs>
  <cellStyles count="3">
    <cellStyle name="差 2" xfId="1"/>
    <cellStyle name="常规" xfId="0" builtinId="0"/>
    <cellStyle name="常规 2" xfId="2"/>
  </cellStyles>
  <dxfs count="13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72"/>
  <sheetViews>
    <sheetView tabSelected="1" workbookViewId="0">
      <pane xSplit="6" ySplit="2" topLeftCell="AF29" activePane="bottomRight" state="frozen"/>
      <selection pane="topRight"/>
      <selection pane="bottomLeft"/>
      <selection pane="bottomRight" activeCell="AP44" sqref="AP44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356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1224</v>
      </c>
      <c r="C34" s="5" t="s">
        <v>71</v>
      </c>
      <c r="D34" s="10" t="s">
        <v>142</v>
      </c>
      <c r="E34" s="63" t="s">
        <v>1228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1233</v>
      </c>
      <c r="O34" s="64" t="s">
        <v>699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1225</v>
      </c>
      <c r="C35" s="5" t="s">
        <v>71</v>
      </c>
      <c r="D35" s="10" t="s">
        <v>142</v>
      </c>
      <c r="E35" s="63" t="s">
        <v>1229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1234</v>
      </c>
      <c r="O35" s="65" t="s">
        <v>1231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1226</v>
      </c>
      <c r="C36" s="5" t="s">
        <v>71</v>
      </c>
      <c r="D36" s="10" t="s">
        <v>142</v>
      </c>
      <c r="E36" s="63" t="s">
        <v>775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1235</v>
      </c>
      <c r="O36" s="65" t="s">
        <v>892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1227</v>
      </c>
      <c r="C37" s="5" t="s">
        <v>71</v>
      </c>
      <c r="D37" s="10" t="s">
        <v>142</v>
      </c>
      <c r="E37" s="63" t="s">
        <v>1230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1236</v>
      </c>
      <c r="O37" s="64" t="s">
        <v>748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1232</v>
      </c>
      <c r="C38" s="5" t="s">
        <v>71</v>
      </c>
      <c r="D38" s="10" t="s">
        <v>142</v>
      </c>
      <c r="E38" s="63" t="s">
        <v>1238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1237</v>
      </c>
      <c r="O38" s="16" t="s">
        <v>839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5" customFormat="1">
      <c r="B39" s="65" t="s">
        <v>1265</v>
      </c>
      <c r="C39" s="5" t="s">
        <v>71</v>
      </c>
      <c r="D39" s="10" t="s">
        <v>142</v>
      </c>
      <c r="E39" s="63" t="s">
        <v>1264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1267</v>
      </c>
      <c r="O39" s="65" t="s">
        <v>1266</v>
      </c>
      <c r="P39" s="26">
        <v>1</v>
      </c>
      <c r="Q39" s="27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0">
        <v>0</v>
      </c>
      <c r="BK39" s="30">
        <v>0</v>
      </c>
      <c r="BL39" s="30">
        <v>0</v>
      </c>
      <c r="BM39" s="30">
        <v>0</v>
      </c>
      <c r="BN39" s="30">
        <v>0</v>
      </c>
      <c r="BO39" s="30">
        <v>0</v>
      </c>
      <c r="BP39" s="31" t="s">
        <v>130</v>
      </c>
      <c r="BQ39" s="5">
        <v>0</v>
      </c>
      <c r="BR39" s="5">
        <v>1200</v>
      </c>
      <c r="BS39" s="5">
        <v>900</v>
      </c>
    </row>
    <row r="40" spans="2:71" s="5" customFormat="1">
      <c r="B40" s="65" t="s">
        <v>1268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6">
        <v>1.08</v>
      </c>
      <c r="Q40" s="27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57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0">
        <v>0</v>
      </c>
      <c r="BK40" s="30">
        <v>0</v>
      </c>
      <c r="BL40" s="30">
        <v>0</v>
      </c>
      <c r="BM40" s="30">
        <v>0</v>
      </c>
      <c r="BN40" s="30">
        <v>0</v>
      </c>
      <c r="BO40" s="30">
        <v>0</v>
      </c>
      <c r="BP40" s="31" t="s">
        <v>130</v>
      </c>
      <c r="BQ40" s="5">
        <v>0</v>
      </c>
      <c r="BR40" s="5">
        <v>1200</v>
      </c>
      <c r="BS40" s="5">
        <v>900</v>
      </c>
    </row>
    <row r="41" spans="2:71" s="5" customFormat="1">
      <c r="B41" s="65" t="s">
        <v>1269</v>
      </c>
      <c r="C41" s="5" t="s">
        <v>71</v>
      </c>
      <c r="D41" s="10" t="s">
        <v>142</v>
      </c>
      <c r="E41" s="71" t="s">
        <v>1270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65" t="s">
        <v>1271</v>
      </c>
      <c r="K41" s="10" t="s">
        <v>147</v>
      </c>
      <c r="L41" s="10">
        <v>0</v>
      </c>
      <c r="M41" s="10">
        <v>0</v>
      </c>
      <c r="N41" s="65" t="s">
        <v>1273</v>
      </c>
      <c r="O41" s="10" t="s">
        <v>1272</v>
      </c>
      <c r="P41" s="26">
        <v>0.8</v>
      </c>
      <c r="Q41" s="27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57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0">
        <v>0</v>
      </c>
      <c r="BK41" s="30">
        <v>0</v>
      </c>
      <c r="BL41" s="30">
        <v>0</v>
      </c>
      <c r="BM41" s="30">
        <v>0</v>
      </c>
      <c r="BN41" s="30">
        <v>0</v>
      </c>
      <c r="BO41" s="30">
        <v>0</v>
      </c>
      <c r="BP41" s="31" t="s">
        <v>130</v>
      </c>
      <c r="BQ41" s="5">
        <v>0</v>
      </c>
      <c r="BR41" s="5">
        <v>1200</v>
      </c>
      <c r="BS41" s="5">
        <v>900</v>
      </c>
    </row>
    <row r="42" spans="2:71" s="5" customFormat="1">
      <c r="B42" s="10" t="s">
        <v>1289</v>
      </c>
      <c r="C42" s="5" t="s">
        <v>71</v>
      </c>
      <c r="D42" s="10" t="s">
        <v>142</v>
      </c>
      <c r="E42" s="74" t="s">
        <v>1290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1292</v>
      </c>
      <c r="O42" s="10" t="s">
        <v>1291</v>
      </c>
      <c r="P42" s="26">
        <v>1.1000000000000001</v>
      </c>
      <c r="Q42" s="27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0">
        <v>0</v>
      </c>
      <c r="BK42" s="30">
        <v>0</v>
      </c>
      <c r="BL42" s="30">
        <v>0</v>
      </c>
      <c r="BM42" s="30">
        <v>0</v>
      </c>
      <c r="BN42" s="30">
        <v>0</v>
      </c>
      <c r="BO42" s="30">
        <v>0</v>
      </c>
      <c r="BP42" s="31" t="s">
        <v>130</v>
      </c>
      <c r="BQ42" s="5">
        <v>0</v>
      </c>
      <c r="BR42" s="5">
        <v>1200</v>
      </c>
      <c r="BS42" s="5">
        <v>900</v>
      </c>
    </row>
    <row r="43" spans="2:71" s="5" customFormat="1">
      <c r="B43" s="10" t="s">
        <v>1299</v>
      </c>
      <c r="C43" s="5" t="s">
        <v>71</v>
      </c>
      <c r="D43" s="10" t="s">
        <v>142</v>
      </c>
      <c r="E43" s="74" t="s">
        <v>1300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1301</v>
      </c>
      <c r="O43" s="10" t="s">
        <v>1302</v>
      </c>
      <c r="P43" s="26">
        <v>1</v>
      </c>
      <c r="Q43" s="27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0">
        <v>0</v>
      </c>
      <c r="BK43" s="30">
        <v>0</v>
      </c>
      <c r="BL43" s="30">
        <v>0</v>
      </c>
      <c r="BM43" s="30">
        <v>0</v>
      </c>
      <c r="BN43" s="30">
        <v>0</v>
      </c>
      <c r="BO43" s="30">
        <v>0</v>
      </c>
      <c r="BP43" s="31" t="s">
        <v>130</v>
      </c>
      <c r="BQ43" s="5">
        <v>0</v>
      </c>
      <c r="BR43" s="5">
        <v>1200</v>
      </c>
      <c r="BS43" s="5">
        <v>900</v>
      </c>
    </row>
    <row r="44" spans="2:71" s="6" customFormat="1">
      <c r="B44" s="16" t="s">
        <v>1293</v>
      </c>
      <c r="C44" s="6" t="s">
        <v>71</v>
      </c>
      <c r="D44" s="16" t="s">
        <v>282</v>
      </c>
      <c r="E44" s="17" t="s">
        <v>1297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286</v>
      </c>
      <c r="P44" s="16">
        <v>1.4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7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v>1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1294</v>
      </c>
      <c r="C45" s="6" t="s">
        <v>71</v>
      </c>
      <c r="D45" s="16" t="s">
        <v>282</v>
      </c>
      <c r="E45" s="19" t="s">
        <v>1296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289</v>
      </c>
      <c r="P45" s="16">
        <v>1.3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300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7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>AQ44-0.03</f>
        <v>0.97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1295</v>
      </c>
      <c r="C46" s="6" t="s">
        <v>71</v>
      </c>
      <c r="D46" s="16" t="s">
        <v>282</v>
      </c>
      <c r="E46" s="18" t="s">
        <v>1298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311</v>
      </c>
      <c r="P46" s="16">
        <v>1.55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390</v>
      </c>
      <c r="Y46" s="16">
        <v>0</v>
      </c>
      <c r="Z46" s="16" t="s">
        <v>151</v>
      </c>
      <c r="AA46" s="16">
        <v>600</v>
      </c>
      <c r="AB46" s="28"/>
      <c r="AC46" s="28"/>
      <c r="AD46" s="28">
        <v>0</v>
      </c>
      <c r="AE46" s="28" t="s">
        <v>151</v>
      </c>
      <c r="AF46" s="28"/>
      <c r="AG46" s="28"/>
      <c r="AH46" s="57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ref="AQ46" si="5">AQ45-0.03</f>
        <v>0.94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281</v>
      </c>
      <c r="C47" s="6" t="s">
        <v>71</v>
      </c>
      <c r="D47" s="16" t="s">
        <v>282</v>
      </c>
      <c r="E47" s="17" t="s">
        <v>283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286</v>
      </c>
      <c r="P47" s="16">
        <v>1.4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300</v>
      </c>
      <c r="Y47" s="16">
        <v>0</v>
      </c>
      <c r="Z47" s="16" t="s">
        <v>151</v>
      </c>
      <c r="AA47" s="16">
        <v>600</v>
      </c>
      <c r="AB47" s="28"/>
      <c r="AC47" s="28"/>
      <c r="AD47" s="28">
        <v>0</v>
      </c>
      <c r="AE47" s="28" t="s">
        <v>151</v>
      </c>
      <c r="AF47" s="28"/>
      <c r="AG47" s="28"/>
      <c r="AH47" s="57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250</v>
      </c>
      <c r="AQ47" s="16">
        <v>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287</v>
      </c>
      <c r="C48" s="6" t="s">
        <v>71</v>
      </c>
      <c r="D48" s="16" t="s">
        <v>282</v>
      </c>
      <c r="E48" s="19" t="s">
        <v>288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289</v>
      </c>
      <c r="P48" s="16">
        <v>1.3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300</v>
      </c>
      <c r="Y48" s="16">
        <v>0</v>
      </c>
      <c r="Z48" s="16" t="s">
        <v>151</v>
      </c>
      <c r="AA48" s="16">
        <v>600</v>
      </c>
      <c r="AB48" s="28" t="s">
        <v>290</v>
      </c>
      <c r="AC48" s="28"/>
      <c r="AD48" s="16">
        <v>900</v>
      </c>
      <c r="AE48" s="16" t="s">
        <v>151</v>
      </c>
      <c r="AF48" s="16">
        <v>0.1</v>
      </c>
      <c r="AG48" s="16">
        <v>1</v>
      </c>
      <c r="AH48" s="57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500</v>
      </c>
      <c r="AQ48" s="16">
        <f>AQ47-0.03</f>
        <v>0.97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291</v>
      </c>
      <c r="C49" s="6" t="s">
        <v>71</v>
      </c>
      <c r="D49" s="16" t="s">
        <v>282</v>
      </c>
      <c r="E49" s="17" t="s">
        <v>292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286</v>
      </c>
      <c r="P49" s="16">
        <v>1.4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300</v>
      </c>
      <c r="Y49" s="16">
        <v>0</v>
      </c>
      <c r="Z49" s="16" t="s">
        <v>151</v>
      </c>
      <c r="AA49" s="16">
        <v>600</v>
      </c>
      <c r="AB49" s="16"/>
      <c r="AC49" s="16"/>
      <c r="AD49" s="28">
        <v>0</v>
      </c>
      <c r="AE49" s="28" t="s">
        <v>151</v>
      </c>
      <c r="AF49" s="28"/>
      <c r="AG49" s="28"/>
      <c r="AH49" s="57" t="s">
        <v>152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250</v>
      </c>
      <c r="AQ49" s="16">
        <f t="shared" ref="AQ49:AQ62" si="6">AQ48-0.03</f>
        <v>0.94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293</v>
      </c>
      <c r="C50" s="6" t="s">
        <v>71</v>
      </c>
      <c r="D50" s="16" t="s">
        <v>282</v>
      </c>
      <c r="E50" s="19" t="s">
        <v>294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289</v>
      </c>
      <c r="P50" s="16">
        <v>1.3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300</v>
      </c>
      <c r="Y50" s="16">
        <v>0</v>
      </c>
      <c r="Z50" s="16" t="s">
        <v>151</v>
      </c>
      <c r="AA50" s="16">
        <v>600</v>
      </c>
      <c r="AB50" s="28" t="s">
        <v>290</v>
      </c>
      <c r="AC50" s="28"/>
      <c r="AD50" s="16">
        <v>900</v>
      </c>
      <c r="AE50" s="16" t="s">
        <v>151</v>
      </c>
      <c r="AF50" s="16">
        <v>0.1</v>
      </c>
      <c r="AG50" s="16">
        <v>1</v>
      </c>
      <c r="AH50" s="57" t="s">
        <v>165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500</v>
      </c>
      <c r="AQ50" s="16">
        <f t="shared" si="6"/>
        <v>0.90999999999999992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295</v>
      </c>
      <c r="C51" s="6" t="s">
        <v>71</v>
      </c>
      <c r="D51" s="16" t="s">
        <v>282</v>
      </c>
      <c r="E51" s="17" t="s">
        <v>296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286</v>
      </c>
      <c r="P51" s="16">
        <v>1.1000000000000001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300</v>
      </c>
      <c r="Y51" s="16">
        <v>0</v>
      </c>
      <c r="Z51" s="16" t="s">
        <v>151</v>
      </c>
      <c r="AA51" s="16">
        <v>600</v>
      </c>
      <c r="AB51" s="16"/>
      <c r="AC51" s="16"/>
      <c r="AD51" s="16">
        <v>0</v>
      </c>
      <c r="AE51" s="16" t="s">
        <v>151</v>
      </c>
      <c r="AF51" s="16"/>
      <c r="AG51" s="16"/>
      <c r="AH51" s="57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250</v>
      </c>
      <c r="AQ51" s="16">
        <f t="shared" si="6"/>
        <v>0.87999999999999989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297</v>
      </c>
      <c r="C52" s="6" t="s">
        <v>71</v>
      </c>
      <c r="D52" s="16" t="s">
        <v>282</v>
      </c>
      <c r="E52" s="19" t="s">
        <v>298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289</v>
      </c>
      <c r="P52" s="16">
        <v>0.9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300</v>
      </c>
      <c r="Y52" s="16">
        <v>0</v>
      </c>
      <c r="Z52" s="16" t="s">
        <v>151</v>
      </c>
      <c r="AA52" s="16">
        <v>600</v>
      </c>
      <c r="AB52" s="28" t="s">
        <v>290</v>
      </c>
      <c r="AC52" s="28"/>
      <c r="AD52" s="16">
        <v>900</v>
      </c>
      <c r="AE52" s="16" t="s">
        <v>151</v>
      </c>
      <c r="AF52" s="16">
        <v>0.1</v>
      </c>
      <c r="AG52" s="16">
        <v>1</v>
      </c>
      <c r="AH52" s="57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500</v>
      </c>
      <c r="AQ52" s="16">
        <f t="shared" si="6"/>
        <v>0.84999999999999987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299</v>
      </c>
      <c r="C53" s="6" t="s">
        <v>71</v>
      </c>
      <c r="D53" s="16" t="s">
        <v>282</v>
      </c>
      <c r="E53" s="17" t="s">
        <v>300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301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350</v>
      </c>
      <c r="Y53" s="16">
        <v>0</v>
      </c>
      <c r="Z53" s="16" t="s">
        <v>151</v>
      </c>
      <c r="AA53" s="16">
        <v>600</v>
      </c>
      <c r="AB53" s="28"/>
      <c r="AC53" s="28"/>
      <c r="AD53" s="28">
        <v>0</v>
      </c>
      <c r="AE53" s="28" t="s">
        <v>151</v>
      </c>
      <c r="AF53" s="28"/>
      <c r="AG53" s="28"/>
      <c r="AH53" s="57" t="s">
        <v>152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250</v>
      </c>
      <c r="AQ53" s="16">
        <f t="shared" si="6"/>
        <v>0.81999999999999984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302</v>
      </c>
      <c r="C54" s="6" t="s">
        <v>71</v>
      </c>
      <c r="D54" s="16" t="s">
        <v>282</v>
      </c>
      <c r="E54" s="20" t="s">
        <v>303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304</v>
      </c>
      <c r="P54" s="16">
        <v>0.9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350</v>
      </c>
      <c r="Y54" s="16">
        <v>0</v>
      </c>
      <c r="Z54" s="16" t="s">
        <v>151</v>
      </c>
      <c r="AA54" s="16">
        <v>600</v>
      </c>
      <c r="AB54" s="28" t="s">
        <v>290</v>
      </c>
      <c r="AC54" s="28"/>
      <c r="AD54" s="16">
        <v>900</v>
      </c>
      <c r="AE54" s="16" t="s">
        <v>151</v>
      </c>
      <c r="AF54" s="16">
        <v>0.1</v>
      </c>
      <c r="AG54" s="16">
        <v>1</v>
      </c>
      <c r="AH54" s="57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6"/>
        <v>0.78999999999999981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305</v>
      </c>
      <c r="C55" s="6" t="s">
        <v>71</v>
      </c>
      <c r="D55" s="16" t="s">
        <v>282</v>
      </c>
      <c r="E55" s="18" t="s">
        <v>306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301</v>
      </c>
      <c r="P55" s="16">
        <v>1.55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350</v>
      </c>
      <c r="Y55" s="16">
        <v>0</v>
      </c>
      <c r="Z55" s="16" t="s">
        <v>151</v>
      </c>
      <c r="AA55" s="16">
        <v>600</v>
      </c>
      <c r="AB55" s="16"/>
      <c r="AC55" s="16"/>
      <c r="AD55" s="16">
        <v>0</v>
      </c>
      <c r="AE55" s="16" t="s">
        <v>151</v>
      </c>
      <c r="AF55" s="16"/>
      <c r="AG55" s="16"/>
      <c r="AH55" s="57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6"/>
        <v>0.75999999999999979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307</v>
      </c>
      <c r="C56" s="6" t="s">
        <v>71</v>
      </c>
      <c r="D56" s="16" t="s">
        <v>282</v>
      </c>
      <c r="E56" s="20" t="s">
        <v>308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304</v>
      </c>
      <c r="P56" s="16">
        <v>0.9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390</v>
      </c>
      <c r="Y56" s="16">
        <v>0</v>
      </c>
      <c r="Z56" s="16" t="s">
        <v>151</v>
      </c>
      <c r="AA56" s="16">
        <v>600</v>
      </c>
      <c r="AB56" s="28" t="s">
        <v>290</v>
      </c>
      <c r="AC56" s="28"/>
      <c r="AD56" s="16">
        <v>900</v>
      </c>
      <c r="AE56" s="16" t="s">
        <v>151</v>
      </c>
      <c r="AF56" s="16">
        <v>0.1</v>
      </c>
      <c r="AG56" s="16">
        <v>1</v>
      </c>
      <c r="AH56" s="57" t="s">
        <v>165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6"/>
        <v>0.72999999999999976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309</v>
      </c>
      <c r="C57" s="6" t="s">
        <v>71</v>
      </c>
      <c r="D57" s="16" t="s">
        <v>282</v>
      </c>
      <c r="E57" s="18" t="s">
        <v>310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311</v>
      </c>
      <c r="P57" s="16">
        <v>1.55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390</v>
      </c>
      <c r="Y57" s="16">
        <v>0</v>
      </c>
      <c r="Z57" s="16" t="s">
        <v>151</v>
      </c>
      <c r="AA57" s="16">
        <v>600</v>
      </c>
      <c r="AB57" s="28"/>
      <c r="AC57" s="28"/>
      <c r="AD57" s="28">
        <v>0</v>
      </c>
      <c r="AE57" s="28" t="s">
        <v>151</v>
      </c>
      <c r="AF57" s="28"/>
      <c r="AG57" s="28"/>
      <c r="AH57" s="5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6"/>
        <v>0.69999999999999973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312</v>
      </c>
      <c r="C58" s="6" t="s">
        <v>71</v>
      </c>
      <c r="D58" s="16" t="s">
        <v>282</v>
      </c>
      <c r="E58" s="20" t="s">
        <v>313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304</v>
      </c>
      <c r="P58" s="16">
        <v>0.9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390</v>
      </c>
      <c r="Y58" s="16">
        <v>0</v>
      </c>
      <c r="Z58" s="16" t="s">
        <v>151</v>
      </c>
      <c r="AA58" s="16">
        <v>600</v>
      </c>
      <c r="AB58" s="28" t="s">
        <v>290</v>
      </c>
      <c r="AC58" s="28"/>
      <c r="AD58" s="16">
        <v>900</v>
      </c>
      <c r="AE58" s="16" t="s">
        <v>151</v>
      </c>
      <c r="AF58" s="16">
        <v>0.1</v>
      </c>
      <c r="AG58" s="16">
        <v>1</v>
      </c>
      <c r="AH58" s="57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6"/>
        <v>0.66999999999999971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314</v>
      </c>
      <c r="C59" s="6" t="s">
        <v>71</v>
      </c>
      <c r="D59" s="16" t="s">
        <v>282</v>
      </c>
      <c r="E59" s="21" t="s">
        <v>315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311</v>
      </c>
      <c r="P59" s="16">
        <v>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430</v>
      </c>
      <c r="Y59" s="16">
        <v>0</v>
      </c>
      <c r="Z59" s="16" t="s">
        <v>151</v>
      </c>
      <c r="AA59" s="16">
        <v>600</v>
      </c>
      <c r="AB59" s="16"/>
      <c r="AC59" s="16"/>
      <c r="AD59" s="16">
        <v>0</v>
      </c>
      <c r="AE59" s="16" t="s">
        <v>151</v>
      </c>
      <c r="AF59" s="16"/>
      <c r="AG59" s="16"/>
      <c r="AH59" s="57" t="s">
        <v>152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6"/>
        <v>0.63999999999999968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316</v>
      </c>
      <c r="C60" s="6" t="s">
        <v>71</v>
      </c>
      <c r="D60" s="16" t="s">
        <v>282</v>
      </c>
      <c r="E60" s="22" t="s">
        <v>317</v>
      </c>
      <c r="F60" s="23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318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430</v>
      </c>
      <c r="Y60" s="16">
        <v>0</v>
      </c>
      <c r="Z60" s="16" t="s">
        <v>151</v>
      </c>
      <c r="AA60" s="16">
        <v>1200</v>
      </c>
      <c r="AB60" s="16" t="s">
        <v>319</v>
      </c>
      <c r="AC60" s="16"/>
      <c r="AD60" s="16">
        <v>900</v>
      </c>
      <c r="AE60" s="16" t="s">
        <v>151</v>
      </c>
      <c r="AF60" s="16">
        <v>0.1</v>
      </c>
      <c r="AG60" s="16">
        <v>1</v>
      </c>
      <c r="AH60" s="57" t="s">
        <v>165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1000</v>
      </c>
      <c r="AQ60" s="16">
        <f t="shared" si="6"/>
        <v>0.60999999999999965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320</v>
      </c>
      <c r="C61" s="6" t="s">
        <v>71</v>
      </c>
      <c r="D61" s="16" t="s">
        <v>282</v>
      </c>
      <c r="E61" s="21" t="s">
        <v>321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322</v>
      </c>
      <c r="P61" s="16">
        <v>1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430</v>
      </c>
      <c r="Y61" s="16">
        <v>0</v>
      </c>
      <c r="Z61" s="16" t="s">
        <v>151</v>
      </c>
      <c r="AA61" s="16">
        <v>600</v>
      </c>
      <c r="AB61" s="28"/>
      <c r="AC61" s="28"/>
      <c r="AD61" s="28">
        <v>0</v>
      </c>
      <c r="AE61" s="28" t="s">
        <v>151</v>
      </c>
      <c r="AF61" s="28"/>
      <c r="AG61" s="28"/>
      <c r="AH61" s="57" t="s">
        <v>152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f t="shared" si="6"/>
        <v>0.57999999999999963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323</v>
      </c>
      <c r="C62" s="6" t="s">
        <v>71</v>
      </c>
      <c r="D62" s="16" t="s">
        <v>282</v>
      </c>
      <c r="E62" s="22" t="s">
        <v>324</v>
      </c>
      <c r="F62" s="23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325</v>
      </c>
      <c r="P62" s="16">
        <v>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430</v>
      </c>
      <c r="Y62" s="16">
        <v>0</v>
      </c>
      <c r="Z62" s="16" t="s">
        <v>151</v>
      </c>
      <c r="AA62" s="16">
        <v>1000</v>
      </c>
      <c r="AB62" s="16" t="s">
        <v>326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7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800</v>
      </c>
      <c r="AQ62" s="16">
        <f t="shared" si="6"/>
        <v>0.5499999999999996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327</v>
      </c>
      <c r="C63" s="6" t="s">
        <v>71</v>
      </c>
      <c r="D63" s="16" t="s">
        <v>282</v>
      </c>
      <c r="E63" s="21" t="s">
        <v>328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329</v>
      </c>
      <c r="P63" s="16">
        <v>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430</v>
      </c>
      <c r="Y63" s="16">
        <v>0</v>
      </c>
      <c r="Z63" s="16" t="s">
        <v>151</v>
      </c>
      <c r="AA63" s="16">
        <v>600</v>
      </c>
      <c r="AB63" s="28"/>
      <c r="AC63" s="28"/>
      <c r="AD63" s="28">
        <v>0</v>
      </c>
      <c r="AE63" s="28" t="s">
        <v>151</v>
      </c>
      <c r="AF63" s="28"/>
      <c r="AG63" s="28"/>
      <c r="AH63" s="57" t="s">
        <v>152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f t="shared" ref="AQ63:AQ73" si="7">AQ62-0.03</f>
        <v>0.51999999999999957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330</v>
      </c>
      <c r="C64" s="6" t="s">
        <v>71</v>
      </c>
      <c r="D64" s="16" t="s">
        <v>282</v>
      </c>
      <c r="E64" s="20" t="s">
        <v>331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4" t="s">
        <v>332</v>
      </c>
      <c r="P64" s="16">
        <v>1</v>
      </c>
      <c r="Q64" s="16"/>
      <c r="R64" s="16"/>
      <c r="S64" s="16"/>
      <c r="T64" s="16"/>
      <c r="U64" s="16">
        <v>0.5</v>
      </c>
      <c r="V64" s="16">
        <v>2</v>
      </c>
      <c r="W64" s="16" t="s">
        <v>150</v>
      </c>
      <c r="X64" s="16">
        <v>430</v>
      </c>
      <c r="Y64" s="16">
        <v>0</v>
      </c>
      <c r="Z64" s="16" t="s">
        <v>151</v>
      </c>
      <c r="AA64" s="16">
        <v>600</v>
      </c>
      <c r="AB64" s="16" t="s">
        <v>333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7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f t="shared" si="7"/>
        <v>0.48999999999999955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334</v>
      </c>
      <c r="C65" s="6" t="s">
        <v>71</v>
      </c>
      <c r="D65" s="16" t="s">
        <v>282</v>
      </c>
      <c r="E65" s="21" t="s">
        <v>335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336</v>
      </c>
      <c r="P65" s="16">
        <v>1</v>
      </c>
      <c r="Q65" s="16"/>
      <c r="R65" s="16"/>
      <c r="S65" s="16"/>
      <c r="T65" s="16"/>
      <c r="U65" s="16">
        <v>0.5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28"/>
      <c r="AC65" s="28"/>
      <c r="AD65" s="28">
        <v>0</v>
      </c>
      <c r="AE65" s="28" t="s">
        <v>151</v>
      </c>
      <c r="AF65" s="28"/>
      <c r="AG65" s="28"/>
      <c r="AH65" s="5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 t="shared" si="7"/>
        <v>0.45999999999999952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337</v>
      </c>
      <c r="C66" s="6" t="s">
        <v>71</v>
      </c>
      <c r="D66" s="16" t="s">
        <v>282</v>
      </c>
      <c r="E66" s="20" t="s">
        <v>338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339</v>
      </c>
      <c r="P66" s="16">
        <v>1.1000000000000001</v>
      </c>
      <c r="Q66" s="16"/>
      <c r="R66" s="16"/>
      <c r="S66" s="16"/>
      <c r="T66" s="16"/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16" t="s">
        <v>340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7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si="7"/>
        <v>0.42999999999999949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341</v>
      </c>
      <c r="C67" s="6" t="s">
        <v>71</v>
      </c>
      <c r="D67" s="16" t="s">
        <v>282</v>
      </c>
      <c r="E67" s="20" t="s">
        <v>342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343</v>
      </c>
      <c r="P67" s="16">
        <v>1.1000000000000001</v>
      </c>
      <c r="Q67" s="16"/>
      <c r="R67" s="16"/>
      <c r="S67" s="16"/>
      <c r="T67" s="16"/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16" t="s">
        <v>344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7"/>
        <v>0.39999999999999947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345</v>
      </c>
      <c r="C68" s="6" t="s">
        <v>71</v>
      </c>
      <c r="D68" s="16" t="s">
        <v>282</v>
      </c>
      <c r="E68" s="21" t="s">
        <v>346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347</v>
      </c>
      <c r="P68" s="16">
        <v>1.2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28"/>
      <c r="AC68" s="28"/>
      <c r="AD68" s="28">
        <v>0</v>
      </c>
      <c r="AE68" s="28" t="s">
        <v>151</v>
      </c>
      <c r="AF68" s="28"/>
      <c r="AG68" s="28"/>
      <c r="AH68" s="57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7"/>
        <v>0.36999999999999944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348</v>
      </c>
      <c r="C69" s="6" t="s">
        <v>71</v>
      </c>
      <c r="D69" s="16" t="s">
        <v>282</v>
      </c>
      <c r="E69" s="21" t="s">
        <v>349</v>
      </c>
      <c r="F69" s="18"/>
      <c r="G69" s="16" t="s">
        <v>284</v>
      </c>
      <c r="H69" s="16"/>
      <c r="I69" s="16" t="s">
        <v>285</v>
      </c>
      <c r="J69" s="16"/>
      <c r="K69" s="16"/>
      <c r="L69" s="16">
        <v>0</v>
      </c>
      <c r="M69" s="16">
        <v>0</v>
      </c>
      <c r="N69" s="16"/>
      <c r="O69" s="16" t="s">
        <v>350</v>
      </c>
      <c r="P69" s="16">
        <v>1.2</v>
      </c>
      <c r="Q69" s="16"/>
      <c r="R69" s="16"/>
      <c r="S69" s="16"/>
      <c r="T69" s="16"/>
      <c r="U69" s="16">
        <v>0.5</v>
      </c>
      <c r="V69" s="16">
        <v>2</v>
      </c>
      <c r="W69" s="16" t="s">
        <v>150</v>
      </c>
      <c r="X69" s="16">
        <v>512</v>
      </c>
      <c r="Y69" s="16">
        <v>0</v>
      </c>
      <c r="Z69" s="16" t="s">
        <v>151</v>
      </c>
      <c r="AA69" s="16">
        <v>600</v>
      </c>
      <c r="AB69" s="16"/>
      <c r="AC69" s="16"/>
      <c r="AD69" s="16">
        <v>0</v>
      </c>
      <c r="AE69" s="16" t="s">
        <v>151</v>
      </c>
      <c r="AF69" s="16"/>
      <c r="AG69" s="16"/>
      <c r="AH69" s="57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7"/>
        <v>0.33999999999999941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351</v>
      </c>
      <c r="C70" s="6" t="s">
        <v>71</v>
      </c>
      <c r="D70" s="16" t="s">
        <v>282</v>
      </c>
      <c r="E70" s="20" t="s">
        <v>352</v>
      </c>
      <c r="F70" s="18"/>
      <c r="G70" s="16" t="s">
        <v>284</v>
      </c>
      <c r="H70" s="16"/>
      <c r="I70" s="16" t="s">
        <v>285</v>
      </c>
      <c r="J70" s="16"/>
      <c r="K70" s="16"/>
      <c r="L70" s="16">
        <v>0</v>
      </c>
      <c r="M70" s="16">
        <v>0</v>
      </c>
      <c r="N70" s="16"/>
      <c r="O70" s="16" t="s">
        <v>353</v>
      </c>
      <c r="P70" s="16">
        <v>1</v>
      </c>
      <c r="Q70" s="16"/>
      <c r="R70" s="16"/>
      <c r="S70" s="16"/>
      <c r="T70" s="16"/>
      <c r="U70" s="16">
        <v>0.7</v>
      </c>
      <c r="V70" s="16">
        <v>2</v>
      </c>
      <c r="W70" s="16" t="s">
        <v>150</v>
      </c>
      <c r="X70" s="16">
        <v>512</v>
      </c>
      <c r="Y70" s="16">
        <v>0</v>
      </c>
      <c r="Z70" s="16" t="s">
        <v>151</v>
      </c>
      <c r="AA70" s="16">
        <v>600</v>
      </c>
      <c r="AB70" s="16"/>
      <c r="AC70" s="16"/>
      <c r="AD70" s="16">
        <v>0</v>
      </c>
      <c r="AE70" s="16" t="s">
        <v>151</v>
      </c>
      <c r="AF70" s="16"/>
      <c r="AG70" s="16"/>
      <c r="AH70" s="57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7"/>
        <v>0.30999999999999939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354</v>
      </c>
      <c r="C71" s="6" t="s">
        <v>71</v>
      </c>
      <c r="D71" s="16" t="s">
        <v>282</v>
      </c>
      <c r="E71" s="21" t="s">
        <v>355</v>
      </c>
      <c r="F71" s="18"/>
      <c r="G71" s="16" t="s">
        <v>284</v>
      </c>
      <c r="H71" s="16"/>
      <c r="I71" s="16" t="s">
        <v>285</v>
      </c>
      <c r="J71" s="16"/>
      <c r="K71" s="16"/>
      <c r="L71" s="16">
        <v>0</v>
      </c>
      <c r="M71" s="16">
        <v>0</v>
      </c>
      <c r="N71" s="16"/>
      <c r="O71" s="16" t="s">
        <v>356</v>
      </c>
      <c r="P71" s="16">
        <v>1</v>
      </c>
      <c r="Q71" s="16"/>
      <c r="R71" s="16"/>
      <c r="S71" s="16"/>
      <c r="T71" s="16"/>
      <c r="U71" s="16">
        <v>0.5</v>
      </c>
      <c r="V71" s="16">
        <v>2</v>
      </c>
      <c r="W71" s="16" t="s">
        <v>150</v>
      </c>
      <c r="X71" s="16">
        <v>512</v>
      </c>
      <c r="Y71" s="16">
        <v>0</v>
      </c>
      <c r="Z71" s="16" t="s">
        <v>151</v>
      </c>
      <c r="AA71" s="16">
        <v>600</v>
      </c>
      <c r="AB71" s="29" t="s">
        <v>357</v>
      </c>
      <c r="AC71" s="29"/>
      <c r="AD71" s="29">
        <v>900</v>
      </c>
      <c r="AE71" s="29" t="s">
        <v>151</v>
      </c>
      <c r="AF71" s="29">
        <v>0.1</v>
      </c>
      <c r="AG71" s="29">
        <v>1</v>
      </c>
      <c r="AH71" s="58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7"/>
        <v>0.27999999999999936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358</v>
      </c>
      <c r="C72" s="6" t="s">
        <v>71</v>
      </c>
      <c r="D72" s="16" t="s">
        <v>282</v>
      </c>
      <c r="E72" s="21" t="s">
        <v>359</v>
      </c>
      <c r="F72" s="18"/>
      <c r="G72" s="16" t="s">
        <v>284</v>
      </c>
      <c r="H72" s="16"/>
      <c r="I72" s="16" t="s">
        <v>285</v>
      </c>
      <c r="J72" s="16"/>
      <c r="K72" s="16"/>
      <c r="L72" s="16">
        <v>0</v>
      </c>
      <c r="M72" s="16">
        <v>0</v>
      </c>
      <c r="N72" s="16"/>
      <c r="O72" s="16" t="s">
        <v>356</v>
      </c>
      <c r="P72" s="16">
        <v>1</v>
      </c>
      <c r="Q72" s="16"/>
      <c r="R72" s="16">
        <v>255</v>
      </c>
      <c r="S72" s="16">
        <v>55</v>
      </c>
      <c r="T72" s="16">
        <v>55</v>
      </c>
      <c r="U72" s="16">
        <v>0.5</v>
      </c>
      <c r="V72" s="16">
        <v>2</v>
      </c>
      <c r="W72" s="16" t="s">
        <v>150</v>
      </c>
      <c r="X72" s="16">
        <v>512</v>
      </c>
      <c r="Y72" s="16">
        <v>0</v>
      </c>
      <c r="Z72" s="16" t="s">
        <v>151</v>
      </c>
      <c r="AA72" s="16">
        <v>600</v>
      </c>
      <c r="AB72" s="16" t="s">
        <v>360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7"/>
        <v>0.24999999999999936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361</v>
      </c>
      <c r="C73" s="6" t="s">
        <v>71</v>
      </c>
      <c r="D73" s="16" t="s">
        <v>282</v>
      </c>
      <c r="E73" s="21" t="s">
        <v>362</v>
      </c>
      <c r="F73" s="18"/>
      <c r="G73" s="16" t="s">
        <v>284</v>
      </c>
      <c r="H73" s="16"/>
      <c r="I73" s="16" t="s">
        <v>285</v>
      </c>
      <c r="J73" s="16"/>
      <c r="K73" s="16"/>
      <c r="L73" s="16">
        <v>0</v>
      </c>
      <c r="M73" s="16">
        <v>0</v>
      </c>
      <c r="N73" s="16"/>
      <c r="O73" s="16" t="s">
        <v>356</v>
      </c>
      <c r="P73" s="16">
        <v>1</v>
      </c>
      <c r="Q73" s="16"/>
      <c r="R73" s="16"/>
      <c r="S73" s="16"/>
      <c r="T73" s="16"/>
      <c r="U73" s="16">
        <v>0.5</v>
      </c>
      <c r="V73" s="16">
        <v>2</v>
      </c>
      <c r="W73" s="16" t="s">
        <v>150</v>
      </c>
      <c r="X73" s="16">
        <v>512</v>
      </c>
      <c r="Y73" s="16">
        <v>0</v>
      </c>
      <c r="Z73" s="16" t="s">
        <v>151</v>
      </c>
      <c r="AA73" s="16">
        <v>600</v>
      </c>
      <c r="AB73" s="16"/>
      <c r="AC73" s="16"/>
      <c r="AD73" s="16">
        <v>0</v>
      </c>
      <c r="AE73" s="16" t="s">
        <v>151</v>
      </c>
      <c r="AF73" s="16"/>
      <c r="AG73" s="16"/>
      <c r="AH73" s="57" t="s">
        <v>152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f t="shared" si="7"/>
        <v>0.21999999999999936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363</v>
      </c>
      <c r="C74" s="6" t="s">
        <v>71</v>
      </c>
      <c r="D74" s="16" t="s">
        <v>282</v>
      </c>
      <c r="E74" s="21" t="s">
        <v>364</v>
      </c>
      <c r="F74" s="18"/>
      <c r="G74" s="16" t="s">
        <v>284</v>
      </c>
      <c r="H74" s="16"/>
      <c r="I74" s="16" t="s">
        <v>285</v>
      </c>
      <c r="J74" s="16"/>
      <c r="K74" s="16"/>
      <c r="L74" s="16">
        <v>0</v>
      </c>
      <c r="M74" s="16">
        <v>0</v>
      </c>
      <c r="N74" s="16"/>
      <c r="O74" s="16" t="s">
        <v>356</v>
      </c>
      <c r="P74" s="16">
        <v>1</v>
      </c>
      <c r="Q74" s="16"/>
      <c r="R74" s="16">
        <v>255</v>
      </c>
      <c r="S74" s="16">
        <v>55</v>
      </c>
      <c r="T74" s="16">
        <v>55</v>
      </c>
      <c r="U74" s="16">
        <v>0.5</v>
      </c>
      <c r="V74" s="16">
        <v>2</v>
      </c>
      <c r="W74" s="16" t="s">
        <v>150</v>
      </c>
      <c r="X74" s="16">
        <v>512</v>
      </c>
      <c r="Y74" s="16">
        <v>0</v>
      </c>
      <c r="Z74" s="16" t="s">
        <v>151</v>
      </c>
      <c r="AA74" s="16">
        <v>600</v>
      </c>
      <c r="AB74" s="16" t="s">
        <v>360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250</v>
      </c>
      <c r="AQ74" s="16">
        <v>0.2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365</v>
      </c>
      <c r="C75" s="6" t="s">
        <v>71</v>
      </c>
      <c r="D75" s="16" t="s">
        <v>282</v>
      </c>
      <c r="E75" s="21" t="s">
        <v>366</v>
      </c>
      <c r="F75" s="18"/>
      <c r="G75" s="16" t="s">
        <v>284</v>
      </c>
      <c r="H75" s="16"/>
      <c r="I75" s="16" t="s">
        <v>285</v>
      </c>
      <c r="J75" s="16"/>
      <c r="K75" s="16"/>
      <c r="L75" s="16">
        <v>0</v>
      </c>
      <c r="M75" s="16">
        <v>0</v>
      </c>
      <c r="N75" s="16"/>
      <c r="O75" s="16" t="s">
        <v>367</v>
      </c>
      <c r="P75" s="16">
        <v>1.1000000000000001</v>
      </c>
      <c r="Q75" s="16"/>
      <c r="R75" s="16"/>
      <c r="S75" s="16"/>
      <c r="T75" s="16"/>
      <c r="U75" s="16">
        <v>0.5</v>
      </c>
      <c r="V75" s="16">
        <v>2</v>
      </c>
      <c r="W75" s="16" t="s">
        <v>150</v>
      </c>
      <c r="X75" s="16">
        <v>512</v>
      </c>
      <c r="Y75" s="16">
        <v>0</v>
      </c>
      <c r="Z75" s="16" t="s">
        <v>151</v>
      </c>
      <c r="AA75" s="16">
        <v>600</v>
      </c>
      <c r="AB75" s="16" t="s">
        <v>360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250</v>
      </c>
      <c r="AQ75" s="16">
        <v>0.2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368</v>
      </c>
      <c r="C76" s="6" t="s">
        <v>71</v>
      </c>
      <c r="D76" s="16" t="s">
        <v>282</v>
      </c>
      <c r="E76" s="21" t="s">
        <v>369</v>
      </c>
      <c r="F76" s="18"/>
      <c r="G76" s="16" t="s">
        <v>284</v>
      </c>
      <c r="H76" s="16"/>
      <c r="I76" s="16" t="s">
        <v>285</v>
      </c>
      <c r="J76" s="16"/>
      <c r="K76" s="16"/>
      <c r="L76" s="16">
        <v>0</v>
      </c>
      <c r="M76" s="16">
        <v>0</v>
      </c>
      <c r="N76" s="16"/>
      <c r="O76" s="16" t="s">
        <v>367</v>
      </c>
      <c r="P76" s="16">
        <v>1.1000000000000001</v>
      </c>
      <c r="Q76" s="16"/>
      <c r="R76" s="16"/>
      <c r="S76" s="16"/>
      <c r="T76" s="16"/>
      <c r="U76" s="16">
        <v>0.5</v>
      </c>
      <c r="V76" s="16">
        <v>2</v>
      </c>
      <c r="W76" s="16" t="s">
        <v>150</v>
      </c>
      <c r="X76" s="16">
        <v>512</v>
      </c>
      <c r="Y76" s="16">
        <v>0</v>
      </c>
      <c r="Z76" s="16" t="s">
        <v>151</v>
      </c>
      <c r="AA76" s="16">
        <v>600</v>
      </c>
      <c r="AB76" s="16" t="s">
        <v>360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250</v>
      </c>
      <c r="AQ76" s="16">
        <v>0.2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370</v>
      </c>
      <c r="C77" s="6" t="s">
        <v>71</v>
      </c>
      <c r="D77" s="16" t="s">
        <v>282</v>
      </c>
      <c r="E77" s="20" t="s">
        <v>371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v>0.8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6" customFormat="1">
      <c r="B78" s="16" t="s">
        <v>375</v>
      </c>
      <c r="C78" s="6" t="s">
        <v>71</v>
      </c>
      <c r="D78" s="16" t="s">
        <v>282</v>
      </c>
      <c r="E78" s="20" t="s">
        <v>376</v>
      </c>
      <c r="F78" s="24"/>
      <c r="G78" s="16" t="s">
        <v>284</v>
      </c>
      <c r="H78" s="16"/>
      <c r="I78" s="16" t="s">
        <v>285</v>
      </c>
      <c r="J78" s="16" t="s">
        <v>372</v>
      </c>
      <c r="K78" s="16"/>
      <c r="L78" s="16">
        <v>0</v>
      </c>
      <c r="M78" s="16">
        <v>0</v>
      </c>
      <c r="N78" s="16"/>
      <c r="O78" s="16" t="s">
        <v>373</v>
      </c>
      <c r="P78" s="16">
        <v>1.3</v>
      </c>
      <c r="Q78" s="16"/>
      <c r="R78" s="16">
        <v>255</v>
      </c>
      <c r="S78" s="16">
        <v>0</v>
      </c>
      <c r="T78" s="16">
        <v>200</v>
      </c>
      <c r="U78" s="16">
        <v>1.2</v>
      </c>
      <c r="V78" s="16">
        <v>2</v>
      </c>
      <c r="W78" s="16" t="s">
        <v>150</v>
      </c>
      <c r="X78" s="16">
        <v>300</v>
      </c>
      <c r="Y78" s="16">
        <v>0</v>
      </c>
      <c r="Z78" s="16" t="s">
        <v>151</v>
      </c>
      <c r="AA78" s="16">
        <v>1500</v>
      </c>
      <c r="AB78" s="16" t="s">
        <v>374</v>
      </c>
      <c r="AC78" s="16"/>
      <c r="AD78" s="16">
        <v>900</v>
      </c>
      <c r="AE78" s="16" t="s">
        <v>151</v>
      </c>
      <c r="AF78" s="16">
        <v>0.1</v>
      </c>
      <c r="AG78" s="16">
        <v>1</v>
      </c>
      <c r="AH78" s="57" t="s">
        <v>165</v>
      </c>
      <c r="AI78" s="4" t="s">
        <v>153</v>
      </c>
      <c r="AJ78" s="16">
        <v>0.5</v>
      </c>
      <c r="AK78" s="16">
        <v>0.5</v>
      </c>
      <c r="AL78" s="16"/>
      <c r="AM78" s="16">
        <v>1</v>
      </c>
      <c r="AN78" s="16"/>
      <c r="AO78" s="16"/>
      <c r="AP78" s="16">
        <v>500</v>
      </c>
      <c r="AQ78" s="16">
        <f>AQ77-0.08</f>
        <v>0.72000000000000008</v>
      </c>
      <c r="AR78" s="16"/>
      <c r="AS78" s="16"/>
      <c r="AT78" s="16"/>
      <c r="AU78" s="16">
        <v>1</v>
      </c>
      <c r="AV78" s="16"/>
      <c r="AW78" s="16">
        <v>0</v>
      </c>
      <c r="AX78" s="16">
        <v>0</v>
      </c>
      <c r="AY78" s="16">
        <v>0</v>
      </c>
      <c r="AZ78" s="16">
        <v>0</v>
      </c>
      <c r="BA78" s="16">
        <v>0</v>
      </c>
      <c r="BB78" s="16">
        <v>0</v>
      </c>
      <c r="BC78" s="16">
        <v>100</v>
      </c>
      <c r="BD78" s="10">
        <v>100</v>
      </c>
      <c r="BE78" s="16"/>
      <c r="BF78" s="10" t="s">
        <v>154</v>
      </c>
      <c r="BG78" s="10">
        <v>0</v>
      </c>
      <c r="BH78" s="16">
        <v>0</v>
      </c>
      <c r="BI78" s="16">
        <v>100</v>
      </c>
      <c r="BJ78" s="16"/>
      <c r="BK78" s="16"/>
      <c r="BL78" s="16"/>
      <c r="BM78" s="16"/>
      <c r="BN78" s="16"/>
      <c r="BO78" s="16"/>
      <c r="BP78" s="16"/>
      <c r="BQ78" s="6">
        <v>0</v>
      </c>
    </row>
    <row r="79" spans="2:69" s="6" customFormat="1">
      <c r="B79" s="16" t="s">
        <v>377</v>
      </c>
      <c r="C79" s="6" t="s">
        <v>71</v>
      </c>
      <c r="D79" s="16" t="s">
        <v>282</v>
      </c>
      <c r="E79" s="20" t="s">
        <v>378</v>
      </c>
      <c r="F79" s="24"/>
      <c r="G79" s="16" t="s">
        <v>284</v>
      </c>
      <c r="H79" s="16"/>
      <c r="I79" s="16" t="s">
        <v>285</v>
      </c>
      <c r="J79" s="16" t="s">
        <v>372</v>
      </c>
      <c r="K79" s="16"/>
      <c r="L79" s="16">
        <v>0</v>
      </c>
      <c r="M79" s="16">
        <v>0</v>
      </c>
      <c r="N79" s="16"/>
      <c r="O79" s="16" t="s">
        <v>373</v>
      </c>
      <c r="P79" s="16">
        <v>1.3</v>
      </c>
      <c r="Q79" s="16"/>
      <c r="R79" s="16">
        <v>255</v>
      </c>
      <c r="S79" s="16">
        <v>0</v>
      </c>
      <c r="T79" s="16">
        <v>200</v>
      </c>
      <c r="U79" s="16">
        <v>1.2</v>
      </c>
      <c r="V79" s="16">
        <v>2</v>
      </c>
      <c r="W79" s="16" t="s">
        <v>150</v>
      </c>
      <c r="X79" s="16">
        <v>300</v>
      </c>
      <c r="Y79" s="16">
        <v>0</v>
      </c>
      <c r="Z79" s="16" t="s">
        <v>151</v>
      </c>
      <c r="AA79" s="16">
        <v>1500</v>
      </c>
      <c r="AB79" s="16" t="s">
        <v>374</v>
      </c>
      <c r="AC79" s="16"/>
      <c r="AD79" s="16">
        <v>900</v>
      </c>
      <c r="AE79" s="16" t="s">
        <v>151</v>
      </c>
      <c r="AF79" s="16">
        <v>0.1</v>
      </c>
      <c r="AG79" s="16">
        <v>1</v>
      </c>
      <c r="AH79" s="57" t="s">
        <v>165</v>
      </c>
      <c r="AI79" s="4" t="s">
        <v>153</v>
      </c>
      <c r="AJ79" s="16">
        <v>0.5</v>
      </c>
      <c r="AK79" s="16">
        <v>0.5</v>
      </c>
      <c r="AL79" s="16"/>
      <c r="AM79" s="16">
        <v>1</v>
      </c>
      <c r="AN79" s="16"/>
      <c r="AO79" s="16"/>
      <c r="AP79" s="16">
        <v>500</v>
      </c>
      <c r="AQ79" s="16">
        <f t="shared" ref="AQ79:AQ85" si="8">AQ78-0.08</f>
        <v>0.64000000000000012</v>
      </c>
      <c r="AR79" s="16"/>
      <c r="AS79" s="16"/>
      <c r="AT79" s="16"/>
      <c r="AU79" s="16">
        <v>1</v>
      </c>
      <c r="AV79" s="16"/>
      <c r="AW79" s="16">
        <v>0</v>
      </c>
      <c r="AX79" s="16">
        <v>0</v>
      </c>
      <c r="AY79" s="16">
        <v>0</v>
      </c>
      <c r="AZ79" s="16">
        <v>0</v>
      </c>
      <c r="BA79" s="16">
        <v>0</v>
      </c>
      <c r="BB79" s="16">
        <v>0</v>
      </c>
      <c r="BC79" s="16">
        <v>100</v>
      </c>
      <c r="BD79" s="10">
        <v>100</v>
      </c>
      <c r="BE79" s="16"/>
      <c r="BF79" s="10" t="s">
        <v>154</v>
      </c>
      <c r="BG79" s="10">
        <v>0</v>
      </c>
      <c r="BH79" s="16">
        <v>0</v>
      </c>
      <c r="BI79" s="16">
        <v>100</v>
      </c>
      <c r="BJ79" s="16"/>
      <c r="BK79" s="16"/>
      <c r="BL79" s="16"/>
      <c r="BM79" s="16"/>
      <c r="BN79" s="16"/>
      <c r="BO79" s="16"/>
      <c r="BP79" s="16"/>
      <c r="BQ79" s="6">
        <v>0</v>
      </c>
    </row>
    <row r="80" spans="2:69" s="6" customFormat="1">
      <c r="B80" s="16" t="s">
        <v>379</v>
      </c>
      <c r="C80" s="6" t="s">
        <v>71</v>
      </c>
      <c r="D80" s="16" t="s">
        <v>282</v>
      </c>
      <c r="E80" s="20" t="s">
        <v>380</v>
      </c>
      <c r="F80" s="24"/>
      <c r="G80" s="16" t="s">
        <v>284</v>
      </c>
      <c r="H80" s="16"/>
      <c r="I80" s="16" t="s">
        <v>285</v>
      </c>
      <c r="J80" s="16" t="s">
        <v>372</v>
      </c>
      <c r="K80" s="16"/>
      <c r="L80" s="16">
        <v>0</v>
      </c>
      <c r="M80" s="16">
        <v>0</v>
      </c>
      <c r="N80" s="16"/>
      <c r="O80" s="16" t="s">
        <v>373</v>
      </c>
      <c r="P80" s="16">
        <v>1.3</v>
      </c>
      <c r="Q80" s="16"/>
      <c r="R80" s="16">
        <v>255</v>
      </c>
      <c r="S80" s="16">
        <v>0</v>
      </c>
      <c r="T80" s="16">
        <v>200</v>
      </c>
      <c r="U80" s="16">
        <v>1.2</v>
      </c>
      <c r="V80" s="16">
        <v>2</v>
      </c>
      <c r="W80" s="16" t="s">
        <v>150</v>
      </c>
      <c r="X80" s="16">
        <v>300</v>
      </c>
      <c r="Y80" s="16">
        <v>0</v>
      </c>
      <c r="Z80" s="16" t="s">
        <v>151</v>
      </c>
      <c r="AA80" s="16">
        <v>1500</v>
      </c>
      <c r="AB80" s="16" t="s">
        <v>374</v>
      </c>
      <c r="AC80" s="16"/>
      <c r="AD80" s="16">
        <v>900</v>
      </c>
      <c r="AE80" s="16" t="s">
        <v>151</v>
      </c>
      <c r="AF80" s="16">
        <v>0.1</v>
      </c>
      <c r="AG80" s="16">
        <v>1</v>
      </c>
      <c r="AH80" s="57" t="s">
        <v>165</v>
      </c>
      <c r="AI80" s="4" t="s">
        <v>153</v>
      </c>
      <c r="AJ80" s="16">
        <v>0.5</v>
      </c>
      <c r="AK80" s="16">
        <v>0.5</v>
      </c>
      <c r="AL80" s="16"/>
      <c r="AM80" s="16">
        <v>1</v>
      </c>
      <c r="AN80" s="16"/>
      <c r="AO80" s="16"/>
      <c r="AP80" s="16">
        <v>500</v>
      </c>
      <c r="AQ80" s="16">
        <f t="shared" si="8"/>
        <v>0.56000000000000016</v>
      </c>
      <c r="AR80" s="16"/>
      <c r="AS80" s="16"/>
      <c r="AT80" s="16"/>
      <c r="AU80" s="16">
        <v>1</v>
      </c>
      <c r="AV80" s="16"/>
      <c r="AW80" s="16">
        <v>0</v>
      </c>
      <c r="AX80" s="16">
        <v>0</v>
      </c>
      <c r="AY80" s="16">
        <v>0</v>
      </c>
      <c r="AZ80" s="16">
        <v>0</v>
      </c>
      <c r="BA80" s="16">
        <v>0</v>
      </c>
      <c r="BB80" s="16">
        <v>0</v>
      </c>
      <c r="BC80" s="16">
        <v>100</v>
      </c>
      <c r="BD80" s="10">
        <v>100</v>
      </c>
      <c r="BE80" s="16"/>
      <c r="BF80" s="10" t="s">
        <v>154</v>
      </c>
      <c r="BG80" s="10">
        <v>0</v>
      </c>
      <c r="BH80" s="16">
        <v>0</v>
      </c>
      <c r="BI80" s="16">
        <v>100</v>
      </c>
      <c r="BJ80" s="16"/>
      <c r="BK80" s="16"/>
      <c r="BL80" s="16"/>
      <c r="BM80" s="16"/>
      <c r="BN80" s="16"/>
      <c r="BO80" s="16"/>
      <c r="BP80" s="16"/>
      <c r="BQ80" s="6">
        <v>0</v>
      </c>
    </row>
    <row r="81" spans="1:69" s="6" customFormat="1">
      <c r="B81" s="16" t="s">
        <v>381</v>
      </c>
      <c r="C81" s="6" t="s">
        <v>71</v>
      </c>
      <c r="D81" s="16" t="s">
        <v>282</v>
      </c>
      <c r="E81" s="20" t="s">
        <v>382</v>
      </c>
      <c r="F81" s="24"/>
      <c r="G81" s="16" t="s">
        <v>284</v>
      </c>
      <c r="H81" s="16"/>
      <c r="I81" s="16" t="s">
        <v>285</v>
      </c>
      <c r="J81" s="16" t="s">
        <v>372</v>
      </c>
      <c r="K81" s="16"/>
      <c r="L81" s="16">
        <v>0</v>
      </c>
      <c r="M81" s="16">
        <v>0</v>
      </c>
      <c r="N81" s="16"/>
      <c r="O81" s="16" t="s">
        <v>373</v>
      </c>
      <c r="P81" s="16">
        <v>1.3</v>
      </c>
      <c r="Q81" s="16"/>
      <c r="R81" s="16">
        <v>255</v>
      </c>
      <c r="S81" s="16">
        <v>0</v>
      </c>
      <c r="T81" s="16">
        <v>200</v>
      </c>
      <c r="U81" s="16">
        <v>1.2</v>
      </c>
      <c r="V81" s="16">
        <v>2</v>
      </c>
      <c r="W81" s="16" t="s">
        <v>150</v>
      </c>
      <c r="X81" s="16">
        <v>300</v>
      </c>
      <c r="Y81" s="16">
        <v>0</v>
      </c>
      <c r="Z81" s="16" t="s">
        <v>151</v>
      </c>
      <c r="AA81" s="16">
        <v>1500</v>
      </c>
      <c r="AB81" s="16" t="s">
        <v>374</v>
      </c>
      <c r="AC81" s="16"/>
      <c r="AD81" s="16">
        <v>900</v>
      </c>
      <c r="AE81" s="16" t="s">
        <v>151</v>
      </c>
      <c r="AF81" s="16">
        <v>0.1</v>
      </c>
      <c r="AG81" s="16">
        <v>1</v>
      </c>
      <c r="AH81" s="57" t="s">
        <v>165</v>
      </c>
      <c r="AI81" s="4" t="s">
        <v>153</v>
      </c>
      <c r="AJ81" s="16">
        <v>0.5</v>
      </c>
      <c r="AK81" s="16">
        <v>0.5</v>
      </c>
      <c r="AL81" s="16"/>
      <c r="AM81" s="16">
        <v>1</v>
      </c>
      <c r="AN81" s="16"/>
      <c r="AO81" s="16"/>
      <c r="AP81" s="16">
        <v>500</v>
      </c>
      <c r="AQ81" s="16">
        <f t="shared" si="8"/>
        <v>0.48000000000000015</v>
      </c>
      <c r="AR81" s="16"/>
      <c r="AS81" s="16"/>
      <c r="AT81" s="16"/>
      <c r="AU81" s="16">
        <v>1</v>
      </c>
      <c r="AV81" s="16"/>
      <c r="AW81" s="16">
        <v>0</v>
      </c>
      <c r="AX81" s="16">
        <v>0</v>
      </c>
      <c r="AY81" s="16">
        <v>0</v>
      </c>
      <c r="AZ81" s="16">
        <v>0</v>
      </c>
      <c r="BA81" s="16">
        <v>0</v>
      </c>
      <c r="BB81" s="16">
        <v>0</v>
      </c>
      <c r="BC81" s="16">
        <v>100</v>
      </c>
      <c r="BD81" s="10">
        <v>100</v>
      </c>
      <c r="BE81" s="16"/>
      <c r="BF81" s="10" t="s">
        <v>154</v>
      </c>
      <c r="BG81" s="10">
        <v>0</v>
      </c>
      <c r="BH81" s="16">
        <v>0</v>
      </c>
      <c r="BI81" s="16">
        <v>100</v>
      </c>
      <c r="BJ81" s="16"/>
      <c r="BK81" s="16"/>
      <c r="BL81" s="16"/>
      <c r="BM81" s="16"/>
      <c r="BN81" s="16"/>
      <c r="BO81" s="16"/>
      <c r="BP81" s="16"/>
      <c r="BQ81" s="6">
        <v>0</v>
      </c>
    </row>
    <row r="82" spans="1:69" s="6" customFormat="1">
      <c r="B82" s="16" t="s">
        <v>383</v>
      </c>
      <c r="C82" s="6" t="s">
        <v>71</v>
      </c>
      <c r="D82" s="16" t="s">
        <v>282</v>
      </c>
      <c r="E82" s="20" t="s">
        <v>384</v>
      </c>
      <c r="F82" s="24"/>
      <c r="G82" s="16" t="s">
        <v>284</v>
      </c>
      <c r="H82" s="16"/>
      <c r="I82" s="16" t="s">
        <v>285</v>
      </c>
      <c r="J82" s="16" t="s">
        <v>372</v>
      </c>
      <c r="K82" s="16"/>
      <c r="L82" s="16">
        <v>0</v>
      </c>
      <c r="M82" s="16">
        <v>0</v>
      </c>
      <c r="N82" s="16"/>
      <c r="O82" s="16" t="s">
        <v>373</v>
      </c>
      <c r="P82" s="16">
        <v>1.3</v>
      </c>
      <c r="Q82" s="16"/>
      <c r="R82" s="16">
        <v>255</v>
      </c>
      <c r="S82" s="16">
        <v>0</v>
      </c>
      <c r="T82" s="16">
        <v>200</v>
      </c>
      <c r="U82" s="16">
        <v>1.2</v>
      </c>
      <c r="V82" s="16">
        <v>2</v>
      </c>
      <c r="W82" s="16" t="s">
        <v>150</v>
      </c>
      <c r="X82" s="16">
        <v>300</v>
      </c>
      <c r="Y82" s="16">
        <v>0</v>
      </c>
      <c r="Z82" s="16" t="s">
        <v>151</v>
      </c>
      <c r="AA82" s="16">
        <v>1500</v>
      </c>
      <c r="AB82" s="16" t="s">
        <v>374</v>
      </c>
      <c r="AC82" s="16"/>
      <c r="AD82" s="16">
        <v>900</v>
      </c>
      <c r="AE82" s="16" t="s">
        <v>151</v>
      </c>
      <c r="AF82" s="16">
        <v>0.1</v>
      </c>
      <c r="AG82" s="16">
        <v>1</v>
      </c>
      <c r="AH82" s="57" t="s">
        <v>165</v>
      </c>
      <c r="AI82" s="4" t="s">
        <v>153</v>
      </c>
      <c r="AJ82" s="16">
        <v>0.5</v>
      </c>
      <c r="AK82" s="16">
        <v>0.5</v>
      </c>
      <c r="AL82" s="16"/>
      <c r="AM82" s="16">
        <v>1</v>
      </c>
      <c r="AN82" s="16"/>
      <c r="AO82" s="16"/>
      <c r="AP82" s="16">
        <v>500</v>
      </c>
      <c r="AQ82" s="16">
        <f t="shared" si="8"/>
        <v>0.40000000000000013</v>
      </c>
      <c r="AR82" s="16"/>
      <c r="AS82" s="16"/>
      <c r="AT82" s="16"/>
      <c r="AU82" s="16">
        <v>1</v>
      </c>
      <c r="AV82" s="16"/>
      <c r="AW82" s="16">
        <v>0</v>
      </c>
      <c r="AX82" s="16">
        <v>0</v>
      </c>
      <c r="AY82" s="16">
        <v>0</v>
      </c>
      <c r="AZ82" s="16">
        <v>0</v>
      </c>
      <c r="BA82" s="16">
        <v>0</v>
      </c>
      <c r="BB82" s="16">
        <v>0</v>
      </c>
      <c r="BC82" s="16">
        <v>100</v>
      </c>
      <c r="BD82" s="10">
        <v>100</v>
      </c>
      <c r="BE82" s="16"/>
      <c r="BF82" s="10" t="s">
        <v>154</v>
      </c>
      <c r="BG82" s="10">
        <v>0</v>
      </c>
      <c r="BH82" s="16">
        <v>0</v>
      </c>
      <c r="BI82" s="16">
        <v>100</v>
      </c>
      <c r="BJ82" s="16"/>
      <c r="BK82" s="16"/>
      <c r="BL82" s="16"/>
      <c r="BM82" s="16"/>
      <c r="BN82" s="16"/>
      <c r="BO82" s="16"/>
      <c r="BP82" s="16"/>
      <c r="BQ82" s="6">
        <v>0</v>
      </c>
    </row>
    <row r="83" spans="1:69" s="6" customFormat="1">
      <c r="B83" s="16" t="s">
        <v>385</v>
      </c>
      <c r="C83" s="6" t="s">
        <v>71</v>
      </c>
      <c r="D83" s="16" t="s">
        <v>282</v>
      </c>
      <c r="E83" s="20" t="s">
        <v>386</v>
      </c>
      <c r="F83" s="24"/>
      <c r="G83" s="16" t="s">
        <v>284</v>
      </c>
      <c r="H83" s="16"/>
      <c r="I83" s="16" t="s">
        <v>285</v>
      </c>
      <c r="J83" s="16" t="s">
        <v>372</v>
      </c>
      <c r="K83" s="16"/>
      <c r="L83" s="16">
        <v>0</v>
      </c>
      <c r="M83" s="16">
        <v>0</v>
      </c>
      <c r="N83" s="16"/>
      <c r="O83" s="16" t="s">
        <v>373</v>
      </c>
      <c r="P83" s="16">
        <v>1.3</v>
      </c>
      <c r="Q83" s="16"/>
      <c r="R83" s="16">
        <v>255</v>
      </c>
      <c r="S83" s="16">
        <v>0</v>
      </c>
      <c r="T83" s="16">
        <v>200</v>
      </c>
      <c r="U83" s="16">
        <v>1.2</v>
      </c>
      <c r="V83" s="16">
        <v>2</v>
      </c>
      <c r="W83" s="16" t="s">
        <v>150</v>
      </c>
      <c r="X83" s="16">
        <v>300</v>
      </c>
      <c r="Y83" s="16">
        <v>0</v>
      </c>
      <c r="Z83" s="16" t="s">
        <v>151</v>
      </c>
      <c r="AA83" s="16">
        <v>1500</v>
      </c>
      <c r="AB83" s="16" t="s">
        <v>374</v>
      </c>
      <c r="AC83" s="16"/>
      <c r="AD83" s="16">
        <v>900</v>
      </c>
      <c r="AE83" s="16" t="s">
        <v>151</v>
      </c>
      <c r="AF83" s="16">
        <v>0.1</v>
      </c>
      <c r="AG83" s="16">
        <v>1</v>
      </c>
      <c r="AH83" s="57" t="s">
        <v>165</v>
      </c>
      <c r="AI83" s="4" t="s">
        <v>153</v>
      </c>
      <c r="AJ83" s="16">
        <v>0.5</v>
      </c>
      <c r="AK83" s="16">
        <v>0.5</v>
      </c>
      <c r="AL83" s="16"/>
      <c r="AM83" s="16">
        <v>1</v>
      </c>
      <c r="AN83" s="16"/>
      <c r="AO83" s="16"/>
      <c r="AP83" s="16">
        <v>500</v>
      </c>
      <c r="AQ83" s="16">
        <f t="shared" si="8"/>
        <v>0.32000000000000012</v>
      </c>
      <c r="AR83" s="16"/>
      <c r="AS83" s="16"/>
      <c r="AT83" s="16"/>
      <c r="AU83" s="16">
        <v>1</v>
      </c>
      <c r="AV83" s="16"/>
      <c r="AW83" s="16">
        <v>0</v>
      </c>
      <c r="AX83" s="16">
        <v>0</v>
      </c>
      <c r="AY83" s="16">
        <v>0</v>
      </c>
      <c r="AZ83" s="16">
        <v>0</v>
      </c>
      <c r="BA83" s="16">
        <v>0</v>
      </c>
      <c r="BB83" s="16">
        <v>0</v>
      </c>
      <c r="BC83" s="16">
        <v>100</v>
      </c>
      <c r="BD83" s="10">
        <v>100</v>
      </c>
      <c r="BE83" s="16"/>
      <c r="BF83" s="10" t="s">
        <v>154</v>
      </c>
      <c r="BG83" s="10">
        <v>0</v>
      </c>
      <c r="BH83" s="16">
        <v>0</v>
      </c>
      <c r="BI83" s="16">
        <v>100</v>
      </c>
      <c r="BJ83" s="16"/>
      <c r="BK83" s="16"/>
      <c r="BL83" s="16"/>
      <c r="BM83" s="16"/>
      <c r="BN83" s="16"/>
      <c r="BO83" s="16"/>
      <c r="BP83" s="16"/>
      <c r="BQ83" s="6">
        <v>0</v>
      </c>
    </row>
    <row r="84" spans="1:69" s="6" customFormat="1">
      <c r="B84" s="16" t="s">
        <v>387</v>
      </c>
      <c r="C84" s="6" t="s">
        <v>71</v>
      </c>
      <c r="D84" s="16" t="s">
        <v>282</v>
      </c>
      <c r="E84" s="20" t="s">
        <v>388</v>
      </c>
      <c r="F84" s="24"/>
      <c r="G84" s="16" t="s">
        <v>284</v>
      </c>
      <c r="H84" s="16"/>
      <c r="I84" s="16" t="s">
        <v>285</v>
      </c>
      <c r="J84" s="16" t="s">
        <v>372</v>
      </c>
      <c r="K84" s="16"/>
      <c r="L84" s="16">
        <v>0</v>
      </c>
      <c r="M84" s="16">
        <v>0</v>
      </c>
      <c r="N84" s="16"/>
      <c r="O84" s="16" t="s">
        <v>373</v>
      </c>
      <c r="P84" s="16">
        <v>1.3</v>
      </c>
      <c r="Q84" s="16"/>
      <c r="R84" s="16">
        <v>255</v>
      </c>
      <c r="S84" s="16">
        <v>0</v>
      </c>
      <c r="T84" s="16">
        <v>200</v>
      </c>
      <c r="U84" s="16">
        <v>1.2</v>
      </c>
      <c r="V84" s="16">
        <v>2</v>
      </c>
      <c r="W84" s="16" t="s">
        <v>150</v>
      </c>
      <c r="X84" s="16">
        <v>300</v>
      </c>
      <c r="Y84" s="16">
        <v>0</v>
      </c>
      <c r="Z84" s="16" t="s">
        <v>151</v>
      </c>
      <c r="AA84" s="16">
        <v>1500</v>
      </c>
      <c r="AB84" s="16" t="s">
        <v>374</v>
      </c>
      <c r="AC84" s="16"/>
      <c r="AD84" s="16">
        <v>900</v>
      </c>
      <c r="AE84" s="16" t="s">
        <v>151</v>
      </c>
      <c r="AF84" s="16">
        <v>0.1</v>
      </c>
      <c r="AG84" s="16">
        <v>1</v>
      </c>
      <c r="AH84" s="57" t="s">
        <v>165</v>
      </c>
      <c r="AI84" s="4" t="s">
        <v>153</v>
      </c>
      <c r="AJ84" s="16">
        <v>0.5</v>
      </c>
      <c r="AK84" s="16">
        <v>0.5</v>
      </c>
      <c r="AL84" s="16"/>
      <c r="AM84" s="16">
        <v>1</v>
      </c>
      <c r="AN84" s="16"/>
      <c r="AO84" s="16"/>
      <c r="AP84" s="16">
        <v>500</v>
      </c>
      <c r="AQ84" s="16">
        <f t="shared" si="8"/>
        <v>0.2400000000000001</v>
      </c>
      <c r="AR84" s="16"/>
      <c r="AS84" s="16"/>
      <c r="AT84" s="16"/>
      <c r="AU84" s="16">
        <v>1</v>
      </c>
      <c r="AV84" s="16"/>
      <c r="AW84" s="16">
        <v>0</v>
      </c>
      <c r="AX84" s="16">
        <v>0</v>
      </c>
      <c r="AY84" s="16">
        <v>0</v>
      </c>
      <c r="AZ84" s="16">
        <v>0</v>
      </c>
      <c r="BA84" s="16">
        <v>0</v>
      </c>
      <c r="BB84" s="16">
        <v>0</v>
      </c>
      <c r="BC84" s="16">
        <v>100</v>
      </c>
      <c r="BD84" s="10">
        <v>100</v>
      </c>
      <c r="BE84" s="16"/>
      <c r="BF84" s="10" t="s">
        <v>154</v>
      </c>
      <c r="BG84" s="10">
        <v>0</v>
      </c>
      <c r="BH84" s="16">
        <v>0</v>
      </c>
      <c r="BI84" s="16">
        <v>100</v>
      </c>
      <c r="BJ84" s="16"/>
      <c r="BK84" s="16"/>
      <c r="BL84" s="16"/>
      <c r="BM84" s="16"/>
      <c r="BN84" s="16"/>
      <c r="BO84" s="16"/>
      <c r="BP84" s="16"/>
      <c r="BQ84" s="6">
        <v>0</v>
      </c>
    </row>
    <row r="85" spans="1:69" s="6" customFormat="1">
      <c r="B85" s="16" t="s">
        <v>389</v>
      </c>
      <c r="C85" s="6" t="s">
        <v>71</v>
      </c>
      <c r="D85" s="16" t="s">
        <v>282</v>
      </c>
      <c r="E85" s="20" t="s">
        <v>390</v>
      </c>
      <c r="F85" s="24"/>
      <c r="G85" s="16" t="s">
        <v>284</v>
      </c>
      <c r="H85" s="16"/>
      <c r="I85" s="16" t="s">
        <v>285</v>
      </c>
      <c r="J85" s="16" t="s">
        <v>372</v>
      </c>
      <c r="K85" s="16"/>
      <c r="L85" s="16">
        <v>0</v>
      </c>
      <c r="M85" s="16">
        <v>0</v>
      </c>
      <c r="N85" s="16"/>
      <c r="O85" s="16" t="s">
        <v>373</v>
      </c>
      <c r="P85" s="16">
        <v>1.3</v>
      </c>
      <c r="Q85" s="16"/>
      <c r="R85" s="16">
        <v>255</v>
      </c>
      <c r="S85" s="16">
        <v>0</v>
      </c>
      <c r="T85" s="16">
        <v>200</v>
      </c>
      <c r="U85" s="16">
        <v>1.2</v>
      </c>
      <c r="V85" s="16">
        <v>2</v>
      </c>
      <c r="W85" s="16" t="s">
        <v>150</v>
      </c>
      <c r="X85" s="16">
        <v>300</v>
      </c>
      <c r="Y85" s="16">
        <v>0</v>
      </c>
      <c r="Z85" s="16" t="s">
        <v>151</v>
      </c>
      <c r="AA85" s="16">
        <v>1500</v>
      </c>
      <c r="AB85" s="16" t="s">
        <v>374</v>
      </c>
      <c r="AC85" s="16"/>
      <c r="AD85" s="16">
        <v>900</v>
      </c>
      <c r="AE85" s="16" t="s">
        <v>151</v>
      </c>
      <c r="AF85" s="16">
        <v>0.1</v>
      </c>
      <c r="AG85" s="16">
        <v>1</v>
      </c>
      <c r="AH85" s="57" t="s">
        <v>165</v>
      </c>
      <c r="AI85" s="4" t="s">
        <v>153</v>
      </c>
      <c r="AJ85" s="16">
        <v>0.5</v>
      </c>
      <c r="AK85" s="16">
        <v>0.5</v>
      </c>
      <c r="AL85" s="16"/>
      <c r="AM85" s="16">
        <v>1</v>
      </c>
      <c r="AN85" s="16"/>
      <c r="AO85" s="16"/>
      <c r="AP85" s="16">
        <v>500</v>
      </c>
      <c r="AQ85" s="16">
        <f t="shared" si="8"/>
        <v>0.16000000000000009</v>
      </c>
      <c r="AR85" s="16"/>
      <c r="AS85" s="16"/>
      <c r="AT85" s="16"/>
      <c r="AU85" s="16">
        <v>1</v>
      </c>
      <c r="AV85" s="16"/>
      <c r="AW85" s="16">
        <v>0</v>
      </c>
      <c r="AX85" s="16">
        <v>0</v>
      </c>
      <c r="AY85" s="16">
        <v>0</v>
      </c>
      <c r="AZ85" s="16">
        <v>0</v>
      </c>
      <c r="BA85" s="16">
        <v>0</v>
      </c>
      <c r="BB85" s="16">
        <v>0</v>
      </c>
      <c r="BC85" s="16">
        <v>100</v>
      </c>
      <c r="BD85" s="10">
        <v>100</v>
      </c>
      <c r="BE85" s="16"/>
      <c r="BF85" s="10" t="s">
        <v>154</v>
      </c>
      <c r="BG85" s="10">
        <v>0</v>
      </c>
      <c r="BH85" s="16">
        <v>0</v>
      </c>
      <c r="BI85" s="16">
        <v>100</v>
      </c>
      <c r="BJ85" s="16"/>
      <c r="BK85" s="16"/>
      <c r="BL85" s="16"/>
      <c r="BM85" s="16"/>
      <c r="BN85" s="16"/>
      <c r="BO85" s="16"/>
      <c r="BP85" s="16"/>
      <c r="BQ85" s="6">
        <v>0</v>
      </c>
    </row>
    <row r="86" spans="1:69" s="5" customFormat="1">
      <c r="A86" s="6"/>
      <c r="B86" s="16" t="s">
        <v>391</v>
      </c>
      <c r="C86" s="5" t="s">
        <v>71</v>
      </c>
      <c r="D86" s="10" t="s">
        <v>142</v>
      </c>
      <c r="E86" s="32" t="s">
        <v>392</v>
      </c>
      <c r="F86" s="24"/>
      <c r="G86" s="10" t="s">
        <v>393</v>
      </c>
      <c r="H86" s="10" t="s">
        <v>394</v>
      </c>
      <c r="I86" s="10" t="s">
        <v>145</v>
      </c>
      <c r="J86" s="12" t="s">
        <v>395</v>
      </c>
      <c r="K86" s="10"/>
      <c r="L86" s="10">
        <v>0</v>
      </c>
      <c r="M86" s="10">
        <v>0</v>
      </c>
      <c r="N86" s="10"/>
      <c r="O86" s="10" t="s">
        <v>396</v>
      </c>
      <c r="P86" s="10">
        <v>2.1</v>
      </c>
      <c r="Q86" s="10"/>
      <c r="R86" s="10"/>
      <c r="S86" s="10"/>
      <c r="T86" s="10"/>
      <c r="U86" s="10">
        <v>4</v>
      </c>
      <c r="V86" s="10">
        <v>8</v>
      </c>
      <c r="W86" s="16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6">
        <v>0.8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1:69" s="5" customFormat="1">
      <c r="A87" s="6"/>
      <c r="B87" s="16" t="s">
        <v>397</v>
      </c>
      <c r="C87" s="5" t="s">
        <v>71</v>
      </c>
      <c r="D87" s="10" t="s">
        <v>142</v>
      </c>
      <c r="E87" t="s">
        <v>398</v>
      </c>
      <c r="F87" s="24"/>
      <c r="G87" s="10" t="s">
        <v>393</v>
      </c>
      <c r="H87" s="10" t="s">
        <v>394</v>
      </c>
      <c r="I87" s="10" t="s">
        <v>145</v>
      </c>
      <c r="J87" s="12" t="s">
        <v>399</v>
      </c>
      <c r="K87" s="10"/>
      <c r="L87" s="10">
        <v>0</v>
      </c>
      <c r="M87" s="10">
        <v>0</v>
      </c>
      <c r="N87" s="10"/>
      <c r="O87" s="10" t="s">
        <v>400</v>
      </c>
      <c r="P87" s="10">
        <v>1.8</v>
      </c>
      <c r="Q87" s="10"/>
      <c r="R87" s="10"/>
      <c r="S87" s="10"/>
      <c r="T87" s="10"/>
      <c r="U87" s="10">
        <v>4</v>
      </c>
      <c r="V87" s="10">
        <v>8</v>
      </c>
      <c r="W87" s="16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6">
        <f t="shared" ref="AQ87:AQ93" si="9">AQ86-0.08</f>
        <v>0.72000000000000008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1:69" s="5" customFormat="1">
      <c r="A88" s="6"/>
      <c r="B88" s="16" t="s">
        <v>401</v>
      </c>
      <c r="C88" s="5" t="s">
        <v>71</v>
      </c>
      <c r="D88" s="10" t="s">
        <v>142</v>
      </c>
      <c r="E88" t="s">
        <v>402</v>
      </c>
      <c r="F88" s="24"/>
      <c r="G88" s="10" t="s">
        <v>393</v>
      </c>
      <c r="H88" s="10" t="s">
        <v>394</v>
      </c>
      <c r="I88" s="10" t="s">
        <v>145</v>
      </c>
      <c r="J88" s="12" t="s">
        <v>403</v>
      </c>
      <c r="K88" s="10"/>
      <c r="L88" s="10">
        <v>0</v>
      </c>
      <c r="M88" s="10">
        <v>0</v>
      </c>
      <c r="N88" s="10"/>
      <c r="O88" s="10" t="s">
        <v>404</v>
      </c>
      <c r="P88" s="10">
        <v>2.31</v>
      </c>
      <c r="Q88" s="10"/>
      <c r="R88" s="10"/>
      <c r="S88" s="10"/>
      <c r="T88" s="10"/>
      <c r="U88" s="10">
        <v>4</v>
      </c>
      <c r="V88" s="10">
        <v>8</v>
      </c>
      <c r="W88" s="16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6">
        <f t="shared" si="9"/>
        <v>0.64000000000000012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1:69" s="5" customFormat="1">
      <c r="B89" s="16" t="s">
        <v>405</v>
      </c>
      <c r="C89" s="5" t="s">
        <v>71</v>
      </c>
      <c r="D89" s="10" t="s">
        <v>142</v>
      </c>
      <c r="E89" t="s">
        <v>406</v>
      </c>
      <c r="F89" s="24"/>
      <c r="G89" s="10" t="s">
        <v>393</v>
      </c>
      <c r="H89" s="10" t="s">
        <v>394</v>
      </c>
      <c r="I89" s="10" t="s">
        <v>145</v>
      </c>
      <c r="J89" s="12" t="s">
        <v>407</v>
      </c>
      <c r="K89" s="10"/>
      <c r="L89" s="10">
        <v>0</v>
      </c>
      <c r="M89" s="10">
        <v>0</v>
      </c>
      <c r="N89" s="10"/>
      <c r="O89" s="10" t="s">
        <v>408</v>
      </c>
      <c r="P89" s="10">
        <v>2.5</v>
      </c>
      <c r="Q89" s="10"/>
      <c r="R89" s="10"/>
      <c r="S89" s="10"/>
      <c r="T89" s="10"/>
      <c r="U89" s="10">
        <v>4</v>
      </c>
      <c r="V89" s="10">
        <v>8</v>
      </c>
      <c r="W89" s="16" t="s">
        <v>150</v>
      </c>
      <c r="X89" s="10">
        <v>450</v>
      </c>
      <c r="Y89" s="10">
        <v>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6">
        <f t="shared" si="9"/>
        <v>0.56000000000000016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1:69" s="5" customFormat="1">
      <c r="B90" s="16" t="s">
        <v>409</v>
      </c>
      <c r="C90" s="5" t="s">
        <v>71</v>
      </c>
      <c r="D90" s="10" t="s">
        <v>142</v>
      </c>
      <c r="E90" t="s">
        <v>410</v>
      </c>
      <c r="F90" s="24"/>
      <c r="G90" s="10" t="s">
        <v>393</v>
      </c>
      <c r="H90" s="10" t="s">
        <v>394</v>
      </c>
      <c r="I90" s="10" t="s">
        <v>145</v>
      </c>
      <c r="J90" s="12" t="s">
        <v>411</v>
      </c>
      <c r="K90" s="10"/>
      <c r="L90" s="10">
        <v>0</v>
      </c>
      <c r="M90" s="10">
        <v>0</v>
      </c>
      <c r="N90" s="10"/>
      <c r="O90" s="10" t="s">
        <v>412</v>
      </c>
      <c r="P90" s="10">
        <v>1.96</v>
      </c>
      <c r="Q90" s="10"/>
      <c r="R90" s="10"/>
      <c r="S90" s="10"/>
      <c r="T90" s="10"/>
      <c r="U90" s="10">
        <v>4</v>
      </c>
      <c r="V90" s="10">
        <v>8</v>
      </c>
      <c r="W90" s="16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250</v>
      </c>
      <c r="AQ90" s="16">
        <f t="shared" si="9"/>
        <v>0.48000000000000015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1:69" s="5" customFormat="1">
      <c r="B91" s="16" t="s">
        <v>413</v>
      </c>
      <c r="C91" s="5" t="s">
        <v>71</v>
      </c>
      <c r="D91" s="10" t="s">
        <v>142</v>
      </c>
      <c r="E91" s="33" t="s">
        <v>414</v>
      </c>
      <c r="F91" s="24"/>
      <c r="G91" s="10" t="s">
        <v>393</v>
      </c>
      <c r="H91" s="10" t="s">
        <v>394</v>
      </c>
      <c r="I91" s="10" t="s">
        <v>145</v>
      </c>
      <c r="J91" s="12" t="s">
        <v>415</v>
      </c>
      <c r="K91" s="10"/>
      <c r="L91" s="10">
        <v>0</v>
      </c>
      <c r="M91" s="10">
        <v>0</v>
      </c>
      <c r="N91" s="10"/>
      <c r="O91" s="10" t="s">
        <v>416</v>
      </c>
      <c r="P91" s="10">
        <v>2.8</v>
      </c>
      <c r="Q91" s="10"/>
      <c r="R91" s="10"/>
      <c r="S91" s="10"/>
      <c r="T91" s="10"/>
      <c r="U91" s="10">
        <v>4</v>
      </c>
      <c r="V91" s="10">
        <v>8</v>
      </c>
      <c r="W91" s="16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6" t="s">
        <v>417</v>
      </c>
      <c r="AC91" s="10"/>
      <c r="AD91" s="16">
        <v>900</v>
      </c>
      <c r="AE91" s="16" t="s">
        <v>151</v>
      </c>
      <c r="AF91" s="16">
        <v>0.1</v>
      </c>
      <c r="AG91" s="16">
        <v>1</v>
      </c>
      <c r="AH91" s="57" t="s">
        <v>165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600</v>
      </c>
      <c r="AQ91" s="16">
        <f t="shared" si="9"/>
        <v>0.40000000000000013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1:69" s="5" customFormat="1">
      <c r="B92" s="16" t="s">
        <v>418</v>
      </c>
      <c r="C92" s="5" t="s">
        <v>71</v>
      </c>
      <c r="D92" s="10" t="s">
        <v>142</v>
      </c>
      <c r="E92" t="s">
        <v>419</v>
      </c>
      <c r="F92" s="24"/>
      <c r="G92" s="10" t="s">
        <v>393</v>
      </c>
      <c r="H92" s="10" t="s">
        <v>394</v>
      </c>
      <c r="I92" s="10" t="s">
        <v>145</v>
      </c>
      <c r="J92" s="10" t="s">
        <v>420</v>
      </c>
      <c r="K92" s="10"/>
      <c r="L92" s="10">
        <v>0</v>
      </c>
      <c r="M92" s="10">
        <v>0</v>
      </c>
      <c r="N92" s="10"/>
      <c r="O92" s="10" t="s">
        <v>218</v>
      </c>
      <c r="P92" s="10">
        <v>2.31</v>
      </c>
      <c r="Q92" s="10"/>
      <c r="R92" s="10"/>
      <c r="S92" s="10"/>
      <c r="T92" s="10"/>
      <c r="U92" s="10">
        <v>4</v>
      </c>
      <c r="V92" s="10">
        <v>8</v>
      </c>
      <c r="W92" s="16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6">
        <f t="shared" si="9"/>
        <v>0.32000000000000012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1:69" s="5" customFormat="1">
      <c r="B93" s="16" t="s">
        <v>421</v>
      </c>
      <c r="C93" s="5" t="s">
        <v>71</v>
      </c>
      <c r="D93" s="10" t="s">
        <v>142</v>
      </c>
      <c r="E93" s="33" t="s">
        <v>422</v>
      </c>
      <c r="F93" s="24"/>
      <c r="G93" s="10" t="s">
        <v>393</v>
      </c>
      <c r="H93" s="10" t="s">
        <v>394</v>
      </c>
      <c r="I93" s="10" t="s">
        <v>145</v>
      </c>
      <c r="J93" s="10" t="s">
        <v>423</v>
      </c>
      <c r="K93" s="10"/>
      <c r="L93" s="10">
        <v>0</v>
      </c>
      <c r="M93" s="10">
        <v>0</v>
      </c>
      <c r="N93" s="10"/>
      <c r="O93" s="10" t="s">
        <v>424</v>
      </c>
      <c r="P93" s="10">
        <v>1.6</v>
      </c>
      <c r="Q93" s="10"/>
      <c r="R93" s="10"/>
      <c r="S93" s="10"/>
      <c r="T93" s="10"/>
      <c r="U93" s="10">
        <v>4</v>
      </c>
      <c r="V93" s="10">
        <v>8</v>
      </c>
      <c r="W93" s="16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 t="s">
        <v>425</v>
      </c>
      <c r="AC93" s="10"/>
      <c r="AD93" s="16">
        <v>900</v>
      </c>
      <c r="AE93" s="16" t="s">
        <v>151</v>
      </c>
      <c r="AF93" s="16">
        <v>0.1</v>
      </c>
      <c r="AG93" s="16">
        <v>1</v>
      </c>
      <c r="AH93" s="57" t="s">
        <v>165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600</v>
      </c>
      <c r="AQ93" s="16">
        <f t="shared" si="9"/>
        <v>0.2400000000000001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1:69" s="5" customFormat="1">
      <c r="B94" s="16" t="s">
        <v>426</v>
      </c>
      <c r="C94" s="5" t="s">
        <v>71</v>
      </c>
      <c r="D94" s="10" t="s">
        <v>142</v>
      </c>
      <c r="E94" t="s">
        <v>427</v>
      </c>
      <c r="F94" s="24"/>
      <c r="G94" s="10" t="s">
        <v>393</v>
      </c>
      <c r="H94" s="10" t="s">
        <v>394</v>
      </c>
      <c r="I94" s="10" t="s">
        <v>145</v>
      </c>
      <c r="J94" s="10" t="s">
        <v>423</v>
      </c>
      <c r="K94" s="10"/>
      <c r="L94" s="10">
        <v>0</v>
      </c>
      <c r="M94" s="10">
        <v>0</v>
      </c>
      <c r="N94" s="10"/>
      <c r="O94" s="10" t="s">
        <v>428</v>
      </c>
      <c r="P94" s="10">
        <v>1.5</v>
      </c>
      <c r="Q94" s="10"/>
      <c r="R94" s="10"/>
      <c r="S94" s="10"/>
      <c r="T94" s="10"/>
      <c r="U94" s="10">
        <v>4</v>
      </c>
      <c r="V94" s="10">
        <v>8</v>
      </c>
      <c r="W94" s="16" t="s">
        <v>429</v>
      </c>
      <c r="X94" s="10">
        <v>450</v>
      </c>
      <c r="Y94" s="10">
        <v>1500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1000</v>
      </c>
      <c r="AQ94" s="10">
        <v>0.15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1:69" s="5" customFormat="1">
      <c r="B95" s="16" t="s">
        <v>430</v>
      </c>
      <c r="C95" s="5" t="s">
        <v>71</v>
      </c>
      <c r="D95" s="10" t="s">
        <v>142</v>
      </c>
      <c r="E95" s="66" t="s">
        <v>1239</v>
      </c>
      <c r="F95" s="24"/>
      <c r="G95" s="10" t="s">
        <v>393</v>
      </c>
      <c r="H95" s="10" t="s">
        <v>394</v>
      </c>
      <c r="I95" s="10" t="s">
        <v>145</v>
      </c>
      <c r="J95" s="65" t="s">
        <v>1241</v>
      </c>
      <c r="K95" s="10"/>
      <c r="L95" s="10">
        <v>0</v>
      </c>
      <c r="M95" s="10">
        <v>0</v>
      </c>
      <c r="N95" s="10"/>
      <c r="O95" s="10" t="s">
        <v>1242</v>
      </c>
      <c r="P95" s="10">
        <v>0.8</v>
      </c>
      <c r="Q95" s="10"/>
      <c r="R95" s="10"/>
      <c r="S95" s="10"/>
      <c r="T95" s="10"/>
      <c r="U95" s="10">
        <v>4</v>
      </c>
      <c r="V95" s="10">
        <v>8</v>
      </c>
      <c r="W95" s="16" t="s">
        <v>429</v>
      </c>
      <c r="X95" s="10">
        <v>450</v>
      </c>
      <c r="Y95" s="10">
        <v>1500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>
        <v>0.01</v>
      </c>
      <c r="AM95" s="10">
        <v>1</v>
      </c>
      <c r="AN95" s="10"/>
      <c r="AO95" s="10"/>
      <c r="AP95" s="10">
        <v>1000</v>
      </c>
      <c r="AQ95" s="10">
        <v>0.15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1:69" s="5" customFormat="1">
      <c r="B96" s="16" t="s">
        <v>431</v>
      </c>
      <c r="C96" s="5" t="s">
        <v>71</v>
      </c>
      <c r="D96" s="10" t="s">
        <v>142</v>
      </c>
      <c r="E96" t="s">
        <v>432</v>
      </c>
      <c r="F96" s="24"/>
      <c r="G96" s="10" t="s">
        <v>393</v>
      </c>
      <c r="H96" s="10" t="s">
        <v>394</v>
      </c>
      <c r="I96" s="10" t="s">
        <v>145</v>
      </c>
      <c r="J96" s="65" t="s">
        <v>1240</v>
      </c>
      <c r="K96" s="10"/>
      <c r="L96" s="10">
        <v>0</v>
      </c>
      <c r="M96" s="10">
        <v>0</v>
      </c>
      <c r="N96" s="10"/>
      <c r="O96" s="10" t="s">
        <v>433</v>
      </c>
      <c r="P96" s="10">
        <v>2</v>
      </c>
      <c r="Q96" s="10"/>
      <c r="R96" s="10"/>
      <c r="S96" s="10"/>
      <c r="T96" s="10"/>
      <c r="U96" s="10">
        <v>3</v>
      </c>
      <c r="V96" s="10">
        <v>8</v>
      </c>
      <c r="W96" s="10" t="s">
        <v>429</v>
      </c>
      <c r="X96" s="10">
        <v>450</v>
      </c>
      <c r="Y96" s="10">
        <v>1464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>
        <v>0.01</v>
      </c>
      <c r="AM96" s="10">
        <v>1</v>
      </c>
      <c r="AN96" s="10"/>
      <c r="AO96" s="10"/>
      <c r="AP96" s="10">
        <v>250</v>
      </c>
      <c r="AQ96" s="10">
        <v>0.5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69" s="5" customFormat="1">
      <c r="B97" s="16" t="s">
        <v>434</v>
      </c>
      <c r="C97" s="5" t="s">
        <v>71</v>
      </c>
      <c r="D97" s="10" t="s">
        <v>142</v>
      </c>
      <c r="E97" t="s">
        <v>435</v>
      </c>
      <c r="F97" s="24"/>
      <c r="G97" s="10" t="s">
        <v>393</v>
      </c>
      <c r="H97" s="10" t="s">
        <v>394</v>
      </c>
      <c r="I97" s="10" t="s">
        <v>145</v>
      </c>
      <c r="J97" s="10" t="s">
        <v>436</v>
      </c>
      <c r="K97" s="10"/>
      <c r="L97" s="10">
        <v>0</v>
      </c>
      <c r="M97" s="10">
        <v>0</v>
      </c>
      <c r="N97" s="10"/>
      <c r="O97" s="10" t="s">
        <v>437</v>
      </c>
      <c r="P97" s="10">
        <v>1.3</v>
      </c>
      <c r="Q97" s="10"/>
      <c r="R97" s="10"/>
      <c r="S97" s="10"/>
      <c r="T97" s="10"/>
      <c r="U97" s="10">
        <v>2.5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>
        <v>0.01</v>
      </c>
      <c r="AM97" s="10">
        <v>1</v>
      </c>
      <c r="AN97" s="10"/>
      <c r="AO97" s="10"/>
      <c r="AP97" s="10">
        <v>250</v>
      </c>
      <c r="AQ97" s="10">
        <v>0.5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69" s="5" customFormat="1">
      <c r="B98" s="16" t="s">
        <v>438</v>
      </c>
      <c r="C98" s="5" t="s">
        <v>71</v>
      </c>
      <c r="D98" s="10" t="s">
        <v>142</v>
      </c>
      <c r="E98" t="s">
        <v>439</v>
      </c>
      <c r="F98" s="24"/>
      <c r="G98" s="10" t="s">
        <v>393</v>
      </c>
      <c r="H98" s="10" t="s">
        <v>394</v>
      </c>
      <c r="I98" s="10" t="s">
        <v>145</v>
      </c>
      <c r="J98" s="10" t="s">
        <v>440</v>
      </c>
      <c r="K98" s="10"/>
      <c r="L98" s="10">
        <v>0</v>
      </c>
      <c r="M98" s="10">
        <v>0</v>
      </c>
      <c r="N98" s="10"/>
      <c r="O98" s="10" t="s">
        <v>441</v>
      </c>
      <c r="P98" s="10">
        <v>1.8</v>
      </c>
      <c r="Q98" s="10"/>
      <c r="R98" s="10"/>
      <c r="S98" s="10"/>
      <c r="T98" s="10"/>
      <c r="U98" s="10">
        <v>2.5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>
        <v>0.01</v>
      </c>
      <c r="AM98" s="10">
        <v>1</v>
      </c>
      <c r="AN98" s="10"/>
      <c r="AO98" s="10"/>
      <c r="AP98" s="10">
        <v>250</v>
      </c>
      <c r="AQ98" s="10">
        <v>0.5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69" s="5" customFormat="1">
      <c r="B99" s="16" t="s">
        <v>442</v>
      </c>
      <c r="C99" s="5" t="s">
        <v>71</v>
      </c>
      <c r="D99" s="10" t="s">
        <v>142</v>
      </c>
      <c r="E99" t="s">
        <v>443</v>
      </c>
      <c r="F99" s="24"/>
      <c r="G99" s="10" t="s">
        <v>393</v>
      </c>
      <c r="H99" s="10" t="s">
        <v>394</v>
      </c>
      <c r="I99" s="10" t="s">
        <v>145</v>
      </c>
      <c r="J99" s="10" t="s">
        <v>444</v>
      </c>
      <c r="K99" s="10"/>
      <c r="L99" s="10">
        <v>0</v>
      </c>
      <c r="M99" s="10">
        <v>0</v>
      </c>
      <c r="N99" s="10"/>
      <c r="O99" s="10" t="s">
        <v>445</v>
      </c>
      <c r="P99" s="10">
        <v>1.8</v>
      </c>
      <c r="Q99" s="10"/>
      <c r="R99" s="10"/>
      <c r="S99" s="10"/>
      <c r="T99" s="10"/>
      <c r="U99" s="10">
        <v>2.5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>
        <v>0.01</v>
      </c>
      <c r="AM99" s="10">
        <v>1</v>
      </c>
      <c r="AN99" s="10"/>
      <c r="AO99" s="10"/>
      <c r="AP99" s="10">
        <v>250</v>
      </c>
      <c r="AQ99" s="10">
        <v>0.5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69" s="5" customFormat="1">
      <c r="B100" s="16" t="s">
        <v>446</v>
      </c>
      <c r="C100" s="5" t="s">
        <v>71</v>
      </c>
      <c r="D100" s="10" t="s">
        <v>142</v>
      </c>
      <c r="E100" t="s">
        <v>447</v>
      </c>
      <c r="F100" s="24"/>
      <c r="G100" s="10" t="s">
        <v>393</v>
      </c>
      <c r="H100" s="10" t="s">
        <v>394</v>
      </c>
      <c r="I100" s="10" t="s">
        <v>145</v>
      </c>
      <c r="J100" s="10" t="s">
        <v>448</v>
      </c>
      <c r="K100" s="10"/>
      <c r="L100" s="10">
        <v>0</v>
      </c>
      <c r="M100" s="10">
        <v>0</v>
      </c>
      <c r="N100" s="10"/>
      <c r="O100" s="10" t="s">
        <v>449</v>
      </c>
      <c r="P100" s="10">
        <v>1.5</v>
      </c>
      <c r="Q100" s="10"/>
      <c r="R100" s="10"/>
      <c r="S100" s="10"/>
      <c r="T100" s="10"/>
      <c r="U100" s="10">
        <v>2.5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>
        <v>0.01</v>
      </c>
      <c r="AM100" s="10">
        <v>1</v>
      </c>
      <c r="AN100" s="10"/>
      <c r="AO100" s="10"/>
      <c r="AP100" s="10">
        <v>250</v>
      </c>
      <c r="AQ100" s="10">
        <v>0.5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69" s="5" customFormat="1" ht="15" customHeight="1">
      <c r="B101" s="16" t="s">
        <v>450</v>
      </c>
      <c r="C101" s="5" t="s">
        <v>71</v>
      </c>
      <c r="D101" s="10" t="s">
        <v>142</v>
      </c>
      <c r="E101" t="s">
        <v>451</v>
      </c>
      <c r="F101" s="34"/>
      <c r="G101" s="10" t="s">
        <v>393</v>
      </c>
      <c r="H101" s="10" t="s">
        <v>394</v>
      </c>
      <c r="I101" s="10" t="s">
        <v>145</v>
      </c>
      <c r="J101" s="10" t="s">
        <v>452</v>
      </c>
      <c r="K101" s="10"/>
      <c r="L101" s="10">
        <v>0</v>
      </c>
      <c r="M101" s="10">
        <v>0</v>
      </c>
      <c r="N101" s="10"/>
      <c r="O101" s="10" t="s">
        <v>453</v>
      </c>
      <c r="P101" s="10">
        <v>2.4</v>
      </c>
      <c r="Q101" s="10"/>
      <c r="R101" s="10"/>
      <c r="S101" s="10"/>
      <c r="T101" s="10"/>
      <c r="U101" s="10">
        <v>4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>
        <v>0.01</v>
      </c>
      <c r="AM101" s="10">
        <v>1</v>
      </c>
      <c r="AN101" s="10"/>
      <c r="AO101" s="10"/>
      <c r="AP101" s="10">
        <v>250</v>
      </c>
      <c r="AQ101" s="10">
        <v>0.3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69" s="5" customFormat="1">
      <c r="B102" s="16" t="s">
        <v>454</v>
      </c>
      <c r="C102" s="5" t="s">
        <v>71</v>
      </c>
      <c r="D102" s="10" t="s">
        <v>142</v>
      </c>
      <c r="E102" t="s">
        <v>455</v>
      </c>
      <c r="F102" s="24"/>
      <c r="G102" s="10" t="s">
        <v>393</v>
      </c>
      <c r="H102" s="10" t="s">
        <v>394</v>
      </c>
      <c r="I102" s="10" t="s">
        <v>145</v>
      </c>
      <c r="J102" s="10" t="s">
        <v>456</v>
      </c>
      <c r="K102" s="10"/>
      <c r="L102" s="10">
        <v>0</v>
      </c>
      <c r="M102" s="10">
        <v>0</v>
      </c>
      <c r="N102" s="10"/>
      <c r="O102" s="10" t="s">
        <v>251</v>
      </c>
      <c r="P102" s="10">
        <v>3</v>
      </c>
      <c r="Q102" s="10"/>
      <c r="R102" s="10"/>
      <c r="S102" s="10"/>
      <c r="T102" s="10"/>
      <c r="U102" s="10">
        <v>4</v>
      </c>
      <c r="V102" s="10">
        <v>8</v>
      </c>
      <c r="W102" s="10" t="s">
        <v>429</v>
      </c>
      <c r="X102" s="10">
        <v>450</v>
      </c>
      <c r="Y102" s="10">
        <v>1500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>
        <v>0.01</v>
      </c>
      <c r="AM102" s="10">
        <v>1</v>
      </c>
      <c r="AN102" s="10"/>
      <c r="AO102" s="10"/>
      <c r="AP102" s="10">
        <v>250</v>
      </c>
      <c r="AQ102" s="10">
        <v>0.15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69" s="5" customFormat="1">
      <c r="B103" s="16" t="s">
        <v>457</v>
      </c>
      <c r="C103" s="5" t="s">
        <v>71</v>
      </c>
      <c r="D103" s="10" t="s">
        <v>142</v>
      </c>
      <c r="E103" t="s">
        <v>458</v>
      </c>
      <c r="F103"/>
      <c r="G103" s="10" t="s">
        <v>393</v>
      </c>
      <c r="H103" s="10" t="s">
        <v>394</v>
      </c>
      <c r="I103" s="10" t="s">
        <v>145</v>
      </c>
      <c r="J103" s="10" t="s">
        <v>459</v>
      </c>
      <c r="K103" s="10"/>
      <c r="L103" s="10">
        <v>0</v>
      </c>
      <c r="M103" s="10">
        <v>0</v>
      </c>
      <c r="N103" s="10"/>
      <c r="O103" s="10" t="s">
        <v>247</v>
      </c>
      <c r="P103" s="10">
        <v>0.8</v>
      </c>
      <c r="Q103" s="10"/>
      <c r="R103" s="10"/>
      <c r="S103" s="10"/>
      <c r="T103" s="10"/>
      <c r="U103" s="10">
        <v>1</v>
      </c>
      <c r="V103" s="10">
        <v>8</v>
      </c>
      <c r="W103" s="10" t="s">
        <v>150</v>
      </c>
      <c r="X103" s="10">
        <v>450</v>
      </c>
      <c r="Y103" s="10">
        <v>0</v>
      </c>
      <c r="Z103" s="10" t="s">
        <v>151</v>
      </c>
      <c r="AA103" s="16">
        <v>1500</v>
      </c>
      <c r="AB103" s="10"/>
      <c r="AC103" s="10"/>
      <c r="AD103" s="10">
        <v>0</v>
      </c>
      <c r="AE103" s="10" t="s">
        <v>151</v>
      </c>
      <c r="AF103" s="10"/>
      <c r="AG103" s="10"/>
      <c r="AH103" s="59" t="s">
        <v>152</v>
      </c>
      <c r="AI103" s="4" t="s">
        <v>153</v>
      </c>
      <c r="AJ103" s="10">
        <v>0.5</v>
      </c>
      <c r="AK103" s="10">
        <v>0.5</v>
      </c>
      <c r="AL103" s="10"/>
      <c r="AM103" s="10">
        <v>1</v>
      </c>
      <c r="AN103" s="10"/>
      <c r="AO103" s="10"/>
      <c r="AP103" s="10">
        <v>250</v>
      </c>
      <c r="AQ103" s="10">
        <v>0.2</v>
      </c>
      <c r="AR103" s="10"/>
      <c r="AS103" s="10"/>
      <c r="AT103" s="10"/>
      <c r="AU103" s="10">
        <v>1</v>
      </c>
      <c r="AV103" s="10"/>
      <c r="AW103" s="10">
        <v>0</v>
      </c>
      <c r="AX103" s="10">
        <v>0</v>
      </c>
      <c r="AY103" s="10">
        <v>0</v>
      </c>
      <c r="AZ103" s="10">
        <v>0</v>
      </c>
      <c r="BA103" s="10">
        <v>0</v>
      </c>
      <c r="BB103" s="10">
        <v>0</v>
      </c>
      <c r="BC103" s="10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0">
        <v>0</v>
      </c>
      <c r="BI103" s="10">
        <v>100</v>
      </c>
      <c r="BJ103" s="10"/>
      <c r="BK103" s="10"/>
      <c r="BL103" s="10"/>
      <c r="BM103" s="10"/>
      <c r="BN103" s="10"/>
      <c r="BO103" s="10"/>
      <c r="BP103" s="10"/>
      <c r="BQ103" s="5">
        <v>0</v>
      </c>
    </row>
    <row r="104" spans="2:69" s="5" customFormat="1">
      <c r="B104" s="16" t="s">
        <v>460</v>
      </c>
      <c r="C104" s="5" t="s">
        <v>71</v>
      </c>
      <c r="D104" s="10" t="s">
        <v>142</v>
      </c>
      <c r="E104" t="s">
        <v>461</v>
      </c>
      <c r="F104"/>
      <c r="G104" s="10" t="s">
        <v>393</v>
      </c>
      <c r="H104" s="10" t="s">
        <v>394</v>
      </c>
      <c r="I104" s="10" t="s">
        <v>145</v>
      </c>
      <c r="J104" s="10" t="s">
        <v>459</v>
      </c>
      <c r="K104" s="10"/>
      <c r="L104" s="10">
        <v>0</v>
      </c>
      <c r="M104" s="10">
        <v>0</v>
      </c>
      <c r="N104" s="10"/>
      <c r="O104" s="10" t="s">
        <v>227</v>
      </c>
      <c r="P104" s="10">
        <v>1.1499999999999999</v>
      </c>
      <c r="Q104" s="10"/>
      <c r="R104" s="10"/>
      <c r="S104" s="10"/>
      <c r="T104" s="10"/>
      <c r="U104" s="10">
        <v>1</v>
      </c>
      <c r="V104" s="10">
        <v>8</v>
      </c>
      <c r="W104" s="10" t="s">
        <v>150</v>
      </c>
      <c r="X104" s="10">
        <v>450</v>
      </c>
      <c r="Y104" s="10">
        <v>0</v>
      </c>
      <c r="Z104" s="10" t="s">
        <v>151</v>
      </c>
      <c r="AA104" s="16">
        <v>1500</v>
      </c>
      <c r="AB104" s="10"/>
      <c r="AC104" s="10"/>
      <c r="AD104" s="10">
        <v>0</v>
      </c>
      <c r="AE104" s="10" t="s">
        <v>151</v>
      </c>
      <c r="AF104" s="10"/>
      <c r="AG104" s="10"/>
      <c r="AH104" s="59" t="s">
        <v>152</v>
      </c>
      <c r="AI104" s="4" t="s">
        <v>153</v>
      </c>
      <c r="AJ104" s="10">
        <v>0.5</v>
      </c>
      <c r="AK104" s="10">
        <v>0.5</v>
      </c>
      <c r="AL104" s="10"/>
      <c r="AM104" s="10">
        <v>1</v>
      </c>
      <c r="AN104" s="10"/>
      <c r="AO104" s="10"/>
      <c r="AP104" s="10">
        <v>250</v>
      </c>
      <c r="AQ104" s="10">
        <v>0.2</v>
      </c>
      <c r="AR104" s="10"/>
      <c r="AS104" s="10"/>
      <c r="AT104" s="10"/>
      <c r="AU104" s="10">
        <v>1</v>
      </c>
      <c r="AV104" s="10"/>
      <c r="AW104" s="10">
        <v>0</v>
      </c>
      <c r="AX104" s="10">
        <v>0</v>
      </c>
      <c r="AY104" s="10">
        <v>0</v>
      </c>
      <c r="AZ104" s="10">
        <v>0</v>
      </c>
      <c r="BA104" s="10">
        <v>0</v>
      </c>
      <c r="BB104" s="10">
        <v>0</v>
      </c>
      <c r="BC104" s="10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0">
        <v>0</v>
      </c>
      <c r="BI104" s="10">
        <v>100</v>
      </c>
      <c r="BJ104" s="10"/>
      <c r="BK104" s="10"/>
      <c r="BL104" s="10"/>
      <c r="BM104" s="10"/>
      <c r="BN104" s="10"/>
      <c r="BO104" s="10"/>
      <c r="BP104" s="10"/>
      <c r="BQ104" s="5">
        <v>0</v>
      </c>
    </row>
    <row r="105" spans="2:69" s="5" customFormat="1">
      <c r="B105" s="16" t="s">
        <v>462</v>
      </c>
      <c r="C105" s="5" t="s">
        <v>71</v>
      </c>
      <c r="D105" s="10" t="s">
        <v>142</v>
      </c>
      <c r="E105" t="s">
        <v>463</v>
      </c>
      <c r="F105"/>
      <c r="G105" s="10" t="s">
        <v>393</v>
      </c>
      <c r="H105" s="10" t="s">
        <v>394</v>
      </c>
      <c r="I105" s="10" t="s">
        <v>145</v>
      </c>
      <c r="J105" s="10" t="s">
        <v>459</v>
      </c>
      <c r="K105" s="10"/>
      <c r="L105" s="10">
        <v>0</v>
      </c>
      <c r="M105" s="10">
        <v>0</v>
      </c>
      <c r="N105" s="10"/>
      <c r="O105" s="10" t="s">
        <v>259</v>
      </c>
      <c r="P105" s="10">
        <v>1.6</v>
      </c>
      <c r="Q105" s="10"/>
      <c r="R105" s="10"/>
      <c r="S105" s="10"/>
      <c r="T105" s="10"/>
      <c r="U105" s="10">
        <v>1</v>
      </c>
      <c r="V105" s="10">
        <v>8</v>
      </c>
      <c r="W105" s="10" t="s">
        <v>150</v>
      </c>
      <c r="X105" s="10">
        <v>450</v>
      </c>
      <c r="Y105" s="10">
        <v>0</v>
      </c>
      <c r="Z105" s="10" t="s">
        <v>151</v>
      </c>
      <c r="AA105" s="16">
        <v>1500</v>
      </c>
      <c r="AB105" s="10"/>
      <c r="AC105" s="10"/>
      <c r="AD105" s="10">
        <v>0</v>
      </c>
      <c r="AE105" s="10" t="s">
        <v>151</v>
      </c>
      <c r="AF105" s="10"/>
      <c r="AG105" s="10"/>
      <c r="AH105" s="59" t="s">
        <v>152</v>
      </c>
      <c r="AI105" s="4" t="s">
        <v>153</v>
      </c>
      <c r="AJ105" s="10">
        <v>0.5</v>
      </c>
      <c r="AK105" s="10">
        <v>0.5</v>
      </c>
      <c r="AL105" s="10"/>
      <c r="AM105" s="10">
        <v>1</v>
      </c>
      <c r="AN105" s="10"/>
      <c r="AO105" s="10"/>
      <c r="AP105" s="10">
        <v>250</v>
      </c>
      <c r="AQ105" s="10">
        <v>0.2</v>
      </c>
      <c r="AR105" s="10"/>
      <c r="AS105" s="10"/>
      <c r="AT105" s="10"/>
      <c r="AU105" s="10">
        <v>1</v>
      </c>
      <c r="AV105" s="10"/>
      <c r="AW105" s="10">
        <v>0</v>
      </c>
      <c r="AX105" s="10">
        <v>0</v>
      </c>
      <c r="AY105" s="10">
        <v>0</v>
      </c>
      <c r="AZ105" s="10">
        <v>0</v>
      </c>
      <c r="BA105" s="10">
        <v>0</v>
      </c>
      <c r="BB105" s="10">
        <v>0</v>
      </c>
      <c r="BC105" s="10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0">
        <v>0</v>
      </c>
      <c r="BI105" s="10">
        <v>100</v>
      </c>
      <c r="BJ105" s="10"/>
      <c r="BK105" s="10"/>
      <c r="BL105" s="10"/>
      <c r="BM105" s="10"/>
      <c r="BN105" s="10"/>
      <c r="BO105" s="10"/>
      <c r="BP105" s="10"/>
      <c r="BQ105" s="5">
        <v>0</v>
      </c>
    </row>
    <row r="106" spans="2:69" s="5" customFormat="1">
      <c r="B106" s="16" t="s">
        <v>464</v>
      </c>
      <c r="C106" s="5" t="s">
        <v>71</v>
      </c>
      <c r="D106" s="10" t="s">
        <v>142</v>
      </c>
      <c r="E106" t="s">
        <v>465</v>
      </c>
      <c r="F106"/>
      <c r="G106" s="10" t="s">
        <v>393</v>
      </c>
      <c r="H106" s="10" t="s">
        <v>394</v>
      </c>
      <c r="I106" s="10" t="s">
        <v>145</v>
      </c>
      <c r="J106" s="10" t="s">
        <v>459</v>
      </c>
      <c r="K106" s="10"/>
      <c r="L106" s="10">
        <v>0</v>
      </c>
      <c r="M106" s="10">
        <v>0</v>
      </c>
      <c r="N106" s="10"/>
      <c r="O106" s="10" t="s">
        <v>235</v>
      </c>
      <c r="P106" s="10">
        <v>1.65</v>
      </c>
      <c r="Q106" s="10"/>
      <c r="R106" s="10"/>
      <c r="S106" s="10"/>
      <c r="T106" s="10"/>
      <c r="U106" s="10">
        <v>1</v>
      </c>
      <c r="V106" s="10">
        <v>8</v>
      </c>
      <c r="W106" s="10" t="s">
        <v>150</v>
      </c>
      <c r="X106" s="10">
        <v>450</v>
      </c>
      <c r="Y106" s="10">
        <v>0</v>
      </c>
      <c r="Z106" s="10" t="s">
        <v>151</v>
      </c>
      <c r="AA106" s="16">
        <v>1500</v>
      </c>
      <c r="AB106" s="10"/>
      <c r="AC106" s="10"/>
      <c r="AD106" s="10">
        <v>0</v>
      </c>
      <c r="AE106" s="10" t="s">
        <v>151</v>
      </c>
      <c r="AF106" s="10"/>
      <c r="AG106" s="10"/>
      <c r="AH106" s="59" t="s">
        <v>152</v>
      </c>
      <c r="AI106" s="4" t="s">
        <v>153</v>
      </c>
      <c r="AJ106" s="10">
        <v>0.5</v>
      </c>
      <c r="AK106" s="10">
        <v>0.5</v>
      </c>
      <c r="AL106" s="10"/>
      <c r="AM106" s="10">
        <v>1</v>
      </c>
      <c r="AN106" s="10"/>
      <c r="AO106" s="10"/>
      <c r="AP106" s="10">
        <v>250</v>
      </c>
      <c r="AQ106" s="10">
        <v>0.2</v>
      </c>
      <c r="AR106" s="10"/>
      <c r="AS106" s="10"/>
      <c r="AT106" s="10"/>
      <c r="AU106" s="10">
        <v>1</v>
      </c>
      <c r="AV106" s="10"/>
      <c r="AW106" s="10">
        <v>0</v>
      </c>
      <c r="AX106" s="10">
        <v>0</v>
      </c>
      <c r="AY106" s="10">
        <v>0</v>
      </c>
      <c r="AZ106" s="10">
        <v>0</v>
      </c>
      <c r="BA106" s="10">
        <v>0</v>
      </c>
      <c r="BB106" s="10">
        <v>0</v>
      </c>
      <c r="BC106" s="10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0">
        <v>0</v>
      </c>
      <c r="BI106" s="10">
        <v>100</v>
      </c>
      <c r="BJ106" s="10"/>
      <c r="BK106" s="10"/>
      <c r="BL106" s="10"/>
      <c r="BM106" s="10"/>
      <c r="BN106" s="10"/>
      <c r="BO106" s="10"/>
      <c r="BP106" s="10"/>
      <c r="BQ106" s="5">
        <v>0</v>
      </c>
    </row>
    <row r="107" spans="2:69" s="5" customFormat="1">
      <c r="B107" s="16" t="s">
        <v>466</v>
      </c>
      <c r="C107" s="5" t="s">
        <v>71</v>
      </c>
      <c r="D107" s="10" t="s">
        <v>142</v>
      </c>
      <c r="E107" t="s">
        <v>467</v>
      </c>
      <c r="F107"/>
      <c r="G107" s="10" t="s">
        <v>393</v>
      </c>
      <c r="H107" s="10" t="s">
        <v>394</v>
      </c>
      <c r="I107" s="10" t="s">
        <v>145</v>
      </c>
      <c r="J107" s="10" t="s">
        <v>459</v>
      </c>
      <c r="K107" s="10"/>
      <c r="L107" s="10">
        <v>0</v>
      </c>
      <c r="M107" s="10">
        <v>0</v>
      </c>
      <c r="N107" s="10"/>
      <c r="O107" s="10" t="s">
        <v>159</v>
      </c>
      <c r="P107" s="10">
        <v>1.3</v>
      </c>
      <c r="Q107" s="10"/>
      <c r="R107" s="10"/>
      <c r="S107" s="10"/>
      <c r="T107" s="10"/>
      <c r="U107" s="10">
        <v>1</v>
      </c>
      <c r="V107" s="10">
        <v>8</v>
      </c>
      <c r="W107" s="10" t="s">
        <v>150</v>
      </c>
      <c r="X107" s="10">
        <v>450</v>
      </c>
      <c r="Y107" s="10">
        <v>0</v>
      </c>
      <c r="Z107" s="10" t="s">
        <v>151</v>
      </c>
      <c r="AA107" s="16">
        <v>1500</v>
      </c>
      <c r="AB107" s="10"/>
      <c r="AC107" s="10"/>
      <c r="AD107" s="10">
        <v>0</v>
      </c>
      <c r="AE107" s="10" t="s">
        <v>151</v>
      </c>
      <c r="AF107" s="10"/>
      <c r="AG107" s="10"/>
      <c r="AH107" s="59" t="s">
        <v>152</v>
      </c>
      <c r="AI107" s="4" t="s">
        <v>153</v>
      </c>
      <c r="AJ107" s="10">
        <v>0.5</v>
      </c>
      <c r="AK107" s="10">
        <v>0.5</v>
      </c>
      <c r="AL107" s="10"/>
      <c r="AM107" s="10">
        <v>1</v>
      </c>
      <c r="AN107" s="10"/>
      <c r="AO107" s="10"/>
      <c r="AP107" s="10">
        <v>250</v>
      </c>
      <c r="AQ107" s="10">
        <v>0.2</v>
      </c>
      <c r="AR107" s="10"/>
      <c r="AS107" s="10"/>
      <c r="AT107" s="10"/>
      <c r="AU107" s="10">
        <v>1</v>
      </c>
      <c r="AV107" s="10"/>
      <c r="AW107" s="10">
        <v>0</v>
      </c>
      <c r="AX107" s="10">
        <v>0</v>
      </c>
      <c r="AY107" s="10">
        <v>0</v>
      </c>
      <c r="AZ107" s="10">
        <v>0</v>
      </c>
      <c r="BA107" s="10">
        <v>0</v>
      </c>
      <c r="BB107" s="10">
        <v>0</v>
      </c>
      <c r="BC107" s="10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0">
        <v>0</v>
      </c>
      <c r="BI107" s="10">
        <v>100</v>
      </c>
      <c r="BJ107" s="10"/>
      <c r="BK107" s="10"/>
      <c r="BL107" s="10"/>
      <c r="BM107" s="10"/>
      <c r="BN107" s="10"/>
      <c r="BO107" s="10"/>
      <c r="BP107" s="10"/>
      <c r="BQ107" s="5">
        <v>0</v>
      </c>
    </row>
    <row r="108" spans="2:69" s="5" customFormat="1">
      <c r="B108" s="16" t="s">
        <v>468</v>
      </c>
      <c r="C108" s="5" t="s">
        <v>71</v>
      </c>
      <c r="D108" s="10" t="s">
        <v>142</v>
      </c>
      <c r="E108" t="s">
        <v>469</v>
      </c>
      <c r="F108"/>
      <c r="G108" s="10" t="s">
        <v>393</v>
      </c>
      <c r="H108" s="10" t="s">
        <v>394</v>
      </c>
      <c r="I108" s="10" t="s">
        <v>145</v>
      </c>
      <c r="J108" s="10" t="s">
        <v>459</v>
      </c>
      <c r="K108" s="10"/>
      <c r="L108" s="10">
        <v>0</v>
      </c>
      <c r="M108" s="10">
        <v>0</v>
      </c>
      <c r="N108" s="10"/>
      <c r="O108" s="10" t="s">
        <v>400</v>
      </c>
      <c r="P108" s="10">
        <v>1.36</v>
      </c>
      <c r="Q108" s="10"/>
      <c r="R108" s="10"/>
      <c r="S108" s="10"/>
      <c r="T108" s="10"/>
      <c r="U108" s="10">
        <v>1</v>
      </c>
      <c r="V108" s="10">
        <v>8</v>
      </c>
      <c r="W108" s="10" t="s">
        <v>150</v>
      </c>
      <c r="X108" s="10">
        <v>450</v>
      </c>
      <c r="Y108" s="10">
        <v>0</v>
      </c>
      <c r="Z108" s="10" t="s">
        <v>151</v>
      </c>
      <c r="AA108" s="16">
        <v>1500</v>
      </c>
      <c r="AB108" s="10"/>
      <c r="AC108" s="10"/>
      <c r="AD108" s="10">
        <v>0</v>
      </c>
      <c r="AE108" s="10" t="s">
        <v>151</v>
      </c>
      <c r="AF108" s="10"/>
      <c r="AG108" s="10"/>
      <c r="AH108" s="59" t="s">
        <v>152</v>
      </c>
      <c r="AI108" s="4" t="s">
        <v>153</v>
      </c>
      <c r="AJ108" s="10">
        <v>0.5</v>
      </c>
      <c r="AK108" s="10">
        <v>0.5</v>
      </c>
      <c r="AL108" s="10"/>
      <c r="AM108" s="10">
        <v>1</v>
      </c>
      <c r="AN108" s="10"/>
      <c r="AO108" s="10"/>
      <c r="AP108" s="10">
        <v>250</v>
      </c>
      <c r="AQ108" s="10">
        <v>0.2</v>
      </c>
      <c r="AR108" s="10"/>
      <c r="AS108" s="10"/>
      <c r="AT108" s="10"/>
      <c r="AU108" s="10">
        <v>1</v>
      </c>
      <c r="AV108" s="10"/>
      <c r="AW108" s="10">
        <v>0</v>
      </c>
      <c r="AX108" s="10">
        <v>0</v>
      </c>
      <c r="AY108" s="10">
        <v>0</v>
      </c>
      <c r="AZ108" s="10">
        <v>0</v>
      </c>
      <c r="BA108" s="10">
        <v>0</v>
      </c>
      <c r="BB108" s="10">
        <v>0</v>
      </c>
      <c r="BC108" s="10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0">
        <v>0</v>
      </c>
      <c r="BI108" s="10">
        <v>100</v>
      </c>
      <c r="BJ108" s="10"/>
      <c r="BK108" s="10"/>
      <c r="BL108" s="10"/>
      <c r="BM108" s="10"/>
      <c r="BN108" s="10"/>
      <c r="BO108" s="10"/>
      <c r="BP108" s="10"/>
      <c r="BQ108" s="5">
        <v>0</v>
      </c>
    </row>
    <row r="109" spans="2:69" s="5" customFormat="1">
      <c r="B109" s="16" t="s">
        <v>470</v>
      </c>
      <c r="C109" s="5" t="s">
        <v>71</v>
      </c>
      <c r="D109" s="10" t="s">
        <v>142</v>
      </c>
      <c r="E109" t="s">
        <v>471</v>
      </c>
      <c r="F109"/>
      <c r="G109" s="10" t="s">
        <v>393</v>
      </c>
      <c r="H109" s="10" t="s">
        <v>394</v>
      </c>
      <c r="I109" s="10" t="s">
        <v>145</v>
      </c>
      <c r="J109" s="10" t="s">
        <v>459</v>
      </c>
      <c r="K109" s="10"/>
      <c r="L109" s="10">
        <v>0</v>
      </c>
      <c r="M109" s="10">
        <v>0</v>
      </c>
      <c r="N109" s="10"/>
      <c r="O109" s="10" t="s">
        <v>193</v>
      </c>
      <c r="P109" s="10">
        <v>1.3</v>
      </c>
      <c r="Q109" s="10"/>
      <c r="R109" s="10"/>
      <c r="S109" s="10"/>
      <c r="T109" s="10"/>
      <c r="U109" s="10">
        <v>1</v>
      </c>
      <c r="V109" s="10">
        <v>8</v>
      </c>
      <c r="W109" s="10" t="s">
        <v>150</v>
      </c>
      <c r="X109" s="10">
        <v>450</v>
      </c>
      <c r="Y109" s="10">
        <v>0</v>
      </c>
      <c r="Z109" s="10" t="s">
        <v>151</v>
      </c>
      <c r="AA109" s="16">
        <v>1500</v>
      </c>
      <c r="AB109" s="10"/>
      <c r="AC109" s="10"/>
      <c r="AD109" s="10">
        <v>0</v>
      </c>
      <c r="AE109" s="10" t="s">
        <v>151</v>
      </c>
      <c r="AF109" s="10"/>
      <c r="AG109" s="10"/>
      <c r="AH109" s="59" t="s">
        <v>152</v>
      </c>
      <c r="AI109" s="4" t="s">
        <v>153</v>
      </c>
      <c r="AJ109" s="10">
        <v>0.5</v>
      </c>
      <c r="AK109" s="10">
        <v>0.5</v>
      </c>
      <c r="AL109" s="10"/>
      <c r="AM109" s="10">
        <v>1</v>
      </c>
      <c r="AN109" s="10"/>
      <c r="AO109" s="10"/>
      <c r="AP109" s="10">
        <v>250</v>
      </c>
      <c r="AQ109" s="10">
        <v>0.2</v>
      </c>
      <c r="AR109" s="10"/>
      <c r="AS109" s="10"/>
      <c r="AT109" s="10"/>
      <c r="AU109" s="10">
        <v>1</v>
      </c>
      <c r="AV109" s="10"/>
      <c r="AW109" s="10">
        <v>0</v>
      </c>
      <c r="AX109" s="10">
        <v>0</v>
      </c>
      <c r="AY109" s="10">
        <v>0</v>
      </c>
      <c r="AZ109" s="10">
        <v>0</v>
      </c>
      <c r="BA109" s="10">
        <v>0</v>
      </c>
      <c r="BB109" s="10">
        <v>0</v>
      </c>
      <c r="BC109" s="10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0">
        <v>0</v>
      </c>
      <c r="BI109" s="10">
        <v>100</v>
      </c>
      <c r="BJ109" s="10"/>
      <c r="BK109" s="10"/>
      <c r="BL109" s="10"/>
      <c r="BM109" s="10"/>
      <c r="BN109" s="10"/>
      <c r="BO109" s="10"/>
      <c r="BP109" s="10"/>
      <c r="BQ109" s="5">
        <v>0</v>
      </c>
    </row>
    <row r="110" spans="2:69" s="5" customFormat="1">
      <c r="B110" s="16" t="s">
        <v>472</v>
      </c>
      <c r="C110" s="5" t="s">
        <v>71</v>
      </c>
      <c r="D110" s="10" t="s">
        <v>142</v>
      </c>
      <c r="E110" t="s">
        <v>473</v>
      </c>
      <c r="F110"/>
      <c r="G110" s="10" t="s">
        <v>393</v>
      </c>
      <c r="H110" s="10" t="s">
        <v>394</v>
      </c>
      <c r="I110" s="10" t="s">
        <v>145</v>
      </c>
      <c r="J110" s="10" t="s">
        <v>459</v>
      </c>
      <c r="K110" s="10"/>
      <c r="L110" s="10">
        <v>0</v>
      </c>
      <c r="M110" s="10">
        <v>0</v>
      </c>
      <c r="N110" s="10"/>
      <c r="O110" s="10" t="s">
        <v>210</v>
      </c>
      <c r="P110" s="10">
        <v>1</v>
      </c>
      <c r="Q110" s="10"/>
      <c r="R110" s="10"/>
      <c r="S110" s="10"/>
      <c r="T110" s="10"/>
      <c r="U110" s="10">
        <v>1</v>
      </c>
      <c r="V110" s="10">
        <v>8</v>
      </c>
      <c r="W110" s="10" t="s">
        <v>150</v>
      </c>
      <c r="X110" s="10">
        <v>450</v>
      </c>
      <c r="Y110" s="10">
        <v>0</v>
      </c>
      <c r="Z110" s="10" t="s">
        <v>151</v>
      </c>
      <c r="AA110" s="16">
        <v>1500</v>
      </c>
      <c r="AB110" s="10"/>
      <c r="AC110" s="10"/>
      <c r="AD110" s="10">
        <v>0</v>
      </c>
      <c r="AE110" s="10" t="s">
        <v>151</v>
      </c>
      <c r="AF110" s="10"/>
      <c r="AG110" s="10"/>
      <c r="AH110" s="59" t="s">
        <v>152</v>
      </c>
      <c r="AI110" s="4" t="s">
        <v>153</v>
      </c>
      <c r="AJ110" s="10">
        <v>0.5</v>
      </c>
      <c r="AK110" s="10">
        <v>0.5</v>
      </c>
      <c r="AL110" s="10"/>
      <c r="AM110" s="10">
        <v>1</v>
      </c>
      <c r="AN110" s="10"/>
      <c r="AO110" s="10"/>
      <c r="AP110" s="10">
        <v>250</v>
      </c>
      <c r="AQ110" s="10">
        <v>0.2</v>
      </c>
      <c r="AR110" s="10"/>
      <c r="AS110" s="10"/>
      <c r="AT110" s="10"/>
      <c r="AU110" s="10">
        <v>1</v>
      </c>
      <c r="AV110" s="10"/>
      <c r="AW110" s="10">
        <v>0</v>
      </c>
      <c r="AX110" s="10">
        <v>0</v>
      </c>
      <c r="AY110" s="10">
        <v>0</v>
      </c>
      <c r="AZ110" s="10">
        <v>0</v>
      </c>
      <c r="BA110" s="10">
        <v>0</v>
      </c>
      <c r="BB110" s="10">
        <v>0</v>
      </c>
      <c r="BC110" s="10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0">
        <v>0</v>
      </c>
      <c r="BI110" s="10">
        <v>100</v>
      </c>
      <c r="BJ110" s="10"/>
      <c r="BK110" s="10"/>
      <c r="BL110" s="10"/>
      <c r="BM110" s="10"/>
      <c r="BN110" s="10"/>
      <c r="BO110" s="10"/>
      <c r="BP110" s="10"/>
      <c r="BQ110" s="5">
        <v>0</v>
      </c>
    </row>
    <row r="111" spans="2:69" s="7" customFormat="1">
      <c r="B111" s="35" t="s">
        <v>474</v>
      </c>
      <c r="C111" s="7" t="s">
        <v>71</v>
      </c>
      <c r="D111" s="35" t="s">
        <v>142</v>
      </c>
      <c r="E111" s="36" t="s">
        <v>475</v>
      </c>
      <c r="F111" s="36"/>
      <c r="G111" s="35" t="s">
        <v>393</v>
      </c>
      <c r="H111" s="35" t="s">
        <v>394</v>
      </c>
      <c r="I111" s="35" t="s">
        <v>145</v>
      </c>
      <c r="J111" s="35"/>
      <c r="K111" s="35"/>
      <c r="L111" s="35">
        <v>0</v>
      </c>
      <c r="M111" s="35">
        <v>0</v>
      </c>
      <c r="N111" s="35"/>
      <c r="O111" s="35"/>
      <c r="P111" s="35">
        <v>1</v>
      </c>
      <c r="Q111" s="35"/>
      <c r="R111" s="35"/>
      <c r="S111" s="35"/>
      <c r="T111" s="35"/>
      <c r="U111" s="35">
        <v>1</v>
      </c>
      <c r="V111" s="35">
        <v>8</v>
      </c>
      <c r="W111" s="35" t="s">
        <v>150</v>
      </c>
      <c r="X111" s="35">
        <v>450</v>
      </c>
      <c r="Y111" s="35">
        <v>0</v>
      </c>
      <c r="Z111" s="35" t="s">
        <v>151</v>
      </c>
      <c r="AA111" s="35">
        <v>1500</v>
      </c>
      <c r="AB111" s="35"/>
      <c r="AC111" s="35"/>
      <c r="AD111" s="35">
        <v>0</v>
      </c>
      <c r="AE111" s="35" t="s">
        <v>151</v>
      </c>
      <c r="AF111" s="35"/>
      <c r="AG111" s="35"/>
      <c r="AH111" s="60" t="s">
        <v>152</v>
      </c>
      <c r="AI111" s="36" t="s">
        <v>153</v>
      </c>
      <c r="AJ111" s="35">
        <v>0.5</v>
      </c>
      <c r="AK111" s="35">
        <v>0.5</v>
      </c>
      <c r="AL111" s="35"/>
      <c r="AM111" s="35">
        <v>1</v>
      </c>
      <c r="AN111" s="35"/>
      <c r="AO111" s="35"/>
      <c r="AP111" s="35">
        <v>250</v>
      </c>
      <c r="AQ111" s="35">
        <v>0.2</v>
      </c>
      <c r="AR111" s="35"/>
      <c r="AS111" s="35"/>
      <c r="AT111" s="35"/>
      <c r="AU111" s="35">
        <v>1</v>
      </c>
      <c r="AV111" s="35"/>
      <c r="AW111" s="35">
        <v>0</v>
      </c>
      <c r="AX111" s="35">
        <v>0</v>
      </c>
      <c r="AY111" s="35">
        <v>0</v>
      </c>
      <c r="AZ111" s="35">
        <v>0</v>
      </c>
      <c r="BA111" s="35">
        <v>0</v>
      </c>
      <c r="BB111" s="35">
        <v>0</v>
      </c>
      <c r="BC111" s="35">
        <v>100</v>
      </c>
      <c r="BD111" s="10">
        <v>100</v>
      </c>
      <c r="BE111" s="35"/>
      <c r="BF111" s="35" t="s">
        <v>154</v>
      </c>
      <c r="BG111" s="35">
        <v>0</v>
      </c>
      <c r="BH111" s="35">
        <v>0</v>
      </c>
      <c r="BI111" s="35">
        <v>100</v>
      </c>
      <c r="BJ111" s="35"/>
      <c r="BK111" s="35"/>
      <c r="BL111" s="35"/>
      <c r="BM111" s="35"/>
      <c r="BN111" s="35"/>
      <c r="BO111" s="35"/>
      <c r="BP111" s="35"/>
      <c r="BQ111" s="7">
        <v>0</v>
      </c>
    </row>
    <row r="112" spans="2:69" s="6" customFormat="1">
      <c r="B112" s="16" t="s">
        <v>476</v>
      </c>
      <c r="C112" s="6" t="s">
        <v>71</v>
      </c>
      <c r="D112" s="16" t="s">
        <v>282</v>
      </c>
      <c r="E112" s="18" t="s">
        <v>477</v>
      </c>
      <c r="F112" s="18"/>
      <c r="G112" s="16" t="s">
        <v>478</v>
      </c>
      <c r="H112" s="16"/>
      <c r="I112" s="16" t="s">
        <v>285</v>
      </c>
      <c r="J112" s="16"/>
      <c r="K112" s="16"/>
      <c r="L112" s="16">
        <v>0</v>
      </c>
      <c r="M112" s="16">
        <v>0</v>
      </c>
      <c r="N112" s="16"/>
      <c r="O112" s="16" t="s">
        <v>479</v>
      </c>
      <c r="P112" s="16">
        <v>0.4</v>
      </c>
      <c r="Q112" s="16"/>
      <c r="R112" s="16"/>
      <c r="S112" s="16"/>
      <c r="T112" s="16"/>
      <c r="U112" s="16">
        <v>0.5</v>
      </c>
      <c r="V112" s="16">
        <v>8</v>
      </c>
      <c r="W112" s="16" t="s">
        <v>480</v>
      </c>
      <c r="X112" s="16">
        <v>400</v>
      </c>
      <c r="Y112" s="16">
        <v>0</v>
      </c>
      <c r="Z112" s="16" t="s">
        <v>151</v>
      </c>
      <c r="AA112" s="16">
        <v>600</v>
      </c>
      <c r="AB112" s="16"/>
      <c r="AC112" s="16"/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v>1</v>
      </c>
      <c r="AR112" s="16"/>
      <c r="AS112" s="16"/>
      <c r="AT112" s="16"/>
      <c r="AU112" s="16">
        <v>1</v>
      </c>
      <c r="AV112" s="16" t="s">
        <v>481</v>
      </c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6"/>
      <c r="BF112" s="10" t="s">
        <v>154</v>
      </c>
      <c r="BG112" s="10">
        <v>0</v>
      </c>
      <c r="BH112" s="16">
        <v>0</v>
      </c>
      <c r="BI112" s="16">
        <v>100</v>
      </c>
      <c r="BJ112" s="16"/>
      <c r="BK112" s="16"/>
      <c r="BL112" s="16"/>
      <c r="BM112" s="16"/>
      <c r="BN112" s="16"/>
      <c r="BO112" s="16"/>
      <c r="BP112" s="16"/>
      <c r="BQ112" s="6">
        <v>0</v>
      </c>
    </row>
    <row r="113" spans="2:73" s="6" customFormat="1">
      <c r="B113" s="16" t="s">
        <v>482</v>
      </c>
      <c r="C113" s="6" t="s">
        <v>71</v>
      </c>
      <c r="D113" s="16" t="s">
        <v>282</v>
      </c>
      <c r="E113" t="s">
        <v>483</v>
      </c>
      <c r="F113" s="18"/>
      <c r="G113" s="16" t="s">
        <v>478</v>
      </c>
      <c r="H113" s="16"/>
      <c r="I113" s="16" t="s">
        <v>285</v>
      </c>
      <c r="J113" s="16"/>
      <c r="K113" s="16"/>
      <c r="L113" s="16">
        <v>0</v>
      </c>
      <c r="M113" s="16">
        <v>0</v>
      </c>
      <c r="N113" s="16"/>
      <c r="O113" s="16" t="s">
        <v>484</v>
      </c>
      <c r="P113" s="16">
        <v>0.5</v>
      </c>
      <c r="Q113" s="16"/>
      <c r="R113" s="16"/>
      <c r="S113" s="16"/>
      <c r="T113" s="16"/>
      <c r="U113" s="16">
        <v>0.5</v>
      </c>
      <c r="V113" s="16">
        <v>8</v>
      </c>
      <c r="W113" s="16" t="s">
        <v>480</v>
      </c>
      <c r="X113" s="16">
        <v>400</v>
      </c>
      <c r="Y113" s="16">
        <v>0</v>
      </c>
      <c r="Z113" s="16" t="s">
        <v>151</v>
      </c>
      <c r="AA113" s="16">
        <v>600</v>
      </c>
      <c r="AB113" s="16"/>
      <c r="AC113" s="16"/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6"/>
      <c r="AM113" s="16">
        <v>1</v>
      </c>
      <c r="AN113" s="16"/>
      <c r="AO113" s="16"/>
      <c r="AP113" s="16">
        <v>250</v>
      </c>
      <c r="AQ113" s="16">
        <v>0.8</v>
      </c>
      <c r="AR113" s="16"/>
      <c r="AS113" s="16"/>
      <c r="AT113" s="16"/>
      <c r="AU113" s="16">
        <v>1</v>
      </c>
      <c r="AV113" s="16" t="s">
        <v>481</v>
      </c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6"/>
      <c r="BF113" s="10" t="s">
        <v>154</v>
      </c>
      <c r="BG113" s="10">
        <v>0</v>
      </c>
      <c r="BH113" s="16">
        <v>0</v>
      </c>
      <c r="BI113" s="16">
        <v>100</v>
      </c>
      <c r="BJ113" s="16"/>
      <c r="BK113" s="16"/>
      <c r="BL113" s="16"/>
      <c r="BM113" s="16"/>
      <c r="BN113" s="16"/>
      <c r="BO113" s="16"/>
      <c r="BP113" s="16"/>
      <c r="BQ113" s="6">
        <v>0</v>
      </c>
    </row>
    <row r="114" spans="2:73" s="6" customFormat="1">
      <c r="B114" s="16" t="s">
        <v>485</v>
      </c>
      <c r="C114" s="6" t="s">
        <v>71</v>
      </c>
      <c r="D114" s="16" t="s">
        <v>282</v>
      </c>
      <c r="E114" t="s">
        <v>486</v>
      </c>
      <c r="F114" s="18"/>
      <c r="G114" s="16" t="s">
        <v>478</v>
      </c>
      <c r="H114" s="16"/>
      <c r="I114" s="16" t="s">
        <v>285</v>
      </c>
      <c r="J114" s="16"/>
      <c r="K114" s="16"/>
      <c r="L114" s="16">
        <v>0</v>
      </c>
      <c r="M114" s="16">
        <v>0</v>
      </c>
      <c r="N114" s="16"/>
      <c r="O114" s="16" t="s">
        <v>487</v>
      </c>
      <c r="P114" s="16">
        <v>0.6</v>
      </c>
      <c r="Q114" s="16"/>
      <c r="R114" s="16"/>
      <c r="S114" s="16"/>
      <c r="T114" s="16"/>
      <c r="U114" s="16">
        <v>0.5</v>
      </c>
      <c r="V114" s="16">
        <v>8</v>
      </c>
      <c r="W114" s="16" t="s">
        <v>480</v>
      </c>
      <c r="X114" s="16">
        <v>400</v>
      </c>
      <c r="Y114" s="16">
        <v>0</v>
      </c>
      <c r="Z114" s="16" t="s">
        <v>151</v>
      </c>
      <c r="AA114" s="16">
        <v>600</v>
      </c>
      <c r="AB114" s="16"/>
      <c r="AC114" s="16"/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0.6</v>
      </c>
      <c r="AR114" s="16"/>
      <c r="AS114" s="16"/>
      <c r="AT114" s="16"/>
      <c r="AU114" s="16">
        <v>1</v>
      </c>
      <c r="AV114" s="16" t="s">
        <v>481</v>
      </c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6"/>
      <c r="BF114" s="10" t="s">
        <v>154</v>
      </c>
      <c r="BG114" s="10">
        <v>0</v>
      </c>
      <c r="BH114" s="16">
        <v>0</v>
      </c>
      <c r="BI114" s="16">
        <v>100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488</v>
      </c>
      <c r="C115" s="6" t="s">
        <v>71</v>
      </c>
      <c r="D115" s="16" t="s">
        <v>282</v>
      </c>
      <c r="E115" t="s">
        <v>489</v>
      </c>
      <c r="F115" s="18"/>
      <c r="G115" s="16" t="s">
        <v>478</v>
      </c>
      <c r="H115" s="16"/>
      <c r="I115" s="16" t="s">
        <v>285</v>
      </c>
      <c r="J115" s="16"/>
      <c r="K115" s="16"/>
      <c r="L115" s="16">
        <v>0</v>
      </c>
      <c r="M115" s="16">
        <v>0</v>
      </c>
      <c r="N115" s="16"/>
      <c r="O115" s="16" t="s">
        <v>490</v>
      </c>
      <c r="P115" s="16">
        <v>0.7</v>
      </c>
      <c r="Q115" s="16"/>
      <c r="R115" s="16"/>
      <c r="S115" s="16"/>
      <c r="T115" s="16"/>
      <c r="U115" s="16">
        <v>0.5</v>
      </c>
      <c r="V115" s="16">
        <v>8</v>
      </c>
      <c r="W115" s="16" t="s">
        <v>480</v>
      </c>
      <c r="X115" s="16">
        <v>400</v>
      </c>
      <c r="Y115" s="16">
        <v>0</v>
      </c>
      <c r="Z115" s="16" t="s">
        <v>151</v>
      </c>
      <c r="AA115" s="16">
        <v>600</v>
      </c>
      <c r="AB115" s="16"/>
      <c r="AC115" s="16"/>
      <c r="AD115" s="16">
        <v>0</v>
      </c>
      <c r="AE115" s="16" t="s">
        <v>151</v>
      </c>
      <c r="AF115" s="16"/>
      <c r="AG115" s="16"/>
      <c r="AH115" s="57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0.4</v>
      </c>
      <c r="AR115" s="16"/>
      <c r="AS115" s="16"/>
      <c r="AT115" s="16"/>
      <c r="AU115" s="16">
        <v>1</v>
      </c>
      <c r="AV115" s="16" t="s">
        <v>481</v>
      </c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6"/>
      <c r="BF115" s="10" t="s">
        <v>154</v>
      </c>
      <c r="BG115" s="10">
        <v>0</v>
      </c>
      <c r="BH115" s="16">
        <v>0</v>
      </c>
      <c r="BI115" s="16">
        <v>100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491</v>
      </c>
      <c r="C116" s="6" t="s">
        <v>71</v>
      </c>
      <c r="D116" s="16" t="s">
        <v>282</v>
      </c>
      <c r="E116" t="s">
        <v>492</v>
      </c>
      <c r="F116" s="18"/>
      <c r="G116" s="16" t="s">
        <v>478</v>
      </c>
      <c r="H116" s="16"/>
      <c r="I116" s="16" t="s">
        <v>285</v>
      </c>
      <c r="J116" s="16"/>
      <c r="K116" s="16"/>
      <c r="L116" s="16">
        <v>0</v>
      </c>
      <c r="M116" s="16">
        <v>0</v>
      </c>
      <c r="N116" s="16"/>
      <c r="O116" s="16" t="s">
        <v>493</v>
      </c>
      <c r="P116" s="16">
        <v>0.8</v>
      </c>
      <c r="Q116" s="16"/>
      <c r="R116" s="16"/>
      <c r="S116" s="16"/>
      <c r="T116" s="16"/>
      <c r="U116" s="16">
        <v>0.5</v>
      </c>
      <c r="V116" s="16">
        <v>8</v>
      </c>
      <c r="W116" s="16" t="s">
        <v>480</v>
      </c>
      <c r="X116" s="16">
        <v>400</v>
      </c>
      <c r="Y116" s="16">
        <v>0</v>
      </c>
      <c r="Z116" s="16" t="s">
        <v>151</v>
      </c>
      <c r="AA116" s="16">
        <v>600</v>
      </c>
      <c r="AB116" s="16"/>
      <c r="AC116" s="16"/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0.2</v>
      </c>
      <c r="AR116" s="16"/>
      <c r="AS116" s="16"/>
      <c r="AT116" s="16"/>
      <c r="AU116" s="16">
        <v>1</v>
      </c>
      <c r="AV116" s="16" t="s">
        <v>481</v>
      </c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6"/>
      <c r="BF116" s="10" t="s">
        <v>154</v>
      </c>
      <c r="BG116" s="10">
        <v>0</v>
      </c>
      <c r="BH116" s="16">
        <v>0</v>
      </c>
      <c r="BI116" s="16">
        <v>100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494</v>
      </c>
      <c r="C117" s="6" t="s">
        <v>71</v>
      </c>
      <c r="D117" s="16" t="s">
        <v>282</v>
      </c>
      <c r="E117" s="68" t="s">
        <v>1254</v>
      </c>
      <c r="F117" s="24"/>
      <c r="G117" s="37" t="s">
        <v>495</v>
      </c>
      <c r="H117" s="16"/>
      <c r="I117" s="16" t="s">
        <v>285</v>
      </c>
      <c r="J117" s="16" t="s">
        <v>372</v>
      </c>
      <c r="K117" s="16"/>
      <c r="L117" s="16">
        <v>0</v>
      </c>
      <c r="M117" s="16">
        <v>0</v>
      </c>
      <c r="N117" s="16"/>
      <c r="O117" s="16" t="s">
        <v>496</v>
      </c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350</v>
      </c>
      <c r="Y117" s="16">
        <v>0</v>
      </c>
      <c r="Z117" s="16" t="s">
        <v>151</v>
      </c>
      <c r="AA117" s="16">
        <v>600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250</v>
      </c>
      <c r="AQ117" s="16">
        <v>0.8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5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/>
    </row>
    <row r="118" spans="2:73" s="6" customFormat="1">
      <c r="B118" s="16" t="s">
        <v>497</v>
      </c>
      <c r="C118" s="6" t="s">
        <v>71</v>
      </c>
      <c r="D118" s="16" t="s">
        <v>282</v>
      </c>
      <c r="E118" s="38" t="s">
        <v>498</v>
      </c>
      <c r="F118" s="24"/>
      <c r="G118" s="37" t="s">
        <v>499</v>
      </c>
      <c r="H118" s="16"/>
      <c r="I118" s="16" t="s">
        <v>285</v>
      </c>
      <c r="J118" s="16" t="s">
        <v>500</v>
      </c>
      <c r="K118" s="16"/>
      <c r="L118" s="16">
        <v>0</v>
      </c>
      <c r="M118" s="16">
        <v>0</v>
      </c>
      <c r="N118" s="16"/>
      <c r="O118" s="16" t="s">
        <v>501</v>
      </c>
      <c r="P118" s="16">
        <v>1.1000000000000001</v>
      </c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350</v>
      </c>
      <c r="Y118" s="16">
        <v>0</v>
      </c>
      <c r="Z118" s="16" t="s">
        <v>151</v>
      </c>
      <c r="AA118" s="16">
        <v>600</v>
      </c>
      <c r="AD118" s="16">
        <v>0</v>
      </c>
      <c r="AE118" s="16" t="s">
        <v>151</v>
      </c>
      <c r="AF118" s="16"/>
      <c r="AG118" s="16"/>
      <c r="AH118" s="57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f>AQ117-0.08</f>
        <v>0.72000000000000008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5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 t="s">
        <v>502</v>
      </c>
    </row>
    <row r="119" spans="2:73" s="6" customFormat="1">
      <c r="B119" s="16" t="s">
        <v>503</v>
      </c>
      <c r="C119" s="6" t="s">
        <v>71</v>
      </c>
      <c r="D119" s="16" t="s">
        <v>282</v>
      </c>
      <c r="E119" s="38" t="s">
        <v>504</v>
      </c>
      <c r="F119" s="24"/>
      <c r="G119" s="39" t="s">
        <v>505</v>
      </c>
      <c r="H119" s="16"/>
      <c r="I119" s="16" t="s">
        <v>285</v>
      </c>
      <c r="J119" s="16" t="s">
        <v>506</v>
      </c>
      <c r="K119" s="16"/>
      <c r="L119" s="16">
        <v>0</v>
      </c>
      <c r="M119" s="16">
        <v>0</v>
      </c>
      <c r="N119" s="16"/>
      <c r="O119" s="16" t="s">
        <v>507</v>
      </c>
      <c r="P119" s="16">
        <v>1.2</v>
      </c>
      <c r="Q119" s="16"/>
      <c r="R119" s="16"/>
      <c r="S119" s="16"/>
      <c r="T119" s="16"/>
      <c r="U119" s="16">
        <v>2</v>
      </c>
      <c r="V119" s="16">
        <v>2</v>
      </c>
      <c r="W119" s="16" t="s">
        <v>480</v>
      </c>
      <c r="X119" s="16">
        <v>350</v>
      </c>
      <c r="Y119" s="16">
        <v>0</v>
      </c>
      <c r="Z119" s="16" t="s">
        <v>151</v>
      </c>
      <c r="AA119" s="16">
        <v>600</v>
      </c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400</v>
      </c>
      <c r="AQ119" s="16">
        <f t="shared" ref="AQ119:AQ125" si="10">AQ118-0.08</f>
        <v>0.64000000000000012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154</v>
      </c>
      <c r="BG119" s="10">
        <v>0</v>
      </c>
      <c r="BH119" s="16">
        <v>0</v>
      </c>
      <c r="BI119" s="16">
        <v>5</v>
      </c>
      <c r="BJ119" s="16"/>
      <c r="BK119" s="16"/>
      <c r="BL119" s="16"/>
      <c r="BM119" s="16"/>
      <c r="BN119" s="16"/>
      <c r="BO119" s="16"/>
      <c r="BP119" s="16"/>
      <c r="BQ119" s="6">
        <v>0</v>
      </c>
      <c r="BU119" s="16" t="s">
        <v>508</v>
      </c>
    </row>
    <row r="120" spans="2:73" s="6" customFormat="1">
      <c r="B120" s="16" t="s">
        <v>509</v>
      </c>
      <c r="C120" s="6" t="s">
        <v>71</v>
      </c>
      <c r="D120" s="16" t="s">
        <v>282</v>
      </c>
      <c r="E120" s="38" t="s">
        <v>510</v>
      </c>
      <c r="F120" s="24"/>
      <c r="G120" s="39" t="s">
        <v>511</v>
      </c>
      <c r="H120" s="16"/>
      <c r="I120" s="16" t="s">
        <v>285</v>
      </c>
      <c r="J120" s="16" t="s">
        <v>512</v>
      </c>
      <c r="K120" s="16"/>
      <c r="L120" s="16">
        <v>0</v>
      </c>
      <c r="M120" s="16">
        <v>0</v>
      </c>
      <c r="N120" s="16"/>
      <c r="O120" s="16" t="s">
        <v>513</v>
      </c>
      <c r="P120" s="16">
        <v>1.4</v>
      </c>
      <c r="Q120" s="16"/>
      <c r="R120" s="16"/>
      <c r="S120" s="16"/>
      <c r="T120" s="16"/>
      <c r="U120" s="16">
        <v>2</v>
      </c>
      <c r="V120" s="16">
        <v>2</v>
      </c>
      <c r="W120" s="16" t="s">
        <v>480</v>
      </c>
      <c r="X120" s="16">
        <v>375</v>
      </c>
      <c r="Y120" s="16">
        <v>0</v>
      </c>
      <c r="Z120" s="16" t="s">
        <v>151</v>
      </c>
      <c r="AA120" s="16">
        <v>600</v>
      </c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400</v>
      </c>
      <c r="AQ120" s="16">
        <f t="shared" si="10"/>
        <v>0.56000000000000016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5</v>
      </c>
      <c r="BJ120" s="16"/>
      <c r="BK120" s="16"/>
      <c r="BL120" s="16"/>
      <c r="BM120" s="16"/>
      <c r="BN120" s="16"/>
      <c r="BO120" s="16"/>
      <c r="BP120" s="16"/>
      <c r="BQ120" s="6">
        <v>0</v>
      </c>
      <c r="BU120" s="16" t="s">
        <v>514</v>
      </c>
    </row>
    <row r="121" spans="2:73" s="6" customFormat="1">
      <c r="B121" s="16" t="s">
        <v>515</v>
      </c>
      <c r="C121" s="6" t="s">
        <v>71</v>
      </c>
      <c r="D121" s="16" t="s">
        <v>282</v>
      </c>
      <c r="E121" s="37" t="s">
        <v>516</v>
      </c>
      <c r="F121" s="24"/>
      <c r="G121" s="39" t="s">
        <v>517</v>
      </c>
      <c r="H121" s="16"/>
      <c r="I121" s="16" t="s">
        <v>285</v>
      </c>
      <c r="J121" s="16" t="s">
        <v>518</v>
      </c>
      <c r="K121" s="16"/>
      <c r="L121" s="16">
        <v>0</v>
      </c>
      <c r="M121" s="16">
        <v>0</v>
      </c>
      <c r="N121" s="16"/>
      <c r="O121" s="16" t="s">
        <v>519</v>
      </c>
      <c r="P121" s="16">
        <v>2</v>
      </c>
      <c r="Q121" s="16"/>
      <c r="R121" s="16"/>
      <c r="S121" s="16"/>
      <c r="T121" s="16"/>
      <c r="U121" s="16">
        <v>2</v>
      </c>
      <c r="V121" s="16">
        <v>2</v>
      </c>
      <c r="W121" s="16" t="s">
        <v>480</v>
      </c>
      <c r="X121" s="16">
        <v>450</v>
      </c>
      <c r="Y121" s="16">
        <v>0</v>
      </c>
      <c r="Z121" s="16" t="s">
        <v>151</v>
      </c>
      <c r="AA121" s="16">
        <v>600</v>
      </c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450</v>
      </c>
      <c r="AQ121" s="16">
        <f t="shared" si="10"/>
        <v>0.48000000000000015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5</v>
      </c>
      <c r="BJ121" s="16"/>
      <c r="BK121" s="16"/>
      <c r="BL121" s="16"/>
      <c r="BM121" s="16"/>
      <c r="BN121" s="16"/>
      <c r="BO121" s="16"/>
      <c r="BP121" s="16"/>
      <c r="BQ121" s="6">
        <v>0</v>
      </c>
      <c r="BU121" s="16" t="s">
        <v>520</v>
      </c>
    </row>
    <row r="122" spans="2:73" s="6" customFormat="1">
      <c r="B122" s="16" t="s">
        <v>521</v>
      </c>
      <c r="C122" s="6" t="s">
        <v>71</v>
      </c>
      <c r="D122" s="16" t="s">
        <v>282</v>
      </c>
      <c r="E122" s="37" t="s">
        <v>522</v>
      </c>
      <c r="F122" s="24"/>
      <c r="G122" s="40" t="s">
        <v>523</v>
      </c>
      <c r="H122" s="16"/>
      <c r="I122" s="16" t="s">
        <v>285</v>
      </c>
      <c r="J122" s="16" t="s">
        <v>459</v>
      </c>
      <c r="K122" s="16"/>
      <c r="L122" s="16">
        <v>0</v>
      </c>
      <c r="M122" s="16">
        <v>0</v>
      </c>
      <c r="N122" s="16"/>
      <c r="O122" s="16" t="s">
        <v>524</v>
      </c>
      <c r="P122" s="16"/>
      <c r="Q122" s="16"/>
      <c r="R122" s="16"/>
      <c r="S122" s="16"/>
      <c r="T122" s="16"/>
      <c r="U122" s="16">
        <v>2</v>
      </c>
      <c r="V122" s="16">
        <v>2</v>
      </c>
      <c r="W122" s="16" t="s">
        <v>480</v>
      </c>
      <c r="X122" s="16">
        <v>522</v>
      </c>
      <c r="Y122" s="16">
        <v>0</v>
      </c>
      <c r="Z122" s="16" t="s">
        <v>151</v>
      </c>
      <c r="AA122" s="16">
        <v>1000</v>
      </c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450</v>
      </c>
      <c r="AQ122" s="16">
        <f t="shared" si="10"/>
        <v>0.40000000000000013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154</v>
      </c>
      <c r="BG122" s="10">
        <v>0</v>
      </c>
      <c r="BH122" s="16">
        <v>0</v>
      </c>
      <c r="BI122" s="16">
        <v>5</v>
      </c>
      <c r="BJ122" s="16"/>
      <c r="BK122" s="16"/>
      <c r="BL122" s="16"/>
      <c r="BM122" s="16"/>
      <c r="BN122" s="16"/>
      <c r="BO122" s="16"/>
      <c r="BP122" s="16"/>
      <c r="BQ122" s="6">
        <v>0</v>
      </c>
      <c r="BU122" s="16"/>
    </row>
    <row r="123" spans="2:73" s="6" customFormat="1">
      <c r="B123" s="16" t="s">
        <v>525</v>
      </c>
      <c r="C123" s="6" t="s">
        <v>71</v>
      </c>
      <c r="D123" s="16" t="s">
        <v>282</v>
      </c>
      <c r="E123" s="38" t="s">
        <v>526</v>
      </c>
      <c r="F123" s="24"/>
      <c r="G123" s="40" t="s">
        <v>527</v>
      </c>
      <c r="H123" s="16"/>
      <c r="I123" s="16" t="s">
        <v>285</v>
      </c>
      <c r="J123" s="16" t="s">
        <v>459</v>
      </c>
      <c r="K123" s="16"/>
      <c r="L123" s="16">
        <v>0</v>
      </c>
      <c r="M123" s="16">
        <v>0</v>
      </c>
      <c r="N123" s="16"/>
      <c r="O123" s="16" t="s">
        <v>528</v>
      </c>
      <c r="P123" s="16">
        <v>1.2</v>
      </c>
      <c r="Q123" s="16"/>
      <c r="R123" s="16"/>
      <c r="S123" s="16"/>
      <c r="T123" s="16"/>
      <c r="U123" s="16">
        <v>2</v>
      </c>
      <c r="V123" s="16">
        <v>2</v>
      </c>
      <c r="W123" s="16" t="s">
        <v>480</v>
      </c>
      <c r="X123" s="16">
        <v>522</v>
      </c>
      <c r="Y123" s="16">
        <v>0</v>
      </c>
      <c r="Z123" s="16" t="s">
        <v>151</v>
      </c>
      <c r="AA123" s="16">
        <v>1000</v>
      </c>
      <c r="AB123" s="6" t="s">
        <v>529</v>
      </c>
      <c r="AC123" s="6">
        <v>0</v>
      </c>
      <c r="AD123" s="10">
        <v>9999</v>
      </c>
      <c r="AE123" s="10" t="s">
        <v>151</v>
      </c>
      <c r="AF123" s="10"/>
      <c r="AG123" s="10">
        <v>1</v>
      </c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450</v>
      </c>
      <c r="AQ123" s="16">
        <f t="shared" si="10"/>
        <v>0.32000000000000012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0">
        <v>20</v>
      </c>
      <c r="BF123" s="10" t="s">
        <v>154</v>
      </c>
      <c r="BG123" s="10">
        <v>0</v>
      </c>
      <c r="BH123" s="16">
        <v>0</v>
      </c>
      <c r="BI123" s="16">
        <v>5</v>
      </c>
      <c r="BJ123" s="16"/>
      <c r="BK123" s="16"/>
      <c r="BL123" s="16"/>
      <c r="BM123" s="16"/>
      <c r="BN123" s="16"/>
      <c r="BO123" s="16"/>
      <c r="BP123" s="16"/>
      <c r="BQ123" s="6">
        <v>0</v>
      </c>
      <c r="BU123" s="16"/>
    </row>
    <row r="124" spans="2:73" s="6" customFormat="1">
      <c r="B124" s="16" t="s">
        <v>530</v>
      </c>
      <c r="C124" s="6" t="s">
        <v>71</v>
      </c>
      <c r="D124" s="16" t="s">
        <v>282</v>
      </c>
      <c r="E124" s="37" t="s">
        <v>531</v>
      </c>
      <c r="F124" s="24"/>
      <c r="G124" s="40" t="s">
        <v>532</v>
      </c>
      <c r="H124" s="16"/>
      <c r="I124" s="16" t="s">
        <v>285</v>
      </c>
      <c r="J124" s="16" t="s">
        <v>533</v>
      </c>
      <c r="K124" s="16"/>
      <c r="L124" s="16">
        <v>0</v>
      </c>
      <c r="M124" s="16">
        <v>0</v>
      </c>
      <c r="N124" s="16"/>
      <c r="O124" s="63" t="s">
        <v>756</v>
      </c>
      <c r="P124" s="16">
        <v>1.5</v>
      </c>
      <c r="Q124" s="16"/>
      <c r="R124" s="16"/>
      <c r="S124" s="16"/>
      <c r="T124" s="16"/>
      <c r="U124" s="16">
        <v>2</v>
      </c>
      <c r="V124" s="16">
        <v>2</v>
      </c>
      <c r="W124" s="16" t="s">
        <v>480</v>
      </c>
      <c r="X124" s="16">
        <v>522</v>
      </c>
      <c r="Y124" s="16">
        <v>0</v>
      </c>
      <c r="Z124" s="16" t="s">
        <v>151</v>
      </c>
      <c r="AA124" s="16">
        <v>1000</v>
      </c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450</v>
      </c>
      <c r="AQ124" s="16">
        <f t="shared" si="10"/>
        <v>0.2400000000000001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0">
        <v>20</v>
      </c>
      <c r="BF124" s="10" t="s">
        <v>154</v>
      </c>
      <c r="BG124" s="10">
        <v>0</v>
      </c>
      <c r="BH124" s="16">
        <v>0</v>
      </c>
      <c r="BI124" s="16">
        <v>5</v>
      </c>
      <c r="BJ124" s="16"/>
      <c r="BK124" s="16"/>
      <c r="BL124" s="16"/>
      <c r="BM124" s="16"/>
      <c r="BN124" s="16"/>
      <c r="BO124" s="16"/>
      <c r="BP124" s="16"/>
      <c r="BQ124" s="6">
        <v>0</v>
      </c>
      <c r="BU124" s="16" t="s">
        <v>534</v>
      </c>
    </row>
    <row r="125" spans="2:73" s="6" customFormat="1">
      <c r="B125" s="16" t="s">
        <v>535</v>
      </c>
      <c r="C125" s="6" t="s">
        <v>71</v>
      </c>
      <c r="D125" s="16" t="s">
        <v>282</v>
      </c>
      <c r="E125" s="37" t="s">
        <v>536</v>
      </c>
      <c r="F125" s="24"/>
      <c r="G125" s="40" t="s">
        <v>537</v>
      </c>
      <c r="H125" s="16"/>
      <c r="I125" s="16" t="s">
        <v>285</v>
      </c>
      <c r="J125" s="16" t="s">
        <v>538</v>
      </c>
      <c r="K125" s="16"/>
      <c r="L125" s="16">
        <v>0</v>
      </c>
      <c r="M125" s="16">
        <v>0</v>
      </c>
      <c r="N125" s="16"/>
      <c r="O125" s="16" t="s">
        <v>441</v>
      </c>
      <c r="P125" s="16">
        <v>1.5</v>
      </c>
      <c r="Q125" s="16"/>
      <c r="R125" s="16"/>
      <c r="S125" s="16"/>
      <c r="T125" s="16"/>
      <c r="U125" s="16">
        <v>2</v>
      </c>
      <c r="V125" s="16">
        <v>2</v>
      </c>
      <c r="W125" s="16" t="s">
        <v>480</v>
      </c>
      <c r="X125" s="16">
        <v>522</v>
      </c>
      <c r="Y125" s="16">
        <v>0</v>
      </c>
      <c r="Z125" s="16" t="s">
        <v>151</v>
      </c>
      <c r="AA125" s="16">
        <v>1000</v>
      </c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450</v>
      </c>
      <c r="AQ125" s="16">
        <f t="shared" si="10"/>
        <v>0.16000000000000009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0">
        <v>20</v>
      </c>
      <c r="BF125" s="10" t="s">
        <v>154</v>
      </c>
      <c r="BG125" s="10">
        <v>0</v>
      </c>
      <c r="BH125" s="16">
        <v>0</v>
      </c>
      <c r="BI125" s="16">
        <v>5</v>
      </c>
      <c r="BJ125" s="16"/>
      <c r="BK125" s="16"/>
      <c r="BL125" s="16"/>
      <c r="BM125" s="16"/>
      <c r="BN125" s="16"/>
      <c r="BO125" s="16"/>
      <c r="BP125" s="16"/>
      <c r="BQ125" s="6">
        <v>0</v>
      </c>
      <c r="BU125" s="16" t="s">
        <v>539</v>
      </c>
    </row>
    <row r="126" spans="2:73" s="6" customFormat="1">
      <c r="B126" s="16" t="s">
        <v>540</v>
      </c>
      <c r="C126" s="6" t="s">
        <v>71</v>
      </c>
      <c r="D126" s="16" t="s">
        <v>282</v>
      </c>
      <c r="E126" s="68" t="s">
        <v>1244</v>
      </c>
      <c r="F126" s="24"/>
      <c r="G126" s="40" t="s">
        <v>541</v>
      </c>
      <c r="H126" s="16"/>
      <c r="I126" s="16" t="s">
        <v>285</v>
      </c>
      <c r="J126" s="69" t="s">
        <v>1255</v>
      </c>
      <c r="K126" s="16"/>
      <c r="L126" s="16">
        <v>0</v>
      </c>
      <c r="M126" s="16">
        <v>0</v>
      </c>
      <c r="N126" s="16"/>
      <c r="O126" s="16" t="s">
        <v>542</v>
      </c>
      <c r="P126" s="16">
        <v>2</v>
      </c>
      <c r="Q126" s="16"/>
      <c r="R126" s="16"/>
      <c r="S126" s="16"/>
      <c r="T126" s="16"/>
      <c r="U126" s="16">
        <v>2</v>
      </c>
      <c r="V126" s="16">
        <v>2</v>
      </c>
      <c r="W126" s="16" t="s">
        <v>480</v>
      </c>
      <c r="X126" s="16">
        <v>200</v>
      </c>
      <c r="Y126" s="16">
        <v>150</v>
      </c>
      <c r="Z126" s="16" t="s">
        <v>151</v>
      </c>
      <c r="AA126" s="16">
        <v>1500</v>
      </c>
      <c r="AB126" s="10" t="s">
        <v>543</v>
      </c>
      <c r="AC126" s="10">
        <v>0</v>
      </c>
      <c r="AD126" s="10">
        <v>9999</v>
      </c>
      <c r="AE126" s="10" t="s">
        <v>151</v>
      </c>
      <c r="AF126" s="10"/>
      <c r="AG126" s="10">
        <v>1</v>
      </c>
      <c r="AH126" s="57" t="s">
        <v>544</v>
      </c>
      <c r="AI126" s="4" t="s">
        <v>153</v>
      </c>
      <c r="AJ126" s="10">
        <v>0.5</v>
      </c>
      <c r="AK126" s="10">
        <v>0.5</v>
      </c>
      <c r="AL126" s="10">
        <v>0.01</v>
      </c>
      <c r="AM126" s="10">
        <v>1</v>
      </c>
      <c r="AN126" s="10"/>
      <c r="AO126" s="10"/>
      <c r="AP126" s="10">
        <v>1000</v>
      </c>
      <c r="AQ126" s="16">
        <v>0.15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0">
        <v>20</v>
      </c>
      <c r="BF126" s="10" t="s">
        <v>154</v>
      </c>
      <c r="BG126" s="10">
        <v>0</v>
      </c>
      <c r="BH126" s="16">
        <v>0</v>
      </c>
      <c r="BI126" s="16">
        <v>5</v>
      </c>
      <c r="BJ126" s="16"/>
      <c r="BK126" s="16"/>
      <c r="BL126" s="16"/>
      <c r="BM126" s="16"/>
      <c r="BN126" s="16"/>
      <c r="BO126" s="16"/>
      <c r="BP126" s="16"/>
      <c r="BQ126" s="6">
        <v>0</v>
      </c>
      <c r="BU126" s="16" t="s">
        <v>545</v>
      </c>
    </row>
    <row r="127" spans="2:73" s="6" customFormat="1">
      <c r="B127" s="69" t="s">
        <v>1247</v>
      </c>
      <c r="C127" s="6" t="s">
        <v>71</v>
      </c>
      <c r="D127" s="16" t="s">
        <v>282</v>
      </c>
      <c r="E127" s="67" t="s">
        <v>1245</v>
      </c>
      <c r="F127" s="24"/>
      <c r="G127" s="40"/>
      <c r="H127" s="16"/>
      <c r="I127" s="16" t="s">
        <v>285</v>
      </c>
      <c r="J127" s="69" t="s">
        <v>1256</v>
      </c>
      <c r="K127" s="16"/>
      <c r="L127" s="16">
        <v>0</v>
      </c>
      <c r="M127" s="16">
        <v>0</v>
      </c>
      <c r="N127" s="16"/>
      <c r="O127" s="16" t="s">
        <v>1246</v>
      </c>
      <c r="P127" s="16">
        <v>3</v>
      </c>
      <c r="Q127" s="16"/>
      <c r="R127" s="16"/>
      <c r="S127" s="16"/>
      <c r="T127" s="16">
        <v>0</v>
      </c>
      <c r="U127" s="16">
        <v>2</v>
      </c>
      <c r="V127" s="16">
        <v>2</v>
      </c>
      <c r="W127" s="16" t="s">
        <v>480</v>
      </c>
      <c r="X127" s="16">
        <v>450</v>
      </c>
      <c r="Y127" s="16">
        <v>0</v>
      </c>
      <c r="Z127" s="16" t="s">
        <v>151</v>
      </c>
      <c r="AA127" s="16">
        <v>1000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600</v>
      </c>
      <c r="AQ127" s="16">
        <v>0.15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0">
        <v>20</v>
      </c>
      <c r="BF127" s="10" t="s">
        <v>1257</v>
      </c>
      <c r="BG127" s="10">
        <v>25000000</v>
      </c>
      <c r="BH127" s="16">
        <v>0</v>
      </c>
      <c r="BI127" s="16">
        <v>5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69" t="s">
        <v>1248</v>
      </c>
      <c r="C128" s="6" t="s">
        <v>71</v>
      </c>
      <c r="D128" s="16" t="s">
        <v>282</v>
      </c>
      <c r="E128" s="67" t="s">
        <v>1251</v>
      </c>
      <c r="F128" s="24"/>
      <c r="G128" s="40"/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496</v>
      </c>
      <c r="P128" s="16">
        <v>2</v>
      </c>
      <c r="Q128" s="16"/>
      <c r="R128" s="16">
        <v>50</v>
      </c>
      <c r="S128" s="16">
        <v>255</v>
      </c>
      <c r="T128" s="16">
        <v>50</v>
      </c>
      <c r="U128" s="16">
        <v>2</v>
      </c>
      <c r="V128" s="16">
        <v>2</v>
      </c>
      <c r="W128" s="16" t="s">
        <v>480</v>
      </c>
      <c r="X128" s="16">
        <v>450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450</v>
      </c>
      <c r="AQ128" s="16">
        <v>0.15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0">
        <v>20</v>
      </c>
      <c r="BF128" s="10" t="s">
        <v>154</v>
      </c>
      <c r="BG128" s="10">
        <v>0</v>
      </c>
      <c r="BH128" s="16">
        <v>0</v>
      </c>
      <c r="BI128" s="16">
        <v>10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69" s="6" customFormat="1">
      <c r="B129" s="69" t="s">
        <v>1249</v>
      </c>
      <c r="C129" s="6" t="s">
        <v>71</v>
      </c>
      <c r="D129" s="16" t="s">
        <v>282</v>
      </c>
      <c r="E129" s="67" t="s">
        <v>1252</v>
      </c>
      <c r="F129" s="24"/>
      <c r="G129" s="40"/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496</v>
      </c>
      <c r="P129" s="16">
        <v>2</v>
      </c>
      <c r="Q129" s="16"/>
      <c r="R129" s="16">
        <v>255</v>
      </c>
      <c r="S129" s="16">
        <v>50</v>
      </c>
      <c r="T129" s="16">
        <v>50</v>
      </c>
      <c r="U129" s="16">
        <v>2</v>
      </c>
      <c r="V129" s="16">
        <v>2</v>
      </c>
      <c r="W129" s="16" t="s">
        <v>480</v>
      </c>
      <c r="X129" s="16">
        <v>450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450</v>
      </c>
      <c r="AQ129" s="16">
        <v>0.15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0">
        <v>20</v>
      </c>
      <c r="BF129" s="10" t="s">
        <v>154</v>
      </c>
      <c r="BG129" s="10">
        <v>0</v>
      </c>
      <c r="BH129" s="16">
        <v>0</v>
      </c>
      <c r="BI129" s="16">
        <v>10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69" s="6" customFormat="1">
      <c r="B130" s="69" t="s">
        <v>1250</v>
      </c>
      <c r="C130" s="6" t="s">
        <v>71</v>
      </c>
      <c r="D130" s="16" t="s">
        <v>282</v>
      </c>
      <c r="E130" s="67" t="s">
        <v>1253</v>
      </c>
      <c r="F130" s="24"/>
      <c r="G130" s="40"/>
      <c r="H130" s="16"/>
      <c r="I130" s="16" t="s">
        <v>285</v>
      </c>
      <c r="J130" s="16" t="s">
        <v>372</v>
      </c>
      <c r="K130" s="16"/>
      <c r="L130" s="16">
        <v>0</v>
      </c>
      <c r="M130" s="16">
        <v>0</v>
      </c>
      <c r="N130" s="16"/>
      <c r="O130" s="16" t="s">
        <v>496</v>
      </c>
      <c r="P130" s="16">
        <v>2</v>
      </c>
      <c r="Q130" s="16"/>
      <c r="R130" s="16">
        <v>50</v>
      </c>
      <c r="S130" s="16">
        <v>255</v>
      </c>
      <c r="T130" s="16">
        <v>255</v>
      </c>
      <c r="U130" s="16">
        <v>2</v>
      </c>
      <c r="V130" s="16">
        <v>2</v>
      </c>
      <c r="W130" s="16" t="s">
        <v>480</v>
      </c>
      <c r="X130" s="16">
        <v>450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450</v>
      </c>
      <c r="AQ130" s="16">
        <v>0.15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0">
        <v>20</v>
      </c>
      <c r="BF130" s="10" t="s">
        <v>154</v>
      </c>
      <c r="BG130" s="10">
        <v>0</v>
      </c>
      <c r="BH130" s="16">
        <v>0</v>
      </c>
      <c r="BI130" s="16">
        <v>10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69" s="6" customFormat="1">
      <c r="B131" s="16" t="s">
        <v>546</v>
      </c>
      <c r="C131" s="6" t="s">
        <v>71</v>
      </c>
      <c r="D131" s="16" t="s">
        <v>282</v>
      </c>
      <c r="E131" s="37" t="s">
        <v>547</v>
      </c>
      <c r="F131" s="24"/>
      <c r="G131" s="40"/>
      <c r="H131" s="16"/>
      <c r="I131" s="16" t="s">
        <v>285</v>
      </c>
      <c r="J131" s="16" t="s">
        <v>459</v>
      </c>
      <c r="K131" s="16"/>
      <c r="L131" s="16">
        <v>0</v>
      </c>
      <c r="M131" s="16">
        <v>0</v>
      </c>
      <c r="N131" s="16"/>
      <c r="O131" s="16"/>
      <c r="P131" s="16"/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450</v>
      </c>
      <c r="Y131" s="16">
        <v>0</v>
      </c>
      <c r="Z131" s="16" t="s">
        <v>151</v>
      </c>
      <c r="AA131" s="16">
        <v>1500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600</v>
      </c>
      <c r="AQ131" s="16">
        <v>0.15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0">
        <v>20</v>
      </c>
      <c r="BF131" s="10" t="s">
        <v>154</v>
      </c>
      <c r="BG131" s="10">
        <v>0</v>
      </c>
      <c r="BH131" s="16">
        <v>0</v>
      </c>
      <c r="BI131" s="16">
        <v>10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69" s="6" customFormat="1">
      <c r="B132" s="16" t="s">
        <v>548</v>
      </c>
      <c r="C132" s="6" t="s">
        <v>71</v>
      </c>
      <c r="D132" s="16" t="s">
        <v>282</v>
      </c>
      <c r="E132" s="37" t="s">
        <v>549</v>
      </c>
      <c r="F132" s="24"/>
      <c r="G132" s="40"/>
      <c r="H132" s="16"/>
      <c r="I132" s="16" t="s">
        <v>285</v>
      </c>
      <c r="J132" s="16" t="s">
        <v>459</v>
      </c>
      <c r="K132" s="16"/>
      <c r="L132" s="16">
        <v>0</v>
      </c>
      <c r="M132" s="16">
        <v>0</v>
      </c>
      <c r="N132" s="16"/>
      <c r="O132" s="16"/>
      <c r="P132" s="16"/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500</v>
      </c>
      <c r="AQ132" s="16">
        <v>0.15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69" s="6" customFormat="1">
      <c r="B133" s="16" t="s">
        <v>550</v>
      </c>
      <c r="C133" s="6" t="s">
        <v>71</v>
      </c>
      <c r="D133" s="16" t="s">
        <v>282</v>
      </c>
      <c r="E133" s="37" t="s">
        <v>551</v>
      </c>
      <c r="F133" s="24"/>
      <c r="G133" s="40"/>
      <c r="H133" s="16"/>
      <c r="I133" s="16" t="s">
        <v>285</v>
      </c>
      <c r="J133" s="16" t="s">
        <v>459</v>
      </c>
      <c r="K133" s="16"/>
      <c r="L133" s="16">
        <v>0</v>
      </c>
      <c r="M133" s="16">
        <v>0</v>
      </c>
      <c r="N133" s="16"/>
      <c r="O133" s="16"/>
      <c r="P133" s="16"/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450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500</v>
      </c>
      <c r="AQ133" s="16">
        <v>0.15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69" s="6" customFormat="1">
      <c r="B134" s="16" t="s">
        <v>552</v>
      </c>
      <c r="C134" s="6" t="s">
        <v>71</v>
      </c>
      <c r="D134" s="16" t="s">
        <v>282</v>
      </c>
      <c r="E134" s="37" t="s">
        <v>553</v>
      </c>
      <c r="F134" s="37"/>
      <c r="G134" s="37" t="s">
        <v>554</v>
      </c>
      <c r="H134" s="16"/>
      <c r="I134" s="16" t="s">
        <v>285</v>
      </c>
      <c r="J134" s="16" t="s">
        <v>372</v>
      </c>
      <c r="K134" s="16"/>
      <c r="L134" s="16">
        <v>0</v>
      </c>
      <c r="M134" s="16">
        <v>0</v>
      </c>
      <c r="N134" s="16"/>
      <c r="O134" s="16" t="s">
        <v>555</v>
      </c>
      <c r="P134" s="16">
        <v>1.5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1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69" s="6" customFormat="1">
      <c r="B135" s="16" t="s">
        <v>556</v>
      </c>
      <c r="C135" s="6" t="s">
        <v>71</v>
      </c>
      <c r="D135" s="16" t="s">
        <v>282</v>
      </c>
      <c r="E135" s="37" t="s">
        <v>557</v>
      </c>
      <c r="F135" s="37"/>
      <c r="G135" s="37" t="s">
        <v>554</v>
      </c>
      <c r="H135" s="16"/>
      <c r="I135" s="16" t="s">
        <v>285</v>
      </c>
      <c r="J135" s="16" t="s">
        <v>372</v>
      </c>
      <c r="K135" s="16"/>
      <c r="L135" s="16">
        <v>0</v>
      </c>
      <c r="M135" s="16">
        <v>0</v>
      </c>
      <c r="N135" s="16"/>
      <c r="O135" s="16" t="s">
        <v>555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0.9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69" s="6" customFormat="1">
      <c r="B136" s="16" t="s">
        <v>558</v>
      </c>
      <c r="C136" s="6" t="s">
        <v>71</v>
      </c>
      <c r="D136" s="16" t="s">
        <v>282</v>
      </c>
      <c r="E136" s="37" t="s">
        <v>559</v>
      </c>
      <c r="F136" s="37"/>
      <c r="G136" s="37" t="s">
        <v>554</v>
      </c>
      <c r="H136" s="16"/>
      <c r="I136" s="16" t="s">
        <v>285</v>
      </c>
      <c r="J136" s="16" t="s">
        <v>372</v>
      </c>
      <c r="K136" s="16"/>
      <c r="L136" s="16">
        <v>0</v>
      </c>
      <c r="M136" s="16">
        <v>0</v>
      </c>
      <c r="N136" s="16"/>
      <c r="O136" s="16" t="s">
        <v>555</v>
      </c>
      <c r="P136" s="16">
        <v>1.5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0.8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69" s="6" customFormat="1">
      <c r="B137" s="16" t="s">
        <v>560</v>
      </c>
      <c r="C137" s="6" t="s">
        <v>71</v>
      </c>
      <c r="D137" s="16" t="s">
        <v>282</v>
      </c>
      <c r="E137" s="37" t="s">
        <v>561</v>
      </c>
      <c r="F137" s="37"/>
      <c r="G137" s="37" t="s">
        <v>554</v>
      </c>
      <c r="H137" s="16"/>
      <c r="I137" s="16" t="s">
        <v>285</v>
      </c>
      <c r="J137" s="16" t="s">
        <v>459</v>
      </c>
      <c r="K137" s="16"/>
      <c r="L137" s="16">
        <v>0</v>
      </c>
      <c r="M137" s="16">
        <v>0</v>
      </c>
      <c r="N137" s="16"/>
      <c r="O137" s="16" t="s">
        <v>555</v>
      </c>
      <c r="P137" s="16">
        <v>1.5</v>
      </c>
      <c r="Q137" s="16"/>
      <c r="R137" s="16"/>
      <c r="S137" s="16"/>
      <c r="T137" s="16"/>
      <c r="U137" s="16">
        <v>2</v>
      </c>
      <c r="V137" s="16">
        <v>2</v>
      </c>
      <c r="W137" s="16" t="s">
        <v>480</v>
      </c>
      <c r="X137" s="16">
        <v>400</v>
      </c>
      <c r="Y137" s="16">
        <v>0</v>
      </c>
      <c r="Z137" s="16" t="s">
        <v>151</v>
      </c>
      <c r="AA137" s="16">
        <v>600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0.7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</row>
    <row r="138" spans="2:69" s="6" customFormat="1">
      <c r="B138" s="16" t="s">
        <v>562</v>
      </c>
      <c r="C138" s="6" t="s">
        <v>71</v>
      </c>
      <c r="D138" s="16" t="s">
        <v>282</v>
      </c>
      <c r="E138" s="37" t="s">
        <v>563</v>
      </c>
      <c r="F138" s="37"/>
      <c r="G138" s="37" t="s">
        <v>554</v>
      </c>
      <c r="H138" s="16"/>
      <c r="I138" s="16" t="s">
        <v>285</v>
      </c>
      <c r="J138" s="16" t="s">
        <v>459</v>
      </c>
      <c r="K138" s="16"/>
      <c r="L138" s="16">
        <v>0</v>
      </c>
      <c r="M138" s="16">
        <v>0</v>
      </c>
      <c r="N138" s="16"/>
      <c r="O138" s="16" t="s">
        <v>555</v>
      </c>
      <c r="P138" s="16">
        <v>1.5</v>
      </c>
      <c r="Q138" s="16"/>
      <c r="R138" s="16"/>
      <c r="S138" s="16"/>
      <c r="T138" s="16"/>
      <c r="U138" s="16">
        <v>2</v>
      </c>
      <c r="V138" s="16">
        <v>2</v>
      </c>
      <c r="W138" s="16" t="s">
        <v>480</v>
      </c>
      <c r="X138" s="16">
        <v>400</v>
      </c>
      <c r="Y138" s="16">
        <v>0</v>
      </c>
      <c r="Z138" s="16" t="s">
        <v>151</v>
      </c>
      <c r="AA138" s="16">
        <v>600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250</v>
      </c>
      <c r="AQ138" s="16">
        <v>0.7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</row>
    <row r="139" spans="2:69" s="6" customFormat="1">
      <c r="B139" s="16" t="s">
        <v>564</v>
      </c>
      <c r="C139" s="6" t="s">
        <v>71</v>
      </c>
      <c r="D139" s="16" t="s">
        <v>282</v>
      </c>
      <c r="E139" s="37" t="s">
        <v>565</v>
      </c>
      <c r="F139" s="37"/>
      <c r="G139" s="37" t="s">
        <v>566</v>
      </c>
      <c r="H139" s="16"/>
      <c r="I139" s="16" t="s">
        <v>285</v>
      </c>
      <c r="J139" s="16" t="s">
        <v>372</v>
      </c>
      <c r="K139" s="16"/>
      <c r="L139" s="16">
        <v>0</v>
      </c>
      <c r="M139" s="16">
        <v>0</v>
      </c>
      <c r="N139" s="16"/>
      <c r="O139" s="16" t="s">
        <v>567</v>
      </c>
      <c r="P139" s="16">
        <v>2.0299999999999998</v>
      </c>
      <c r="Q139" s="16"/>
      <c r="R139" s="16"/>
      <c r="S139" s="16"/>
      <c r="T139" s="16"/>
      <c r="U139" s="16">
        <v>2</v>
      </c>
      <c r="V139" s="16">
        <v>2</v>
      </c>
      <c r="W139" s="16" t="s">
        <v>480</v>
      </c>
      <c r="X139" s="16">
        <v>400</v>
      </c>
      <c r="Y139" s="16">
        <v>0</v>
      </c>
      <c r="Z139" s="16" t="s">
        <v>151</v>
      </c>
      <c r="AA139" s="16">
        <v>600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250</v>
      </c>
      <c r="AQ139" s="16">
        <v>1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</row>
    <row r="140" spans="2:69" s="6" customFormat="1">
      <c r="B140" s="16" t="s">
        <v>568</v>
      </c>
      <c r="C140" s="6" t="s">
        <v>71</v>
      </c>
      <c r="D140" s="16" t="s">
        <v>282</v>
      </c>
      <c r="E140" s="37" t="s">
        <v>569</v>
      </c>
      <c r="F140" s="37"/>
      <c r="G140" s="37" t="s">
        <v>566</v>
      </c>
      <c r="H140" s="16"/>
      <c r="I140" s="16" t="s">
        <v>285</v>
      </c>
      <c r="J140" s="16" t="s">
        <v>372</v>
      </c>
      <c r="K140" s="16"/>
      <c r="L140" s="16">
        <v>0</v>
      </c>
      <c r="M140" s="16">
        <v>0</v>
      </c>
      <c r="N140" s="16"/>
      <c r="O140" s="16" t="s">
        <v>567</v>
      </c>
      <c r="P140" s="16">
        <v>2.0299999999999998</v>
      </c>
      <c r="Q140" s="16"/>
      <c r="R140" s="16"/>
      <c r="S140" s="16"/>
      <c r="T140" s="16"/>
      <c r="U140" s="16">
        <v>2</v>
      </c>
      <c r="V140" s="16">
        <v>2</v>
      </c>
      <c r="W140" s="16" t="s">
        <v>480</v>
      </c>
      <c r="X140" s="16">
        <v>400</v>
      </c>
      <c r="Y140" s="16">
        <v>0</v>
      </c>
      <c r="Z140" s="16" t="s">
        <v>151</v>
      </c>
      <c r="AA140" s="16">
        <v>600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250</v>
      </c>
      <c r="AQ140" s="16">
        <v>0.9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</row>
    <row r="141" spans="2:69" s="6" customFormat="1">
      <c r="B141" s="16" t="s">
        <v>570</v>
      </c>
      <c r="C141" s="6" t="s">
        <v>71</v>
      </c>
      <c r="D141" s="16" t="s">
        <v>282</v>
      </c>
      <c r="E141" s="37" t="s">
        <v>571</v>
      </c>
      <c r="F141" s="37"/>
      <c r="G141" s="37" t="s">
        <v>566</v>
      </c>
      <c r="H141" s="16"/>
      <c r="I141" s="16" t="s">
        <v>285</v>
      </c>
      <c r="J141" s="16" t="s">
        <v>372</v>
      </c>
      <c r="K141" s="16"/>
      <c r="L141" s="16">
        <v>0</v>
      </c>
      <c r="M141" s="16">
        <v>0</v>
      </c>
      <c r="N141" s="16"/>
      <c r="O141" s="16" t="s">
        <v>567</v>
      </c>
      <c r="P141" s="16">
        <v>2.0299999999999998</v>
      </c>
      <c r="Q141" s="16"/>
      <c r="R141" s="16"/>
      <c r="S141" s="16"/>
      <c r="T141" s="16"/>
      <c r="U141" s="16">
        <v>2</v>
      </c>
      <c r="V141" s="16">
        <v>2</v>
      </c>
      <c r="W141" s="16" t="s">
        <v>480</v>
      </c>
      <c r="X141" s="16">
        <v>400</v>
      </c>
      <c r="Y141" s="16">
        <v>0</v>
      </c>
      <c r="Z141" s="16" t="s">
        <v>151</v>
      </c>
      <c r="AA141" s="16">
        <v>600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250</v>
      </c>
      <c r="AQ141" s="16">
        <v>0.8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</row>
    <row r="142" spans="2:69" s="6" customFormat="1">
      <c r="B142" s="16" t="s">
        <v>572</v>
      </c>
      <c r="C142" s="6" t="s">
        <v>71</v>
      </c>
      <c r="D142" s="16" t="s">
        <v>282</v>
      </c>
      <c r="E142" s="37" t="s">
        <v>573</v>
      </c>
      <c r="F142" s="37"/>
      <c r="G142" s="37" t="s">
        <v>566</v>
      </c>
      <c r="H142" s="16"/>
      <c r="I142" s="16" t="s">
        <v>285</v>
      </c>
      <c r="J142" s="16" t="s">
        <v>459</v>
      </c>
      <c r="K142" s="16"/>
      <c r="L142" s="16">
        <v>0</v>
      </c>
      <c r="M142" s="16">
        <v>0</v>
      </c>
      <c r="N142" s="16"/>
      <c r="O142" s="16" t="s">
        <v>567</v>
      </c>
      <c r="P142" s="16">
        <v>2.0299999999999998</v>
      </c>
      <c r="Q142" s="16"/>
      <c r="R142" s="16"/>
      <c r="S142" s="16"/>
      <c r="T142" s="16"/>
      <c r="U142" s="16">
        <v>2</v>
      </c>
      <c r="V142" s="16">
        <v>2</v>
      </c>
      <c r="W142" s="16" t="s">
        <v>480</v>
      </c>
      <c r="X142" s="16">
        <v>400</v>
      </c>
      <c r="Y142" s="16">
        <v>0</v>
      </c>
      <c r="Z142" s="16" t="s">
        <v>151</v>
      </c>
      <c r="AA142" s="16">
        <v>600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250</v>
      </c>
      <c r="AQ142" s="16">
        <v>0.7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</row>
    <row r="143" spans="2:69" s="6" customFormat="1">
      <c r="B143" s="16" t="s">
        <v>574</v>
      </c>
      <c r="C143" s="6" t="s">
        <v>71</v>
      </c>
      <c r="D143" s="16" t="s">
        <v>282</v>
      </c>
      <c r="E143" s="37" t="s">
        <v>575</v>
      </c>
      <c r="F143" s="37"/>
      <c r="G143" s="37" t="s">
        <v>576</v>
      </c>
      <c r="H143" s="16"/>
      <c r="I143" s="16" t="s">
        <v>285</v>
      </c>
      <c r="J143" s="16" t="s">
        <v>372</v>
      </c>
      <c r="K143" s="16"/>
      <c r="L143" s="16">
        <v>0</v>
      </c>
      <c r="M143" s="16">
        <v>0</v>
      </c>
      <c r="N143" s="16"/>
      <c r="O143" s="16" t="s">
        <v>577</v>
      </c>
      <c r="P143" s="16">
        <v>2.1</v>
      </c>
      <c r="Q143" s="16"/>
      <c r="R143" s="16"/>
      <c r="S143" s="16"/>
      <c r="T143" s="16"/>
      <c r="U143" s="16">
        <v>2</v>
      </c>
      <c r="V143" s="16">
        <v>2</v>
      </c>
      <c r="W143" s="16" t="s">
        <v>480</v>
      </c>
      <c r="X143" s="16">
        <v>400</v>
      </c>
      <c r="Y143" s="16">
        <v>0</v>
      </c>
      <c r="Z143" s="16" t="s">
        <v>151</v>
      </c>
      <c r="AA143" s="16">
        <v>600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250</v>
      </c>
      <c r="AQ143" s="16">
        <v>1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</row>
    <row r="144" spans="2:69" s="6" customFormat="1">
      <c r="B144" s="16" t="s">
        <v>578</v>
      </c>
      <c r="C144" s="6" t="s">
        <v>71</v>
      </c>
      <c r="D144" s="16" t="s">
        <v>282</v>
      </c>
      <c r="E144" s="37" t="s">
        <v>579</v>
      </c>
      <c r="F144" s="37"/>
      <c r="G144" s="37" t="s">
        <v>576</v>
      </c>
      <c r="H144" s="16"/>
      <c r="I144" s="16" t="s">
        <v>285</v>
      </c>
      <c r="J144" s="16" t="s">
        <v>372</v>
      </c>
      <c r="K144" s="16"/>
      <c r="L144" s="16">
        <v>0</v>
      </c>
      <c r="M144" s="16">
        <v>0</v>
      </c>
      <c r="N144" s="16"/>
      <c r="O144" s="16" t="s">
        <v>577</v>
      </c>
      <c r="P144" s="16">
        <v>2.1</v>
      </c>
      <c r="Q144" s="16"/>
      <c r="R144" s="16"/>
      <c r="S144" s="16"/>
      <c r="T144" s="16"/>
      <c r="U144" s="16">
        <v>2</v>
      </c>
      <c r="V144" s="16">
        <v>2</v>
      </c>
      <c r="W144" s="16" t="s">
        <v>480</v>
      </c>
      <c r="X144" s="16">
        <v>400</v>
      </c>
      <c r="Y144" s="16">
        <v>0</v>
      </c>
      <c r="Z144" s="16" t="s">
        <v>151</v>
      </c>
      <c r="AA144" s="16">
        <v>600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250</v>
      </c>
      <c r="AQ144" s="16">
        <v>0.9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</row>
    <row r="145" spans="2:72" s="6" customFormat="1">
      <c r="B145" s="16" t="s">
        <v>580</v>
      </c>
      <c r="C145" s="6" t="s">
        <v>71</v>
      </c>
      <c r="D145" s="16" t="s">
        <v>282</v>
      </c>
      <c r="E145" s="37" t="s">
        <v>581</v>
      </c>
      <c r="F145" s="37"/>
      <c r="G145" s="37" t="s">
        <v>576</v>
      </c>
      <c r="H145" s="16"/>
      <c r="I145" s="16" t="s">
        <v>285</v>
      </c>
      <c r="J145" s="16" t="s">
        <v>372</v>
      </c>
      <c r="K145" s="16"/>
      <c r="L145" s="16">
        <v>0</v>
      </c>
      <c r="M145" s="16">
        <v>0</v>
      </c>
      <c r="N145" s="16"/>
      <c r="O145" s="16" t="s">
        <v>577</v>
      </c>
      <c r="P145" s="16">
        <v>2.1</v>
      </c>
      <c r="Q145" s="16"/>
      <c r="R145" s="16"/>
      <c r="S145" s="16"/>
      <c r="T145" s="16"/>
      <c r="U145" s="16">
        <v>2</v>
      </c>
      <c r="V145" s="16">
        <v>2</v>
      </c>
      <c r="W145" s="16" t="s">
        <v>480</v>
      </c>
      <c r="X145" s="16">
        <v>400</v>
      </c>
      <c r="Y145" s="16">
        <v>0</v>
      </c>
      <c r="Z145" s="16" t="s">
        <v>151</v>
      </c>
      <c r="AA145" s="16">
        <v>600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250</v>
      </c>
      <c r="AQ145" s="16">
        <v>0.8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</row>
    <row r="146" spans="2:72" s="6" customFormat="1">
      <c r="B146" s="16" t="s">
        <v>582</v>
      </c>
      <c r="C146" s="6" t="s">
        <v>71</v>
      </c>
      <c r="D146" s="16" t="s">
        <v>282</v>
      </c>
      <c r="E146" s="37" t="s">
        <v>583</v>
      </c>
      <c r="F146" s="37"/>
      <c r="G146" s="37" t="s">
        <v>576</v>
      </c>
      <c r="H146" s="16"/>
      <c r="I146" s="16" t="s">
        <v>285</v>
      </c>
      <c r="J146" s="16" t="s">
        <v>459</v>
      </c>
      <c r="K146" s="16"/>
      <c r="L146" s="16">
        <v>0</v>
      </c>
      <c r="M146" s="16">
        <v>0</v>
      </c>
      <c r="N146" s="16"/>
      <c r="O146" s="16" t="s">
        <v>577</v>
      </c>
      <c r="P146" s="16">
        <v>2.1</v>
      </c>
      <c r="Q146" s="16"/>
      <c r="R146" s="16"/>
      <c r="S146" s="16"/>
      <c r="T146" s="16"/>
      <c r="U146" s="16">
        <v>2</v>
      </c>
      <c r="V146" s="16">
        <v>2</v>
      </c>
      <c r="W146" s="16" t="s">
        <v>480</v>
      </c>
      <c r="X146" s="16">
        <v>400</v>
      </c>
      <c r="Y146" s="16">
        <v>0</v>
      </c>
      <c r="Z146" s="16" t="s">
        <v>151</v>
      </c>
      <c r="AA146" s="16">
        <v>600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250</v>
      </c>
      <c r="AQ146" s="16">
        <v>0.7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</row>
    <row r="147" spans="2:72" s="6" customFormat="1">
      <c r="B147" s="16" t="s">
        <v>584</v>
      </c>
      <c r="C147" s="6" t="s">
        <v>71</v>
      </c>
      <c r="D147" s="16" t="s">
        <v>282</v>
      </c>
      <c r="E147" s="37" t="s">
        <v>563</v>
      </c>
      <c r="F147" s="37"/>
      <c r="G147" s="37" t="s">
        <v>576</v>
      </c>
      <c r="H147" s="16"/>
      <c r="I147" s="16" t="s">
        <v>285</v>
      </c>
      <c r="J147" s="16" t="s">
        <v>459</v>
      </c>
      <c r="K147" s="16"/>
      <c r="L147" s="16">
        <v>0</v>
      </c>
      <c r="M147" s="16">
        <v>0</v>
      </c>
      <c r="N147" s="16"/>
      <c r="O147" s="16" t="s">
        <v>577</v>
      </c>
      <c r="P147" s="16">
        <v>2.1</v>
      </c>
      <c r="Q147" s="16"/>
      <c r="R147" s="16"/>
      <c r="S147" s="16"/>
      <c r="T147" s="16"/>
      <c r="U147" s="16">
        <v>2</v>
      </c>
      <c r="V147" s="16">
        <v>2</v>
      </c>
      <c r="W147" s="16" t="s">
        <v>480</v>
      </c>
      <c r="X147" s="16">
        <v>400</v>
      </c>
      <c r="Y147" s="16">
        <v>0</v>
      </c>
      <c r="Z147" s="16" t="s">
        <v>151</v>
      </c>
      <c r="AA147" s="16">
        <v>600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0.7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</row>
    <row r="148" spans="2:72" s="6" customFormat="1">
      <c r="B148" t="s">
        <v>585</v>
      </c>
      <c r="C148" s="6" t="s">
        <v>71</v>
      </c>
      <c r="D148" s="16" t="s">
        <v>282</v>
      </c>
      <c r="E148" s="32" t="s">
        <v>586</v>
      </c>
      <c r="F148" s="24"/>
      <c r="G148" s="16" t="s">
        <v>587</v>
      </c>
      <c r="H148" s="16"/>
      <c r="I148" s="16" t="s">
        <v>285</v>
      </c>
      <c r="J148" s="16"/>
      <c r="K148" s="16"/>
      <c r="L148" s="16">
        <v>0</v>
      </c>
      <c r="M148" s="16">
        <v>0</v>
      </c>
      <c r="N148" s="16"/>
      <c r="O148" s="16" t="s">
        <v>588</v>
      </c>
      <c r="P148" s="16">
        <v>1.1000000000000001</v>
      </c>
      <c r="Q148" s="16"/>
      <c r="R148" s="16"/>
      <c r="S148" s="16"/>
      <c r="T148" s="16"/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0.8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589</v>
      </c>
    </row>
    <row r="149" spans="2:72" s="6" customFormat="1">
      <c r="B149" t="s">
        <v>590</v>
      </c>
      <c r="C149" s="6" t="s">
        <v>71</v>
      </c>
      <c r="D149" s="16" t="s">
        <v>282</v>
      </c>
      <c r="E149" s="32" t="s">
        <v>591</v>
      </c>
      <c r="F149" s="24"/>
      <c r="G149" s="16" t="s">
        <v>587</v>
      </c>
      <c r="H149" s="16"/>
      <c r="I149" s="16" t="s">
        <v>285</v>
      </c>
      <c r="J149" s="16" t="s">
        <v>592</v>
      </c>
      <c r="K149" s="16"/>
      <c r="L149" s="16">
        <v>0</v>
      </c>
      <c r="M149" s="16">
        <v>0</v>
      </c>
      <c r="N149" s="16"/>
      <c r="O149" s="16" t="s">
        <v>593</v>
      </c>
      <c r="P149" s="16">
        <v>2.2000000000000002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400</v>
      </c>
      <c r="AQ149" s="16">
        <v>0.5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589</v>
      </c>
    </row>
    <row r="150" spans="2:72" s="6" customFormat="1">
      <c r="B150" t="s">
        <v>594</v>
      </c>
      <c r="C150" s="6" t="s">
        <v>71</v>
      </c>
      <c r="D150" s="16" t="s">
        <v>282</v>
      </c>
      <c r="E150" s="32" t="s">
        <v>595</v>
      </c>
      <c r="F150" s="24"/>
      <c r="G150" s="16" t="s">
        <v>587</v>
      </c>
      <c r="H150" s="16"/>
      <c r="I150" s="16" t="s">
        <v>285</v>
      </c>
      <c r="J150" s="12" t="s">
        <v>596</v>
      </c>
      <c r="K150" s="16"/>
      <c r="L150" s="16">
        <v>0</v>
      </c>
      <c r="M150" s="16">
        <v>0</v>
      </c>
      <c r="N150" s="16"/>
      <c r="O150" s="10" t="s">
        <v>247</v>
      </c>
      <c r="P150" s="16">
        <v>1.3</v>
      </c>
      <c r="Q150" s="16"/>
      <c r="R150" s="16">
        <v>255</v>
      </c>
      <c r="S150" s="16">
        <v>100</v>
      </c>
      <c r="T150" s="16">
        <v>100</v>
      </c>
      <c r="U150" s="16">
        <v>2</v>
      </c>
      <c r="V150" s="16">
        <v>2</v>
      </c>
      <c r="W150" s="16" t="s">
        <v>150</v>
      </c>
      <c r="X150" s="16">
        <v>450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400</v>
      </c>
      <c r="AQ150" s="16">
        <v>0.5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589</v>
      </c>
    </row>
    <row r="151" spans="2:72" s="6" customFormat="1">
      <c r="B151" t="s">
        <v>597</v>
      </c>
      <c r="C151" s="6" t="s">
        <v>71</v>
      </c>
      <c r="D151" s="16" t="s">
        <v>282</v>
      </c>
      <c r="E151" s="32" t="s">
        <v>598</v>
      </c>
      <c r="F151" s="24"/>
      <c r="G151" s="16" t="s">
        <v>587</v>
      </c>
      <c r="H151" s="16"/>
      <c r="I151" s="16" t="s">
        <v>285</v>
      </c>
      <c r="J151" s="12" t="s">
        <v>599</v>
      </c>
      <c r="K151" s="16"/>
      <c r="L151" s="16">
        <v>0</v>
      </c>
      <c r="M151" s="16">
        <v>0</v>
      </c>
      <c r="N151" s="16"/>
      <c r="O151" s="16" t="s">
        <v>600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589</v>
      </c>
    </row>
    <row r="152" spans="2:72" s="6" customFormat="1">
      <c r="B152" t="s">
        <v>601</v>
      </c>
      <c r="C152" s="6" t="s">
        <v>71</v>
      </c>
      <c r="D152" s="16" t="s">
        <v>282</v>
      </c>
      <c r="E152" s="32" t="s">
        <v>602</v>
      </c>
      <c r="F152" s="24"/>
      <c r="G152" s="16" t="s">
        <v>587</v>
      </c>
      <c r="H152" s="16"/>
      <c r="I152" s="16" t="s">
        <v>285</v>
      </c>
      <c r="J152" s="12" t="s">
        <v>603</v>
      </c>
      <c r="K152" s="16"/>
      <c r="L152" s="16">
        <v>0</v>
      </c>
      <c r="M152" s="16">
        <v>0</v>
      </c>
      <c r="N152" s="16"/>
      <c r="O152" s="16" t="s">
        <v>449</v>
      </c>
      <c r="P152" s="16">
        <v>1.35</v>
      </c>
      <c r="Q152" s="16"/>
      <c r="R152" s="16"/>
      <c r="S152" s="16"/>
      <c r="T152" s="16"/>
      <c r="U152" s="16">
        <v>2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500</v>
      </c>
      <c r="AQ152" s="16">
        <v>0.2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589</v>
      </c>
    </row>
    <row r="153" spans="2:72" s="6" customFormat="1">
      <c r="B153" t="s">
        <v>604</v>
      </c>
      <c r="C153" s="6" t="s">
        <v>71</v>
      </c>
      <c r="D153" s="16" t="s">
        <v>282</v>
      </c>
      <c r="E153" s="32" t="s">
        <v>605</v>
      </c>
      <c r="F153" s="24"/>
      <c r="G153" s="16" t="s">
        <v>606</v>
      </c>
      <c r="H153" s="16"/>
      <c r="I153" s="16" t="s">
        <v>285</v>
      </c>
      <c r="J153" s="16" t="s">
        <v>607</v>
      </c>
      <c r="K153" s="16"/>
      <c r="L153" s="16">
        <v>0</v>
      </c>
      <c r="M153" s="16">
        <v>0</v>
      </c>
      <c r="N153" s="16"/>
      <c r="O153" s="16" t="s">
        <v>608</v>
      </c>
      <c r="P153" s="16">
        <v>1.4</v>
      </c>
      <c r="Q153" s="16"/>
      <c r="R153" s="16"/>
      <c r="S153" s="16"/>
      <c r="T153" s="16"/>
      <c r="U153" s="16">
        <v>1</v>
      </c>
      <c r="V153" s="16">
        <v>2</v>
      </c>
      <c r="W153" s="16" t="s">
        <v>150</v>
      </c>
      <c r="X153" s="16">
        <v>350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400</v>
      </c>
      <c r="AQ153" s="16">
        <v>0.5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589</v>
      </c>
    </row>
    <row r="154" spans="2:72" s="6" customFormat="1">
      <c r="B154" t="s">
        <v>609</v>
      </c>
      <c r="C154" s="6" t="s">
        <v>71</v>
      </c>
      <c r="D154" s="16" t="s">
        <v>282</v>
      </c>
      <c r="E154" s="32" t="s">
        <v>610</v>
      </c>
      <c r="F154" s="24"/>
      <c r="G154" s="16" t="s">
        <v>606</v>
      </c>
      <c r="H154" s="16"/>
      <c r="I154" s="16" t="s">
        <v>285</v>
      </c>
      <c r="J154" s="12" t="s">
        <v>611</v>
      </c>
      <c r="K154" s="16"/>
      <c r="L154" s="16">
        <v>0</v>
      </c>
      <c r="M154" s="16">
        <v>0</v>
      </c>
      <c r="N154" s="16"/>
      <c r="O154" s="16" t="s">
        <v>612</v>
      </c>
      <c r="P154" s="16">
        <v>2</v>
      </c>
      <c r="Q154" s="16"/>
      <c r="R154" s="16"/>
      <c r="S154" s="16"/>
      <c r="T154" s="16"/>
      <c r="U154" s="16">
        <v>2</v>
      </c>
      <c r="V154" s="16">
        <v>2</v>
      </c>
      <c r="W154" s="16" t="s">
        <v>150</v>
      </c>
      <c r="X154" s="16">
        <v>400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0.5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589</v>
      </c>
    </row>
    <row r="155" spans="2:72" s="6" customFormat="1">
      <c r="B155" t="s">
        <v>613</v>
      </c>
      <c r="C155" s="6" t="s">
        <v>71</v>
      </c>
      <c r="D155" s="16" t="s">
        <v>282</v>
      </c>
      <c r="E155" s="32" t="s">
        <v>614</v>
      </c>
      <c r="F155" s="24"/>
      <c r="G155" s="16" t="s">
        <v>606</v>
      </c>
      <c r="H155" s="16"/>
      <c r="I155" s="16" t="s">
        <v>285</v>
      </c>
      <c r="J155" s="12" t="s">
        <v>615</v>
      </c>
      <c r="K155" s="16"/>
      <c r="L155" s="16">
        <v>0</v>
      </c>
      <c r="M155" s="16">
        <v>0</v>
      </c>
      <c r="N155" s="16"/>
      <c r="O155" s="16" t="s">
        <v>616</v>
      </c>
      <c r="P155" s="16">
        <v>2.2000000000000002</v>
      </c>
      <c r="Q155" s="16"/>
      <c r="R155" s="16"/>
      <c r="S155" s="16"/>
      <c r="T155" s="16"/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600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589</v>
      </c>
    </row>
    <row r="156" spans="2:72" s="6" customFormat="1">
      <c r="B156" t="s">
        <v>617</v>
      </c>
      <c r="C156" s="6" t="s">
        <v>71</v>
      </c>
      <c r="D156" s="16" t="s">
        <v>282</v>
      </c>
      <c r="E156" s="32" t="s">
        <v>618</v>
      </c>
      <c r="F156" s="24"/>
      <c r="G156" s="16" t="s">
        <v>619</v>
      </c>
      <c r="H156" s="16"/>
      <c r="I156" s="16" t="s">
        <v>285</v>
      </c>
      <c r="J156" s="12" t="s">
        <v>620</v>
      </c>
      <c r="K156" s="16"/>
      <c r="L156" s="16">
        <v>0</v>
      </c>
      <c r="M156" s="16">
        <v>0</v>
      </c>
      <c r="N156" s="16"/>
      <c r="O156" s="16" t="s">
        <v>621</v>
      </c>
      <c r="P156" s="16">
        <v>1.6</v>
      </c>
      <c r="Q156" s="16"/>
      <c r="R156" s="16"/>
      <c r="S156" s="16"/>
      <c r="T156" s="16"/>
      <c r="U156" s="16">
        <v>2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500</v>
      </c>
      <c r="AQ156" s="16">
        <v>0.4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589</v>
      </c>
    </row>
    <row r="157" spans="2:72" s="6" customFormat="1">
      <c r="B157" t="s">
        <v>622</v>
      </c>
      <c r="C157" s="6" t="s">
        <v>71</v>
      </c>
      <c r="D157" s="16" t="s">
        <v>282</v>
      </c>
      <c r="E157" s="32" t="s">
        <v>623</v>
      </c>
      <c r="F157" s="24"/>
      <c r="G157" s="16" t="s">
        <v>619</v>
      </c>
      <c r="H157" s="16"/>
      <c r="I157" s="16" t="s">
        <v>285</v>
      </c>
      <c r="J157" s="10" t="s">
        <v>624</v>
      </c>
      <c r="K157" s="16"/>
      <c r="L157" s="16">
        <v>0</v>
      </c>
      <c r="M157" s="16">
        <v>0</v>
      </c>
      <c r="N157" s="16"/>
      <c r="O157" s="16" t="s">
        <v>621</v>
      </c>
      <c r="P157" s="16">
        <v>1.6</v>
      </c>
      <c r="Q157" s="16"/>
      <c r="R157" s="16">
        <v>0</v>
      </c>
      <c r="S157" s="16">
        <v>255</v>
      </c>
      <c r="T157" s="16">
        <v>255</v>
      </c>
      <c r="U157" s="16">
        <v>2</v>
      </c>
      <c r="V157" s="16">
        <v>2</v>
      </c>
      <c r="W157" s="16" t="s">
        <v>150</v>
      </c>
      <c r="X157" s="16">
        <v>350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500</v>
      </c>
      <c r="AQ157" s="16">
        <v>0.2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589</v>
      </c>
    </row>
    <row r="158" spans="2:72" s="6" customFormat="1">
      <c r="B158" t="s">
        <v>625</v>
      </c>
      <c r="C158" s="6" t="s">
        <v>71</v>
      </c>
      <c r="D158" s="16" t="s">
        <v>282</v>
      </c>
      <c r="E158" s="32" t="s">
        <v>626</v>
      </c>
      <c r="F158" s="24"/>
      <c r="G158" s="16" t="s">
        <v>619</v>
      </c>
      <c r="H158" s="16"/>
      <c r="I158" s="16" t="s">
        <v>285</v>
      </c>
      <c r="J158" s="10" t="s">
        <v>627</v>
      </c>
      <c r="K158" s="16"/>
      <c r="L158" s="16">
        <v>0</v>
      </c>
      <c r="M158" s="16">
        <v>0</v>
      </c>
      <c r="N158" s="16"/>
      <c r="O158" s="16" t="s">
        <v>621</v>
      </c>
      <c r="P158" s="16">
        <v>1.6</v>
      </c>
      <c r="Q158" s="16"/>
      <c r="R158" s="16">
        <v>255</v>
      </c>
      <c r="S158" s="16">
        <v>255</v>
      </c>
      <c r="T158" s="16">
        <v>0</v>
      </c>
      <c r="U158" s="16">
        <v>2</v>
      </c>
      <c r="V158" s="16">
        <v>2</v>
      </c>
      <c r="W158" s="16" t="s">
        <v>150</v>
      </c>
      <c r="X158" s="16">
        <v>350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500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589</v>
      </c>
    </row>
    <row r="159" spans="2:72" s="6" customFormat="1">
      <c r="B159" t="s">
        <v>628</v>
      </c>
      <c r="C159" s="6" t="s">
        <v>71</v>
      </c>
      <c r="D159" s="16" t="s">
        <v>282</v>
      </c>
      <c r="E159" s="32" t="s">
        <v>629</v>
      </c>
      <c r="F159" s="24"/>
      <c r="G159" s="16" t="s">
        <v>619</v>
      </c>
      <c r="H159" s="16"/>
      <c r="I159" s="16" t="s">
        <v>285</v>
      </c>
      <c r="J159" s="10" t="s">
        <v>630</v>
      </c>
      <c r="K159" s="16"/>
      <c r="L159" s="16">
        <v>0</v>
      </c>
      <c r="M159" s="16">
        <v>0</v>
      </c>
      <c r="N159" s="16"/>
      <c r="O159" s="16" t="s">
        <v>621</v>
      </c>
      <c r="P159" s="16">
        <v>1.6</v>
      </c>
      <c r="Q159" s="16"/>
      <c r="R159" s="16">
        <v>255</v>
      </c>
      <c r="S159" s="16">
        <v>0</v>
      </c>
      <c r="T159" s="16">
        <v>255</v>
      </c>
      <c r="U159" s="16">
        <v>2</v>
      </c>
      <c r="V159" s="16">
        <v>2</v>
      </c>
      <c r="W159" s="16" t="s">
        <v>150</v>
      </c>
      <c r="X159" s="16">
        <v>350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0.2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589</v>
      </c>
    </row>
    <row r="160" spans="2:72" s="6" customFormat="1">
      <c r="B160" t="s">
        <v>631</v>
      </c>
      <c r="C160" s="6" t="s">
        <v>71</v>
      </c>
      <c r="D160" s="16" t="s">
        <v>282</v>
      </c>
      <c r="E160" s="32" t="s">
        <v>632</v>
      </c>
      <c r="F160" s="24"/>
      <c r="G160" s="16" t="s">
        <v>619</v>
      </c>
      <c r="H160" s="16"/>
      <c r="I160" s="16" t="s">
        <v>285</v>
      </c>
      <c r="J160" s="10" t="s">
        <v>633</v>
      </c>
      <c r="K160" s="16"/>
      <c r="L160" s="16">
        <v>0</v>
      </c>
      <c r="M160" s="16">
        <v>0</v>
      </c>
      <c r="N160" s="16"/>
      <c r="O160" s="16" t="s">
        <v>621</v>
      </c>
      <c r="P160" s="16">
        <v>1.6</v>
      </c>
      <c r="Q160" s="16"/>
      <c r="R160" s="16">
        <v>0</v>
      </c>
      <c r="S160" s="16">
        <v>0</v>
      </c>
      <c r="T160" s="16">
        <v>255</v>
      </c>
      <c r="U160" s="16">
        <v>2</v>
      </c>
      <c r="V160" s="16">
        <v>2</v>
      </c>
      <c r="W160" s="16" t="s">
        <v>150</v>
      </c>
      <c r="X160" s="16">
        <v>350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589</v>
      </c>
    </row>
    <row r="161" spans="2:72" s="6" customFormat="1">
      <c r="B161" t="s">
        <v>634</v>
      </c>
      <c r="C161" s="6" t="s">
        <v>71</v>
      </c>
      <c r="D161" s="16" t="s">
        <v>282</v>
      </c>
      <c r="E161" s="32" t="s">
        <v>635</v>
      </c>
      <c r="F161" s="24"/>
      <c r="G161" s="16" t="s">
        <v>636</v>
      </c>
      <c r="H161" s="16"/>
      <c r="I161" s="16" t="s">
        <v>285</v>
      </c>
      <c r="J161" s="12" t="s">
        <v>637</v>
      </c>
      <c r="K161" s="16"/>
      <c r="L161" s="16">
        <v>0</v>
      </c>
      <c r="M161" s="16">
        <v>0</v>
      </c>
      <c r="N161" s="16"/>
      <c r="O161" s="16" t="s">
        <v>638</v>
      </c>
      <c r="P161" s="16">
        <v>2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0.4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589</v>
      </c>
    </row>
    <row r="162" spans="2:72" s="6" customFormat="1">
      <c r="B162" t="s">
        <v>639</v>
      </c>
      <c r="C162" s="6" t="s">
        <v>71</v>
      </c>
      <c r="D162" s="16" t="s">
        <v>282</v>
      </c>
      <c r="E162" s="32" t="s">
        <v>640</v>
      </c>
      <c r="F162" s="24"/>
      <c r="G162" s="16" t="s">
        <v>636</v>
      </c>
      <c r="H162" s="16"/>
      <c r="I162" s="16" t="s">
        <v>285</v>
      </c>
      <c r="J162" s="12" t="s">
        <v>641</v>
      </c>
      <c r="K162" s="16"/>
      <c r="L162" s="16">
        <v>0</v>
      </c>
      <c r="M162" s="16">
        <v>0</v>
      </c>
      <c r="N162" s="16"/>
      <c r="O162" s="16" t="s">
        <v>642</v>
      </c>
      <c r="P162" s="16">
        <v>1.2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0.4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589</v>
      </c>
    </row>
    <row r="163" spans="2:72" s="6" customFormat="1">
      <c r="B163" t="s">
        <v>643</v>
      </c>
      <c r="C163" s="6" t="s">
        <v>71</v>
      </c>
      <c r="D163" s="16" t="s">
        <v>282</v>
      </c>
      <c r="E163" s="32" t="s">
        <v>644</v>
      </c>
      <c r="F163" s="24"/>
      <c r="G163" s="16" t="s">
        <v>636</v>
      </c>
      <c r="H163" s="16"/>
      <c r="I163" s="16" t="s">
        <v>285</v>
      </c>
      <c r="J163" s="16"/>
      <c r="K163" s="16"/>
      <c r="L163" s="16">
        <v>0</v>
      </c>
      <c r="M163" s="16">
        <v>0</v>
      </c>
      <c r="N163" s="16"/>
      <c r="O163" s="16" t="s">
        <v>645</v>
      </c>
      <c r="P163" s="16">
        <v>0.85</v>
      </c>
      <c r="Q163" s="16"/>
      <c r="R163" s="16">
        <v>0</v>
      </c>
      <c r="S163" s="16">
        <v>255</v>
      </c>
      <c r="T163" s="16">
        <v>255</v>
      </c>
      <c r="U163" s="16">
        <v>0.5</v>
      </c>
      <c r="V163" s="16">
        <v>2</v>
      </c>
      <c r="W163" s="16" t="s">
        <v>150</v>
      </c>
      <c r="X163" s="16">
        <v>300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250</v>
      </c>
      <c r="AQ163" s="16">
        <v>0.4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589</v>
      </c>
    </row>
    <row r="164" spans="2:72" s="6" customFormat="1">
      <c r="B164" t="s">
        <v>646</v>
      </c>
      <c r="C164" s="6" t="s">
        <v>71</v>
      </c>
      <c r="D164" s="16" t="s">
        <v>282</v>
      </c>
      <c r="E164" s="32" t="s">
        <v>644</v>
      </c>
      <c r="F164" s="24"/>
      <c r="G164" s="16" t="s">
        <v>636</v>
      </c>
      <c r="H164" s="16"/>
      <c r="I164" s="16" t="s">
        <v>285</v>
      </c>
      <c r="J164" s="16"/>
      <c r="K164" s="16"/>
      <c r="L164" s="16">
        <v>0</v>
      </c>
      <c r="M164" s="16">
        <v>0</v>
      </c>
      <c r="N164" s="16"/>
      <c r="O164" s="16" t="s">
        <v>645</v>
      </c>
      <c r="P164" s="16">
        <v>0.85</v>
      </c>
      <c r="Q164" s="16"/>
      <c r="R164" s="16">
        <v>0</v>
      </c>
      <c r="S164" s="16">
        <v>255</v>
      </c>
      <c r="T164" s="16">
        <v>255</v>
      </c>
      <c r="U164" s="16">
        <v>0.5</v>
      </c>
      <c r="V164" s="16">
        <v>2</v>
      </c>
      <c r="W164" s="16" t="s">
        <v>150</v>
      </c>
      <c r="X164" s="16">
        <v>350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250</v>
      </c>
      <c r="AQ164" s="16">
        <v>0.4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589</v>
      </c>
    </row>
    <row r="165" spans="2:72" s="6" customFormat="1">
      <c r="B165" t="s">
        <v>647</v>
      </c>
      <c r="C165" s="6" t="s">
        <v>71</v>
      </c>
      <c r="D165" s="16" t="s">
        <v>282</v>
      </c>
      <c r="E165" s="32" t="s">
        <v>648</v>
      </c>
      <c r="F165" s="24"/>
      <c r="G165" s="16" t="s">
        <v>636</v>
      </c>
      <c r="H165" s="16"/>
      <c r="I165" s="16" t="s">
        <v>285</v>
      </c>
      <c r="J165" s="12" t="s">
        <v>649</v>
      </c>
      <c r="K165" s="16"/>
      <c r="L165" s="16">
        <v>0</v>
      </c>
      <c r="M165" s="16">
        <v>0</v>
      </c>
      <c r="N165" s="16"/>
      <c r="O165" s="16" t="s">
        <v>650</v>
      </c>
      <c r="P165" s="16">
        <v>1.5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400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589</v>
      </c>
    </row>
    <row r="166" spans="2:72" s="6" customFormat="1">
      <c r="B166" t="s">
        <v>651</v>
      </c>
      <c r="C166" s="6" t="s">
        <v>71</v>
      </c>
      <c r="D166" s="16" t="s">
        <v>282</v>
      </c>
      <c r="E166" s="32" t="s">
        <v>652</v>
      </c>
      <c r="F166" s="24"/>
      <c r="G166" s="16" t="s">
        <v>636</v>
      </c>
      <c r="H166" s="16"/>
      <c r="I166" s="16" t="s">
        <v>285</v>
      </c>
      <c r="J166" s="16"/>
      <c r="K166" s="16"/>
      <c r="L166" s="16">
        <v>0</v>
      </c>
      <c r="M166" s="16">
        <v>0</v>
      </c>
      <c r="N166" s="16"/>
      <c r="O166" s="16" t="s">
        <v>653</v>
      </c>
      <c r="P166" s="16">
        <v>1</v>
      </c>
      <c r="Q166" s="16"/>
      <c r="R166" s="16"/>
      <c r="S166" s="16"/>
      <c r="T166" s="16"/>
      <c r="U166" s="16">
        <v>0.5</v>
      </c>
      <c r="V166" s="16">
        <v>2</v>
      </c>
      <c r="W166" s="16" t="s">
        <v>150</v>
      </c>
      <c r="X166" s="16">
        <v>400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250</v>
      </c>
      <c r="AQ166" s="16">
        <v>0.4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589</v>
      </c>
    </row>
    <row r="167" spans="2:72" s="6" customFormat="1">
      <c r="B167" t="s">
        <v>654</v>
      </c>
      <c r="C167" s="6" t="s">
        <v>71</v>
      </c>
      <c r="D167" s="16" t="s">
        <v>282</v>
      </c>
      <c r="E167" s="32" t="s">
        <v>655</v>
      </c>
      <c r="F167" s="24"/>
      <c r="G167" s="16" t="s">
        <v>636</v>
      </c>
      <c r="H167" s="16"/>
      <c r="I167" s="16" t="s">
        <v>285</v>
      </c>
      <c r="J167" s="12" t="s">
        <v>656</v>
      </c>
      <c r="K167" s="16"/>
      <c r="L167" s="16">
        <v>0</v>
      </c>
      <c r="M167" s="16">
        <v>0</v>
      </c>
      <c r="N167" s="16"/>
      <c r="O167" s="16" t="s">
        <v>657</v>
      </c>
      <c r="P167" s="16">
        <v>1.5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400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589</v>
      </c>
    </row>
    <row r="168" spans="2:72" s="6" customFormat="1">
      <c r="B168" t="s">
        <v>658</v>
      </c>
      <c r="C168" s="6" t="s">
        <v>71</v>
      </c>
      <c r="D168" s="16" t="s">
        <v>282</v>
      </c>
      <c r="E168" s="32" t="s">
        <v>659</v>
      </c>
      <c r="F168" s="24"/>
      <c r="G168" s="16" t="s">
        <v>636</v>
      </c>
      <c r="H168" s="16"/>
      <c r="I168" s="16" t="s">
        <v>285</v>
      </c>
      <c r="J168" s="16"/>
      <c r="K168" s="16"/>
      <c r="L168" s="16">
        <v>0</v>
      </c>
      <c r="M168" s="16">
        <v>0</v>
      </c>
      <c r="N168" s="16"/>
      <c r="O168" s="16" t="s">
        <v>660</v>
      </c>
      <c r="P168" s="16">
        <v>1.1000000000000001</v>
      </c>
      <c r="Q168" s="16"/>
      <c r="R168" s="16"/>
      <c r="S168" s="16"/>
      <c r="T168" s="16"/>
      <c r="U168" s="16">
        <v>0.5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250</v>
      </c>
      <c r="AQ168" s="16">
        <v>0.4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589</v>
      </c>
    </row>
    <row r="169" spans="2:72" s="6" customFormat="1">
      <c r="B169" t="s">
        <v>661</v>
      </c>
      <c r="C169" s="6" t="s">
        <v>71</v>
      </c>
      <c r="D169" s="16" t="s">
        <v>282</v>
      </c>
      <c r="E169" s="32" t="s">
        <v>662</v>
      </c>
      <c r="F169" s="24"/>
      <c r="G169" s="16" t="s">
        <v>636</v>
      </c>
      <c r="H169" s="16"/>
      <c r="I169" s="16" t="s">
        <v>285</v>
      </c>
      <c r="J169" s="12" t="s">
        <v>663</v>
      </c>
      <c r="K169" s="16"/>
      <c r="L169" s="16">
        <v>0</v>
      </c>
      <c r="M169" s="16">
        <v>0</v>
      </c>
      <c r="N169" s="16"/>
      <c r="O169" s="16" t="s">
        <v>664</v>
      </c>
      <c r="P169" s="16">
        <v>1.5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400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500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589</v>
      </c>
    </row>
    <row r="170" spans="2:72" s="6" customFormat="1">
      <c r="B170" t="s">
        <v>665</v>
      </c>
      <c r="C170" s="6" t="s">
        <v>71</v>
      </c>
      <c r="D170" s="16" t="s">
        <v>282</v>
      </c>
      <c r="E170" s="32" t="s">
        <v>666</v>
      </c>
      <c r="F170" s="24"/>
      <c r="G170" s="16" t="s">
        <v>636</v>
      </c>
      <c r="H170" s="16"/>
      <c r="I170" s="16" t="s">
        <v>285</v>
      </c>
      <c r="J170" s="16"/>
      <c r="K170" s="16"/>
      <c r="L170" s="16">
        <v>0</v>
      </c>
      <c r="M170" s="16">
        <v>0</v>
      </c>
      <c r="N170" s="16"/>
      <c r="O170" s="16" t="s">
        <v>667</v>
      </c>
      <c r="P170" s="16">
        <v>1.3</v>
      </c>
      <c r="Q170" s="16"/>
      <c r="R170" s="16"/>
      <c r="S170" s="16"/>
      <c r="T170" s="16"/>
      <c r="U170" s="16">
        <v>1</v>
      </c>
      <c r="V170" s="16">
        <v>2</v>
      </c>
      <c r="W170" s="16" t="s">
        <v>150</v>
      </c>
      <c r="X170" s="16">
        <v>450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0.4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589</v>
      </c>
    </row>
    <row r="171" spans="2:72" s="6" customFormat="1">
      <c r="B171" t="s">
        <v>668</v>
      </c>
      <c r="C171" s="6" t="s">
        <v>71</v>
      </c>
      <c r="D171" s="16" t="s">
        <v>282</v>
      </c>
      <c r="E171" s="32" t="s">
        <v>669</v>
      </c>
      <c r="F171" s="24"/>
      <c r="G171" s="16" t="s">
        <v>670</v>
      </c>
      <c r="H171" s="16"/>
      <c r="I171" s="16" t="s">
        <v>285</v>
      </c>
      <c r="J171" s="12" t="s">
        <v>671</v>
      </c>
      <c r="K171" s="16"/>
      <c r="L171" s="16">
        <v>0</v>
      </c>
      <c r="M171" s="16">
        <v>0</v>
      </c>
      <c r="N171" s="16"/>
      <c r="O171" s="16" t="s">
        <v>235</v>
      </c>
      <c r="P171" s="16">
        <v>2</v>
      </c>
      <c r="Q171" s="16"/>
      <c r="R171" s="16">
        <v>255</v>
      </c>
      <c r="S171" s="16">
        <v>100</v>
      </c>
      <c r="T171" s="16">
        <v>100</v>
      </c>
      <c r="U171" s="16">
        <v>2</v>
      </c>
      <c r="V171" s="16">
        <v>2</v>
      </c>
      <c r="W171" s="16" t="s">
        <v>150</v>
      </c>
      <c r="X171" s="16">
        <v>450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589</v>
      </c>
    </row>
    <row r="172" spans="2:72" s="6" customFormat="1">
      <c r="B172" t="s">
        <v>672</v>
      </c>
      <c r="C172" s="6" t="s">
        <v>71</v>
      </c>
      <c r="D172" s="16" t="s">
        <v>282</v>
      </c>
      <c r="E172" t="s">
        <v>673</v>
      </c>
      <c r="F172" s="24"/>
      <c r="G172" s="16" t="s">
        <v>670</v>
      </c>
      <c r="H172" s="16"/>
      <c r="I172" s="16" t="s">
        <v>285</v>
      </c>
      <c r="J172" s="16"/>
      <c r="K172" s="16"/>
      <c r="L172" s="16">
        <v>0</v>
      </c>
      <c r="M172" s="16">
        <v>0</v>
      </c>
      <c r="N172" s="16"/>
      <c r="O172" s="16" t="s">
        <v>301</v>
      </c>
      <c r="P172" s="16">
        <v>1.2</v>
      </c>
      <c r="Q172" s="16"/>
      <c r="R172" s="16"/>
      <c r="S172" s="16"/>
      <c r="T172" s="16"/>
      <c r="U172" s="16">
        <v>0.5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0.3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589</v>
      </c>
    </row>
    <row r="173" spans="2:72" s="6" customFormat="1">
      <c r="B173" t="s">
        <v>674</v>
      </c>
      <c r="C173" s="6" t="s">
        <v>71</v>
      </c>
      <c r="D173" s="16" t="s">
        <v>282</v>
      </c>
      <c r="E173" t="s">
        <v>675</v>
      </c>
      <c r="F173" s="24"/>
      <c r="G173" s="16" t="s">
        <v>670</v>
      </c>
      <c r="H173" s="16"/>
      <c r="I173" s="16" t="s">
        <v>285</v>
      </c>
      <c r="J173" s="16"/>
      <c r="K173" s="16"/>
      <c r="L173" s="16">
        <v>0</v>
      </c>
      <c r="M173" s="16">
        <v>0</v>
      </c>
      <c r="N173" s="16"/>
      <c r="O173" s="16" t="s">
        <v>311</v>
      </c>
      <c r="P173" s="16">
        <v>1.65</v>
      </c>
      <c r="Q173" s="16"/>
      <c r="R173" s="16"/>
      <c r="S173" s="16"/>
      <c r="T173" s="16"/>
      <c r="U173" s="16">
        <v>0.5</v>
      </c>
      <c r="V173" s="16">
        <v>2</v>
      </c>
      <c r="W173" s="16" t="s">
        <v>150</v>
      </c>
      <c r="X173" s="16">
        <v>300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0.3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589</v>
      </c>
    </row>
    <row r="174" spans="2:72" s="6" customFormat="1">
      <c r="B174" t="s">
        <v>676</v>
      </c>
      <c r="C174" s="6" t="s">
        <v>71</v>
      </c>
      <c r="D174" s="16" t="s">
        <v>282</v>
      </c>
      <c r="E174" t="s">
        <v>677</v>
      </c>
      <c r="F174" s="24"/>
      <c r="G174" s="16" t="s">
        <v>670</v>
      </c>
      <c r="H174" s="16"/>
      <c r="I174" s="16" t="s">
        <v>285</v>
      </c>
      <c r="J174" s="16"/>
      <c r="K174" s="16"/>
      <c r="L174" s="16">
        <v>0</v>
      </c>
      <c r="M174" s="16">
        <v>0</v>
      </c>
      <c r="N174" s="16"/>
      <c r="O174" s="16" t="s">
        <v>304</v>
      </c>
      <c r="P174" s="16">
        <v>1.02</v>
      </c>
      <c r="Q174" s="16"/>
      <c r="R174" s="16"/>
      <c r="S174" s="16"/>
      <c r="T174" s="16"/>
      <c r="U174" s="16">
        <v>0.5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800</v>
      </c>
      <c r="AQ174" s="16">
        <v>0.3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589</v>
      </c>
    </row>
    <row r="175" spans="2:72" s="6" customFormat="1">
      <c r="B175" t="s">
        <v>678</v>
      </c>
      <c r="C175" s="6" t="s">
        <v>71</v>
      </c>
      <c r="D175" s="16" t="s">
        <v>282</v>
      </c>
      <c r="E175" t="s">
        <v>679</v>
      </c>
      <c r="F175" s="24"/>
      <c r="G175" s="16" t="s">
        <v>670</v>
      </c>
      <c r="H175" s="16"/>
      <c r="I175" s="16" t="s">
        <v>285</v>
      </c>
      <c r="J175" s="16" t="s">
        <v>680</v>
      </c>
      <c r="K175" s="16"/>
      <c r="L175" s="16">
        <v>0</v>
      </c>
      <c r="M175" s="16">
        <v>0</v>
      </c>
      <c r="N175" s="16"/>
      <c r="O175" s="16" t="s">
        <v>681</v>
      </c>
      <c r="P175" s="16">
        <v>1.6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400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0.3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589</v>
      </c>
    </row>
    <row r="176" spans="2:72" s="6" customFormat="1">
      <c r="B176" t="s">
        <v>682</v>
      </c>
      <c r="C176" s="6" t="s">
        <v>71</v>
      </c>
      <c r="D176" s="16" t="s">
        <v>282</v>
      </c>
      <c r="E176" t="s">
        <v>156</v>
      </c>
      <c r="F176" s="24"/>
      <c r="G176" s="16" t="s">
        <v>670</v>
      </c>
      <c r="H176" s="16"/>
      <c r="I176" s="16" t="s">
        <v>285</v>
      </c>
      <c r="J176" s="16" t="s">
        <v>683</v>
      </c>
      <c r="K176" s="16"/>
      <c r="L176" s="16">
        <v>0</v>
      </c>
      <c r="M176" s="16">
        <v>0</v>
      </c>
      <c r="N176" s="16"/>
      <c r="O176" s="16" t="s">
        <v>159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589</v>
      </c>
    </row>
    <row r="177" spans="2:72" s="6" customFormat="1">
      <c r="B177" t="s">
        <v>684</v>
      </c>
      <c r="C177" s="6" t="s">
        <v>71</v>
      </c>
      <c r="D177" s="16" t="s">
        <v>282</v>
      </c>
      <c r="E177" t="s">
        <v>685</v>
      </c>
      <c r="F177" s="24"/>
      <c r="G177" s="16" t="s">
        <v>686</v>
      </c>
      <c r="H177" s="16"/>
      <c r="I177" s="16" t="s">
        <v>285</v>
      </c>
      <c r="J177" s="12" t="s">
        <v>687</v>
      </c>
      <c r="K177" s="16"/>
      <c r="L177" s="16">
        <v>0</v>
      </c>
      <c r="M177" s="16">
        <v>0</v>
      </c>
      <c r="N177" s="16"/>
      <c r="O177" s="16" t="s">
        <v>688</v>
      </c>
      <c r="P177" s="16">
        <v>1.9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400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500</v>
      </c>
      <c r="AQ177" s="16">
        <v>0.3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589</v>
      </c>
    </row>
    <row r="178" spans="2:72" s="6" customFormat="1">
      <c r="B178" t="s">
        <v>689</v>
      </c>
      <c r="C178" s="6" t="s">
        <v>71</v>
      </c>
      <c r="D178" s="16" t="s">
        <v>282</v>
      </c>
      <c r="E178" t="s">
        <v>690</v>
      </c>
      <c r="F178" s="24"/>
      <c r="G178" s="16" t="s">
        <v>686</v>
      </c>
      <c r="H178" s="16"/>
      <c r="I178" s="16" t="s">
        <v>285</v>
      </c>
      <c r="J178" s="12" t="s">
        <v>691</v>
      </c>
      <c r="K178" s="16"/>
      <c r="L178" s="16">
        <v>0</v>
      </c>
      <c r="M178" s="16">
        <v>0</v>
      </c>
      <c r="N178" s="16"/>
      <c r="O178" s="16" t="s">
        <v>692</v>
      </c>
      <c r="P178" s="16">
        <v>1.8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500</v>
      </c>
      <c r="AQ178" s="16">
        <v>0.3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589</v>
      </c>
    </row>
    <row r="179" spans="2:72" s="6" customFormat="1">
      <c r="B179" t="s">
        <v>693</v>
      </c>
      <c r="C179" s="6" t="s">
        <v>71</v>
      </c>
      <c r="D179" s="16" t="s">
        <v>282</v>
      </c>
      <c r="E179" t="s">
        <v>253</v>
      </c>
      <c r="F179" s="24"/>
      <c r="G179" s="16" t="s">
        <v>686</v>
      </c>
      <c r="H179" s="16"/>
      <c r="I179" s="16" t="s">
        <v>285</v>
      </c>
      <c r="J179" s="12" t="s">
        <v>694</v>
      </c>
      <c r="K179" s="16"/>
      <c r="L179" s="16">
        <v>0</v>
      </c>
      <c r="M179" s="16">
        <v>0</v>
      </c>
      <c r="N179" s="16"/>
      <c r="O179" s="10" t="s">
        <v>255</v>
      </c>
      <c r="P179" s="16">
        <v>1.5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500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589</v>
      </c>
    </row>
    <row r="180" spans="2:72" s="6" customFormat="1">
      <c r="B180" t="s">
        <v>695</v>
      </c>
      <c r="C180" s="6" t="s">
        <v>71</v>
      </c>
      <c r="D180" s="16" t="s">
        <v>282</v>
      </c>
      <c r="E180" t="s">
        <v>696</v>
      </c>
      <c r="F180" s="24"/>
      <c r="G180" s="16" t="s">
        <v>697</v>
      </c>
      <c r="H180" s="16"/>
      <c r="I180" s="16" t="s">
        <v>285</v>
      </c>
      <c r="J180" s="12" t="s">
        <v>698</v>
      </c>
      <c r="K180" s="16"/>
      <c r="L180" s="16">
        <v>0</v>
      </c>
      <c r="M180" s="16">
        <v>0</v>
      </c>
      <c r="N180" s="16"/>
      <c r="O180" s="16" t="s">
        <v>699</v>
      </c>
      <c r="P180" s="16">
        <v>2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400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500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589</v>
      </c>
    </row>
    <row r="181" spans="2:72" s="6" customFormat="1">
      <c r="B181" t="s">
        <v>700</v>
      </c>
      <c r="C181" s="6" t="s">
        <v>71</v>
      </c>
      <c r="D181" s="16" t="s">
        <v>282</v>
      </c>
      <c r="E181" t="s">
        <v>701</v>
      </c>
      <c r="F181" s="24"/>
      <c r="G181" s="16" t="s">
        <v>697</v>
      </c>
      <c r="H181" s="16"/>
      <c r="I181" s="16" t="s">
        <v>285</v>
      </c>
      <c r="J181" s="12" t="s">
        <v>702</v>
      </c>
      <c r="K181" s="16"/>
      <c r="L181" s="16">
        <v>0</v>
      </c>
      <c r="M181" s="16">
        <v>0</v>
      </c>
      <c r="N181" s="16"/>
      <c r="O181" s="16" t="s">
        <v>593</v>
      </c>
      <c r="P181" s="16">
        <v>1.9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500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589</v>
      </c>
    </row>
    <row r="182" spans="2:72" s="6" customFormat="1">
      <c r="B182" t="s">
        <v>703</v>
      </c>
      <c r="C182" s="6" t="s">
        <v>71</v>
      </c>
      <c r="D182" s="16" t="s">
        <v>282</v>
      </c>
      <c r="E182" t="s">
        <v>704</v>
      </c>
      <c r="F182" s="24"/>
      <c r="G182" s="16" t="s">
        <v>697</v>
      </c>
      <c r="H182" s="16"/>
      <c r="I182" s="16" t="s">
        <v>285</v>
      </c>
      <c r="J182" s="12" t="s">
        <v>705</v>
      </c>
      <c r="K182" s="16"/>
      <c r="L182" s="16">
        <v>0</v>
      </c>
      <c r="M182" s="16">
        <v>0</v>
      </c>
      <c r="N182" s="16"/>
      <c r="O182" s="16" t="s">
        <v>706</v>
      </c>
      <c r="P182" s="16">
        <v>1.9</v>
      </c>
      <c r="Q182" s="16"/>
      <c r="R182" s="16"/>
      <c r="S182" s="16"/>
      <c r="T182" s="16"/>
      <c r="U182" s="16">
        <v>2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500</v>
      </c>
      <c r="AQ182" s="16">
        <v>0.2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  <c r="BT182" s="6" t="s">
        <v>589</v>
      </c>
    </row>
    <row r="183" spans="2:72" s="6" customFormat="1">
      <c r="B183" t="s">
        <v>707</v>
      </c>
      <c r="C183" s="6" t="s">
        <v>71</v>
      </c>
      <c r="D183" s="16" t="s">
        <v>282</v>
      </c>
      <c r="E183" t="s">
        <v>708</v>
      </c>
      <c r="F183" s="24"/>
      <c r="G183" s="16" t="s">
        <v>697</v>
      </c>
      <c r="H183" s="16"/>
      <c r="I183" s="16" t="s">
        <v>285</v>
      </c>
      <c r="J183" s="12" t="s">
        <v>709</v>
      </c>
      <c r="K183" s="16"/>
      <c r="L183" s="16">
        <v>0</v>
      </c>
      <c r="M183" s="16">
        <v>0</v>
      </c>
      <c r="N183" s="16"/>
      <c r="O183" s="16" t="s">
        <v>710</v>
      </c>
      <c r="P183" s="16">
        <v>1.9</v>
      </c>
      <c r="Q183" s="16"/>
      <c r="R183" s="16"/>
      <c r="S183" s="16"/>
      <c r="T183" s="16"/>
      <c r="U183" s="16">
        <v>2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500</v>
      </c>
      <c r="AQ183" s="16">
        <v>0.2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  <c r="BT183" s="6" t="s">
        <v>589</v>
      </c>
    </row>
    <row r="184" spans="2:72" s="6" customFormat="1">
      <c r="B184" t="s">
        <v>711</v>
      </c>
      <c r="C184" s="6" t="s">
        <v>71</v>
      </c>
      <c r="D184" s="16" t="s">
        <v>282</v>
      </c>
      <c r="E184" t="s">
        <v>712</v>
      </c>
      <c r="F184" s="24"/>
      <c r="G184" s="16" t="s">
        <v>697</v>
      </c>
      <c r="H184" s="16"/>
      <c r="I184" s="16" t="s">
        <v>285</v>
      </c>
      <c r="J184" s="12" t="s">
        <v>713</v>
      </c>
      <c r="K184" s="16"/>
      <c r="L184" s="16">
        <v>0</v>
      </c>
      <c r="M184" s="16">
        <v>0</v>
      </c>
      <c r="N184" s="16"/>
      <c r="O184" s="16" t="s">
        <v>714</v>
      </c>
      <c r="P184" s="16">
        <v>1.9</v>
      </c>
      <c r="Q184" s="16"/>
      <c r="R184" s="16"/>
      <c r="S184" s="16"/>
      <c r="T184" s="16"/>
      <c r="U184" s="16">
        <v>2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500</v>
      </c>
      <c r="AQ184" s="16">
        <v>0.2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  <c r="BT184" s="6" t="s">
        <v>589</v>
      </c>
    </row>
    <row r="185" spans="2:72" s="6" customFormat="1">
      <c r="B185" t="s">
        <v>715</v>
      </c>
      <c r="C185" s="6" t="s">
        <v>71</v>
      </c>
      <c r="D185" s="16" t="s">
        <v>282</v>
      </c>
      <c r="E185" t="s">
        <v>716</v>
      </c>
      <c r="F185" s="24"/>
      <c r="G185" s="16" t="s">
        <v>717</v>
      </c>
      <c r="H185" s="16"/>
      <c r="I185" s="16" t="s">
        <v>285</v>
      </c>
      <c r="J185" s="12" t="s">
        <v>718</v>
      </c>
      <c r="K185" s="16"/>
      <c r="L185" s="16">
        <v>0</v>
      </c>
      <c r="M185" s="16">
        <v>0</v>
      </c>
      <c r="N185" s="16"/>
      <c r="O185" s="16" t="s">
        <v>719</v>
      </c>
      <c r="P185" s="16">
        <v>1.3</v>
      </c>
      <c r="Q185" s="16"/>
      <c r="R185" s="16"/>
      <c r="S185" s="16"/>
      <c r="T185" s="16"/>
      <c r="U185" s="16">
        <v>2</v>
      </c>
      <c r="V185" s="16">
        <v>2</v>
      </c>
      <c r="W185" s="16" t="s">
        <v>150</v>
      </c>
      <c r="X185" s="16">
        <v>350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0.2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  <c r="BT185" s="6" t="s">
        <v>589</v>
      </c>
    </row>
    <row r="186" spans="2:72" s="6" customFormat="1">
      <c r="B186" t="s">
        <v>720</v>
      </c>
      <c r="C186" s="6" t="s">
        <v>71</v>
      </c>
      <c r="D186" s="16" t="s">
        <v>282</v>
      </c>
      <c r="E186" t="s">
        <v>721</v>
      </c>
      <c r="F186" s="24"/>
      <c r="G186" s="16" t="s">
        <v>717</v>
      </c>
      <c r="H186" s="16"/>
      <c r="I186" s="16" t="s">
        <v>285</v>
      </c>
      <c r="J186" s="12" t="s">
        <v>722</v>
      </c>
      <c r="K186" s="16"/>
      <c r="L186" s="16">
        <v>0</v>
      </c>
      <c r="M186" s="16">
        <v>0</v>
      </c>
      <c r="N186" s="16"/>
      <c r="O186" s="16" t="s">
        <v>723</v>
      </c>
      <c r="P186" s="16">
        <v>2.1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400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250</v>
      </c>
      <c r="AQ186" s="16">
        <v>0.2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  <c r="BT186" s="6" t="s">
        <v>589</v>
      </c>
    </row>
    <row r="187" spans="2:72" s="6" customFormat="1">
      <c r="B187" t="s">
        <v>724</v>
      </c>
      <c r="C187" s="6" t="s">
        <v>71</v>
      </c>
      <c r="D187" s="16" t="s">
        <v>282</v>
      </c>
      <c r="E187" t="s">
        <v>725</v>
      </c>
      <c r="F187" s="24"/>
      <c r="G187" s="16" t="s">
        <v>717</v>
      </c>
      <c r="H187" s="16"/>
      <c r="I187" s="16" t="s">
        <v>285</v>
      </c>
      <c r="J187" s="12" t="s">
        <v>726</v>
      </c>
      <c r="K187" s="16"/>
      <c r="L187" s="16">
        <v>0</v>
      </c>
      <c r="M187" s="16">
        <v>0</v>
      </c>
      <c r="N187" s="16"/>
      <c r="O187" s="16" t="s">
        <v>727</v>
      </c>
      <c r="P187" s="16">
        <v>1.7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300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250</v>
      </c>
      <c r="AQ187" s="16">
        <v>0.2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  <c r="BT187" s="6" t="s">
        <v>589</v>
      </c>
    </row>
    <row r="188" spans="2:72" s="6" customFormat="1">
      <c r="B188" t="s">
        <v>728</v>
      </c>
      <c r="C188" s="6" t="s">
        <v>71</v>
      </c>
      <c r="D188" s="16" t="s">
        <v>282</v>
      </c>
      <c r="E188" t="s">
        <v>729</v>
      </c>
      <c r="F188" s="24"/>
      <c r="G188" s="16" t="s">
        <v>717</v>
      </c>
      <c r="H188" s="16"/>
      <c r="I188" s="16" t="s">
        <v>285</v>
      </c>
      <c r="J188" s="12" t="s">
        <v>730</v>
      </c>
      <c r="K188" s="16"/>
      <c r="L188" s="16">
        <v>0</v>
      </c>
      <c r="M188" s="16">
        <v>0</v>
      </c>
      <c r="N188" s="16"/>
      <c r="O188" s="16" t="s">
        <v>731</v>
      </c>
      <c r="P188" s="16">
        <v>1.4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350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0.2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  <c r="BT188" s="6" t="s">
        <v>589</v>
      </c>
    </row>
    <row r="189" spans="2:72" s="6" customFormat="1">
      <c r="B189" t="s">
        <v>732</v>
      </c>
      <c r="C189" s="6" t="s">
        <v>71</v>
      </c>
      <c r="D189" s="16" t="s">
        <v>282</v>
      </c>
      <c r="E189" t="s">
        <v>733</v>
      </c>
      <c r="F189" s="24"/>
      <c r="G189" s="16" t="s">
        <v>717</v>
      </c>
      <c r="H189" s="16"/>
      <c r="I189" s="16" t="s">
        <v>285</v>
      </c>
      <c r="J189" s="12" t="s">
        <v>734</v>
      </c>
      <c r="K189" s="16"/>
      <c r="L189" s="16">
        <v>0</v>
      </c>
      <c r="M189" s="16">
        <v>0</v>
      </c>
      <c r="N189" s="16"/>
      <c r="O189" s="16" t="s">
        <v>735</v>
      </c>
      <c r="P189" s="16">
        <v>1.5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350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0.2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  <c r="BT189" s="6" t="s">
        <v>589</v>
      </c>
    </row>
    <row r="190" spans="2:72" s="6" customFormat="1">
      <c r="B190" t="s">
        <v>736</v>
      </c>
      <c r="C190" s="6" t="s">
        <v>71</v>
      </c>
      <c r="D190" s="16" t="s">
        <v>282</v>
      </c>
      <c r="E190" t="s">
        <v>737</v>
      </c>
      <c r="F190" s="24"/>
      <c r="G190" s="16" t="s">
        <v>717</v>
      </c>
      <c r="H190" s="16"/>
      <c r="I190" s="16" t="s">
        <v>285</v>
      </c>
      <c r="J190" s="12" t="s">
        <v>738</v>
      </c>
      <c r="K190" s="16"/>
      <c r="L190" s="16">
        <v>0</v>
      </c>
      <c r="M190" s="16">
        <v>0</v>
      </c>
      <c r="N190" s="16"/>
      <c r="O190" s="16" t="s">
        <v>739</v>
      </c>
      <c r="P190" s="16">
        <v>1.4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400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0.2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  <c r="BT190" s="6" t="s">
        <v>589</v>
      </c>
    </row>
    <row r="191" spans="2:72" s="6" customFormat="1">
      <c r="B191" t="s">
        <v>740</v>
      </c>
      <c r="C191" s="6" t="s">
        <v>71</v>
      </c>
      <c r="D191" s="16" t="s">
        <v>282</v>
      </c>
      <c r="E191" t="s">
        <v>741</v>
      </c>
      <c r="F191" s="24"/>
      <c r="G191" s="16" t="s">
        <v>717</v>
      </c>
      <c r="H191" s="16"/>
      <c r="I191" s="16" t="s">
        <v>285</v>
      </c>
      <c r="J191" s="12" t="s">
        <v>742</v>
      </c>
      <c r="K191" s="16"/>
      <c r="L191" s="16">
        <v>0</v>
      </c>
      <c r="M191" s="16">
        <v>0</v>
      </c>
      <c r="N191" s="16"/>
      <c r="O191" s="10" t="s">
        <v>210</v>
      </c>
      <c r="P191" s="16">
        <v>1.7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500</v>
      </c>
      <c r="AQ191" s="16">
        <v>0.2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  <c r="BT191" s="6" t="s">
        <v>589</v>
      </c>
    </row>
    <row r="192" spans="2:72" s="6" customFormat="1">
      <c r="B192" t="s">
        <v>743</v>
      </c>
      <c r="C192" s="6" t="s">
        <v>71</v>
      </c>
      <c r="D192" s="16" t="s">
        <v>282</v>
      </c>
      <c r="E192" t="s">
        <v>741</v>
      </c>
      <c r="F192" s="24"/>
      <c r="G192" s="16" t="s">
        <v>717</v>
      </c>
      <c r="H192" s="16"/>
      <c r="I192" s="16" t="s">
        <v>285</v>
      </c>
      <c r="J192" s="73" t="s">
        <v>1283</v>
      </c>
      <c r="K192" s="16"/>
      <c r="L192" s="16">
        <v>0</v>
      </c>
      <c r="M192" s="16">
        <v>0</v>
      </c>
      <c r="N192" s="16"/>
      <c r="O192" s="10" t="s">
        <v>210</v>
      </c>
      <c r="P192" s="16">
        <v>2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500</v>
      </c>
      <c r="AQ192" s="16">
        <v>0.2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  <c r="BT192" s="6" t="s">
        <v>589</v>
      </c>
    </row>
    <row r="193" spans="2:69" s="6" customFormat="1">
      <c r="B193" t="s">
        <v>744</v>
      </c>
      <c r="C193" s="6" t="s">
        <v>71</v>
      </c>
      <c r="D193" s="16" t="s">
        <v>282</v>
      </c>
      <c r="E193" t="s">
        <v>745</v>
      </c>
      <c r="F193" s="24"/>
      <c r="G193" s="16" t="s">
        <v>746</v>
      </c>
      <c r="H193" s="16"/>
      <c r="I193" s="16" t="s">
        <v>285</v>
      </c>
      <c r="J193" s="12" t="s">
        <v>747</v>
      </c>
      <c r="K193" s="16"/>
      <c r="L193" s="16">
        <v>0</v>
      </c>
      <c r="M193" s="16">
        <v>0</v>
      </c>
      <c r="N193" s="16"/>
      <c r="O193" s="16" t="s">
        <v>748</v>
      </c>
      <c r="P193" s="16">
        <v>1.5</v>
      </c>
      <c r="Q193" s="16"/>
      <c r="R193" s="16"/>
      <c r="S193" s="16"/>
      <c r="T193" s="16"/>
      <c r="U193" s="16">
        <v>1.5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749</v>
      </c>
      <c r="C194" s="6" t="s">
        <v>71</v>
      </c>
      <c r="D194" s="16" t="s">
        <v>282</v>
      </c>
      <c r="E194" t="s">
        <v>750</v>
      </c>
      <c r="F194" s="24"/>
      <c r="G194" s="16" t="s">
        <v>746</v>
      </c>
      <c r="H194" s="16"/>
      <c r="I194" s="16" t="s">
        <v>285</v>
      </c>
      <c r="J194" s="12" t="s">
        <v>751</v>
      </c>
      <c r="K194" s="16"/>
      <c r="L194" s="16">
        <v>0</v>
      </c>
      <c r="M194" s="16">
        <v>0</v>
      </c>
      <c r="N194" s="16"/>
      <c r="O194" s="16" t="s">
        <v>752</v>
      </c>
      <c r="P194" s="16">
        <v>2.15</v>
      </c>
      <c r="Q194" s="16"/>
      <c r="R194" s="16"/>
      <c r="S194" s="16"/>
      <c r="T194" s="16"/>
      <c r="U194" s="16">
        <v>1.5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7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753</v>
      </c>
      <c r="C195" s="6" t="s">
        <v>71</v>
      </c>
      <c r="D195" s="16" t="s">
        <v>282</v>
      </c>
      <c r="E195" t="s">
        <v>754</v>
      </c>
      <c r="F195" s="24"/>
      <c r="G195" s="16" t="s">
        <v>746</v>
      </c>
      <c r="H195" s="16"/>
      <c r="I195" s="16" t="s">
        <v>285</v>
      </c>
      <c r="J195" s="12" t="s">
        <v>755</v>
      </c>
      <c r="K195" s="16"/>
      <c r="L195" s="16">
        <v>0</v>
      </c>
      <c r="M195" s="16">
        <v>0</v>
      </c>
      <c r="N195" s="16"/>
      <c r="O195" s="16" t="s">
        <v>756</v>
      </c>
      <c r="P195" s="16">
        <v>1.32</v>
      </c>
      <c r="Q195" s="16"/>
      <c r="R195" s="16"/>
      <c r="S195" s="16"/>
      <c r="T195" s="16"/>
      <c r="U195" s="16">
        <v>1.5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7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757</v>
      </c>
      <c r="C196" s="6" t="s">
        <v>71</v>
      </c>
      <c r="D196" s="16" t="s">
        <v>282</v>
      </c>
      <c r="E196" t="s">
        <v>758</v>
      </c>
      <c r="F196" s="24"/>
      <c r="G196" s="16" t="s">
        <v>746</v>
      </c>
      <c r="H196" s="16"/>
      <c r="I196" s="16" t="s">
        <v>285</v>
      </c>
      <c r="J196" s="12" t="s">
        <v>759</v>
      </c>
      <c r="K196" s="16"/>
      <c r="L196" s="16">
        <v>0</v>
      </c>
      <c r="M196" s="16">
        <v>0</v>
      </c>
      <c r="N196" s="16"/>
      <c r="O196" s="16" t="s">
        <v>760</v>
      </c>
      <c r="P196" s="16">
        <v>1.4</v>
      </c>
      <c r="Q196" s="16"/>
      <c r="R196" s="16"/>
      <c r="S196" s="16"/>
      <c r="T196" s="16"/>
      <c r="U196" s="16">
        <v>1.5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761</v>
      </c>
      <c r="C197" s="6" t="s">
        <v>71</v>
      </c>
      <c r="D197" s="16" t="s">
        <v>282</v>
      </c>
      <c r="E197" s="32" t="s">
        <v>762</v>
      </c>
      <c r="F197" s="24"/>
      <c r="G197" s="16" t="s">
        <v>746</v>
      </c>
      <c r="H197" s="16"/>
      <c r="I197" s="16" t="s">
        <v>285</v>
      </c>
      <c r="J197" s="12"/>
      <c r="K197" s="16"/>
      <c r="L197" s="16">
        <v>0</v>
      </c>
      <c r="M197" s="16">
        <v>0</v>
      </c>
      <c r="N197" s="16"/>
      <c r="O197" s="16" t="s">
        <v>763</v>
      </c>
      <c r="P197" s="16">
        <v>1.5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7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764</v>
      </c>
      <c r="C198" s="6" t="s">
        <v>71</v>
      </c>
      <c r="D198" s="16" t="s">
        <v>282</v>
      </c>
      <c r="E198" t="s">
        <v>765</v>
      </c>
      <c r="F198" s="24"/>
      <c r="G198" s="16" t="s">
        <v>746</v>
      </c>
      <c r="H198" s="16"/>
      <c r="I198" s="16" t="s">
        <v>285</v>
      </c>
      <c r="J198" s="12" t="s">
        <v>766</v>
      </c>
      <c r="K198" s="16"/>
      <c r="L198" s="16">
        <v>0</v>
      </c>
      <c r="M198" s="16">
        <v>0</v>
      </c>
      <c r="N198" s="16"/>
      <c r="O198" s="10" t="s">
        <v>163</v>
      </c>
      <c r="P198" s="10">
        <v>2.4500000000000002</v>
      </c>
      <c r="Q198" s="16"/>
      <c r="R198" s="16"/>
      <c r="S198" s="16"/>
      <c r="T198" s="16"/>
      <c r="U198" s="16">
        <v>4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1500</v>
      </c>
      <c r="AB198" s="16"/>
      <c r="AC198" s="16"/>
      <c r="AD198" s="16">
        <v>0</v>
      </c>
      <c r="AE198" s="16" t="s">
        <v>151</v>
      </c>
      <c r="AF198" s="16"/>
      <c r="AG198" s="16"/>
      <c r="AH198" s="57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800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767</v>
      </c>
      <c r="C199" s="6" t="s">
        <v>71</v>
      </c>
      <c r="D199" s="16" t="s">
        <v>282</v>
      </c>
      <c r="E199" t="s">
        <v>161</v>
      </c>
      <c r="F199" s="24"/>
      <c r="G199" s="16" t="s">
        <v>768</v>
      </c>
      <c r="H199" s="16"/>
      <c r="I199" s="16" t="s">
        <v>285</v>
      </c>
      <c r="J199" s="16" t="s">
        <v>459</v>
      </c>
      <c r="K199" s="16"/>
      <c r="L199" s="16">
        <v>0</v>
      </c>
      <c r="M199" s="16">
        <v>0</v>
      </c>
      <c r="N199" s="16"/>
      <c r="O199" s="16" t="s">
        <v>163</v>
      </c>
      <c r="P199" s="10">
        <v>2.4500000000000002</v>
      </c>
      <c r="Q199" s="16"/>
      <c r="R199" s="16"/>
      <c r="S199" s="16"/>
      <c r="T199" s="16"/>
      <c r="U199" s="16">
        <v>4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769</v>
      </c>
      <c r="C200" s="6" t="s">
        <v>71</v>
      </c>
      <c r="D200" s="16" t="s">
        <v>282</v>
      </c>
      <c r="E200" t="s">
        <v>172</v>
      </c>
      <c r="F200" s="24"/>
      <c r="G200" s="16" t="s">
        <v>768</v>
      </c>
      <c r="H200" s="16"/>
      <c r="I200" s="16" t="s">
        <v>285</v>
      </c>
      <c r="J200" s="16" t="s">
        <v>459</v>
      </c>
      <c r="K200" s="16"/>
      <c r="L200" s="16">
        <v>0</v>
      </c>
      <c r="M200" s="16">
        <v>0</v>
      </c>
      <c r="N200" s="16"/>
      <c r="O200" s="10" t="s">
        <v>174</v>
      </c>
      <c r="P200" s="16">
        <v>1.6</v>
      </c>
      <c r="Q200" s="16"/>
      <c r="R200" s="16"/>
      <c r="S200" s="16"/>
      <c r="T200" s="16"/>
      <c r="U200" s="16">
        <v>4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770</v>
      </c>
      <c r="C201" s="6" t="s">
        <v>71</v>
      </c>
      <c r="D201" s="16" t="s">
        <v>282</v>
      </c>
      <c r="E201" t="s">
        <v>771</v>
      </c>
      <c r="F201" s="24"/>
      <c r="G201" s="16" t="s">
        <v>768</v>
      </c>
      <c r="H201" s="16"/>
      <c r="I201" s="16" t="s">
        <v>285</v>
      </c>
      <c r="J201" s="16" t="s">
        <v>459</v>
      </c>
      <c r="K201" s="16"/>
      <c r="L201" s="16">
        <v>0</v>
      </c>
      <c r="M201" s="16">
        <v>0</v>
      </c>
      <c r="N201" s="16"/>
      <c r="O201" s="10" t="s">
        <v>1242</v>
      </c>
      <c r="P201" s="10">
        <v>0.45</v>
      </c>
      <c r="Q201" s="16"/>
      <c r="R201" s="16"/>
      <c r="S201" s="16"/>
      <c r="T201" s="16"/>
      <c r="U201" s="16">
        <v>4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7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772</v>
      </c>
      <c r="C202" s="6" t="s">
        <v>71</v>
      </c>
      <c r="D202" s="16" t="s">
        <v>282</v>
      </c>
      <c r="E202" s="4" t="s">
        <v>773</v>
      </c>
      <c r="F202" s="24"/>
      <c r="G202" s="16" t="s">
        <v>768</v>
      </c>
      <c r="H202" s="16"/>
      <c r="I202" s="16" t="s">
        <v>285</v>
      </c>
      <c r="J202" s="16" t="s">
        <v>459</v>
      </c>
      <c r="K202" s="16"/>
      <c r="L202" s="16">
        <v>0</v>
      </c>
      <c r="M202" s="16">
        <v>0</v>
      </c>
      <c r="N202" s="16"/>
      <c r="O202" s="16" t="s">
        <v>1243</v>
      </c>
      <c r="P202" s="16">
        <v>1.5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774</v>
      </c>
      <c r="C203" s="6" t="s">
        <v>71</v>
      </c>
      <c r="D203" s="16" t="s">
        <v>282</v>
      </c>
      <c r="E203" t="s">
        <v>775</v>
      </c>
      <c r="F203" s="24"/>
      <c r="G203" s="16" t="s">
        <v>768</v>
      </c>
      <c r="H203" s="16"/>
      <c r="I203" s="16" t="s">
        <v>285</v>
      </c>
      <c r="J203" s="16" t="s">
        <v>459</v>
      </c>
      <c r="K203" s="16"/>
      <c r="L203" s="16">
        <v>0</v>
      </c>
      <c r="M203" s="16">
        <v>0</v>
      </c>
      <c r="N203" s="16"/>
      <c r="O203" s="10" t="s">
        <v>892</v>
      </c>
      <c r="P203" s="16">
        <v>2.6</v>
      </c>
      <c r="Q203" s="16"/>
      <c r="R203" s="16"/>
      <c r="S203" s="16"/>
      <c r="T203" s="16"/>
      <c r="U203" s="16">
        <v>4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7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776</v>
      </c>
      <c r="C204" s="6" t="s">
        <v>71</v>
      </c>
      <c r="D204" s="16" t="s">
        <v>282</v>
      </c>
      <c r="E204" t="s">
        <v>777</v>
      </c>
      <c r="F204" s="24"/>
      <c r="G204" s="16"/>
      <c r="H204" s="16"/>
      <c r="I204" s="16" t="s">
        <v>285</v>
      </c>
      <c r="J204" s="16"/>
      <c r="K204" s="16"/>
      <c r="L204" s="16">
        <v>0</v>
      </c>
      <c r="M204" s="16">
        <v>0</v>
      </c>
      <c r="N204" s="16"/>
      <c r="O204" s="16" t="s">
        <v>778</v>
      </c>
      <c r="P204" s="10">
        <v>1.5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350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300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3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779</v>
      </c>
      <c r="C205" s="6" t="s">
        <v>71</v>
      </c>
      <c r="D205" s="16" t="s">
        <v>282</v>
      </c>
      <c r="E205" s="33" t="s">
        <v>780</v>
      </c>
      <c r="F205" s="24"/>
      <c r="G205" s="16"/>
      <c r="H205" s="16"/>
      <c r="I205" s="16" t="s">
        <v>285</v>
      </c>
      <c r="J205" s="42" t="s">
        <v>781</v>
      </c>
      <c r="K205" s="16"/>
      <c r="L205" s="16">
        <v>0</v>
      </c>
      <c r="M205" s="16">
        <v>0</v>
      </c>
      <c r="N205" s="16"/>
      <c r="O205" s="16" t="s">
        <v>356</v>
      </c>
      <c r="P205" s="10">
        <v>4</v>
      </c>
      <c r="Q205" s="16"/>
      <c r="R205" s="16"/>
      <c r="S205" s="16"/>
      <c r="T205" s="16"/>
      <c r="U205" s="16">
        <v>4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1500</v>
      </c>
      <c r="AB205" s="16" t="s">
        <v>357</v>
      </c>
      <c r="AC205" s="16"/>
      <c r="AD205" s="16">
        <v>900</v>
      </c>
      <c r="AE205" s="16" t="s">
        <v>151</v>
      </c>
      <c r="AF205" s="16">
        <v>0.1</v>
      </c>
      <c r="AG205" s="16">
        <v>1</v>
      </c>
      <c r="AH205" s="57" t="s">
        <v>165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600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782</v>
      </c>
      <c r="C206" s="6" t="s">
        <v>71</v>
      </c>
      <c r="D206" s="16" t="s">
        <v>282</v>
      </c>
      <c r="E206" s="41" t="s">
        <v>783</v>
      </c>
      <c r="F206" s="24"/>
      <c r="G206" s="16"/>
      <c r="H206" s="16"/>
      <c r="I206" s="16" t="s">
        <v>285</v>
      </c>
      <c r="J206" s="43" t="s">
        <v>784</v>
      </c>
      <c r="K206" s="16"/>
      <c r="L206" s="16">
        <v>0</v>
      </c>
      <c r="M206" s="16">
        <v>0</v>
      </c>
      <c r="N206" s="16"/>
      <c r="O206" s="16" t="s">
        <v>785</v>
      </c>
      <c r="P206" s="10">
        <v>2.5</v>
      </c>
      <c r="Q206" s="16"/>
      <c r="R206" s="16"/>
      <c r="S206" s="16"/>
      <c r="T206" s="16"/>
      <c r="U206" s="16">
        <v>3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 t="s">
        <v>786</v>
      </c>
      <c r="AC206" s="16"/>
      <c r="AD206" s="16">
        <v>900</v>
      </c>
      <c r="AE206" s="16" t="s">
        <v>151</v>
      </c>
      <c r="AF206" s="16">
        <v>0.1</v>
      </c>
      <c r="AG206" s="16">
        <v>1</v>
      </c>
      <c r="AH206" s="57" t="s">
        <v>165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600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787</v>
      </c>
      <c r="C207" s="6" t="s">
        <v>71</v>
      </c>
      <c r="D207" s="16" t="s">
        <v>282</v>
      </c>
      <c r="E207" s="41" t="s">
        <v>783</v>
      </c>
      <c r="F207" s="24"/>
      <c r="G207" s="16"/>
      <c r="H207" s="16"/>
      <c r="I207" s="16" t="s">
        <v>285</v>
      </c>
      <c r="J207" s="43" t="s">
        <v>788</v>
      </c>
      <c r="K207" s="16"/>
      <c r="L207" s="16">
        <v>0</v>
      </c>
      <c r="M207" s="16">
        <v>0</v>
      </c>
      <c r="N207" s="16"/>
      <c r="O207" s="16" t="s">
        <v>789</v>
      </c>
      <c r="P207" s="10">
        <v>2.5</v>
      </c>
      <c r="Q207" s="16"/>
      <c r="R207" s="16"/>
      <c r="S207" s="16"/>
      <c r="T207" s="16"/>
      <c r="U207" s="16">
        <v>3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600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790</v>
      </c>
      <c r="C208" s="6" t="s">
        <v>71</v>
      </c>
      <c r="D208" s="16" t="s">
        <v>282</v>
      </c>
      <c r="E208" s="41" t="s">
        <v>783</v>
      </c>
      <c r="F208" s="24"/>
      <c r="G208" s="16"/>
      <c r="H208" s="16"/>
      <c r="I208" s="16" t="s">
        <v>285</v>
      </c>
      <c r="J208" s="42" t="s">
        <v>791</v>
      </c>
      <c r="K208" s="16"/>
      <c r="L208" s="16">
        <v>0</v>
      </c>
      <c r="M208" s="16">
        <v>0</v>
      </c>
      <c r="N208" s="16"/>
      <c r="O208" s="16" t="s">
        <v>792</v>
      </c>
      <c r="P208" s="10">
        <v>2.5</v>
      </c>
      <c r="Q208" s="16"/>
      <c r="R208" s="16"/>
      <c r="S208" s="16"/>
      <c r="T208" s="16"/>
      <c r="U208" s="16">
        <v>3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/>
      <c r="AC208" s="16"/>
      <c r="AD208" s="16">
        <v>0</v>
      </c>
      <c r="AE208" s="16" t="s">
        <v>151</v>
      </c>
      <c r="AF208" s="16"/>
      <c r="AG208" s="16"/>
      <c r="AH208" s="57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600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793</v>
      </c>
      <c r="C209" s="6" t="s">
        <v>71</v>
      </c>
      <c r="D209" s="16" t="s">
        <v>282</v>
      </c>
      <c r="E209" s="41" t="s">
        <v>783</v>
      </c>
      <c r="F209" s="24"/>
      <c r="G209" s="16"/>
      <c r="H209" s="16"/>
      <c r="I209" s="16" t="s">
        <v>285</v>
      </c>
      <c r="J209" s="42" t="s">
        <v>794</v>
      </c>
      <c r="K209" s="16"/>
      <c r="L209" s="16">
        <v>0</v>
      </c>
      <c r="M209" s="16">
        <v>0</v>
      </c>
      <c r="N209" s="16"/>
      <c r="O209" s="16" t="s">
        <v>795</v>
      </c>
      <c r="P209" s="10">
        <v>2.5</v>
      </c>
      <c r="Q209" s="16"/>
      <c r="R209" s="16"/>
      <c r="S209" s="16"/>
      <c r="T209" s="16"/>
      <c r="U209" s="16">
        <v>3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 t="s">
        <v>796</v>
      </c>
      <c r="AC209" s="16"/>
      <c r="AD209" s="16">
        <v>900</v>
      </c>
      <c r="AE209" s="16" t="s">
        <v>151</v>
      </c>
      <c r="AF209" s="16">
        <v>0.1</v>
      </c>
      <c r="AG209" s="16">
        <v>1</v>
      </c>
      <c r="AH209" s="57" t="s">
        <v>165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600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797</v>
      </c>
      <c r="C210" s="6" t="s">
        <v>71</v>
      </c>
      <c r="D210" s="16" t="s">
        <v>282</v>
      </c>
      <c r="E210" s="41" t="s">
        <v>783</v>
      </c>
      <c r="F210" s="24"/>
      <c r="G210" s="16"/>
      <c r="H210" s="16"/>
      <c r="I210" s="16" t="s">
        <v>285</v>
      </c>
      <c r="J210" s="42" t="s">
        <v>798</v>
      </c>
      <c r="K210" s="16"/>
      <c r="L210" s="16">
        <v>0</v>
      </c>
      <c r="M210" s="16">
        <v>0</v>
      </c>
      <c r="N210" s="16"/>
      <c r="O210" s="16" t="s">
        <v>799</v>
      </c>
      <c r="P210" s="10">
        <v>2.5</v>
      </c>
      <c r="Q210" s="16"/>
      <c r="R210" s="16"/>
      <c r="S210" s="16"/>
      <c r="T210" s="16"/>
      <c r="U210" s="16">
        <v>3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600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800</v>
      </c>
      <c r="C211" s="6" t="s">
        <v>71</v>
      </c>
      <c r="D211" s="16" t="s">
        <v>282</v>
      </c>
      <c r="E211" s="41" t="s">
        <v>783</v>
      </c>
      <c r="F211" s="24"/>
      <c r="G211" s="16"/>
      <c r="H211" s="16"/>
      <c r="I211" s="16" t="s">
        <v>285</v>
      </c>
      <c r="J211" s="42" t="s">
        <v>791</v>
      </c>
      <c r="K211" s="16"/>
      <c r="L211" s="16">
        <v>0</v>
      </c>
      <c r="M211" s="16">
        <v>0</v>
      </c>
      <c r="N211" s="16"/>
      <c r="O211" s="16" t="s">
        <v>801</v>
      </c>
      <c r="P211" s="10">
        <v>2.5</v>
      </c>
      <c r="Q211" s="16"/>
      <c r="R211" s="16"/>
      <c r="S211" s="16"/>
      <c r="T211" s="16"/>
      <c r="U211" s="16">
        <v>3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/>
      <c r="AC211" s="16"/>
      <c r="AD211" s="16">
        <v>0</v>
      </c>
      <c r="AE211" s="16" t="s">
        <v>151</v>
      </c>
      <c r="AF211" s="16"/>
      <c r="AG211" s="16"/>
      <c r="AH211" s="57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600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t="s">
        <v>802</v>
      </c>
      <c r="C212" s="6" t="s">
        <v>71</v>
      </c>
      <c r="D212" s="16" t="s">
        <v>282</v>
      </c>
      <c r="E212" s="41" t="s">
        <v>783</v>
      </c>
      <c r="F212" s="24"/>
      <c r="G212" s="16"/>
      <c r="H212" s="16"/>
      <c r="I212" s="16" t="s">
        <v>285</v>
      </c>
      <c r="J212" s="42" t="s">
        <v>803</v>
      </c>
      <c r="K212" s="16"/>
      <c r="L212" s="16">
        <v>0</v>
      </c>
      <c r="M212" s="16">
        <v>0</v>
      </c>
      <c r="N212" s="16"/>
      <c r="O212" s="16" t="s">
        <v>804</v>
      </c>
      <c r="P212" s="10">
        <v>2.5</v>
      </c>
      <c r="Q212" s="16"/>
      <c r="R212" s="16"/>
      <c r="S212" s="16"/>
      <c r="T212" s="16"/>
      <c r="U212" s="16">
        <v>3</v>
      </c>
      <c r="V212" s="16">
        <v>2</v>
      </c>
      <c r="W212" s="16" t="s">
        <v>150</v>
      </c>
      <c r="X212" s="16">
        <v>522</v>
      </c>
      <c r="Y212" s="16">
        <v>0</v>
      </c>
      <c r="Z212" s="16" t="s">
        <v>151</v>
      </c>
      <c r="AA212" s="16">
        <v>1500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600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t="s">
        <v>805</v>
      </c>
      <c r="C213" s="6" t="s">
        <v>71</v>
      </c>
      <c r="D213" s="16" t="s">
        <v>282</v>
      </c>
      <c r="E213" s="41" t="s">
        <v>783</v>
      </c>
      <c r="F213" s="24"/>
      <c r="G213" s="16"/>
      <c r="H213" s="16"/>
      <c r="I213" s="16" t="s">
        <v>285</v>
      </c>
      <c r="J213" s="42" t="s">
        <v>791</v>
      </c>
      <c r="K213" s="16"/>
      <c r="L213" s="16">
        <v>0</v>
      </c>
      <c r="M213" s="16">
        <v>0</v>
      </c>
      <c r="N213" s="16"/>
      <c r="O213" s="16" t="s">
        <v>799</v>
      </c>
      <c r="P213" s="10">
        <v>2.5</v>
      </c>
      <c r="Q213" s="16"/>
      <c r="R213" s="16"/>
      <c r="S213" s="16"/>
      <c r="T213" s="16"/>
      <c r="U213" s="16">
        <v>3</v>
      </c>
      <c r="V213" s="16">
        <v>2</v>
      </c>
      <c r="W213" s="16" t="s">
        <v>150</v>
      </c>
      <c r="X213" s="16">
        <v>522</v>
      </c>
      <c r="Y213" s="16">
        <v>0</v>
      </c>
      <c r="Z213" s="16" t="s">
        <v>151</v>
      </c>
      <c r="AA213" s="16">
        <v>1500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600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t="s">
        <v>806</v>
      </c>
      <c r="C214" s="6" t="s">
        <v>71</v>
      </c>
      <c r="D214" s="16" t="s">
        <v>282</v>
      </c>
      <c r="E214" s="33" t="s">
        <v>807</v>
      </c>
      <c r="F214" s="24"/>
      <c r="G214" s="16"/>
      <c r="H214" s="16"/>
      <c r="I214" s="16" t="s">
        <v>285</v>
      </c>
      <c r="J214" s="16" t="s">
        <v>808</v>
      </c>
      <c r="K214" s="16"/>
      <c r="L214" s="16">
        <v>0</v>
      </c>
      <c r="M214" s="16">
        <v>0</v>
      </c>
      <c r="N214" s="16"/>
      <c r="O214" s="16" t="s">
        <v>809</v>
      </c>
      <c r="P214" s="10">
        <v>1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522</v>
      </c>
      <c r="Y214" s="16">
        <v>0</v>
      </c>
      <c r="Z214" s="16" t="s">
        <v>151</v>
      </c>
      <c r="AA214" s="16">
        <v>1500</v>
      </c>
      <c r="AB214" s="16" t="s">
        <v>810</v>
      </c>
      <c r="AC214" s="16"/>
      <c r="AD214" s="16">
        <v>900</v>
      </c>
      <c r="AE214" s="16" t="s">
        <v>151</v>
      </c>
      <c r="AF214" s="16">
        <v>0.1</v>
      </c>
      <c r="AG214" s="16">
        <v>1</v>
      </c>
      <c r="AH214" s="57" t="s">
        <v>165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500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t="s">
        <v>811</v>
      </c>
      <c r="C215" s="6" t="s">
        <v>71</v>
      </c>
      <c r="D215" s="16" t="s">
        <v>282</v>
      </c>
      <c r="E215" t="s">
        <v>812</v>
      </c>
      <c r="F215" s="24"/>
      <c r="G215" s="16"/>
      <c r="H215" s="16"/>
      <c r="I215" s="16" t="s">
        <v>285</v>
      </c>
      <c r="J215" s="16" t="s">
        <v>459</v>
      </c>
      <c r="K215" s="16"/>
      <c r="L215" s="16">
        <v>0</v>
      </c>
      <c r="M215" s="16">
        <v>0</v>
      </c>
      <c r="N215" s="16"/>
      <c r="O215" s="16" t="s">
        <v>813</v>
      </c>
      <c r="P215" s="10">
        <v>1</v>
      </c>
      <c r="Q215" s="16"/>
      <c r="R215" s="16"/>
      <c r="S215" s="16"/>
      <c r="T215" s="16"/>
      <c r="U215" s="16">
        <v>1</v>
      </c>
      <c r="V215" s="16">
        <v>2</v>
      </c>
      <c r="W215" s="16" t="s">
        <v>150</v>
      </c>
      <c r="X215" s="16">
        <v>522</v>
      </c>
      <c r="Y215" s="16">
        <v>0</v>
      </c>
      <c r="Z215" s="16" t="s">
        <v>151</v>
      </c>
      <c r="AA215" s="16">
        <v>1500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t="s">
        <v>814</v>
      </c>
      <c r="C216" s="6" t="s">
        <v>71</v>
      </c>
      <c r="D216" s="16" t="s">
        <v>282</v>
      </c>
      <c r="E216" t="s">
        <v>815</v>
      </c>
      <c r="F216" s="24"/>
      <c r="G216" s="16"/>
      <c r="H216" s="16"/>
      <c r="I216" s="16" t="s">
        <v>285</v>
      </c>
      <c r="J216" s="16" t="s">
        <v>459</v>
      </c>
      <c r="K216" s="16"/>
      <c r="L216" s="16">
        <v>0</v>
      </c>
      <c r="M216" s="16">
        <v>0</v>
      </c>
      <c r="N216" s="16"/>
      <c r="O216" s="16" t="s">
        <v>816</v>
      </c>
      <c r="P216" s="10">
        <v>1</v>
      </c>
      <c r="Q216" s="16"/>
      <c r="R216" s="16"/>
      <c r="S216" s="16"/>
      <c r="T216" s="16"/>
      <c r="U216" s="16">
        <v>1</v>
      </c>
      <c r="V216" s="16">
        <v>2</v>
      </c>
      <c r="W216" s="16" t="s">
        <v>150</v>
      </c>
      <c r="X216" s="16">
        <v>522</v>
      </c>
      <c r="Y216" s="16">
        <v>0</v>
      </c>
      <c r="Z216" s="16" t="s">
        <v>151</v>
      </c>
      <c r="AA216" s="16">
        <v>1500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300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t="s">
        <v>817</v>
      </c>
      <c r="C217" s="6" t="s">
        <v>71</v>
      </c>
      <c r="D217" s="16" t="s">
        <v>282</v>
      </c>
      <c r="E217" t="s">
        <v>818</v>
      </c>
      <c r="F217" s="24"/>
      <c r="G217" s="16"/>
      <c r="H217" s="16"/>
      <c r="I217" s="16" t="s">
        <v>285</v>
      </c>
      <c r="J217" s="16" t="s">
        <v>819</v>
      </c>
      <c r="K217" s="16"/>
      <c r="L217" s="16">
        <v>0</v>
      </c>
      <c r="M217" s="16">
        <v>0</v>
      </c>
      <c r="N217" s="16"/>
      <c r="O217" s="16" t="s">
        <v>820</v>
      </c>
      <c r="P217" s="10">
        <v>1</v>
      </c>
      <c r="Q217" s="16"/>
      <c r="R217" s="16"/>
      <c r="S217" s="16"/>
      <c r="T217" s="16"/>
      <c r="U217" s="16">
        <v>1</v>
      </c>
      <c r="V217" s="16">
        <v>2</v>
      </c>
      <c r="W217" s="16" t="s">
        <v>150</v>
      </c>
      <c r="X217" s="16">
        <v>522</v>
      </c>
      <c r="Y217" s="16">
        <v>0</v>
      </c>
      <c r="Z217" s="16" t="s">
        <v>151</v>
      </c>
      <c r="AA217" s="16">
        <v>1500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t="s">
        <v>821</v>
      </c>
      <c r="C218" s="6" t="s">
        <v>71</v>
      </c>
      <c r="D218" s="16" t="s">
        <v>282</v>
      </c>
      <c r="E218" t="s">
        <v>822</v>
      </c>
      <c r="F218" s="24"/>
      <c r="G218" s="16"/>
      <c r="H218" s="16"/>
      <c r="I218" s="16" t="s">
        <v>285</v>
      </c>
      <c r="J218" s="16" t="s">
        <v>823</v>
      </c>
      <c r="K218" s="16"/>
      <c r="L218" s="16">
        <v>0</v>
      </c>
      <c r="M218" s="16">
        <v>0</v>
      </c>
      <c r="N218" s="16"/>
      <c r="O218" s="16" t="s">
        <v>824</v>
      </c>
      <c r="P218" s="10">
        <v>1</v>
      </c>
      <c r="Q218" s="16"/>
      <c r="R218" s="16"/>
      <c r="S218" s="16"/>
      <c r="T218" s="16"/>
      <c r="U218" s="16">
        <v>1</v>
      </c>
      <c r="V218" s="16">
        <v>2</v>
      </c>
      <c r="W218" s="16" t="s">
        <v>150</v>
      </c>
      <c r="X218" s="16">
        <v>522</v>
      </c>
      <c r="Y218" s="16">
        <v>0</v>
      </c>
      <c r="Z218" s="16" t="s">
        <v>151</v>
      </c>
      <c r="AA218" s="16">
        <v>1500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300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t="s">
        <v>825</v>
      </c>
      <c r="C219" s="6" t="s">
        <v>71</v>
      </c>
      <c r="D219" s="16" t="s">
        <v>282</v>
      </c>
      <c r="E219" s="33" t="s">
        <v>826</v>
      </c>
      <c r="F219" s="24"/>
      <c r="G219" s="16"/>
      <c r="H219" s="16"/>
      <c r="I219" s="16" t="s">
        <v>285</v>
      </c>
      <c r="J219" s="16" t="s">
        <v>827</v>
      </c>
      <c r="K219" s="16"/>
      <c r="L219" s="16">
        <v>0</v>
      </c>
      <c r="M219" s="16">
        <v>0</v>
      </c>
      <c r="N219" s="16"/>
      <c r="O219" s="16" t="s">
        <v>828</v>
      </c>
      <c r="P219" s="10">
        <v>1</v>
      </c>
      <c r="Q219" s="16"/>
      <c r="R219" s="16"/>
      <c r="S219" s="16"/>
      <c r="T219" s="16"/>
      <c r="U219" s="16">
        <v>1</v>
      </c>
      <c r="V219" s="16">
        <v>2</v>
      </c>
      <c r="W219" s="16" t="s">
        <v>150</v>
      </c>
      <c r="X219" s="16">
        <v>522</v>
      </c>
      <c r="Y219" s="16">
        <v>0</v>
      </c>
      <c r="Z219" s="16" t="s">
        <v>151</v>
      </c>
      <c r="AA219" s="16">
        <v>1500</v>
      </c>
      <c r="AB219" s="16" t="s">
        <v>829</v>
      </c>
      <c r="AC219" s="16"/>
      <c r="AD219" s="16">
        <v>900</v>
      </c>
      <c r="AE219" s="16" t="s">
        <v>151</v>
      </c>
      <c r="AF219" s="16">
        <v>0.1</v>
      </c>
      <c r="AG219" s="16">
        <v>1</v>
      </c>
      <c r="AH219" s="57" t="s">
        <v>165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600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t="s">
        <v>830</v>
      </c>
      <c r="C220" s="6" t="s">
        <v>71</v>
      </c>
      <c r="D220" s="16" t="s">
        <v>282</v>
      </c>
      <c r="E220" t="s">
        <v>831</v>
      </c>
      <c r="F220" s="24"/>
      <c r="G220" s="16"/>
      <c r="H220" s="16"/>
      <c r="I220" s="16" t="s">
        <v>285</v>
      </c>
      <c r="J220" s="46" t="s">
        <v>832</v>
      </c>
      <c r="K220" s="16"/>
      <c r="L220" s="16">
        <v>0</v>
      </c>
      <c r="M220" s="16">
        <v>0</v>
      </c>
      <c r="N220" s="16"/>
      <c r="O220" s="16" t="s">
        <v>833</v>
      </c>
      <c r="P220" s="10">
        <v>1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522</v>
      </c>
      <c r="Y220" s="16">
        <v>0</v>
      </c>
      <c r="Z220" s="16" t="s">
        <v>151</v>
      </c>
      <c r="AA220" s="16">
        <v>1500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300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t="s">
        <v>834</v>
      </c>
      <c r="C221" s="6" t="s">
        <v>71</v>
      </c>
      <c r="D221" s="16" t="s">
        <v>282</v>
      </c>
      <c r="E221" t="s">
        <v>835</v>
      </c>
      <c r="F221" s="24"/>
      <c r="G221" s="16"/>
      <c r="H221" s="16"/>
      <c r="I221" s="16" t="s">
        <v>285</v>
      </c>
      <c r="J221" s="16" t="s">
        <v>459</v>
      </c>
      <c r="K221" s="16"/>
      <c r="L221" s="16">
        <v>0</v>
      </c>
      <c r="M221" s="16">
        <v>0</v>
      </c>
      <c r="N221" s="16"/>
      <c r="O221" s="16" t="s">
        <v>836</v>
      </c>
      <c r="P221" s="10">
        <v>1</v>
      </c>
      <c r="Q221" s="16"/>
      <c r="R221" s="16"/>
      <c r="S221" s="16"/>
      <c r="T221" s="16"/>
      <c r="U221" s="16">
        <v>1</v>
      </c>
      <c r="V221" s="16">
        <v>2</v>
      </c>
      <c r="W221" s="16" t="s">
        <v>150</v>
      </c>
      <c r="X221" s="16">
        <v>522</v>
      </c>
      <c r="Y221" s="16">
        <v>0</v>
      </c>
      <c r="Z221" s="16" t="s">
        <v>151</v>
      </c>
      <c r="AA221" s="16">
        <v>1500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300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t="s">
        <v>837</v>
      </c>
      <c r="C222" s="6" t="s">
        <v>71</v>
      </c>
      <c r="D222" s="16" t="s">
        <v>282</v>
      </c>
      <c r="E222" s="41" t="s">
        <v>838</v>
      </c>
      <c r="F222" s="24"/>
      <c r="G222" s="16"/>
      <c r="H222" s="16"/>
      <c r="I222" s="16" t="s">
        <v>285</v>
      </c>
      <c r="J222" s="43" t="s">
        <v>1282</v>
      </c>
      <c r="K222" s="16"/>
      <c r="L222" s="16">
        <v>0</v>
      </c>
      <c r="M222" s="16">
        <v>0</v>
      </c>
      <c r="N222" s="16"/>
      <c r="O222" s="16" t="s">
        <v>839</v>
      </c>
      <c r="P222" s="10">
        <v>2.5</v>
      </c>
      <c r="Q222" s="16"/>
      <c r="R222" s="16"/>
      <c r="S222" s="16"/>
      <c r="T222" s="16"/>
      <c r="U222" s="16">
        <v>3</v>
      </c>
      <c r="V222" s="16">
        <v>2</v>
      </c>
      <c r="W222" s="16" t="s">
        <v>150</v>
      </c>
      <c r="X222" s="16">
        <v>522</v>
      </c>
      <c r="Y222" s="16">
        <v>0</v>
      </c>
      <c r="Z222" s="16" t="s">
        <v>151</v>
      </c>
      <c r="AA222" s="16">
        <v>1500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500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72" t="s">
        <v>1274</v>
      </c>
      <c r="C223" s="6" t="s">
        <v>71</v>
      </c>
      <c r="D223" s="16" t="s">
        <v>282</v>
      </c>
      <c r="E223" s="72" t="s">
        <v>1278</v>
      </c>
      <c r="F223" s="24"/>
      <c r="G223" s="16"/>
      <c r="H223" s="16"/>
      <c r="I223" s="16" t="s">
        <v>285</v>
      </c>
      <c r="J223" s="16"/>
      <c r="K223" s="16"/>
      <c r="L223" s="16">
        <v>0</v>
      </c>
      <c r="M223" s="16">
        <v>0</v>
      </c>
      <c r="N223" s="16"/>
      <c r="O223" s="16" t="s">
        <v>1287</v>
      </c>
      <c r="P223" s="10">
        <v>1</v>
      </c>
      <c r="Q223" s="16"/>
      <c r="R223" s="16"/>
      <c r="S223" s="16"/>
      <c r="T223" s="16"/>
      <c r="U223" s="16">
        <v>0.5</v>
      </c>
      <c r="V223" s="16">
        <v>2</v>
      </c>
      <c r="W223" s="16" t="s">
        <v>150</v>
      </c>
      <c r="X223" s="16">
        <v>522</v>
      </c>
      <c r="Y223" s="16">
        <v>0</v>
      </c>
      <c r="Z223" s="16" t="s">
        <v>151</v>
      </c>
      <c r="AA223" s="16">
        <v>1500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300</v>
      </c>
      <c r="AQ223" s="16">
        <v>0.5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6">
        <v>0</v>
      </c>
      <c r="BI223" s="16">
        <v>5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72" t="s">
        <v>1275</v>
      </c>
      <c r="C224" s="6" t="s">
        <v>71</v>
      </c>
      <c r="D224" s="16" t="s">
        <v>282</v>
      </c>
      <c r="E224" s="72" t="s">
        <v>1279</v>
      </c>
      <c r="F224" s="24"/>
      <c r="G224" s="16"/>
      <c r="H224" s="16"/>
      <c r="I224" s="16" t="s">
        <v>285</v>
      </c>
      <c r="J224" s="16"/>
      <c r="K224" s="16"/>
      <c r="L224" s="16">
        <v>0</v>
      </c>
      <c r="M224" s="16">
        <v>0</v>
      </c>
      <c r="N224" s="16"/>
      <c r="O224" s="16" t="s">
        <v>1288</v>
      </c>
      <c r="P224" s="10">
        <v>2</v>
      </c>
      <c r="Q224" s="16"/>
      <c r="R224" s="16"/>
      <c r="S224" s="16"/>
      <c r="T224" s="16"/>
      <c r="U224" s="16">
        <v>0.5</v>
      </c>
      <c r="V224" s="16">
        <v>2</v>
      </c>
      <c r="W224" s="16" t="s">
        <v>150</v>
      </c>
      <c r="X224" s="16">
        <v>522</v>
      </c>
      <c r="Y224" s="16">
        <v>0</v>
      </c>
      <c r="Z224" s="16" t="s">
        <v>151</v>
      </c>
      <c r="AA224" s="16">
        <v>1500</v>
      </c>
      <c r="AB224" s="16" t="s">
        <v>829</v>
      </c>
      <c r="AC224" s="16"/>
      <c r="AD224" s="16">
        <v>900</v>
      </c>
      <c r="AE224" s="16" t="s">
        <v>151</v>
      </c>
      <c r="AF224" s="16">
        <v>0.1</v>
      </c>
      <c r="AG224" s="16">
        <v>1</v>
      </c>
      <c r="AH224" s="57" t="s">
        <v>165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600</v>
      </c>
      <c r="AQ224" s="16">
        <v>0.5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6">
        <v>0</v>
      </c>
      <c r="BI224" s="16">
        <v>5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72" t="s">
        <v>1276</v>
      </c>
      <c r="C225" s="6" t="s">
        <v>71</v>
      </c>
      <c r="D225" s="16" t="s">
        <v>282</v>
      </c>
      <c r="E225" s="72" t="s">
        <v>1280</v>
      </c>
      <c r="F225" s="24"/>
      <c r="G225" s="16"/>
      <c r="H225" s="16"/>
      <c r="I225" s="16" t="s">
        <v>285</v>
      </c>
      <c r="J225" s="73" t="s">
        <v>1284</v>
      </c>
      <c r="K225" s="16"/>
      <c r="L225" s="16">
        <v>0</v>
      </c>
      <c r="M225" s="16">
        <v>0</v>
      </c>
      <c r="N225" s="16"/>
      <c r="O225" s="16" t="s">
        <v>1286</v>
      </c>
      <c r="P225" s="10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522</v>
      </c>
      <c r="Y225" s="16">
        <v>0</v>
      </c>
      <c r="Z225" s="16" t="s">
        <v>151</v>
      </c>
      <c r="AA225" s="16">
        <v>1500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300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72" t="s">
        <v>1277</v>
      </c>
      <c r="C226" s="6" t="s">
        <v>71</v>
      </c>
      <c r="D226" s="16" t="s">
        <v>282</v>
      </c>
      <c r="E226" s="72" t="s">
        <v>1281</v>
      </c>
      <c r="F226" s="24"/>
      <c r="G226" s="16"/>
      <c r="H226" s="16"/>
      <c r="I226" s="16" t="s">
        <v>285</v>
      </c>
      <c r="J226" s="12" t="s">
        <v>738</v>
      </c>
      <c r="K226" s="16"/>
      <c r="L226" s="16">
        <v>0</v>
      </c>
      <c r="M226" s="16">
        <v>0</v>
      </c>
      <c r="N226" s="16"/>
      <c r="O226" s="16" t="s">
        <v>1285</v>
      </c>
      <c r="P226" s="10">
        <v>4</v>
      </c>
      <c r="Q226" s="16"/>
      <c r="R226" s="16"/>
      <c r="S226" s="16"/>
      <c r="T226" s="16"/>
      <c r="U226" s="16">
        <v>4</v>
      </c>
      <c r="V226" s="16">
        <v>2</v>
      </c>
      <c r="W226" s="16" t="s">
        <v>150</v>
      </c>
      <c r="X226" s="16">
        <v>522</v>
      </c>
      <c r="Y226" s="16">
        <v>0</v>
      </c>
      <c r="Z226" s="16" t="s">
        <v>151</v>
      </c>
      <c r="AA226" s="16">
        <v>1500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300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840</v>
      </c>
      <c r="C227" s="6" t="s">
        <v>71</v>
      </c>
      <c r="D227" s="16" t="s">
        <v>282</v>
      </c>
      <c r="E227" s="44" t="s">
        <v>841</v>
      </c>
      <c r="F227" s="24"/>
      <c r="G227" s="16" t="s">
        <v>842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843</v>
      </c>
      <c r="P227" s="16">
        <v>1.34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844</v>
      </c>
      <c r="C228" s="6" t="s">
        <v>71</v>
      </c>
      <c r="D228" s="16" t="s">
        <v>282</v>
      </c>
      <c r="E228" s="44" t="s">
        <v>845</v>
      </c>
      <c r="F228" s="24"/>
      <c r="G228" s="16" t="s">
        <v>842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843</v>
      </c>
      <c r="P228" s="16">
        <v>1.4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846</v>
      </c>
      <c r="C229" s="6" t="s">
        <v>71</v>
      </c>
      <c r="D229" s="16" t="s">
        <v>282</v>
      </c>
      <c r="E229" s="44" t="s">
        <v>847</v>
      </c>
      <c r="F229" s="24"/>
      <c r="G229" s="16" t="s">
        <v>842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843</v>
      </c>
      <c r="P229" s="16">
        <v>1.46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848</v>
      </c>
      <c r="C230" s="6" t="s">
        <v>71</v>
      </c>
      <c r="D230" s="16" t="s">
        <v>282</v>
      </c>
      <c r="E230" s="44" t="s">
        <v>849</v>
      </c>
      <c r="F230" s="24"/>
      <c r="G230" s="16" t="s">
        <v>842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843</v>
      </c>
      <c r="P230" s="16">
        <v>1.52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850</v>
      </c>
      <c r="C231" s="6" t="s">
        <v>71</v>
      </c>
      <c r="D231" s="16" t="s">
        <v>282</v>
      </c>
      <c r="E231" s="44" t="s">
        <v>851</v>
      </c>
      <c r="F231" s="24"/>
      <c r="G231" s="16" t="s">
        <v>842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843</v>
      </c>
      <c r="P231" s="16">
        <v>1.58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852</v>
      </c>
      <c r="C232" s="6" t="s">
        <v>71</v>
      </c>
      <c r="D232" s="16" t="s">
        <v>282</v>
      </c>
      <c r="E232" s="44" t="s">
        <v>853</v>
      </c>
      <c r="F232" s="24"/>
      <c r="G232" s="16" t="s">
        <v>842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843</v>
      </c>
      <c r="P232" s="16">
        <v>1.64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854</v>
      </c>
      <c r="C233" s="6" t="s">
        <v>71</v>
      </c>
      <c r="D233" s="16" t="s">
        <v>282</v>
      </c>
      <c r="E233" s="44" t="s">
        <v>855</v>
      </c>
      <c r="F233" s="24"/>
      <c r="G233" s="16" t="s">
        <v>842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843</v>
      </c>
      <c r="P233" s="16">
        <v>1.7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856</v>
      </c>
      <c r="C234" s="6" t="s">
        <v>71</v>
      </c>
      <c r="D234" s="16" t="s">
        <v>282</v>
      </c>
      <c r="E234" s="44" t="s">
        <v>857</v>
      </c>
      <c r="F234" s="24"/>
      <c r="G234" s="16" t="s">
        <v>842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843</v>
      </c>
      <c r="P234" s="16">
        <v>1.76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858</v>
      </c>
      <c r="C235" s="6" t="s">
        <v>71</v>
      </c>
      <c r="D235" s="16" t="s">
        <v>282</v>
      </c>
      <c r="E235" s="44" t="s">
        <v>859</v>
      </c>
      <c r="F235" s="24"/>
      <c r="G235" s="16" t="s">
        <v>842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843</v>
      </c>
      <c r="P235" s="16">
        <v>1.82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860</v>
      </c>
      <c r="C236" s="6" t="s">
        <v>71</v>
      </c>
      <c r="D236" s="16" t="s">
        <v>282</v>
      </c>
      <c r="E236" s="44" t="s">
        <v>861</v>
      </c>
      <c r="F236" s="24"/>
      <c r="G236" s="16" t="s">
        <v>842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843</v>
      </c>
      <c r="P236" s="16">
        <v>1.88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862</v>
      </c>
      <c r="C237" s="6" t="s">
        <v>71</v>
      </c>
      <c r="D237" s="16" t="s">
        <v>282</v>
      </c>
      <c r="E237" s="44" t="s">
        <v>863</v>
      </c>
      <c r="F237" s="24"/>
      <c r="G237" s="16" t="s">
        <v>842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843</v>
      </c>
      <c r="P237" s="16">
        <v>1.94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864</v>
      </c>
      <c r="C238" s="6" t="s">
        <v>71</v>
      </c>
      <c r="D238" s="16" t="s">
        <v>282</v>
      </c>
      <c r="E238" s="44" t="s">
        <v>865</v>
      </c>
      <c r="F238" s="24"/>
      <c r="G238" s="16" t="s">
        <v>842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843</v>
      </c>
      <c r="P238" s="16">
        <v>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866</v>
      </c>
      <c r="C239" s="6" t="s">
        <v>71</v>
      </c>
      <c r="D239" s="16" t="s">
        <v>282</v>
      </c>
      <c r="E239" s="44" t="s">
        <v>867</v>
      </c>
      <c r="F239" s="24"/>
      <c r="G239" s="16" t="s">
        <v>842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748</v>
      </c>
      <c r="P239" s="16">
        <v>1.34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868</v>
      </c>
      <c r="C240" s="6" t="s">
        <v>71</v>
      </c>
      <c r="D240" s="16" t="s">
        <v>282</v>
      </c>
      <c r="E240" s="44" t="s">
        <v>869</v>
      </c>
      <c r="F240" s="24"/>
      <c r="G240" s="16" t="s">
        <v>842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748</v>
      </c>
      <c r="P240" s="16">
        <v>1.4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870</v>
      </c>
      <c r="C241" s="6" t="s">
        <v>71</v>
      </c>
      <c r="D241" s="16" t="s">
        <v>282</v>
      </c>
      <c r="E241" s="44" t="s">
        <v>871</v>
      </c>
      <c r="F241" s="24"/>
      <c r="G241" s="16" t="s">
        <v>842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748</v>
      </c>
      <c r="P241" s="16">
        <v>1.46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872</v>
      </c>
      <c r="C242" s="6" t="s">
        <v>71</v>
      </c>
      <c r="D242" s="16" t="s">
        <v>282</v>
      </c>
      <c r="E242" s="44" t="s">
        <v>873</v>
      </c>
      <c r="F242" s="24"/>
      <c r="G242" s="16" t="s">
        <v>842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748</v>
      </c>
      <c r="P242" s="16">
        <v>1.52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874</v>
      </c>
      <c r="C243" s="6" t="s">
        <v>71</v>
      </c>
      <c r="D243" s="16" t="s">
        <v>282</v>
      </c>
      <c r="E243" s="44" t="s">
        <v>875</v>
      </c>
      <c r="F243" s="24"/>
      <c r="G243" s="16" t="s">
        <v>842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748</v>
      </c>
      <c r="P243" s="16">
        <v>1.58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876</v>
      </c>
      <c r="C244" s="6" t="s">
        <v>71</v>
      </c>
      <c r="D244" s="16" t="s">
        <v>282</v>
      </c>
      <c r="E244" s="44" t="s">
        <v>877</v>
      </c>
      <c r="F244" s="24"/>
      <c r="G244" s="16" t="s">
        <v>842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748</v>
      </c>
      <c r="P244" s="16">
        <v>1.64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878</v>
      </c>
      <c r="C245" s="6" t="s">
        <v>71</v>
      </c>
      <c r="D245" s="16" t="s">
        <v>282</v>
      </c>
      <c r="E245" s="44" t="s">
        <v>879</v>
      </c>
      <c r="F245" s="24"/>
      <c r="G245" s="16" t="s">
        <v>842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748</v>
      </c>
      <c r="P245" s="16">
        <v>1.7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880</v>
      </c>
      <c r="C246" s="6" t="s">
        <v>71</v>
      </c>
      <c r="D246" s="16" t="s">
        <v>282</v>
      </c>
      <c r="E246" s="44" t="s">
        <v>881</v>
      </c>
      <c r="F246" s="24"/>
      <c r="G246" s="16" t="s">
        <v>842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748</v>
      </c>
      <c r="P246" s="16">
        <v>1.76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882</v>
      </c>
      <c r="C247" s="6" t="s">
        <v>71</v>
      </c>
      <c r="D247" s="16" t="s">
        <v>282</v>
      </c>
      <c r="E247" s="44" t="s">
        <v>883</v>
      </c>
      <c r="F247" s="24"/>
      <c r="G247" s="16" t="s">
        <v>842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748</v>
      </c>
      <c r="P247" s="16">
        <v>1.82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884</v>
      </c>
      <c r="C248" s="6" t="s">
        <v>71</v>
      </c>
      <c r="D248" s="16" t="s">
        <v>282</v>
      </c>
      <c r="E248" s="44" t="s">
        <v>885</v>
      </c>
      <c r="F248" s="24"/>
      <c r="G248" s="16" t="s">
        <v>842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748</v>
      </c>
      <c r="P248" s="16">
        <v>1.88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886</v>
      </c>
      <c r="C249" s="6" t="s">
        <v>71</v>
      </c>
      <c r="D249" s="16" t="s">
        <v>282</v>
      </c>
      <c r="E249" s="44" t="s">
        <v>887</v>
      </c>
      <c r="F249" s="24"/>
      <c r="G249" s="16" t="s">
        <v>842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748</v>
      </c>
      <c r="P249" s="16">
        <v>1.94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888</v>
      </c>
      <c r="C250" s="6" t="s">
        <v>71</v>
      </c>
      <c r="D250" s="16" t="s">
        <v>282</v>
      </c>
      <c r="E250" s="44" t="s">
        <v>889</v>
      </c>
      <c r="F250" s="24"/>
      <c r="G250" s="16" t="s">
        <v>842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748</v>
      </c>
      <c r="P250" s="16">
        <v>2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890</v>
      </c>
      <c r="C251" s="6" t="s">
        <v>71</v>
      </c>
      <c r="D251" s="16" t="s">
        <v>282</v>
      </c>
      <c r="E251" s="44" t="s">
        <v>891</v>
      </c>
      <c r="F251" s="24"/>
      <c r="G251" s="16" t="s">
        <v>842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892</v>
      </c>
      <c r="P251" s="16">
        <v>1.2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893</v>
      </c>
      <c r="C252" s="6" t="s">
        <v>71</v>
      </c>
      <c r="D252" s="16" t="s">
        <v>282</v>
      </c>
      <c r="E252" s="44" t="s">
        <v>894</v>
      </c>
      <c r="F252" s="24"/>
      <c r="G252" s="16" t="s">
        <v>842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892</v>
      </c>
      <c r="P252" s="16">
        <v>1.4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895</v>
      </c>
      <c r="C253" s="6" t="s">
        <v>71</v>
      </c>
      <c r="D253" s="16" t="s">
        <v>282</v>
      </c>
      <c r="E253" s="44" t="s">
        <v>896</v>
      </c>
      <c r="F253" s="24"/>
      <c r="G253" s="16" t="s">
        <v>842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892</v>
      </c>
      <c r="P253" s="16">
        <v>1.6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897</v>
      </c>
      <c r="C254" s="6" t="s">
        <v>71</v>
      </c>
      <c r="D254" s="16" t="s">
        <v>282</v>
      </c>
      <c r="E254" s="44" t="s">
        <v>898</v>
      </c>
      <c r="F254" s="24"/>
      <c r="G254" s="16" t="s">
        <v>842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892</v>
      </c>
      <c r="P254" s="16">
        <v>1.8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899</v>
      </c>
      <c r="C255" s="6" t="s">
        <v>71</v>
      </c>
      <c r="D255" s="16" t="s">
        <v>282</v>
      </c>
      <c r="E255" s="44" t="s">
        <v>900</v>
      </c>
      <c r="F255" s="24"/>
      <c r="G255" s="16" t="s">
        <v>842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892</v>
      </c>
      <c r="P255" s="16">
        <v>2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901</v>
      </c>
      <c r="C256" s="6" t="s">
        <v>71</v>
      </c>
      <c r="D256" s="16" t="s">
        <v>282</v>
      </c>
      <c r="E256" s="44" t="s">
        <v>902</v>
      </c>
      <c r="F256" s="24"/>
      <c r="G256" s="16" t="s">
        <v>842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892</v>
      </c>
      <c r="P256" s="16">
        <v>2.2000000000000002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" t="s">
        <v>903</v>
      </c>
      <c r="C257" s="6" t="s">
        <v>71</v>
      </c>
      <c r="D257" s="16" t="s">
        <v>282</v>
      </c>
      <c r="E257" s="44" t="s">
        <v>904</v>
      </c>
      <c r="F257" s="24"/>
      <c r="G257" s="16" t="s">
        <v>842</v>
      </c>
      <c r="H257" s="16"/>
      <c r="I257" s="16" t="s">
        <v>285</v>
      </c>
      <c r="J257" s="12" t="s">
        <v>905</v>
      </c>
      <c r="K257" s="16"/>
      <c r="L257" s="16">
        <v>0</v>
      </c>
      <c r="M257" s="16">
        <v>0</v>
      </c>
      <c r="N257" s="16"/>
      <c r="O257" s="16" t="s">
        <v>892</v>
      </c>
      <c r="P257" s="16">
        <v>2.4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>
        <v>20</v>
      </c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" t="s">
        <v>906</v>
      </c>
      <c r="C258" s="6" t="s">
        <v>71</v>
      </c>
      <c r="D258" s="16" t="s">
        <v>282</v>
      </c>
      <c r="E258" s="44" t="s">
        <v>907</v>
      </c>
      <c r="F258" s="24"/>
      <c r="G258" s="16" t="s">
        <v>842</v>
      </c>
      <c r="H258" s="16"/>
      <c r="I258" s="16" t="s">
        <v>285</v>
      </c>
      <c r="J258" s="12" t="s">
        <v>905</v>
      </c>
      <c r="K258" s="16"/>
      <c r="L258" s="16">
        <v>0</v>
      </c>
      <c r="M258" s="16">
        <v>0</v>
      </c>
      <c r="N258" s="16"/>
      <c r="O258" s="16" t="s">
        <v>892</v>
      </c>
      <c r="P258" s="16">
        <v>2.6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>
        <v>20</v>
      </c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908</v>
      </c>
      <c r="C259" s="6" t="s">
        <v>71</v>
      </c>
      <c r="D259" s="16" t="s">
        <v>282</v>
      </c>
      <c r="E259" s="44" t="s">
        <v>909</v>
      </c>
      <c r="F259" s="24"/>
      <c r="G259" s="16" t="s">
        <v>842</v>
      </c>
      <c r="H259" s="16"/>
      <c r="I259" s="16" t="s">
        <v>285</v>
      </c>
      <c r="J259" s="12" t="s">
        <v>905</v>
      </c>
      <c r="K259" s="16"/>
      <c r="L259" s="16">
        <v>0</v>
      </c>
      <c r="M259" s="16">
        <v>0</v>
      </c>
      <c r="N259" s="16"/>
      <c r="O259" s="16" t="s">
        <v>892</v>
      </c>
      <c r="P259" s="16">
        <v>2.8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>
        <v>20</v>
      </c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4" t="s">
        <v>910</v>
      </c>
      <c r="C260" s="6" t="s">
        <v>71</v>
      </c>
      <c r="D260" s="16" t="s">
        <v>282</v>
      </c>
      <c r="E260" s="44" t="s">
        <v>911</v>
      </c>
      <c r="F260" s="24"/>
      <c r="G260" s="16" t="s">
        <v>842</v>
      </c>
      <c r="H260" s="16"/>
      <c r="I260" s="16" t="s">
        <v>285</v>
      </c>
      <c r="J260" s="12" t="s">
        <v>905</v>
      </c>
      <c r="K260" s="16"/>
      <c r="L260" s="16">
        <v>0</v>
      </c>
      <c r="M260" s="16">
        <v>0</v>
      </c>
      <c r="N260" s="16"/>
      <c r="O260" s="16" t="s">
        <v>892</v>
      </c>
      <c r="P260" s="16">
        <v>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>
        <v>20</v>
      </c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4" t="s">
        <v>912</v>
      </c>
      <c r="C261" s="6" t="s">
        <v>71</v>
      </c>
      <c r="D261" s="16" t="s">
        <v>282</v>
      </c>
      <c r="E261" s="44" t="s">
        <v>913</v>
      </c>
      <c r="F261" s="24"/>
      <c r="G261" s="16" t="s">
        <v>842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892</v>
      </c>
      <c r="P261" s="16">
        <v>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4" t="s">
        <v>914</v>
      </c>
      <c r="C262" s="6" t="s">
        <v>71</v>
      </c>
      <c r="D262" s="16" t="s">
        <v>282</v>
      </c>
      <c r="E262" s="44" t="s">
        <v>915</v>
      </c>
      <c r="F262" s="24"/>
      <c r="G262" s="16" t="s">
        <v>842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892</v>
      </c>
      <c r="P262" s="16">
        <v>3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4" t="s">
        <v>916</v>
      </c>
      <c r="C263" s="6" t="s">
        <v>71</v>
      </c>
      <c r="D263" s="16" t="s">
        <v>282</v>
      </c>
      <c r="E263" s="44" t="s">
        <v>917</v>
      </c>
      <c r="F263" s="24"/>
      <c r="G263" s="16" t="s">
        <v>842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892</v>
      </c>
      <c r="P263" s="16">
        <v>3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4" t="s">
        <v>918</v>
      </c>
      <c r="C264" s="6" t="s">
        <v>71</v>
      </c>
      <c r="D264" s="16" t="s">
        <v>282</v>
      </c>
      <c r="E264" s="44" t="s">
        <v>919</v>
      </c>
      <c r="F264" s="24"/>
      <c r="G264" s="16" t="s">
        <v>842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892</v>
      </c>
      <c r="P264" s="16">
        <v>3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400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4" t="s">
        <v>920</v>
      </c>
      <c r="C265" s="6" t="s">
        <v>71</v>
      </c>
      <c r="D265" s="16" t="s">
        <v>282</v>
      </c>
      <c r="E265" s="44" t="s">
        <v>921</v>
      </c>
      <c r="F265" s="24"/>
      <c r="G265" s="16" t="s">
        <v>842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892</v>
      </c>
      <c r="P265" s="16">
        <v>3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400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4" t="s">
        <v>922</v>
      </c>
      <c r="C266" s="6" t="s">
        <v>71</v>
      </c>
      <c r="D266" s="16" t="s">
        <v>282</v>
      </c>
      <c r="E266" s="44" t="s">
        <v>923</v>
      </c>
      <c r="F266" s="24"/>
      <c r="G266" s="16" t="s">
        <v>842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892</v>
      </c>
      <c r="P266" s="16">
        <v>3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400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4" t="s">
        <v>924</v>
      </c>
      <c r="C267" s="6" t="s">
        <v>71</v>
      </c>
      <c r="D267" s="16" t="s">
        <v>282</v>
      </c>
      <c r="E267" s="44" t="s">
        <v>925</v>
      </c>
      <c r="F267" s="24"/>
      <c r="G267" s="16" t="s">
        <v>842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892</v>
      </c>
      <c r="P267" s="16">
        <v>3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400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4" t="s">
        <v>926</v>
      </c>
      <c r="C268" s="6" t="s">
        <v>71</v>
      </c>
      <c r="D268" s="16" t="s">
        <v>282</v>
      </c>
      <c r="E268" s="44" t="s">
        <v>927</v>
      </c>
      <c r="F268" s="24"/>
      <c r="G268" s="16" t="s">
        <v>842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892</v>
      </c>
      <c r="P268" s="16">
        <v>3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400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4" t="s">
        <v>928</v>
      </c>
      <c r="C269" s="6" t="s">
        <v>71</v>
      </c>
      <c r="D269" s="16" t="s">
        <v>282</v>
      </c>
      <c r="E269" s="44" t="s">
        <v>929</v>
      </c>
      <c r="F269" s="24"/>
      <c r="G269" s="16" t="s">
        <v>842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892</v>
      </c>
      <c r="P269" s="16">
        <v>3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400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4" t="s">
        <v>930</v>
      </c>
      <c r="C270" s="6" t="s">
        <v>71</v>
      </c>
      <c r="D270" s="16" t="s">
        <v>282</v>
      </c>
      <c r="E270" s="44" t="s">
        <v>931</v>
      </c>
      <c r="F270" s="24"/>
      <c r="G270" s="16" t="s">
        <v>842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892</v>
      </c>
      <c r="P270" s="16">
        <v>3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400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932</v>
      </c>
      <c r="C271" s="6" t="s">
        <v>71</v>
      </c>
      <c r="D271" s="16" t="s">
        <v>282</v>
      </c>
      <c r="E271" s="45" t="s">
        <v>933</v>
      </c>
      <c r="F271" s="24"/>
      <c r="G271" s="16" t="s">
        <v>842</v>
      </c>
      <c r="H271" s="16"/>
      <c r="I271" s="16" t="s">
        <v>285</v>
      </c>
      <c r="J271" s="12" t="s">
        <v>934</v>
      </c>
      <c r="K271" s="16"/>
      <c r="L271" s="16">
        <v>0</v>
      </c>
      <c r="M271" s="16">
        <v>0</v>
      </c>
      <c r="N271" s="16"/>
      <c r="O271" s="47" t="s">
        <v>935</v>
      </c>
      <c r="P271" s="16">
        <v>1.2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400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>
        <v>20</v>
      </c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936</v>
      </c>
      <c r="C272" s="6" t="s">
        <v>71</v>
      </c>
      <c r="D272" s="16" t="s">
        <v>282</v>
      </c>
      <c r="E272" s="45" t="s">
        <v>937</v>
      </c>
      <c r="F272" s="24"/>
      <c r="G272" s="16" t="s">
        <v>842</v>
      </c>
      <c r="H272" s="16"/>
      <c r="I272" s="16" t="s">
        <v>285</v>
      </c>
      <c r="J272" s="12" t="s">
        <v>934</v>
      </c>
      <c r="K272" s="16"/>
      <c r="L272" s="16">
        <v>0</v>
      </c>
      <c r="M272" s="16">
        <v>0</v>
      </c>
      <c r="N272" s="16"/>
      <c r="O272" s="47" t="s">
        <v>935</v>
      </c>
      <c r="P272" s="16">
        <v>1.2</v>
      </c>
      <c r="Q272" s="16"/>
      <c r="R272" s="16"/>
      <c r="S272" s="16"/>
      <c r="T272" s="16"/>
      <c r="U272" s="16">
        <v>2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400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>
        <v>20</v>
      </c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938</v>
      </c>
      <c r="C273" s="6" t="s">
        <v>71</v>
      </c>
      <c r="D273" s="16" t="s">
        <v>282</v>
      </c>
      <c r="E273" s="45" t="s">
        <v>939</v>
      </c>
      <c r="F273" s="24"/>
      <c r="G273" s="16" t="s">
        <v>842</v>
      </c>
      <c r="H273" s="16"/>
      <c r="I273" s="16" t="s">
        <v>285</v>
      </c>
      <c r="J273" s="12" t="s">
        <v>934</v>
      </c>
      <c r="K273" s="16"/>
      <c r="L273" s="16">
        <v>0</v>
      </c>
      <c r="M273" s="16">
        <v>0</v>
      </c>
      <c r="N273" s="16"/>
      <c r="O273" s="47" t="s">
        <v>935</v>
      </c>
      <c r="P273" s="16">
        <v>1.2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400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>
        <v>20</v>
      </c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940</v>
      </c>
      <c r="C274" s="6" t="s">
        <v>71</v>
      </c>
      <c r="D274" s="16" t="s">
        <v>282</v>
      </c>
      <c r="E274" s="45" t="s">
        <v>941</v>
      </c>
      <c r="F274" s="24"/>
      <c r="G274" s="16" t="s">
        <v>842</v>
      </c>
      <c r="H274" s="16"/>
      <c r="I274" s="16" t="s">
        <v>285</v>
      </c>
      <c r="J274" s="12" t="s">
        <v>934</v>
      </c>
      <c r="K274" s="16"/>
      <c r="L274" s="16">
        <v>0</v>
      </c>
      <c r="M274" s="16">
        <v>0</v>
      </c>
      <c r="N274" s="16"/>
      <c r="O274" s="47" t="s">
        <v>935</v>
      </c>
      <c r="P274" s="16">
        <v>1.2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7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400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>
        <v>20</v>
      </c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942</v>
      </c>
      <c r="C275" s="6" t="s">
        <v>71</v>
      </c>
      <c r="D275" s="16" t="s">
        <v>282</v>
      </c>
      <c r="E275" s="45" t="s">
        <v>943</v>
      </c>
      <c r="F275" s="24"/>
      <c r="G275" s="16" t="s">
        <v>842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47" t="s">
        <v>935</v>
      </c>
      <c r="P275" s="16">
        <v>1.2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7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400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944</v>
      </c>
      <c r="C276" s="6" t="s">
        <v>71</v>
      </c>
      <c r="D276" s="16" t="s">
        <v>282</v>
      </c>
      <c r="E276" s="45" t="s">
        <v>945</v>
      </c>
      <c r="F276" s="24"/>
      <c r="G276" s="16" t="s">
        <v>842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47" t="s">
        <v>935</v>
      </c>
      <c r="P276" s="16">
        <v>1.2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400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946</v>
      </c>
      <c r="C277" s="6" t="s">
        <v>71</v>
      </c>
      <c r="D277" s="16" t="s">
        <v>282</v>
      </c>
      <c r="E277" s="45" t="s">
        <v>947</v>
      </c>
      <c r="F277" s="24"/>
      <c r="G277" s="16" t="s">
        <v>842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47" t="s">
        <v>935</v>
      </c>
      <c r="P277" s="16">
        <v>1.2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/>
      <c r="AC277" s="16"/>
      <c r="AD277" s="16">
        <v>0</v>
      </c>
      <c r="AE277" s="16" t="s">
        <v>151</v>
      </c>
      <c r="AF277" s="16"/>
      <c r="AG277" s="16"/>
      <c r="AH277" s="57" t="s">
        <v>152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400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948</v>
      </c>
      <c r="C278" s="6" t="s">
        <v>71</v>
      </c>
      <c r="D278" s="16" t="s">
        <v>282</v>
      </c>
      <c r="E278" s="45" t="s">
        <v>949</v>
      </c>
      <c r="F278" s="24"/>
      <c r="G278" s="16" t="s">
        <v>842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47" t="s">
        <v>935</v>
      </c>
      <c r="P278" s="16">
        <v>1.2</v>
      </c>
      <c r="Q278" s="16"/>
      <c r="R278" s="16"/>
      <c r="S278" s="16"/>
      <c r="T278" s="16"/>
      <c r="U278" s="16">
        <v>2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/>
      <c r="AC278" s="16"/>
      <c r="AD278" s="16">
        <v>0</v>
      </c>
      <c r="AE278" s="16" t="s">
        <v>151</v>
      </c>
      <c r="AF278" s="16"/>
      <c r="AG278" s="16"/>
      <c r="AH278" s="57" t="s">
        <v>152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400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950</v>
      </c>
      <c r="C279" s="6" t="s">
        <v>71</v>
      </c>
      <c r="D279" s="16" t="s">
        <v>282</v>
      </c>
      <c r="E279" s="45" t="s">
        <v>951</v>
      </c>
      <c r="F279" s="24"/>
      <c r="G279" s="16" t="s">
        <v>842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748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952</v>
      </c>
      <c r="C280" s="6" t="s">
        <v>71</v>
      </c>
      <c r="D280" s="16" t="s">
        <v>282</v>
      </c>
      <c r="E280" s="45" t="s">
        <v>953</v>
      </c>
      <c r="F280" s="24"/>
      <c r="G280" s="16" t="s">
        <v>842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748</v>
      </c>
      <c r="P280" s="16">
        <v>1.5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7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" t="s">
        <v>954</v>
      </c>
      <c r="C281" s="6" t="s">
        <v>71</v>
      </c>
      <c r="D281" s="16" t="s">
        <v>282</v>
      </c>
      <c r="E281" s="45" t="s">
        <v>955</v>
      </c>
      <c r="F281" s="24"/>
      <c r="G281" s="16" t="s">
        <v>842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748</v>
      </c>
      <c r="P281" s="16">
        <v>1.5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/>
      <c r="AC281" s="16"/>
      <c r="AD281" s="16">
        <v>0</v>
      </c>
      <c r="AE281" s="16" t="s">
        <v>151</v>
      </c>
      <c r="AF281" s="16"/>
      <c r="AG281" s="16"/>
      <c r="AH281" s="57" t="s">
        <v>152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250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" t="s">
        <v>956</v>
      </c>
      <c r="C282" s="6" t="s">
        <v>71</v>
      </c>
      <c r="D282" s="16" t="s">
        <v>282</v>
      </c>
      <c r="E282" s="45" t="s">
        <v>957</v>
      </c>
      <c r="F282" s="24"/>
      <c r="G282" s="16" t="s">
        <v>842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748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" t="s">
        <v>958</v>
      </c>
      <c r="C283" s="6" t="s">
        <v>71</v>
      </c>
      <c r="D283" s="16" t="s">
        <v>282</v>
      </c>
      <c r="E283" s="45" t="s">
        <v>959</v>
      </c>
      <c r="F283" s="24"/>
      <c r="G283" s="16" t="s">
        <v>842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748</v>
      </c>
      <c r="P283" s="16">
        <v>1.5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7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" t="s">
        <v>960</v>
      </c>
      <c r="C284" s="6" t="s">
        <v>71</v>
      </c>
      <c r="D284" s="16" t="s">
        <v>282</v>
      </c>
      <c r="E284" s="45" t="s">
        <v>961</v>
      </c>
      <c r="F284" s="24"/>
      <c r="G284" s="16" t="s">
        <v>842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748</v>
      </c>
      <c r="P284" s="16">
        <v>1.5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/>
      <c r="AC284" s="16"/>
      <c r="AD284" s="16">
        <v>0</v>
      </c>
      <c r="AE284" s="16" t="s">
        <v>151</v>
      </c>
      <c r="AF284" s="16"/>
      <c r="AG284" s="16"/>
      <c r="AH284" s="57" t="s">
        <v>152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250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" t="s">
        <v>962</v>
      </c>
      <c r="C285" s="6" t="s">
        <v>71</v>
      </c>
      <c r="D285" s="16" t="s">
        <v>282</v>
      </c>
      <c r="E285" s="45" t="s">
        <v>963</v>
      </c>
      <c r="F285" s="24"/>
      <c r="G285" s="16" t="s">
        <v>842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748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7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" t="s">
        <v>964</v>
      </c>
      <c r="C286" s="6" t="s">
        <v>71</v>
      </c>
      <c r="D286" s="16" t="s">
        <v>282</v>
      </c>
      <c r="E286" s="48" t="s">
        <v>965</v>
      </c>
      <c r="F286" s="24"/>
      <c r="G286" s="16" t="s">
        <v>842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748</v>
      </c>
      <c r="P286" s="16">
        <v>1.5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7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" t="s">
        <v>966</v>
      </c>
      <c r="C287" s="6" t="s">
        <v>71</v>
      </c>
      <c r="D287" s="16" t="s">
        <v>282</v>
      </c>
      <c r="E287" s="49" t="s">
        <v>967</v>
      </c>
      <c r="F287" s="24"/>
      <c r="G287" s="16" t="s">
        <v>842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968</v>
      </c>
      <c r="P287" s="16">
        <v>1</v>
      </c>
      <c r="Q287" s="16"/>
      <c r="R287" s="16"/>
      <c r="S287" s="16"/>
      <c r="T287" s="16"/>
      <c r="U287" s="16">
        <v>1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/>
      <c r="AC287" s="16"/>
      <c r="AD287" s="16">
        <v>0</v>
      </c>
      <c r="AE287" s="16" t="s">
        <v>151</v>
      </c>
      <c r="AF287" s="16"/>
      <c r="AG287" s="16"/>
      <c r="AH287" s="57" t="s">
        <v>152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250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" t="s">
        <v>969</v>
      </c>
      <c r="C288" s="6" t="s">
        <v>71</v>
      </c>
      <c r="D288" s="16" t="s">
        <v>282</v>
      </c>
      <c r="E288" s="49" t="s">
        <v>970</v>
      </c>
      <c r="F288" s="24"/>
      <c r="G288" s="16" t="s">
        <v>842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971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7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" t="s">
        <v>972</v>
      </c>
      <c r="C289" s="6" t="s">
        <v>71</v>
      </c>
      <c r="D289" s="16" t="s">
        <v>282</v>
      </c>
      <c r="E289" s="50" t="s">
        <v>973</v>
      </c>
      <c r="F289" s="24"/>
      <c r="G289" s="16" t="s">
        <v>842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974</v>
      </c>
      <c r="P289" s="16">
        <v>1.1499999999999999</v>
      </c>
      <c r="Q289" s="16"/>
      <c r="R289" s="16"/>
      <c r="S289" s="16"/>
      <c r="T289" s="16"/>
      <c r="U289" s="16">
        <v>1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 t="s">
        <v>975</v>
      </c>
      <c r="AC289" s="16"/>
      <c r="AD289" s="16">
        <v>900</v>
      </c>
      <c r="AE289" s="16" t="s">
        <v>151</v>
      </c>
      <c r="AF289" s="16">
        <v>0.1</v>
      </c>
      <c r="AG289" s="16">
        <v>1</v>
      </c>
      <c r="AH289" s="57" t="s">
        <v>165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600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" t="s">
        <v>976</v>
      </c>
      <c r="C290" s="6" t="s">
        <v>71</v>
      </c>
      <c r="D290" s="16" t="s">
        <v>282</v>
      </c>
      <c r="E290" s="50" t="s">
        <v>977</v>
      </c>
      <c r="F290" s="24"/>
      <c r="G290" s="16" t="s">
        <v>842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978</v>
      </c>
      <c r="P290" s="16">
        <v>1.5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 t="s">
        <v>979</v>
      </c>
      <c r="AC290" s="16"/>
      <c r="AD290" s="16">
        <v>900</v>
      </c>
      <c r="AE290" s="16" t="s">
        <v>151</v>
      </c>
      <c r="AF290" s="16">
        <v>0.1</v>
      </c>
      <c r="AG290" s="16">
        <v>1</v>
      </c>
      <c r="AH290" s="57" t="s">
        <v>165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600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" t="s">
        <v>980</v>
      </c>
      <c r="C291" s="6" t="s">
        <v>71</v>
      </c>
      <c r="D291" s="16" t="s">
        <v>282</v>
      </c>
      <c r="E291" s="49" t="s">
        <v>981</v>
      </c>
      <c r="F291" s="24"/>
      <c r="G291" s="16" t="s">
        <v>842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982</v>
      </c>
      <c r="P291" s="16">
        <v>1.6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7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" t="s">
        <v>983</v>
      </c>
      <c r="C292" s="6" t="s">
        <v>71</v>
      </c>
      <c r="D292" s="16" t="s">
        <v>282</v>
      </c>
      <c r="E292" s="50" t="s">
        <v>984</v>
      </c>
      <c r="F292" s="24"/>
      <c r="G292" s="16" t="s">
        <v>842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985</v>
      </c>
      <c r="P292" s="16">
        <v>1.25</v>
      </c>
      <c r="Q292" s="16"/>
      <c r="R292" s="16"/>
      <c r="S292" s="16"/>
      <c r="T292" s="16"/>
      <c r="U292" s="16">
        <v>1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 t="s">
        <v>986</v>
      </c>
      <c r="AC292" s="16"/>
      <c r="AD292" s="16">
        <v>900</v>
      </c>
      <c r="AE292" s="16" t="s">
        <v>151</v>
      </c>
      <c r="AF292" s="16">
        <v>0.1</v>
      </c>
      <c r="AG292" s="16">
        <v>1</v>
      </c>
      <c r="AH292" s="57" t="s">
        <v>165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600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" t="s">
        <v>987</v>
      </c>
      <c r="C293" s="6" t="s">
        <v>71</v>
      </c>
      <c r="D293" s="16" t="s">
        <v>282</v>
      </c>
      <c r="E293" s="50" t="s">
        <v>988</v>
      </c>
      <c r="F293" s="24"/>
      <c r="G293" s="16" t="s">
        <v>842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989</v>
      </c>
      <c r="P293" s="16">
        <v>1.3</v>
      </c>
      <c r="Q293" s="16"/>
      <c r="R293" s="16"/>
      <c r="S293" s="16"/>
      <c r="T293" s="16"/>
      <c r="U293" s="16">
        <v>1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 t="s">
        <v>990</v>
      </c>
      <c r="AC293" s="16"/>
      <c r="AD293" s="16">
        <v>900</v>
      </c>
      <c r="AE293" s="16" t="s">
        <v>151</v>
      </c>
      <c r="AF293" s="16">
        <v>0.1</v>
      </c>
      <c r="AG293" s="16">
        <v>1</v>
      </c>
      <c r="AH293" s="57" t="s">
        <v>165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600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" t="s">
        <v>991</v>
      </c>
      <c r="C294" s="6" t="s">
        <v>71</v>
      </c>
      <c r="D294" s="16" t="s">
        <v>282</v>
      </c>
      <c r="E294" s="49" t="s">
        <v>992</v>
      </c>
      <c r="F294" s="24"/>
      <c r="G294" s="16" t="s">
        <v>842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993</v>
      </c>
      <c r="P294" s="16">
        <v>1.5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" t="s">
        <v>994</v>
      </c>
      <c r="C295" s="6" t="s">
        <v>71</v>
      </c>
      <c r="D295" s="16" t="s">
        <v>282</v>
      </c>
      <c r="E295" s="49" t="s">
        <v>995</v>
      </c>
      <c r="F295" s="24"/>
      <c r="G295" s="16" t="s">
        <v>842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996</v>
      </c>
      <c r="P295" s="16">
        <v>1.3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7" t="s">
        <v>152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250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44" t="s">
        <v>997</v>
      </c>
      <c r="C296" s="6" t="s">
        <v>71</v>
      </c>
      <c r="D296" s="16" t="s">
        <v>282</v>
      </c>
      <c r="E296" s="50" t="s">
        <v>998</v>
      </c>
      <c r="F296" s="24"/>
      <c r="G296" s="16" t="s">
        <v>842</v>
      </c>
      <c r="H296" s="16"/>
      <c r="I296" s="16" t="s">
        <v>285</v>
      </c>
      <c r="J296" s="12"/>
      <c r="K296" s="16"/>
      <c r="L296" s="16">
        <v>0</v>
      </c>
      <c r="M296" s="16">
        <v>0</v>
      </c>
      <c r="N296" s="16"/>
      <c r="O296" s="16" t="s">
        <v>999</v>
      </c>
      <c r="P296" s="16">
        <v>1.7</v>
      </c>
      <c r="Q296" s="16"/>
      <c r="R296" s="16"/>
      <c r="S296" s="16"/>
      <c r="T296" s="16"/>
      <c r="U296" s="16">
        <v>2</v>
      </c>
      <c r="V296" s="16">
        <v>2</v>
      </c>
      <c r="W296" s="16" t="s">
        <v>150</v>
      </c>
      <c r="X296" s="16">
        <v>450</v>
      </c>
      <c r="Y296" s="16">
        <v>0</v>
      </c>
      <c r="Z296" s="16" t="s">
        <v>151</v>
      </c>
      <c r="AA296" s="16">
        <v>600</v>
      </c>
      <c r="AB296" s="16" t="s">
        <v>1000</v>
      </c>
      <c r="AC296" s="16"/>
      <c r="AD296" s="16">
        <v>900</v>
      </c>
      <c r="AE296" s="16" t="s">
        <v>151</v>
      </c>
      <c r="AF296" s="16">
        <v>0.1</v>
      </c>
      <c r="AG296" s="16">
        <v>1</v>
      </c>
      <c r="AH296" s="57" t="s">
        <v>165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600</v>
      </c>
      <c r="AQ296" s="16">
        <v>0.15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44" t="s">
        <v>1001</v>
      </c>
      <c r="C297" s="6" t="s">
        <v>71</v>
      </c>
      <c r="D297" s="16" t="s">
        <v>282</v>
      </c>
      <c r="E297" s="49" t="s">
        <v>1002</v>
      </c>
      <c r="F297" s="24"/>
      <c r="G297" s="16" t="s">
        <v>842</v>
      </c>
      <c r="H297" s="16"/>
      <c r="I297" s="16" t="s">
        <v>285</v>
      </c>
      <c r="J297" s="12"/>
      <c r="K297" s="16"/>
      <c r="L297" s="16">
        <v>0</v>
      </c>
      <c r="M297" s="16">
        <v>0</v>
      </c>
      <c r="N297" s="16"/>
      <c r="O297" s="16" t="s">
        <v>1003</v>
      </c>
      <c r="P297" s="16">
        <v>1.5</v>
      </c>
      <c r="Q297" s="16"/>
      <c r="R297" s="16"/>
      <c r="S297" s="16"/>
      <c r="T297" s="16"/>
      <c r="U297" s="16">
        <v>2</v>
      </c>
      <c r="V297" s="16">
        <v>2</v>
      </c>
      <c r="W297" s="16" t="s">
        <v>150</v>
      </c>
      <c r="X297" s="16">
        <v>450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7" t="s">
        <v>152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250</v>
      </c>
      <c r="AQ297" s="16">
        <v>0.15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44" t="s">
        <v>1004</v>
      </c>
      <c r="C298" s="6" t="s">
        <v>71</v>
      </c>
      <c r="D298" s="16" t="s">
        <v>282</v>
      </c>
      <c r="E298" s="50" t="s">
        <v>1005</v>
      </c>
      <c r="F298" s="24"/>
      <c r="G298" s="16" t="s">
        <v>842</v>
      </c>
      <c r="H298" s="16"/>
      <c r="I298" s="16" t="s">
        <v>285</v>
      </c>
      <c r="J298" s="12"/>
      <c r="K298" s="16"/>
      <c r="L298" s="16">
        <v>0</v>
      </c>
      <c r="M298" s="16">
        <v>0</v>
      </c>
      <c r="N298" s="16"/>
      <c r="O298" s="16" t="s">
        <v>1006</v>
      </c>
      <c r="P298" s="16">
        <v>2.2000000000000002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600</v>
      </c>
      <c r="AB298" s="16" t="s">
        <v>1007</v>
      </c>
      <c r="AC298" s="16"/>
      <c r="AD298" s="16">
        <v>900</v>
      </c>
      <c r="AE298" s="16" t="s">
        <v>151</v>
      </c>
      <c r="AF298" s="16">
        <v>0.1</v>
      </c>
      <c r="AG298" s="16">
        <v>1</v>
      </c>
      <c r="AH298" s="57" t="s">
        <v>165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600</v>
      </c>
      <c r="AQ298" s="16">
        <v>0.15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44" t="s">
        <v>1008</v>
      </c>
      <c r="C299" s="6" t="s">
        <v>71</v>
      </c>
      <c r="D299" s="16" t="s">
        <v>282</v>
      </c>
      <c r="E299" s="50" t="s">
        <v>1009</v>
      </c>
      <c r="F299" s="24"/>
      <c r="G299" s="16" t="s">
        <v>842</v>
      </c>
      <c r="H299" s="16"/>
      <c r="I299" s="16" t="s">
        <v>285</v>
      </c>
      <c r="J299" s="12"/>
      <c r="K299" s="16"/>
      <c r="L299" s="16">
        <v>0</v>
      </c>
      <c r="M299" s="16">
        <v>0</v>
      </c>
      <c r="N299" s="16"/>
      <c r="O299" s="16" t="s">
        <v>1010</v>
      </c>
      <c r="P299" s="16">
        <v>1.3</v>
      </c>
      <c r="Q299" s="16"/>
      <c r="R299" s="16"/>
      <c r="S299" s="16"/>
      <c r="T299" s="16"/>
      <c r="U299" s="16">
        <v>1</v>
      </c>
      <c r="V299" s="16">
        <v>2</v>
      </c>
      <c r="W299" s="16" t="s">
        <v>150</v>
      </c>
      <c r="X299" s="16">
        <v>450</v>
      </c>
      <c r="Y299" s="16">
        <v>0</v>
      </c>
      <c r="Z299" s="16" t="s">
        <v>151</v>
      </c>
      <c r="AA299" s="16">
        <v>600</v>
      </c>
      <c r="AB299" s="16" t="s">
        <v>374</v>
      </c>
      <c r="AC299" s="16"/>
      <c r="AD299" s="16">
        <v>900</v>
      </c>
      <c r="AE299" s="16" t="s">
        <v>151</v>
      </c>
      <c r="AF299" s="16">
        <v>0.1</v>
      </c>
      <c r="AG299" s="16">
        <v>1</v>
      </c>
      <c r="AH299" s="57" t="s">
        <v>165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600</v>
      </c>
      <c r="AQ299" s="16">
        <v>0.15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44" t="s">
        <v>1011</v>
      </c>
      <c r="C300" s="6" t="s">
        <v>71</v>
      </c>
      <c r="D300" s="16" t="s">
        <v>282</v>
      </c>
      <c r="E300" s="50" t="s">
        <v>1012</v>
      </c>
      <c r="F300" s="24"/>
      <c r="G300" s="16" t="s">
        <v>842</v>
      </c>
      <c r="H300" s="16"/>
      <c r="I300" s="16" t="s">
        <v>285</v>
      </c>
      <c r="J300" s="12"/>
      <c r="K300" s="16"/>
      <c r="L300" s="16">
        <v>0</v>
      </c>
      <c r="M300" s="16">
        <v>0</v>
      </c>
      <c r="N300" s="16"/>
      <c r="O300" s="16" t="s">
        <v>1013</v>
      </c>
      <c r="P300" s="16">
        <v>1.5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 t="s">
        <v>360</v>
      </c>
      <c r="AC300" s="16"/>
      <c r="AD300" s="16">
        <v>900</v>
      </c>
      <c r="AE300" s="16" t="s">
        <v>151</v>
      </c>
      <c r="AF300" s="16">
        <v>0.1</v>
      </c>
      <c r="AG300" s="16">
        <v>1</v>
      </c>
      <c r="AH300" s="57" t="s">
        <v>165</v>
      </c>
      <c r="AI300" s="4" t="s">
        <v>153</v>
      </c>
      <c r="AJ300" s="16">
        <v>0.5</v>
      </c>
      <c r="AK300" s="16">
        <v>0.5</v>
      </c>
      <c r="AL300" s="10">
        <v>0.01</v>
      </c>
      <c r="AM300" s="10">
        <v>1</v>
      </c>
      <c r="AN300" s="10"/>
      <c r="AO300" s="10"/>
      <c r="AP300" s="16">
        <v>600</v>
      </c>
      <c r="AQ300" s="16">
        <v>0.15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44" t="s">
        <v>1014</v>
      </c>
      <c r="C301" s="6" t="s">
        <v>71</v>
      </c>
      <c r="D301" s="16" t="s">
        <v>282</v>
      </c>
      <c r="E301" s="49" t="s">
        <v>1015</v>
      </c>
      <c r="F301" s="24"/>
      <c r="G301" s="16" t="s">
        <v>842</v>
      </c>
      <c r="H301" s="16"/>
      <c r="I301" s="16" t="s">
        <v>285</v>
      </c>
      <c r="J301" s="12"/>
      <c r="K301" s="16"/>
      <c r="L301" s="16">
        <v>0</v>
      </c>
      <c r="M301" s="16">
        <v>0</v>
      </c>
      <c r="N301" s="16"/>
      <c r="O301" s="16" t="s">
        <v>1016</v>
      </c>
      <c r="P301" s="16">
        <v>1.3</v>
      </c>
      <c r="Q301" s="16"/>
      <c r="R301" s="16"/>
      <c r="S301" s="16"/>
      <c r="T301" s="16"/>
      <c r="U301" s="16">
        <v>2</v>
      </c>
      <c r="V301" s="16">
        <v>2</v>
      </c>
      <c r="W301" s="16" t="s">
        <v>150</v>
      </c>
      <c r="X301" s="16">
        <v>450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7" t="s">
        <v>152</v>
      </c>
      <c r="AI301" s="4" t="s">
        <v>153</v>
      </c>
      <c r="AJ301" s="16">
        <v>0.5</v>
      </c>
      <c r="AK301" s="16">
        <v>0.5</v>
      </c>
      <c r="AL301" s="10">
        <v>0.01</v>
      </c>
      <c r="AM301" s="10">
        <v>1</v>
      </c>
      <c r="AN301" s="10"/>
      <c r="AO301" s="10"/>
      <c r="AP301" s="16">
        <v>250</v>
      </c>
      <c r="AQ301" s="16">
        <v>0.15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44" t="s">
        <v>1017</v>
      </c>
      <c r="C302" s="6" t="s">
        <v>71</v>
      </c>
      <c r="D302" s="16" t="s">
        <v>282</v>
      </c>
      <c r="E302" s="50" t="s">
        <v>1018</v>
      </c>
      <c r="F302" s="24"/>
      <c r="G302" s="16" t="s">
        <v>842</v>
      </c>
      <c r="H302" s="16"/>
      <c r="I302" s="16" t="s">
        <v>285</v>
      </c>
      <c r="J302" s="12"/>
      <c r="K302" s="16"/>
      <c r="L302" s="16">
        <v>0</v>
      </c>
      <c r="M302" s="16">
        <v>0</v>
      </c>
      <c r="N302" s="16"/>
      <c r="O302" s="16" t="s">
        <v>1019</v>
      </c>
      <c r="P302" s="16">
        <v>1.3</v>
      </c>
      <c r="Q302" s="16"/>
      <c r="R302" s="16"/>
      <c r="S302" s="16"/>
      <c r="T302" s="16"/>
      <c r="U302" s="16">
        <v>2</v>
      </c>
      <c r="V302" s="16">
        <v>2</v>
      </c>
      <c r="W302" s="16" t="s">
        <v>150</v>
      </c>
      <c r="X302" s="16">
        <v>450</v>
      </c>
      <c r="Y302" s="16">
        <v>0</v>
      </c>
      <c r="Z302" s="16" t="s">
        <v>151</v>
      </c>
      <c r="AA302" s="16">
        <v>600</v>
      </c>
      <c r="AB302" s="16" t="s">
        <v>374</v>
      </c>
      <c r="AC302" s="16"/>
      <c r="AD302" s="16">
        <v>900</v>
      </c>
      <c r="AE302" s="16" t="s">
        <v>151</v>
      </c>
      <c r="AF302" s="16">
        <v>0.1</v>
      </c>
      <c r="AG302" s="16">
        <v>1</v>
      </c>
      <c r="AH302" s="57" t="s">
        <v>165</v>
      </c>
      <c r="AI302" s="4" t="s">
        <v>153</v>
      </c>
      <c r="AJ302" s="16">
        <v>0.5</v>
      </c>
      <c r="AK302" s="16">
        <v>0.5</v>
      </c>
      <c r="AL302" s="10">
        <v>0.01</v>
      </c>
      <c r="AM302" s="10">
        <v>1</v>
      </c>
      <c r="AN302" s="10"/>
      <c r="AO302" s="10"/>
      <c r="AP302" s="16">
        <v>600</v>
      </c>
      <c r="AQ302" s="16">
        <v>0.15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44" t="s">
        <v>1020</v>
      </c>
      <c r="C303" s="6" t="s">
        <v>71</v>
      </c>
      <c r="D303" s="16" t="s">
        <v>282</v>
      </c>
      <c r="E303" s="49" t="s">
        <v>1021</v>
      </c>
      <c r="F303" s="24"/>
      <c r="G303" s="16" t="s">
        <v>842</v>
      </c>
      <c r="H303" s="16"/>
      <c r="I303" s="16" t="s">
        <v>285</v>
      </c>
      <c r="J303" s="12"/>
      <c r="K303" s="16"/>
      <c r="L303" s="16">
        <v>0</v>
      </c>
      <c r="M303" s="16">
        <v>0</v>
      </c>
      <c r="N303" s="16"/>
      <c r="O303" s="16" t="s">
        <v>748</v>
      </c>
      <c r="P303" s="16">
        <v>1.5</v>
      </c>
      <c r="Q303" s="16"/>
      <c r="R303" s="16"/>
      <c r="S303" s="16"/>
      <c r="T303" s="16"/>
      <c r="U303" s="16">
        <v>2</v>
      </c>
      <c r="V303" s="16">
        <v>2</v>
      </c>
      <c r="W303" s="16" t="s">
        <v>150</v>
      </c>
      <c r="X303" s="16">
        <v>450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7" t="s">
        <v>152</v>
      </c>
      <c r="AI303" s="4" t="s">
        <v>153</v>
      </c>
      <c r="AJ303" s="16">
        <v>0.5</v>
      </c>
      <c r="AK303" s="16">
        <v>0.5</v>
      </c>
      <c r="AL303" s="10">
        <v>0.01</v>
      </c>
      <c r="AM303" s="10">
        <v>1</v>
      </c>
      <c r="AN303" s="10"/>
      <c r="AO303" s="10"/>
      <c r="AP303" s="16">
        <v>250</v>
      </c>
      <c r="AQ303" s="16">
        <v>0.15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44" t="s">
        <v>1022</v>
      </c>
      <c r="C304" s="6" t="s">
        <v>71</v>
      </c>
      <c r="D304" s="16" t="s">
        <v>282</v>
      </c>
      <c r="E304" s="49" t="s">
        <v>1023</v>
      </c>
      <c r="F304" s="24"/>
      <c r="G304" s="16" t="s">
        <v>842</v>
      </c>
      <c r="H304" s="16"/>
      <c r="I304" s="16" t="s">
        <v>285</v>
      </c>
      <c r="J304" s="12"/>
      <c r="K304" s="16"/>
      <c r="L304" s="16">
        <v>0</v>
      </c>
      <c r="M304" s="16">
        <v>0</v>
      </c>
      <c r="N304" s="16"/>
      <c r="O304" s="16" t="s">
        <v>748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7" t="s">
        <v>152</v>
      </c>
      <c r="AI304" s="4" t="s">
        <v>153</v>
      </c>
      <c r="AJ304" s="16">
        <v>0.5</v>
      </c>
      <c r="AK304" s="16">
        <v>0.5</v>
      </c>
      <c r="AL304" s="10">
        <v>0.01</v>
      </c>
      <c r="AM304" s="10">
        <v>1</v>
      </c>
      <c r="AN304" s="10"/>
      <c r="AO304" s="10"/>
      <c r="AP304" s="16">
        <v>250</v>
      </c>
      <c r="AQ304" s="16">
        <v>0.15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69" s="6" customFormat="1">
      <c r="B305" s="44" t="s">
        <v>1024</v>
      </c>
      <c r="C305" s="6" t="s">
        <v>71</v>
      </c>
      <c r="D305" s="16" t="s">
        <v>282</v>
      </c>
      <c r="E305" s="44" t="s">
        <v>1025</v>
      </c>
      <c r="F305" s="24"/>
      <c r="G305" s="16" t="s">
        <v>842</v>
      </c>
      <c r="H305" s="16"/>
      <c r="I305" s="16" t="s">
        <v>285</v>
      </c>
      <c r="J305" s="12"/>
      <c r="K305" s="16"/>
      <c r="L305" s="16">
        <v>0</v>
      </c>
      <c r="M305" s="16">
        <v>0</v>
      </c>
      <c r="N305" s="16"/>
      <c r="O305" s="16" t="s">
        <v>748</v>
      </c>
      <c r="P305" s="16">
        <v>1.5</v>
      </c>
      <c r="Q305" s="16"/>
      <c r="R305" s="16"/>
      <c r="S305" s="16"/>
      <c r="T305" s="16"/>
      <c r="U305" s="16">
        <v>2</v>
      </c>
      <c r="V305" s="16">
        <v>2</v>
      </c>
      <c r="W305" s="16" t="s">
        <v>150</v>
      </c>
      <c r="X305" s="16">
        <v>450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7" t="s">
        <v>152</v>
      </c>
      <c r="AI305" s="4" t="s">
        <v>153</v>
      </c>
      <c r="AJ305" s="16">
        <v>0.5</v>
      </c>
      <c r="AK305" s="16">
        <v>0.5</v>
      </c>
      <c r="AL305" s="10">
        <v>0.01</v>
      </c>
      <c r="AM305" s="10">
        <v>1</v>
      </c>
      <c r="AN305" s="10"/>
      <c r="AO305" s="10"/>
      <c r="AP305" s="16">
        <v>250</v>
      </c>
      <c r="AQ305" s="16">
        <v>0.15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69" s="6" customFormat="1">
      <c r="B306" s="44" t="s">
        <v>1026</v>
      </c>
      <c r="C306" s="6" t="s">
        <v>71</v>
      </c>
      <c r="D306" s="16" t="s">
        <v>282</v>
      </c>
      <c r="E306" s="44" t="s">
        <v>1027</v>
      </c>
      <c r="F306" s="24"/>
      <c r="G306" s="16" t="s">
        <v>842</v>
      </c>
      <c r="H306" s="16"/>
      <c r="I306" s="16" t="s">
        <v>285</v>
      </c>
      <c r="J306" s="12"/>
      <c r="K306" s="16"/>
      <c r="L306" s="16">
        <v>0</v>
      </c>
      <c r="M306" s="16">
        <v>0</v>
      </c>
      <c r="N306" s="16"/>
      <c r="O306" s="16" t="s">
        <v>748</v>
      </c>
      <c r="P306" s="16">
        <v>1.5</v>
      </c>
      <c r="Q306" s="16"/>
      <c r="R306" s="16"/>
      <c r="S306" s="16"/>
      <c r="T306" s="16"/>
      <c r="U306" s="16">
        <v>2</v>
      </c>
      <c r="V306" s="16">
        <v>2</v>
      </c>
      <c r="W306" s="16" t="s">
        <v>150</v>
      </c>
      <c r="X306" s="16">
        <v>450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7" t="s">
        <v>152</v>
      </c>
      <c r="AI306" s="4" t="s">
        <v>153</v>
      </c>
      <c r="AJ306" s="16">
        <v>0.5</v>
      </c>
      <c r="AK306" s="16">
        <v>0.5</v>
      </c>
      <c r="AL306" s="10">
        <v>0.01</v>
      </c>
      <c r="AM306" s="10">
        <v>1</v>
      </c>
      <c r="AN306" s="10"/>
      <c r="AO306" s="10"/>
      <c r="AP306" s="16">
        <v>250</v>
      </c>
      <c r="AQ306" s="16">
        <v>0.15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69" s="6" customFormat="1">
      <c r="B307" s="44" t="s">
        <v>1028</v>
      </c>
      <c r="C307" s="6" t="s">
        <v>71</v>
      </c>
      <c r="D307" s="16" t="s">
        <v>282</v>
      </c>
      <c r="E307" s="44" t="s">
        <v>1029</v>
      </c>
      <c r="F307" s="24"/>
      <c r="G307" s="16" t="s">
        <v>842</v>
      </c>
      <c r="H307" s="16"/>
      <c r="I307" s="16" t="s">
        <v>285</v>
      </c>
      <c r="J307" s="12"/>
      <c r="K307" s="16"/>
      <c r="L307" s="16">
        <v>0</v>
      </c>
      <c r="M307" s="16">
        <v>0</v>
      </c>
      <c r="N307" s="16"/>
      <c r="O307" s="16" t="s">
        <v>748</v>
      </c>
      <c r="P307" s="16">
        <v>1.5</v>
      </c>
      <c r="Q307" s="16"/>
      <c r="R307" s="16"/>
      <c r="S307" s="16"/>
      <c r="T307" s="16"/>
      <c r="U307" s="16">
        <v>2</v>
      </c>
      <c r="V307" s="16">
        <v>2</v>
      </c>
      <c r="W307" s="16" t="s">
        <v>150</v>
      </c>
      <c r="X307" s="16">
        <v>450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7" t="s">
        <v>152</v>
      </c>
      <c r="AI307" s="4" t="s">
        <v>153</v>
      </c>
      <c r="AJ307" s="16">
        <v>0.5</v>
      </c>
      <c r="AK307" s="16">
        <v>0.5</v>
      </c>
      <c r="AL307" s="10">
        <v>0.01</v>
      </c>
      <c r="AM307" s="10">
        <v>1</v>
      </c>
      <c r="AN307" s="10"/>
      <c r="AO307" s="10"/>
      <c r="AP307" s="16">
        <v>250</v>
      </c>
      <c r="AQ307" s="16">
        <v>0.15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69" s="6" customFormat="1">
      <c r="B308" s="44" t="s">
        <v>1030</v>
      </c>
      <c r="C308" s="6" t="s">
        <v>71</v>
      </c>
      <c r="D308" s="16" t="s">
        <v>282</v>
      </c>
      <c r="E308" s="44" t="s">
        <v>1031</v>
      </c>
      <c r="F308" s="24"/>
      <c r="G308" s="16" t="s">
        <v>842</v>
      </c>
      <c r="H308" s="16"/>
      <c r="I308" s="16" t="s">
        <v>285</v>
      </c>
      <c r="J308" s="12"/>
      <c r="K308" s="16"/>
      <c r="L308" s="16">
        <v>0</v>
      </c>
      <c r="M308" s="16">
        <v>0</v>
      </c>
      <c r="N308" s="16"/>
      <c r="O308" s="16" t="s">
        <v>748</v>
      </c>
      <c r="P308" s="16">
        <v>1.5</v>
      </c>
      <c r="Q308" s="16"/>
      <c r="R308" s="16"/>
      <c r="S308" s="16"/>
      <c r="T308" s="16"/>
      <c r="U308" s="16">
        <v>2</v>
      </c>
      <c r="V308" s="16">
        <v>2</v>
      </c>
      <c r="W308" s="16" t="s">
        <v>150</v>
      </c>
      <c r="X308" s="16">
        <v>450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7" t="s">
        <v>152</v>
      </c>
      <c r="AI308" s="4" t="s">
        <v>153</v>
      </c>
      <c r="AJ308" s="16">
        <v>0.5</v>
      </c>
      <c r="AK308" s="16">
        <v>0.5</v>
      </c>
      <c r="AL308" s="10">
        <v>0.01</v>
      </c>
      <c r="AM308" s="10">
        <v>1</v>
      </c>
      <c r="AN308" s="10"/>
      <c r="AO308" s="10"/>
      <c r="AP308" s="16">
        <v>250</v>
      </c>
      <c r="AQ308" s="16">
        <v>0.15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69" s="6" customFormat="1">
      <c r="B309" s="44" t="s">
        <v>1032</v>
      </c>
      <c r="C309" s="6" t="s">
        <v>71</v>
      </c>
      <c r="D309" s="16" t="s">
        <v>282</v>
      </c>
      <c r="E309" s="44" t="s">
        <v>1033</v>
      </c>
      <c r="F309" s="24"/>
      <c r="G309" s="16" t="s">
        <v>842</v>
      </c>
      <c r="H309" s="16"/>
      <c r="I309" s="16" t="s">
        <v>285</v>
      </c>
      <c r="J309" s="12"/>
      <c r="K309" s="16"/>
      <c r="L309" s="16">
        <v>0</v>
      </c>
      <c r="M309" s="16">
        <v>0</v>
      </c>
      <c r="N309" s="16"/>
      <c r="O309" s="16" t="s">
        <v>748</v>
      </c>
      <c r="P309" s="16">
        <v>1.5</v>
      </c>
      <c r="Q309" s="16"/>
      <c r="R309" s="16"/>
      <c r="S309" s="16"/>
      <c r="T309" s="16"/>
      <c r="U309" s="16">
        <v>2</v>
      </c>
      <c r="V309" s="16">
        <v>2</v>
      </c>
      <c r="W309" s="16" t="s">
        <v>150</v>
      </c>
      <c r="X309" s="16">
        <v>450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7" t="s">
        <v>152</v>
      </c>
      <c r="AI309" s="4" t="s">
        <v>153</v>
      </c>
      <c r="AJ309" s="16">
        <v>0.5</v>
      </c>
      <c r="AK309" s="16">
        <v>0.5</v>
      </c>
      <c r="AL309" s="10">
        <v>0.01</v>
      </c>
      <c r="AM309" s="10">
        <v>1</v>
      </c>
      <c r="AN309" s="10"/>
      <c r="AO309" s="10"/>
      <c r="AP309" s="16">
        <v>250</v>
      </c>
      <c r="AQ309" s="16">
        <v>0.15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69" s="6" customFormat="1">
      <c r="B310" s="44" t="s">
        <v>1034</v>
      </c>
      <c r="C310" s="6" t="s">
        <v>71</v>
      </c>
      <c r="D310" s="16" t="s">
        <v>282</v>
      </c>
      <c r="E310" s="44" t="s">
        <v>1035</v>
      </c>
      <c r="F310" s="24"/>
      <c r="G310" s="16" t="s">
        <v>842</v>
      </c>
      <c r="H310" s="16"/>
      <c r="I310" s="16" t="s">
        <v>285</v>
      </c>
      <c r="J310" s="12"/>
      <c r="K310" s="16"/>
      <c r="L310" s="16">
        <v>0</v>
      </c>
      <c r="M310" s="16">
        <v>0</v>
      </c>
      <c r="N310" s="16"/>
      <c r="O310" s="16" t="s">
        <v>748</v>
      </c>
      <c r="P310" s="16">
        <v>1.5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7" t="s">
        <v>152</v>
      </c>
      <c r="AI310" s="4" t="s">
        <v>153</v>
      </c>
      <c r="AJ310" s="16">
        <v>0.5</v>
      </c>
      <c r="AK310" s="16">
        <v>0.5</v>
      </c>
      <c r="AL310" s="10">
        <v>0.01</v>
      </c>
      <c r="AM310" s="10">
        <v>1</v>
      </c>
      <c r="AN310" s="10"/>
      <c r="AO310" s="10"/>
      <c r="AP310" s="16">
        <v>250</v>
      </c>
      <c r="AQ310" s="16">
        <v>0.15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69" s="6" customFormat="1">
      <c r="B311" t="s">
        <v>1036</v>
      </c>
      <c r="C311" s="6" t="s">
        <v>71</v>
      </c>
      <c r="D311" s="16" t="s">
        <v>282</v>
      </c>
      <c r="E311" s="4" t="s">
        <v>1037</v>
      </c>
      <c r="F311" s="4"/>
      <c r="G311" s="16" t="s">
        <v>478</v>
      </c>
      <c r="H311" s="16"/>
      <c r="I311" s="16" t="s">
        <v>285</v>
      </c>
      <c r="J311" s="16"/>
      <c r="K311" s="16"/>
      <c r="L311" s="16">
        <v>0</v>
      </c>
      <c r="M311" s="16">
        <v>0</v>
      </c>
      <c r="N311" s="16"/>
      <c r="O311" s="16" t="s">
        <v>1038</v>
      </c>
      <c r="P311" s="16">
        <v>5</v>
      </c>
      <c r="Q311" s="16"/>
      <c r="R311" s="16"/>
      <c r="S311" s="16"/>
      <c r="T311" s="16"/>
      <c r="U311" s="16">
        <v>1</v>
      </c>
      <c r="V311" s="16">
        <v>2</v>
      </c>
      <c r="W311" s="16" t="s">
        <v>480</v>
      </c>
      <c r="X311" s="16">
        <v>300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7" t="s">
        <v>152</v>
      </c>
      <c r="AI311" s="4" t="s">
        <v>153</v>
      </c>
      <c r="AJ311" s="16">
        <v>0.5</v>
      </c>
      <c r="AK311" s="16">
        <v>0.5</v>
      </c>
      <c r="AL311" s="10">
        <v>0.01</v>
      </c>
      <c r="AM311" s="10">
        <v>1</v>
      </c>
      <c r="AN311" s="10"/>
      <c r="AO311" s="10"/>
      <c r="AP311" s="16">
        <v>250</v>
      </c>
      <c r="AQ311" s="16">
        <v>0.7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69" s="6" customFormat="1">
      <c r="B312" t="s">
        <v>1039</v>
      </c>
      <c r="C312" s="6" t="s">
        <v>71</v>
      </c>
      <c r="D312" s="16" t="s">
        <v>282</v>
      </c>
      <c r="E312" s="4" t="s">
        <v>1040</v>
      </c>
      <c r="F312" s="4"/>
      <c r="G312" s="16" t="s">
        <v>478</v>
      </c>
      <c r="H312" s="16"/>
      <c r="I312" s="16" t="s">
        <v>285</v>
      </c>
      <c r="J312" s="16"/>
      <c r="K312" s="16"/>
      <c r="L312" s="16">
        <v>0</v>
      </c>
      <c r="M312" s="16">
        <v>0</v>
      </c>
      <c r="N312" s="16"/>
      <c r="O312" s="16" t="s">
        <v>1038</v>
      </c>
      <c r="P312" s="16">
        <v>8</v>
      </c>
      <c r="Q312" s="16"/>
      <c r="R312" s="16"/>
      <c r="S312" s="16"/>
      <c r="T312" s="16"/>
      <c r="U312" s="16">
        <v>1</v>
      </c>
      <c r="V312" s="16">
        <v>2</v>
      </c>
      <c r="W312" s="16" t="s">
        <v>480</v>
      </c>
      <c r="X312" s="16">
        <v>300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7" t="s">
        <v>152</v>
      </c>
      <c r="AI312" s="4" t="s">
        <v>153</v>
      </c>
      <c r="AJ312" s="16">
        <v>0.5</v>
      </c>
      <c r="AK312" s="16">
        <v>0.5</v>
      </c>
      <c r="AL312" s="10">
        <v>0.01</v>
      </c>
      <c r="AM312" s="10">
        <v>1</v>
      </c>
      <c r="AN312" s="10"/>
      <c r="AO312" s="10"/>
      <c r="AP312" s="16">
        <v>250</v>
      </c>
      <c r="AQ312" s="16">
        <v>0.5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/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69" s="6" customFormat="1">
      <c r="B313" t="s">
        <v>1041</v>
      </c>
      <c r="C313" s="6" t="s">
        <v>71</v>
      </c>
      <c r="D313" s="16" t="s">
        <v>282</v>
      </c>
      <c r="E313" s="4" t="s">
        <v>1042</v>
      </c>
      <c r="F313" s="4"/>
      <c r="G313" s="16" t="s">
        <v>478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1038</v>
      </c>
      <c r="P313" s="16">
        <v>10.5</v>
      </c>
      <c r="Q313" s="16"/>
      <c r="R313" s="16"/>
      <c r="S313" s="16"/>
      <c r="T313" s="16"/>
      <c r="U313" s="16">
        <v>1</v>
      </c>
      <c r="V313" s="16">
        <v>2</v>
      </c>
      <c r="W313" s="16" t="s">
        <v>480</v>
      </c>
      <c r="X313" s="16">
        <v>300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7" t="s">
        <v>152</v>
      </c>
      <c r="AI313" s="4" t="s">
        <v>153</v>
      </c>
      <c r="AJ313" s="16">
        <v>0.5</v>
      </c>
      <c r="AK313" s="16">
        <v>0.5</v>
      </c>
      <c r="AL313" s="10">
        <v>0.01</v>
      </c>
      <c r="AM313" s="10">
        <v>1</v>
      </c>
      <c r="AN313" s="10"/>
      <c r="AO313" s="10"/>
      <c r="AP313" s="16">
        <v>250</v>
      </c>
      <c r="AQ313" s="16">
        <v>0.3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pans="2:69" s="6" customFormat="1">
      <c r="B314" t="s">
        <v>1043</v>
      </c>
      <c r="C314" s="6" t="s">
        <v>71</v>
      </c>
      <c r="D314" s="16" t="s">
        <v>282</v>
      </c>
      <c r="E314" s="4" t="s">
        <v>1044</v>
      </c>
      <c r="F314" s="4"/>
      <c r="G314" s="16" t="s">
        <v>478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1038</v>
      </c>
      <c r="P314" s="16">
        <v>12.5</v>
      </c>
      <c r="Q314" s="16"/>
      <c r="R314" s="16"/>
      <c r="S314" s="16"/>
      <c r="T314" s="16"/>
      <c r="U314" s="16">
        <v>1</v>
      </c>
      <c r="V314" s="16">
        <v>2</v>
      </c>
      <c r="W314" s="16" t="s">
        <v>480</v>
      </c>
      <c r="X314" s="16">
        <v>300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7" t="s">
        <v>152</v>
      </c>
      <c r="AI314" s="4" t="s">
        <v>153</v>
      </c>
      <c r="AJ314" s="16">
        <v>0.5</v>
      </c>
      <c r="AK314" s="16">
        <v>0.5</v>
      </c>
      <c r="AL314" s="10">
        <v>0.01</v>
      </c>
      <c r="AM314" s="10">
        <v>1</v>
      </c>
      <c r="AN314" s="10"/>
      <c r="AO314" s="10"/>
      <c r="AP314" s="16">
        <v>250</v>
      </c>
      <c r="AQ314" s="16">
        <v>0.1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pans="2:69" s="7" customFormat="1">
      <c r="B315" s="51" t="s">
        <v>1045</v>
      </c>
      <c r="C315" s="7" t="s">
        <v>71</v>
      </c>
      <c r="D315" s="35" t="s">
        <v>282</v>
      </c>
      <c r="E315" s="36" t="s">
        <v>1046</v>
      </c>
      <c r="F315" s="51"/>
      <c r="G315" s="35" t="s">
        <v>1047</v>
      </c>
      <c r="H315" s="35"/>
      <c r="I315" s="35" t="s">
        <v>285</v>
      </c>
      <c r="J315" s="35"/>
      <c r="K315" s="35"/>
      <c r="L315" s="35">
        <v>0</v>
      </c>
      <c r="M315" s="35">
        <v>0</v>
      </c>
      <c r="N315" s="35"/>
      <c r="O315" s="35" t="s">
        <v>1048</v>
      </c>
      <c r="P315" s="35">
        <v>0.55000000000000004</v>
      </c>
      <c r="Q315" s="35"/>
      <c r="R315" s="35"/>
      <c r="S315" s="35"/>
      <c r="T315" s="35"/>
      <c r="U315" s="35">
        <v>1</v>
      </c>
      <c r="V315" s="35">
        <v>2</v>
      </c>
      <c r="W315" s="35" t="s">
        <v>480</v>
      </c>
      <c r="X315" s="35">
        <v>450</v>
      </c>
      <c r="Y315" s="35">
        <v>0</v>
      </c>
      <c r="Z315" s="35" t="s">
        <v>151</v>
      </c>
      <c r="AA315" s="16">
        <v>600</v>
      </c>
      <c r="AB315" s="35"/>
      <c r="AC315" s="35"/>
      <c r="AD315" s="35">
        <v>0</v>
      </c>
      <c r="AE315" s="35" t="s">
        <v>151</v>
      </c>
      <c r="AF315" s="35"/>
      <c r="AG315" s="35"/>
      <c r="AH315" s="60" t="s">
        <v>152</v>
      </c>
      <c r="AI315" s="36" t="s">
        <v>153</v>
      </c>
      <c r="AJ315" s="35">
        <v>0.5</v>
      </c>
      <c r="AK315" s="35">
        <v>0.5</v>
      </c>
      <c r="AL315" s="35"/>
      <c r="AM315" s="35">
        <v>1</v>
      </c>
      <c r="AN315" s="35"/>
      <c r="AO315" s="35"/>
      <c r="AP315" s="35">
        <v>250</v>
      </c>
      <c r="AQ315" s="35">
        <v>0.5</v>
      </c>
      <c r="AR315" s="35"/>
      <c r="AS315" s="35"/>
      <c r="AT315" s="35"/>
      <c r="AU315" s="35">
        <v>1</v>
      </c>
      <c r="AV315" s="35"/>
      <c r="AW315" s="35">
        <v>0</v>
      </c>
      <c r="AX315" s="35">
        <v>0</v>
      </c>
      <c r="AY315" s="35">
        <v>0</v>
      </c>
      <c r="AZ315" s="35">
        <v>0</v>
      </c>
      <c r="BA315" s="35">
        <v>0</v>
      </c>
      <c r="BB315" s="35">
        <v>0</v>
      </c>
      <c r="BC315" s="35">
        <v>100</v>
      </c>
      <c r="BD315" s="10">
        <v>100</v>
      </c>
      <c r="BE315" s="35"/>
      <c r="BF315" s="35" t="s">
        <v>154</v>
      </c>
      <c r="BG315" s="35">
        <v>0</v>
      </c>
      <c r="BH315" s="35">
        <v>0</v>
      </c>
      <c r="BI315" s="35">
        <v>100</v>
      </c>
      <c r="BJ315" s="35"/>
      <c r="BK315" s="35"/>
      <c r="BL315" s="35"/>
      <c r="BM315" s="35"/>
      <c r="BN315" s="35"/>
      <c r="BO315" s="35"/>
      <c r="BP315" s="35"/>
      <c r="BQ315" s="7">
        <v>0</v>
      </c>
    </row>
    <row r="316" spans="2:69" s="7" customFormat="1">
      <c r="B316" s="51" t="s">
        <v>1049</v>
      </c>
      <c r="C316" s="7" t="s">
        <v>71</v>
      </c>
      <c r="D316" s="35" t="s">
        <v>282</v>
      </c>
      <c r="E316" s="36" t="s">
        <v>1046</v>
      </c>
      <c r="F316" s="51"/>
      <c r="G316" s="35" t="s">
        <v>1047</v>
      </c>
      <c r="H316" s="35"/>
      <c r="I316" s="35" t="s">
        <v>285</v>
      </c>
      <c r="J316" s="35"/>
      <c r="K316" s="35"/>
      <c r="L316" s="35">
        <v>0</v>
      </c>
      <c r="M316" s="35">
        <v>0</v>
      </c>
      <c r="N316" s="35"/>
      <c r="O316" s="35" t="s">
        <v>1048</v>
      </c>
      <c r="P316" s="35">
        <f>P315+0.05</f>
        <v>0.60000000000000009</v>
      </c>
      <c r="Q316" s="35"/>
      <c r="R316" s="35"/>
      <c r="S316" s="35"/>
      <c r="T316" s="35"/>
      <c r="U316" s="35">
        <v>1</v>
      </c>
      <c r="V316" s="35">
        <v>2</v>
      </c>
      <c r="W316" s="35" t="s">
        <v>480</v>
      </c>
      <c r="X316" s="35">
        <v>450</v>
      </c>
      <c r="Y316" s="35">
        <v>0</v>
      </c>
      <c r="Z316" s="35" t="s">
        <v>151</v>
      </c>
      <c r="AA316" s="16">
        <v>600</v>
      </c>
      <c r="AB316" s="35"/>
      <c r="AC316" s="35"/>
      <c r="AD316" s="35">
        <v>0</v>
      </c>
      <c r="AE316" s="35" t="s">
        <v>151</v>
      </c>
      <c r="AF316" s="35"/>
      <c r="AG316" s="35"/>
      <c r="AH316" s="60" t="s">
        <v>152</v>
      </c>
      <c r="AI316" s="36" t="s">
        <v>153</v>
      </c>
      <c r="AJ316" s="35">
        <v>0.5</v>
      </c>
      <c r="AK316" s="35">
        <v>0.5</v>
      </c>
      <c r="AL316" s="35"/>
      <c r="AM316" s="35">
        <v>1</v>
      </c>
      <c r="AN316" s="35"/>
      <c r="AO316" s="35"/>
      <c r="AP316" s="35">
        <v>250</v>
      </c>
      <c r="AQ316" s="35">
        <v>0.5</v>
      </c>
      <c r="AR316" s="35"/>
      <c r="AS316" s="35"/>
      <c r="AT316" s="35"/>
      <c r="AU316" s="35">
        <v>1</v>
      </c>
      <c r="AV316" s="35"/>
      <c r="AW316" s="35">
        <v>0</v>
      </c>
      <c r="AX316" s="35">
        <v>0</v>
      </c>
      <c r="AY316" s="35">
        <v>0</v>
      </c>
      <c r="AZ316" s="35">
        <v>0</v>
      </c>
      <c r="BA316" s="35">
        <v>0</v>
      </c>
      <c r="BB316" s="35">
        <v>0</v>
      </c>
      <c r="BC316" s="35">
        <v>100</v>
      </c>
      <c r="BD316" s="10">
        <v>100</v>
      </c>
      <c r="BE316" s="35"/>
      <c r="BF316" s="35" t="s">
        <v>154</v>
      </c>
      <c r="BG316" s="35">
        <v>0</v>
      </c>
      <c r="BH316" s="35">
        <v>0</v>
      </c>
      <c r="BI316" s="35">
        <v>100</v>
      </c>
      <c r="BJ316" s="35"/>
      <c r="BK316" s="35"/>
      <c r="BL316" s="35"/>
      <c r="BM316" s="35"/>
      <c r="BN316" s="35"/>
      <c r="BO316" s="35"/>
      <c r="BP316" s="35"/>
      <c r="BQ316" s="7">
        <v>0</v>
      </c>
    </row>
    <row r="317" spans="2:69" s="7" customFormat="1">
      <c r="B317" s="51" t="s">
        <v>1050</v>
      </c>
      <c r="C317" s="7" t="s">
        <v>71</v>
      </c>
      <c r="D317" s="35" t="s">
        <v>282</v>
      </c>
      <c r="E317" s="36" t="s">
        <v>1046</v>
      </c>
      <c r="F317" s="51"/>
      <c r="G317" s="35" t="s">
        <v>1047</v>
      </c>
      <c r="H317" s="35"/>
      <c r="I317" s="35" t="s">
        <v>285</v>
      </c>
      <c r="J317" s="35"/>
      <c r="K317" s="35"/>
      <c r="L317" s="35">
        <v>0</v>
      </c>
      <c r="M317" s="35">
        <v>0</v>
      </c>
      <c r="N317" s="35"/>
      <c r="O317" s="35" t="s">
        <v>1048</v>
      </c>
      <c r="P317" s="35">
        <f t="shared" ref="P317:P327" si="11">P316+0.05</f>
        <v>0.65000000000000013</v>
      </c>
      <c r="Q317" s="35"/>
      <c r="R317" s="35"/>
      <c r="S317" s="35"/>
      <c r="T317" s="35"/>
      <c r="U317" s="35">
        <v>1</v>
      </c>
      <c r="V317" s="35">
        <v>2</v>
      </c>
      <c r="W317" s="35" t="s">
        <v>480</v>
      </c>
      <c r="X317" s="35">
        <v>450</v>
      </c>
      <c r="Y317" s="35">
        <v>0</v>
      </c>
      <c r="Z317" s="35" t="s">
        <v>151</v>
      </c>
      <c r="AA317" s="16">
        <v>600</v>
      </c>
      <c r="AB317" s="35"/>
      <c r="AC317" s="35"/>
      <c r="AD317" s="35">
        <v>0</v>
      </c>
      <c r="AE317" s="35" t="s">
        <v>151</v>
      </c>
      <c r="AF317" s="35"/>
      <c r="AG317" s="35"/>
      <c r="AH317" s="60" t="s">
        <v>152</v>
      </c>
      <c r="AI317" s="36" t="s">
        <v>153</v>
      </c>
      <c r="AJ317" s="35">
        <v>0.5</v>
      </c>
      <c r="AK317" s="35">
        <v>0.5</v>
      </c>
      <c r="AL317" s="35"/>
      <c r="AM317" s="35">
        <v>1</v>
      </c>
      <c r="AN317" s="35"/>
      <c r="AO317" s="35"/>
      <c r="AP317" s="35">
        <v>250</v>
      </c>
      <c r="AQ317" s="35">
        <v>0.5</v>
      </c>
      <c r="AR317" s="35"/>
      <c r="AS317" s="35"/>
      <c r="AT317" s="35"/>
      <c r="AU317" s="35">
        <v>1</v>
      </c>
      <c r="AV317" s="35"/>
      <c r="AW317" s="35">
        <v>0</v>
      </c>
      <c r="AX317" s="35">
        <v>0</v>
      </c>
      <c r="AY317" s="35">
        <v>0</v>
      </c>
      <c r="AZ317" s="35">
        <v>0</v>
      </c>
      <c r="BA317" s="35">
        <v>0</v>
      </c>
      <c r="BB317" s="35">
        <v>0</v>
      </c>
      <c r="BC317" s="35">
        <v>100</v>
      </c>
      <c r="BD317" s="10">
        <v>100</v>
      </c>
      <c r="BE317" s="35"/>
      <c r="BF317" s="35" t="s">
        <v>154</v>
      </c>
      <c r="BG317" s="35">
        <v>0</v>
      </c>
      <c r="BH317" s="35">
        <v>0</v>
      </c>
      <c r="BI317" s="35">
        <v>100</v>
      </c>
      <c r="BJ317" s="35"/>
      <c r="BK317" s="35"/>
      <c r="BL317" s="35"/>
      <c r="BM317" s="35"/>
      <c r="BN317" s="35"/>
      <c r="BO317" s="35"/>
      <c r="BP317" s="35"/>
      <c r="BQ317" s="7">
        <v>0</v>
      </c>
    </row>
    <row r="318" spans="2:69" s="7" customFormat="1">
      <c r="B318" s="51" t="s">
        <v>1051</v>
      </c>
      <c r="C318" s="7" t="s">
        <v>71</v>
      </c>
      <c r="D318" s="35" t="s">
        <v>282</v>
      </c>
      <c r="E318" s="36" t="s">
        <v>1046</v>
      </c>
      <c r="F318" s="51"/>
      <c r="G318" s="35" t="s">
        <v>1047</v>
      </c>
      <c r="H318" s="35"/>
      <c r="I318" s="35" t="s">
        <v>285</v>
      </c>
      <c r="J318" s="35"/>
      <c r="K318" s="35"/>
      <c r="L318" s="35">
        <v>0</v>
      </c>
      <c r="M318" s="35">
        <v>0</v>
      </c>
      <c r="N318" s="35"/>
      <c r="O318" s="35" t="s">
        <v>1048</v>
      </c>
      <c r="P318" s="35">
        <f t="shared" si="11"/>
        <v>0.70000000000000018</v>
      </c>
      <c r="Q318" s="35"/>
      <c r="R318" s="35"/>
      <c r="S318" s="35"/>
      <c r="T318" s="35"/>
      <c r="U318" s="35">
        <v>1</v>
      </c>
      <c r="V318" s="35">
        <v>2</v>
      </c>
      <c r="W318" s="35" t="s">
        <v>480</v>
      </c>
      <c r="X318" s="35">
        <v>450</v>
      </c>
      <c r="Y318" s="35">
        <v>0</v>
      </c>
      <c r="Z318" s="35" t="s">
        <v>151</v>
      </c>
      <c r="AA318" s="16">
        <v>600</v>
      </c>
      <c r="AB318" s="35"/>
      <c r="AC318" s="35"/>
      <c r="AD318" s="35">
        <v>0</v>
      </c>
      <c r="AE318" s="35" t="s">
        <v>151</v>
      </c>
      <c r="AF318" s="35"/>
      <c r="AG318" s="35"/>
      <c r="AH318" s="60" t="s">
        <v>152</v>
      </c>
      <c r="AI318" s="36" t="s">
        <v>153</v>
      </c>
      <c r="AJ318" s="35">
        <v>0.5</v>
      </c>
      <c r="AK318" s="35">
        <v>0.5</v>
      </c>
      <c r="AL318" s="35"/>
      <c r="AM318" s="35">
        <v>1</v>
      </c>
      <c r="AN318" s="35"/>
      <c r="AO318" s="35"/>
      <c r="AP318" s="35">
        <v>250</v>
      </c>
      <c r="AQ318" s="35">
        <v>0.5</v>
      </c>
      <c r="AR318" s="35"/>
      <c r="AS318" s="35"/>
      <c r="AT318" s="35"/>
      <c r="AU318" s="35">
        <v>1</v>
      </c>
      <c r="AV318" s="35"/>
      <c r="AW318" s="35">
        <v>0</v>
      </c>
      <c r="AX318" s="35">
        <v>0</v>
      </c>
      <c r="AY318" s="35">
        <v>0</v>
      </c>
      <c r="AZ318" s="35">
        <v>0</v>
      </c>
      <c r="BA318" s="35">
        <v>0</v>
      </c>
      <c r="BB318" s="35">
        <v>0</v>
      </c>
      <c r="BC318" s="35">
        <v>100</v>
      </c>
      <c r="BD318" s="10">
        <v>100</v>
      </c>
      <c r="BE318" s="35"/>
      <c r="BF318" s="35" t="s">
        <v>154</v>
      </c>
      <c r="BG318" s="35">
        <v>0</v>
      </c>
      <c r="BH318" s="35">
        <v>0</v>
      </c>
      <c r="BI318" s="35">
        <v>100</v>
      </c>
      <c r="BJ318" s="35"/>
      <c r="BK318" s="35"/>
      <c r="BL318" s="35"/>
      <c r="BM318" s="35"/>
      <c r="BN318" s="35"/>
      <c r="BO318" s="35"/>
      <c r="BP318" s="35"/>
      <c r="BQ318" s="7">
        <v>0</v>
      </c>
    </row>
    <row r="319" spans="2:69" s="7" customFormat="1">
      <c r="B319" s="51" t="s">
        <v>1052</v>
      </c>
      <c r="C319" s="7" t="s">
        <v>71</v>
      </c>
      <c r="D319" s="35" t="s">
        <v>282</v>
      </c>
      <c r="E319" s="36" t="s">
        <v>1046</v>
      </c>
      <c r="F319" s="51"/>
      <c r="G319" s="35" t="s">
        <v>1047</v>
      </c>
      <c r="H319" s="35"/>
      <c r="I319" s="35" t="s">
        <v>285</v>
      </c>
      <c r="J319" s="35"/>
      <c r="K319" s="35"/>
      <c r="L319" s="35">
        <v>0</v>
      </c>
      <c r="M319" s="35">
        <v>0</v>
      </c>
      <c r="N319" s="35"/>
      <c r="O319" s="35" t="s">
        <v>1048</v>
      </c>
      <c r="P319" s="35">
        <f t="shared" si="11"/>
        <v>0.75000000000000022</v>
      </c>
      <c r="Q319" s="35"/>
      <c r="R319" s="35"/>
      <c r="S319" s="35"/>
      <c r="T319" s="35"/>
      <c r="U319" s="35">
        <v>1</v>
      </c>
      <c r="V319" s="35">
        <v>2</v>
      </c>
      <c r="W319" s="35" t="s">
        <v>480</v>
      </c>
      <c r="X319" s="35">
        <v>450</v>
      </c>
      <c r="Y319" s="35">
        <v>0</v>
      </c>
      <c r="Z319" s="35" t="s">
        <v>151</v>
      </c>
      <c r="AA319" s="16">
        <v>600</v>
      </c>
      <c r="AB319" s="35"/>
      <c r="AC319" s="35"/>
      <c r="AD319" s="35">
        <v>0</v>
      </c>
      <c r="AE319" s="35" t="s">
        <v>151</v>
      </c>
      <c r="AF319" s="35"/>
      <c r="AG319" s="35"/>
      <c r="AH319" s="60" t="s">
        <v>152</v>
      </c>
      <c r="AI319" s="36" t="s">
        <v>153</v>
      </c>
      <c r="AJ319" s="35">
        <v>0.5</v>
      </c>
      <c r="AK319" s="35">
        <v>0.5</v>
      </c>
      <c r="AL319" s="35"/>
      <c r="AM319" s="35">
        <v>1</v>
      </c>
      <c r="AN319" s="35"/>
      <c r="AO319" s="35"/>
      <c r="AP319" s="35">
        <v>250</v>
      </c>
      <c r="AQ319" s="35">
        <v>0.5</v>
      </c>
      <c r="AR319" s="35"/>
      <c r="AS319" s="35"/>
      <c r="AT319" s="35"/>
      <c r="AU319" s="35">
        <v>1</v>
      </c>
      <c r="AV319" s="35"/>
      <c r="AW319" s="35">
        <v>0</v>
      </c>
      <c r="AX319" s="35">
        <v>0</v>
      </c>
      <c r="AY319" s="35">
        <v>0</v>
      </c>
      <c r="AZ319" s="35">
        <v>0</v>
      </c>
      <c r="BA319" s="35">
        <v>0</v>
      </c>
      <c r="BB319" s="35">
        <v>0</v>
      </c>
      <c r="BC319" s="35">
        <v>100</v>
      </c>
      <c r="BD319" s="10">
        <v>100</v>
      </c>
      <c r="BE319" s="35"/>
      <c r="BF319" s="35" t="s">
        <v>154</v>
      </c>
      <c r="BG319" s="35">
        <v>0</v>
      </c>
      <c r="BH319" s="35">
        <v>0</v>
      </c>
      <c r="BI319" s="35">
        <v>100</v>
      </c>
      <c r="BJ319" s="35"/>
      <c r="BK319" s="35"/>
      <c r="BL319" s="35"/>
      <c r="BM319" s="35"/>
      <c r="BN319" s="35"/>
      <c r="BO319" s="35"/>
      <c r="BP319" s="35"/>
      <c r="BQ319" s="7">
        <v>0</v>
      </c>
    </row>
    <row r="320" spans="2:69" s="7" customFormat="1">
      <c r="B320" s="51" t="s">
        <v>1053</v>
      </c>
      <c r="C320" s="7" t="s">
        <v>71</v>
      </c>
      <c r="D320" s="35" t="s">
        <v>282</v>
      </c>
      <c r="E320" s="36" t="s">
        <v>1046</v>
      </c>
      <c r="F320" s="51"/>
      <c r="G320" s="35" t="s">
        <v>1047</v>
      </c>
      <c r="H320" s="35"/>
      <c r="I320" s="35" t="s">
        <v>285</v>
      </c>
      <c r="J320" s="35"/>
      <c r="K320" s="35"/>
      <c r="L320" s="35">
        <v>0</v>
      </c>
      <c r="M320" s="35">
        <v>0</v>
      </c>
      <c r="N320" s="35"/>
      <c r="O320" s="35" t="s">
        <v>1048</v>
      </c>
      <c r="P320" s="35">
        <f t="shared" si="11"/>
        <v>0.80000000000000027</v>
      </c>
      <c r="Q320" s="35"/>
      <c r="R320" s="35"/>
      <c r="S320" s="35"/>
      <c r="T320" s="35"/>
      <c r="U320" s="35">
        <v>1</v>
      </c>
      <c r="V320" s="35">
        <v>2</v>
      </c>
      <c r="W320" s="35" t="s">
        <v>480</v>
      </c>
      <c r="X320" s="35">
        <v>450</v>
      </c>
      <c r="Y320" s="35">
        <v>0</v>
      </c>
      <c r="Z320" s="35" t="s">
        <v>151</v>
      </c>
      <c r="AA320" s="16">
        <v>600</v>
      </c>
      <c r="AB320" s="35"/>
      <c r="AC320" s="35"/>
      <c r="AD320" s="35">
        <v>0</v>
      </c>
      <c r="AE320" s="35" t="s">
        <v>151</v>
      </c>
      <c r="AF320" s="35"/>
      <c r="AG320" s="35"/>
      <c r="AH320" s="60" t="s">
        <v>152</v>
      </c>
      <c r="AI320" s="36" t="s">
        <v>153</v>
      </c>
      <c r="AJ320" s="35">
        <v>0.5</v>
      </c>
      <c r="AK320" s="35">
        <v>0.5</v>
      </c>
      <c r="AL320" s="35"/>
      <c r="AM320" s="35">
        <v>1</v>
      </c>
      <c r="AN320" s="35"/>
      <c r="AO320" s="35"/>
      <c r="AP320" s="35">
        <v>250</v>
      </c>
      <c r="AQ320" s="35">
        <v>0.5</v>
      </c>
      <c r="AR320" s="35"/>
      <c r="AS320" s="35"/>
      <c r="AT320" s="35"/>
      <c r="AU320" s="35">
        <v>1</v>
      </c>
      <c r="AV320" s="35"/>
      <c r="AW320" s="35">
        <v>0</v>
      </c>
      <c r="AX320" s="35">
        <v>0</v>
      </c>
      <c r="AY320" s="35">
        <v>0</v>
      </c>
      <c r="AZ320" s="35">
        <v>0</v>
      </c>
      <c r="BA320" s="35">
        <v>0</v>
      </c>
      <c r="BB320" s="35">
        <v>0</v>
      </c>
      <c r="BC320" s="35">
        <v>100</v>
      </c>
      <c r="BD320" s="10">
        <v>100</v>
      </c>
      <c r="BE320" s="35"/>
      <c r="BF320" s="35" t="s">
        <v>154</v>
      </c>
      <c r="BG320" s="35">
        <v>0</v>
      </c>
      <c r="BH320" s="35">
        <v>0</v>
      </c>
      <c r="BI320" s="35">
        <v>100</v>
      </c>
      <c r="BJ320" s="35"/>
      <c r="BK320" s="35"/>
      <c r="BL320" s="35"/>
      <c r="BM320" s="35"/>
      <c r="BN320" s="35"/>
      <c r="BO320" s="35"/>
      <c r="BP320" s="35"/>
      <c r="BQ320" s="7">
        <v>0</v>
      </c>
    </row>
    <row r="321" spans="2:69" s="7" customFormat="1">
      <c r="B321" s="51" t="s">
        <v>1054</v>
      </c>
      <c r="C321" s="7" t="s">
        <v>71</v>
      </c>
      <c r="D321" s="35" t="s">
        <v>282</v>
      </c>
      <c r="E321" s="36" t="s">
        <v>1046</v>
      </c>
      <c r="F321" s="51"/>
      <c r="G321" s="35" t="s">
        <v>1047</v>
      </c>
      <c r="H321" s="35"/>
      <c r="I321" s="35" t="s">
        <v>285</v>
      </c>
      <c r="J321" s="35"/>
      <c r="K321" s="35"/>
      <c r="L321" s="35">
        <v>0</v>
      </c>
      <c r="M321" s="35">
        <v>0</v>
      </c>
      <c r="N321" s="35"/>
      <c r="O321" s="35" t="s">
        <v>1048</v>
      </c>
      <c r="P321" s="35">
        <f t="shared" si="11"/>
        <v>0.85000000000000031</v>
      </c>
      <c r="Q321" s="35"/>
      <c r="R321" s="35"/>
      <c r="S321" s="35"/>
      <c r="T321" s="35"/>
      <c r="U321" s="35">
        <v>1</v>
      </c>
      <c r="V321" s="35">
        <v>2</v>
      </c>
      <c r="W321" s="35" t="s">
        <v>480</v>
      </c>
      <c r="X321" s="35">
        <v>450</v>
      </c>
      <c r="Y321" s="35">
        <v>0</v>
      </c>
      <c r="Z321" s="35" t="s">
        <v>151</v>
      </c>
      <c r="AA321" s="16">
        <v>600</v>
      </c>
      <c r="AB321" s="35"/>
      <c r="AC321" s="35"/>
      <c r="AD321" s="35">
        <v>0</v>
      </c>
      <c r="AE321" s="35" t="s">
        <v>151</v>
      </c>
      <c r="AF321" s="35"/>
      <c r="AG321" s="35"/>
      <c r="AH321" s="60" t="s">
        <v>152</v>
      </c>
      <c r="AI321" s="36" t="s">
        <v>153</v>
      </c>
      <c r="AJ321" s="35">
        <v>0.5</v>
      </c>
      <c r="AK321" s="35">
        <v>0.5</v>
      </c>
      <c r="AL321" s="35"/>
      <c r="AM321" s="35">
        <v>1</v>
      </c>
      <c r="AN321" s="35"/>
      <c r="AO321" s="35"/>
      <c r="AP321" s="35">
        <v>250</v>
      </c>
      <c r="AQ321" s="35">
        <v>0.5</v>
      </c>
      <c r="AR321" s="35"/>
      <c r="AS321" s="35"/>
      <c r="AT321" s="35"/>
      <c r="AU321" s="35">
        <v>1</v>
      </c>
      <c r="AV321" s="35"/>
      <c r="AW321" s="35">
        <v>0</v>
      </c>
      <c r="AX321" s="35">
        <v>0</v>
      </c>
      <c r="AY321" s="35">
        <v>0</v>
      </c>
      <c r="AZ321" s="35">
        <v>0</v>
      </c>
      <c r="BA321" s="35">
        <v>0</v>
      </c>
      <c r="BB321" s="35">
        <v>0</v>
      </c>
      <c r="BC321" s="35">
        <v>100</v>
      </c>
      <c r="BD321" s="10">
        <v>100</v>
      </c>
      <c r="BE321" s="35"/>
      <c r="BF321" s="35" t="s">
        <v>154</v>
      </c>
      <c r="BG321" s="35">
        <v>0</v>
      </c>
      <c r="BH321" s="35">
        <v>0</v>
      </c>
      <c r="BI321" s="35">
        <v>100</v>
      </c>
      <c r="BJ321" s="35"/>
      <c r="BK321" s="35"/>
      <c r="BL321" s="35"/>
      <c r="BM321" s="35"/>
      <c r="BN321" s="35"/>
      <c r="BO321" s="35"/>
      <c r="BP321" s="35"/>
      <c r="BQ321" s="7">
        <v>0</v>
      </c>
    </row>
    <row r="322" spans="2:69" s="7" customFormat="1">
      <c r="B322" s="51" t="s">
        <v>1055</v>
      </c>
      <c r="C322" s="7" t="s">
        <v>71</v>
      </c>
      <c r="D322" s="35" t="s">
        <v>282</v>
      </c>
      <c r="E322" s="36" t="s">
        <v>1046</v>
      </c>
      <c r="F322" s="51"/>
      <c r="G322" s="35" t="s">
        <v>1047</v>
      </c>
      <c r="H322" s="35"/>
      <c r="I322" s="35" t="s">
        <v>285</v>
      </c>
      <c r="J322" s="35"/>
      <c r="K322" s="35"/>
      <c r="L322" s="35">
        <v>0</v>
      </c>
      <c r="M322" s="35">
        <v>0</v>
      </c>
      <c r="N322" s="35"/>
      <c r="O322" s="35" t="s">
        <v>1048</v>
      </c>
      <c r="P322" s="35">
        <f t="shared" si="11"/>
        <v>0.90000000000000036</v>
      </c>
      <c r="Q322" s="35"/>
      <c r="R322" s="35"/>
      <c r="S322" s="35"/>
      <c r="T322" s="35"/>
      <c r="U322" s="35">
        <v>1</v>
      </c>
      <c r="V322" s="35">
        <v>2</v>
      </c>
      <c r="W322" s="35" t="s">
        <v>480</v>
      </c>
      <c r="X322" s="35">
        <v>450</v>
      </c>
      <c r="Y322" s="35">
        <v>0</v>
      </c>
      <c r="Z322" s="35" t="s">
        <v>151</v>
      </c>
      <c r="AA322" s="16">
        <v>600</v>
      </c>
      <c r="AB322" s="35"/>
      <c r="AC322" s="35"/>
      <c r="AD322" s="35">
        <v>0</v>
      </c>
      <c r="AE322" s="35" t="s">
        <v>151</v>
      </c>
      <c r="AF322" s="35"/>
      <c r="AG322" s="35"/>
      <c r="AH322" s="60" t="s">
        <v>152</v>
      </c>
      <c r="AI322" s="36" t="s">
        <v>153</v>
      </c>
      <c r="AJ322" s="35">
        <v>0.5</v>
      </c>
      <c r="AK322" s="35">
        <v>0.5</v>
      </c>
      <c r="AL322" s="35"/>
      <c r="AM322" s="35">
        <v>1</v>
      </c>
      <c r="AN322" s="35"/>
      <c r="AO322" s="35"/>
      <c r="AP322" s="35">
        <v>250</v>
      </c>
      <c r="AQ322" s="35">
        <v>0.5</v>
      </c>
      <c r="AR322" s="35"/>
      <c r="AS322" s="35"/>
      <c r="AT322" s="35"/>
      <c r="AU322" s="35">
        <v>1</v>
      </c>
      <c r="AV322" s="35"/>
      <c r="AW322" s="35">
        <v>0</v>
      </c>
      <c r="AX322" s="35">
        <v>0</v>
      </c>
      <c r="AY322" s="35">
        <v>0</v>
      </c>
      <c r="AZ322" s="35">
        <v>0</v>
      </c>
      <c r="BA322" s="35">
        <v>0</v>
      </c>
      <c r="BB322" s="35">
        <v>0</v>
      </c>
      <c r="BC322" s="35">
        <v>100</v>
      </c>
      <c r="BD322" s="10">
        <v>100</v>
      </c>
      <c r="BE322" s="35"/>
      <c r="BF322" s="35" t="s">
        <v>154</v>
      </c>
      <c r="BG322" s="35">
        <v>0</v>
      </c>
      <c r="BH322" s="35">
        <v>0</v>
      </c>
      <c r="BI322" s="35">
        <v>100</v>
      </c>
      <c r="BJ322" s="35"/>
      <c r="BK322" s="35"/>
      <c r="BL322" s="35"/>
      <c r="BM322" s="35"/>
      <c r="BN322" s="35"/>
      <c r="BO322" s="35"/>
      <c r="BP322" s="35"/>
      <c r="BQ322" s="7">
        <v>0</v>
      </c>
    </row>
    <row r="323" spans="2:69" s="7" customFormat="1">
      <c r="B323" s="51" t="s">
        <v>1056</v>
      </c>
      <c r="C323" s="7" t="s">
        <v>71</v>
      </c>
      <c r="D323" s="35" t="s">
        <v>282</v>
      </c>
      <c r="E323" s="36" t="s">
        <v>1046</v>
      </c>
      <c r="F323" s="51"/>
      <c r="G323" s="35" t="s">
        <v>1047</v>
      </c>
      <c r="H323" s="35"/>
      <c r="I323" s="35" t="s">
        <v>285</v>
      </c>
      <c r="J323" s="35"/>
      <c r="K323" s="35"/>
      <c r="L323" s="35">
        <v>0</v>
      </c>
      <c r="M323" s="35">
        <v>0</v>
      </c>
      <c r="N323" s="35"/>
      <c r="O323" s="35" t="s">
        <v>1048</v>
      </c>
      <c r="P323" s="35">
        <f t="shared" si="11"/>
        <v>0.9500000000000004</v>
      </c>
      <c r="Q323" s="35"/>
      <c r="R323" s="35"/>
      <c r="S323" s="35"/>
      <c r="T323" s="35"/>
      <c r="U323" s="35">
        <v>1</v>
      </c>
      <c r="V323" s="35">
        <v>2</v>
      </c>
      <c r="W323" s="35" t="s">
        <v>480</v>
      </c>
      <c r="X323" s="35">
        <v>450</v>
      </c>
      <c r="Y323" s="35">
        <v>0</v>
      </c>
      <c r="Z323" s="35" t="s">
        <v>151</v>
      </c>
      <c r="AA323" s="16">
        <v>600</v>
      </c>
      <c r="AB323" s="35"/>
      <c r="AC323" s="35"/>
      <c r="AD323" s="35">
        <v>0</v>
      </c>
      <c r="AE323" s="35" t="s">
        <v>151</v>
      </c>
      <c r="AF323" s="35"/>
      <c r="AG323" s="35"/>
      <c r="AH323" s="60" t="s">
        <v>152</v>
      </c>
      <c r="AI323" s="36" t="s">
        <v>153</v>
      </c>
      <c r="AJ323" s="35">
        <v>0.5</v>
      </c>
      <c r="AK323" s="35">
        <v>0.5</v>
      </c>
      <c r="AL323" s="35"/>
      <c r="AM323" s="35">
        <v>1</v>
      </c>
      <c r="AN323" s="35"/>
      <c r="AO323" s="35"/>
      <c r="AP323" s="35">
        <v>250</v>
      </c>
      <c r="AQ323" s="35">
        <v>0.5</v>
      </c>
      <c r="AR323" s="35"/>
      <c r="AS323" s="35"/>
      <c r="AT323" s="35"/>
      <c r="AU323" s="35">
        <v>1</v>
      </c>
      <c r="AV323" s="35"/>
      <c r="AW323" s="35">
        <v>0</v>
      </c>
      <c r="AX323" s="35">
        <v>0</v>
      </c>
      <c r="AY323" s="35">
        <v>0</v>
      </c>
      <c r="AZ323" s="35">
        <v>0</v>
      </c>
      <c r="BA323" s="35">
        <v>0</v>
      </c>
      <c r="BB323" s="35">
        <v>0</v>
      </c>
      <c r="BC323" s="35">
        <v>100</v>
      </c>
      <c r="BD323" s="10">
        <v>100</v>
      </c>
      <c r="BE323" s="35"/>
      <c r="BF323" s="35" t="s">
        <v>154</v>
      </c>
      <c r="BG323" s="35">
        <v>0</v>
      </c>
      <c r="BH323" s="35">
        <v>0</v>
      </c>
      <c r="BI323" s="35">
        <v>100</v>
      </c>
      <c r="BJ323" s="35"/>
      <c r="BK323" s="35"/>
      <c r="BL323" s="35"/>
      <c r="BM323" s="35"/>
      <c r="BN323" s="35"/>
      <c r="BO323" s="35"/>
      <c r="BP323" s="35"/>
      <c r="BQ323" s="7">
        <v>0</v>
      </c>
    </row>
    <row r="324" spans="2:69" s="7" customFormat="1">
      <c r="B324" s="51" t="s">
        <v>1057</v>
      </c>
      <c r="C324" s="7" t="s">
        <v>71</v>
      </c>
      <c r="D324" s="35" t="s">
        <v>282</v>
      </c>
      <c r="E324" s="36" t="s">
        <v>1046</v>
      </c>
      <c r="F324" s="51"/>
      <c r="G324" s="35" t="s">
        <v>1047</v>
      </c>
      <c r="H324" s="35"/>
      <c r="I324" s="35" t="s">
        <v>285</v>
      </c>
      <c r="J324" s="35"/>
      <c r="K324" s="35"/>
      <c r="L324" s="35">
        <v>0</v>
      </c>
      <c r="M324" s="35">
        <v>0</v>
      </c>
      <c r="N324" s="35"/>
      <c r="O324" s="35" t="s">
        <v>1048</v>
      </c>
      <c r="P324" s="35">
        <f t="shared" si="11"/>
        <v>1.0000000000000004</v>
      </c>
      <c r="Q324" s="35"/>
      <c r="R324" s="35"/>
      <c r="S324" s="35"/>
      <c r="T324" s="35"/>
      <c r="U324" s="35">
        <v>1</v>
      </c>
      <c r="V324" s="35">
        <v>2</v>
      </c>
      <c r="W324" s="35" t="s">
        <v>480</v>
      </c>
      <c r="X324" s="35">
        <v>450</v>
      </c>
      <c r="Y324" s="35">
        <v>0</v>
      </c>
      <c r="Z324" s="35" t="s">
        <v>151</v>
      </c>
      <c r="AA324" s="16">
        <v>600</v>
      </c>
      <c r="AB324" s="35"/>
      <c r="AC324" s="35"/>
      <c r="AD324" s="35">
        <v>0</v>
      </c>
      <c r="AE324" s="35" t="s">
        <v>151</v>
      </c>
      <c r="AF324" s="35"/>
      <c r="AG324" s="35"/>
      <c r="AH324" s="60" t="s">
        <v>152</v>
      </c>
      <c r="AI324" s="36" t="s">
        <v>153</v>
      </c>
      <c r="AJ324" s="35">
        <v>0.5</v>
      </c>
      <c r="AK324" s="35">
        <v>0.5</v>
      </c>
      <c r="AL324" s="35"/>
      <c r="AM324" s="35">
        <v>1</v>
      </c>
      <c r="AN324" s="35"/>
      <c r="AO324" s="35"/>
      <c r="AP324" s="35">
        <v>250</v>
      </c>
      <c r="AQ324" s="35">
        <v>0.5</v>
      </c>
      <c r="AR324" s="35"/>
      <c r="AS324" s="35"/>
      <c r="AT324" s="35"/>
      <c r="AU324" s="35">
        <v>1</v>
      </c>
      <c r="AV324" s="35"/>
      <c r="AW324" s="35">
        <v>0</v>
      </c>
      <c r="AX324" s="35">
        <v>0</v>
      </c>
      <c r="AY324" s="35">
        <v>0</v>
      </c>
      <c r="AZ324" s="35">
        <v>0</v>
      </c>
      <c r="BA324" s="35">
        <v>0</v>
      </c>
      <c r="BB324" s="35">
        <v>0</v>
      </c>
      <c r="BC324" s="35">
        <v>100</v>
      </c>
      <c r="BD324" s="10">
        <v>100</v>
      </c>
      <c r="BE324" s="35"/>
      <c r="BF324" s="35" t="s">
        <v>154</v>
      </c>
      <c r="BG324" s="35">
        <v>0</v>
      </c>
      <c r="BH324" s="35">
        <v>0</v>
      </c>
      <c r="BI324" s="35">
        <v>100</v>
      </c>
      <c r="BJ324" s="35"/>
      <c r="BK324" s="35"/>
      <c r="BL324" s="35"/>
      <c r="BM324" s="35"/>
      <c r="BN324" s="35"/>
      <c r="BO324" s="35"/>
      <c r="BP324" s="35"/>
      <c r="BQ324" s="7">
        <v>0</v>
      </c>
    </row>
    <row r="325" spans="2:69" s="7" customFormat="1">
      <c r="B325" s="51" t="s">
        <v>1058</v>
      </c>
      <c r="C325" s="7" t="s">
        <v>71</v>
      </c>
      <c r="D325" s="35" t="s">
        <v>282</v>
      </c>
      <c r="E325" s="36" t="s">
        <v>1046</v>
      </c>
      <c r="F325" s="51"/>
      <c r="G325" s="35" t="s">
        <v>1047</v>
      </c>
      <c r="H325" s="35"/>
      <c r="I325" s="35" t="s">
        <v>285</v>
      </c>
      <c r="J325" s="35"/>
      <c r="K325" s="35"/>
      <c r="L325" s="35">
        <v>0</v>
      </c>
      <c r="M325" s="35">
        <v>0</v>
      </c>
      <c r="N325" s="35"/>
      <c r="O325" s="35" t="s">
        <v>1048</v>
      </c>
      <c r="P325" s="35">
        <f t="shared" si="11"/>
        <v>1.0500000000000005</v>
      </c>
      <c r="Q325" s="35"/>
      <c r="R325" s="35"/>
      <c r="S325" s="35"/>
      <c r="T325" s="35"/>
      <c r="U325" s="35">
        <v>1</v>
      </c>
      <c r="V325" s="35">
        <v>2</v>
      </c>
      <c r="W325" s="35" t="s">
        <v>480</v>
      </c>
      <c r="X325" s="35">
        <v>450</v>
      </c>
      <c r="Y325" s="35">
        <v>0</v>
      </c>
      <c r="Z325" s="35" t="s">
        <v>151</v>
      </c>
      <c r="AA325" s="16">
        <v>600</v>
      </c>
      <c r="AB325" s="35"/>
      <c r="AC325" s="35"/>
      <c r="AD325" s="35">
        <v>0</v>
      </c>
      <c r="AE325" s="35" t="s">
        <v>151</v>
      </c>
      <c r="AF325" s="35"/>
      <c r="AG325" s="35"/>
      <c r="AH325" s="60" t="s">
        <v>152</v>
      </c>
      <c r="AI325" s="36" t="s">
        <v>153</v>
      </c>
      <c r="AJ325" s="35">
        <v>0.5</v>
      </c>
      <c r="AK325" s="35">
        <v>0.5</v>
      </c>
      <c r="AL325" s="35"/>
      <c r="AM325" s="35">
        <v>1</v>
      </c>
      <c r="AN325" s="35"/>
      <c r="AO325" s="35"/>
      <c r="AP325" s="35">
        <v>250</v>
      </c>
      <c r="AQ325" s="35">
        <v>0.5</v>
      </c>
      <c r="AR325" s="35"/>
      <c r="AS325" s="35"/>
      <c r="AT325" s="35"/>
      <c r="AU325" s="35">
        <v>1</v>
      </c>
      <c r="AV325" s="35"/>
      <c r="AW325" s="35">
        <v>0</v>
      </c>
      <c r="AX325" s="35">
        <v>0</v>
      </c>
      <c r="AY325" s="35">
        <v>0</v>
      </c>
      <c r="AZ325" s="35">
        <v>0</v>
      </c>
      <c r="BA325" s="35">
        <v>0</v>
      </c>
      <c r="BB325" s="35">
        <v>0</v>
      </c>
      <c r="BC325" s="35">
        <v>100</v>
      </c>
      <c r="BD325" s="10">
        <v>100</v>
      </c>
      <c r="BE325" s="35"/>
      <c r="BF325" s="35" t="s">
        <v>154</v>
      </c>
      <c r="BG325" s="35">
        <v>0</v>
      </c>
      <c r="BH325" s="35">
        <v>0</v>
      </c>
      <c r="BI325" s="35">
        <v>100</v>
      </c>
      <c r="BJ325" s="35"/>
      <c r="BK325" s="35"/>
      <c r="BL325" s="35"/>
      <c r="BM325" s="35"/>
      <c r="BN325" s="35"/>
      <c r="BO325" s="35"/>
      <c r="BP325" s="35"/>
      <c r="BQ325" s="7">
        <v>0</v>
      </c>
    </row>
    <row r="326" spans="2:69" s="7" customFormat="1">
      <c r="B326" s="51" t="s">
        <v>1059</v>
      </c>
      <c r="C326" s="7" t="s">
        <v>71</v>
      </c>
      <c r="D326" s="35" t="s">
        <v>282</v>
      </c>
      <c r="E326" s="36" t="s">
        <v>1046</v>
      </c>
      <c r="F326" s="51"/>
      <c r="G326" s="35" t="s">
        <v>1047</v>
      </c>
      <c r="H326" s="35"/>
      <c r="I326" s="35" t="s">
        <v>285</v>
      </c>
      <c r="J326" s="35"/>
      <c r="K326" s="35"/>
      <c r="L326" s="35">
        <v>0</v>
      </c>
      <c r="M326" s="35">
        <v>0</v>
      </c>
      <c r="N326" s="35"/>
      <c r="O326" s="35" t="s">
        <v>1048</v>
      </c>
      <c r="P326" s="35">
        <f t="shared" si="11"/>
        <v>1.1000000000000005</v>
      </c>
      <c r="Q326" s="35"/>
      <c r="R326" s="35"/>
      <c r="S326" s="35"/>
      <c r="T326" s="35"/>
      <c r="U326" s="35">
        <v>1</v>
      </c>
      <c r="V326" s="35">
        <v>2</v>
      </c>
      <c r="W326" s="35" t="s">
        <v>480</v>
      </c>
      <c r="X326" s="35">
        <v>450</v>
      </c>
      <c r="Y326" s="35">
        <v>0</v>
      </c>
      <c r="Z326" s="35" t="s">
        <v>151</v>
      </c>
      <c r="AA326" s="16">
        <v>600</v>
      </c>
      <c r="AB326" s="35"/>
      <c r="AC326" s="35"/>
      <c r="AD326" s="35">
        <v>0</v>
      </c>
      <c r="AE326" s="35" t="s">
        <v>151</v>
      </c>
      <c r="AF326" s="35"/>
      <c r="AG326" s="35"/>
      <c r="AH326" s="60" t="s">
        <v>152</v>
      </c>
      <c r="AI326" s="36" t="s">
        <v>153</v>
      </c>
      <c r="AJ326" s="35">
        <v>0.5</v>
      </c>
      <c r="AK326" s="35">
        <v>0.5</v>
      </c>
      <c r="AL326" s="35"/>
      <c r="AM326" s="35">
        <v>1</v>
      </c>
      <c r="AN326" s="35"/>
      <c r="AO326" s="35"/>
      <c r="AP326" s="35">
        <v>250</v>
      </c>
      <c r="AQ326" s="35">
        <v>0.5</v>
      </c>
      <c r="AR326" s="35"/>
      <c r="AS326" s="35"/>
      <c r="AT326" s="35"/>
      <c r="AU326" s="35">
        <v>1</v>
      </c>
      <c r="AV326" s="35"/>
      <c r="AW326" s="35">
        <v>0</v>
      </c>
      <c r="AX326" s="35">
        <v>0</v>
      </c>
      <c r="AY326" s="35">
        <v>0</v>
      </c>
      <c r="AZ326" s="35">
        <v>0</v>
      </c>
      <c r="BA326" s="35">
        <v>0</v>
      </c>
      <c r="BB326" s="35">
        <v>0</v>
      </c>
      <c r="BC326" s="35">
        <v>100</v>
      </c>
      <c r="BD326" s="10">
        <v>100</v>
      </c>
      <c r="BE326" s="35"/>
      <c r="BF326" s="35" t="s">
        <v>154</v>
      </c>
      <c r="BG326" s="35">
        <v>0</v>
      </c>
      <c r="BH326" s="35">
        <v>0</v>
      </c>
      <c r="BI326" s="35">
        <v>100</v>
      </c>
      <c r="BJ326" s="35"/>
      <c r="BK326" s="35"/>
      <c r="BL326" s="35"/>
      <c r="BM326" s="35"/>
      <c r="BN326" s="35"/>
      <c r="BO326" s="35"/>
      <c r="BP326" s="35"/>
      <c r="BQ326" s="7">
        <v>0</v>
      </c>
    </row>
    <row r="327" spans="2:69" s="7" customFormat="1">
      <c r="B327" s="51" t="s">
        <v>1060</v>
      </c>
      <c r="C327" s="7" t="s">
        <v>71</v>
      </c>
      <c r="D327" s="35" t="s">
        <v>282</v>
      </c>
      <c r="E327" s="36" t="s">
        <v>1046</v>
      </c>
      <c r="F327" s="51"/>
      <c r="G327" s="35" t="s">
        <v>1047</v>
      </c>
      <c r="H327" s="35"/>
      <c r="I327" s="35" t="s">
        <v>285</v>
      </c>
      <c r="J327" s="35"/>
      <c r="K327" s="35"/>
      <c r="L327" s="35">
        <v>0</v>
      </c>
      <c r="M327" s="35">
        <v>0</v>
      </c>
      <c r="N327" s="35"/>
      <c r="O327" s="35" t="s">
        <v>1048</v>
      </c>
      <c r="P327" s="35">
        <f t="shared" si="11"/>
        <v>1.1500000000000006</v>
      </c>
      <c r="Q327" s="35"/>
      <c r="R327" s="35"/>
      <c r="S327" s="35"/>
      <c r="T327" s="35"/>
      <c r="U327" s="35">
        <v>1</v>
      </c>
      <c r="V327" s="35">
        <v>2</v>
      </c>
      <c r="W327" s="35" t="s">
        <v>480</v>
      </c>
      <c r="X327" s="35">
        <v>450</v>
      </c>
      <c r="Y327" s="35">
        <v>0</v>
      </c>
      <c r="Z327" s="35" t="s">
        <v>151</v>
      </c>
      <c r="AA327" s="16">
        <v>600</v>
      </c>
      <c r="AB327" s="35"/>
      <c r="AC327" s="35"/>
      <c r="AD327" s="35">
        <v>0</v>
      </c>
      <c r="AE327" s="35" t="s">
        <v>151</v>
      </c>
      <c r="AF327" s="35"/>
      <c r="AG327" s="35"/>
      <c r="AH327" s="60" t="s">
        <v>152</v>
      </c>
      <c r="AI327" s="36" t="s">
        <v>153</v>
      </c>
      <c r="AJ327" s="35">
        <v>0.5</v>
      </c>
      <c r="AK327" s="35">
        <v>0.5</v>
      </c>
      <c r="AL327" s="35"/>
      <c r="AM327" s="35">
        <v>1</v>
      </c>
      <c r="AN327" s="35"/>
      <c r="AO327" s="35"/>
      <c r="AP327" s="35">
        <v>250</v>
      </c>
      <c r="AQ327" s="35">
        <v>0.5</v>
      </c>
      <c r="AR327" s="35"/>
      <c r="AS327" s="35"/>
      <c r="AT327" s="35"/>
      <c r="AU327" s="35">
        <v>1</v>
      </c>
      <c r="AV327" s="35"/>
      <c r="AW327" s="35">
        <v>0</v>
      </c>
      <c r="AX327" s="35">
        <v>0</v>
      </c>
      <c r="AY327" s="35">
        <v>0</v>
      </c>
      <c r="AZ327" s="35">
        <v>0</v>
      </c>
      <c r="BA327" s="35">
        <v>0</v>
      </c>
      <c r="BB327" s="35">
        <v>0</v>
      </c>
      <c r="BC327" s="35">
        <v>100</v>
      </c>
      <c r="BD327" s="10">
        <v>100</v>
      </c>
      <c r="BE327" s="35"/>
      <c r="BF327" s="35" t="s">
        <v>154</v>
      </c>
      <c r="BG327" s="35">
        <v>0</v>
      </c>
      <c r="BH327" s="35">
        <v>0</v>
      </c>
      <c r="BI327" s="35">
        <v>100</v>
      </c>
      <c r="BJ327" s="35"/>
      <c r="BK327" s="35"/>
      <c r="BL327" s="35"/>
      <c r="BM327" s="35"/>
      <c r="BN327" s="35"/>
      <c r="BO327" s="35"/>
      <c r="BP327" s="35"/>
      <c r="BQ327" s="7">
        <v>0</v>
      </c>
    </row>
    <row r="328" spans="2:69" s="6" customFormat="1">
      <c r="B328" s="24" t="s">
        <v>1061</v>
      </c>
      <c r="C328" s="6" t="s">
        <v>71</v>
      </c>
      <c r="D328" s="16" t="s">
        <v>282</v>
      </c>
      <c r="E328" s="52" t="s">
        <v>1062</v>
      </c>
      <c r="F328" s="24"/>
      <c r="G328" s="16" t="s">
        <v>1047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1063</v>
      </c>
      <c r="P328" s="16">
        <v>0.4</v>
      </c>
      <c r="Q328" s="16"/>
      <c r="R328" s="16"/>
      <c r="S328" s="16"/>
      <c r="T328" s="16"/>
      <c r="U328" s="16">
        <v>1</v>
      </c>
      <c r="V328" s="16">
        <v>2</v>
      </c>
      <c r="W328" s="16" t="s">
        <v>480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1064</v>
      </c>
      <c r="C329" s="6" t="s">
        <v>71</v>
      </c>
      <c r="D329" s="16" t="s">
        <v>282</v>
      </c>
      <c r="E329" s="4" t="s">
        <v>1065</v>
      </c>
      <c r="F329" s="24"/>
      <c r="G329" s="16" t="s">
        <v>1047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1063</v>
      </c>
      <c r="P329" s="16">
        <v>0.45</v>
      </c>
      <c r="Q329" s="16"/>
      <c r="R329" s="16"/>
      <c r="S329" s="16"/>
      <c r="T329" s="16"/>
      <c r="U329" s="16">
        <v>1</v>
      </c>
      <c r="V329" s="16">
        <v>2</v>
      </c>
      <c r="W329" s="16" t="s">
        <v>480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1066</v>
      </c>
      <c r="C330" s="6" t="s">
        <v>71</v>
      </c>
      <c r="D330" s="16" t="s">
        <v>282</v>
      </c>
      <c r="E330" s="4" t="s">
        <v>1067</v>
      </c>
      <c r="F330" s="24"/>
      <c r="G330" s="16" t="s">
        <v>1047</v>
      </c>
      <c r="H330" s="16"/>
      <c r="I330" s="16" t="s">
        <v>285</v>
      </c>
      <c r="J330" s="16"/>
      <c r="K330" s="16"/>
      <c r="L330" s="16">
        <v>0</v>
      </c>
      <c r="M330" s="16">
        <v>0</v>
      </c>
      <c r="N330" s="16"/>
      <c r="O330" s="16" t="s">
        <v>1063</v>
      </c>
      <c r="P330" s="16">
        <v>0.5</v>
      </c>
      <c r="Q330" s="16"/>
      <c r="R330" s="16"/>
      <c r="S330" s="16"/>
      <c r="T330" s="16"/>
      <c r="U330" s="16">
        <v>1</v>
      </c>
      <c r="V330" s="16">
        <v>2</v>
      </c>
      <c r="W330" s="16" t="s">
        <v>480</v>
      </c>
      <c r="X330" s="16">
        <v>400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0.5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1068</v>
      </c>
      <c r="C331" s="6" t="s">
        <v>71</v>
      </c>
      <c r="D331" s="16" t="s">
        <v>282</v>
      </c>
      <c r="E331" s="4" t="s">
        <v>1069</v>
      </c>
      <c r="F331" s="24"/>
      <c r="G331" s="16" t="s">
        <v>1047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1063</v>
      </c>
      <c r="P331" s="16">
        <v>0.55000000000000004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1070</v>
      </c>
      <c r="C332" s="6" t="s">
        <v>71</v>
      </c>
      <c r="D332" s="16" t="s">
        <v>282</v>
      </c>
      <c r="E332" s="4" t="s">
        <v>1071</v>
      </c>
      <c r="F332" s="24"/>
      <c r="G332" s="16" t="s">
        <v>1047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1063</v>
      </c>
      <c r="P332" s="16">
        <v>0.6</v>
      </c>
      <c r="Q332" s="16"/>
      <c r="R332" s="16"/>
      <c r="S332" s="16"/>
      <c r="T332" s="16"/>
      <c r="U332" s="16">
        <v>1</v>
      </c>
      <c r="V332" s="16">
        <v>2</v>
      </c>
      <c r="W332" s="16" t="s">
        <v>480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1072</v>
      </c>
      <c r="C333" s="6" t="s">
        <v>71</v>
      </c>
      <c r="D333" s="16" t="s">
        <v>282</v>
      </c>
      <c r="E333" s="4" t="s">
        <v>1073</v>
      </c>
      <c r="F333" s="24"/>
      <c r="G333" s="16" t="s">
        <v>1047</v>
      </c>
      <c r="H333" s="16"/>
      <c r="I333" s="16" t="s">
        <v>285</v>
      </c>
      <c r="J333" s="16" t="s">
        <v>905</v>
      </c>
      <c r="K333" s="16"/>
      <c r="L333" s="16">
        <v>0</v>
      </c>
      <c r="M333" s="16">
        <v>0</v>
      </c>
      <c r="N333" s="16"/>
      <c r="O333" s="16" t="s">
        <v>1074</v>
      </c>
      <c r="P333" s="16">
        <v>1.3</v>
      </c>
      <c r="Q333" s="16"/>
      <c r="R333" s="16"/>
      <c r="S333" s="16"/>
      <c r="T333" s="16"/>
      <c r="U333" s="16">
        <v>2</v>
      </c>
      <c r="V333" s="16">
        <v>2</v>
      </c>
      <c r="W333" s="16" t="s">
        <v>150</v>
      </c>
      <c r="X333" s="16">
        <v>450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0.2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>
        <v>20</v>
      </c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1075</v>
      </c>
      <c r="C334" s="6" t="s">
        <v>71</v>
      </c>
      <c r="D334" s="16" t="s">
        <v>282</v>
      </c>
      <c r="E334" s="4" t="s">
        <v>1076</v>
      </c>
      <c r="F334" s="24"/>
      <c r="G334" s="16" t="s">
        <v>1047</v>
      </c>
      <c r="H334" s="16"/>
      <c r="I334" s="16" t="s">
        <v>285</v>
      </c>
      <c r="J334" s="16"/>
      <c r="K334" s="16"/>
      <c r="L334" s="16">
        <v>0</v>
      </c>
      <c r="M334" s="16">
        <v>0</v>
      </c>
      <c r="N334" s="16"/>
      <c r="O334" s="16" t="s">
        <v>1063</v>
      </c>
      <c r="P334" s="16">
        <v>0.4</v>
      </c>
      <c r="Q334" s="16"/>
      <c r="R334" s="16"/>
      <c r="S334" s="16"/>
      <c r="T334" s="16"/>
      <c r="U334" s="16">
        <v>1</v>
      </c>
      <c r="V334" s="16">
        <v>2</v>
      </c>
      <c r="W334" s="16" t="s">
        <v>480</v>
      </c>
      <c r="X334" s="16">
        <v>400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0.5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1077</v>
      </c>
      <c r="C335" s="6" t="s">
        <v>71</v>
      </c>
      <c r="D335" s="16" t="s">
        <v>282</v>
      </c>
      <c r="E335" s="4" t="s">
        <v>1078</v>
      </c>
      <c r="F335" s="24"/>
      <c r="G335" s="16" t="s">
        <v>1047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1063</v>
      </c>
      <c r="P335" s="16">
        <v>0.45</v>
      </c>
      <c r="Q335" s="16"/>
      <c r="R335" s="16"/>
      <c r="S335" s="16"/>
      <c r="T335" s="16"/>
      <c r="U335" s="16">
        <v>1</v>
      </c>
      <c r="V335" s="16">
        <v>2</v>
      </c>
      <c r="W335" s="16" t="s">
        <v>480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1079</v>
      </c>
      <c r="C336" s="6" t="s">
        <v>71</v>
      </c>
      <c r="D336" s="16" t="s">
        <v>282</v>
      </c>
      <c r="E336" s="4" t="s">
        <v>1080</v>
      </c>
      <c r="F336" s="24"/>
      <c r="G336" s="16" t="s">
        <v>1047</v>
      </c>
      <c r="H336" s="16"/>
      <c r="I336" s="16" t="s">
        <v>285</v>
      </c>
      <c r="J336" s="16"/>
      <c r="K336" s="16"/>
      <c r="L336" s="16">
        <v>0</v>
      </c>
      <c r="M336" s="16">
        <v>0</v>
      </c>
      <c r="N336" s="16"/>
      <c r="O336" s="16" t="s">
        <v>1063</v>
      </c>
      <c r="P336" s="16">
        <v>0.5</v>
      </c>
      <c r="Q336" s="16"/>
      <c r="R336" s="16"/>
      <c r="S336" s="16"/>
      <c r="T336" s="16"/>
      <c r="U336" s="16">
        <v>1</v>
      </c>
      <c r="V336" s="16">
        <v>2</v>
      </c>
      <c r="W336" s="16" t="s">
        <v>480</v>
      </c>
      <c r="X336" s="16">
        <v>400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0.5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/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2" s="6" customFormat="1">
      <c r="B337" s="24" t="s">
        <v>1081</v>
      </c>
      <c r="C337" s="6" t="s">
        <v>71</v>
      </c>
      <c r="D337" s="16" t="s">
        <v>282</v>
      </c>
      <c r="E337" s="4" t="s">
        <v>1082</v>
      </c>
      <c r="F337" s="24"/>
      <c r="G337" s="16" t="s">
        <v>1047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1063</v>
      </c>
      <c r="P337" s="16">
        <v>0.55000000000000004</v>
      </c>
      <c r="Q337" s="16"/>
      <c r="R337" s="16"/>
      <c r="S337" s="16"/>
      <c r="T337" s="16"/>
      <c r="U337" s="16">
        <v>1</v>
      </c>
      <c r="V337" s="16">
        <v>2</v>
      </c>
      <c r="W337" s="16" t="s">
        <v>480</v>
      </c>
      <c r="X337" s="16">
        <v>400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0.5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100</v>
      </c>
      <c r="BJ337" s="16"/>
      <c r="BK337" s="16"/>
      <c r="BL337" s="16"/>
      <c r="BM337" s="16"/>
      <c r="BN337" s="16"/>
      <c r="BO337" s="16"/>
      <c r="BP337" s="16"/>
      <c r="BQ337" s="6">
        <v>0</v>
      </c>
    </row>
    <row r="338" spans="2:72" s="6" customFormat="1">
      <c r="B338" s="24" t="s">
        <v>1083</v>
      </c>
      <c r="C338" s="6" t="s">
        <v>71</v>
      </c>
      <c r="D338" s="16" t="s">
        <v>282</v>
      </c>
      <c r="E338" s="4" t="s">
        <v>1084</v>
      </c>
      <c r="F338" s="24"/>
      <c r="G338" s="16" t="s">
        <v>1047</v>
      </c>
      <c r="H338" s="16"/>
      <c r="I338" s="16" t="s">
        <v>285</v>
      </c>
      <c r="J338" s="16"/>
      <c r="K338" s="16"/>
      <c r="L338" s="16">
        <v>0</v>
      </c>
      <c r="M338" s="16">
        <v>0</v>
      </c>
      <c r="N338" s="16"/>
      <c r="O338" s="16" t="s">
        <v>1063</v>
      </c>
      <c r="P338" s="16">
        <v>0.6</v>
      </c>
      <c r="Q338" s="16"/>
      <c r="R338" s="16"/>
      <c r="S338" s="16"/>
      <c r="T338" s="16"/>
      <c r="U338" s="16">
        <v>1</v>
      </c>
      <c r="V338" s="16">
        <v>2</v>
      </c>
      <c r="W338" s="16" t="s">
        <v>480</v>
      </c>
      <c r="X338" s="16">
        <v>400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0.5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100</v>
      </c>
      <c r="BJ338" s="16"/>
      <c r="BK338" s="16"/>
      <c r="BL338" s="16"/>
      <c r="BM338" s="16"/>
      <c r="BN338" s="16"/>
      <c r="BO338" s="16"/>
      <c r="BP338" s="16"/>
      <c r="BQ338" s="6">
        <v>0</v>
      </c>
    </row>
    <row r="339" spans="2:72" s="6" customFormat="1">
      <c r="B339" s="24" t="s">
        <v>1085</v>
      </c>
      <c r="C339" s="6" t="s">
        <v>71</v>
      </c>
      <c r="D339" s="16" t="s">
        <v>282</v>
      </c>
      <c r="E339" s="4" t="s">
        <v>1086</v>
      </c>
      <c r="F339" s="24"/>
      <c r="G339" s="16" t="s">
        <v>1047</v>
      </c>
      <c r="H339" s="16"/>
      <c r="I339" s="16" t="s">
        <v>285</v>
      </c>
      <c r="J339" s="16" t="s">
        <v>905</v>
      </c>
      <c r="K339" s="16"/>
      <c r="L339" s="16">
        <v>0</v>
      </c>
      <c r="M339" s="16">
        <v>0</v>
      </c>
      <c r="N339" s="16"/>
      <c r="O339" s="16" t="s">
        <v>1087</v>
      </c>
      <c r="P339" s="16">
        <v>1.3</v>
      </c>
      <c r="Q339" s="16"/>
      <c r="R339" s="16"/>
      <c r="S339" s="16"/>
      <c r="T339" s="16"/>
      <c r="U339" s="16">
        <v>2</v>
      </c>
      <c r="V339" s="16">
        <v>2</v>
      </c>
      <c r="W339" s="16" t="s">
        <v>150</v>
      </c>
      <c r="X339" s="16">
        <v>450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0.2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>
        <v>20</v>
      </c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</row>
    <row r="340" spans="2:72" s="6" customFormat="1">
      <c r="B340" s="24" t="s">
        <v>1088</v>
      </c>
      <c r="C340" s="6" t="s">
        <v>71</v>
      </c>
      <c r="D340" s="16" t="s">
        <v>282</v>
      </c>
      <c r="E340" s="4" t="s">
        <v>1089</v>
      </c>
      <c r="F340" s="24"/>
      <c r="G340" s="16" t="s">
        <v>1047</v>
      </c>
      <c r="H340" s="16"/>
      <c r="I340" s="16" t="s">
        <v>285</v>
      </c>
      <c r="J340" s="16"/>
      <c r="K340" s="16"/>
      <c r="L340" s="16">
        <v>0</v>
      </c>
      <c r="M340" s="16">
        <v>0</v>
      </c>
      <c r="N340" s="16"/>
      <c r="O340" s="16" t="s">
        <v>1063</v>
      </c>
      <c r="P340" s="16">
        <v>0.4</v>
      </c>
      <c r="Q340" s="16"/>
      <c r="R340" s="16"/>
      <c r="S340" s="16"/>
      <c r="T340" s="16"/>
      <c r="U340" s="16">
        <v>1</v>
      </c>
      <c r="V340" s="16">
        <v>2</v>
      </c>
      <c r="W340" s="16" t="s">
        <v>480</v>
      </c>
      <c r="X340" s="16">
        <v>400</v>
      </c>
      <c r="Y340" s="16">
        <v>0</v>
      </c>
      <c r="Z340" s="16" t="s">
        <v>151</v>
      </c>
      <c r="AA340" s="16">
        <v>600</v>
      </c>
      <c r="AB340" s="16"/>
      <c r="AC340" s="16"/>
      <c r="AD340" s="16">
        <v>0</v>
      </c>
      <c r="AE340" s="16" t="s">
        <v>151</v>
      </c>
      <c r="AF340" s="16"/>
      <c r="AG340" s="16"/>
      <c r="AH340" s="57" t="s">
        <v>152</v>
      </c>
      <c r="AI340" s="4" t="s">
        <v>153</v>
      </c>
      <c r="AJ340" s="16">
        <v>0.5</v>
      </c>
      <c r="AK340" s="16">
        <v>0.5</v>
      </c>
      <c r="AL340" s="16"/>
      <c r="AM340" s="16">
        <v>1</v>
      </c>
      <c r="AN340" s="16"/>
      <c r="AO340" s="16"/>
      <c r="AP340" s="16">
        <v>250</v>
      </c>
      <c r="AQ340" s="16">
        <v>0.5</v>
      </c>
      <c r="AR340" s="16"/>
      <c r="AS340" s="16"/>
      <c r="AT340" s="16"/>
      <c r="AU340" s="16">
        <v>1</v>
      </c>
      <c r="AV340" s="16"/>
      <c r="AW340" s="16">
        <v>0</v>
      </c>
      <c r="AX340" s="16">
        <v>0</v>
      </c>
      <c r="AY340" s="16">
        <v>0</v>
      </c>
      <c r="AZ340" s="16">
        <v>0</v>
      </c>
      <c r="BA340" s="16">
        <v>0</v>
      </c>
      <c r="BB340" s="16">
        <v>0</v>
      </c>
      <c r="BC340" s="16">
        <v>100</v>
      </c>
      <c r="BD340" s="10">
        <v>100</v>
      </c>
      <c r="BE340" s="16"/>
      <c r="BF340" s="10" t="s">
        <v>154</v>
      </c>
      <c r="BG340" s="10">
        <v>0</v>
      </c>
      <c r="BH340" s="16">
        <v>0</v>
      </c>
      <c r="BI340" s="16">
        <v>100</v>
      </c>
      <c r="BJ340" s="16"/>
      <c r="BK340" s="16"/>
      <c r="BL340" s="16"/>
      <c r="BM340" s="16"/>
      <c r="BN340" s="16"/>
      <c r="BO340" s="16"/>
      <c r="BP340" s="16"/>
      <c r="BQ340" s="6">
        <v>0</v>
      </c>
    </row>
    <row r="341" spans="2:72" s="6" customFormat="1">
      <c r="B341" s="24" t="s">
        <v>1090</v>
      </c>
      <c r="C341" s="6" t="s">
        <v>71</v>
      </c>
      <c r="D341" s="16" t="s">
        <v>282</v>
      </c>
      <c r="E341" s="4" t="s">
        <v>1091</v>
      </c>
      <c r="F341" s="24"/>
      <c r="G341" s="16" t="s">
        <v>1047</v>
      </c>
      <c r="H341" s="16"/>
      <c r="I341" s="16" t="s">
        <v>285</v>
      </c>
      <c r="J341" s="16"/>
      <c r="K341" s="16"/>
      <c r="L341" s="16">
        <v>0</v>
      </c>
      <c r="M341" s="16">
        <v>0</v>
      </c>
      <c r="N341" s="16"/>
      <c r="O341" s="16" t="s">
        <v>1063</v>
      </c>
      <c r="P341" s="16">
        <v>0.45</v>
      </c>
      <c r="Q341" s="16"/>
      <c r="R341" s="16"/>
      <c r="S341" s="16"/>
      <c r="T341" s="16"/>
      <c r="U341" s="16">
        <v>1</v>
      </c>
      <c r="V341" s="16">
        <v>2</v>
      </c>
      <c r="W341" s="16" t="s">
        <v>480</v>
      </c>
      <c r="X341" s="16">
        <v>400</v>
      </c>
      <c r="Y341" s="16">
        <v>0</v>
      </c>
      <c r="Z341" s="16" t="s">
        <v>151</v>
      </c>
      <c r="AA341" s="16">
        <v>600</v>
      </c>
      <c r="AB341" s="16"/>
      <c r="AC341" s="16"/>
      <c r="AD341" s="16">
        <v>0</v>
      </c>
      <c r="AE341" s="16" t="s">
        <v>151</v>
      </c>
      <c r="AF341" s="16"/>
      <c r="AG341" s="16"/>
      <c r="AH341" s="57" t="s">
        <v>152</v>
      </c>
      <c r="AI341" s="4" t="s">
        <v>153</v>
      </c>
      <c r="AJ341" s="16">
        <v>0.5</v>
      </c>
      <c r="AK341" s="16">
        <v>0.5</v>
      </c>
      <c r="AL341" s="16"/>
      <c r="AM341" s="16">
        <v>1</v>
      </c>
      <c r="AN341" s="16"/>
      <c r="AO341" s="16"/>
      <c r="AP341" s="16">
        <v>250</v>
      </c>
      <c r="AQ341" s="16">
        <v>0.5</v>
      </c>
      <c r="AR341" s="16"/>
      <c r="AS341" s="16"/>
      <c r="AT341" s="16"/>
      <c r="AU341" s="16">
        <v>1</v>
      </c>
      <c r="AV341" s="16"/>
      <c r="AW341" s="16">
        <v>0</v>
      </c>
      <c r="AX341" s="16">
        <v>0</v>
      </c>
      <c r="AY341" s="16">
        <v>0</v>
      </c>
      <c r="AZ341" s="16">
        <v>0</v>
      </c>
      <c r="BA341" s="16">
        <v>0</v>
      </c>
      <c r="BB341" s="16">
        <v>0</v>
      </c>
      <c r="BC341" s="16">
        <v>100</v>
      </c>
      <c r="BD341" s="10">
        <v>100</v>
      </c>
      <c r="BE341" s="16"/>
      <c r="BF341" s="10" t="s">
        <v>154</v>
      </c>
      <c r="BG341" s="10">
        <v>0</v>
      </c>
      <c r="BH341" s="16">
        <v>0</v>
      </c>
      <c r="BI341" s="16">
        <v>100</v>
      </c>
      <c r="BJ341" s="16"/>
      <c r="BK341" s="16"/>
      <c r="BL341" s="16"/>
      <c r="BM341" s="16"/>
      <c r="BN341" s="16"/>
      <c r="BO341" s="16"/>
      <c r="BP341" s="16"/>
      <c r="BQ341" s="6">
        <v>0</v>
      </c>
    </row>
    <row r="342" spans="2:72" s="6" customFormat="1">
      <c r="B342" s="24" t="s">
        <v>1092</v>
      </c>
      <c r="C342" s="6" t="s">
        <v>71</v>
      </c>
      <c r="D342" s="16" t="s">
        <v>282</v>
      </c>
      <c r="E342" s="4" t="s">
        <v>1093</v>
      </c>
      <c r="F342" s="24"/>
      <c r="G342" s="16" t="s">
        <v>1047</v>
      </c>
      <c r="H342" s="16"/>
      <c r="I342" s="16" t="s">
        <v>285</v>
      </c>
      <c r="J342" s="16"/>
      <c r="K342" s="16"/>
      <c r="L342" s="16">
        <v>0</v>
      </c>
      <c r="M342" s="16">
        <v>0</v>
      </c>
      <c r="N342" s="16"/>
      <c r="O342" s="16" t="s">
        <v>1063</v>
      </c>
      <c r="P342" s="16">
        <v>0.5</v>
      </c>
      <c r="Q342" s="16"/>
      <c r="R342" s="16"/>
      <c r="S342" s="16"/>
      <c r="T342" s="16"/>
      <c r="U342" s="16">
        <v>1</v>
      </c>
      <c r="V342" s="16">
        <v>2</v>
      </c>
      <c r="W342" s="16" t="s">
        <v>480</v>
      </c>
      <c r="X342" s="16">
        <v>400</v>
      </c>
      <c r="Y342" s="16">
        <v>0</v>
      </c>
      <c r="Z342" s="16" t="s">
        <v>151</v>
      </c>
      <c r="AA342" s="16">
        <v>600</v>
      </c>
      <c r="AB342" s="16"/>
      <c r="AC342" s="16"/>
      <c r="AD342" s="16">
        <v>0</v>
      </c>
      <c r="AE342" s="16" t="s">
        <v>151</v>
      </c>
      <c r="AF342" s="16"/>
      <c r="AG342" s="16"/>
      <c r="AH342" s="57" t="s">
        <v>152</v>
      </c>
      <c r="AI342" s="4" t="s">
        <v>153</v>
      </c>
      <c r="AJ342" s="16">
        <v>0.5</v>
      </c>
      <c r="AK342" s="16">
        <v>0.5</v>
      </c>
      <c r="AL342" s="16"/>
      <c r="AM342" s="16">
        <v>1</v>
      </c>
      <c r="AN342" s="16"/>
      <c r="AO342" s="16"/>
      <c r="AP342" s="16">
        <v>250</v>
      </c>
      <c r="AQ342" s="16">
        <v>0.5</v>
      </c>
      <c r="AR342" s="16"/>
      <c r="AS342" s="16"/>
      <c r="AT342" s="16"/>
      <c r="AU342" s="16">
        <v>1</v>
      </c>
      <c r="AV342" s="16"/>
      <c r="AW342" s="16">
        <v>0</v>
      </c>
      <c r="AX342" s="16">
        <v>0</v>
      </c>
      <c r="AY342" s="16">
        <v>0</v>
      </c>
      <c r="AZ342" s="16">
        <v>0</v>
      </c>
      <c r="BA342" s="16">
        <v>0</v>
      </c>
      <c r="BB342" s="16">
        <v>0</v>
      </c>
      <c r="BC342" s="16">
        <v>100</v>
      </c>
      <c r="BD342" s="10">
        <v>100</v>
      </c>
      <c r="BE342" s="16"/>
      <c r="BF342" s="10" t="s">
        <v>154</v>
      </c>
      <c r="BG342" s="10">
        <v>0</v>
      </c>
      <c r="BH342" s="16">
        <v>0</v>
      </c>
      <c r="BI342" s="16">
        <v>100</v>
      </c>
      <c r="BJ342" s="16"/>
      <c r="BK342" s="16"/>
      <c r="BL342" s="16"/>
      <c r="BM342" s="16"/>
      <c r="BN342" s="16"/>
      <c r="BO342" s="16"/>
      <c r="BP342" s="16"/>
      <c r="BQ342" s="6">
        <v>0</v>
      </c>
    </row>
    <row r="343" spans="2:72" s="6" customFormat="1">
      <c r="B343" s="24" t="s">
        <v>1094</v>
      </c>
      <c r="C343" s="6" t="s">
        <v>71</v>
      </c>
      <c r="D343" s="16" t="s">
        <v>282</v>
      </c>
      <c r="E343" s="4" t="s">
        <v>1095</v>
      </c>
      <c r="F343" s="24"/>
      <c r="G343" s="16" t="s">
        <v>1047</v>
      </c>
      <c r="H343" s="16"/>
      <c r="I343" s="16" t="s">
        <v>285</v>
      </c>
      <c r="J343" s="16"/>
      <c r="K343" s="16"/>
      <c r="L343" s="16">
        <v>0</v>
      </c>
      <c r="M343" s="16">
        <v>0</v>
      </c>
      <c r="N343" s="16"/>
      <c r="O343" s="16" t="s">
        <v>1063</v>
      </c>
      <c r="P343" s="16">
        <v>0.55000000000000004</v>
      </c>
      <c r="Q343" s="16"/>
      <c r="R343" s="16"/>
      <c r="S343" s="16"/>
      <c r="T343" s="16"/>
      <c r="U343" s="16">
        <v>1</v>
      </c>
      <c r="V343" s="16">
        <v>2</v>
      </c>
      <c r="W343" s="16" t="s">
        <v>480</v>
      </c>
      <c r="X343" s="16">
        <v>400</v>
      </c>
      <c r="Y343" s="16">
        <v>0</v>
      </c>
      <c r="Z343" s="16" t="s">
        <v>151</v>
      </c>
      <c r="AA343" s="16">
        <v>600</v>
      </c>
      <c r="AB343" s="16"/>
      <c r="AC343" s="16"/>
      <c r="AD343" s="16">
        <v>0</v>
      </c>
      <c r="AE343" s="16" t="s">
        <v>151</v>
      </c>
      <c r="AF343" s="16"/>
      <c r="AG343" s="16"/>
      <c r="AH343" s="57" t="s">
        <v>152</v>
      </c>
      <c r="AI343" s="4" t="s">
        <v>153</v>
      </c>
      <c r="AJ343" s="16">
        <v>0.5</v>
      </c>
      <c r="AK343" s="16">
        <v>0.5</v>
      </c>
      <c r="AL343" s="16"/>
      <c r="AM343" s="16">
        <v>1</v>
      </c>
      <c r="AN343" s="16"/>
      <c r="AO343" s="16"/>
      <c r="AP343" s="16">
        <v>250</v>
      </c>
      <c r="AQ343" s="16">
        <v>0.5</v>
      </c>
      <c r="AR343" s="16"/>
      <c r="AS343" s="16"/>
      <c r="AT343" s="16"/>
      <c r="AU343" s="16">
        <v>1</v>
      </c>
      <c r="AV343" s="16"/>
      <c r="AW343" s="16">
        <v>0</v>
      </c>
      <c r="AX343" s="16">
        <v>0</v>
      </c>
      <c r="AY343" s="16">
        <v>0</v>
      </c>
      <c r="AZ343" s="16">
        <v>0</v>
      </c>
      <c r="BA343" s="16">
        <v>0</v>
      </c>
      <c r="BB343" s="16">
        <v>0</v>
      </c>
      <c r="BC343" s="16">
        <v>100</v>
      </c>
      <c r="BD343" s="10">
        <v>100</v>
      </c>
      <c r="BE343" s="16"/>
      <c r="BF343" s="10" t="s">
        <v>154</v>
      </c>
      <c r="BG343" s="10">
        <v>0</v>
      </c>
      <c r="BH343" s="16">
        <v>0</v>
      </c>
      <c r="BI343" s="16">
        <v>100</v>
      </c>
      <c r="BJ343" s="16"/>
      <c r="BK343" s="16"/>
      <c r="BL343" s="16"/>
      <c r="BM343" s="16"/>
      <c r="BN343" s="16"/>
      <c r="BO343" s="16"/>
      <c r="BP343" s="16"/>
      <c r="BQ343" s="6">
        <v>0</v>
      </c>
    </row>
    <row r="344" spans="2:72" s="6" customFormat="1">
      <c r="B344" s="24" t="s">
        <v>1096</v>
      </c>
      <c r="C344" s="6" t="s">
        <v>71</v>
      </c>
      <c r="D344" s="16" t="s">
        <v>282</v>
      </c>
      <c r="E344" s="4" t="s">
        <v>1097</v>
      </c>
      <c r="F344" s="24"/>
      <c r="G344" s="16" t="s">
        <v>1047</v>
      </c>
      <c r="H344" s="16"/>
      <c r="I344" s="16" t="s">
        <v>285</v>
      </c>
      <c r="J344" s="16"/>
      <c r="K344" s="16"/>
      <c r="L344" s="16">
        <v>0</v>
      </c>
      <c r="M344" s="16">
        <v>0</v>
      </c>
      <c r="N344" s="16"/>
      <c r="O344" s="16" t="s">
        <v>1063</v>
      </c>
      <c r="P344" s="16">
        <v>0.6</v>
      </c>
      <c r="Q344" s="16"/>
      <c r="R344" s="16"/>
      <c r="S344" s="16"/>
      <c r="T344" s="16"/>
      <c r="U344" s="16">
        <v>1</v>
      </c>
      <c r="V344" s="16">
        <v>2</v>
      </c>
      <c r="W344" s="16" t="s">
        <v>480</v>
      </c>
      <c r="X344" s="16">
        <v>400</v>
      </c>
      <c r="Y344" s="16">
        <v>0</v>
      </c>
      <c r="Z344" s="16" t="s">
        <v>151</v>
      </c>
      <c r="AA344" s="16">
        <v>600</v>
      </c>
      <c r="AB344" s="16"/>
      <c r="AC344" s="16"/>
      <c r="AD344" s="16">
        <v>0</v>
      </c>
      <c r="AE344" s="16" t="s">
        <v>151</v>
      </c>
      <c r="AF344" s="16"/>
      <c r="AG344" s="16"/>
      <c r="AH344" s="57" t="s">
        <v>152</v>
      </c>
      <c r="AI344" s="4" t="s">
        <v>153</v>
      </c>
      <c r="AJ344" s="16">
        <v>0.5</v>
      </c>
      <c r="AK344" s="16">
        <v>0.5</v>
      </c>
      <c r="AL344" s="16"/>
      <c r="AM344" s="16">
        <v>1</v>
      </c>
      <c r="AN344" s="16"/>
      <c r="AO344" s="16"/>
      <c r="AP344" s="16">
        <v>250</v>
      </c>
      <c r="AQ344" s="16">
        <v>0.5</v>
      </c>
      <c r="AR344" s="16"/>
      <c r="AS344" s="16"/>
      <c r="AT344" s="16"/>
      <c r="AU344" s="16">
        <v>1</v>
      </c>
      <c r="AV344" s="16"/>
      <c r="AW344" s="16">
        <v>0</v>
      </c>
      <c r="AX344" s="16">
        <v>0</v>
      </c>
      <c r="AY344" s="16">
        <v>0</v>
      </c>
      <c r="AZ344" s="16">
        <v>0</v>
      </c>
      <c r="BA344" s="16">
        <v>0</v>
      </c>
      <c r="BB344" s="16">
        <v>0</v>
      </c>
      <c r="BC344" s="16">
        <v>100</v>
      </c>
      <c r="BD344" s="10">
        <v>100</v>
      </c>
      <c r="BE344" s="16"/>
      <c r="BF344" s="10" t="s">
        <v>154</v>
      </c>
      <c r="BG344" s="10">
        <v>0</v>
      </c>
      <c r="BH344" s="16">
        <v>0</v>
      </c>
      <c r="BI344" s="16">
        <v>100</v>
      </c>
      <c r="BJ344" s="16"/>
      <c r="BK344" s="16"/>
      <c r="BL344" s="16"/>
      <c r="BM344" s="16"/>
      <c r="BN344" s="16"/>
      <c r="BO344" s="16"/>
      <c r="BP344" s="16"/>
      <c r="BQ344" s="6">
        <v>0</v>
      </c>
    </row>
    <row r="345" spans="2:72" s="6" customFormat="1">
      <c r="B345" s="24" t="s">
        <v>1098</v>
      </c>
      <c r="C345" s="6" t="s">
        <v>71</v>
      </c>
      <c r="D345" s="16" t="s">
        <v>282</v>
      </c>
      <c r="E345" s="4" t="s">
        <v>1099</v>
      </c>
      <c r="F345" s="24"/>
      <c r="G345" s="16" t="s">
        <v>1047</v>
      </c>
      <c r="H345" s="16"/>
      <c r="I345" s="16" t="s">
        <v>285</v>
      </c>
      <c r="J345" s="16" t="s">
        <v>905</v>
      </c>
      <c r="K345" s="16"/>
      <c r="L345" s="16">
        <v>0</v>
      </c>
      <c r="M345" s="16">
        <v>0</v>
      </c>
      <c r="N345" s="16"/>
      <c r="O345" s="16" t="s">
        <v>1100</v>
      </c>
      <c r="P345" s="16">
        <v>1.5</v>
      </c>
      <c r="Q345" s="16"/>
      <c r="R345" s="16"/>
      <c r="S345" s="16"/>
      <c r="T345" s="16"/>
      <c r="U345" s="16">
        <v>2</v>
      </c>
      <c r="V345" s="16">
        <v>2</v>
      </c>
      <c r="W345" s="16" t="s">
        <v>150</v>
      </c>
      <c r="X345" s="16">
        <v>450</v>
      </c>
      <c r="Y345" s="16">
        <v>0</v>
      </c>
      <c r="Z345" s="16" t="s">
        <v>151</v>
      </c>
      <c r="AA345" s="16">
        <v>600</v>
      </c>
      <c r="AB345" s="16"/>
      <c r="AC345" s="16"/>
      <c r="AD345" s="16">
        <v>0</v>
      </c>
      <c r="AE345" s="16" t="s">
        <v>151</v>
      </c>
      <c r="AF345" s="16"/>
      <c r="AG345" s="16"/>
      <c r="AH345" s="57" t="s">
        <v>152</v>
      </c>
      <c r="AI345" s="4" t="s">
        <v>153</v>
      </c>
      <c r="AJ345" s="16">
        <v>0.5</v>
      </c>
      <c r="AK345" s="16">
        <v>0.5</v>
      </c>
      <c r="AL345" s="16"/>
      <c r="AM345" s="16">
        <v>1</v>
      </c>
      <c r="AN345" s="16"/>
      <c r="AO345" s="16"/>
      <c r="AP345" s="16">
        <v>250</v>
      </c>
      <c r="AQ345" s="16">
        <v>0.2</v>
      </c>
      <c r="AR345" s="16"/>
      <c r="AS345" s="16"/>
      <c r="AT345" s="16"/>
      <c r="AU345" s="16">
        <v>1</v>
      </c>
      <c r="AV345" s="16"/>
      <c r="AW345" s="16">
        <v>0</v>
      </c>
      <c r="AX345" s="16">
        <v>0</v>
      </c>
      <c r="AY345" s="16">
        <v>0</v>
      </c>
      <c r="AZ345" s="16">
        <v>0</v>
      </c>
      <c r="BA345" s="16">
        <v>0</v>
      </c>
      <c r="BB345" s="16">
        <v>0</v>
      </c>
      <c r="BC345" s="16">
        <v>100</v>
      </c>
      <c r="BD345" s="10">
        <v>100</v>
      </c>
      <c r="BE345" s="16">
        <v>20</v>
      </c>
      <c r="BF345" s="10" t="s">
        <v>154</v>
      </c>
      <c r="BG345" s="10">
        <v>0</v>
      </c>
      <c r="BH345" s="16">
        <v>0</v>
      </c>
      <c r="BI345" s="16">
        <v>100</v>
      </c>
      <c r="BJ345" s="16"/>
      <c r="BK345" s="16"/>
      <c r="BL345" s="16"/>
      <c r="BM345" s="16"/>
      <c r="BN345" s="16"/>
      <c r="BO345" s="16"/>
      <c r="BP345" s="16"/>
      <c r="BQ345" s="6">
        <v>0</v>
      </c>
    </row>
    <row r="346" spans="2:72" s="6" customFormat="1">
      <c r="B346" s="24" t="s">
        <v>1101</v>
      </c>
      <c r="C346" s="6" t="s">
        <v>71</v>
      </c>
      <c r="D346" s="16" t="s">
        <v>282</v>
      </c>
      <c r="E346" s="4" t="s">
        <v>1102</v>
      </c>
      <c r="F346" s="24"/>
      <c r="G346" s="16" t="s">
        <v>1047</v>
      </c>
      <c r="H346" s="16"/>
      <c r="I346" s="16" t="s">
        <v>285</v>
      </c>
      <c r="J346" s="16"/>
      <c r="K346" s="16"/>
      <c r="L346" s="16">
        <v>0</v>
      </c>
      <c r="M346" s="16">
        <v>0</v>
      </c>
      <c r="N346" s="16"/>
      <c r="O346" s="16" t="s">
        <v>1063</v>
      </c>
      <c r="P346" s="16">
        <v>0.4</v>
      </c>
      <c r="Q346" s="16"/>
      <c r="R346" s="16"/>
      <c r="S346" s="16"/>
      <c r="T346" s="16"/>
      <c r="U346" s="16">
        <v>1</v>
      </c>
      <c r="V346" s="16">
        <v>2</v>
      </c>
      <c r="W346" s="16" t="s">
        <v>480</v>
      </c>
      <c r="X346" s="16">
        <v>400</v>
      </c>
      <c r="Y346" s="16">
        <v>0</v>
      </c>
      <c r="Z346" s="16" t="s">
        <v>151</v>
      </c>
      <c r="AA346" s="16">
        <v>600</v>
      </c>
      <c r="AB346" s="16"/>
      <c r="AC346" s="16"/>
      <c r="AD346" s="16">
        <v>0</v>
      </c>
      <c r="AE346" s="16" t="s">
        <v>151</v>
      </c>
      <c r="AF346" s="16"/>
      <c r="AG346" s="16"/>
      <c r="AH346" s="57" t="s">
        <v>152</v>
      </c>
      <c r="AI346" s="4" t="s">
        <v>153</v>
      </c>
      <c r="AJ346" s="16">
        <v>0.5</v>
      </c>
      <c r="AK346" s="16">
        <v>0.5</v>
      </c>
      <c r="AL346" s="16"/>
      <c r="AM346" s="16">
        <v>1</v>
      </c>
      <c r="AN346" s="16"/>
      <c r="AO346" s="16"/>
      <c r="AP346" s="16">
        <v>250</v>
      </c>
      <c r="AQ346" s="16">
        <v>0.5</v>
      </c>
      <c r="AR346" s="16"/>
      <c r="AS346" s="16"/>
      <c r="AT346" s="16"/>
      <c r="AU346" s="16">
        <v>1</v>
      </c>
      <c r="AV346" s="16"/>
      <c r="AW346" s="16">
        <v>0</v>
      </c>
      <c r="AX346" s="16">
        <v>0</v>
      </c>
      <c r="AY346" s="16">
        <v>0</v>
      </c>
      <c r="AZ346" s="16">
        <v>0</v>
      </c>
      <c r="BA346" s="16">
        <v>0</v>
      </c>
      <c r="BB346" s="16">
        <v>0</v>
      </c>
      <c r="BC346" s="16">
        <v>100</v>
      </c>
      <c r="BD346" s="10">
        <v>100</v>
      </c>
      <c r="BE346" s="16"/>
      <c r="BF346" s="10" t="s">
        <v>154</v>
      </c>
      <c r="BG346" s="10">
        <v>0</v>
      </c>
      <c r="BH346" s="16">
        <v>0</v>
      </c>
      <c r="BI346" s="16">
        <v>100</v>
      </c>
      <c r="BJ346" s="16"/>
      <c r="BK346" s="16"/>
      <c r="BL346" s="16"/>
      <c r="BM346" s="16"/>
      <c r="BN346" s="16"/>
      <c r="BO346" s="16"/>
      <c r="BP346" s="16"/>
      <c r="BQ346" s="6">
        <v>0</v>
      </c>
    </row>
    <row r="347" spans="2:72" s="6" customFormat="1">
      <c r="B347" s="24" t="s">
        <v>1103</v>
      </c>
      <c r="C347" s="6" t="s">
        <v>71</v>
      </c>
      <c r="D347" s="16" t="s">
        <v>282</v>
      </c>
      <c r="E347" s="4" t="s">
        <v>1104</v>
      </c>
      <c r="F347" s="24"/>
      <c r="G347" s="16" t="s">
        <v>1047</v>
      </c>
      <c r="H347" s="16"/>
      <c r="I347" s="16" t="s">
        <v>285</v>
      </c>
      <c r="J347" s="16"/>
      <c r="K347" s="16"/>
      <c r="L347" s="16">
        <v>0</v>
      </c>
      <c r="M347" s="16">
        <v>0</v>
      </c>
      <c r="N347" s="16"/>
      <c r="O347" s="16" t="s">
        <v>1063</v>
      </c>
      <c r="P347" s="16">
        <v>0.45</v>
      </c>
      <c r="Q347" s="16"/>
      <c r="R347" s="16"/>
      <c r="S347" s="16"/>
      <c r="T347" s="16"/>
      <c r="U347" s="16">
        <v>1</v>
      </c>
      <c r="V347" s="16">
        <v>2</v>
      </c>
      <c r="W347" s="16" t="s">
        <v>480</v>
      </c>
      <c r="X347" s="16">
        <v>400</v>
      </c>
      <c r="Y347" s="16">
        <v>0</v>
      </c>
      <c r="Z347" s="16" t="s">
        <v>151</v>
      </c>
      <c r="AA347" s="16">
        <v>600</v>
      </c>
      <c r="AB347" s="16"/>
      <c r="AC347" s="16"/>
      <c r="AD347" s="16">
        <v>0</v>
      </c>
      <c r="AE347" s="16" t="s">
        <v>151</v>
      </c>
      <c r="AF347" s="16"/>
      <c r="AG347" s="16"/>
      <c r="AH347" s="57" t="s">
        <v>152</v>
      </c>
      <c r="AI347" s="4" t="s">
        <v>153</v>
      </c>
      <c r="AJ347" s="16">
        <v>0.5</v>
      </c>
      <c r="AK347" s="16">
        <v>0.5</v>
      </c>
      <c r="AL347" s="16"/>
      <c r="AM347" s="16">
        <v>1</v>
      </c>
      <c r="AN347" s="16"/>
      <c r="AO347" s="16"/>
      <c r="AP347" s="16">
        <v>250</v>
      </c>
      <c r="AQ347" s="16">
        <v>0.5</v>
      </c>
      <c r="AR347" s="16"/>
      <c r="AS347" s="16"/>
      <c r="AT347" s="16"/>
      <c r="AU347" s="16">
        <v>1</v>
      </c>
      <c r="AV347" s="16"/>
      <c r="AW347" s="16">
        <v>0</v>
      </c>
      <c r="AX347" s="16">
        <v>0</v>
      </c>
      <c r="AY347" s="16">
        <v>0</v>
      </c>
      <c r="AZ347" s="16">
        <v>0</v>
      </c>
      <c r="BA347" s="16">
        <v>0</v>
      </c>
      <c r="BB347" s="16">
        <v>0</v>
      </c>
      <c r="BC347" s="16">
        <v>100</v>
      </c>
      <c r="BD347" s="10">
        <v>100</v>
      </c>
      <c r="BE347" s="16"/>
      <c r="BF347" s="10" t="s">
        <v>154</v>
      </c>
      <c r="BG347" s="10">
        <v>0</v>
      </c>
      <c r="BH347" s="16">
        <v>0</v>
      </c>
      <c r="BI347" s="16">
        <v>100</v>
      </c>
      <c r="BJ347" s="16"/>
      <c r="BK347" s="16"/>
      <c r="BL347" s="16"/>
      <c r="BM347" s="16"/>
      <c r="BN347" s="16"/>
      <c r="BO347" s="16"/>
      <c r="BP347" s="16"/>
      <c r="BQ347" s="6">
        <v>0</v>
      </c>
    </row>
    <row r="348" spans="2:72" s="6" customFormat="1">
      <c r="B348" s="24" t="s">
        <v>1105</v>
      </c>
      <c r="C348" s="6" t="s">
        <v>71</v>
      </c>
      <c r="D348" s="16" t="s">
        <v>282</v>
      </c>
      <c r="E348" s="4" t="s">
        <v>1106</v>
      </c>
      <c r="F348" s="24"/>
      <c r="G348" s="16" t="s">
        <v>1047</v>
      </c>
      <c r="H348" s="16"/>
      <c r="I348" s="16" t="s">
        <v>285</v>
      </c>
      <c r="J348" s="16"/>
      <c r="K348" s="16"/>
      <c r="L348" s="16">
        <v>0</v>
      </c>
      <c r="M348" s="16">
        <v>0</v>
      </c>
      <c r="N348" s="16"/>
      <c r="O348" s="16" t="s">
        <v>1063</v>
      </c>
      <c r="P348" s="16">
        <v>0.5</v>
      </c>
      <c r="Q348" s="16"/>
      <c r="R348" s="16"/>
      <c r="S348" s="16"/>
      <c r="T348" s="16"/>
      <c r="U348" s="16">
        <v>1</v>
      </c>
      <c r="V348" s="16">
        <v>2</v>
      </c>
      <c r="W348" s="16" t="s">
        <v>480</v>
      </c>
      <c r="X348" s="16">
        <v>400</v>
      </c>
      <c r="Y348" s="16">
        <v>0</v>
      </c>
      <c r="Z348" s="16" t="s">
        <v>151</v>
      </c>
      <c r="AA348" s="16">
        <v>600</v>
      </c>
      <c r="AB348" s="16"/>
      <c r="AC348" s="16"/>
      <c r="AD348" s="16">
        <v>0</v>
      </c>
      <c r="AE348" s="16" t="s">
        <v>151</v>
      </c>
      <c r="AF348" s="16"/>
      <c r="AG348" s="16"/>
      <c r="AH348" s="57" t="s">
        <v>152</v>
      </c>
      <c r="AI348" s="4" t="s">
        <v>153</v>
      </c>
      <c r="AJ348" s="16">
        <v>0.5</v>
      </c>
      <c r="AK348" s="16">
        <v>0.5</v>
      </c>
      <c r="AL348" s="16"/>
      <c r="AM348" s="16">
        <v>1</v>
      </c>
      <c r="AN348" s="16"/>
      <c r="AO348" s="16"/>
      <c r="AP348" s="16">
        <v>250</v>
      </c>
      <c r="AQ348" s="16">
        <v>0.5</v>
      </c>
      <c r="AR348" s="16"/>
      <c r="AS348" s="16"/>
      <c r="AT348" s="16"/>
      <c r="AU348" s="16">
        <v>1</v>
      </c>
      <c r="AV348" s="16"/>
      <c r="AW348" s="16">
        <v>0</v>
      </c>
      <c r="AX348" s="16">
        <v>0</v>
      </c>
      <c r="AY348" s="16">
        <v>0</v>
      </c>
      <c r="AZ348" s="16">
        <v>0</v>
      </c>
      <c r="BA348" s="16">
        <v>0</v>
      </c>
      <c r="BB348" s="16">
        <v>0</v>
      </c>
      <c r="BC348" s="16">
        <v>100</v>
      </c>
      <c r="BD348" s="10">
        <v>100</v>
      </c>
      <c r="BE348" s="16"/>
      <c r="BF348" s="10" t="s">
        <v>154</v>
      </c>
      <c r="BG348" s="10">
        <v>0</v>
      </c>
      <c r="BH348" s="16">
        <v>0</v>
      </c>
      <c r="BI348" s="16">
        <v>100</v>
      </c>
      <c r="BJ348" s="16"/>
      <c r="BK348" s="16"/>
      <c r="BL348" s="16"/>
      <c r="BM348" s="16"/>
      <c r="BN348" s="16"/>
      <c r="BO348" s="16"/>
      <c r="BP348" s="16"/>
      <c r="BQ348" s="6">
        <v>0</v>
      </c>
    </row>
    <row r="349" spans="2:72" s="6" customFormat="1">
      <c r="B349" s="24" t="s">
        <v>1107</v>
      </c>
      <c r="C349" s="6" t="s">
        <v>71</v>
      </c>
      <c r="D349" s="16" t="s">
        <v>282</v>
      </c>
      <c r="E349" s="4" t="s">
        <v>1108</v>
      </c>
      <c r="F349" s="24"/>
      <c r="G349" s="16" t="s">
        <v>1047</v>
      </c>
      <c r="H349" s="16"/>
      <c r="I349" s="16" t="s">
        <v>285</v>
      </c>
      <c r="J349" s="16"/>
      <c r="K349" s="16"/>
      <c r="L349" s="16">
        <v>0</v>
      </c>
      <c r="M349" s="16">
        <v>0</v>
      </c>
      <c r="N349" s="16"/>
      <c r="O349" s="16" t="s">
        <v>1063</v>
      </c>
      <c r="P349" s="16">
        <v>0.55000000000000004</v>
      </c>
      <c r="Q349" s="16"/>
      <c r="R349" s="16"/>
      <c r="S349" s="16"/>
      <c r="T349" s="16"/>
      <c r="U349" s="16">
        <v>1</v>
      </c>
      <c r="V349" s="16">
        <v>2</v>
      </c>
      <c r="W349" s="16" t="s">
        <v>480</v>
      </c>
      <c r="X349" s="16">
        <v>400</v>
      </c>
      <c r="Y349" s="16">
        <v>0</v>
      </c>
      <c r="Z349" s="16" t="s">
        <v>151</v>
      </c>
      <c r="AA349" s="16">
        <v>600</v>
      </c>
      <c r="AB349" s="16"/>
      <c r="AC349" s="16"/>
      <c r="AD349" s="16">
        <v>0</v>
      </c>
      <c r="AE349" s="16" t="s">
        <v>151</v>
      </c>
      <c r="AF349" s="16"/>
      <c r="AG349" s="16"/>
      <c r="AH349" s="57" t="s">
        <v>152</v>
      </c>
      <c r="AI349" s="4" t="s">
        <v>153</v>
      </c>
      <c r="AJ349" s="16">
        <v>0.5</v>
      </c>
      <c r="AK349" s="16">
        <v>0.5</v>
      </c>
      <c r="AL349" s="16"/>
      <c r="AM349" s="16">
        <v>1</v>
      </c>
      <c r="AN349" s="16"/>
      <c r="AO349" s="16"/>
      <c r="AP349" s="16">
        <v>250</v>
      </c>
      <c r="AQ349" s="16">
        <v>0.5</v>
      </c>
      <c r="AR349" s="16"/>
      <c r="AS349" s="16"/>
      <c r="AT349" s="16"/>
      <c r="AU349" s="16">
        <v>1</v>
      </c>
      <c r="AV349" s="16"/>
      <c r="AW349" s="16">
        <v>0</v>
      </c>
      <c r="AX349" s="16">
        <v>0</v>
      </c>
      <c r="AY349" s="16">
        <v>0</v>
      </c>
      <c r="AZ349" s="16">
        <v>0</v>
      </c>
      <c r="BA349" s="16">
        <v>0</v>
      </c>
      <c r="BB349" s="16">
        <v>0</v>
      </c>
      <c r="BC349" s="16">
        <v>100</v>
      </c>
      <c r="BD349" s="10">
        <v>100</v>
      </c>
      <c r="BE349" s="16"/>
      <c r="BF349" s="10" t="s">
        <v>154</v>
      </c>
      <c r="BG349" s="10">
        <v>0</v>
      </c>
      <c r="BH349" s="16">
        <v>0</v>
      </c>
      <c r="BI349" s="16">
        <v>100</v>
      </c>
      <c r="BJ349" s="16"/>
      <c r="BK349" s="16"/>
      <c r="BL349" s="16"/>
      <c r="BM349" s="16"/>
      <c r="BN349" s="16"/>
      <c r="BO349" s="16"/>
      <c r="BP349" s="16"/>
      <c r="BQ349" s="6">
        <v>0</v>
      </c>
    </row>
    <row r="350" spans="2:72" s="6" customFormat="1">
      <c r="B350" s="24" t="s">
        <v>1109</v>
      </c>
      <c r="C350" s="6" t="s">
        <v>71</v>
      </c>
      <c r="D350" s="16" t="s">
        <v>282</v>
      </c>
      <c r="E350" s="4" t="s">
        <v>1110</v>
      </c>
      <c r="F350" s="24"/>
      <c r="G350" s="16" t="s">
        <v>1047</v>
      </c>
      <c r="H350" s="16"/>
      <c r="I350" s="16" t="s">
        <v>285</v>
      </c>
      <c r="J350" s="16"/>
      <c r="K350" s="16"/>
      <c r="L350" s="16">
        <v>0</v>
      </c>
      <c r="M350" s="16">
        <v>0</v>
      </c>
      <c r="N350" s="16"/>
      <c r="O350" s="16" t="s">
        <v>1063</v>
      </c>
      <c r="P350" s="16">
        <v>0.6</v>
      </c>
      <c r="Q350" s="16"/>
      <c r="R350" s="16"/>
      <c r="S350" s="16"/>
      <c r="T350" s="16"/>
      <c r="U350" s="16">
        <v>1</v>
      </c>
      <c r="V350" s="16">
        <v>2</v>
      </c>
      <c r="W350" s="16" t="s">
        <v>480</v>
      </c>
      <c r="X350" s="16">
        <v>400</v>
      </c>
      <c r="Y350" s="16">
        <v>0</v>
      </c>
      <c r="Z350" s="16" t="s">
        <v>151</v>
      </c>
      <c r="AA350" s="16">
        <v>600</v>
      </c>
      <c r="AB350" s="16"/>
      <c r="AC350" s="16"/>
      <c r="AD350" s="16">
        <v>0</v>
      </c>
      <c r="AE350" s="16" t="s">
        <v>151</v>
      </c>
      <c r="AF350" s="16"/>
      <c r="AG350" s="16"/>
      <c r="AH350" s="57" t="s">
        <v>152</v>
      </c>
      <c r="AI350" s="4" t="s">
        <v>153</v>
      </c>
      <c r="AJ350" s="16">
        <v>0.5</v>
      </c>
      <c r="AK350" s="16">
        <v>0.5</v>
      </c>
      <c r="AL350" s="16"/>
      <c r="AM350" s="16">
        <v>1</v>
      </c>
      <c r="AN350" s="16"/>
      <c r="AO350" s="16"/>
      <c r="AP350" s="16">
        <v>250</v>
      </c>
      <c r="AQ350" s="16">
        <v>0.5</v>
      </c>
      <c r="AR350" s="16"/>
      <c r="AS350" s="16"/>
      <c r="AT350" s="16"/>
      <c r="AU350" s="16">
        <v>1</v>
      </c>
      <c r="AV350" s="16"/>
      <c r="AW350" s="16">
        <v>0</v>
      </c>
      <c r="AX350" s="16">
        <v>0</v>
      </c>
      <c r="AY350" s="16">
        <v>0</v>
      </c>
      <c r="AZ350" s="16">
        <v>0</v>
      </c>
      <c r="BA350" s="16">
        <v>0</v>
      </c>
      <c r="BB350" s="16">
        <v>0</v>
      </c>
      <c r="BC350" s="16">
        <v>100</v>
      </c>
      <c r="BD350" s="10">
        <v>100</v>
      </c>
      <c r="BE350" s="16"/>
      <c r="BF350" s="10" t="s">
        <v>154</v>
      </c>
      <c r="BG350" s="10">
        <v>0</v>
      </c>
      <c r="BH350" s="16">
        <v>0</v>
      </c>
      <c r="BI350" s="16">
        <v>100</v>
      </c>
      <c r="BJ350" s="16"/>
      <c r="BK350" s="16"/>
      <c r="BL350" s="16"/>
      <c r="BM350" s="16"/>
      <c r="BN350" s="16"/>
      <c r="BO350" s="16"/>
      <c r="BP350" s="16"/>
      <c r="BQ350" s="6">
        <v>0</v>
      </c>
    </row>
    <row r="351" spans="2:72" s="6" customFormat="1">
      <c r="B351" s="24" t="s">
        <v>1111</v>
      </c>
      <c r="C351" s="6" t="s">
        <v>71</v>
      </c>
      <c r="D351" s="16" t="s">
        <v>282</v>
      </c>
      <c r="E351" s="4" t="s">
        <v>1112</v>
      </c>
      <c r="F351" s="24"/>
      <c r="G351" s="16" t="s">
        <v>1047</v>
      </c>
      <c r="H351" s="16"/>
      <c r="I351" s="16" t="s">
        <v>285</v>
      </c>
      <c r="J351" s="16" t="s">
        <v>905</v>
      </c>
      <c r="K351" s="16"/>
      <c r="L351" s="16">
        <v>0</v>
      </c>
      <c r="M351" s="16">
        <v>0</v>
      </c>
      <c r="N351" s="16"/>
      <c r="O351" s="16" t="s">
        <v>1113</v>
      </c>
      <c r="P351" s="16">
        <v>1.7</v>
      </c>
      <c r="Q351" s="16"/>
      <c r="R351" s="16"/>
      <c r="S351" s="16"/>
      <c r="T351" s="16"/>
      <c r="U351" s="16">
        <v>2</v>
      </c>
      <c r="V351" s="16">
        <v>2</v>
      </c>
      <c r="W351" s="16" t="s">
        <v>150</v>
      </c>
      <c r="X351" s="16">
        <v>450</v>
      </c>
      <c r="Y351" s="16">
        <v>0</v>
      </c>
      <c r="Z351" s="16" t="s">
        <v>151</v>
      </c>
      <c r="AA351" s="16">
        <v>600</v>
      </c>
      <c r="AB351" s="16"/>
      <c r="AC351" s="16"/>
      <c r="AD351" s="16">
        <v>0</v>
      </c>
      <c r="AE351" s="16" t="s">
        <v>151</v>
      </c>
      <c r="AF351" s="16"/>
      <c r="AG351" s="16"/>
      <c r="AH351" s="57" t="s">
        <v>152</v>
      </c>
      <c r="AI351" s="4" t="s">
        <v>153</v>
      </c>
      <c r="AJ351" s="16">
        <v>0.5</v>
      </c>
      <c r="AK351" s="16">
        <v>0.5</v>
      </c>
      <c r="AL351" s="16"/>
      <c r="AM351" s="16">
        <v>1</v>
      </c>
      <c r="AN351" s="16"/>
      <c r="AO351" s="16"/>
      <c r="AP351" s="16">
        <v>250</v>
      </c>
      <c r="AQ351" s="16">
        <v>0.2</v>
      </c>
      <c r="AR351" s="16"/>
      <c r="AS351" s="16"/>
      <c r="AT351" s="16"/>
      <c r="AU351" s="16">
        <v>1</v>
      </c>
      <c r="AV351" s="16"/>
      <c r="AW351" s="16">
        <v>0</v>
      </c>
      <c r="AX351" s="16">
        <v>0</v>
      </c>
      <c r="AY351" s="16">
        <v>0</v>
      </c>
      <c r="AZ351" s="16">
        <v>0</v>
      </c>
      <c r="BA351" s="16">
        <v>0</v>
      </c>
      <c r="BB351" s="16">
        <v>0</v>
      </c>
      <c r="BC351" s="16">
        <v>100</v>
      </c>
      <c r="BD351" s="10">
        <v>100</v>
      </c>
      <c r="BE351" s="16">
        <v>20</v>
      </c>
      <c r="BF351" s="10" t="s">
        <v>154</v>
      </c>
      <c r="BG351" s="10">
        <v>0</v>
      </c>
      <c r="BH351" s="16">
        <v>0</v>
      </c>
      <c r="BI351" s="16">
        <v>100</v>
      </c>
      <c r="BJ351" s="16"/>
      <c r="BK351" s="16"/>
      <c r="BL351" s="16"/>
      <c r="BM351" s="16"/>
      <c r="BN351" s="16"/>
      <c r="BO351" s="16"/>
      <c r="BP351" s="16"/>
      <c r="BQ351" s="6">
        <v>0</v>
      </c>
    </row>
    <row r="352" spans="2:72" s="6" customFormat="1">
      <c r="B352" s="53" t="s">
        <v>1114</v>
      </c>
      <c r="C352" s="6" t="s">
        <v>71</v>
      </c>
      <c r="D352" s="16" t="s">
        <v>282</v>
      </c>
      <c r="E352" t="s">
        <v>1115</v>
      </c>
      <c r="F352" s="24"/>
      <c r="G352" s="16" t="s">
        <v>1047</v>
      </c>
      <c r="H352" s="16"/>
      <c r="I352" s="16" t="s">
        <v>285</v>
      </c>
      <c r="J352" s="16"/>
      <c r="K352" s="16"/>
      <c r="L352" s="16">
        <v>0</v>
      </c>
      <c r="M352" s="16">
        <v>0</v>
      </c>
      <c r="N352" s="16"/>
      <c r="O352" s="16" t="s">
        <v>356</v>
      </c>
      <c r="P352" s="16">
        <v>0.5</v>
      </c>
      <c r="Q352" s="16"/>
      <c r="R352" s="16"/>
      <c r="S352" s="16"/>
      <c r="T352" s="16"/>
      <c r="U352" s="16">
        <v>0.5</v>
      </c>
      <c r="V352" s="16">
        <v>2</v>
      </c>
      <c r="W352" s="16" t="s">
        <v>150</v>
      </c>
      <c r="X352" s="16">
        <v>300</v>
      </c>
      <c r="Y352" s="16">
        <v>0</v>
      </c>
      <c r="Z352" s="16" t="s">
        <v>151</v>
      </c>
      <c r="AA352" s="16">
        <v>600</v>
      </c>
      <c r="AB352" s="16"/>
      <c r="AC352" s="16"/>
      <c r="AD352" s="16">
        <v>0</v>
      </c>
      <c r="AE352" s="16" t="s">
        <v>151</v>
      </c>
      <c r="AF352" s="16"/>
      <c r="AG352" s="16"/>
      <c r="AH352" s="57" t="s">
        <v>152</v>
      </c>
      <c r="AI352" s="4" t="s">
        <v>153</v>
      </c>
      <c r="AJ352" s="16">
        <v>0.5</v>
      </c>
      <c r="AK352" s="16">
        <v>0.5</v>
      </c>
      <c r="AL352" s="16"/>
      <c r="AM352" s="16">
        <v>1</v>
      </c>
      <c r="AN352" s="16"/>
      <c r="AO352" s="16"/>
      <c r="AP352" s="16">
        <v>250</v>
      </c>
      <c r="AQ352" s="16">
        <v>1</v>
      </c>
      <c r="AR352" s="16"/>
      <c r="AS352" s="16"/>
      <c r="AT352" s="16"/>
      <c r="AU352" s="16">
        <v>1</v>
      </c>
      <c r="AV352" s="16"/>
      <c r="AW352" s="16">
        <v>0</v>
      </c>
      <c r="AX352" s="16">
        <v>0</v>
      </c>
      <c r="AY352" s="16">
        <v>0</v>
      </c>
      <c r="AZ352" s="16">
        <v>0</v>
      </c>
      <c r="BA352" s="16">
        <v>0</v>
      </c>
      <c r="BB352" s="16">
        <v>0</v>
      </c>
      <c r="BC352" s="16">
        <v>100</v>
      </c>
      <c r="BD352" s="10">
        <v>100</v>
      </c>
      <c r="BE352" s="16"/>
      <c r="BF352" s="10" t="s">
        <v>154</v>
      </c>
      <c r="BG352" s="10">
        <v>0</v>
      </c>
      <c r="BH352" s="16">
        <v>0</v>
      </c>
      <c r="BI352" s="16">
        <v>2</v>
      </c>
      <c r="BJ352" s="16"/>
      <c r="BK352" s="16"/>
      <c r="BL352" s="16"/>
      <c r="BM352" s="16"/>
      <c r="BN352" s="16"/>
      <c r="BO352" s="16"/>
      <c r="BP352" s="16"/>
      <c r="BQ352" s="6">
        <v>0</v>
      </c>
      <c r="BT352" s="6" t="s">
        <v>589</v>
      </c>
    </row>
    <row r="353" spans="2:73" s="6" customFormat="1">
      <c r="B353" t="s">
        <v>1116</v>
      </c>
      <c r="C353" s="6" t="s">
        <v>71</v>
      </c>
      <c r="D353" s="16" t="s">
        <v>282</v>
      </c>
      <c r="E353" t="s">
        <v>1117</v>
      </c>
      <c r="F353" s="24"/>
      <c r="G353" s="16" t="s">
        <v>1047</v>
      </c>
      <c r="H353" s="16"/>
      <c r="I353" s="16" t="s">
        <v>285</v>
      </c>
      <c r="J353" s="16" t="s">
        <v>372</v>
      </c>
      <c r="K353" s="16"/>
      <c r="L353" s="16">
        <v>0</v>
      </c>
      <c r="M353" s="16">
        <v>0</v>
      </c>
      <c r="N353" s="16"/>
      <c r="O353" s="16" t="s">
        <v>1118</v>
      </c>
      <c r="P353" s="16">
        <v>1.5</v>
      </c>
      <c r="Q353" s="16"/>
      <c r="R353" s="16"/>
      <c r="S353" s="16"/>
      <c r="T353" s="16"/>
      <c r="U353" s="16">
        <v>1</v>
      </c>
      <c r="V353" s="16">
        <v>2</v>
      </c>
      <c r="W353" s="16" t="s">
        <v>150</v>
      </c>
      <c r="X353" s="16">
        <v>350</v>
      </c>
      <c r="Y353" s="16">
        <v>0</v>
      </c>
      <c r="Z353" s="16" t="s">
        <v>151</v>
      </c>
      <c r="AA353" s="16">
        <v>600</v>
      </c>
      <c r="AB353" s="16"/>
      <c r="AC353" s="16"/>
      <c r="AD353" s="16">
        <v>0</v>
      </c>
      <c r="AE353" s="16" t="s">
        <v>151</v>
      </c>
      <c r="AF353" s="16"/>
      <c r="AG353" s="16"/>
      <c r="AH353" s="57" t="s">
        <v>152</v>
      </c>
      <c r="AI353" s="4" t="s">
        <v>153</v>
      </c>
      <c r="AJ353" s="16">
        <v>0.5</v>
      </c>
      <c r="AK353" s="16">
        <v>0.5</v>
      </c>
      <c r="AL353" s="16"/>
      <c r="AM353" s="16">
        <v>1</v>
      </c>
      <c r="AN353" s="16"/>
      <c r="AO353" s="16"/>
      <c r="AP353" s="16">
        <v>250</v>
      </c>
      <c r="AQ353" s="16">
        <v>0.8</v>
      </c>
      <c r="AR353" s="16"/>
      <c r="AS353" s="16"/>
      <c r="AT353" s="16"/>
      <c r="AU353" s="16">
        <v>1</v>
      </c>
      <c r="AV353" s="16"/>
      <c r="AW353" s="16">
        <v>0</v>
      </c>
      <c r="AX353" s="16">
        <v>0</v>
      </c>
      <c r="AY353" s="16">
        <v>0</v>
      </c>
      <c r="AZ353" s="16">
        <v>0</v>
      </c>
      <c r="BA353" s="16">
        <v>0</v>
      </c>
      <c r="BB353" s="16">
        <v>0</v>
      </c>
      <c r="BC353" s="16">
        <v>100</v>
      </c>
      <c r="BD353" s="10">
        <v>100</v>
      </c>
      <c r="BE353" s="16"/>
      <c r="BF353" s="10" t="s">
        <v>154</v>
      </c>
      <c r="BG353" s="10">
        <v>0</v>
      </c>
      <c r="BH353" s="16">
        <v>0</v>
      </c>
      <c r="BI353" s="16">
        <v>3</v>
      </c>
      <c r="BJ353" s="16"/>
      <c r="BK353" s="16"/>
      <c r="BL353" s="16"/>
      <c r="BM353" s="16"/>
      <c r="BN353" s="16"/>
      <c r="BO353" s="16"/>
      <c r="BP353" s="16"/>
      <c r="BQ353" s="6">
        <v>0</v>
      </c>
      <c r="BT353" s="6" t="s">
        <v>589</v>
      </c>
    </row>
    <row r="354" spans="2:73" s="6" customFormat="1">
      <c r="B354" s="4" t="s">
        <v>1119</v>
      </c>
      <c r="C354" s="6" t="s">
        <v>71</v>
      </c>
      <c r="D354" s="16" t="s">
        <v>282</v>
      </c>
      <c r="E354" s="4" t="s">
        <v>1120</v>
      </c>
      <c r="F354" s="24"/>
      <c r="G354" s="16" t="s">
        <v>1121</v>
      </c>
      <c r="H354" s="16"/>
      <c r="I354" s="16" t="s">
        <v>285</v>
      </c>
      <c r="J354" s="16" t="s">
        <v>1122</v>
      </c>
      <c r="K354" s="16"/>
      <c r="L354" s="16">
        <v>0</v>
      </c>
      <c r="M354" s="16">
        <v>0</v>
      </c>
      <c r="N354" s="16"/>
      <c r="O354" s="4" t="s">
        <v>1123</v>
      </c>
      <c r="P354" s="16">
        <v>1.6</v>
      </c>
      <c r="Q354" s="16"/>
      <c r="R354" s="16"/>
      <c r="S354" s="16"/>
      <c r="T354" s="16"/>
      <c r="U354" s="16">
        <v>3</v>
      </c>
      <c r="V354" s="16">
        <v>2</v>
      </c>
      <c r="W354" s="16" t="s">
        <v>150</v>
      </c>
      <c r="X354" s="16">
        <v>350</v>
      </c>
      <c r="Y354" s="16">
        <v>0</v>
      </c>
      <c r="Z354" s="16" t="s">
        <v>151</v>
      </c>
      <c r="AA354" s="16">
        <v>600</v>
      </c>
      <c r="AB354" s="16"/>
      <c r="AC354" s="16"/>
      <c r="AD354" s="16">
        <v>0</v>
      </c>
      <c r="AE354" s="16" t="s">
        <v>151</v>
      </c>
      <c r="AF354" s="16"/>
      <c r="AG354" s="16"/>
      <c r="AH354" s="57" t="s">
        <v>152</v>
      </c>
      <c r="AI354" s="4" t="s">
        <v>153</v>
      </c>
      <c r="AJ354" s="16">
        <v>0.5</v>
      </c>
      <c r="AK354" s="16">
        <v>0.5</v>
      </c>
      <c r="AL354" s="16"/>
      <c r="AM354" s="16">
        <v>1</v>
      </c>
      <c r="AN354" s="16"/>
      <c r="AO354" s="16"/>
      <c r="AP354" s="16">
        <v>250</v>
      </c>
      <c r="AQ354" s="16">
        <v>0.8</v>
      </c>
      <c r="AR354" s="16"/>
      <c r="AS354" s="16"/>
      <c r="AT354" s="16"/>
      <c r="AU354" s="16">
        <v>1</v>
      </c>
      <c r="AV354" s="16"/>
      <c r="AW354" s="16">
        <v>0</v>
      </c>
      <c r="AX354" s="16">
        <v>0</v>
      </c>
      <c r="AY354" s="16">
        <v>0</v>
      </c>
      <c r="AZ354" s="16">
        <v>0</v>
      </c>
      <c r="BA354" s="16">
        <v>0</v>
      </c>
      <c r="BB354" s="16">
        <v>0</v>
      </c>
      <c r="BC354" s="16">
        <v>100</v>
      </c>
      <c r="BD354" s="10">
        <v>100</v>
      </c>
      <c r="BE354" s="16"/>
      <c r="BF354" s="10" t="s">
        <v>154</v>
      </c>
      <c r="BG354" s="10">
        <v>0</v>
      </c>
      <c r="BH354" s="16">
        <v>0</v>
      </c>
      <c r="BI354" s="16">
        <v>100</v>
      </c>
      <c r="BJ354" s="16"/>
      <c r="BK354" s="16"/>
      <c r="BL354" s="16"/>
      <c r="BM354" s="16"/>
      <c r="BN354" s="16"/>
      <c r="BO354" s="16"/>
      <c r="BP354" s="16"/>
      <c r="BQ354" s="6">
        <v>0</v>
      </c>
      <c r="BT354" s="6" t="s">
        <v>589</v>
      </c>
    </row>
    <row r="355" spans="2:73" s="6" customFormat="1">
      <c r="B355" s="66" t="s">
        <v>1258</v>
      </c>
      <c r="C355" s="6" t="s">
        <v>71</v>
      </c>
      <c r="D355" s="16" t="s">
        <v>282</v>
      </c>
      <c r="E355" s="66" t="s">
        <v>1262</v>
      </c>
      <c r="F355" s="24"/>
      <c r="G355" s="16"/>
      <c r="H355" s="16"/>
      <c r="I355" s="16" t="s">
        <v>285</v>
      </c>
      <c r="J355" s="16"/>
      <c r="K355" s="16"/>
      <c r="L355" s="16">
        <v>0</v>
      </c>
      <c r="M355" s="16">
        <v>0</v>
      </c>
      <c r="N355" s="16"/>
      <c r="O355" s="66" t="s">
        <v>1261</v>
      </c>
      <c r="P355" s="16">
        <v>1.5</v>
      </c>
      <c r="Q355" s="16"/>
      <c r="R355" s="16">
        <v>255</v>
      </c>
      <c r="S355" s="16">
        <v>100</v>
      </c>
      <c r="T355" s="16">
        <v>100</v>
      </c>
      <c r="U355" s="16">
        <v>3</v>
      </c>
      <c r="V355" s="16">
        <v>128</v>
      </c>
      <c r="W355" s="69" t="s">
        <v>1263</v>
      </c>
      <c r="X355" s="16">
        <v>0</v>
      </c>
      <c r="Y355" s="16">
        <v>0</v>
      </c>
      <c r="Z355" s="16" t="s">
        <v>151</v>
      </c>
      <c r="AA355" s="16">
        <v>0</v>
      </c>
      <c r="AB355" s="16"/>
      <c r="AC355" s="16"/>
      <c r="AD355" s="16">
        <v>0</v>
      </c>
      <c r="AE355" s="16" t="s">
        <v>151</v>
      </c>
      <c r="AF355" s="16"/>
      <c r="AG355" s="16"/>
      <c r="AH355" s="57" t="s">
        <v>152</v>
      </c>
      <c r="AI355" s="4" t="s">
        <v>153</v>
      </c>
      <c r="AJ355" s="16">
        <v>0.5</v>
      </c>
      <c r="AK355" s="16">
        <v>0.5</v>
      </c>
      <c r="AL355" s="16"/>
      <c r="AM355" s="16">
        <v>1</v>
      </c>
      <c r="AN355" s="16"/>
      <c r="AO355" s="16"/>
      <c r="AP355" s="16">
        <v>0</v>
      </c>
      <c r="AQ355" s="16">
        <v>0.8</v>
      </c>
      <c r="AR355" s="16">
        <v>0</v>
      </c>
      <c r="AS355" s="16">
        <v>0</v>
      </c>
      <c r="AT355" s="16">
        <v>0</v>
      </c>
      <c r="AU355" s="16">
        <v>1</v>
      </c>
      <c r="AV355" s="16"/>
      <c r="AW355" s="16">
        <v>0</v>
      </c>
      <c r="AX355" s="16">
        <v>0</v>
      </c>
      <c r="AY355" s="16">
        <v>0</v>
      </c>
      <c r="AZ355" s="16">
        <v>0</v>
      </c>
      <c r="BA355" s="16">
        <v>0</v>
      </c>
      <c r="BB355" s="16">
        <v>0</v>
      </c>
      <c r="BC355" s="16">
        <v>100</v>
      </c>
      <c r="BD355" s="10">
        <v>100</v>
      </c>
      <c r="BE355" s="16"/>
      <c r="BF355" s="10" t="s">
        <v>154</v>
      </c>
      <c r="BG355" s="10">
        <v>0</v>
      </c>
      <c r="BH355" s="16">
        <v>0</v>
      </c>
      <c r="BI355" s="16">
        <v>100</v>
      </c>
      <c r="BJ355" s="16"/>
      <c r="BK355" s="16"/>
      <c r="BL355" s="16"/>
      <c r="BM355" s="16"/>
      <c r="BN355" s="16"/>
      <c r="BO355" s="16"/>
      <c r="BP355" s="16"/>
      <c r="BQ355" s="6">
        <v>0</v>
      </c>
      <c r="BT355" s="6" t="s">
        <v>589</v>
      </c>
    </row>
    <row r="356" spans="2:73" s="6" customFormat="1">
      <c r="B356" s="66" t="s">
        <v>1259</v>
      </c>
      <c r="C356" s="6" t="s">
        <v>71</v>
      </c>
      <c r="D356" s="16" t="s">
        <v>282</v>
      </c>
      <c r="E356" s="70" t="s">
        <v>1260</v>
      </c>
      <c r="F356" s="24"/>
      <c r="G356" s="16"/>
      <c r="H356" s="16"/>
      <c r="I356" s="16" t="s">
        <v>285</v>
      </c>
      <c r="J356" s="16"/>
      <c r="K356" s="16"/>
      <c r="L356" s="16">
        <v>0</v>
      </c>
      <c r="M356" s="16">
        <v>0</v>
      </c>
      <c r="N356" s="16"/>
      <c r="O356" s="4" t="s">
        <v>449</v>
      </c>
      <c r="P356" s="16">
        <v>1</v>
      </c>
      <c r="Q356" s="16"/>
      <c r="R356" s="16"/>
      <c r="S356" s="16"/>
      <c r="T356" s="16"/>
      <c r="U356" s="16">
        <v>2</v>
      </c>
      <c r="V356" s="16">
        <v>2</v>
      </c>
      <c r="W356" s="16" t="s">
        <v>150</v>
      </c>
      <c r="X356" s="16">
        <v>350</v>
      </c>
      <c r="Y356" s="16">
        <v>0</v>
      </c>
      <c r="Z356" s="16" t="s">
        <v>151</v>
      </c>
      <c r="AA356" s="16">
        <v>600</v>
      </c>
      <c r="AB356" s="16"/>
      <c r="AC356" s="16"/>
      <c r="AD356" s="16">
        <v>0</v>
      </c>
      <c r="AE356" s="16" t="s">
        <v>151</v>
      </c>
      <c r="AF356" s="16"/>
      <c r="AG356" s="16"/>
      <c r="AH356" s="57" t="s">
        <v>152</v>
      </c>
      <c r="AI356" s="4" t="s">
        <v>153</v>
      </c>
      <c r="AJ356" s="16">
        <v>0.5</v>
      </c>
      <c r="AK356" s="16">
        <v>0.5</v>
      </c>
      <c r="AL356" s="16"/>
      <c r="AM356" s="16">
        <v>1</v>
      </c>
      <c r="AN356" s="16"/>
      <c r="AO356" s="16"/>
      <c r="AP356" s="16">
        <v>250</v>
      </c>
      <c r="AQ356" s="16">
        <v>0.8</v>
      </c>
      <c r="AR356" s="16"/>
      <c r="AS356" s="16"/>
      <c r="AT356" s="16"/>
      <c r="AU356" s="16">
        <v>1</v>
      </c>
      <c r="AV356" s="16"/>
      <c r="AW356" s="16">
        <v>0</v>
      </c>
      <c r="AX356" s="16">
        <v>0</v>
      </c>
      <c r="AY356" s="16">
        <v>0</v>
      </c>
      <c r="AZ356" s="16">
        <v>0</v>
      </c>
      <c r="BA356" s="16">
        <v>0</v>
      </c>
      <c r="BB356" s="16">
        <v>0</v>
      </c>
      <c r="BC356" s="16">
        <v>100</v>
      </c>
      <c r="BD356" s="10">
        <v>100</v>
      </c>
      <c r="BE356" s="16"/>
      <c r="BF356" s="10" t="s">
        <v>1257</v>
      </c>
      <c r="BG356" s="10">
        <v>2</v>
      </c>
      <c r="BH356" s="16">
        <v>0</v>
      </c>
      <c r="BI356" s="16">
        <v>100</v>
      </c>
      <c r="BJ356" s="16"/>
      <c r="BK356" s="16"/>
      <c r="BL356" s="16"/>
      <c r="BM356" s="16"/>
      <c r="BN356" s="16"/>
      <c r="BO356" s="16"/>
      <c r="BP356" s="16"/>
      <c r="BQ356" s="6">
        <v>0</v>
      </c>
      <c r="BT356" s="6" t="s">
        <v>589</v>
      </c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  <row r="358" spans="2:73" s="5" customFormat="1">
      <c r="B358" s="10"/>
      <c r="D358" s="10"/>
      <c r="E358" s="54"/>
      <c r="F358" s="54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55"/>
      <c r="BK358" s="55"/>
      <c r="BL358" s="55"/>
      <c r="BM358" s="55"/>
      <c r="BN358" s="55"/>
      <c r="BO358" s="55"/>
      <c r="BP358" s="56"/>
      <c r="BQ358" s="6"/>
      <c r="BR358" s="6"/>
      <c r="BS358" s="6"/>
      <c r="BT358" s="6"/>
      <c r="BU358" s="6"/>
    </row>
    <row r="359" spans="2:73" s="5" customFormat="1">
      <c r="B359" s="10"/>
      <c r="D359" s="10"/>
      <c r="E359" s="54"/>
      <c r="F359" s="54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55"/>
      <c r="BK359" s="55"/>
      <c r="BL359" s="55"/>
      <c r="BM359" s="55"/>
      <c r="BN359" s="55"/>
      <c r="BO359" s="55"/>
      <c r="BP359" s="56"/>
      <c r="BQ359" s="6"/>
      <c r="BR359" s="6"/>
      <c r="BS359" s="6"/>
      <c r="BT359" s="6"/>
      <c r="BU359" s="6"/>
    </row>
    <row r="360" spans="2:73" s="5" customFormat="1">
      <c r="B360" s="10"/>
      <c r="D360" s="10"/>
      <c r="E360" s="54"/>
      <c r="F360" s="54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55"/>
      <c r="BK360" s="55"/>
      <c r="BL360" s="55"/>
      <c r="BM360" s="55"/>
      <c r="BN360" s="55"/>
      <c r="BO360" s="55"/>
      <c r="BP360" s="56"/>
      <c r="BQ360" s="6"/>
      <c r="BR360" s="6"/>
      <c r="BS360" s="6"/>
      <c r="BT360" s="6"/>
      <c r="BU360" s="6"/>
    </row>
    <row r="361" spans="2:73" s="5" customFormat="1">
      <c r="B361" s="10"/>
      <c r="D361" s="10"/>
      <c r="E361" s="54"/>
      <c r="F361" s="54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55"/>
      <c r="BK361" s="55"/>
      <c r="BL361" s="55"/>
      <c r="BM361" s="55"/>
      <c r="BN361" s="55"/>
      <c r="BO361" s="55"/>
      <c r="BP361" s="56"/>
      <c r="BQ361" s="6"/>
      <c r="BR361" s="6"/>
      <c r="BS361" s="6"/>
      <c r="BT361" s="6"/>
      <c r="BU361" s="6"/>
    </row>
    <row r="362" spans="2:73" s="5" customFormat="1">
      <c r="B362" s="10"/>
      <c r="D362" s="10"/>
      <c r="E362" s="54"/>
      <c r="F362" s="54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  <c r="BI362" s="10"/>
      <c r="BJ362" s="55"/>
      <c r="BK362" s="55"/>
      <c r="BL362" s="55"/>
      <c r="BM362" s="55"/>
      <c r="BN362" s="55"/>
      <c r="BO362" s="55"/>
      <c r="BP362" s="56"/>
      <c r="BQ362" s="6"/>
      <c r="BR362" s="6"/>
      <c r="BS362" s="6"/>
      <c r="BT362" s="6"/>
      <c r="BU362" s="6"/>
    </row>
    <row r="363" spans="2:73" s="5" customFormat="1">
      <c r="B363" s="10"/>
      <c r="D363" s="10"/>
      <c r="E363" s="54"/>
      <c r="F363" s="54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  <c r="BI363" s="10"/>
      <c r="BJ363" s="55"/>
      <c r="BK363" s="55"/>
      <c r="BL363" s="55"/>
      <c r="BM363" s="55"/>
      <c r="BN363" s="55"/>
      <c r="BO363" s="55"/>
      <c r="BP363" s="56"/>
      <c r="BQ363" s="6"/>
      <c r="BR363" s="6"/>
      <c r="BS363" s="6"/>
      <c r="BT363" s="6"/>
      <c r="BU363" s="6"/>
    </row>
    <row r="364" spans="2:73" s="5" customFormat="1">
      <c r="B364" s="10"/>
      <c r="D364" s="10"/>
      <c r="E364" s="54"/>
      <c r="F364" s="54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  <c r="BI364" s="10"/>
      <c r="BJ364" s="55"/>
      <c r="BK364" s="55"/>
      <c r="BL364" s="55"/>
      <c r="BM364" s="55"/>
      <c r="BN364" s="55"/>
      <c r="BO364" s="55"/>
      <c r="BP364" s="56"/>
      <c r="BQ364" s="6"/>
      <c r="BR364" s="6"/>
      <c r="BS364" s="6"/>
      <c r="BT364" s="6"/>
      <c r="BU364" s="6"/>
    </row>
    <row r="365" spans="2:73" s="5" customFormat="1">
      <c r="B365" s="10"/>
      <c r="D365" s="10"/>
      <c r="E365" s="54"/>
      <c r="F365" s="54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  <c r="BB365" s="10"/>
      <c r="BC365" s="10"/>
      <c r="BD365" s="10"/>
      <c r="BE365" s="10"/>
      <c r="BF365" s="10"/>
      <c r="BG365" s="10"/>
      <c r="BH365" s="10"/>
      <c r="BI365" s="10"/>
      <c r="BJ365" s="55"/>
      <c r="BK365" s="55"/>
      <c r="BL365" s="55"/>
      <c r="BM365" s="55"/>
      <c r="BN365" s="55"/>
      <c r="BO365" s="55"/>
      <c r="BP365" s="56"/>
      <c r="BQ365" s="6"/>
      <c r="BR365" s="6"/>
      <c r="BS365" s="6"/>
      <c r="BT365" s="6"/>
      <c r="BU365" s="6"/>
    </row>
    <row r="366" spans="2:73" s="5" customFormat="1">
      <c r="B366" s="10"/>
      <c r="D366" s="10"/>
      <c r="E366" s="54"/>
      <c r="F366" s="54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  <c r="BI366" s="10"/>
      <c r="BJ366" s="55"/>
      <c r="BK366" s="55"/>
      <c r="BL366" s="55"/>
      <c r="BM366" s="55"/>
      <c r="BN366" s="55"/>
      <c r="BO366" s="55"/>
      <c r="BP366" s="56"/>
      <c r="BQ366" s="6"/>
      <c r="BR366" s="6"/>
      <c r="BS366" s="6"/>
      <c r="BT366" s="6"/>
      <c r="BU366" s="6"/>
    </row>
    <row r="367" spans="2:73" s="5" customFormat="1">
      <c r="B367" s="10"/>
      <c r="D367" s="10"/>
      <c r="E367" s="54"/>
      <c r="F367" s="54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55"/>
      <c r="BK367" s="55"/>
      <c r="BL367" s="55"/>
      <c r="BM367" s="55"/>
      <c r="BN367" s="55"/>
      <c r="BO367" s="55"/>
      <c r="BP367" s="56"/>
      <c r="BQ367" s="6"/>
      <c r="BR367" s="6"/>
      <c r="BS367" s="6"/>
      <c r="BT367" s="6"/>
      <c r="BU367" s="6"/>
    </row>
    <row r="368" spans="2:73" s="5" customFormat="1">
      <c r="B368" s="10"/>
      <c r="D368" s="10"/>
      <c r="E368" s="54"/>
      <c r="F368" s="54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  <c r="BI368" s="10"/>
      <c r="BJ368" s="55"/>
      <c r="BK368" s="55"/>
      <c r="BL368" s="55"/>
      <c r="BM368" s="55"/>
      <c r="BN368" s="55"/>
      <c r="BO368" s="55"/>
      <c r="BP368" s="56"/>
      <c r="BQ368" s="6"/>
      <c r="BR368" s="6"/>
      <c r="BS368" s="6"/>
      <c r="BT368" s="6"/>
      <c r="BU368" s="6"/>
    </row>
    <row r="369" spans="2:73" s="5" customFormat="1">
      <c r="B369" s="10"/>
      <c r="D369" s="10"/>
      <c r="E369" s="54"/>
      <c r="F369" s="54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55"/>
      <c r="BK369" s="55"/>
      <c r="BL369" s="55"/>
      <c r="BM369" s="55"/>
      <c r="BN369" s="55"/>
      <c r="BO369" s="55"/>
      <c r="BP369" s="56"/>
      <c r="BQ369" s="6"/>
      <c r="BR369" s="6"/>
      <c r="BS369" s="6"/>
      <c r="BT369" s="6"/>
      <c r="BU369" s="6"/>
    </row>
    <row r="370" spans="2:73" s="5" customFormat="1">
      <c r="B370" s="10"/>
      <c r="D370" s="10"/>
      <c r="E370" s="54"/>
      <c r="F370" s="54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55"/>
      <c r="BK370" s="55"/>
      <c r="BL370" s="55"/>
      <c r="BM370" s="55"/>
      <c r="BN370" s="55"/>
      <c r="BO370" s="55"/>
      <c r="BP370" s="56"/>
      <c r="BQ370" s="6"/>
      <c r="BR370" s="6"/>
      <c r="BS370" s="6"/>
      <c r="BT370" s="6"/>
      <c r="BU370" s="6"/>
    </row>
    <row r="371" spans="2:73" s="5" customFormat="1">
      <c r="B371" s="10"/>
      <c r="D371" s="10"/>
      <c r="E371" s="54"/>
      <c r="F371" s="54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55"/>
      <c r="BK371" s="55"/>
      <c r="BL371" s="55"/>
      <c r="BM371" s="55"/>
      <c r="BN371" s="55"/>
      <c r="BO371" s="55"/>
      <c r="BP371" s="56"/>
      <c r="BQ371" s="6"/>
      <c r="BR371" s="6"/>
      <c r="BS371" s="6"/>
      <c r="BT371" s="6"/>
      <c r="BU371" s="6"/>
    </row>
    <row r="372" spans="2:73" s="5" customFormat="1">
      <c r="B372" s="10"/>
      <c r="D372" s="10"/>
      <c r="E372" s="54"/>
      <c r="F372" s="54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  <c r="BI372" s="10"/>
      <c r="BJ372" s="55"/>
      <c r="BK372" s="55"/>
      <c r="BL372" s="55"/>
      <c r="BM372" s="55"/>
      <c r="BN372" s="55"/>
      <c r="BO372" s="55"/>
      <c r="BP372" s="56"/>
      <c r="BQ372" s="6"/>
      <c r="BR372" s="6"/>
      <c r="BS372" s="6"/>
      <c r="BT372" s="6"/>
      <c r="BU372" s="6"/>
    </row>
  </sheetData>
  <autoFilter ref="A1:BU354"/>
  <sortState ref="A2:BT33">
    <sortCondition ref="B2:B33"/>
  </sortState>
  <phoneticPr fontId="16" type="noConversion"/>
  <conditionalFormatting sqref="AP208">
    <cfRule type="cellIs" dxfId="12" priority="5" stopIfTrue="1" operator="greaterThan">
      <formula>600</formula>
    </cfRule>
  </conditionalFormatting>
  <conditionalFormatting sqref="AP214">
    <cfRule type="cellIs" dxfId="11" priority="6" stopIfTrue="1" operator="greaterThan">
      <formula>600</formula>
    </cfRule>
  </conditionalFormatting>
  <conditionalFormatting sqref="AP222">
    <cfRule type="cellIs" dxfId="10" priority="4" stopIfTrue="1" operator="greaterThan">
      <formula>600</formula>
    </cfRule>
  </conditionalFormatting>
  <conditionalFormatting sqref="AP209:AP211">
    <cfRule type="cellIs" dxfId="9" priority="7" stopIfTrue="1" operator="greaterThan">
      <formula>600</formula>
    </cfRule>
  </conditionalFormatting>
  <conditionalFormatting sqref="AP212:AP213">
    <cfRule type="cellIs" dxfId="8" priority="8" stopIfTrue="1" operator="greaterThan">
      <formula>600</formula>
    </cfRule>
  </conditionalFormatting>
  <conditionalFormatting sqref="AP215:AP217">
    <cfRule type="cellIs" dxfId="7" priority="9" stopIfTrue="1" operator="greaterThan">
      <formula>600</formula>
    </cfRule>
  </conditionalFormatting>
  <conditionalFormatting sqref="AP227:AP1048576 AP1:AP203">
    <cfRule type="cellIs" dxfId="6" priority="10" stopIfTrue="1" operator="greaterThan">
      <formula>600</formula>
    </cfRule>
  </conditionalFormatting>
  <conditionalFormatting sqref="AP204:AP205 AP219:AP221">
    <cfRule type="cellIs" dxfId="5" priority="11" stopIfTrue="1" operator="greaterThan">
      <formula>600</formula>
    </cfRule>
  </conditionalFormatting>
  <conditionalFormatting sqref="AP206:AP207 AP218">
    <cfRule type="cellIs" dxfId="4" priority="12" stopIfTrue="1" operator="greaterThan">
      <formula>600</formula>
    </cfRule>
  </conditionalFormatting>
  <conditionalFormatting sqref="AP222">
    <cfRule type="cellIs" dxfId="3" priority="3" stopIfTrue="1" operator="greaterThan">
      <formula>600</formula>
    </cfRule>
  </conditionalFormatting>
  <conditionalFormatting sqref="AP224:AP226">
    <cfRule type="cellIs" dxfId="2" priority="1" stopIfTrue="1" operator="greaterThan">
      <formula>600</formula>
    </cfRule>
  </conditionalFormatting>
  <conditionalFormatting sqref="AP223">
    <cfRule type="cellIs" dxfId="1" priority="2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1124</v>
      </c>
      <c r="B1" s="4" t="s">
        <v>1125</v>
      </c>
      <c r="C1" s="4" t="s">
        <v>1126</v>
      </c>
      <c r="D1" s="4" t="s">
        <v>1127</v>
      </c>
      <c r="E1" s="4" t="s">
        <v>1128</v>
      </c>
    </row>
    <row r="2" spans="1:5">
      <c r="A2">
        <v>1</v>
      </c>
      <c r="B2" s="2" t="s">
        <v>1129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1130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1131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1132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1133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1134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1135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1136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1137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1138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1139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1140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1141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1142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1143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1144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1145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1146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1147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1148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1149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1150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1151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1152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1153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1154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1155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1156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1157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1158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1159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1160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1161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1162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1163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1164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1165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1166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1167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1168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1169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1170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1171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1172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1173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1174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1175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1176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1177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1178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1179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1180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1181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1182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1183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1184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1185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1186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1187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1188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1189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1190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1191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1192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1193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1194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1195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1196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1197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1198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1199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1200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1201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1202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1203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1204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1205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1206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1207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1208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1209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1210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1211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1212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1213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1214</v>
      </c>
      <c r="C2" s="1" t="s">
        <v>71</v>
      </c>
      <c r="D2" s="3" t="s">
        <v>282</v>
      </c>
      <c r="E2" s="2" t="s">
        <v>1215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1216</v>
      </c>
      <c r="N2" s="2" t="s">
        <v>1217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1218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1219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1220</v>
      </c>
      <c r="C3" s="1" t="s">
        <v>71</v>
      </c>
      <c r="D3" s="3" t="s">
        <v>282</v>
      </c>
      <c r="E3" s="2" t="s">
        <v>1221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1222</v>
      </c>
      <c r="N3" s="2" t="s">
        <v>1223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1218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1219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2020-05-13T11:04:10Z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