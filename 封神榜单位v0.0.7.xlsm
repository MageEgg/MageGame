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P000!$A$1:$BU$333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06" i="1"/>
  <c r="P305"/>
  <c r="P304"/>
  <c r="P303"/>
  <c r="P302"/>
  <c r="P301"/>
  <c r="P300"/>
  <c r="P299"/>
  <c r="P298"/>
  <c r="P297"/>
  <c r="P296"/>
  <c r="P29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<sst xmlns="http://schemas.openxmlformats.org/spreadsheetml/2006/main" count="4967" uniqueCount="1238">
  <si>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</si>
  <si>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</si>
  <si>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</si>
  <si>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</si>
  <si>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</si>
  <si>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</si>
  <si>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</si>
  <si>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</si>
  <si>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</si>
  <si>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</si>
  <si>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</si>
  <si>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</si>
  <si>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</si>
  <si>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</si>
  <si>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</si>
  <si>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</si>
  <si>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</si>
  <si>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</si>
  <si>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</si>
  <si>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</si>
  <si>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</si>
  <si>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</si>
  <si>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</si>
  <si>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</si>
  <si>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</si>
  <si>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</si>
  <si>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</si>
  <si>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</si>
  <si>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</si>
  <si>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</si>
  <si>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</si>
  <si>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</si>
  <si>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</si>
  <si>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</si>
  <si>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</si>
  <si>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</si>
  <si>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</si>
  <si>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</si>
  <si>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</si>
  <si>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</si>
  <si>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</si>
  <si>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</si>
  <si>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</si>
  <si>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</si>
  <si>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</si>
  <si>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</si>
  <si>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</si>
  <si>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</si>
  <si>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</si>
  <si>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</si>
  <si>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</si>
  <si>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</si>
  <si>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</si>
  <si>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</si>
  <si>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</si>
  <si>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</si>
  <si>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</si>
  <si>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</si>
  <si>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</si>
  <si>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</si>
  <si>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</si>
  <si>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</si>
  <si>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</si>
  <si>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</si>
  <si>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</si>
  <si>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</si>
  <si>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</si>
  <si>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</si>
  <si>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</si>
  <si>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</si>
  <si>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</si>
  <si>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</si>
  <si>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</si>
  <si>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</si>
  <si>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</si>
  <si>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</si>
  <si>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</si>
  <si>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</si>
  <si>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</si>
  <si>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</si>
  <si>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</si>
  <si>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</si>
  <si>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</si>
  <si>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</si>
  <si>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</si>
  <si>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</si>
  <si>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</si>
  <si>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</si>
  <si>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</si>
  <si>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</si>
  <si>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</si>
  <si>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</si>
  <si>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</si>
  <si>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</si>
  <si>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</si>
  <si>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</si>
  <si>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</si>
  <si>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</si>
  <si>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</si>
  <si>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</si>
  <si>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</si>
  <si>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</si>
  <si>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</si>
  <si>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</si>
  <si>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</si>
  <si>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</si>
  <si>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</si>
  <si>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</si>
  <si>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</si>
  <si>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</si>
  <si>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</si>
  <si>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</si>
  <si>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</si>
  <si>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</si>
  <si>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</si>
  <si>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</si>
  <si>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</si>
  <si>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</si>
  <si>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</si>
  <si>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</si>
  <si>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</si>
  <si>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</si>
  <si>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</si>
  <si>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</si>
  <si>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</si>
  <si>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</si>
  <si>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</si>
  <si>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</si>
  <si>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</si>
  <si>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</si>
  <si>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</si>
  <si>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</si>
  <si>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</si>
  <si>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</si>
  <si>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</si>
  <si>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</si>
  <si>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</si>
  <si>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</si>
  <si>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</si>
  <si>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</si>
  <si>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</si>
  <si>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</si>
  <si>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</si>
  <si>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</si>
  <si>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</si>
  <si>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</si>
  <si>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</si>
  <si>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</si>
  <si>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</si>
  <si>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</si>
  <si>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</si>
  <si>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</si>
  <si>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</si>
  <si>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</si>
  <si>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</si>
  <si>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</si>
  <si>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</si>
  <si>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</si>
  <si>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</si>
  <si>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</si>
  <si>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</si>
  <si>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</si>
  <si>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</si>
  <si>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</si>
  <si>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</si>
  <si>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</si>
  <si>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</si>
  <si>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</si>
  <si>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</si>
  <si>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</si>
  <si>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</si>
  <si>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</si>
  <si>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</si>
  <si>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</si>
  <si>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</si>
  <si>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</si>
  <si>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</si>
  <si>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</si>
  <si>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</si>
  <si>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</si>
  <si>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</si>
  <si>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</si>
  <si>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</si>
  <si>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</si>
  <si>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</si>
  <si>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</si>
  <si>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</si>
  <si>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</si>
  <si>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</si>
  <si>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</si>
  <si>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</si>
  <si>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</si>
  <si>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</si>
  <si>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</si>
  <si>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</si>
  <si>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</si>
  <si>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</si>
  <si>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</si>
  <si>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</si>
  <si>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</si>
  <si>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</si>
  <si>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</si>
  <si>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</si>
  <si>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</si>
  <si>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</si>
  <si>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</si>
  <si>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</si>
  <si>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</si>
  <si>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</si>
  <si>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</si>
  <si>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</si>
  <si>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</si>
  <si>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</si>
  <si>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</si>
  <si>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</si>
  <si>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</si>
  <si>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</si>
  <si>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</si>
  <si>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</si>
  <si>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</si>
  <si>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</si>
  <si>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</si>
  <si>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</si>
  <si>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</si>
  <si>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</si>
  <si>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</si>
  <si>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</si>
  <si>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</si>
  <si>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</si>
  <si>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</si>
  <si>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</si>
  <si>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</si>
  <si>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</si>
  <si>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</si>
  <si>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</si>
  <si>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</si>
  <si>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</si>
  <si>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</si>
  <si>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</si>
  <si>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</si>
  <si>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</si>
  <si>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</si>
  <si>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</si>
  <si>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</si>
  <si>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</si>
  <si>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</si>
  <si>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</si>
  <si>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</si>
  <si>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</si>
  <si>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</si>
  <si>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</si>
  <si>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</si>
  <si>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</si>
  <si>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</si>
  <si>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</si>
  <si>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</si>
  <si>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</si>
  <si>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</si>
  <si>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</si>
  <si>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</si>
  <si>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</si>
  <si>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</si>
  <si>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</si>
  <si>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</si>
  <si>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</si>
  <si>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</si>
  <si>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</si>
  <si>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</si>
  <si>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</si>
  <si>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</si>
  <si>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</si>
  <si>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</si>
  <si>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</si>
  <si>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</si>
  <si>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</si>
  <si>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</si>
  <si>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</si>
  <si>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</si>
  <si>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</si>
  <si>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</si>
  <si>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</si>
  <si>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</si>
  <si>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</si>
  <si>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</si>
  <si>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</si>
  <si>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</si>
  <si>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</si>
  <si>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</si>
  <si>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</si>
  <si>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</si>
  <si>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</si>
  <si>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</si>
  <si>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</si>
  <si>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</si>
  <si>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</si>
  <si>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</si>
  <si>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</si>
  <si>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</si>
  <si>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</si>
  <si>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</si>
  <si>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</si>
  <si>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</si>
  <si>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</si>
  <si>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</si>
  <si>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</si>
  <si>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</si>
  <si>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</si>
  <si>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</si>
  <si>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</si>
  <si>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</si>
  <si>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</si>
  <si>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</si>
  <si>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</si>
  <si>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</si>
  <si>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</si>
  <si>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</si>
  <si>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</si>
  <si>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</si>
  <si>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</si>
  <si>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</si>
  <si>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</si>
  <si>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</si>
  <si>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</si>
  <si>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</si>
  <si>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</si>
  <si>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</si>
  <si>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</si>
  <si>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</si>
  <si>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</si>
  <si>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</si>
  <si>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</si>
  <si>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</si>
  <si>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</si>
  <si>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</si>
  <si>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</si>
  <si>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</si>
  <si>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</si>
  <si>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</si>
  <si>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</si>
  <si>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</si>
  <si>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</si>
  <si>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</si>
  <si>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</si>
  <si>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</si>
  <si>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</si>
  <si>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</si>
  <si>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</si>
  <si>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</si>
  <si>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</si>
  <si>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</si>
  <si>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</si>
  <si>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</si>
  <si>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</si>
  <si>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</si>
  <si>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</si>
  <si>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</si>
  <si>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</si>
  <si>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</si>
  <si>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</si>
  <si>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</si>
  <si>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</si>
  <si>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</si>
  <si>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</si>
  <si>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</si>
  <si>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</si>
  <si>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</si>
  <si>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</si>
  <si>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</si>
  <si>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</si>
  <si>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</si>
  <si>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</si>
  <si>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</si>
  <si>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</si>
  <si>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</si>
  <si>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</si>
  <si>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</si>
  <si>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</si>
  <si>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</si>
  <si>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</si>
  <si>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</si>
  <si>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</si>
  <si>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</si>
  <si>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</si>
  <si>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</si>
  <si>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</si>
  <si>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</si>
  <si>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</si>
  <si>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</si>
  <si>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</si>
  <si>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</si>
  <si>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</si>
  <si>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</si>
  <si>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</si>
  <si>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</si>
  <si>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</si>
  <si>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</si>
  <si>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</si>
  <si>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</si>
  <si>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</si>
  <si>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</si>
  <si>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</si>
  <si>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</si>
  <si>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</si>
  <si>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</si>
  <si>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</si>
  <si>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</si>
  <si>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</si>
  <si>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</si>
  <si>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</si>
  <si>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</si>
  <si>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</si>
  <si>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</si>
  <si>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</si>
  <si>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</si>
  <si>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</si>
  <si>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</si>
  <si>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</si>
  <si>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</si>
  <si>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</si>
  <si>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</si>
  <si>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</si>
  <si>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</si>
  <si>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</si>
  <si>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</si>
  <si>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</si>
  <si>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</si>
  <si>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</si>
  <si>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</si>
  <si>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</si>
  <si>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</si>
  <si>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</si>
  <si>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</si>
  <si>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</si>
  <si>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</si>
  <si>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</si>
  <si>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</si>
  <si>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</si>
  <si>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</si>
  <si>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</si>
  <si>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</si>
  <si>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</si>
  <si>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</si>
  <si>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</si>
  <si>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</si>
  <si>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</si>
  <si>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</si>
  <si>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</si>
  <si>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</si>
  <si>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</si>
  <si>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</si>
  <si>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</si>
  <si>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</si>
  <si>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</si>
  <si>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</si>
  <si>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</si>
  <si>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</si>
  <si>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</si>
  <si>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</si>
  <si>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</si>
  <si>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</si>
  <si>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</si>
  <si>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</si>
  <si>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</si>
  <si>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</si>
  <si>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</si>
  <si>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</si>
  <si>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</si>
  <si>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</si>
  <si>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</si>
  <si>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</si>
  <si>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</si>
  <si>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</si>
  <si>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</si>
  <si>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</si>
  <si>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</si>
  <si>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</si>
  <si>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</si>
  <si>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</si>
  <si>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</si>
  <si>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</si>
  <si>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</si>
  <si>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</si>
  <si>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</si>
  <si>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</si>
  <si>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</si>
  <si>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</si>
  <si>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</si>
  <si>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</si>
  <si>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</si>
  <si>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</si>
  <si>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</si>
  <si>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</si>
  <si>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</si>
  <si>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</si>
  <si>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</si>
  <si>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</si>
  <si>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</si>
  <si>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</si>
  <si>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</si>
  <si>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</si>
  <si>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</si>
  <si>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</si>
  <si>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</si>
  <si>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</si>
  <si>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</si>
  <si>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</si>
  <si>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</si>
  <si>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</si>
  <si>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</si>
  <si>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</si>
  <si>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</si>
  <si>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</si>
  <si>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</si>
  <si>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</si>
  <si>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</si>
  <si>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</si>
  <si>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</si>
  <si>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</si>
  <si>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</si>
  <si>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</si>
  <si>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</si>
  <si>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</si>
  <si>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</si>
  <si>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</si>
  <si>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</si>
  <si>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</si>
  <si>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</si>
  <si>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</si>
  <si>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</si>
  <si>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</si>
  <si>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</si>
  <si>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</si>
  <si>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</si>
  <si>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</si>
  <si>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</si>
  <si>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</si>
  <si>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</si>
  <si>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</si>
  <si>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</si>
  <si>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</si>
  <si>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</si>
  <si>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</si>
  <si>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</si>
  <si>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</si>
  <si>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</si>
  <si>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</si>
  <si>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</si>
  <si>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</si>
  <si>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</si>
  <si>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</si>
  <si>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</si>
  <si>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</si>
  <si>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</si>
  <si>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</si>
  <si>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</si>
  <si>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</si>
  <si>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</si>
  <si>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</si>
  <si>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</si>
  <si>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</si>
  <si>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</si>
  <si>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</si>
  <si>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</si>
  <si>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</si>
  <si>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</si>
  <si>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</si>
  <si>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</si>
  <si>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</si>
  <si>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</si>
  <si>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</si>
  <si>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</si>
  <si>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</si>
  <si>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</si>
  <si>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</si>
  <si>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</si>
  <si>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</si>
  <si>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</si>
  <si>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</si>
  <si>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</si>
  <si>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</si>
  <si>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</si>
  <si>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</si>
  <si>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</si>
  <si>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</si>
  <si>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</si>
  <si>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</si>
  <si>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</si>
  <si>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</si>
  <si>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</si>
  <si>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</si>
  <si>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</si>
  <si>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</si>
  <si>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</si>
  <si>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</si>
  <si>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</si>
  <si>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</si>
  <si>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</si>
  <si>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</si>
  <si>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</si>
  <si>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</si>
  <si>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</si>
  <si>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</si>
  <si>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</si>
  <si>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</si>
  <si>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</si>
  <si>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</si>
  <si>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</si>
  <si>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</si>
  <si>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</si>
  <si>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</si>
  <si>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</si>
  <si>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</si>
  <si>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</si>
  <si>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</si>
  <si>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</si>
  <si>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</si>
  <si>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</si>
  <si>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</si>
  <si>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</si>
  <si>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</si>
  <si>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</si>
  <si>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</si>
  <si>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</si>
  <si>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</si>
  <si>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</si>
  <si>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</si>
  <si>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</si>
  <si>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</si>
  <si>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</si>
  <si>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</si>
  <si>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</si>
  <si>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</si>
  <si>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</si>
  <si>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</si>
  <si>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</si>
  <si>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</si>
  <si>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</si>
  <si>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</si>
  <si>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</si>
  <si>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</si>
  <si>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</si>
  <si>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</si>
  <si>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</si>
  <si>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</si>
  <si>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</si>
  <si>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</si>
  <si>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</si>
  <si>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</si>
  <si>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</si>
  <si>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</si>
  <si>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</si>
  <si>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</si>
  <si>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</si>
  <si>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</si>
  <si>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</si>
  <si>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</si>
  <si>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</si>
  <si>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</si>
  <si>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</si>
  <si>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</si>
  <si>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</si>
  <si>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</si>
  <si>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</si>
  <si>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</si>
  <si>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</si>
  <si>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</si>
  <si>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</si>
  <si>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</si>
  <si>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</si>
  <si>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</si>
  <si>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</si>
  <si>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</si>
  <si>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</si>
  <si>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</si>
  <si>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</si>
  <si>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</si>
  <si>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</si>
  <si>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</si>
  <si>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</si>
  <si>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</si>
  <si>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</si>
  <si>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</si>
  <si>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</si>
  <si>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</si>
  <si>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</si>
  <si>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</si>
  <si>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</si>
  <si>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</si>
  <si>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</si>
  <si>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</si>
  <si>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</si>
  <si>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</si>
  <si>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</si>
  <si>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</si>
  <si>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</si>
  <si>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</si>
  <si>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</si>
  <si>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</si>
  <si>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</si>
  <si>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</si>
  <si>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</si>
  <si>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</si>
  <si>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</si>
  <si>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</si>
  <si>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</si>
  <si>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</si>
  <si>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</si>
  <si>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</si>
  <si>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</si>
  <si>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</si>
  <si>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</si>
  <si>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</si>
  <si>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</si>
  <si>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</si>
  <si>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</si>
  <si>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</si>
  <si>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</si>
  <si>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</si>
  <si>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</si>
  <si>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</si>
  <si>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</si>
  <si>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</si>
  <si>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</si>
  <si>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</si>
  <si>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</si>
  <si>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</si>
  <si>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</si>
  <si>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</si>
  <si>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</si>
  <si>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</si>
  <si>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</si>
  <si>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</si>
  <si>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</si>
  <si>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</si>
  <si>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</si>
  <si>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</si>
  <si>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</si>
  <si>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</si>
  <si>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</si>
  <si>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</si>
  <si>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</si>
  <si>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</si>
  <si>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</si>
  <si>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</si>
  <si>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</si>
  <si>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</si>
  <si>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</si>
  <si>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</si>
  <si>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</si>
  <si>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</si>
  <si>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</si>
  <si>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</si>
  <si>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</si>
  <si>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</si>
  <si>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</si>
  <si>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</si>
  <si>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</si>
  <si>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</si>
  <si>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</si>
  <si>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</si>
  <si>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</si>
  <si>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</si>
  <si>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</si>
  <si>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</si>
  <si>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</si>
  <si>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</si>
  <si>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</si>
  <si>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</si>
  <si>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</si>
  <si>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</si>
  <si>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</si>
  <si>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</si>
  <si>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</si>
  <si>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</si>
  <si>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</si>
  <si>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</si>
  <si>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</si>
  <si>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</si>
  <si>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</si>
  <si>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</si>
  <si>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</si>
  <si>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</si>
  <si>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</si>
  <si>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</si>
  <si>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</si>
  <si>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</si>
  <si>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</si>
  <si>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ut21</t>
  </si>
  <si>
    <t>寻宝秘境-秘境领主</t>
  </si>
  <si>
    <t>ut30</t>
  </si>
  <si>
    <t>万魔窟-领主1</t>
  </si>
  <si>
    <t>moster_hunmo.mdl</t>
  </si>
  <si>
    <t>Abilities\\Spells\\Undead\\DeathCoil\\DeathCoilMissile.mdl</t>
  </si>
  <si>
    <t>ut31</t>
  </si>
  <si>
    <t>万魔窟-领主2</t>
  </si>
  <si>
    <t>moster_goujing.mdl</t>
  </si>
  <si>
    <t>ut32</t>
  </si>
  <si>
    <t>万魔窟-领主3</t>
  </si>
  <si>
    <t>moster_shamoke.mdl</t>
  </si>
  <si>
    <t>ut33</t>
  </si>
  <si>
    <t>万魔窟-领主4</t>
  </si>
  <si>
    <t>shenshou_kongque.mdl</t>
  </si>
  <si>
    <t>effect_az-zise-toushewu_bloodred.mdl</t>
  </si>
  <si>
    <t>ut34</t>
  </si>
  <si>
    <t>万魔窟-领主5</t>
  </si>
  <si>
    <t>shenshou_qilin.mdl</t>
  </si>
  <si>
    <t>ut35</t>
  </si>
  <si>
    <t>万魔窟-领主6</t>
  </si>
  <si>
    <t>shenshou_zhengning.mdl</t>
  </si>
  <si>
    <t>ut36</t>
  </si>
  <si>
    <t>万魔窟-领主7</t>
  </si>
  <si>
    <t>shenshou_qiuniu.mdl</t>
  </si>
  <si>
    <t>ut37</t>
  </si>
  <si>
    <t>万魔窟-领主8</t>
  </si>
  <si>
    <t>shenshou_suanni.mdl</t>
  </si>
  <si>
    <t>ut40</t>
  </si>
  <si>
    <t>万魔窟-奶一哈</t>
  </si>
  <si>
    <t>AZ3D</t>
  </si>
  <si>
    <t>Abilities\\Weapons\\DruidoftheTalonMissile\\DruidoftheTalonMissile.mdl</t>
  </si>
  <si>
    <t>ut41</t>
  </si>
  <si>
    <t>万魔窟-打不中</t>
  </si>
  <si>
    <t>ut42</t>
  </si>
  <si>
    <t>万魔窟-爆爆爆</t>
  </si>
  <si>
    <t>ut43</t>
  </si>
  <si>
    <t>万魔窟-防多多</t>
  </si>
  <si>
    <t>AZ3Z</t>
  </si>
  <si>
    <t>ut44</t>
  </si>
  <si>
    <t>万魔窟-Nova</t>
  </si>
  <si>
    <t>AZ3B</t>
  </si>
  <si>
    <t>ut45</t>
  </si>
  <si>
    <t>万魔窟-一万伏特</t>
  </si>
  <si>
    <t xml:space="preserve"> AZ3C</t>
  </si>
  <si>
    <t>Abilities\\Weapons\\Dryadmissile\\Dryadmissile.mdl</t>
  </si>
  <si>
    <t>ut46</t>
  </si>
  <si>
    <t>万魔窟-无敌了</t>
  </si>
  <si>
    <t>AZ3A</t>
  </si>
  <si>
    <t>ut47</t>
  </si>
  <si>
    <t>万魔窟-啥都不会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</si>
  <si>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</si>
  <si>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</si>
  <si>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</si>
  <si>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</si>
  <si>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</si>
  <si>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</si>
  <si>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</si>
  <si>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</si>
  <si>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</si>
  <si>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</si>
  <si>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</si>
  <si>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</si>
  <si>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</si>
  <si>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</si>
  <si>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</si>
  <si>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</si>
  <si>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</si>
  <si>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</si>
  <si>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</si>
  <si>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</si>
  <si>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</si>
  <si>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</si>
  <si>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</si>
  <si>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</si>
  <si>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</si>
  <si>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</si>
  <si>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</si>
  <si>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</si>
  <si>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</si>
  <si>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</si>
  <si>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</si>
  <si>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</si>
  <si>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</si>
  <si>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</si>
  <si>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</si>
  <si>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</si>
  <si>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</si>
  <si>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</si>
  <si>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</si>
  <si>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</si>
  <si>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</si>
  <si>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</si>
  <si>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</si>
  <si>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</si>
  <si>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</si>
  <si>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</si>
  <si>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</si>
  <si>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</si>
  <si>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</si>
  <si>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</si>
  <si>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</si>
  <si>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</si>
  <si>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</si>
  <si>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</si>
  <si>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</si>
  <si>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</si>
  <si>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</si>
  <si>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</si>
  <si>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</si>
  <si>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</si>
  <si>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</si>
  <si>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</si>
  <si>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</si>
  <si>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</si>
  <si>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</si>
  <si>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</si>
  <si>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</si>
  <si>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</si>
  <si>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</si>
  <si>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</si>
  <si>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</si>
  <si>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</si>
  <si>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</si>
  <si>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</si>
  <si>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</si>
  <si>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</si>
  <si>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</si>
  <si>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</si>
  <si>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</si>
  <si>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</si>
  <si>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</si>
  <si>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</si>
  <si>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</si>
  <si>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</si>
  <si>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</si>
  <si>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</si>
  <si>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</si>
  <si>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</si>
  <si>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</si>
  <si>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</si>
  <si>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</si>
  <si>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</si>
  <si>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</si>
  <si>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</si>
  <si>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</si>
  <si>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</si>
  <si>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</si>
  <si>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</si>
  <si>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</si>
  <si>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</si>
  <si>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</si>
  <si>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</si>
  <si>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</si>
  <si>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</si>
  <si>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</si>
  <si>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</si>
  <si>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</si>
  <si>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</si>
  <si>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</si>
  <si>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</si>
  <si>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</si>
  <si>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</si>
  <si>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</si>
  <si>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</si>
  <si>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</si>
  <si>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</si>
  <si>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</si>
  <si>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</si>
  <si>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</si>
  <si>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</si>
  <si>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</si>
  <si>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</si>
  <si>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</si>
  <si>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</si>
  <si>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</si>
  <si>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</si>
  <si>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</si>
  <si>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</si>
  <si>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</si>
  <si>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</si>
  <si>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</si>
  <si>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</si>
  <si>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</si>
  <si>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</si>
  <si>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</si>
  <si>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</si>
  <si>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</si>
  <si>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</si>
  <si>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</si>
  <si>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</si>
  <si>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</si>
  <si>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</si>
  <si>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</si>
  <si>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</si>
  <si>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</si>
  <si>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</si>
  <si>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</si>
  <si>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</si>
  <si>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</si>
  <si>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</si>
  <si>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</si>
  <si>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</si>
  <si>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</si>
  <si>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</si>
  <si>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</si>
  <si>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</si>
  <si>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</si>
  <si>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</si>
  <si>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</si>
  <si>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</si>
  <si>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</si>
  <si>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</si>
  <si>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</si>
  <si>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</si>
  <si>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</si>
  <si>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</si>
  <si>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</si>
  <si>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</si>
  <si>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</si>
  <si>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</si>
  <si>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</si>
  <si>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</si>
  <si>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</si>
  <si>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</si>
  <si>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</si>
  <si>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</si>
  <si>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</si>
  <si>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</si>
  <si>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</si>
  <si>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</si>
  <si>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</si>
  <si>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</si>
  <si>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</si>
  <si>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</si>
  <si>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</si>
  <si>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</si>
  <si>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</si>
  <si>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</si>
  <si>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</si>
  <si>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</si>
  <si>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</si>
  <si>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</si>
  <si>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</si>
  <si>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</si>
  <si>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</si>
  <si>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</si>
  <si>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</si>
  <si>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</si>
  <si>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</si>
  <si>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</si>
  <si>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</si>
  <si>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</si>
  <si>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</si>
  <si>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</si>
  <si>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</si>
  <si>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</si>
  <si>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</si>
  <si>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</si>
  <si>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</si>
  <si>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</si>
  <si>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</si>
  <si>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</si>
  <si>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</si>
  <si>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</si>
  <si>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</si>
  <si>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</si>
  <si>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</si>
  <si>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</si>
  <si>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</si>
  <si>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</si>
  <si>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</si>
  <si>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</si>
  <si>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</si>
  <si>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</si>
  <si>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</si>
  <si>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</si>
  <si>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</si>
  <si>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</si>
  <si>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</si>
  <si>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</si>
  <si>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</si>
  <si>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</si>
  <si>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</si>
  <si>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</si>
  <si>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</si>
  <si>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</si>
  <si>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</si>
  <si>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</si>
  <si>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</si>
  <si>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</si>
  <si>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</si>
  <si>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</si>
  <si>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</si>
  <si>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</si>
  <si>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</si>
  <si>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</si>
  <si>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</si>
  <si>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</si>
  <si>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</si>
  <si>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</si>
  <si>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</si>
  <si>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</si>
  <si>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</si>
  <si>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</si>
  <si>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</si>
  <si>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</si>
  <si>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</si>
  <si>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</si>
  <si>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</si>
  <si>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</si>
  <si>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</si>
  <si>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</si>
  <si>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</si>
  <si>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</si>
  <si>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</si>
  <si>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</si>
  <si>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</si>
  <si>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</si>
  <si>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</si>
  <si>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</si>
  <si>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</si>
  <si>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</si>
  <si>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</si>
  <si>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</si>
  <si>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</si>
  <si>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</si>
  <si>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</si>
  <si>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</si>
  <si>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</si>
  <si>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</si>
  <si>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</si>
  <si>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</si>
  <si>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</si>
  <si>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</si>
  <si>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</si>
  <si>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</si>
  <si>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</si>
  <si>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</si>
  <si>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</si>
  <si>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</si>
  <si>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</si>
  <si>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</si>
  <si>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</si>
  <si>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</si>
  <si>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</si>
  <si>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</si>
  <si>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</si>
  <si>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</si>
  <si>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</si>
  <si>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</si>
  <si>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</si>
  <si>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</si>
  <si>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</si>
  <si>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</si>
  <si>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</si>
  <si>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</si>
  <si>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</si>
  <si>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</si>
  <si>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</si>
  <si>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</si>
  <si>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</si>
  <si>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</si>
  <si>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</si>
  <si>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</si>
  <si>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</si>
  <si>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</si>
  <si>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</si>
  <si>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</si>
  <si>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</si>
  <si>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</si>
  <si>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</si>
  <si>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</si>
  <si>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</si>
  <si>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</si>
  <si>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</si>
  <si>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</si>
  <si>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</si>
  <si>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</si>
  <si>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</si>
  <si>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</si>
  <si>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</si>
  <si>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</si>
  <si>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</si>
  <si>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</si>
  <si>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</si>
  <si>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</si>
  <si>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</si>
  <si>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</si>
  <si>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</si>
  <si>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</si>
  <si>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</si>
  <si>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</si>
  <si>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</si>
  <si>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</si>
  <si>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</si>
  <si>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</si>
  <si>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</si>
  <si>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</si>
  <si>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</si>
  <si>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</si>
  <si>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</si>
  <si>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</si>
  <si>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</si>
  <si>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</si>
  <si>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</si>
  <si>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</si>
  <si>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</si>
  <si>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</si>
  <si>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</si>
  <si>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</si>
  <si>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</si>
  <si>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</si>
  <si>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</si>
  <si>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</si>
  <si>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</si>
  <si>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</si>
  <si>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</si>
  <si>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</si>
  <si>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</si>
  <si>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</si>
  <si>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</si>
  <si>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</si>
  <si>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</si>
  <si>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</si>
  <si>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</si>
  <si>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</si>
  <si>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</si>
  <si>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</si>
  <si>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</si>
  <si>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</si>
  <si>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</si>
  <si>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</si>
  <si>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</si>
  <si>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</si>
  <si>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r>
      <t>AZ0A</t>
    </r>
    <r>
      <rPr>
        <sz val="11"/>
        <color theme="1"/>
        <rFont val="等线"/>
        <family val="3"/>
        <charset val="134"/>
        <scheme val="minor"/>
      </rPr>
      <t>,AZ91</t>
    </r>
    <phoneticPr fontId="15" type="noConversion"/>
  </si>
  <si>
    <r>
      <t>AZ0B</t>
    </r>
    <r>
      <rPr>
        <sz val="11"/>
        <color theme="1"/>
        <rFont val="等线"/>
        <family val="3"/>
        <charset val="134"/>
        <scheme val="minor"/>
      </rPr>
      <t>,AZ91</t>
    </r>
    <phoneticPr fontId="15" type="noConversion"/>
  </si>
  <si>
    <r>
      <t>AZ0W,AZ91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</si>
  <si>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AZ0F,AZ1L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</si>
  <si>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AZ1Y,AZ1C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</si>
  <si>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AZ0X,AZ91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</si>
  <si>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AZ0J,AZ1M</t>
    </r>
    <r>
      <rPr>
        <sz val="10"/>
        <color theme="1"/>
        <rFont val="微软雅黑"/>
        <family val="2"/>
        <charset val="134"/>
      </rPr>
      <t>,AZ92</t>
    </r>
    <phoneticPr fontId="15" type="noConversion"/>
  </si>
  <si>
    <t>units\\nightelf\\HeroKeeperoftheGroveGhost\\HeroKeeperoftheGroveGhost.mdl</t>
  </si>
  <si>
    <t>units\\demon\\Warlock\\Warlock.mdl</t>
  </si>
  <si>
    <t>Units\\Creeps\\DragonSpawnPurple\\DragonSpawnPurple.mdl</t>
  </si>
  <si>
    <t>units\\creeps\\DireWolf\\DireWolf.mdl</t>
  </si>
  <si>
    <t>Units\\Creeps\\MagnataurBlue\\MagnataurBlue.mdl</t>
  </si>
  <si>
    <t>Units\\Creeps\\tuskarLord\\tuskarLord.mdl</t>
  </si>
  <si>
    <t>units\\naga\\LadyVashj\\LadyVashj.mdl</t>
  </si>
  <si>
    <t>units\\creeps\\OgreLord\\OgreLord.mdl</t>
  </si>
  <si>
    <t>units\\nightelf\\MountainGiant\\MountainGiant.mdl</t>
  </si>
</sst>
</file>

<file path=xl/styles.xml><?xml version="1.0" encoding="utf-8"?>
<styleSheet xmlns="http://schemas.openxmlformats.org/spreadsheetml/2006/main">
  <numFmts count="1">
    <numFmt numFmtId="178" formatCode="0.0_ "/>
  </numFmts>
  <fonts count="18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theme="1"/>
      <name val="等线"/>
      <charset val="134"/>
      <scheme val="minor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2" fillId="5" borderId="0" applyNumberFormat="0" applyBorder="0" applyAlignment="0" applyProtection="0">
      <alignment vertical="center"/>
    </xf>
    <xf numFmtId="0" fontId="11" fillId="0" borderId="0"/>
  </cellStyleXfs>
  <cellXfs count="6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1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5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0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0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7" fillId="2" borderId="0" xfId="0" applyNumberFormat="1" applyFont="1" applyFill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8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51"/>
  <sheetViews>
    <sheetView tabSelected="1" workbookViewId="0">
      <pane xSplit="6" ySplit="2" topLeftCell="N186" activePane="bottomRight" state="frozen"/>
      <selection pane="topRight"/>
      <selection pane="bottomLeft"/>
      <selection pane="bottomRight" activeCell="N199" sqref="N19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333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5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5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5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5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5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5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5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5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5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5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5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5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5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5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5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5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5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5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5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5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5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5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5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5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5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5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5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5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5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5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5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5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5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5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5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5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5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5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5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5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5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5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5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5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5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5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5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5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7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7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7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7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7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5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7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5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423</v>
      </c>
      <c r="K81" s="10"/>
      <c r="L81" s="10">
        <v>0</v>
      </c>
      <c r="M81" s="10">
        <v>0</v>
      </c>
      <c r="N81" s="10"/>
      <c r="O81" s="10" t="s">
        <v>428</v>
      </c>
      <c r="P81" s="10">
        <v>1.5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7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1000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7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1000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7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7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7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7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7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7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7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8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5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5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5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5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5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5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5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5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5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5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5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5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5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5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5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5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5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5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5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5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5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5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5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5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5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5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5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5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5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5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5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5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5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5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pans="2:72" s="6" customFormat="1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5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pans="2:72" s="6" customFormat="1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5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pans="2:72" s="6" customFormat="1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5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pans="2:72" s="6" customFormat="1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5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pans="2:72" s="6" customFormat="1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5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pans="2:72" s="6" customFormat="1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5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pans="2:72" s="6" customFormat="1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5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pans="2:72" s="6" customFormat="1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5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pans="2:72" s="6" customFormat="1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5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pans="2:72" s="6" customFormat="1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5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pans="2:72" s="6" customFormat="1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5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pans="2:72" s="6" customFormat="1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5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pans="2:72" s="6" customFormat="1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5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pans="2:72" s="6" customFormat="1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5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pans="2:72" s="6" customFormat="1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5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pans="2:72" s="6" customFormat="1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5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pans="2:72" s="6" customFormat="1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5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pans="2:72" s="6" customFormat="1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5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pans="2:72" s="6" customFormat="1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5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pans="2:72" s="6" customFormat="1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5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pans="2:72" s="6" customFormat="1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5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pans="2:72" s="6" customFormat="1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5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pans="2:72" s="6" customFormat="1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5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pans="2:72" s="6" customFormat="1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5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pans="2:72" s="6" customFormat="1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5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pans="2:72" s="6" customFormat="1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5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pans="2:72" s="6" customFormat="1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5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pans="2:72" s="6" customFormat="1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5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pans="2:72" s="6" customFormat="1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5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pans="2:72" s="6" customFormat="1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5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pans="2:72" s="6" customFormat="1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5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pans="2:72" s="6" customFormat="1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5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pans="2:72" s="6" customFormat="1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5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pans="2:72" s="6" customFormat="1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5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pans="2:72" s="6" customFormat="1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5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pans="2:72" s="6" customFormat="1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5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pans="2:72" s="6" customFormat="1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5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pans="2:72" s="6" customFormat="1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5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pans="2:72" s="6" customFormat="1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5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pans="2:72" s="6" customFormat="1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5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pans="2:72" s="6" customFormat="1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5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pans="2:72" s="6" customFormat="1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5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pans="2:72" s="6" customFormat="1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5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pans="2:72" s="6" customFormat="1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5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pans="2:69" s="6" customFormat="1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5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5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5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5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5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5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800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5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5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5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5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5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t="s">
        <v>785</v>
      </c>
      <c r="C188" s="6" t="s">
        <v>71</v>
      </c>
      <c r="D188" s="16" t="s">
        <v>282</v>
      </c>
      <c r="E188" t="s">
        <v>786</v>
      </c>
      <c r="F188" s="24"/>
      <c r="G188" s="16"/>
      <c r="H188" s="16"/>
      <c r="I188" s="16" t="s">
        <v>285</v>
      </c>
      <c r="J188" s="16"/>
      <c r="K188" s="16"/>
      <c r="L188" s="16">
        <v>0</v>
      </c>
      <c r="M188" s="16">
        <v>0</v>
      </c>
      <c r="N188" s="16"/>
      <c r="O188" s="16" t="s">
        <v>1229</v>
      </c>
      <c r="P188" s="10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350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5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300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3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t="s">
        <v>787</v>
      </c>
      <c r="C189" s="6" t="s">
        <v>71</v>
      </c>
      <c r="D189" s="16" t="s">
        <v>282</v>
      </c>
      <c r="E189" s="41" t="s">
        <v>788</v>
      </c>
      <c r="F189" s="24"/>
      <c r="G189" s="16"/>
      <c r="H189" s="16"/>
      <c r="I189" s="16" t="s">
        <v>285</v>
      </c>
      <c r="J189" s="62" t="s">
        <v>1228</v>
      </c>
      <c r="K189" s="16"/>
      <c r="L189" s="16">
        <v>0</v>
      </c>
      <c r="M189" s="16">
        <v>0</v>
      </c>
      <c r="N189" s="16"/>
      <c r="O189" s="16" t="s">
        <v>356</v>
      </c>
      <c r="P189" s="10">
        <v>4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 t="s">
        <v>357</v>
      </c>
      <c r="AC189" s="16"/>
      <c r="AD189" s="16">
        <v>900</v>
      </c>
      <c r="AE189" s="16" t="s">
        <v>151</v>
      </c>
      <c r="AF189" s="16">
        <v>0.1</v>
      </c>
      <c r="AG189" s="16">
        <v>1</v>
      </c>
      <c r="AH189" s="55" t="s">
        <v>165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t="s">
        <v>789</v>
      </c>
      <c r="C190" s="6" t="s">
        <v>71</v>
      </c>
      <c r="D190" s="16" t="s">
        <v>282</v>
      </c>
      <c r="E190" s="41" t="s">
        <v>790</v>
      </c>
      <c r="F190" s="24"/>
      <c r="G190" s="16"/>
      <c r="H190" s="16"/>
      <c r="I190" s="16" t="s">
        <v>285</v>
      </c>
      <c r="J190" s="61" t="s">
        <v>1222</v>
      </c>
      <c r="K190" s="16"/>
      <c r="L190" s="16">
        <v>0</v>
      </c>
      <c r="M190" s="16">
        <v>0</v>
      </c>
      <c r="N190" s="16"/>
      <c r="O190" s="16" t="s">
        <v>791</v>
      </c>
      <c r="P190" s="10">
        <v>3</v>
      </c>
      <c r="Q190" s="16"/>
      <c r="R190" s="16"/>
      <c r="S190" s="16"/>
      <c r="T190" s="16"/>
      <c r="U190" s="16">
        <v>3</v>
      </c>
      <c r="V190" s="16">
        <v>2</v>
      </c>
      <c r="W190" s="16" t="s">
        <v>150</v>
      </c>
      <c r="X190" s="16">
        <v>522</v>
      </c>
      <c r="Y190" s="16">
        <v>0</v>
      </c>
      <c r="Z190" s="16" t="s">
        <v>151</v>
      </c>
      <c r="AA190" s="16">
        <v>1500</v>
      </c>
      <c r="AB190" s="16" t="s">
        <v>792</v>
      </c>
      <c r="AC190" s="16"/>
      <c r="AD190" s="16">
        <v>900</v>
      </c>
      <c r="AE190" s="16" t="s">
        <v>151</v>
      </c>
      <c r="AF190" s="16">
        <v>0.1</v>
      </c>
      <c r="AG190" s="16">
        <v>1</v>
      </c>
      <c r="AH190" s="55" t="s">
        <v>165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t="s">
        <v>793</v>
      </c>
      <c r="C191" s="6" t="s">
        <v>71</v>
      </c>
      <c r="D191" s="16" t="s">
        <v>282</v>
      </c>
      <c r="E191" s="41" t="s">
        <v>794</v>
      </c>
      <c r="F191" s="24"/>
      <c r="G191" s="16"/>
      <c r="H191" s="16"/>
      <c r="I191" s="16" t="s">
        <v>285</v>
      </c>
      <c r="J191" s="61" t="s">
        <v>1223</v>
      </c>
      <c r="K191" s="16"/>
      <c r="L191" s="16">
        <v>0</v>
      </c>
      <c r="M191" s="16">
        <v>0</v>
      </c>
      <c r="N191" s="16"/>
      <c r="O191" s="16" t="s">
        <v>795</v>
      </c>
      <c r="P191" s="10">
        <v>3</v>
      </c>
      <c r="Q191" s="16"/>
      <c r="R191" s="16"/>
      <c r="S191" s="16"/>
      <c r="T191" s="16"/>
      <c r="U191" s="16">
        <v>3</v>
      </c>
      <c r="V191" s="16">
        <v>2</v>
      </c>
      <c r="W191" s="16" t="s">
        <v>150</v>
      </c>
      <c r="X191" s="16">
        <v>522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5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t="s">
        <v>796</v>
      </c>
      <c r="C192" s="6" t="s">
        <v>71</v>
      </c>
      <c r="D192" s="16" t="s">
        <v>282</v>
      </c>
      <c r="E192" s="41" t="s">
        <v>797</v>
      </c>
      <c r="F192" s="24"/>
      <c r="G192" s="16"/>
      <c r="H192" s="16"/>
      <c r="I192" s="16" t="s">
        <v>285</v>
      </c>
      <c r="J192" s="62" t="s">
        <v>1226</v>
      </c>
      <c r="K192" s="16"/>
      <c r="L192" s="16">
        <v>0</v>
      </c>
      <c r="M192" s="16">
        <v>0</v>
      </c>
      <c r="N192" s="16"/>
      <c r="O192" s="16" t="s">
        <v>798</v>
      </c>
      <c r="P192" s="10">
        <v>3</v>
      </c>
      <c r="Q192" s="16"/>
      <c r="R192" s="16"/>
      <c r="S192" s="16"/>
      <c r="T192" s="16"/>
      <c r="U192" s="16">
        <v>3</v>
      </c>
      <c r="V192" s="16">
        <v>2</v>
      </c>
      <c r="W192" s="16" t="s">
        <v>150</v>
      </c>
      <c r="X192" s="16">
        <v>522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5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799</v>
      </c>
      <c r="C193" s="6" t="s">
        <v>71</v>
      </c>
      <c r="D193" s="16" t="s">
        <v>282</v>
      </c>
      <c r="E193" s="41" t="s">
        <v>800</v>
      </c>
      <c r="F193" s="24"/>
      <c r="G193" s="16"/>
      <c r="H193" s="16"/>
      <c r="I193" s="16" t="s">
        <v>285</v>
      </c>
      <c r="J193" s="62" t="s">
        <v>1224</v>
      </c>
      <c r="K193" s="16"/>
      <c r="L193" s="16">
        <v>0</v>
      </c>
      <c r="M193" s="16">
        <v>0</v>
      </c>
      <c r="N193" s="16"/>
      <c r="O193" s="16" t="s">
        <v>801</v>
      </c>
      <c r="P193" s="10">
        <v>3</v>
      </c>
      <c r="Q193" s="16"/>
      <c r="R193" s="16"/>
      <c r="S193" s="16"/>
      <c r="T193" s="16"/>
      <c r="U193" s="16">
        <v>3</v>
      </c>
      <c r="V193" s="16">
        <v>2</v>
      </c>
      <c r="W193" s="16" t="s">
        <v>150</v>
      </c>
      <c r="X193" s="16">
        <v>522</v>
      </c>
      <c r="Y193" s="16">
        <v>0</v>
      </c>
      <c r="Z193" s="16" t="s">
        <v>151</v>
      </c>
      <c r="AA193" s="16">
        <v>1500</v>
      </c>
      <c r="AB193" s="16" t="s">
        <v>802</v>
      </c>
      <c r="AC193" s="16"/>
      <c r="AD193" s="16">
        <v>900</v>
      </c>
      <c r="AE193" s="16" t="s">
        <v>151</v>
      </c>
      <c r="AF193" s="16">
        <v>0.1</v>
      </c>
      <c r="AG193" s="16">
        <v>1</v>
      </c>
      <c r="AH193" s="55" t="s">
        <v>165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803</v>
      </c>
      <c r="C194" s="6" t="s">
        <v>71</v>
      </c>
      <c r="D194" s="16" t="s">
        <v>282</v>
      </c>
      <c r="E194" s="41" t="s">
        <v>804</v>
      </c>
      <c r="F194" s="24"/>
      <c r="G194" s="16"/>
      <c r="H194" s="16"/>
      <c r="I194" s="16" t="s">
        <v>285</v>
      </c>
      <c r="J194" s="62" t="s">
        <v>1225</v>
      </c>
      <c r="K194" s="16"/>
      <c r="L194" s="16">
        <v>0</v>
      </c>
      <c r="M194" s="16">
        <v>0</v>
      </c>
      <c r="N194" s="16"/>
      <c r="O194" s="16" t="s">
        <v>805</v>
      </c>
      <c r="P194" s="10">
        <v>3</v>
      </c>
      <c r="Q194" s="16"/>
      <c r="R194" s="16"/>
      <c r="S194" s="16"/>
      <c r="T194" s="16"/>
      <c r="U194" s="16">
        <v>3</v>
      </c>
      <c r="V194" s="16">
        <v>2</v>
      </c>
      <c r="W194" s="16" t="s">
        <v>150</v>
      </c>
      <c r="X194" s="16">
        <v>522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5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806</v>
      </c>
      <c r="C195" s="6" t="s">
        <v>71</v>
      </c>
      <c r="D195" s="16" t="s">
        <v>282</v>
      </c>
      <c r="E195" s="41" t="s">
        <v>807</v>
      </c>
      <c r="F195" s="24"/>
      <c r="G195" s="16"/>
      <c r="H195" s="16"/>
      <c r="I195" s="16" t="s">
        <v>285</v>
      </c>
      <c r="J195" s="62" t="s">
        <v>1226</v>
      </c>
      <c r="K195" s="16"/>
      <c r="L195" s="16">
        <v>0</v>
      </c>
      <c r="M195" s="16">
        <v>0</v>
      </c>
      <c r="N195" s="16"/>
      <c r="O195" s="16" t="s">
        <v>808</v>
      </c>
      <c r="P195" s="10">
        <v>3</v>
      </c>
      <c r="Q195" s="16"/>
      <c r="R195" s="16"/>
      <c r="S195" s="16"/>
      <c r="T195" s="16"/>
      <c r="U195" s="16">
        <v>3</v>
      </c>
      <c r="V195" s="16">
        <v>2</v>
      </c>
      <c r="W195" s="16" t="s">
        <v>150</v>
      </c>
      <c r="X195" s="16">
        <v>522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5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809</v>
      </c>
      <c r="C196" s="6" t="s">
        <v>71</v>
      </c>
      <c r="D196" s="16" t="s">
        <v>282</v>
      </c>
      <c r="E196" s="41" t="s">
        <v>810</v>
      </c>
      <c r="F196" s="24"/>
      <c r="G196" s="16"/>
      <c r="H196" s="16"/>
      <c r="I196" s="16" t="s">
        <v>285</v>
      </c>
      <c r="J196" s="62" t="s">
        <v>1227</v>
      </c>
      <c r="K196" s="16"/>
      <c r="L196" s="16">
        <v>0</v>
      </c>
      <c r="M196" s="16">
        <v>0</v>
      </c>
      <c r="N196" s="16"/>
      <c r="O196" s="16" t="s">
        <v>811</v>
      </c>
      <c r="P196" s="10">
        <v>3</v>
      </c>
      <c r="Q196" s="16"/>
      <c r="R196" s="16"/>
      <c r="S196" s="16"/>
      <c r="T196" s="16"/>
      <c r="U196" s="16">
        <v>3</v>
      </c>
      <c r="V196" s="16">
        <v>2</v>
      </c>
      <c r="W196" s="16" t="s">
        <v>150</v>
      </c>
      <c r="X196" s="16">
        <v>522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5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812</v>
      </c>
      <c r="C197" s="6" t="s">
        <v>71</v>
      </c>
      <c r="D197" s="16" t="s">
        <v>282</v>
      </c>
      <c r="E197" s="41" t="s">
        <v>813</v>
      </c>
      <c r="F197" s="24"/>
      <c r="G197" s="16"/>
      <c r="H197" s="16"/>
      <c r="I197" s="16" t="s">
        <v>285</v>
      </c>
      <c r="J197" s="62" t="s">
        <v>1226</v>
      </c>
      <c r="K197" s="16"/>
      <c r="L197" s="16">
        <v>0</v>
      </c>
      <c r="M197" s="16">
        <v>0</v>
      </c>
      <c r="N197" s="16"/>
      <c r="O197" s="16" t="s">
        <v>814</v>
      </c>
      <c r="P197" s="10">
        <v>3</v>
      </c>
      <c r="Q197" s="16"/>
      <c r="R197" s="16"/>
      <c r="S197" s="16"/>
      <c r="T197" s="16"/>
      <c r="U197" s="16">
        <v>3</v>
      </c>
      <c r="V197" s="16">
        <v>2</v>
      </c>
      <c r="W197" s="16" t="s">
        <v>150</v>
      </c>
      <c r="X197" s="16">
        <v>522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5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815</v>
      </c>
      <c r="C198" s="6" t="s">
        <v>71</v>
      </c>
      <c r="D198" s="16" t="s">
        <v>282</v>
      </c>
      <c r="E198" s="41" t="s">
        <v>816</v>
      </c>
      <c r="F198" s="24"/>
      <c r="G198" s="16"/>
      <c r="H198" s="16"/>
      <c r="I198" s="16" t="s">
        <v>285</v>
      </c>
      <c r="J198" s="16" t="s">
        <v>817</v>
      </c>
      <c r="K198" s="16"/>
      <c r="L198" s="16">
        <v>0</v>
      </c>
      <c r="M198" s="16">
        <v>0</v>
      </c>
      <c r="N198" s="16"/>
      <c r="O198" s="16" t="s">
        <v>1230</v>
      </c>
      <c r="P198" s="10">
        <v>1.5</v>
      </c>
      <c r="Q198" s="16"/>
      <c r="R198" s="16"/>
      <c r="S198" s="16"/>
      <c r="T198" s="16"/>
      <c r="U198" s="16">
        <v>1.5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818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5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500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819</v>
      </c>
      <c r="C199" s="6" t="s">
        <v>71</v>
      </c>
      <c r="D199" s="16" t="s">
        <v>282</v>
      </c>
      <c r="E199" t="s">
        <v>820</v>
      </c>
      <c r="F199" s="24"/>
      <c r="G199" s="16"/>
      <c r="H199" s="16"/>
      <c r="I199" s="16" t="s">
        <v>285</v>
      </c>
      <c r="J199" s="16" t="s">
        <v>461</v>
      </c>
      <c r="K199" s="16"/>
      <c r="L199" s="16">
        <v>0</v>
      </c>
      <c r="M199" s="16">
        <v>0</v>
      </c>
      <c r="N199" s="16"/>
      <c r="O199" s="16" t="s">
        <v>1231</v>
      </c>
      <c r="P199" s="10">
        <v>1.5</v>
      </c>
      <c r="Q199" s="16"/>
      <c r="R199" s="16"/>
      <c r="S199" s="16"/>
      <c r="T199" s="16"/>
      <c r="U199" s="16">
        <v>1.5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5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821</v>
      </c>
      <c r="C200" s="6" t="s">
        <v>71</v>
      </c>
      <c r="D200" s="16" t="s">
        <v>282</v>
      </c>
      <c r="E200" t="s">
        <v>822</v>
      </c>
      <c r="F200" s="24"/>
      <c r="G200" s="16"/>
      <c r="H200" s="16"/>
      <c r="I200" s="16" t="s">
        <v>285</v>
      </c>
      <c r="J200" s="16" t="s">
        <v>461</v>
      </c>
      <c r="K200" s="16"/>
      <c r="L200" s="16">
        <v>0</v>
      </c>
      <c r="M200" s="16">
        <v>0</v>
      </c>
      <c r="N200" s="16"/>
      <c r="O200" s="16" t="s">
        <v>1232</v>
      </c>
      <c r="P200" s="10">
        <v>1.5</v>
      </c>
      <c r="Q200" s="16"/>
      <c r="R200" s="16"/>
      <c r="S200" s="16"/>
      <c r="T200" s="16"/>
      <c r="U200" s="16">
        <v>1.5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5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300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823</v>
      </c>
      <c r="C201" s="6" t="s">
        <v>71</v>
      </c>
      <c r="D201" s="16" t="s">
        <v>282</v>
      </c>
      <c r="E201" t="s">
        <v>824</v>
      </c>
      <c r="F201" s="24"/>
      <c r="G201" s="16"/>
      <c r="H201" s="16"/>
      <c r="I201" s="16" t="s">
        <v>285</v>
      </c>
      <c r="J201" s="16" t="s">
        <v>825</v>
      </c>
      <c r="K201" s="16"/>
      <c r="L201" s="16">
        <v>0</v>
      </c>
      <c r="M201" s="16">
        <v>0</v>
      </c>
      <c r="N201" s="16"/>
      <c r="O201" s="16" t="s">
        <v>1233</v>
      </c>
      <c r="P201" s="10">
        <v>1.5</v>
      </c>
      <c r="Q201" s="16"/>
      <c r="R201" s="16"/>
      <c r="S201" s="16"/>
      <c r="T201" s="16"/>
      <c r="U201" s="16">
        <v>1.5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5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826</v>
      </c>
      <c r="C202" s="6" t="s">
        <v>71</v>
      </c>
      <c r="D202" s="16" t="s">
        <v>282</v>
      </c>
      <c r="E202" t="s">
        <v>827</v>
      </c>
      <c r="F202" s="24"/>
      <c r="G202" s="16"/>
      <c r="H202" s="16"/>
      <c r="I202" s="16" t="s">
        <v>285</v>
      </c>
      <c r="J202" s="16" t="s">
        <v>828</v>
      </c>
      <c r="K202" s="16"/>
      <c r="L202" s="16">
        <v>0</v>
      </c>
      <c r="M202" s="16">
        <v>0</v>
      </c>
      <c r="N202" s="16"/>
      <c r="O202" s="16" t="s">
        <v>1234</v>
      </c>
      <c r="P202" s="10">
        <v>1.5</v>
      </c>
      <c r="Q202" s="16"/>
      <c r="R202" s="16"/>
      <c r="S202" s="16"/>
      <c r="T202" s="16"/>
      <c r="U202" s="16">
        <v>1.5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5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300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829</v>
      </c>
      <c r="C203" s="6" t="s">
        <v>71</v>
      </c>
      <c r="D203" s="16" t="s">
        <v>282</v>
      </c>
      <c r="E203" s="41" t="s">
        <v>830</v>
      </c>
      <c r="F203" s="24"/>
      <c r="G203" s="16"/>
      <c r="H203" s="16"/>
      <c r="I203" s="16" t="s">
        <v>285</v>
      </c>
      <c r="J203" s="16" t="s">
        <v>831</v>
      </c>
      <c r="K203" s="16"/>
      <c r="L203" s="16">
        <v>0</v>
      </c>
      <c r="M203" s="16">
        <v>0</v>
      </c>
      <c r="N203" s="16"/>
      <c r="O203" s="16" t="s">
        <v>1235</v>
      </c>
      <c r="P203" s="10">
        <v>1.5</v>
      </c>
      <c r="Q203" s="16"/>
      <c r="R203" s="16"/>
      <c r="S203" s="16"/>
      <c r="T203" s="16"/>
      <c r="U203" s="16">
        <v>1.5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 t="s">
        <v>832</v>
      </c>
      <c r="AC203" s="16"/>
      <c r="AD203" s="16">
        <v>900</v>
      </c>
      <c r="AE203" s="16" t="s">
        <v>151</v>
      </c>
      <c r="AF203" s="16">
        <v>0.1</v>
      </c>
      <c r="AG203" s="16">
        <v>1</v>
      </c>
      <c r="AH203" s="55" t="s">
        <v>165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833</v>
      </c>
      <c r="C204" s="6" t="s">
        <v>71</v>
      </c>
      <c r="D204" s="16" t="s">
        <v>282</v>
      </c>
      <c r="E204" t="s">
        <v>834</v>
      </c>
      <c r="F204" s="24"/>
      <c r="G204" s="16"/>
      <c r="H204" s="16"/>
      <c r="I204" s="16" t="s">
        <v>285</v>
      </c>
      <c r="J204" s="44" t="s">
        <v>835</v>
      </c>
      <c r="K204" s="16"/>
      <c r="L204" s="16">
        <v>0</v>
      </c>
      <c r="M204" s="16">
        <v>0</v>
      </c>
      <c r="N204" s="16"/>
      <c r="O204" s="16" t="s">
        <v>1236</v>
      </c>
      <c r="P204" s="10">
        <v>1.5</v>
      </c>
      <c r="Q204" s="16"/>
      <c r="R204" s="16"/>
      <c r="S204" s="16"/>
      <c r="T204" s="16"/>
      <c r="U204" s="16">
        <v>1.5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5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300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836</v>
      </c>
      <c r="C205" s="6" t="s">
        <v>71</v>
      </c>
      <c r="D205" s="16" t="s">
        <v>282</v>
      </c>
      <c r="E205" t="s">
        <v>837</v>
      </c>
      <c r="F205" s="24"/>
      <c r="G205" s="16"/>
      <c r="H205" s="16"/>
      <c r="I205" s="16" t="s">
        <v>285</v>
      </c>
      <c r="J205" s="16" t="s">
        <v>461</v>
      </c>
      <c r="K205" s="16"/>
      <c r="L205" s="16">
        <v>0</v>
      </c>
      <c r="M205" s="16">
        <v>0</v>
      </c>
      <c r="N205" s="16"/>
      <c r="O205" s="16" t="s">
        <v>1237</v>
      </c>
      <c r="P205" s="10">
        <v>1.5</v>
      </c>
      <c r="Q205" s="16"/>
      <c r="R205" s="16"/>
      <c r="S205" s="16"/>
      <c r="T205" s="16"/>
      <c r="U205" s="16">
        <v>1.5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5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300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838</v>
      </c>
      <c r="C206" s="6" t="s">
        <v>71</v>
      </c>
      <c r="D206" s="16" t="s">
        <v>282</v>
      </c>
      <c r="E206" s="42" t="s">
        <v>839</v>
      </c>
      <c r="F206" s="24"/>
      <c r="G206" s="16" t="s">
        <v>840</v>
      </c>
      <c r="H206" s="16"/>
      <c r="I206" s="16" t="s">
        <v>285</v>
      </c>
      <c r="J206" s="12"/>
      <c r="K206" s="16"/>
      <c r="L206" s="16">
        <v>0</v>
      </c>
      <c r="M206" s="16">
        <v>0</v>
      </c>
      <c r="N206" s="16"/>
      <c r="O206" s="16" t="s">
        <v>841</v>
      </c>
      <c r="P206" s="16">
        <v>1.34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5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842</v>
      </c>
      <c r="C207" s="6" t="s">
        <v>71</v>
      </c>
      <c r="D207" s="16" t="s">
        <v>282</v>
      </c>
      <c r="E207" s="42" t="s">
        <v>843</v>
      </c>
      <c r="F207" s="24"/>
      <c r="G207" s="16" t="s">
        <v>840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841</v>
      </c>
      <c r="P207" s="16">
        <v>1.4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5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844</v>
      </c>
      <c r="C208" s="6" t="s">
        <v>71</v>
      </c>
      <c r="D208" s="16" t="s">
        <v>282</v>
      </c>
      <c r="E208" s="42" t="s">
        <v>845</v>
      </c>
      <c r="F208" s="24"/>
      <c r="G208" s="16" t="s">
        <v>840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841</v>
      </c>
      <c r="P208" s="16">
        <v>1.46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5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846</v>
      </c>
      <c r="C209" s="6" t="s">
        <v>71</v>
      </c>
      <c r="D209" s="16" t="s">
        <v>282</v>
      </c>
      <c r="E209" s="42" t="s">
        <v>847</v>
      </c>
      <c r="F209" s="24"/>
      <c r="G209" s="16" t="s">
        <v>840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841</v>
      </c>
      <c r="P209" s="16">
        <v>1.52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5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848</v>
      </c>
      <c r="C210" s="6" t="s">
        <v>71</v>
      </c>
      <c r="D210" s="16" t="s">
        <v>282</v>
      </c>
      <c r="E210" s="42" t="s">
        <v>849</v>
      </c>
      <c r="F210" s="24"/>
      <c r="G210" s="16" t="s">
        <v>840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841</v>
      </c>
      <c r="P210" s="16">
        <v>1.58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5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850</v>
      </c>
      <c r="C211" s="6" t="s">
        <v>71</v>
      </c>
      <c r="D211" s="16" t="s">
        <v>282</v>
      </c>
      <c r="E211" s="42" t="s">
        <v>851</v>
      </c>
      <c r="F211" s="24"/>
      <c r="G211" s="16" t="s">
        <v>840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841</v>
      </c>
      <c r="P211" s="16">
        <v>1.64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5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852</v>
      </c>
      <c r="C212" s="6" t="s">
        <v>71</v>
      </c>
      <c r="D212" s="16" t="s">
        <v>282</v>
      </c>
      <c r="E212" s="42" t="s">
        <v>853</v>
      </c>
      <c r="F212" s="24"/>
      <c r="G212" s="16" t="s">
        <v>840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841</v>
      </c>
      <c r="P212" s="16">
        <v>1.7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5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854</v>
      </c>
      <c r="C213" s="6" t="s">
        <v>71</v>
      </c>
      <c r="D213" s="16" t="s">
        <v>282</v>
      </c>
      <c r="E213" s="42" t="s">
        <v>855</v>
      </c>
      <c r="F213" s="24"/>
      <c r="G213" s="16" t="s">
        <v>840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841</v>
      </c>
      <c r="P213" s="16">
        <v>1.76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5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856</v>
      </c>
      <c r="C214" s="6" t="s">
        <v>71</v>
      </c>
      <c r="D214" s="16" t="s">
        <v>282</v>
      </c>
      <c r="E214" s="42" t="s">
        <v>857</v>
      </c>
      <c r="F214" s="24"/>
      <c r="G214" s="16" t="s">
        <v>840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841</v>
      </c>
      <c r="P214" s="16">
        <v>1.82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5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858</v>
      </c>
      <c r="C215" s="6" t="s">
        <v>71</v>
      </c>
      <c r="D215" s="16" t="s">
        <v>282</v>
      </c>
      <c r="E215" s="42" t="s">
        <v>859</v>
      </c>
      <c r="F215" s="24"/>
      <c r="G215" s="16" t="s">
        <v>840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841</v>
      </c>
      <c r="P215" s="16">
        <v>1.88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5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860</v>
      </c>
      <c r="C216" s="6" t="s">
        <v>71</v>
      </c>
      <c r="D216" s="16" t="s">
        <v>282</v>
      </c>
      <c r="E216" s="42" t="s">
        <v>861</v>
      </c>
      <c r="F216" s="24"/>
      <c r="G216" s="16" t="s">
        <v>840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841</v>
      </c>
      <c r="P216" s="16">
        <v>1.94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5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862</v>
      </c>
      <c r="C217" s="6" t="s">
        <v>71</v>
      </c>
      <c r="D217" s="16" t="s">
        <v>282</v>
      </c>
      <c r="E217" s="42" t="s">
        <v>863</v>
      </c>
      <c r="F217" s="24"/>
      <c r="G217" s="16" t="s">
        <v>840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841</v>
      </c>
      <c r="P217" s="16">
        <v>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5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864</v>
      </c>
      <c r="C218" s="6" t="s">
        <v>71</v>
      </c>
      <c r="D218" s="16" t="s">
        <v>282</v>
      </c>
      <c r="E218" s="42" t="s">
        <v>865</v>
      </c>
      <c r="F218" s="24"/>
      <c r="G218" s="16" t="s">
        <v>840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757</v>
      </c>
      <c r="P218" s="16">
        <v>1.34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5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866</v>
      </c>
      <c r="C219" s="6" t="s">
        <v>71</v>
      </c>
      <c r="D219" s="16" t="s">
        <v>282</v>
      </c>
      <c r="E219" s="42" t="s">
        <v>867</v>
      </c>
      <c r="F219" s="24"/>
      <c r="G219" s="16" t="s">
        <v>840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757</v>
      </c>
      <c r="P219" s="16">
        <v>1.4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5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868</v>
      </c>
      <c r="C220" s="6" t="s">
        <v>71</v>
      </c>
      <c r="D220" s="16" t="s">
        <v>282</v>
      </c>
      <c r="E220" s="42" t="s">
        <v>869</v>
      </c>
      <c r="F220" s="24"/>
      <c r="G220" s="16" t="s">
        <v>840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757</v>
      </c>
      <c r="P220" s="16">
        <v>1.46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5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870</v>
      </c>
      <c r="C221" s="6" t="s">
        <v>71</v>
      </c>
      <c r="D221" s="16" t="s">
        <v>282</v>
      </c>
      <c r="E221" s="42" t="s">
        <v>871</v>
      </c>
      <c r="F221" s="24"/>
      <c r="G221" s="16" t="s">
        <v>840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757</v>
      </c>
      <c r="P221" s="16">
        <v>1.52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5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872</v>
      </c>
      <c r="C222" s="6" t="s">
        <v>71</v>
      </c>
      <c r="D222" s="16" t="s">
        <v>282</v>
      </c>
      <c r="E222" s="42" t="s">
        <v>873</v>
      </c>
      <c r="F222" s="24"/>
      <c r="G222" s="16" t="s">
        <v>840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757</v>
      </c>
      <c r="P222" s="16">
        <v>1.58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5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874</v>
      </c>
      <c r="C223" s="6" t="s">
        <v>71</v>
      </c>
      <c r="D223" s="16" t="s">
        <v>282</v>
      </c>
      <c r="E223" s="42" t="s">
        <v>875</v>
      </c>
      <c r="F223" s="24"/>
      <c r="G223" s="16" t="s">
        <v>840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757</v>
      </c>
      <c r="P223" s="16">
        <v>1.64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5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876</v>
      </c>
      <c r="C224" s="6" t="s">
        <v>71</v>
      </c>
      <c r="D224" s="16" t="s">
        <v>282</v>
      </c>
      <c r="E224" s="42" t="s">
        <v>877</v>
      </c>
      <c r="F224" s="24"/>
      <c r="G224" s="16" t="s">
        <v>840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757</v>
      </c>
      <c r="P224" s="16">
        <v>1.7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5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878</v>
      </c>
      <c r="C225" s="6" t="s">
        <v>71</v>
      </c>
      <c r="D225" s="16" t="s">
        <v>282</v>
      </c>
      <c r="E225" s="42" t="s">
        <v>879</v>
      </c>
      <c r="F225" s="24"/>
      <c r="G225" s="16" t="s">
        <v>840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757</v>
      </c>
      <c r="P225" s="16">
        <v>1.76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5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880</v>
      </c>
      <c r="C226" s="6" t="s">
        <v>71</v>
      </c>
      <c r="D226" s="16" t="s">
        <v>282</v>
      </c>
      <c r="E226" s="42" t="s">
        <v>881</v>
      </c>
      <c r="F226" s="24"/>
      <c r="G226" s="16" t="s">
        <v>840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757</v>
      </c>
      <c r="P226" s="16">
        <v>1.82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5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882</v>
      </c>
      <c r="C227" s="6" t="s">
        <v>71</v>
      </c>
      <c r="D227" s="16" t="s">
        <v>282</v>
      </c>
      <c r="E227" s="42" t="s">
        <v>883</v>
      </c>
      <c r="F227" s="24"/>
      <c r="G227" s="16" t="s">
        <v>840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757</v>
      </c>
      <c r="P227" s="16">
        <v>1.88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5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884</v>
      </c>
      <c r="C228" s="6" t="s">
        <v>71</v>
      </c>
      <c r="D228" s="16" t="s">
        <v>282</v>
      </c>
      <c r="E228" s="42" t="s">
        <v>885</v>
      </c>
      <c r="F228" s="24"/>
      <c r="G228" s="16" t="s">
        <v>840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757</v>
      </c>
      <c r="P228" s="16">
        <v>1.94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5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886</v>
      </c>
      <c r="C229" s="6" t="s">
        <v>71</v>
      </c>
      <c r="D229" s="16" t="s">
        <v>282</v>
      </c>
      <c r="E229" s="42" t="s">
        <v>887</v>
      </c>
      <c r="F229" s="24"/>
      <c r="G229" s="16" t="s">
        <v>840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757</v>
      </c>
      <c r="P229" s="16">
        <v>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5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888</v>
      </c>
      <c r="C230" s="6" t="s">
        <v>71</v>
      </c>
      <c r="D230" s="16" t="s">
        <v>282</v>
      </c>
      <c r="E230" s="42" t="s">
        <v>889</v>
      </c>
      <c r="F230" s="24"/>
      <c r="G230" s="16" t="s">
        <v>840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890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5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891</v>
      </c>
      <c r="C231" s="6" t="s">
        <v>71</v>
      </c>
      <c r="D231" s="16" t="s">
        <v>282</v>
      </c>
      <c r="E231" s="42" t="s">
        <v>892</v>
      </c>
      <c r="F231" s="24"/>
      <c r="G231" s="16" t="s">
        <v>840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890</v>
      </c>
      <c r="P231" s="16">
        <v>1.4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5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893</v>
      </c>
      <c r="C232" s="6" t="s">
        <v>71</v>
      </c>
      <c r="D232" s="16" t="s">
        <v>282</v>
      </c>
      <c r="E232" s="42" t="s">
        <v>894</v>
      </c>
      <c r="F232" s="24"/>
      <c r="G232" s="16" t="s">
        <v>840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890</v>
      </c>
      <c r="P232" s="16">
        <v>1.6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5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895</v>
      </c>
      <c r="C233" s="6" t="s">
        <v>71</v>
      </c>
      <c r="D233" s="16" t="s">
        <v>282</v>
      </c>
      <c r="E233" s="42" t="s">
        <v>896</v>
      </c>
      <c r="F233" s="24"/>
      <c r="G233" s="16" t="s">
        <v>840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890</v>
      </c>
      <c r="P233" s="16">
        <v>1.8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5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897</v>
      </c>
      <c r="C234" s="6" t="s">
        <v>71</v>
      </c>
      <c r="D234" s="16" t="s">
        <v>282</v>
      </c>
      <c r="E234" s="42" t="s">
        <v>898</v>
      </c>
      <c r="F234" s="24"/>
      <c r="G234" s="16" t="s">
        <v>840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890</v>
      </c>
      <c r="P234" s="16">
        <v>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5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899</v>
      </c>
      <c r="C235" s="6" t="s">
        <v>71</v>
      </c>
      <c r="D235" s="16" t="s">
        <v>282</v>
      </c>
      <c r="E235" s="42" t="s">
        <v>900</v>
      </c>
      <c r="F235" s="24"/>
      <c r="G235" s="16" t="s">
        <v>840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890</v>
      </c>
      <c r="P235" s="16">
        <v>2.2000000000000002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5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901</v>
      </c>
      <c r="C236" s="6" t="s">
        <v>71</v>
      </c>
      <c r="D236" s="16" t="s">
        <v>282</v>
      </c>
      <c r="E236" s="42" t="s">
        <v>902</v>
      </c>
      <c r="F236" s="24"/>
      <c r="G236" s="16" t="s">
        <v>840</v>
      </c>
      <c r="H236" s="16"/>
      <c r="I236" s="16" t="s">
        <v>285</v>
      </c>
      <c r="J236" s="12" t="s">
        <v>903</v>
      </c>
      <c r="K236" s="16"/>
      <c r="L236" s="16">
        <v>0</v>
      </c>
      <c r="M236" s="16">
        <v>0</v>
      </c>
      <c r="N236" s="16"/>
      <c r="O236" s="16" t="s">
        <v>890</v>
      </c>
      <c r="P236" s="16">
        <v>2.4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5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>
        <v>20</v>
      </c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904</v>
      </c>
      <c r="C237" s="6" t="s">
        <v>71</v>
      </c>
      <c r="D237" s="16" t="s">
        <v>282</v>
      </c>
      <c r="E237" s="42" t="s">
        <v>905</v>
      </c>
      <c r="F237" s="24"/>
      <c r="G237" s="16" t="s">
        <v>840</v>
      </c>
      <c r="H237" s="16"/>
      <c r="I237" s="16" t="s">
        <v>285</v>
      </c>
      <c r="J237" s="12" t="s">
        <v>903</v>
      </c>
      <c r="K237" s="16"/>
      <c r="L237" s="16">
        <v>0</v>
      </c>
      <c r="M237" s="16">
        <v>0</v>
      </c>
      <c r="N237" s="16"/>
      <c r="O237" s="16" t="s">
        <v>890</v>
      </c>
      <c r="P237" s="16">
        <v>2.6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5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>
        <v>20</v>
      </c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906</v>
      </c>
      <c r="C238" s="6" t="s">
        <v>71</v>
      </c>
      <c r="D238" s="16" t="s">
        <v>282</v>
      </c>
      <c r="E238" s="42" t="s">
        <v>907</v>
      </c>
      <c r="F238" s="24"/>
      <c r="G238" s="16" t="s">
        <v>840</v>
      </c>
      <c r="H238" s="16"/>
      <c r="I238" s="16" t="s">
        <v>285</v>
      </c>
      <c r="J238" s="12" t="s">
        <v>903</v>
      </c>
      <c r="K238" s="16"/>
      <c r="L238" s="16">
        <v>0</v>
      </c>
      <c r="M238" s="16">
        <v>0</v>
      </c>
      <c r="N238" s="16"/>
      <c r="O238" s="16" t="s">
        <v>890</v>
      </c>
      <c r="P238" s="16">
        <v>2.8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5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>
        <v>20</v>
      </c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2" t="s">
        <v>908</v>
      </c>
      <c r="C239" s="6" t="s">
        <v>71</v>
      </c>
      <c r="D239" s="16" t="s">
        <v>282</v>
      </c>
      <c r="E239" s="42" t="s">
        <v>909</v>
      </c>
      <c r="F239" s="24"/>
      <c r="G239" s="16" t="s">
        <v>840</v>
      </c>
      <c r="H239" s="16"/>
      <c r="I239" s="16" t="s">
        <v>285</v>
      </c>
      <c r="J239" s="12" t="s">
        <v>903</v>
      </c>
      <c r="K239" s="16"/>
      <c r="L239" s="16">
        <v>0</v>
      </c>
      <c r="M239" s="16">
        <v>0</v>
      </c>
      <c r="N239" s="16"/>
      <c r="O239" s="16" t="s">
        <v>890</v>
      </c>
      <c r="P239" s="16">
        <v>3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5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>
        <v>20</v>
      </c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2" t="s">
        <v>910</v>
      </c>
      <c r="C240" s="6" t="s">
        <v>71</v>
      </c>
      <c r="D240" s="16" t="s">
        <v>282</v>
      </c>
      <c r="E240" s="42" t="s">
        <v>911</v>
      </c>
      <c r="F240" s="24"/>
      <c r="G240" s="16" t="s">
        <v>840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890</v>
      </c>
      <c r="P240" s="16">
        <v>3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5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2" t="s">
        <v>912</v>
      </c>
      <c r="C241" s="6" t="s">
        <v>71</v>
      </c>
      <c r="D241" s="16" t="s">
        <v>282</v>
      </c>
      <c r="E241" s="42" t="s">
        <v>913</v>
      </c>
      <c r="F241" s="24"/>
      <c r="G241" s="16" t="s">
        <v>840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890</v>
      </c>
      <c r="P241" s="16">
        <v>3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5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2" t="s">
        <v>914</v>
      </c>
      <c r="C242" s="6" t="s">
        <v>71</v>
      </c>
      <c r="D242" s="16" t="s">
        <v>282</v>
      </c>
      <c r="E242" s="42" t="s">
        <v>915</v>
      </c>
      <c r="F242" s="24"/>
      <c r="G242" s="16" t="s">
        <v>840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890</v>
      </c>
      <c r="P242" s="16">
        <v>3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5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2" t="s">
        <v>916</v>
      </c>
      <c r="C243" s="6" t="s">
        <v>71</v>
      </c>
      <c r="D243" s="16" t="s">
        <v>282</v>
      </c>
      <c r="E243" s="42" t="s">
        <v>917</v>
      </c>
      <c r="F243" s="24"/>
      <c r="G243" s="16" t="s">
        <v>840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890</v>
      </c>
      <c r="P243" s="16">
        <v>3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5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2" t="s">
        <v>918</v>
      </c>
      <c r="C244" s="6" t="s">
        <v>71</v>
      </c>
      <c r="D244" s="16" t="s">
        <v>282</v>
      </c>
      <c r="E244" s="42" t="s">
        <v>919</v>
      </c>
      <c r="F244" s="24"/>
      <c r="G244" s="16" t="s">
        <v>840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890</v>
      </c>
      <c r="P244" s="16">
        <v>3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5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2" t="s">
        <v>920</v>
      </c>
      <c r="C245" s="6" t="s">
        <v>71</v>
      </c>
      <c r="D245" s="16" t="s">
        <v>282</v>
      </c>
      <c r="E245" s="42" t="s">
        <v>921</v>
      </c>
      <c r="F245" s="24"/>
      <c r="G245" s="16" t="s">
        <v>840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890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5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2" t="s">
        <v>922</v>
      </c>
      <c r="C246" s="6" t="s">
        <v>71</v>
      </c>
      <c r="D246" s="16" t="s">
        <v>282</v>
      </c>
      <c r="E246" s="42" t="s">
        <v>923</v>
      </c>
      <c r="F246" s="24"/>
      <c r="G246" s="16" t="s">
        <v>840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890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5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2" t="s">
        <v>924</v>
      </c>
      <c r="C247" s="6" t="s">
        <v>71</v>
      </c>
      <c r="D247" s="16" t="s">
        <v>282</v>
      </c>
      <c r="E247" s="42" t="s">
        <v>925</v>
      </c>
      <c r="F247" s="24"/>
      <c r="G247" s="16" t="s">
        <v>840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890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5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2" t="s">
        <v>926</v>
      </c>
      <c r="C248" s="6" t="s">
        <v>71</v>
      </c>
      <c r="D248" s="16" t="s">
        <v>282</v>
      </c>
      <c r="E248" s="42" t="s">
        <v>927</v>
      </c>
      <c r="F248" s="24"/>
      <c r="G248" s="16" t="s">
        <v>840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890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5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2" t="s">
        <v>928</v>
      </c>
      <c r="C249" s="6" t="s">
        <v>71</v>
      </c>
      <c r="D249" s="16" t="s">
        <v>282</v>
      </c>
      <c r="E249" s="42" t="s">
        <v>929</v>
      </c>
      <c r="F249" s="24"/>
      <c r="G249" s="16" t="s">
        <v>840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890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5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930</v>
      </c>
      <c r="C250" s="6" t="s">
        <v>71</v>
      </c>
      <c r="D250" s="16" t="s">
        <v>282</v>
      </c>
      <c r="E250" s="43" t="s">
        <v>931</v>
      </c>
      <c r="F250" s="24"/>
      <c r="G250" s="16" t="s">
        <v>840</v>
      </c>
      <c r="H250" s="16"/>
      <c r="I250" s="16" t="s">
        <v>285</v>
      </c>
      <c r="J250" s="12" t="s">
        <v>932</v>
      </c>
      <c r="K250" s="16"/>
      <c r="L250" s="16">
        <v>0</v>
      </c>
      <c r="M250" s="16">
        <v>0</v>
      </c>
      <c r="N250" s="16"/>
      <c r="O250" s="45" t="s">
        <v>933</v>
      </c>
      <c r="P250" s="16">
        <v>1.2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5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>
        <v>20</v>
      </c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934</v>
      </c>
      <c r="C251" s="6" t="s">
        <v>71</v>
      </c>
      <c r="D251" s="16" t="s">
        <v>282</v>
      </c>
      <c r="E251" s="43" t="s">
        <v>935</v>
      </c>
      <c r="F251" s="24"/>
      <c r="G251" s="16" t="s">
        <v>840</v>
      </c>
      <c r="H251" s="16"/>
      <c r="I251" s="16" t="s">
        <v>285</v>
      </c>
      <c r="J251" s="12" t="s">
        <v>932</v>
      </c>
      <c r="K251" s="16"/>
      <c r="L251" s="16">
        <v>0</v>
      </c>
      <c r="M251" s="16">
        <v>0</v>
      </c>
      <c r="N251" s="16"/>
      <c r="O251" s="45" t="s">
        <v>933</v>
      </c>
      <c r="P251" s="16">
        <v>1.2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5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>
        <v>20</v>
      </c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936</v>
      </c>
      <c r="C252" s="6" t="s">
        <v>71</v>
      </c>
      <c r="D252" s="16" t="s">
        <v>282</v>
      </c>
      <c r="E252" s="43" t="s">
        <v>937</v>
      </c>
      <c r="F252" s="24"/>
      <c r="G252" s="16" t="s">
        <v>840</v>
      </c>
      <c r="H252" s="16"/>
      <c r="I252" s="16" t="s">
        <v>285</v>
      </c>
      <c r="J252" s="12" t="s">
        <v>932</v>
      </c>
      <c r="K252" s="16"/>
      <c r="L252" s="16">
        <v>0</v>
      </c>
      <c r="M252" s="16">
        <v>0</v>
      </c>
      <c r="N252" s="16"/>
      <c r="O252" s="45" t="s">
        <v>933</v>
      </c>
      <c r="P252" s="16">
        <v>1.2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5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>
        <v>20</v>
      </c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938</v>
      </c>
      <c r="C253" s="6" t="s">
        <v>71</v>
      </c>
      <c r="D253" s="16" t="s">
        <v>282</v>
      </c>
      <c r="E253" s="43" t="s">
        <v>939</v>
      </c>
      <c r="F253" s="24"/>
      <c r="G253" s="16" t="s">
        <v>840</v>
      </c>
      <c r="H253" s="16"/>
      <c r="I253" s="16" t="s">
        <v>285</v>
      </c>
      <c r="J253" s="12" t="s">
        <v>932</v>
      </c>
      <c r="K253" s="16"/>
      <c r="L253" s="16">
        <v>0</v>
      </c>
      <c r="M253" s="16">
        <v>0</v>
      </c>
      <c r="N253" s="16"/>
      <c r="O253" s="45" t="s">
        <v>933</v>
      </c>
      <c r="P253" s="16">
        <v>1.2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5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>
        <v>20</v>
      </c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940</v>
      </c>
      <c r="C254" s="6" t="s">
        <v>71</v>
      </c>
      <c r="D254" s="16" t="s">
        <v>282</v>
      </c>
      <c r="E254" s="43" t="s">
        <v>941</v>
      </c>
      <c r="F254" s="24"/>
      <c r="G254" s="16" t="s">
        <v>840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45" t="s">
        <v>933</v>
      </c>
      <c r="P254" s="16">
        <v>1.2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5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942</v>
      </c>
      <c r="C255" s="6" t="s">
        <v>71</v>
      </c>
      <c r="D255" s="16" t="s">
        <v>282</v>
      </c>
      <c r="E255" s="43" t="s">
        <v>943</v>
      </c>
      <c r="F255" s="24"/>
      <c r="G255" s="16" t="s">
        <v>840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45" t="s">
        <v>933</v>
      </c>
      <c r="P255" s="16">
        <v>1.2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5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944</v>
      </c>
      <c r="C256" s="6" t="s">
        <v>71</v>
      </c>
      <c r="D256" s="16" t="s">
        <v>282</v>
      </c>
      <c r="E256" s="43" t="s">
        <v>945</v>
      </c>
      <c r="F256" s="24"/>
      <c r="G256" s="16" t="s">
        <v>840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45" t="s">
        <v>933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5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946</v>
      </c>
      <c r="C257" s="6" t="s">
        <v>71</v>
      </c>
      <c r="D257" s="16" t="s">
        <v>282</v>
      </c>
      <c r="E257" s="43" t="s">
        <v>947</v>
      </c>
      <c r="F257" s="24"/>
      <c r="G257" s="16" t="s">
        <v>840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45" t="s">
        <v>933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5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948</v>
      </c>
      <c r="C258" s="6" t="s">
        <v>71</v>
      </c>
      <c r="D258" s="16" t="s">
        <v>282</v>
      </c>
      <c r="E258" s="43" t="s">
        <v>949</v>
      </c>
      <c r="F258" s="24"/>
      <c r="G258" s="16" t="s">
        <v>840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757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5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950</v>
      </c>
      <c r="C259" s="6" t="s">
        <v>71</v>
      </c>
      <c r="D259" s="16" t="s">
        <v>282</v>
      </c>
      <c r="E259" s="43" t="s">
        <v>951</v>
      </c>
      <c r="F259" s="24"/>
      <c r="G259" s="16" t="s">
        <v>840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757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5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952</v>
      </c>
      <c r="C260" s="6" t="s">
        <v>71</v>
      </c>
      <c r="D260" s="16" t="s">
        <v>282</v>
      </c>
      <c r="E260" s="43" t="s">
        <v>953</v>
      </c>
      <c r="F260" s="24"/>
      <c r="G260" s="16" t="s">
        <v>840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757</v>
      </c>
      <c r="P260" s="16">
        <v>1.5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5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954</v>
      </c>
      <c r="C261" s="6" t="s">
        <v>71</v>
      </c>
      <c r="D261" s="16" t="s">
        <v>282</v>
      </c>
      <c r="E261" s="43" t="s">
        <v>955</v>
      </c>
      <c r="F261" s="24"/>
      <c r="G261" s="16" t="s">
        <v>840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757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5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956</v>
      </c>
      <c r="C262" s="6" t="s">
        <v>71</v>
      </c>
      <c r="D262" s="16" t="s">
        <v>282</v>
      </c>
      <c r="E262" s="43" t="s">
        <v>957</v>
      </c>
      <c r="F262" s="24"/>
      <c r="G262" s="16" t="s">
        <v>840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757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5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958</v>
      </c>
      <c r="C263" s="6" t="s">
        <v>71</v>
      </c>
      <c r="D263" s="16" t="s">
        <v>282</v>
      </c>
      <c r="E263" s="43" t="s">
        <v>959</v>
      </c>
      <c r="F263" s="24"/>
      <c r="G263" s="16" t="s">
        <v>840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757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5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960</v>
      </c>
      <c r="C264" s="6" t="s">
        <v>71</v>
      </c>
      <c r="D264" s="16" t="s">
        <v>282</v>
      </c>
      <c r="E264" s="43" t="s">
        <v>961</v>
      </c>
      <c r="F264" s="24"/>
      <c r="G264" s="16" t="s">
        <v>840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5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962</v>
      </c>
      <c r="C265" s="6" t="s">
        <v>71</v>
      </c>
      <c r="D265" s="16" t="s">
        <v>282</v>
      </c>
      <c r="E265" s="46" t="s">
        <v>963</v>
      </c>
      <c r="F265" s="24"/>
      <c r="G265" s="16" t="s">
        <v>840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5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964</v>
      </c>
      <c r="C266" s="6" t="s">
        <v>71</v>
      </c>
      <c r="D266" s="16" t="s">
        <v>282</v>
      </c>
      <c r="E266" s="47" t="s">
        <v>965</v>
      </c>
      <c r="F266" s="24"/>
      <c r="G266" s="16" t="s">
        <v>840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966</v>
      </c>
      <c r="P266" s="16">
        <v>1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5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967</v>
      </c>
      <c r="C267" s="6" t="s">
        <v>71</v>
      </c>
      <c r="D267" s="16" t="s">
        <v>282</v>
      </c>
      <c r="E267" s="47" t="s">
        <v>968</v>
      </c>
      <c r="F267" s="24"/>
      <c r="G267" s="16" t="s">
        <v>840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969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5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970</v>
      </c>
      <c r="C268" s="6" t="s">
        <v>71</v>
      </c>
      <c r="D268" s="16" t="s">
        <v>282</v>
      </c>
      <c r="E268" s="48" t="s">
        <v>971</v>
      </c>
      <c r="F268" s="24"/>
      <c r="G268" s="16" t="s">
        <v>840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972</v>
      </c>
      <c r="P268" s="16">
        <v>1.1499999999999999</v>
      </c>
      <c r="Q268" s="16"/>
      <c r="R268" s="16"/>
      <c r="S268" s="16"/>
      <c r="T268" s="16"/>
      <c r="U268" s="16">
        <v>1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 t="s">
        <v>973</v>
      </c>
      <c r="AC268" s="16"/>
      <c r="AD268" s="16">
        <v>900</v>
      </c>
      <c r="AE268" s="16" t="s">
        <v>151</v>
      </c>
      <c r="AF268" s="16">
        <v>0.1</v>
      </c>
      <c r="AG268" s="16">
        <v>1</v>
      </c>
      <c r="AH268" s="55" t="s">
        <v>165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600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974</v>
      </c>
      <c r="C269" s="6" t="s">
        <v>71</v>
      </c>
      <c r="D269" s="16" t="s">
        <v>282</v>
      </c>
      <c r="E269" s="48" t="s">
        <v>975</v>
      </c>
      <c r="F269" s="24"/>
      <c r="G269" s="16" t="s">
        <v>840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976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 t="s">
        <v>977</v>
      </c>
      <c r="AC269" s="16"/>
      <c r="AD269" s="16">
        <v>900</v>
      </c>
      <c r="AE269" s="16" t="s">
        <v>151</v>
      </c>
      <c r="AF269" s="16">
        <v>0.1</v>
      </c>
      <c r="AG269" s="16">
        <v>1</v>
      </c>
      <c r="AH269" s="55" t="s">
        <v>165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600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978</v>
      </c>
      <c r="C270" s="6" t="s">
        <v>71</v>
      </c>
      <c r="D270" s="16" t="s">
        <v>282</v>
      </c>
      <c r="E270" s="47" t="s">
        <v>979</v>
      </c>
      <c r="F270" s="24"/>
      <c r="G270" s="16" t="s">
        <v>840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980</v>
      </c>
      <c r="P270" s="16">
        <v>1.6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5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981</v>
      </c>
      <c r="C271" s="6" t="s">
        <v>71</v>
      </c>
      <c r="D271" s="16" t="s">
        <v>282</v>
      </c>
      <c r="E271" s="48" t="s">
        <v>982</v>
      </c>
      <c r="F271" s="24"/>
      <c r="G271" s="16" t="s">
        <v>840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983</v>
      </c>
      <c r="P271" s="16">
        <v>1.25</v>
      </c>
      <c r="Q271" s="16"/>
      <c r="R271" s="16"/>
      <c r="S271" s="16"/>
      <c r="T271" s="16"/>
      <c r="U271" s="16">
        <v>1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 t="s">
        <v>984</v>
      </c>
      <c r="AC271" s="16"/>
      <c r="AD271" s="16">
        <v>900</v>
      </c>
      <c r="AE271" s="16" t="s">
        <v>151</v>
      </c>
      <c r="AF271" s="16">
        <v>0.1</v>
      </c>
      <c r="AG271" s="16">
        <v>1</v>
      </c>
      <c r="AH271" s="55" t="s">
        <v>165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600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985</v>
      </c>
      <c r="C272" s="6" t="s">
        <v>71</v>
      </c>
      <c r="D272" s="16" t="s">
        <v>282</v>
      </c>
      <c r="E272" s="48" t="s">
        <v>986</v>
      </c>
      <c r="F272" s="24"/>
      <c r="G272" s="16" t="s">
        <v>840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987</v>
      </c>
      <c r="P272" s="16">
        <v>1.3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 t="s">
        <v>988</v>
      </c>
      <c r="AC272" s="16"/>
      <c r="AD272" s="16">
        <v>900</v>
      </c>
      <c r="AE272" s="16" t="s">
        <v>151</v>
      </c>
      <c r="AF272" s="16">
        <v>0.1</v>
      </c>
      <c r="AG272" s="16">
        <v>1</v>
      </c>
      <c r="AH272" s="55" t="s">
        <v>165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600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989</v>
      </c>
      <c r="C273" s="6" t="s">
        <v>71</v>
      </c>
      <c r="D273" s="16" t="s">
        <v>282</v>
      </c>
      <c r="E273" s="47" t="s">
        <v>990</v>
      </c>
      <c r="F273" s="24"/>
      <c r="G273" s="16" t="s">
        <v>840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991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5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992</v>
      </c>
      <c r="C274" s="6" t="s">
        <v>71</v>
      </c>
      <c r="D274" s="16" t="s">
        <v>282</v>
      </c>
      <c r="E274" s="47" t="s">
        <v>993</v>
      </c>
      <c r="F274" s="24"/>
      <c r="G274" s="16" t="s">
        <v>840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994</v>
      </c>
      <c r="P274" s="16">
        <v>1.3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5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2" t="s">
        <v>995</v>
      </c>
      <c r="C275" s="6" t="s">
        <v>71</v>
      </c>
      <c r="D275" s="16" t="s">
        <v>282</v>
      </c>
      <c r="E275" s="48" t="s">
        <v>996</v>
      </c>
      <c r="F275" s="24"/>
      <c r="G275" s="16" t="s">
        <v>840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997</v>
      </c>
      <c r="P275" s="16">
        <v>1.7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998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5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2" t="s">
        <v>999</v>
      </c>
      <c r="C276" s="6" t="s">
        <v>71</v>
      </c>
      <c r="D276" s="16" t="s">
        <v>282</v>
      </c>
      <c r="E276" s="47" t="s">
        <v>1000</v>
      </c>
      <c r="F276" s="24"/>
      <c r="G276" s="16" t="s">
        <v>840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1001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5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2" t="s">
        <v>1002</v>
      </c>
      <c r="C277" s="6" t="s">
        <v>71</v>
      </c>
      <c r="D277" s="16" t="s">
        <v>282</v>
      </c>
      <c r="E277" s="48" t="s">
        <v>1003</v>
      </c>
      <c r="F277" s="24"/>
      <c r="G277" s="16" t="s">
        <v>840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1004</v>
      </c>
      <c r="P277" s="16">
        <v>2.2000000000000002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1005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5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2" t="s">
        <v>1006</v>
      </c>
      <c r="C278" s="6" t="s">
        <v>71</v>
      </c>
      <c r="D278" s="16" t="s">
        <v>282</v>
      </c>
      <c r="E278" s="48" t="s">
        <v>1007</v>
      </c>
      <c r="F278" s="24"/>
      <c r="G278" s="16" t="s">
        <v>840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1008</v>
      </c>
      <c r="P278" s="16">
        <v>1.3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374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5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2" t="s">
        <v>1009</v>
      </c>
      <c r="C279" s="6" t="s">
        <v>71</v>
      </c>
      <c r="D279" s="16" t="s">
        <v>282</v>
      </c>
      <c r="E279" s="48" t="s">
        <v>1010</v>
      </c>
      <c r="F279" s="24"/>
      <c r="G279" s="16" t="s">
        <v>840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1011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 t="s">
        <v>360</v>
      </c>
      <c r="AC279" s="16"/>
      <c r="AD279" s="16">
        <v>900</v>
      </c>
      <c r="AE279" s="16" t="s">
        <v>151</v>
      </c>
      <c r="AF279" s="16">
        <v>0.1</v>
      </c>
      <c r="AG279" s="16">
        <v>1</v>
      </c>
      <c r="AH279" s="55" t="s">
        <v>165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600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2" t="s">
        <v>1012</v>
      </c>
      <c r="C280" s="6" t="s">
        <v>71</v>
      </c>
      <c r="D280" s="16" t="s">
        <v>282</v>
      </c>
      <c r="E280" s="47" t="s">
        <v>1013</v>
      </c>
      <c r="F280" s="24"/>
      <c r="G280" s="16" t="s">
        <v>840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1014</v>
      </c>
      <c r="P280" s="16">
        <v>1.3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5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2" t="s">
        <v>1015</v>
      </c>
      <c r="C281" s="6" t="s">
        <v>71</v>
      </c>
      <c r="D281" s="16" t="s">
        <v>282</v>
      </c>
      <c r="E281" s="48" t="s">
        <v>1016</v>
      </c>
      <c r="F281" s="24"/>
      <c r="G281" s="16" t="s">
        <v>840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1017</v>
      </c>
      <c r="P281" s="16">
        <v>1.3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374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5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2" t="s">
        <v>1018</v>
      </c>
      <c r="C282" s="6" t="s">
        <v>71</v>
      </c>
      <c r="D282" s="16" t="s">
        <v>282</v>
      </c>
      <c r="E282" s="47" t="s">
        <v>1019</v>
      </c>
      <c r="F282" s="24"/>
      <c r="G282" s="16" t="s">
        <v>840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757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5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2" t="s">
        <v>1020</v>
      </c>
      <c r="C283" s="6" t="s">
        <v>71</v>
      </c>
      <c r="D283" s="16" t="s">
        <v>282</v>
      </c>
      <c r="E283" s="47" t="s">
        <v>1021</v>
      </c>
      <c r="F283" s="24"/>
      <c r="G283" s="16" t="s">
        <v>840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757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5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2" t="s">
        <v>1022</v>
      </c>
      <c r="C284" s="6" t="s">
        <v>71</v>
      </c>
      <c r="D284" s="16" t="s">
        <v>282</v>
      </c>
      <c r="E284" s="42" t="s">
        <v>1023</v>
      </c>
      <c r="F284" s="24"/>
      <c r="G284" s="16" t="s">
        <v>840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757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5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2" t="s">
        <v>1024</v>
      </c>
      <c r="C285" s="6" t="s">
        <v>71</v>
      </c>
      <c r="D285" s="16" t="s">
        <v>282</v>
      </c>
      <c r="E285" s="42" t="s">
        <v>1025</v>
      </c>
      <c r="F285" s="24"/>
      <c r="G285" s="16" t="s">
        <v>840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757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5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2" t="s">
        <v>1026</v>
      </c>
      <c r="C286" s="6" t="s">
        <v>71</v>
      </c>
      <c r="D286" s="16" t="s">
        <v>282</v>
      </c>
      <c r="E286" s="42" t="s">
        <v>1027</v>
      </c>
      <c r="F286" s="24"/>
      <c r="G286" s="16" t="s">
        <v>840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757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5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2" t="s">
        <v>1028</v>
      </c>
      <c r="C287" s="6" t="s">
        <v>71</v>
      </c>
      <c r="D287" s="16" t="s">
        <v>282</v>
      </c>
      <c r="E287" s="42" t="s">
        <v>1029</v>
      </c>
      <c r="F287" s="24"/>
      <c r="G287" s="16" t="s">
        <v>840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757</v>
      </c>
      <c r="P287" s="16">
        <v>1.5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5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2" t="s">
        <v>1030</v>
      </c>
      <c r="C288" s="6" t="s">
        <v>71</v>
      </c>
      <c r="D288" s="16" t="s">
        <v>282</v>
      </c>
      <c r="E288" s="42" t="s">
        <v>1031</v>
      </c>
      <c r="F288" s="24"/>
      <c r="G288" s="16" t="s">
        <v>840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757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5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2" t="s">
        <v>1032</v>
      </c>
      <c r="C289" s="6" t="s">
        <v>71</v>
      </c>
      <c r="D289" s="16" t="s">
        <v>282</v>
      </c>
      <c r="E289" s="42" t="s">
        <v>1033</v>
      </c>
      <c r="F289" s="24"/>
      <c r="G289" s="16" t="s">
        <v>840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757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5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t="s">
        <v>1034</v>
      </c>
      <c r="C290" s="6" t="s">
        <v>71</v>
      </c>
      <c r="D290" s="16" t="s">
        <v>282</v>
      </c>
      <c r="E290" s="4" t="s">
        <v>1035</v>
      </c>
      <c r="F290" s="4"/>
      <c r="G290" s="16" t="s">
        <v>480</v>
      </c>
      <c r="H290" s="16"/>
      <c r="I290" s="16" t="s">
        <v>285</v>
      </c>
      <c r="J290" s="16"/>
      <c r="K290" s="16"/>
      <c r="L290" s="16">
        <v>0</v>
      </c>
      <c r="M290" s="16">
        <v>0</v>
      </c>
      <c r="N290" s="16"/>
      <c r="O290" s="16" t="s">
        <v>1036</v>
      </c>
      <c r="P290" s="16">
        <v>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300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5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0.7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t="s">
        <v>1037</v>
      </c>
      <c r="C291" s="6" t="s">
        <v>71</v>
      </c>
      <c r="D291" s="16" t="s">
        <v>282</v>
      </c>
      <c r="E291" s="4" t="s">
        <v>1038</v>
      </c>
      <c r="F291" s="4"/>
      <c r="G291" s="16" t="s">
        <v>480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1036</v>
      </c>
      <c r="P291" s="16">
        <v>8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300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5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t="s">
        <v>1039</v>
      </c>
      <c r="C292" s="6" t="s">
        <v>71</v>
      </c>
      <c r="D292" s="16" t="s">
        <v>282</v>
      </c>
      <c r="E292" s="4" t="s">
        <v>1040</v>
      </c>
      <c r="F292" s="4"/>
      <c r="G292" s="16" t="s">
        <v>480</v>
      </c>
      <c r="H292" s="16"/>
      <c r="I292" s="16" t="s">
        <v>285</v>
      </c>
      <c r="J292" s="16"/>
      <c r="K292" s="16"/>
      <c r="L292" s="16">
        <v>0</v>
      </c>
      <c r="M292" s="16">
        <v>0</v>
      </c>
      <c r="N292" s="16"/>
      <c r="O292" s="16" t="s">
        <v>1036</v>
      </c>
      <c r="P292" s="16">
        <v>10.5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300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5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0.3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t="s">
        <v>1041</v>
      </c>
      <c r="C293" s="6" t="s">
        <v>71</v>
      </c>
      <c r="D293" s="16" t="s">
        <v>282</v>
      </c>
      <c r="E293" s="4" t="s">
        <v>1042</v>
      </c>
      <c r="F293" s="4"/>
      <c r="G293" s="16" t="s">
        <v>480</v>
      </c>
      <c r="H293" s="16"/>
      <c r="I293" s="16" t="s">
        <v>285</v>
      </c>
      <c r="J293" s="16"/>
      <c r="K293" s="16"/>
      <c r="L293" s="16">
        <v>0</v>
      </c>
      <c r="M293" s="16">
        <v>0</v>
      </c>
      <c r="N293" s="16"/>
      <c r="O293" s="16" t="s">
        <v>1036</v>
      </c>
      <c r="P293" s="16">
        <v>12.5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300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5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7" customFormat="1">
      <c r="B294" s="49" t="s">
        <v>1043</v>
      </c>
      <c r="C294" s="7" t="s">
        <v>71</v>
      </c>
      <c r="D294" s="35" t="s">
        <v>282</v>
      </c>
      <c r="E294" s="36" t="s">
        <v>1044</v>
      </c>
      <c r="F294" s="49"/>
      <c r="G294" s="35" t="s">
        <v>1045</v>
      </c>
      <c r="H294" s="35"/>
      <c r="I294" s="35" t="s">
        <v>285</v>
      </c>
      <c r="J294" s="35"/>
      <c r="K294" s="35"/>
      <c r="L294" s="35">
        <v>0</v>
      </c>
      <c r="M294" s="35">
        <v>0</v>
      </c>
      <c r="N294" s="35"/>
      <c r="O294" s="35" t="s">
        <v>1046</v>
      </c>
      <c r="P294" s="35">
        <v>0.55000000000000004</v>
      </c>
      <c r="Q294" s="35"/>
      <c r="R294" s="35"/>
      <c r="S294" s="35"/>
      <c r="T294" s="35"/>
      <c r="U294" s="35">
        <v>1</v>
      </c>
      <c r="V294" s="35">
        <v>2</v>
      </c>
      <c r="W294" s="35" t="s">
        <v>482</v>
      </c>
      <c r="X294" s="35">
        <v>450</v>
      </c>
      <c r="Y294" s="35">
        <v>0</v>
      </c>
      <c r="Z294" s="35" t="s">
        <v>151</v>
      </c>
      <c r="AA294" s="16">
        <v>600</v>
      </c>
      <c r="AB294" s="35"/>
      <c r="AC294" s="35"/>
      <c r="AD294" s="35">
        <v>0</v>
      </c>
      <c r="AE294" s="35" t="s">
        <v>151</v>
      </c>
      <c r="AF294" s="35"/>
      <c r="AG294" s="35"/>
      <c r="AH294" s="58" t="s">
        <v>152</v>
      </c>
      <c r="AI294" s="36" t="s">
        <v>153</v>
      </c>
      <c r="AJ294" s="35">
        <v>0.5</v>
      </c>
      <c r="AK294" s="35">
        <v>0.5</v>
      </c>
      <c r="AL294" s="35"/>
      <c r="AM294" s="35">
        <v>1</v>
      </c>
      <c r="AN294" s="35"/>
      <c r="AO294" s="35"/>
      <c r="AP294" s="35">
        <v>250</v>
      </c>
      <c r="AQ294" s="35">
        <v>0.5</v>
      </c>
      <c r="AR294" s="35"/>
      <c r="AS294" s="35"/>
      <c r="AT294" s="35"/>
      <c r="AU294" s="35">
        <v>1</v>
      </c>
      <c r="AV294" s="35"/>
      <c r="AW294" s="35">
        <v>0</v>
      </c>
      <c r="AX294" s="35">
        <v>0</v>
      </c>
      <c r="AY294" s="35">
        <v>0</v>
      </c>
      <c r="AZ294" s="35">
        <v>0</v>
      </c>
      <c r="BA294" s="35">
        <v>0</v>
      </c>
      <c r="BB294" s="35">
        <v>0</v>
      </c>
      <c r="BC294" s="35">
        <v>100</v>
      </c>
      <c r="BD294" s="10">
        <v>100</v>
      </c>
      <c r="BE294" s="35"/>
      <c r="BF294" s="35" t="s">
        <v>154</v>
      </c>
      <c r="BG294" s="35">
        <v>0</v>
      </c>
      <c r="BH294" s="35">
        <v>0</v>
      </c>
      <c r="BI294" s="35">
        <v>100</v>
      </c>
      <c r="BJ294" s="35"/>
      <c r="BK294" s="35"/>
      <c r="BL294" s="35"/>
      <c r="BM294" s="35"/>
      <c r="BN294" s="35"/>
      <c r="BO294" s="35"/>
      <c r="BP294" s="35"/>
      <c r="BQ294" s="7">
        <v>0</v>
      </c>
    </row>
    <row r="295" spans="2:69" s="7" customFormat="1">
      <c r="B295" s="49" t="s">
        <v>1047</v>
      </c>
      <c r="C295" s="7" t="s">
        <v>71</v>
      </c>
      <c r="D295" s="35" t="s">
        <v>282</v>
      </c>
      <c r="E295" s="36" t="s">
        <v>1044</v>
      </c>
      <c r="F295" s="49"/>
      <c r="G295" s="35" t="s">
        <v>1045</v>
      </c>
      <c r="H295" s="35"/>
      <c r="I295" s="35" t="s">
        <v>285</v>
      </c>
      <c r="J295" s="35"/>
      <c r="K295" s="35"/>
      <c r="L295" s="35">
        <v>0</v>
      </c>
      <c r="M295" s="35">
        <v>0</v>
      </c>
      <c r="N295" s="35"/>
      <c r="O295" s="35" t="s">
        <v>1046</v>
      </c>
      <c r="P295" s="35">
        <f>P294+0.05</f>
        <v>0.6</v>
      </c>
      <c r="Q295" s="35"/>
      <c r="R295" s="35"/>
      <c r="S295" s="35"/>
      <c r="T295" s="35"/>
      <c r="U295" s="35">
        <v>1</v>
      </c>
      <c r="V295" s="35">
        <v>2</v>
      </c>
      <c r="W295" s="35" t="s">
        <v>482</v>
      </c>
      <c r="X295" s="35">
        <v>450</v>
      </c>
      <c r="Y295" s="35">
        <v>0</v>
      </c>
      <c r="Z295" s="35" t="s">
        <v>151</v>
      </c>
      <c r="AA295" s="16">
        <v>600</v>
      </c>
      <c r="AB295" s="35"/>
      <c r="AC295" s="35"/>
      <c r="AD295" s="35">
        <v>0</v>
      </c>
      <c r="AE295" s="35" t="s">
        <v>151</v>
      </c>
      <c r="AF295" s="35"/>
      <c r="AG295" s="35"/>
      <c r="AH295" s="58" t="s">
        <v>152</v>
      </c>
      <c r="AI295" s="36" t="s">
        <v>153</v>
      </c>
      <c r="AJ295" s="35">
        <v>0.5</v>
      </c>
      <c r="AK295" s="35">
        <v>0.5</v>
      </c>
      <c r="AL295" s="35"/>
      <c r="AM295" s="35">
        <v>1</v>
      </c>
      <c r="AN295" s="35"/>
      <c r="AO295" s="35"/>
      <c r="AP295" s="35">
        <v>250</v>
      </c>
      <c r="AQ295" s="35">
        <v>0.5</v>
      </c>
      <c r="AR295" s="35"/>
      <c r="AS295" s="35"/>
      <c r="AT295" s="35"/>
      <c r="AU295" s="35">
        <v>1</v>
      </c>
      <c r="AV295" s="35"/>
      <c r="AW295" s="35">
        <v>0</v>
      </c>
      <c r="AX295" s="35">
        <v>0</v>
      </c>
      <c r="AY295" s="35">
        <v>0</v>
      </c>
      <c r="AZ295" s="35">
        <v>0</v>
      </c>
      <c r="BA295" s="35">
        <v>0</v>
      </c>
      <c r="BB295" s="35">
        <v>0</v>
      </c>
      <c r="BC295" s="35">
        <v>100</v>
      </c>
      <c r="BD295" s="10">
        <v>100</v>
      </c>
      <c r="BE295" s="35"/>
      <c r="BF295" s="35" t="s">
        <v>154</v>
      </c>
      <c r="BG295" s="35">
        <v>0</v>
      </c>
      <c r="BH295" s="35">
        <v>0</v>
      </c>
      <c r="BI295" s="35">
        <v>100</v>
      </c>
      <c r="BJ295" s="35"/>
      <c r="BK295" s="35"/>
      <c r="BL295" s="35"/>
      <c r="BM295" s="35"/>
      <c r="BN295" s="35"/>
      <c r="BO295" s="35"/>
      <c r="BP295" s="35"/>
      <c r="BQ295" s="7">
        <v>0</v>
      </c>
    </row>
    <row r="296" spans="2:69" s="7" customFormat="1">
      <c r="B296" s="49" t="s">
        <v>1048</v>
      </c>
      <c r="C296" s="7" t="s">
        <v>71</v>
      </c>
      <c r="D296" s="35" t="s">
        <v>282</v>
      </c>
      <c r="E296" s="36" t="s">
        <v>1044</v>
      </c>
      <c r="F296" s="49"/>
      <c r="G296" s="35" t="s">
        <v>1045</v>
      </c>
      <c r="H296" s="35"/>
      <c r="I296" s="35" t="s">
        <v>285</v>
      </c>
      <c r="J296" s="35"/>
      <c r="K296" s="35"/>
      <c r="L296" s="35">
        <v>0</v>
      </c>
      <c r="M296" s="35">
        <v>0</v>
      </c>
      <c r="N296" s="35"/>
      <c r="O296" s="35" t="s">
        <v>1046</v>
      </c>
      <c r="P296" s="35">
        <f t="shared" ref="P296:P306" si="6">P295+0.05</f>
        <v>0.65</v>
      </c>
      <c r="Q296" s="35"/>
      <c r="R296" s="35"/>
      <c r="S296" s="35"/>
      <c r="T296" s="35"/>
      <c r="U296" s="35">
        <v>1</v>
      </c>
      <c r="V296" s="35">
        <v>2</v>
      </c>
      <c r="W296" s="35" t="s">
        <v>482</v>
      </c>
      <c r="X296" s="35">
        <v>450</v>
      </c>
      <c r="Y296" s="35">
        <v>0</v>
      </c>
      <c r="Z296" s="35" t="s">
        <v>151</v>
      </c>
      <c r="AA296" s="16">
        <v>600</v>
      </c>
      <c r="AB296" s="35"/>
      <c r="AC296" s="35"/>
      <c r="AD296" s="35">
        <v>0</v>
      </c>
      <c r="AE296" s="35" t="s">
        <v>151</v>
      </c>
      <c r="AF296" s="35"/>
      <c r="AG296" s="35"/>
      <c r="AH296" s="58" t="s">
        <v>152</v>
      </c>
      <c r="AI296" s="36" t="s">
        <v>153</v>
      </c>
      <c r="AJ296" s="35">
        <v>0.5</v>
      </c>
      <c r="AK296" s="35">
        <v>0.5</v>
      </c>
      <c r="AL296" s="35"/>
      <c r="AM296" s="35">
        <v>1</v>
      </c>
      <c r="AN296" s="35"/>
      <c r="AO296" s="35"/>
      <c r="AP296" s="35">
        <v>250</v>
      </c>
      <c r="AQ296" s="35">
        <v>0.5</v>
      </c>
      <c r="AR296" s="35"/>
      <c r="AS296" s="35"/>
      <c r="AT296" s="35"/>
      <c r="AU296" s="35">
        <v>1</v>
      </c>
      <c r="AV296" s="35"/>
      <c r="AW296" s="35">
        <v>0</v>
      </c>
      <c r="AX296" s="35">
        <v>0</v>
      </c>
      <c r="AY296" s="35">
        <v>0</v>
      </c>
      <c r="AZ296" s="35">
        <v>0</v>
      </c>
      <c r="BA296" s="35">
        <v>0</v>
      </c>
      <c r="BB296" s="35">
        <v>0</v>
      </c>
      <c r="BC296" s="35">
        <v>100</v>
      </c>
      <c r="BD296" s="10">
        <v>100</v>
      </c>
      <c r="BE296" s="35"/>
      <c r="BF296" s="35" t="s">
        <v>154</v>
      </c>
      <c r="BG296" s="35">
        <v>0</v>
      </c>
      <c r="BH296" s="35">
        <v>0</v>
      </c>
      <c r="BI296" s="35">
        <v>100</v>
      </c>
      <c r="BJ296" s="35"/>
      <c r="BK296" s="35"/>
      <c r="BL296" s="35"/>
      <c r="BM296" s="35"/>
      <c r="BN296" s="35"/>
      <c r="BO296" s="35"/>
      <c r="BP296" s="35"/>
      <c r="BQ296" s="7">
        <v>0</v>
      </c>
    </row>
    <row r="297" spans="2:69" s="7" customFormat="1">
      <c r="B297" s="49" t="s">
        <v>1049</v>
      </c>
      <c r="C297" s="7" t="s">
        <v>71</v>
      </c>
      <c r="D297" s="35" t="s">
        <v>282</v>
      </c>
      <c r="E297" s="36" t="s">
        <v>1044</v>
      </c>
      <c r="F297" s="49"/>
      <c r="G297" s="35" t="s">
        <v>1045</v>
      </c>
      <c r="H297" s="35"/>
      <c r="I297" s="35" t="s">
        <v>285</v>
      </c>
      <c r="J297" s="35"/>
      <c r="K297" s="35"/>
      <c r="L297" s="35">
        <v>0</v>
      </c>
      <c r="M297" s="35">
        <v>0</v>
      </c>
      <c r="N297" s="35"/>
      <c r="O297" s="35" t="s">
        <v>1046</v>
      </c>
      <c r="P297" s="35">
        <f t="shared" si="6"/>
        <v>0.7</v>
      </c>
      <c r="Q297" s="35"/>
      <c r="R297" s="35"/>
      <c r="S297" s="35"/>
      <c r="T297" s="35"/>
      <c r="U297" s="35">
        <v>1</v>
      </c>
      <c r="V297" s="35">
        <v>2</v>
      </c>
      <c r="W297" s="35" t="s">
        <v>482</v>
      </c>
      <c r="X297" s="35">
        <v>450</v>
      </c>
      <c r="Y297" s="35">
        <v>0</v>
      </c>
      <c r="Z297" s="35" t="s">
        <v>151</v>
      </c>
      <c r="AA297" s="16">
        <v>600</v>
      </c>
      <c r="AB297" s="35"/>
      <c r="AC297" s="35"/>
      <c r="AD297" s="35">
        <v>0</v>
      </c>
      <c r="AE297" s="35" t="s">
        <v>151</v>
      </c>
      <c r="AF297" s="35"/>
      <c r="AG297" s="35"/>
      <c r="AH297" s="58" t="s">
        <v>152</v>
      </c>
      <c r="AI297" s="36" t="s">
        <v>153</v>
      </c>
      <c r="AJ297" s="35">
        <v>0.5</v>
      </c>
      <c r="AK297" s="35">
        <v>0.5</v>
      </c>
      <c r="AL297" s="35"/>
      <c r="AM297" s="35">
        <v>1</v>
      </c>
      <c r="AN297" s="35"/>
      <c r="AO297" s="35"/>
      <c r="AP297" s="35">
        <v>250</v>
      </c>
      <c r="AQ297" s="35">
        <v>0.5</v>
      </c>
      <c r="AR297" s="35"/>
      <c r="AS297" s="35"/>
      <c r="AT297" s="35"/>
      <c r="AU297" s="35">
        <v>1</v>
      </c>
      <c r="AV297" s="35"/>
      <c r="AW297" s="35">
        <v>0</v>
      </c>
      <c r="AX297" s="35">
        <v>0</v>
      </c>
      <c r="AY297" s="35">
        <v>0</v>
      </c>
      <c r="AZ297" s="35">
        <v>0</v>
      </c>
      <c r="BA297" s="35">
        <v>0</v>
      </c>
      <c r="BB297" s="35">
        <v>0</v>
      </c>
      <c r="BC297" s="35">
        <v>100</v>
      </c>
      <c r="BD297" s="10">
        <v>100</v>
      </c>
      <c r="BE297" s="35"/>
      <c r="BF297" s="35" t="s">
        <v>154</v>
      </c>
      <c r="BG297" s="35">
        <v>0</v>
      </c>
      <c r="BH297" s="35">
        <v>0</v>
      </c>
      <c r="BI297" s="35">
        <v>100</v>
      </c>
      <c r="BJ297" s="35"/>
      <c r="BK297" s="35"/>
      <c r="BL297" s="35"/>
      <c r="BM297" s="35"/>
      <c r="BN297" s="35"/>
      <c r="BO297" s="35"/>
      <c r="BP297" s="35"/>
      <c r="BQ297" s="7">
        <v>0</v>
      </c>
    </row>
    <row r="298" spans="2:69" s="7" customFormat="1">
      <c r="B298" s="49" t="s">
        <v>1050</v>
      </c>
      <c r="C298" s="7" t="s">
        <v>71</v>
      </c>
      <c r="D298" s="35" t="s">
        <v>282</v>
      </c>
      <c r="E298" s="36" t="s">
        <v>1044</v>
      </c>
      <c r="F298" s="49"/>
      <c r="G298" s="35" t="s">
        <v>1045</v>
      </c>
      <c r="H298" s="35"/>
      <c r="I298" s="35" t="s">
        <v>285</v>
      </c>
      <c r="J298" s="35"/>
      <c r="K298" s="35"/>
      <c r="L298" s="35">
        <v>0</v>
      </c>
      <c r="M298" s="35">
        <v>0</v>
      </c>
      <c r="N298" s="35"/>
      <c r="O298" s="35" t="s">
        <v>1046</v>
      </c>
      <c r="P298" s="35">
        <f t="shared" si="6"/>
        <v>0.75</v>
      </c>
      <c r="Q298" s="35"/>
      <c r="R298" s="35"/>
      <c r="S298" s="35"/>
      <c r="T298" s="35"/>
      <c r="U298" s="35">
        <v>1</v>
      </c>
      <c r="V298" s="35">
        <v>2</v>
      </c>
      <c r="W298" s="35" t="s">
        <v>482</v>
      </c>
      <c r="X298" s="35">
        <v>450</v>
      </c>
      <c r="Y298" s="35">
        <v>0</v>
      </c>
      <c r="Z298" s="35" t="s">
        <v>151</v>
      </c>
      <c r="AA298" s="16">
        <v>600</v>
      </c>
      <c r="AB298" s="35"/>
      <c r="AC298" s="35"/>
      <c r="AD298" s="35">
        <v>0</v>
      </c>
      <c r="AE298" s="35" t="s">
        <v>151</v>
      </c>
      <c r="AF298" s="35"/>
      <c r="AG298" s="35"/>
      <c r="AH298" s="58" t="s">
        <v>152</v>
      </c>
      <c r="AI298" s="36" t="s">
        <v>153</v>
      </c>
      <c r="AJ298" s="35">
        <v>0.5</v>
      </c>
      <c r="AK298" s="35">
        <v>0.5</v>
      </c>
      <c r="AL298" s="35"/>
      <c r="AM298" s="35">
        <v>1</v>
      </c>
      <c r="AN298" s="35"/>
      <c r="AO298" s="35"/>
      <c r="AP298" s="35">
        <v>250</v>
      </c>
      <c r="AQ298" s="35">
        <v>0.5</v>
      </c>
      <c r="AR298" s="35"/>
      <c r="AS298" s="35"/>
      <c r="AT298" s="35"/>
      <c r="AU298" s="35">
        <v>1</v>
      </c>
      <c r="AV298" s="35"/>
      <c r="AW298" s="35">
        <v>0</v>
      </c>
      <c r="AX298" s="35">
        <v>0</v>
      </c>
      <c r="AY298" s="35">
        <v>0</v>
      </c>
      <c r="AZ298" s="35">
        <v>0</v>
      </c>
      <c r="BA298" s="35">
        <v>0</v>
      </c>
      <c r="BB298" s="35">
        <v>0</v>
      </c>
      <c r="BC298" s="35">
        <v>100</v>
      </c>
      <c r="BD298" s="10">
        <v>100</v>
      </c>
      <c r="BE298" s="35"/>
      <c r="BF298" s="35" t="s">
        <v>154</v>
      </c>
      <c r="BG298" s="35">
        <v>0</v>
      </c>
      <c r="BH298" s="35">
        <v>0</v>
      </c>
      <c r="BI298" s="35">
        <v>100</v>
      </c>
      <c r="BJ298" s="35"/>
      <c r="BK298" s="35"/>
      <c r="BL298" s="35"/>
      <c r="BM298" s="35"/>
      <c r="BN298" s="35"/>
      <c r="BO298" s="35"/>
      <c r="BP298" s="35"/>
      <c r="BQ298" s="7">
        <v>0</v>
      </c>
    </row>
    <row r="299" spans="2:69" s="7" customFormat="1">
      <c r="B299" s="49" t="s">
        <v>1051</v>
      </c>
      <c r="C299" s="7" t="s">
        <v>71</v>
      </c>
      <c r="D299" s="35" t="s">
        <v>282</v>
      </c>
      <c r="E299" s="36" t="s">
        <v>1044</v>
      </c>
      <c r="F299" s="49"/>
      <c r="G299" s="35" t="s">
        <v>1045</v>
      </c>
      <c r="H299" s="35"/>
      <c r="I299" s="35" t="s">
        <v>285</v>
      </c>
      <c r="J299" s="35"/>
      <c r="K299" s="35"/>
      <c r="L299" s="35">
        <v>0</v>
      </c>
      <c r="M299" s="35">
        <v>0</v>
      </c>
      <c r="N299" s="35"/>
      <c r="O299" s="35" t="s">
        <v>1046</v>
      </c>
      <c r="P299" s="35">
        <f t="shared" si="6"/>
        <v>0.8</v>
      </c>
      <c r="Q299" s="35"/>
      <c r="R299" s="35"/>
      <c r="S299" s="35"/>
      <c r="T299" s="35"/>
      <c r="U299" s="35">
        <v>1</v>
      </c>
      <c r="V299" s="35">
        <v>2</v>
      </c>
      <c r="W299" s="35" t="s">
        <v>482</v>
      </c>
      <c r="X299" s="35">
        <v>450</v>
      </c>
      <c r="Y299" s="35">
        <v>0</v>
      </c>
      <c r="Z299" s="35" t="s">
        <v>151</v>
      </c>
      <c r="AA299" s="16">
        <v>600</v>
      </c>
      <c r="AB299" s="35"/>
      <c r="AC299" s="35"/>
      <c r="AD299" s="35">
        <v>0</v>
      </c>
      <c r="AE299" s="35" t="s">
        <v>151</v>
      </c>
      <c r="AF299" s="35"/>
      <c r="AG299" s="35"/>
      <c r="AH299" s="58" t="s">
        <v>152</v>
      </c>
      <c r="AI299" s="36" t="s">
        <v>153</v>
      </c>
      <c r="AJ299" s="35">
        <v>0.5</v>
      </c>
      <c r="AK299" s="35">
        <v>0.5</v>
      </c>
      <c r="AL299" s="35"/>
      <c r="AM299" s="35">
        <v>1</v>
      </c>
      <c r="AN299" s="35"/>
      <c r="AO299" s="35"/>
      <c r="AP299" s="35">
        <v>250</v>
      </c>
      <c r="AQ299" s="35">
        <v>0.5</v>
      </c>
      <c r="AR299" s="35"/>
      <c r="AS299" s="35"/>
      <c r="AT299" s="35"/>
      <c r="AU299" s="35">
        <v>1</v>
      </c>
      <c r="AV299" s="35"/>
      <c r="AW299" s="35">
        <v>0</v>
      </c>
      <c r="AX299" s="35">
        <v>0</v>
      </c>
      <c r="AY299" s="35">
        <v>0</v>
      </c>
      <c r="AZ299" s="35">
        <v>0</v>
      </c>
      <c r="BA299" s="35">
        <v>0</v>
      </c>
      <c r="BB299" s="35">
        <v>0</v>
      </c>
      <c r="BC299" s="35">
        <v>100</v>
      </c>
      <c r="BD299" s="10">
        <v>100</v>
      </c>
      <c r="BE299" s="35"/>
      <c r="BF299" s="35" t="s">
        <v>154</v>
      </c>
      <c r="BG299" s="35">
        <v>0</v>
      </c>
      <c r="BH299" s="35">
        <v>0</v>
      </c>
      <c r="BI299" s="35">
        <v>100</v>
      </c>
      <c r="BJ299" s="35"/>
      <c r="BK299" s="35"/>
      <c r="BL299" s="35"/>
      <c r="BM299" s="35"/>
      <c r="BN299" s="35"/>
      <c r="BO299" s="35"/>
      <c r="BP299" s="35"/>
      <c r="BQ299" s="7">
        <v>0</v>
      </c>
    </row>
    <row r="300" spans="2:69" s="7" customFormat="1">
      <c r="B300" s="49" t="s">
        <v>1052</v>
      </c>
      <c r="C300" s="7" t="s">
        <v>71</v>
      </c>
      <c r="D300" s="35" t="s">
        <v>282</v>
      </c>
      <c r="E300" s="36" t="s">
        <v>1044</v>
      </c>
      <c r="F300" s="49"/>
      <c r="G300" s="35" t="s">
        <v>1045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1046</v>
      </c>
      <c r="P300" s="35">
        <f t="shared" si="6"/>
        <v>0.85</v>
      </c>
      <c r="Q300" s="35"/>
      <c r="R300" s="35"/>
      <c r="S300" s="35"/>
      <c r="T300" s="35"/>
      <c r="U300" s="35">
        <v>1</v>
      </c>
      <c r="V300" s="35">
        <v>2</v>
      </c>
      <c r="W300" s="35" t="s">
        <v>482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58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pans="2:69" s="7" customFormat="1">
      <c r="B301" s="49" t="s">
        <v>1053</v>
      </c>
      <c r="C301" s="7" t="s">
        <v>71</v>
      </c>
      <c r="D301" s="35" t="s">
        <v>282</v>
      </c>
      <c r="E301" s="36" t="s">
        <v>1044</v>
      </c>
      <c r="F301" s="49"/>
      <c r="G301" s="35" t="s">
        <v>1045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1046</v>
      </c>
      <c r="P301" s="35">
        <f t="shared" si="6"/>
        <v>0.9</v>
      </c>
      <c r="Q301" s="35"/>
      <c r="R301" s="35"/>
      <c r="S301" s="35"/>
      <c r="T301" s="35"/>
      <c r="U301" s="35">
        <v>1</v>
      </c>
      <c r="V301" s="35">
        <v>2</v>
      </c>
      <c r="W301" s="35" t="s">
        <v>482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58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pans="2:69" s="7" customFormat="1">
      <c r="B302" s="49" t="s">
        <v>1054</v>
      </c>
      <c r="C302" s="7" t="s">
        <v>71</v>
      </c>
      <c r="D302" s="35" t="s">
        <v>282</v>
      </c>
      <c r="E302" s="36" t="s">
        <v>1044</v>
      </c>
      <c r="F302" s="49"/>
      <c r="G302" s="35" t="s">
        <v>1045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1046</v>
      </c>
      <c r="P302" s="35">
        <f t="shared" si="6"/>
        <v>0.95</v>
      </c>
      <c r="Q302" s="35"/>
      <c r="R302" s="35"/>
      <c r="S302" s="35"/>
      <c r="T302" s="35"/>
      <c r="U302" s="35">
        <v>1</v>
      </c>
      <c r="V302" s="35">
        <v>2</v>
      </c>
      <c r="W302" s="35" t="s">
        <v>482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58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pans="2:69" s="7" customFormat="1">
      <c r="B303" s="49" t="s">
        <v>1055</v>
      </c>
      <c r="C303" s="7" t="s">
        <v>71</v>
      </c>
      <c r="D303" s="35" t="s">
        <v>282</v>
      </c>
      <c r="E303" s="36" t="s">
        <v>1044</v>
      </c>
      <c r="F303" s="49"/>
      <c r="G303" s="35" t="s">
        <v>1045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1046</v>
      </c>
      <c r="P303" s="35">
        <f t="shared" si="6"/>
        <v>1</v>
      </c>
      <c r="Q303" s="35"/>
      <c r="R303" s="35"/>
      <c r="S303" s="35"/>
      <c r="T303" s="35"/>
      <c r="U303" s="35">
        <v>1</v>
      </c>
      <c r="V303" s="35">
        <v>2</v>
      </c>
      <c r="W303" s="35" t="s">
        <v>482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58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49" t="s">
        <v>1056</v>
      </c>
      <c r="C304" s="7" t="s">
        <v>71</v>
      </c>
      <c r="D304" s="35" t="s">
        <v>282</v>
      </c>
      <c r="E304" s="36" t="s">
        <v>1044</v>
      </c>
      <c r="F304" s="49"/>
      <c r="G304" s="35" t="s">
        <v>1045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1046</v>
      </c>
      <c r="P304" s="35">
        <f t="shared" si="6"/>
        <v>1.05</v>
      </c>
      <c r="Q304" s="35"/>
      <c r="R304" s="35"/>
      <c r="S304" s="35"/>
      <c r="T304" s="35"/>
      <c r="U304" s="35">
        <v>1</v>
      </c>
      <c r="V304" s="35">
        <v>2</v>
      </c>
      <c r="W304" s="35" t="s">
        <v>482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58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49" t="s">
        <v>1057</v>
      </c>
      <c r="C305" s="7" t="s">
        <v>71</v>
      </c>
      <c r="D305" s="35" t="s">
        <v>282</v>
      </c>
      <c r="E305" s="36" t="s">
        <v>1044</v>
      </c>
      <c r="F305" s="49"/>
      <c r="G305" s="35" t="s">
        <v>1045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1046</v>
      </c>
      <c r="P305" s="35">
        <f t="shared" si="6"/>
        <v>1.1000000000000001</v>
      </c>
      <c r="Q305" s="35"/>
      <c r="R305" s="35"/>
      <c r="S305" s="35"/>
      <c r="T305" s="35"/>
      <c r="U305" s="35">
        <v>1</v>
      </c>
      <c r="V305" s="35">
        <v>2</v>
      </c>
      <c r="W305" s="35" t="s">
        <v>482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58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49" t="s">
        <v>1058</v>
      </c>
      <c r="C306" s="7" t="s">
        <v>71</v>
      </c>
      <c r="D306" s="35" t="s">
        <v>282</v>
      </c>
      <c r="E306" s="36" t="s">
        <v>1044</v>
      </c>
      <c r="F306" s="49"/>
      <c r="G306" s="35" t="s">
        <v>1045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1046</v>
      </c>
      <c r="P306" s="35">
        <f t="shared" si="6"/>
        <v>1.1499999999999999</v>
      </c>
      <c r="Q306" s="35"/>
      <c r="R306" s="35"/>
      <c r="S306" s="35"/>
      <c r="T306" s="35"/>
      <c r="U306" s="35">
        <v>1</v>
      </c>
      <c r="V306" s="35">
        <v>2</v>
      </c>
      <c r="W306" s="35" t="s">
        <v>482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58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6" customFormat="1">
      <c r="B307" s="24" t="s">
        <v>1059</v>
      </c>
      <c r="C307" s="6" t="s">
        <v>71</v>
      </c>
      <c r="D307" s="16" t="s">
        <v>282</v>
      </c>
      <c r="E307" s="50" t="s">
        <v>1060</v>
      </c>
      <c r="F307" s="24"/>
      <c r="G307" s="16" t="s">
        <v>1045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1061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5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69" s="6" customFormat="1">
      <c r="B308" s="24" t="s">
        <v>1062</v>
      </c>
      <c r="C308" s="6" t="s">
        <v>71</v>
      </c>
      <c r="D308" s="16" t="s">
        <v>282</v>
      </c>
      <c r="E308" s="4" t="s">
        <v>1063</v>
      </c>
      <c r="F308" s="24"/>
      <c r="G308" s="16" t="s">
        <v>1045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1061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5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69" s="6" customFormat="1">
      <c r="B309" s="24" t="s">
        <v>1064</v>
      </c>
      <c r="C309" s="6" t="s">
        <v>71</v>
      </c>
      <c r="D309" s="16" t="s">
        <v>282</v>
      </c>
      <c r="E309" s="4" t="s">
        <v>1065</v>
      </c>
      <c r="F309" s="24"/>
      <c r="G309" s="16" t="s">
        <v>1045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1061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5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69" s="6" customFormat="1">
      <c r="B310" s="24" t="s">
        <v>1066</v>
      </c>
      <c r="C310" s="6" t="s">
        <v>71</v>
      </c>
      <c r="D310" s="16" t="s">
        <v>282</v>
      </c>
      <c r="E310" s="4" t="s">
        <v>1067</v>
      </c>
      <c r="F310" s="24"/>
      <c r="G310" s="16" t="s">
        <v>1045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1061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5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69" s="6" customFormat="1">
      <c r="B311" s="24" t="s">
        <v>1068</v>
      </c>
      <c r="C311" s="6" t="s">
        <v>71</v>
      </c>
      <c r="D311" s="16" t="s">
        <v>282</v>
      </c>
      <c r="E311" s="4" t="s">
        <v>1069</v>
      </c>
      <c r="F311" s="24"/>
      <c r="G311" s="16" t="s">
        <v>1045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1061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5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69" s="6" customFormat="1">
      <c r="B312" s="24" t="s">
        <v>1070</v>
      </c>
      <c r="C312" s="6" t="s">
        <v>71</v>
      </c>
      <c r="D312" s="16" t="s">
        <v>282</v>
      </c>
      <c r="E312" s="4" t="s">
        <v>1071</v>
      </c>
      <c r="F312" s="24"/>
      <c r="G312" s="16" t="s">
        <v>1045</v>
      </c>
      <c r="H312" s="16"/>
      <c r="I312" s="16" t="s">
        <v>285</v>
      </c>
      <c r="J312" s="16" t="s">
        <v>903</v>
      </c>
      <c r="K312" s="16"/>
      <c r="L312" s="16">
        <v>0</v>
      </c>
      <c r="M312" s="16">
        <v>0</v>
      </c>
      <c r="N312" s="16"/>
      <c r="O312" s="16" t="s">
        <v>1072</v>
      </c>
      <c r="P312" s="16">
        <v>1.3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5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69" s="6" customFormat="1">
      <c r="B313" s="24" t="s">
        <v>1073</v>
      </c>
      <c r="C313" s="6" t="s">
        <v>71</v>
      </c>
      <c r="D313" s="16" t="s">
        <v>282</v>
      </c>
      <c r="E313" s="4" t="s">
        <v>1074</v>
      </c>
      <c r="F313" s="24"/>
      <c r="G313" s="16" t="s">
        <v>1045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1061</v>
      </c>
      <c r="P313" s="16">
        <v>0.4</v>
      </c>
      <c r="Q313" s="16"/>
      <c r="R313" s="16"/>
      <c r="S313" s="16"/>
      <c r="T313" s="16"/>
      <c r="U313" s="16">
        <v>1</v>
      </c>
      <c r="V313" s="16">
        <v>2</v>
      </c>
      <c r="W313" s="16" t="s">
        <v>482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5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6" customFormat="1">
      <c r="B314" s="24" t="s">
        <v>1075</v>
      </c>
      <c r="C314" s="6" t="s">
        <v>71</v>
      </c>
      <c r="D314" s="16" t="s">
        <v>282</v>
      </c>
      <c r="E314" s="4" t="s">
        <v>1076</v>
      </c>
      <c r="F314" s="24"/>
      <c r="G314" s="16" t="s">
        <v>1045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1061</v>
      </c>
      <c r="P314" s="16">
        <v>0.45</v>
      </c>
      <c r="Q314" s="16"/>
      <c r="R314" s="16"/>
      <c r="S314" s="16"/>
      <c r="T314" s="16"/>
      <c r="U314" s="16">
        <v>1</v>
      </c>
      <c r="V314" s="16">
        <v>2</v>
      </c>
      <c r="W314" s="16" t="s">
        <v>482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5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pans="2:69" s="6" customFormat="1">
      <c r="B315" s="24" t="s">
        <v>1077</v>
      </c>
      <c r="C315" s="6" t="s">
        <v>71</v>
      </c>
      <c r="D315" s="16" t="s">
        <v>282</v>
      </c>
      <c r="E315" s="4" t="s">
        <v>1078</v>
      </c>
      <c r="F315" s="24"/>
      <c r="G315" s="16" t="s">
        <v>1045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1061</v>
      </c>
      <c r="P315" s="16">
        <v>0.5</v>
      </c>
      <c r="Q315" s="16"/>
      <c r="R315" s="16"/>
      <c r="S315" s="16"/>
      <c r="T315" s="16"/>
      <c r="U315" s="16">
        <v>1</v>
      </c>
      <c r="V315" s="16">
        <v>2</v>
      </c>
      <c r="W315" s="16" t="s">
        <v>482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5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pans="2:69" s="6" customFormat="1">
      <c r="B316" s="24" t="s">
        <v>1079</v>
      </c>
      <c r="C316" s="6" t="s">
        <v>71</v>
      </c>
      <c r="D316" s="16" t="s">
        <v>282</v>
      </c>
      <c r="E316" s="4" t="s">
        <v>1080</v>
      </c>
      <c r="F316" s="24"/>
      <c r="G316" s="16" t="s">
        <v>1045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1061</v>
      </c>
      <c r="P316" s="16">
        <v>0.55000000000000004</v>
      </c>
      <c r="Q316" s="16"/>
      <c r="R316" s="16"/>
      <c r="S316" s="16"/>
      <c r="T316" s="16"/>
      <c r="U316" s="16">
        <v>1</v>
      </c>
      <c r="V316" s="16">
        <v>2</v>
      </c>
      <c r="W316" s="16" t="s">
        <v>482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5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1081</v>
      </c>
      <c r="C317" s="6" t="s">
        <v>71</v>
      </c>
      <c r="D317" s="16" t="s">
        <v>282</v>
      </c>
      <c r="E317" s="4" t="s">
        <v>1082</v>
      </c>
      <c r="F317" s="24"/>
      <c r="G317" s="16" t="s">
        <v>1045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1061</v>
      </c>
      <c r="P317" s="16">
        <v>0.6</v>
      </c>
      <c r="Q317" s="16"/>
      <c r="R317" s="16"/>
      <c r="S317" s="16"/>
      <c r="T317" s="16"/>
      <c r="U317" s="16">
        <v>1</v>
      </c>
      <c r="V317" s="16">
        <v>2</v>
      </c>
      <c r="W317" s="16" t="s">
        <v>482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5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1083</v>
      </c>
      <c r="C318" s="6" t="s">
        <v>71</v>
      </c>
      <c r="D318" s="16" t="s">
        <v>282</v>
      </c>
      <c r="E318" s="4" t="s">
        <v>1084</v>
      </c>
      <c r="F318" s="24"/>
      <c r="G318" s="16" t="s">
        <v>1045</v>
      </c>
      <c r="H318" s="16"/>
      <c r="I318" s="16" t="s">
        <v>285</v>
      </c>
      <c r="J318" s="16" t="s">
        <v>903</v>
      </c>
      <c r="K318" s="16"/>
      <c r="L318" s="16">
        <v>0</v>
      </c>
      <c r="M318" s="16">
        <v>0</v>
      </c>
      <c r="N318" s="16"/>
      <c r="O318" s="16" t="s">
        <v>1085</v>
      </c>
      <c r="P318" s="16">
        <v>1.3</v>
      </c>
      <c r="Q318" s="16"/>
      <c r="R318" s="16"/>
      <c r="S318" s="16"/>
      <c r="T318" s="16"/>
      <c r="U318" s="16">
        <v>2</v>
      </c>
      <c r="V318" s="16">
        <v>2</v>
      </c>
      <c r="W318" s="16" t="s">
        <v>150</v>
      </c>
      <c r="X318" s="16">
        <v>450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5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0.2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>
        <v>20</v>
      </c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1086</v>
      </c>
      <c r="C319" s="6" t="s">
        <v>71</v>
      </c>
      <c r="D319" s="16" t="s">
        <v>282</v>
      </c>
      <c r="E319" s="4" t="s">
        <v>1087</v>
      </c>
      <c r="F319" s="24"/>
      <c r="G319" s="16" t="s">
        <v>1045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1061</v>
      </c>
      <c r="P319" s="16">
        <v>0.4</v>
      </c>
      <c r="Q319" s="16"/>
      <c r="R319" s="16"/>
      <c r="S319" s="16"/>
      <c r="T319" s="16"/>
      <c r="U319" s="16">
        <v>1</v>
      </c>
      <c r="V319" s="16">
        <v>2</v>
      </c>
      <c r="W319" s="16" t="s">
        <v>482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5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1088</v>
      </c>
      <c r="C320" s="6" t="s">
        <v>71</v>
      </c>
      <c r="D320" s="16" t="s">
        <v>282</v>
      </c>
      <c r="E320" s="4" t="s">
        <v>1089</v>
      </c>
      <c r="F320" s="24"/>
      <c r="G320" s="16" t="s">
        <v>1045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1061</v>
      </c>
      <c r="P320" s="16">
        <v>0.45</v>
      </c>
      <c r="Q320" s="16"/>
      <c r="R320" s="16"/>
      <c r="S320" s="16"/>
      <c r="T320" s="16"/>
      <c r="U320" s="16">
        <v>1</v>
      </c>
      <c r="V320" s="16">
        <v>2</v>
      </c>
      <c r="W320" s="16" t="s">
        <v>482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5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73" s="6" customFormat="1">
      <c r="B321" s="24" t="s">
        <v>1090</v>
      </c>
      <c r="C321" s="6" t="s">
        <v>71</v>
      </c>
      <c r="D321" s="16" t="s">
        <v>282</v>
      </c>
      <c r="E321" s="4" t="s">
        <v>1091</v>
      </c>
      <c r="F321" s="24"/>
      <c r="G321" s="16" t="s">
        <v>1045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1061</v>
      </c>
      <c r="P321" s="16">
        <v>0.5</v>
      </c>
      <c r="Q321" s="16"/>
      <c r="R321" s="16"/>
      <c r="S321" s="16"/>
      <c r="T321" s="16"/>
      <c r="U321" s="16">
        <v>1</v>
      </c>
      <c r="V321" s="16">
        <v>2</v>
      </c>
      <c r="W321" s="16" t="s">
        <v>482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5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73" s="6" customFormat="1">
      <c r="B322" s="24" t="s">
        <v>1092</v>
      </c>
      <c r="C322" s="6" t="s">
        <v>71</v>
      </c>
      <c r="D322" s="16" t="s">
        <v>282</v>
      </c>
      <c r="E322" s="4" t="s">
        <v>1093</v>
      </c>
      <c r="F322" s="24"/>
      <c r="G322" s="16" t="s">
        <v>1045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1061</v>
      </c>
      <c r="P322" s="16">
        <v>0.55000000000000004</v>
      </c>
      <c r="Q322" s="16"/>
      <c r="R322" s="16"/>
      <c r="S322" s="16"/>
      <c r="T322" s="16"/>
      <c r="U322" s="16">
        <v>1</v>
      </c>
      <c r="V322" s="16">
        <v>2</v>
      </c>
      <c r="W322" s="16" t="s">
        <v>482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5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73" s="6" customFormat="1">
      <c r="B323" s="24" t="s">
        <v>1094</v>
      </c>
      <c r="C323" s="6" t="s">
        <v>71</v>
      </c>
      <c r="D323" s="16" t="s">
        <v>282</v>
      </c>
      <c r="E323" s="4" t="s">
        <v>1095</v>
      </c>
      <c r="F323" s="24"/>
      <c r="G323" s="16" t="s">
        <v>1045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1061</v>
      </c>
      <c r="P323" s="16">
        <v>0.6</v>
      </c>
      <c r="Q323" s="16"/>
      <c r="R323" s="16"/>
      <c r="S323" s="16"/>
      <c r="T323" s="16"/>
      <c r="U323" s="16">
        <v>1</v>
      </c>
      <c r="V323" s="16">
        <v>2</v>
      </c>
      <c r="W323" s="16" t="s">
        <v>482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5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73" s="6" customFormat="1">
      <c r="B324" s="24" t="s">
        <v>1096</v>
      </c>
      <c r="C324" s="6" t="s">
        <v>71</v>
      </c>
      <c r="D324" s="16" t="s">
        <v>282</v>
      </c>
      <c r="E324" s="4" t="s">
        <v>1097</v>
      </c>
      <c r="F324" s="24"/>
      <c r="G324" s="16" t="s">
        <v>1045</v>
      </c>
      <c r="H324" s="16"/>
      <c r="I324" s="16" t="s">
        <v>285</v>
      </c>
      <c r="J324" s="16" t="s">
        <v>903</v>
      </c>
      <c r="K324" s="16"/>
      <c r="L324" s="16">
        <v>0</v>
      </c>
      <c r="M324" s="16">
        <v>0</v>
      </c>
      <c r="N324" s="16"/>
      <c r="O324" s="16" t="s">
        <v>1098</v>
      </c>
      <c r="P324" s="16">
        <v>1.5</v>
      </c>
      <c r="Q324" s="16"/>
      <c r="R324" s="16"/>
      <c r="S324" s="16"/>
      <c r="T324" s="16"/>
      <c r="U324" s="16">
        <v>2</v>
      </c>
      <c r="V324" s="16">
        <v>2</v>
      </c>
      <c r="W324" s="16" t="s">
        <v>150</v>
      </c>
      <c r="X324" s="16">
        <v>450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5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0.2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>
        <v>20</v>
      </c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73" s="6" customFormat="1">
      <c r="B325" s="24" t="s">
        <v>1099</v>
      </c>
      <c r="C325" s="6" t="s">
        <v>71</v>
      </c>
      <c r="D325" s="16" t="s">
        <v>282</v>
      </c>
      <c r="E325" s="4" t="s">
        <v>1100</v>
      </c>
      <c r="F325" s="24"/>
      <c r="G325" s="16" t="s">
        <v>1045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1061</v>
      </c>
      <c r="P325" s="16">
        <v>0.4</v>
      </c>
      <c r="Q325" s="16"/>
      <c r="R325" s="16"/>
      <c r="S325" s="16"/>
      <c r="T325" s="16"/>
      <c r="U325" s="16">
        <v>1</v>
      </c>
      <c r="V325" s="16">
        <v>2</v>
      </c>
      <c r="W325" s="16" t="s">
        <v>482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5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73" s="6" customFormat="1">
      <c r="B326" s="24" t="s">
        <v>1101</v>
      </c>
      <c r="C326" s="6" t="s">
        <v>71</v>
      </c>
      <c r="D326" s="16" t="s">
        <v>282</v>
      </c>
      <c r="E326" s="4" t="s">
        <v>1102</v>
      </c>
      <c r="F326" s="24"/>
      <c r="G326" s="16" t="s">
        <v>1045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1061</v>
      </c>
      <c r="P326" s="16">
        <v>0.45</v>
      </c>
      <c r="Q326" s="16"/>
      <c r="R326" s="16"/>
      <c r="S326" s="16"/>
      <c r="T326" s="16"/>
      <c r="U326" s="16">
        <v>1</v>
      </c>
      <c r="V326" s="16">
        <v>2</v>
      </c>
      <c r="W326" s="16" t="s">
        <v>482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5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73" s="6" customFormat="1">
      <c r="B327" s="24" t="s">
        <v>1103</v>
      </c>
      <c r="C327" s="6" t="s">
        <v>71</v>
      </c>
      <c r="D327" s="16" t="s">
        <v>282</v>
      </c>
      <c r="E327" s="4" t="s">
        <v>1104</v>
      </c>
      <c r="F327" s="24"/>
      <c r="G327" s="16" t="s">
        <v>1045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1061</v>
      </c>
      <c r="P327" s="16">
        <v>0.5</v>
      </c>
      <c r="Q327" s="16"/>
      <c r="R327" s="16"/>
      <c r="S327" s="16"/>
      <c r="T327" s="16"/>
      <c r="U327" s="16">
        <v>1</v>
      </c>
      <c r="V327" s="16">
        <v>2</v>
      </c>
      <c r="W327" s="16" t="s">
        <v>482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5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73" s="6" customFormat="1">
      <c r="B328" s="24" t="s">
        <v>1105</v>
      </c>
      <c r="C328" s="6" t="s">
        <v>71</v>
      </c>
      <c r="D328" s="16" t="s">
        <v>282</v>
      </c>
      <c r="E328" s="4" t="s">
        <v>1106</v>
      </c>
      <c r="F328" s="24"/>
      <c r="G328" s="16" t="s">
        <v>1045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1061</v>
      </c>
      <c r="P328" s="16">
        <v>0.55000000000000004</v>
      </c>
      <c r="Q328" s="16"/>
      <c r="R328" s="16"/>
      <c r="S328" s="16"/>
      <c r="T328" s="16"/>
      <c r="U328" s="16">
        <v>1</v>
      </c>
      <c r="V328" s="16">
        <v>2</v>
      </c>
      <c r="W328" s="16" t="s">
        <v>482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5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73" s="6" customFormat="1">
      <c r="B329" s="24" t="s">
        <v>1107</v>
      </c>
      <c r="C329" s="6" t="s">
        <v>71</v>
      </c>
      <c r="D329" s="16" t="s">
        <v>282</v>
      </c>
      <c r="E329" s="4" t="s">
        <v>1108</v>
      </c>
      <c r="F329" s="24"/>
      <c r="G329" s="16" t="s">
        <v>1045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1061</v>
      </c>
      <c r="P329" s="16">
        <v>0.6</v>
      </c>
      <c r="Q329" s="16"/>
      <c r="R329" s="16"/>
      <c r="S329" s="16"/>
      <c r="T329" s="16"/>
      <c r="U329" s="16">
        <v>1</v>
      </c>
      <c r="V329" s="16">
        <v>2</v>
      </c>
      <c r="W329" s="16" t="s">
        <v>482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5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73" s="6" customFormat="1">
      <c r="B330" s="24" t="s">
        <v>1109</v>
      </c>
      <c r="C330" s="6" t="s">
        <v>71</v>
      </c>
      <c r="D330" s="16" t="s">
        <v>282</v>
      </c>
      <c r="E330" s="4" t="s">
        <v>1110</v>
      </c>
      <c r="F330" s="24"/>
      <c r="G330" s="16" t="s">
        <v>1045</v>
      </c>
      <c r="H330" s="16"/>
      <c r="I330" s="16" t="s">
        <v>285</v>
      </c>
      <c r="J330" s="16" t="s">
        <v>903</v>
      </c>
      <c r="K330" s="16"/>
      <c r="L330" s="16">
        <v>0</v>
      </c>
      <c r="M330" s="16">
        <v>0</v>
      </c>
      <c r="N330" s="16"/>
      <c r="O330" s="16" t="s">
        <v>1111</v>
      </c>
      <c r="P330" s="16">
        <v>1.7</v>
      </c>
      <c r="Q330" s="16"/>
      <c r="R330" s="16"/>
      <c r="S330" s="16"/>
      <c r="T330" s="16"/>
      <c r="U330" s="16">
        <v>2</v>
      </c>
      <c r="V330" s="16">
        <v>2</v>
      </c>
      <c r="W330" s="16" t="s">
        <v>150</v>
      </c>
      <c r="X330" s="16">
        <v>450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5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0.2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>
        <v>20</v>
      </c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73" s="6" customFormat="1">
      <c r="B331" s="51" t="s">
        <v>1112</v>
      </c>
      <c r="C331" s="6" t="s">
        <v>71</v>
      </c>
      <c r="D331" s="16" t="s">
        <v>282</v>
      </c>
      <c r="E331" t="s">
        <v>1113</v>
      </c>
      <c r="F331" s="24"/>
      <c r="G331" s="16" t="s">
        <v>1045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356</v>
      </c>
      <c r="P331" s="16">
        <v>0.5</v>
      </c>
      <c r="Q331" s="16"/>
      <c r="R331" s="16"/>
      <c r="S331" s="16"/>
      <c r="T331" s="16"/>
      <c r="U331" s="16">
        <v>0.5</v>
      </c>
      <c r="V331" s="16">
        <v>2</v>
      </c>
      <c r="W331" s="16" t="s">
        <v>150</v>
      </c>
      <c r="X331" s="16">
        <v>300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5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1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2</v>
      </c>
      <c r="BJ331" s="16"/>
      <c r="BK331" s="16"/>
      <c r="BL331" s="16"/>
      <c r="BM331" s="16"/>
      <c r="BN331" s="16"/>
      <c r="BO331" s="16"/>
      <c r="BP331" s="16"/>
      <c r="BQ331" s="6">
        <v>0</v>
      </c>
      <c r="BT331" s="6" t="s">
        <v>597</v>
      </c>
    </row>
    <row r="332" spans="2:73" s="6" customFormat="1">
      <c r="B332" t="s">
        <v>1114</v>
      </c>
      <c r="C332" s="6" t="s">
        <v>71</v>
      </c>
      <c r="D332" s="16" t="s">
        <v>282</v>
      </c>
      <c r="E332" t="s">
        <v>1115</v>
      </c>
      <c r="F332" s="24"/>
      <c r="G332" s="16" t="s">
        <v>1045</v>
      </c>
      <c r="H332" s="16"/>
      <c r="I332" s="16" t="s">
        <v>285</v>
      </c>
      <c r="J332" s="16" t="s">
        <v>372</v>
      </c>
      <c r="K332" s="16"/>
      <c r="L332" s="16">
        <v>0</v>
      </c>
      <c r="M332" s="16">
        <v>0</v>
      </c>
      <c r="N332" s="16"/>
      <c r="O332" s="16" t="s">
        <v>1116</v>
      </c>
      <c r="P332" s="16">
        <v>1.5</v>
      </c>
      <c r="Q332" s="16"/>
      <c r="R332" s="16"/>
      <c r="S332" s="16"/>
      <c r="T332" s="16"/>
      <c r="U332" s="16">
        <v>1</v>
      </c>
      <c r="V332" s="16">
        <v>2</v>
      </c>
      <c r="W332" s="16" t="s">
        <v>150</v>
      </c>
      <c r="X332" s="16">
        <v>350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5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0.8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3</v>
      </c>
      <c r="BJ332" s="16"/>
      <c r="BK332" s="16"/>
      <c r="BL332" s="16"/>
      <c r="BM332" s="16"/>
      <c r="BN332" s="16"/>
      <c r="BO332" s="16"/>
      <c r="BP332" s="16"/>
      <c r="BQ332" s="6">
        <v>0</v>
      </c>
      <c r="BT332" s="6" t="s">
        <v>597</v>
      </c>
    </row>
    <row r="333" spans="2:73" s="6" customFormat="1">
      <c r="B333" s="4" t="s">
        <v>1117</v>
      </c>
      <c r="C333" s="6" t="s">
        <v>71</v>
      </c>
      <c r="D333" s="16" t="s">
        <v>282</v>
      </c>
      <c r="E333" s="4" t="s">
        <v>1118</v>
      </c>
      <c r="F333" s="24"/>
      <c r="G333" s="16" t="s">
        <v>1119</v>
      </c>
      <c r="H333" s="16"/>
      <c r="I333" s="16" t="s">
        <v>285</v>
      </c>
      <c r="J333" s="16" t="s">
        <v>1120</v>
      </c>
      <c r="K333" s="16"/>
      <c r="L333" s="16">
        <v>0</v>
      </c>
      <c r="M333" s="16">
        <v>0</v>
      </c>
      <c r="N333" s="16"/>
      <c r="O333" s="4" t="s">
        <v>1121</v>
      </c>
      <c r="P333" s="16">
        <v>1.6</v>
      </c>
      <c r="Q333" s="16"/>
      <c r="R333" s="16"/>
      <c r="S333" s="16"/>
      <c r="T333" s="16"/>
      <c r="U333" s="16">
        <v>3</v>
      </c>
      <c r="V333" s="16">
        <v>2</v>
      </c>
      <c r="W333" s="16" t="s">
        <v>150</v>
      </c>
      <c r="X333" s="16">
        <v>350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5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0.8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  <c r="BT333" s="6" t="s">
        <v>597</v>
      </c>
    </row>
    <row r="334" spans="2:73" s="5" customFormat="1">
      <c r="B334" s="10"/>
      <c r="D334" s="10"/>
      <c r="E334" s="52"/>
      <c r="F334" s="52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53"/>
      <c r="BK334" s="53"/>
      <c r="BL334" s="53"/>
      <c r="BM334" s="53"/>
      <c r="BN334" s="53"/>
      <c r="BO334" s="53"/>
      <c r="BP334" s="54"/>
      <c r="BQ334" s="6"/>
      <c r="BR334" s="6"/>
      <c r="BS334" s="6"/>
      <c r="BT334" s="6"/>
      <c r="BU334" s="6"/>
    </row>
    <row r="335" spans="2:73" s="5" customFormat="1">
      <c r="B335" s="10"/>
      <c r="D335" s="10"/>
      <c r="E335" s="52"/>
      <c r="F335" s="52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53"/>
      <c r="BK335" s="53"/>
      <c r="BL335" s="53"/>
      <c r="BM335" s="53"/>
      <c r="BN335" s="53"/>
      <c r="BO335" s="53"/>
      <c r="BP335" s="54"/>
      <c r="BQ335" s="6"/>
      <c r="BR335" s="6"/>
      <c r="BS335" s="6"/>
      <c r="BT335" s="6"/>
      <c r="BU335" s="6"/>
    </row>
    <row r="336" spans="2:73" s="5" customFormat="1">
      <c r="B336" s="10"/>
      <c r="D336" s="10"/>
      <c r="E336" s="52"/>
      <c r="F336" s="52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53"/>
      <c r="BK336" s="53"/>
      <c r="BL336" s="53"/>
      <c r="BM336" s="53"/>
      <c r="BN336" s="53"/>
      <c r="BO336" s="53"/>
      <c r="BP336" s="54"/>
      <c r="BQ336" s="6"/>
      <c r="BR336" s="6"/>
      <c r="BS336" s="6"/>
      <c r="BT336" s="6"/>
      <c r="BU336" s="6"/>
    </row>
    <row r="337" spans="2:73" s="5" customFormat="1">
      <c r="B337" s="10"/>
      <c r="D337" s="10"/>
      <c r="E337" s="52"/>
      <c r="F337" s="52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53"/>
      <c r="BK337" s="53"/>
      <c r="BL337" s="53"/>
      <c r="BM337" s="53"/>
      <c r="BN337" s="53"/>
      <c r="BO337" s="53"/>
      <c r="BP337" s="54"/>
      <c r="BQ337" s="6"/>
      <c r="BR337" s="6"/>
      <c r="BS337" s="6"/>
      <c r="BT337" s="6"/>
      <c r="BU337" s="6"/>
    </row>
    <row r="338" spans="2:73" s="5" customFormat="1">
      <c r="B338" s="10"/>
      <c r="D338" s="10"/>
      <c r="E338" s="52"/>
      <c r="F338" s="52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53"/>
      <c r="BK338" s="53"/>
      <c r="BL338" s="53"/>
      <c r="BM338" s="53"/>
      <c r="BN338" s="53"/>
      <c r="BO338" s="53"/>
      <c r="BP338" s="54"/>
      <c r="BQ338" s="6"/>
      <c r="BR338" s="6"/>
      <c r="BS338" s="6"/>
      <c r="BT338" s="6"/>
      <c r="BU338" s="6"/>
    </row>
    <row r="339" spans="2:73" s="5" customFormat="1">
      <c r="B339" s="10"/>
      <c r="D339" s="10"/>
      <c r="E339" s="52"/>
      <c r="F339" s="52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53"/>
      <c r="BK339" s="53"/>
      <c r="BL339" s="53"/>
      <c r="BM339" s="53"/>
      <c r="BN339" s="53"/>
      <c r="BO339" s="53"/>
      <c r="BP339" s="54"/>
      <c r="BQ339" s="6"/>
      <c r="BR339" s="6"/>
      <c r="BS339" s="6"/>
      <c r="BT339" s="6"/>
      <c r="BU339" s="6"/>
    </row>
    <row r="340" spans="2:73" s="5" customFormat="1">
      <c r="B340" s="10"/>
      <c r="D340" s="10"/>
      <c r="E340" s="52"/>
      <c r="F340" s="52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3"/>
      <c r="BK340" s="53"/>
      <c r="BL340" s="53"/>
      <c r="BM340" s="53"/>
      <c r="BN340" s="53"/>
      <c r="BO340" s="53"/>
      <c r="BP340" s="54"/>
      <c r="BQ340" s="6"/>
      <c r="BR340" s="6"/>
      <c r="BS340" s="6"/>
      <c r="BT340" s="6"/>
      <c r="BU340" s="6"/>
    </row>
    <row r="341" spans="2:73" s="5" customFormat="1">
      <c r="B341" s="10"/>
      <c r="D341" s="10"/>
      <c r="E341" s="52"/>
      <c r="F341" s="52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3"/>
      <c r="BK341" s="53"/>
      <c r="BL341" s="53"/>
      <c r="BM341" s="53"/>
      <c r="BN341" s="53"/>
      <c r="BO341" s="53"/>
      <c r="BP341" s="54"/>
      <c r="BQ341" s="6"/>
      <c r="BR341" s="6"/>
      <c r="BS341" s="6"/>
      <c r="BT341" s="6"/>
      <c r="BU341" s="6"/>
    </row>
    <row r="342" spans="2:73" s="5" customFormat="1">
      <c r="B342" s="10"/>
      <c r="D342" s="10"/>
      <c r="E342" s="52"/>
      <c r="F342" s="52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3"/>
      <c r="BK342" s="53"/>
      <c r="BL342" s="53"/>
      <c r="BM342" s="53"/>
      <c r="BN342" s="53"/>
      <c r="BO342" s="53"/>
      <c r="BP342" s="54"/>
      <c r="BQ342" s="6"/>
      <c r="BR342" s="6"/>
      <c r="BS342" s="6"/>
      <c r="BT342" s="6"/>
      <c r="BU342" s="6"/>
    </row>
    <row r="343" spans="2:73" s="5" customFormat="1">
      <c r="B343" s="10"/>
      <c r="D343" s="10"/>
      <c r="E343" s="52"/>
      <c r="F343" s="52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3"/>
      <c r="BK343" s="53"/>
      <c r="BL343" s="53"/>
      <c r="BM343" s="53"/>
      <c r="BN343" s="53"/>
      <c r="BO343" s="53"/>
      <c r="BP343" s="54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2"/>
      <c r="F344" s="52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3"/>
      <c r="BK344" s="53"/>
      <c r="BL344" s="53"/>
      <c r="BM344" s="53"/>
      <c r="BN344" s="53"/>
      <c r="BO344" s="53"/>
      <c r="BP344" s="54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2"/>
      <c r="F345" s="52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3"/>
      <c r="BK345" s="53"/>
      <c r="BL345" s="53"/>
      <c r="BM345" s="53"/>
      <c r="BN345" s="53"/>
      <c r="BO345" s="53"/>
      <c r="BP345" s="54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2"/>
      <c r="F346" s="52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3"/>
      <c r="BK346" s="53"/>
      <c r="BL346" s="53"/>
      <c r="BM346" s="53"/>
      <c r="BN346" s="53"/>
      <c r="BO346" s="53"/>
      <c r="BP346" s="54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2"/>
      <c r="F347" s="52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3"/>
      <c r="BK347" s="53"/>
      <c r="BL347" s="53"/>
      <c r="BM347" s="53"/>
      <c r="BN347" s="53"/>
      <c r="BO347" s="53"/>
      <c r="BP347" s="54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2"/>
      <c r="F348" s="52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3"/>
      <c r="BK348" s="53"/>
      <c r="BL348" s="53"/>
      <c r="BM348" s="53"/>
      <c r="BN348" s="53"/>
      <c r="BO348" s="53"/>
      <c r="BP348" s="54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2"/>
      <c r="F349" s="52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3"/>
      <c r="BK349" s="53"/>
      <c r="BL349" s="53"/>
      <c r="BM349" s="53"/>
      <c r="BN349" s="53"/>
      <c r="BO349" s="53"/>
      <c r="BP349" s="54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2"/>
      <c r="F350" s="52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3"/>
      <c r="BK350" s="53"/>
      <c r="BL350" s="53"/>
      <c r="BM350" s="53"/>
      <c r="BN350" s="53"/>
      <c r="BO350" s="53"/>
      <c r="BP350" s="54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2"/>
      <c r="F351" s="52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3"/>
      <c r="BK351" s="53"/>
      <c r="BL351" s="53"/>
      <c r="BM351" s="53"/>
      <c r="BN351" s="53"/>
      <c r="BO351" s="53"/>
      <c r="BP351" s="54"/>
      <c r="BQ351" s="6"/>
      <c r="BR351" s="6"/>
      <c r="BS351" s="6"/>
      <c r="BT351" s="6"/>
      <c r="BU351" s="6"/>
    </row>
  </sheetData>
  <autoFilter ref="A1:BU333"/>
  <sortState ref="A2:BT33">
    <sortCondition ref="B2:B33"/>
  </sortState>
  <phoneticPr fontId="15" type="noConversion"/>
  <conditionalFormatting sqref="AP192">
    <cfRule type="cellIs" dxfId="7" priority="1" stopIfTrue="1" operator="greaterThan">
      <formula>600</formula>
    </cfRule>
  </conditionalFormatting>
  <conditionalFormatting sqref="AP198">
    <cfRule type="cellIs" dxfId="6" priority="2" stopIfTrue="1" operator="greaterThan">
      <formula>600</formula>
    </cfRule>
  </conditionalFormatting>
  <conditionalFormatting sqref="AP193:AP195">
    <cfRule type="cellIs" dxfId="5" priority="3" stopIfTrue="1" operator="greaterThan">
      <formula>600</formula>
    </cfRule>
  </conditionalFormatting>
  <conditionalFormatting sqref="AP196:AP197">
    <cfRule type="cellIs" dxfId="4" priority="4" stopIfTrue="1" operator="greaterThan">
      <formula>600</formula>
    </cfRule>
  </conditionalFormatting>
  <conditionalFormatting sqref="AP199:AP201">
    <cfRule type="cellIs" dxfId="3" priority="5" stopIfTrue="1" operator="greaterThan">
      <formula>600</formula>
    </cfRule>
  </conditionalFormatting>
  <conditionalFormatting sqref="AP1:AP187 AP206:AP1048576">
    <cfRule type="cellIs" dxfId="2" priority="6" stopIfTrue="1" operator="greaterThan">
      <formula>600</formula>
    </cfRule>
  </conditionalFormatting>
  <conditionalFormatting sqref="AP188:AP189 AP203:AP205">
    <cfRule type="cellIs" dxfId="1" priority="7" stopIfTrue="1" operator="greaterThan">
      <formula>600</formula>
    </cfRule>
  </conditionalFormatting>
  <conditionalFormatting sqref="AP190:AP191 AP202">
    <cfRule type="cellIs" dxfId="0" priority="8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1122</v>
      </c>
      <c r="B1" s="4" t="s">
        <v>1123</v>
      </c>
      <c r="C1" s="4" t="s">
        <v>1124</v>
      </c>
      <c r="D1" s="4" t="s">
        <v>1125</v>
      </c>
      <c r="E1" s="4" t="s">
        <v>1126</v>
      </c>
    </row>
    <row r="2" spans="1:5">
      <c r="A2">
        <v>1</v>
      </c>
      <c r="B2" s="2" t="s">
        <v>1127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1128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1129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1130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1131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1132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1133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1134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1135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1136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1137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1138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1139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1140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1141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1142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1143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1144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1145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1146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1147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1148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1149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1150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1151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1152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1153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1154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1155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1156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1157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1158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1159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1160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1161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1162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1163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1164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1165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1166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1167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1168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1169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1170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1171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1172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1173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1174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1175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1176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1177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1178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1179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1180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1181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1182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1183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1184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1185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1186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1187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1188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1189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1190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1191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1192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1193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1194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1195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1196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1197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1198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1199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1200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1201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1202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1203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1204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1205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1206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1207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1208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1209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1210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1211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1212</v>
      </c>
      <c r="C2" s="1" t="s">
        <v>71</v>
      </c>
      <c r="D2" s="3" t="s">
        <v>282</v>
      </c>
      <c r="E2" s="2" t="s">
        <v>1213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1214</v>
      </c>
      <c r="N2" s="2" t="s">
        <v>1215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1216</v>
      </c>
      <c r="Z2" s="3">
        <v>500</v>
      </c>
      <c r="AA2" s="3"/>
      <c r="AB2" s="3">
        <v>0</v>
      </c>
      <c r="AC2" s="3" t="s">
        <v>152</v>
      </c>
      <c r="AD2" s="3"/>
      <c r="AE2" s="3"/>
      <c r="AF2" s="59" t="s">
        <v>152</v>
      </c>
      <c r="AG2" s="3" t="s">
        <v>1217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1218</v>
      </c>
      <c r="C3" s="1" t="s">
        <v>71</v>
      </c>
      <c r="D3" s="3" t="s">
        <v>282</v>
      </c>
      <c r="E3" s="2" t="s">
        <v>1219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1220</v>
      </c>
      <c r="N3" s="2" t="s">
        <v>1221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1216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0" t="s">
        <v>165</v>
      </c>
      <c r="AG3" s="3" t="s">
        <v>1217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2020-04-07T15:15:04Z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