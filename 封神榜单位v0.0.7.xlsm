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3D84B7EE-9127-4271-A165-80B5B617422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单位奖池" sheetId="2" r:id="rId2"/>
    <sheet name="Sheet1" sheetId="3" r:id="rId3"/>
  </sheets>
  <functionGroups builtInGroupCount="19"/>
  <definedNames>
    <definedName name="_xlnm._FilterDatabase" localSheetId="0" hidden="1">P000!$A$1:$BU$401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1" l="1"/>
  <c r="P102" i="1" l="1"/>
  <c r="P103" i="1" s="1"/>
  <c r="P104" i="1" s="1"/>
  <c r="P105" i="1" s="1"/>
  <c r="P106" i="1" s="1"/>
  <c r="P107" i="1" s="1"/>
  <c r="P108" i="1" s="1"/>
  <c r="P109" i="1" s="1"/>
  <c r="P110" i="1" s="1"/>
  <c r="P86" i="1"/>
  <c r="P87" i="1" s="1"/>
  <c r="P88" i="1" s="1"/>
  <c r="P89" i="1" s="1"/>
  <c r="P90" i="1" s="1"/>
  <c r="P91" i="1" s="1"/>
  <c r="P92" i="1" s="1"/>
  <c r="P93" i="1" s="1"/>
  <c r="P94" i="1" s="1"/>
  <c r="P96" i="1"/>
  <c r="P97" i="1" s="1"/>
  <c r="P98" i="1" s="1"/>
  <c r="P99" i="1" s="1"/>
  <c r="P100" i="1" s="1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P361" i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AQ183" i="1"/>
  <c r="AQ184" i="1" s="1"/>
  <c r="AQ185" i="1" s="1"/>
  <c r="AQ186" i="1" s="1"/>
  <c r="AQ187" i="1" s="1"/>
  <c r="AQ188" i="1" s="1"/>
  <c r="AQ189" i="1" s="1"/>
  <c r="AQ190" i="1" s="1"/>
  <c r="AQ151" i="1"/>
  <c r="AQ152" i="1" s="1"/>
  <c r="AQ153" i="1" s="1"/>
  <c r="AQ154" i="1" s="1"/>
  <c r="AQ155" i="1" s="1"/>
  <c r="AQ156" i="1" s="1"/>
  <c r="AQ157" i="1" s="1"/>
  <c r="AQ143" i="1"/>
  <c r="AQ144" i="1" s="1"/>
  <c r="AQ145" i="1" s="1"/>
  <c r="AQ146" i="1" s="1"/>
  <c r="AQ147" i="1" s="1"/>
  <c r="AQ148" i="1" s="1"/>
  <c r="AQ149" i="1" s="1"/>
  <c r="AQ142" i="1"/>
  <c r="AQ112" i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2" i="1"/>
</calcChain>
</file>

<file path=xl/sharedStrings.xml><?xml version="1.0" encoding="utf-8"?>
<sst xmlns="http://schemas.openxmlformats.org/spreadsheetml/2006/main" count="6059" uniqueCount="1391">
  <si>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</si>
  <si>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</si>
  <si>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</si>
  <si>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</si>
  <si>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</si>
  <si>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</si>
  <si>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</si>
  <si>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</si>
  <si>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</si>
  <si>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</si>
  <si>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</si>
  <si>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</si>
  <si>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</si>
  <si>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</si>
  <si>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</si>
  <si>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</si>
  <si>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</si>
  <si>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</si>
  <si>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</si>
  <si>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</si>
  <si>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</si>
  <si>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</si>
  <si>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</si>
  <si>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</si>
  <si>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</si>
  <si>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</si>
  <si>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</si>
  <si>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</si>
  <si>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</si>
  <si>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</si>
  <si>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</si>
  <si>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</si>
  <si>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</si>
  <si>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</si>
  <si>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</si>
  <si>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</si>
  <si>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</si>
  <si>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</si>
  <si>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</si>
  <si>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</si>
  <si>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</si>
  <si>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</si>
  <si>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</si>
  <si>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</si>
  <si>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</si>
  <si>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</si>
  <si>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</si>
  <si>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</si>
  <si>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</si>
  <si>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</si>
  <si>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</si>
  <si>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</si>
  <si>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</si>
  <si>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</si>
  <si>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</si>
  <si>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</si>
  <si>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</si>
  <si>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</si>
  <si>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</si>
  <si>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</si>
  <si>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</si>
  <si>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</si>
  <si>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</si>
  <si>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</si>
  <si>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</si>
  <si>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</si>
  <si>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</si>
  <si>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</si>
  <si>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</si>
  <si>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</si>
  <si>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</si>
  <si>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</si>
  <si>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</si>
  <si>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</si>
  <si>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</si>
  <si>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</si>
  <si>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</si>
  <si>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</si>
  <si>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</si>
  <si>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</si>
  <si>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</si>
  <si>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</si>
  <si>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</si>
  <si>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</si>
  <si>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</si>
  <si>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</si>
  <si>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</si>
  <si>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</si>
  <si>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</si>
  <si>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</si>
  <si>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</si>
  <si>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</si>
  <si>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</si>
  <si>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</si>
  <si>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</si>
  <si>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</si>
  <si>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</si>
  <si>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</si>
  <si>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</si>
  <si>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</si>
  <si>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</si>
  <si>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</si>
  <si>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</si>
  <si>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</si>
  <si>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</si>
  <si>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</si>
  <si>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</si>
  <si>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</si>
  <si>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</si>
  <si>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</si>
  <si>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</si>
  <si>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</si>
  <si>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</si>
  <si>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</si>
  <si>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</si>
  <si>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</si>
  <si>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</si>
  <si>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</si>
  <si>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</si>
  <si>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</si>
  <si>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</si>
  <si>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</si>
  <si>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</si>
  <si>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</si>
  <si>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</si>
  <si>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</si>
  <si>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</si>
  <si>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</si>
  <si>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</si>
  <si>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</si>
  <si>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</si>
  <si>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</si>
  <si>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</si>
  <si>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</si>
  <si>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</si>
  <si>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</si>
  <si>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</si>
  <si>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</si>
  <si>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</si>
  <si>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</si>
  <si>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</si>
  <si>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</si>
  <si>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</si>
  <si>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</si>
  <si>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</si>
  <si>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</si>
  <si>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</si>
  <si>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</si>
  <si>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</si>
  <si>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</si>
  <si>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</si>
  <si>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</si>
  <si>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</si>
  <si>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</si>
  <si>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</si>
  <si>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</si>
  <si>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</si>
  <si>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</si>
  <si>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</si>
  <si>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</si>
  <si>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</si>
  <si>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</si>
  <si>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</si>
  <si>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</si>
  <si>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</si>
  <si>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</si>
  <si>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</si>
  <si>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</si>
  <si>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</si>
  <si>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</si>
  <si>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</si>
  <si>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</si>
  <si>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</si>
  <si>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</si>
  <si>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</si>
  <si>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</si>
  <si>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</si>
  <si>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</si>
  <si>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</si>
  <si>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</si>
  <si>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</si>
  <si>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</si>
  <si>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</si>
  <si>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</si>
  <si>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</si>
  <si>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</si>
  <si>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</si>
  <si>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</si>
  <si>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</si>
  <si>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</si>
  <si>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</si>
  <si>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</si>
  <si>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</si>
  <si>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</si>
  <si>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</si>
  <si>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</si>
  <si>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</si>
  <si>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</si>
  <si>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</si>
  <si>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</si>
  <si>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</si>
  <si>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</si>
  <si>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</si>
  <si>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</si>
  <si>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</si>
  <si>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</si>
  <si>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</si>
  <si>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</si>
  <si>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</si>
  <si>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</si>
  <si>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</si>
  <si>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</si>
  <si>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</si>
  <si>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</si>
  <si>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</si>
  <si>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</si>
  <si>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</si>
  <si>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</si>
  <si>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</si>
  <si>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</si>
  <si>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</si>
  <si>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</si>
  <si>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</si>
  <si>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</si>
  <si>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</si>
  <si>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</si>
  <si>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</si>
  <si>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</si>
  <si>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</si>
  <si>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</si>
  <si>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</si>
  <si>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</si>
  <si>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</si>
  <si>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</si>
  <si>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</si>
  <si>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</si>
  <si>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</si>
  <si>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</si>
  <si>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</si>
  <si>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</si>
  <si>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</si>
  <si>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</si>
  <si>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</si>
  <si>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</si>
  <si>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</si>
  <si>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</si>
  <si>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</si>
  <si>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</si>
  <si>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</si>
  <si>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</si>
  <si>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</si>
  <si>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</si>
  <si>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</si>
  <si>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</si>
  <si>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</si>
  <si>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</si>
  <si>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</si>
  <si>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</si>
  <si>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</si>
  <si>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</si>
  <si>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</si>
  <si>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</si>
  <si>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</si>
  <si>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</si>
  <si>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</si>
  <si>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</si>
  <si>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</si>
  <si>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</si>
  <si>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</si>
  <si>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</si>
  <si>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</si>
  <si>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</si>
  <si>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</si>
  <si>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</si>
  <si>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</si>
  <si>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</si>
  <si>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</si>
  <si>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</si>
  <si>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</si>
  <si>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</si>
  <si>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</si>
  <si>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</si>
  <si>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</si>
  <si>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</si>
  <si>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</si>
  <si>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</si>
  <si>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</si>
  <si>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</si>
  <si>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</si>
  <si>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</si>
  <si>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</si>
  <si>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</si>
  <si>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</si>
  <si>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</si>
  <si>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</si>
  <si>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</si>
  <si>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</si>
  <si>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</si>
  <si>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</si>
  <si>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</si>
  <si>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</si>
  <si>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</si>
  <si>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</si>
  <si>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</si>
  <si>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</si>
  <si>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</si>
  <si>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</si>
  <si>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</si>
  <si>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</si>
  <si>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</si>
  <si>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</si>
  <si>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</si>
  <si>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</si>
  <si>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</si>
  <si>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</si>
  <si>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</si>
  <si>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</si>
  <si>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</si>
  <si>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</si>
  <si>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</si>
  <si>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</si>
  <si>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</si>
  <si>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</si>
  <si>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</si>
  <si>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</si>
  <si>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</si>
  <si>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</si>
  <si>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</si>
  <si>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</si>
  <si>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</si>
  <si>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</si>
  <si>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</si>
  <si>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</si>
  <si>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</si>
  <si>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</si>
  <si>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</si>
  <si>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</si>
  <si>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</si>
  <si>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</si>
  <si>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</si>
  <si>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</si>
  <si>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</si>
  <si>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</si>
  <si>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</si>
  <si>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</si>
  <si>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</si>
  <si>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</si>
  <si>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</si>
  <si>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</si>
  <si>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</si>
  <si>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</si>
  <si>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</si>
  <si>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</si>
  <si>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</si>
  <si>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</si>
  <si>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</si>
  <si>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</si>
  <si>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</si>
  <si>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</si>
  <si>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</si>
  <si>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</si>
  <si>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</si>
  <si>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</si>
  <si>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</si>
  <si>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</si>
  <si>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</si>
  <si>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</si>
  <si>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</si>
  <si>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</si>
  <si>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</si>
  <si>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</si>
  <si>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</si>
  <si>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</si>
  <si>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</si>
  <si>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</si>
  <si>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</si>
  <si>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</si>
  <si>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</si>
  <si>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</si>
  <si>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</si>
  <si>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</si>
  <si>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</si>
  <si>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</si>
  <si>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</si>
  <si>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</si>
  <si>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</si>
  <si>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</si>
  <si>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</si>
  <si>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</si>
  <si>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</si>
  <si>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</si>
  <si>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</si>
  <si>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</si>
  <si>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</si>
  <si>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</si>
  <si>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</si>
  <si>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</si>
  <si>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</si>
  <si>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</si>
  <si>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</si>
  <si>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</si>
  <si>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</si>
  <si>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</si>
  <si>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</si>
  <si>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</si>
  <si>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</si>
  <si>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</si>
  <si>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</si>
  <si>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</si>
  <si>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</si>
  <si>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</si>
  <si>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</si>
  <si>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</si>
  <si>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</si>
  <si>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</si>
  <si>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魂灵</t>
  </si>
  <si>
    <t>units\\nightelf\\Wisp\\Wisp.mdl</t>
  </si>
  <si>
    <t>自然灵体</t>
  </si>
  <si>
    <t>units\\nightelf\\HeroKeeperoftheGroveGhost\\HeroKeeperoftheGroveGhost.mdl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</si>
  <si>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</si>
  <si>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</si>
  <si>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</si>
  <si>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妖魅</t>
  </si>
  <si>
    <t>新手任务</t>
  </si>
  <si>
    <t>moster_meimo.mdl</t>
  </si>
  <si>
    <t>悬赏任务Boss</t>
  </si>
  <si>
    <t>山麓之神</t>
  </si>
  <si>
    <t>moster_niujing.mdl</t>
  </si>
  <si>
    <t>元素灵体</t>
  </si>
  <si>
    <t>Units\\Creeps\\SeaElemental\\SeaElemental.mdl</t>
  </si>
  <si>
    <t>Abilities\\Weapons\\SeaElementalMissile\\SeaElementalMissile.mdl</t>
  </si>
  <si>
    <t>复仇执念</t>
  </si>
  <si>
    <t>units\\nightelf\\Vengeance\\Vengeance.mdl</t>
  </si>
  <si>
    <t>Abilities\\Weapons\\VengeanceMissile\\VengeanceMissile.mdl</t>
  </si>
  <si>
    <t>岩石巨兵</t>
  </si>
  <si>
    <t>units\\creeps\\GolemStatue\\GolemStatue.mdl</t>
  </si>
  <si>
    <t>洪荒年兽</t>
  </si>
  <si>
    <t>moster_nianshou.mdl</t>
  </si>
  <si>
    <t>九头蛇魔</t>
  </si>
  <si>
    <t>Units\\Creeps\\Hydra\\Hydra.mdl</t>
  </si>
  <si>
    <t>Abilities\\Weapons\\ChimaeraAcidMissile\\ChimaeraAcidMissile.mdl</t>
  </si>
  <si>
    <t>魔龙女王</t>
  </si>
  <si>
    <t>Deathwingqueen.mdl</t>
  </si>
  <si>
    <t>火之气息</t>
  </si>
  <si>
    <t>Units\\Creeps\\HeroFlameLord\\HeroFlameLord.mdl</t>
  </si>
  <si>
    <t>囚牛之魂</t>
  </si>
  <si>
    <t>shenshou_qiuniu.mdl</t>
  </si>
  <si>
    <t>effect_tx_asad (23).mdl</t>
  </si>
  <si>
    <t>古医残魂</t>
  </si>
  <si>
    <t>NPC_zhanxing.mdl</t>
  </si>
  <si>
    <t>Abilities\\Weapons\\GargoyleMissile\\GargoyleMissile.mdl</t>
  </si>
  <si>
    <t>地狱之火</t>
  </si>
  <si>
    <t>units\\demon\\Infernal\\Infernal.mdl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</si>
  <si>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</si>
  <si>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</si>
  <si>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</si>
  <si>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</si>
  <si>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</si>
  <si>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</si>
  <si>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</si>
  <si>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</si>
  <si>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</si>
  <si>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</si>
  <si>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</si>
  <si>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</si>
  <si>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</si>
  <si>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</si>
  <si>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</si>
  <si>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</si>
  <si>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</si>
  <si>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</si>
  <si>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</si>
  <si>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</si>
  <si>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</si>
  <si>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</si>
  <si>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</si>
  <si>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</si>
  <si>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</si>
  <si>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</si>
  <si>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</si>
  <si>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</si>
  <si>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</si>
  <si>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</si>
  <si>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</si>
  <si>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</si>
  <si>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</si>
  <si>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</si>
  <si>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</si>
  <si>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</si>
  <si>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</si>
  <si>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</si>
  <si>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</si>
  <si>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</si>
  <si>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</si>
  <si>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</si>
  <si>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</si>
  <si>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</si>
  <si>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</si>
  <si>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</si>
  <si>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</si>
  <si>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</si>
  <si>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</si>
  <si>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</si>
  <si>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</si>
  <si>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</si>
  <si>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</si>
  <si>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</si>
  <si>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</si>
  <si>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</si>
  <si>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</si>
  <si>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</si>
  <si>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</si>
  <si>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</si>
  <si>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</si>
  <si>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</si>
  <si>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</si>
  <si>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</si>
  <si>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</si>
  <si>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</si>
  <si>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</si>
  <si>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</si>
  <si>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</si>
  <si>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</si>
  <si>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</si>
  <si>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</si>
  <si>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</si>
  <si>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</si>
  <si>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</si>
  <si>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</si>
  <si>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</si>
  <si>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</si>
  <si>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</si>
  <si>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</si>
  <si>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</si>
  <si>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</si>
  <si>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</si>
  <si>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</si>
  <si>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</si>
  <si>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</si>
  <si>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</si>
  <si>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</si>
  <si>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</si>
  <si>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</si>
  <si>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</si>
  <si>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</si>
  <si>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</si>
  <si>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</si>
  <si>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</si>
  <si>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</si>
  <si>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</si>
  <si>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</si>
  <si>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</si>
  <si>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</si>
  <si>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</si>
  <si>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</si>
  <si>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</si>
  <si>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</si>
  <si>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</si>
  <si>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</si>
  <si>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</si>
  <si>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</si>
  <si>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</si>
  <si>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</si>
  <si>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</si>
  <si>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</si>
  <si>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</si>
  <si>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</si>
  <si>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</si>
  <si>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</si>
  <si>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</si>
  <si>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</si>
  <si>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</si>
  <si>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</si>
  <si>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</si>
  <si>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</si>
  <si>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</si>
  <si>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</si>
  <si>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</si>
  <si>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</si>
  <si>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</si>
  <si>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</si>
  <si>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</si>
  <si>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</si>
  <si>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</si>
  <si>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</si>
  <si>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</si>
  <si>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</si>
  <si>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</si>
  <si>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</si>
  <si>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</si>
  <si>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</si>
  <si>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</si>
  <si>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</si>
  <si>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</si>
  <si>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</si>
  <si>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</si>
  <si>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</si>
  <si>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</si>
  <si>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</si>
  <si>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</si>
  <si>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</si>
  <si>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</si>
  <si>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</si>
  <si>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</si>
  <si>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</si>
  <si>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</si>
  <si>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</si>
  <si>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</si>
  <si>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</si>
  <si>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</si>
  <si>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</si>
  <si>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</si>
  <si>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</si>
  <si>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</si>
  <si>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</si>
  <si>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</si>
  <si>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</si>
  <si>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</si>
  <si>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</si>
  <si>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</si>
  <si>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</si>
  <si>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</si>
  <si>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</si>
  <si>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</si>
  <si>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</si>
  <si>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</si>
  <si>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</si>
  <si>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</si>
  <si>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</si>
  <si>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</si>
  <si>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</si>
  <si>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</si>
  <si>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</si>
  <si>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</si>
  <si>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</si>
  <si>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</si>
  <si>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</si>
  <si>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</si>
  <si>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</si>
  <si>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</si>
  <si>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</si>
  <si>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</si>
  <si>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</si>
  <si>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</si>
  <si>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</si>
  <si>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</si>
  <si>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</si>
  <si>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</si>
  <si>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</si>
  <si>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</si>
  <si>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</si>
  <si>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</si>
  <si>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</si>
  <si>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</si>
  <si>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</si>
  <si>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</si>
  <si>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</si>
  <si>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</si>
  <si>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</si>
  <si>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</si>
  <si>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</si>
  <si>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</si>
  <si>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</si>
  <si>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</si>
  <si>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</si>
  <si>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</si>
  <si>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</si>
  <si>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</si>
  <si>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</si>
  <si>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</si>
  <si>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</si>
  <si>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</si>
  <si>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</si>
  <si>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</si>
  <si>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</si>
  <si>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</si>
  <si>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</si>
  <si>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</si>
  <si>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</si>
  <si>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</si>
  <si>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</si>
  <si>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</si>
  <si>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</si>
  <si>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</si>
  <si>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</si>
  <si>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</si>
  <si>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</si>
  <si>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</si>
  <si>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</si>
  <si>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</si>
  <si>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</si>
  <si>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</si>
  <si>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</si>
  <si>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</si>
  <si>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</si>
  <si>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</si>
  <si>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</si>
  <si>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</si>
  <si>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</si>
  <si>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</si>
  <si>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</si>
  <si>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</si>
  <si>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</si>
  <si>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</si>
  <si>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</si>
  <si>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</si>
  <si>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</si>
  <si>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</si>
  <si>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</si>
  <si>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</si>
  <si>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</si>
  <si>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</si>
  <si>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</si>
  <si>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</si>
  <si>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</si>
  <si>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</si>
  <si>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</si>
  <si>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</si>
  <si>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</si>
  <si>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</si>
  <si>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</si>
  <si>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</si>
  <si>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</si>
  <si>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</si>
  <si>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</si>
  <si>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</si>
  <si>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</si>
  <si>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</si>
  <si>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</si>
  <si>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</si>
  <si>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</si>
  <si>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</si>
  <si>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</si>
  <si>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</si>
  <si>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</si>
  <si>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</si>
  <si>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</si>
  <si>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</si>
  <si>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</si>
  <si>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</si>
  <si>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</si>
  <si>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</si>
  <si>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</si>
  <si>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</si>
  <si>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</si>
  <si>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</si>
  <si>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</si>
  <si>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</si>
  <si>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</si>
  <si>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</si>
  <si>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</si>
  <si>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</si>
  <si>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</si>
  <si>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</si>
  <si>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</si>
  <si>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</si>
  <si>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</si>
  <si>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</si>
  <si>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</si>
  <si>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</si>
  <si>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</si>
  <si>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</si>
  <si>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</si>
  <si>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</si>
  <si>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</si>
  <si>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</si>
  <si>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</si>
  <si>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</si>
  <si>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</si>
  <si>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</si>
  <si>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</si>
  <si>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</si>
  <si>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</si>
  <si>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</si>
  <si>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</si>
  <si>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</si>
  <si>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</si>
  <si>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</si>
  <si>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</si>
  <si>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</si>
  <si>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</si>
  <si>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</si>
  <si>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</si>
  <si>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</si>
  <si>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</si>
  <si>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</si>
  <si>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</si>
  <si>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</si>
  <si>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</si>
  <si>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</si>
  <si>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</si>
  <si>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</si>
  <si>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</si>
  <si>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</si>
  <si>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</si>
  <si>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</si>
  <si>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</si>
  <si>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</si>
  <si>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</si>
  <si>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</si>
  <si>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</si>
  <si>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</si>
  <si>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</si>
  <si>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</si>
  <si>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</si>
  <si>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</si>
  <si>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</si>
  <si>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</si>
  <si>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</si>
  <si>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</si>
  <si>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</si>
  <si>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</si>
  <si>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</si>
  <si>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</si>
  <si>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</si>
  <si>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</si>
  <si>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</si>
  <si>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</si>
  <si>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</si>
  <si>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</si>
  <si>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</si>
  <si>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</si>
  <si>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</si>
  <si>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</si>
  <si>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</si>
  <si>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</si>
  <si>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</si>
  <si>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</si>
  <si>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</si>
  <si>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</si>
  <si>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</si>
  <si>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</si>
  <si>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</si>
  <si>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</si>
  <si>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</si>
  <si>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</si>
  <si>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</si>
  <si>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</si>
  <si>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</si>
  <si>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</si>
  <si>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</si>
  <si>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</si>
  <si>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</si>
  <si>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</si>
  <si>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</si>
  <si>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</si>
  <si>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</si>
  <si>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</si>
  <si>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</si>
  <si>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</si>
  <si>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</si>
  <si>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</si>
  <si>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</si>
  <si>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</si>
  <si>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</si>
  <si>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</si>
  <si>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</si>
  <si>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</si>
  <si>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</si>
  <si>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</si>
  <si>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</si>
  <si>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</si>
  <si>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</si>
  <si>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</si>
  <si>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</si>
  <si>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</si>
  <si>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</si>
  <si>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</si>
  <si>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</si>
  <si>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</si>
  <si>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</si>
  <si>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</si>
  <si>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</si>
  <si>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</si>
  <si>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</si>
  <si>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</si>
  <si>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</si>
  <si>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</si>
  <si>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</si>
  <si>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</si>
  <si>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</si>
  <si>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</si>
  <si>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</si>
  <si>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</si>
  <si>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</si>
  <si>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</si>
  <si>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</si>
  <si>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</si>
  <si>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</si>
  <si>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</si>
  <si>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</si>
  <si>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</si>
  <si>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</si>
  <si>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</si>
  <si>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</si>
  <si>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</si>
  <si>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</si>
  <si>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</si>
  <si>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</si>
  <si>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</si>
  <si>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</si>
  <si>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</si>
  <si>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</si>
  <si>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</si>
  <si>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</si>
  <si>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</si>
  <si>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</si>
  <si>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</si>
  <si>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</si>
  <si>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</si>
  <si>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</si>
  <si>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</si>
  <si>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</si>
  <si>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</si>
  <si>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</si>
  <si>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</si>
  <si>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</si>
  <si>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</si>
  <si>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</si>
  <si>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</si>
  <si>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</si>
  <si>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</si>
  <si>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</si>
  <si>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</si>
  <si>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</si>
  <si>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</si>
  <si>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</si>
  <si>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</si>
  <si>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</si>
  <si>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</si>
  <si>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</si>
  <si>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</si>
  <si>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</si>
  <si>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</si>
  <si>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</si>
  <si>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</si>
  <si>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</si>
  <si>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</si>
  <si>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</si>
  <si>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</si>
  <si>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</si>
  <si>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</si>
  <si>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</si>
  <si>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</si>
  <si>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</si>
  <si>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</si>
  <si>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</si>
  <si>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</si>
  <si>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</si>
  <si>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</si>
  <si>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</si>
  <si>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</si>
  <si>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</si>
  <si>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</si>
  <si>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</si>
  <si>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</si>
  <si>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</si>
  <si>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</si>
  <si>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</si>
  <si>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</si>
  <si>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</si>
  <si>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</si>
  <si>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</si>
  <si>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</si>
  <si>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</si>
  <si>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</si>
  <si>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</si>
  <si>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</si>
  <si>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</si>
  <si>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</si>
  <si>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</si>
  <si>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</si>
  <si>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</si>
  <si>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</si>
  <si>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</si>
  <si>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</si>
  <si>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</si>
  <si>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</si>
  <si>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</si>
  <si>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</si>
  <si>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</si>
  <si>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</si>
  <si>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</si>
  <si>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</si>
  <si>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</si>
  <si>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</si>
  <si>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</si>
  <si>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</si>
  <si>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</si>
  <si>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</si>
  <si>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</si>
  <si>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</si>
  <si>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</si>
  <si>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</si>
  <si>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</si>
  <si>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</si>
  <si>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</si>
  <si>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</si>
  <si>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</si>
  <si>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</si>
  <si>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</si>
  <si>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</si>
  <si>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</si>
  <si>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</si>
  <si>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</si>
  <si>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</si>
  <si>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</si>
  <si>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</si>
  <si>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</si>
  <si>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</si>
  <si>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</si>
  <si>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</si>
  <si>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</si>
  <si>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</si>
  <si>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</si>
  <si>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</si>
  <si>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</si>
  <si>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</si>
  <si>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</si>
  <si>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</si>
  <si>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</si>
  <si>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</si>
  <si>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</si>
  <si>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</si>
  <si>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</si>
  <si>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</si>
  <si>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</si>
  <si>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</si>
  <si>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</si>
  <si>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</si>
  <si>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</si>
  <si>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</si>
  <si>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</si>
  <si>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</si>
  <si>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</si>
  <si>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</si>
  <si>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</si>
  <si>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</si>
  <si>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</si>
  <si>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</si>
  <si>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</si>
  <si>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</si>
  <si>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</si>
  <si>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</si>
  <si>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</si>
  <si>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</si>
  <si>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</si>
  <si>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</si>
  <si>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</si>
  <si>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</si>
  <si>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</si>
  <si>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</si>
  <si>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</si>
  <si>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</si>
  <si>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</si>
  <si>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</si>
  <si>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</si>
  <si>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</si>
  <si>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</si>
  <si>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</si>
  <si>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</si>
  <si>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</si>
  <si>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</si>
  <si>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</si>
  <si>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</si>
  <si>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</si>
  <si>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</si>
  <si>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</si>
  <si>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</si>
  <si>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</si>
  <si>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</si>
  <si>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</si>
  <si>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</si>
  <si>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</si>
  <si>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</si>
  <si>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</si>
  <si>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</si>
  <si>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</si>
  <si>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</si>
  <si>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</si>
  <si>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</si>
  <si>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</si>
  <si>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</si>
  <si>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</si>
  <si>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</si>
  <si>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</si>
  <si>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</si>
  <si>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</si>
  <si>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</si>
  <si>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</si>
  <si>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</si>
  <si>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</si>
  <si>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</si>
  <si>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</si>
  <si>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</si>
  <si>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</si>
  <si>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</si>
  <si>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</si>
  <si>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</si>
  <si>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</si>
  <si>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</si>
  <si>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</si>
  <si>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</si>
  <si>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</si>
  <si>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</si>
  <si>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</si>
  <si>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</si>
  <si>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</si>
  <si>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</si>
  <si>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</si>
  <si>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</si>
  <si>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</si>
  <si>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</si>
  <si>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</si>
  <si>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</si>
  <si>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</si>
  <si>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</si>
  <si>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</si>
  <si>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</si>
  <si>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</si>
  <si>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</si>
  <si>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</si>
  <si>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</si>
  <si>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</si>
  <si>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</si>
  <si>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</si>
  <si>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</si>
  <si>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</si>
  <si>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</si>
  <si>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</si>
  <si>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</si>
  <si>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</si>
  <si>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</si>
  <si>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</si>
  <si>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</si>
  <si>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</si>
  <si>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</si>
  <si>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</si>
  <si>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</si>
  <si>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</si>
  <si>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</si>
  <si>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</si>
  <si>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</si>
  <si>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</si>
  <si>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</si>
  <si>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</si>
  <si>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</si>
  <si>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</si>
  <si>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</si>
  <si>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</si>
  <si>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</si>
  <si>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</si>
  <si>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</si>
  <si>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</si>
  <si>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</si>
  <si>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</si>
  <si>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</si>
  <si>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</si>
  <si>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</si>
  <si>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</si>
  <si>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</si>
  <si>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</si>
  <si>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</si>
  <si>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</si>
  <si>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</si>
  <si>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</si>
  <si>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</si>
  <si>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</si>
  <si>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</si>
  <si>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</si>
  <si>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</si>
  <si>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</si>
  <si>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</si>
  <si>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</si>
  <si>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</si>
  <si>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</si>
  <si>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</si>
  <si>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</si>
  <si>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</si>
  <si>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</si>
  <si>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</si>
  <si>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</si>
  <si>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</si>
  <si>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</si>
  <si>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</si>
  <si>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</si>
  <si>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</si>
  <si>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</si>
  <si>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</si>
  <si>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</si>
  <si>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</si>
  <si>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</si>
  <si>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</si>
  <si>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</si>
  <si>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</si>
  <si>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</si>
  <si>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</si>
  <si>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</si>
  <si>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</si>
  <si>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</si>
  <si>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</si>
  <si>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</si>
  <si>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</si>
  <si>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</si>
  <si>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</si>
  <si>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</si>
  <si>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</si>
  <si>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</si>
  <si>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</si>
  <si>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</si>
  <si>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</si>
  <si>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</si>
  <si>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</si>
  <si>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</si>
  <si>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</si>
  <si>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</si>
  <si>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</si>
  <si>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</si>
  <si>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</si>
  <si>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</si>
  <si>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</si>
  <si>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</si>
  <si>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</si>
  <si>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</si>
  <si>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</si>
  <si>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</si>
  <si>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</si>
  <si>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</si>
  <si>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</si>
  <si>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</si>
  <si>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</si>
  <si>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</si>
  <si>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</si>
  <si>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</si>
  <si>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</si>
  <si>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</si>
  <si>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</si>
  <si>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</si>
  <si>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</si>
  <si>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</si>
  <si>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</si>
  <si>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</si>
  <si>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</si>
  <si>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</si>
  <si>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</si>
  <si>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</si>
  <si>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</si>
  <si>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</si>
  <si>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</si>
  <si>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</si>
  <si>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</si>
  <si>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</si>
  <si>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</si>
  <si>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</si>
  <si>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</si>
  <si>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</si>
  <si>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</si>
  <si>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</si>
  <si>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</si>
  <si>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</si>
  <si>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</si>
  <si>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</si>
  <si>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</si>
  <si>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</si>
  <si>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</si>
  <si>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</si>
  <si>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</si>
  <si>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</si>
  <si>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</si>
  <si>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</si>
  <si>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</si>
  <si>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</si>
  <si>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</si>
  <si>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</si>
  <si>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</si>
  <si>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</si>
  <si>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</si>
  <si>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</si>
  <si>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</si>
  <si>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</si>
  <si>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</si>
  <si>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</si>
  <si>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</si>
  <si>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</si>
  <si>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</si>
  <si>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</si>
  <si>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</si>
  <si>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</si>
  <si>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</si>
  <si>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</si>
  <si>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</si>
  <si>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</si>
  <si>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</si>
  <si>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</si>
  <si>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</si>
  <si>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</si>
  <si>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</si>
  <si>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</si>
  <si>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</si>
  <si>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</si>
  <si>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</si>
  <si>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</si>
  <si>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</si>
  <si>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</si>
  <si>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</si>
  <si>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</si>
  <si>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</si>
  <si>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</si>
  <si>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</si>
  <si>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</si>
  <si>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</si>
  <si>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</si>
  <si>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</si>
  <si>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</si>
  <si>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</si>
  <si>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</si>
  <si>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</si>
  <si>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</si>
  <si>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</si>
  <si>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</si>
  <si>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</si>
  <si>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</si>
  <si>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</si>
  <si>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</si>
  <si>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</si>
  <si>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</si>
  <si>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</si>
  <si>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</si>
  <si>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</si>
  <si>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</si>
  <si>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</si>
  <si>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</si>
  <si>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</si>
  <si>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</si>
  <si>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</si>
  <si>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</si>
  <si>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</si>
  <si>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</si>
  <si>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</si>
  <si>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</si>
  <si>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</si>
  <si>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</si>
  <si>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</si>
  <si>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</si>
  <si>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</si>
  <si>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</si>
  <si>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</si>
  <si>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</si>
  <si>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</si>
  <si>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</si>
  <si>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</si>
  <si>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</si>
  <si>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</si>
  <si>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</si>
  <si>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</si>
  <si>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</si>
  <si>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</si>
  <si>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</si>
  <si>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</si>
  <si>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</si>
  <si>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</si>
  <si>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</si>
  <si>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</si>
  <si>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</si>
  <si>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</si>
  <si>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</si>
  <si>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</si>
  <si>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</si>
  <si>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</si>
  <si>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</si>
  <si>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</si>
  <si>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</si>
  <si>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</si>
  <si>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</si>
  <si>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</si>
  <si>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</si>
  <si>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</si>
  <si>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</si>
  <si>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</si>
  <si>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</si>
  <si>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</si>
  <si>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</si>
  <si>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  <phoneticPr fontId="15" type="noConversion"/>
  </si>
  <si>
    <t>mj0R</t>
    <phoneticPr fontId="15" type="noConversion"/>
  </si>
  <si>
    <t>uh03</t>
    <phoneticPr fontId="15" type="noConversion"/>
  </si>
  <si>
    <t>熊孩子</t>
    <phoneticPr fontId="15" type="noConversion"/>
  </si>
  <si>
    <t>AY3K,AY2K,ACbh</t>
    <phoneticPr fontId="15" type="noConversion"/>
  </si>
  <si>
    <r>
      <rPr>
        <sz val="10"/>
        <color theme="1"/>
        <rFont val="微软雅黑"/>
        <family val="2"/>
        <charset val="134"/>
      </rPr>
      <t>H042</t>
    </r>
  </si>
  <si>
    <t>老龙王</t>
    <phoneticPr fontId="15" type="noConversion"/>
  </si>
  <si>
    <t>ReplaceableTextures\\CommandButtons\\BTNLongwang.blp</t>
    <phoneticPr fontId="15" type="noConversion"/>
  </si>
  <si>
    <t>H042.mdx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</si>
</sst>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  <xf numFmtId="0" fontId="12" fillId="0" borderId="0" xfId="0" applyFont="1" applyFill="1" applyAlignment="1"/>
    <xf numFmtId="0" fontId="12" fillId="0" borderId="0" xfId="2" applyFont="1"/>
  </cellXfs>
  <cellStyles count="3">
    <cellStyle name="差 2" xfId="1" xr:uid="{00000000-0005-0000-0000-000000000000}"/>
    <cellStyle name="常规" xfId="0" builtinId="0"/>
    <cellStyle name="常规 2" xfId="2" xr:uid="{00000000-0005-0000-0000-000002000000}"/>
  </cellStyles>
  <dxfs count="3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417"/>
  <sheetViews>
    <sheetView tabSelected="1" workbookViewId="0">
      <pane xSplit="6" ySplit="2" topLeftCell="O3" activePane="bottomRight" state="frozen"/>
      <selection pane="topRight"/>
      <selection pane="bottomLeft"/>
      <selection pane="bottomRight" activeCell="P44" sqref="P4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402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1335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5" customFormat="1">
      <c r="B44" s="10" t="s">
        <v>1387</v>
      </c>
      <c r="C44" s="5" t="s">
        <v>71</v>
      </c>
      <c r="D44" s="10" t="s">
        <v>142</v>
      </c>
      <c r="E44" s="71" t="s">
        <v>1388</v>
      </c>
      <c r="F44" s="12"/>
      <c r="G44" s="10" t="s">
        <v>144</v>
      </c>
      <c r="H44" s="13" t="str">
        <f t="shared" ref="H44" si="5">E44</f>
        <v>老龙王</v>
      </c>
      <c r="I44" s="10" t="s">
        <v>145</v>
      </c>
      <c r="J44" s="10" t="s">
        <v>157</v>
      </c>
      <c r="K44" s="10" t="s">
        <v>147</v>
      </c>
      <c r="L44" s="10">
        <v>0</v>
      </c>
      <c r="M44" s="10">
        <v>0</v>
      </c>
      <c r="N44" s="10" t="s">
        <v>1389</v>
      </c>
      <c r="O44" s="10" t="s">
        <v>1390</v>
      </c>
      <c r="P44" s="28">
        <v>1.6</v>
      </c>
      <c r="Q44" s="30" t="s">
        <v>147</v>
      </c>
      <c r="R44" s="10"/>
      <c r="S44" s="10"/>
      <c r="T44" s="10"/>
      <c r="U44" s="10">
        <v>1</v>
      </c>
      <c r="V44" s="10">
        <v>2</v>
      </c>
      <c r="W44" s="10" t="s">
        <v>150</v>
      </c>
      <c r="X44" s="10">
        <v>450</v>
      </c>
      <c r="Y44" s="10">
        <v>0</v>
      </c>
      <c r="Z44" s="10" t="s">
        <v>151</v>
      </c>
      <c r="AA44" s="10">
        <v>500</v>
      </c>
      <c r="AB44" s="10" t="s">
        <v>202</v>
      </c>
      <c r="AC44" s="10"/>
      <c r="AD44" s="10">
        <v>1000</v>
      </c>
      <c r="AE44" s="10" t="s">
        <v>151</v>
      </c>
      <c r="AF44" s="10">
        <v>0.1</v>
      </c>
      <c r="AG44" s="10">
        <v>1</v>
      </c>
      <c r="AH44" s="62" t="s">
        <v>165</v>
      </c>
      <c r="AI44" s="4" t="s">
        <v>153</v>
      </c>
      <c r="AJ44" s="10">
        <v>0.3</v>
      </c>
      <c r="AK44" s="10">
        <v>0.3</v>
      </c>
      <c r="AL44" s="10">
        <v>0.1</v>
      </c>
      <c r="AM44" s="10">
        <v>1</v>
      </c>
      <c r="AN44" s="10"/>
      <c r="AO44" s="10">
        <v>0.1</v>
      </c>
      <c r="AP44" s="10">
        <v>500</v>
      </c>
      <c r="AQ44" s="10">
        <v>0.5</v>
      </c>
      <c r="AR44" s="10">
        <v>0</v>
      </c>
      <c r="AS44" s="10">
        <v>1</v>
      </c>
      <c r="AT44" s="10">
        <v>1</v>
      </c>
      <c r="AU44" s="10">
        <v>1</v>
      </c>
      <c r="AV44" s="10"/>
      <c r="AW44" s="10">
        <v>0</v>
      </c>
      <c r="AX44" s="10">
        <v>0</v>
      </c>
      <c r="AY44" s="10">
        <v>0</v>
      </c>
      <c r="AZ44" s="10">
        <v>0</v>
      </c>
      <c r="BA44" s="10">
        <v>0</v>
      </c>
      <c r="BB44" s="10">
        <v>0</v>
      </c>
      <c r="BC44" s="10">
        <v>100</v>
      </c>
      <c r="BD44" s="10">
        <v>100</v>
      </c>
      <c r="BE44" s="10">
        <v>0</v>
      </c>
      <c r="BF44" s="10" t="s">
        <v>154</v>
      </c>
      <c r="BG44" s="10">
        <v>0</v>
      </c>
      <c r="BH44" s="10">
        <v>0</v>
      </c>
      <c r="BI44" s="10">
        <v>100</v>
      </c>
      <c r="BJ44" s="33">
        <v>0</v>
      </c>
      <c r="BK44" s="33">
        <v>0</v>
      </c>
      <c r="BL44" s="33">
        <v>0</v>
      </c>
      <c r="BM44" s="33">
        <v>0</v>
      </c>
      <c r="BN44" s="33">
        <v>0</v>
      </c>
      <c r="BO44" s="33">
        <v>0</v>
      </c>
      <c r="BP44" s="34" t="s">
        <v>130</v>
      </c>
      <c r="BQ44" s="5">
        <v>0</v>
      </c>
      <c r="BR44" s="5">
        <v>1200</v>
      </c>
      <c r="BS44" s="5">
        <v>900</v>
      </c>
    </row>
    <row r="45" spans="1:73" s="6" customFormat="1">
      <c r="A45" s="6" t="s">
        <v>318</v>
      </c>
      <c r="B45" s="18" t="s">
        <v>319</v>
      </c>
      <c r="C45" s="6" t="s">
        <v>71</v>
      </c>
      <c r="D45" s="18" t="s">
        <v>320</v>
      </c>
      <c r="E45" s="19" t="s">
        <v>321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324</v>
      </c>
      <c r="P45" s="18">
        <v>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280</v>
      </c>
      <c r="Y45" s="18">
        <v>0</v>
      </c>
      <c r="Z45" s="18" t="s">
        <v>151</v>
      </c>
      <c r="AA45" s="18">
        <v>600</v>
      </c>
      <c r="AB45" s="31"/>
      <c r="AC45" s="31"/>
      <c r="AD45" s="31">
        <v>0</v>
      </c>
      <c r="AE45" s="31" t="s">
        <v>151</v>
      </c>
      <c r="AF45" s="31"/>
      <c r="AG45" s="31"/>
      <c r="AH45" s="62" t="s">
        <v>152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250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325</v>
      </c>
      <c r="C46" s="6" t="s">
        <v>71</v>
      </c>
      <c r="D46" s="18" t="s">
        <v>320</v>
      </c>
      <c r="E46" s="21" t="s">
        <v>326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327</v>
      </c>
      <c r="P46" s="18">
        <v>1.1000000000000001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310</v>
      </c>
      <c r="Y46" s="18">
        <v>0</v>
      </c>
      <c r="Z46" s="18" t="s">
        <v>151</v>
      </c>
      <c r="AA46" s="18">
        <v>600</v>
      </c>
      <c r="AB46" s="18" t="s">
        <v>328</v>
      </c>
      <c r="AC46" s="18"/>
      <c r="AD46" s="18">
        <v>900</v>
      </c>
      <c r="AE46" s="18" t="s">
        <v>151</v>
      </c>
      <c r="AF46" s="18">
        <v>0.1</v>
      </c>
      <c r="AG46" s="18">
        <v>1</v>
      </c>
      <c r="AH46" s="62" t="s">
        <v>165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0.4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318</v>
      </c>
      <c r="B47" s="18" t="s">
        <v>329</v>
      </c>
      <c r="C47" s="6" t="s">
        <v>71</v>
      </c>
      <c r="D47" s="18" t="s">
        <v>320</v>
      </c>
      <c r="E47" s="21" t="s">
        <v>330</v>
      </c>
      <c r="F47" s="20"/>
      <c r="G47" s="18" t="s">
        <v>322</v>
      </c>
      <c r="H47" s="18"/>
      <c r="I47" s="18" t="s">
        <v>323</v>
      </c>
      <c r="J47" s="18"/>
      <c r="K47" s="18"/>
      <c r="L47" s="18">
        <v>0</v>
      </c>
      <c r="M47" s="18">
        <v>0</v>
      </c>
      <c r="N47" s="18"/>
      <c r="O47" s="18" t="s">
        <v>331</v>
      </c>
      <c r="P47" s="18">
        <v>1</v>
      </c>
      <c r="Q47" s="18"/>
      <c r="R47" s="18"/>
      <c r="S47" s="18"/>
      <c r="T47" s="18"/>
      <c r="U47" s="18">
        <v>0.5</v>
      </c>
      <c r="V47" s="18">
        <v>2</v>
      </c>
      <c r="W47" s="18" t="s">
        <v>150</v>
      </c>
      <c r="X47" s="18">
        <v>320</v>
      </c>
      <c r="Y47" s="18">
        <v>0</v>
      </c>
      <c r="Z47" s="18" t="s">
        <v>151</v>
      </c>
      <c r="AA47" s="18">
        <v>600</v>
      </c>
      <c r="AB47" s="18"/>
      <c r="AC47" s="18"/>
      <c r="AD47" s="18">
        <v>0</v>
      </c>
      <c r="AE47" s="18" t="s">
        <v>151</v>
      </c>
      <c r="AF47" s="18"/>
      <c r="AG47" s="18"/>
      <c r="AH47" s="62" t="s">
        <v>152</v>
      </c>
      <c r="AI47" s="4" t="s">
        <v>153</v>
      </c>
      <c r="AJ47" s="18">
        <v>0.5</v>
      </c>
      <c r="AK47" s="18">
        <v>0.5</v>
      </c>
      <c r="AL47" s="18"/>
      <c r="AM47" s="18">
        <v>1</v>
      </c>
      <c r="AN47" s="18"/>
      <c r="AO47" s="18"/>
      <c r="AP47" s="18">
        <v>500</v>
      </c>
      <c r="AQ47" s="18">
        <v>0.4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8"/>
      <c r="BF47" s="10" t="s">
        <v>154</v>
      </c>
      <c r="BG47" s="10">
        <v>0</v>
      </c>
      <c r="BH47" s="18">
        <v>0</v>
      </c>
      <c r="BI47" s="18">
        <v>100</v>
      </c>
      <c r="BJ47" s="18"/>
      <c r="BK47" s="18"/>
      <c r="BL47" s="18"/>
      <c r="BM47" s="18"/>
      <c r="BN47" s="18"/>
      <c r="BO47" s="18"/>
      <c r="BP47" s="18"/>
      <c r="BQ47" s="6">
        <v>0</v>
      </c>
    </row>
    <row r="48" spans="1:73" s="6" customFormat="1">
      <c r="A48" s="6" t="s">
        <v>332</v>
      </c>
      <c r="B48" s="18" t="s">
        <v>333</v>
      </c>
      <c r="C48" s="6" t="s">
        <v>71</v>
      </c>
      <c r="D48" s="18" t="s">
        <v>320</v>
      </c>
      <c r="E48" s="22" t="s">
        <v>334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336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B48" s="18" t="s">
        <v>337</v>
      </c>
      <c r="AC48" s="18"/>
      <c r="AD48" s="18">
        <v>900</v>
      </c>
      <c r="AE48" s="18" t="s">
        <v>151</v>
      </c>
      <c r="AF48" s="18">
        <v>0.1</v>
      </c>
      <c r="AG48" s="18">
        <v>1</v>
      </c>
      <c r="AH48" s="62" t="s">
        <v>165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450</v>
      </c>
      <c r="AQ48" s="18">
        <v>0.4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3" s="6" customFormat="1">
      <c r="A49" s="6" t="s">
        <v>332</v>
      </c>
      <c r="B49" s="18" t="s">
        <v>338</v>
      </c>
      <c r="C49" s="6" t="s">
        <v>71</v>
      </c>
      <c r="D49" s="18" t="s">
        <v>320</v>
      </c>
      <c r="E49" s="22" t="s">
        <v>339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340</v>
      </c>
      <c r="P49" s="18">
        <v>1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D49" s="18">
        <v>0</v>
      </c>
      <c r="AE49" s="18" t="s">
        <v>151</v>
      </c>
      <c r="AF49" s="18"/>
      <c r="AG49" s="18"/>
      <c r="AH49" s="62" t="s">
        <v>152</v>
      </c>
      <c r="AI49" s="4" t="s">
        <v>153</v>
      </c>
      <c r="AJ49" s="18">
        <v>0.5</v>
      </c>
      <c r="AK49" s="18">
        <v>0.5</v>
      </c>
      <c r="AL49" s="10">
        <v>0.01</v>
      </c>
      <c r="AM49" s="10">
        <v>1</v>
      </c>
      <c r="AN49" s="10"/>
      <c r="AO49" s="10"/>
      <c r="AP49" s="18">
        <v>250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0">
        <v>20</v>
      </c>
      <c r="BF49" s="10" t="s">
        <v>154</v>
      </c>
      <c r="BG49" s="10">
        <v>0</v>
      </c>
      <c r="BH49" s="18">
        <v>0</v>
      </c>
      <c r="BI49" s="18">
        <v>5</v>
      </c>
      <c r="BJ49" s="18"/>
      <c r="BK49" s="18"/>
      <c r="BL49" s="18"/>
      <c r="BM49" s="18"/>
      <c r="BN49" s="18"/>
      <c r="BO49" s="18"/>
      <c r="BP49" s="18"/>
      <c r="BQ49" s="6">
        <v>0</v>
      </c>
      <c r="BU49" s="18"/>
    </row>
    <row r="50" spans="1:73" s="6" customFormat="1">
      <c r="A50" s="6" t="s">
        <v>332</v>
      </c>
      <c r="B50" s="18" t="s">
        <v>341</v>
      </c>
      <c r="C50" s="6" t="s">
        <v>71</v>
      </c>
      <c r="D50" s="18" t="s">
        <v>320</v>
      </c>
      <c r="E50" s="24" t="s">
        <v>342</v>
      </c>
      <c r="F50" s="23"/>
      <c r="G50" s="18" t="s">
        <v>322</v>
      </c>
      <c r="H50" s="18"/>
      <c r="I50" s="18" t="s">
        <v>323</v>
      </c>
      <c r="J50" s="18" t="s">
        <v>335</v>
      </c>
      <c r="K50" s="18"/>
      <c r="L50" s="18">
        <v>0</v>
      </c>
      <c r="M50" s="18">
        <v>0</v>
      </c>
      <c r="N50" s="18"/>
      <c r="O50" s="18" t="s">
        <v>343</v>
      </c>
      <c r="P50" s="18">
        <v>1.3</v>
      </c>
      <c r="Q50" s="18"/>
      <c r="R50" s="18">
        <v>255</v>
      </c>
      <c r="S50" s="18">
        <v>0</v>
      </c>
      <c r="T50" s="18">
        <v>200</v>
      </c>
      <c r="U50" s="18">
        <v>1</v>
      </c>
      <c r="V50" s="18">
        <v>2</v>
      </c>
      <c r="W50" s="18" t="s">
        <v>150</v>
      </c>
      <c r="X50" s="18">
        <v>350</v>
      </c>
      <c r="Y50" s="18">
        <v>0</v>
      </c>
      <c r="Z50" s="18" t="s">
        <v>151</v>
      </c>
      <c r="AA50" s="18">
        <v>600</v>
      </c>
      <c r="AB50" s="18" t="s">
        <v>337</v>
      </c>
      <c r="AC50" s="18"/>
      <c r="AD50" s="18">
        <v>900</v>
      </c>
      <c r="AE50" s="18" t="s">
        <v>151</v>
      </c>
      <c r="AF50" s="18">
        <v>0.1</v>
      </c>
      <c r="AG50" s="18">
        <v>1</v>
      </c>
      <c r="AH50" s="62" t="s">
        <v>165</v>
      </c>
      <c r="AI50" s="4" t="s">
        <v>153</v>
      </c>
      <c r="AJ50" s="18">
        <v>0.5</v>
      </c>
      <c r="AK50" s="18">
        <v>0.5</v>
      </c>
      <c r="AL50" s="18"/>
      <c r="AM50" s="18">
        <v>1</v>
      </c>
      <c r="AN50" s="18"/>
      <c r="AO50" s="18"/>
      <c r="AP50" s="18">
        <v>500</v>
      </c>
      <c r="AQ50" s="18">
        <v>0.4</v>
      </c>
      <c r="AR50" s="18"/>
      <c r="AS50" s="18"/>
      <c r="AT50" s="18"/>
      <c r="AU50" s="18">
        <v>1</v>
      </c>
      <c r="AV50" s="18"/>
      <c r="AW50" s="18">
        <v>0</v>
      </c>
      <c r="AX50" s="18">
        <v>0</v>
      </c>
      <c r="AY50" s="18">
        <v>0</v>
      </c>
      <c r="AZ50" s="18">
        <v>0</v>
      </c>
      <c r="BA50" s="18">
        <v>0</v>
      </c>
      <c r="BB50" s="18">
        <v>0</v>
      </c>
      <c r="BC50" s="18">
        <v>100</v>
      </c>
      <c r="BD50" s="10">
        <v>100</v>
      </c>
      <c r="BE50" s="18"/>
      <c r="BF50" s="10" t="s">
        <v>154</v>
      </c>
      <c r="BG50" s="10">
        <v>0</v>
      </c>
      <c r="BH50" s="18">
        <v>0</v>
      </c>
      <c r="BI50" s="18">
        <v>100</v>
      </c>
      <c r="BJ50" s="18"/>
      <c r="BK50" s="18"/>
      <c r="BL50" s="18"/>
      <c r="BM50" s="18"/>
      <c r="BN50" s="18"/>
      <c r="BO50" s="18"/>
      <c r="BP50" s="18"/>
      <c r="BQ50" s="6">
        <v>0</v>
      </c>
    </row>
    <row r="51" spans="1:73" s="5" customFormat="1">
      <c r="A51" s="6" t="s">
        <v>344</v>
      </c>
      <c r="B51" s="18" t="s">
        <v>345</v>
      </c>
      <c r="C51" s="5" t="s">
        <v>71</v>
      </c>
      <c r="D51" s="10" t="s">
        <v>142</v>
      </c>
      <c r="E51" s="25" t="s">
        <v>346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350</v>
      </c>
      <c r="P51" s="10">
        <v>2.1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0.15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3" s="5" customFormat="1">
      <c r="A52" s="6" t="s">
        <v>344</v>
      </c>
      <c r="B52" s="18" t="s">
        <v>351</v>
      </c>
      <c r="C52" s="5" t="s">
        <v>71</v>
      </c>
      <c r="D52" s="10" t="s">
        <v>142</v>
      </c>
      <c r="E52" t="s">
        <v>352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353</v>
      </c>
      <c r="P52" s="10">
        <v>1.8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0.15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3" s="5" customFormat="1">
      <c r="A53" s="6" t="s">
        <v>344</v>
      </c>
      <c r="B53" s="18" t="s">
        <v>354</v>
      </c>
      <c r="C53" s="5" t="s">
        <v>71</v>
      </c>
      <c r="D53" s="10" t="s">
        <v>142</v>
      </c>
      <c r="E53" t="s">
        <v>355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356</v>
      </c>
      <c r="P53" s="10">
        <v>2.31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0.15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3" s="5" customFormat="1">
      <c r="A54" s="6" t="s">
        <v>344</v>
      </c>
      <c r="B54" s="18" t="s">
        <v>357</v>
      </c>
      <c r="C54" s="5" t="s">
        <v>71</v>
      </c>
      <c r="D54" s="10" t="s">
        <v>142</v>
      </c>
      <c r="E54" t="s">
        <v>358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359</v>
      </c>
      <c r="P54" s="10">
        <v>2.5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0.15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3" s="5" customFormat="1">
      <c r="A55" s="6" t="s">
        <v>344</v>
      </c>
      <c r="B55" s="18" t="s">
        <v>360</v>
      </c>
      <c r="C55" s="5" t="s">
        <v>71</v>
      </c>
      <c r="D55" s="10" t="s">
        <v>142</v>
      </c>
      <c r="E55" t="s">
        <v>361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362</v>
      </c>
      <c r="P55" s="10">
        <v>1.96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0"/>
      <c r="AC55" s="10"/>
      <c r="AD55" s="10">
        <v>0</v>
      </c>
      <c r="AE55" s="10" t="s">
        <v>151</v>
      </c>
      <c r="AF55" s="10"/>
      <c r="AG55" s="10"/>
      <c r="AH55" s="63" t="s">
        <v>152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250</v>
      </c>
      <c r="AQ55" s="10">
        <v>0.15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3" s="5" customFormat="1">
      <c r="A56" s="6" t="s">
        <v>344</v>
      </c>
      <c r="B56" s="18" t="s">
        <v>363</v>
      </c>
      <c r="C56" s="5" t="s">
        <v>71</v>
      </c>
      <c r="D56" s="10" t="s">
        <v>142</v>
      </c>
      <c r="E56" s="26" t="s">
        <v>364</v>
      </c>
      <c r="F56" s="23"/>
      <c r="G56" s="10" t="s">
        <v>347</v>
      </c>
      <c r="H56" s="10" t="s">
        <v>348</v>
      </c>
      <c r="I56" s="10" t="s">
        <v>145</v>
      </c>
      <c r="J56" s="12" t="s">
        <v>349</v>
      </c>
      <c r="K56" s="10"/>
      <c r="L56" s="10">
        <v>0</v>
      </c>
      <c r="M56" s="10">
        <v>0</v>
      </c>
      <c r="N56" s="10"/>
      <c r="O56" s="10" t="s">
        <v>365</v>
      </c>
      <c r="P56" s="10">
        <v>2.8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8" t="s">
        <v>366</v>
      </c>
      <c r="AC56" s="10"/>
      <c r="AD56" s="18">
        <v>900</v>
      </c>
      <c r="AE56" s="18" t="s">
        <v>151</v>
      </c>
      <c r="AF56" s="18">
        <v>0.1</v>
      </c>
      <c r="AG56" s="18">
        <v>1</v>
      </c>
      <c r="AH56" s="62" t="s">
        <v>165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600</v>
      </c>
      <c r="AQ56" s="10">
        <v>0.15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3" s="5" customFormat="1">
      <c r="A57" s="6" t="s">
        <v>344</v>
      </c>
      <c r="B57" s="18" t="s">
        <v>367</v>
      </c>
      <c r="C57" s="5" t="s">
        <v>71</v>
      </c>
      <c r="D57" s="10" t="s">
        <v>142</v>
      </c>
      <c r="E57" t="s">
        <v>368</v>
      </c>
      <c r="F57" s="23"/>
      <c r="G57" s="10" t="s">
        <v>347</v>
      </c>
      <c r="H57" s="10" t="s">
        <v>348</v>
      </c>
      <c r="I57" s="10" t="s">
        <v>145</v>
      </c>
      <c r="J57" s="10" t="s">
        <v>1362</v>
      </c>
      <c r="K57" s="10"/>
      <c r="L57" s="10">
        <v>0</v>
      </c>
      <c r="M57" s="10">
        <v>0</v>
      </c>
      <c r="N57" s="10"/>
      <c r="O57" s="10" t="s">
        <v>218</v>
      </c>
      <c r="P57" s="10">
        <v>2.31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/>
      <c r="AC57" s="10"/>
      <c r="AD57" s="10">
        <v>0</v>
      </c>
      <c r="AE57" s="10" t="s">
        <v>151</v>
      </c>
      <c r="AF57" s="10"/>
      <c r="AG57" s="10"/>
      <c r="AH57" s="63" t="s">
        <v>152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250</v>
      </c>
      <c r="AQ57" s="10">
        <v>0.15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3" s="5" customFormat="1">
      <c r="A58" s="6" t="s">
        <v>344</v>
      </c>
      <c r="B58" s="18" t="s">
        <v>369</v>
      </c>
      <c r="C58" s="5" t="s">
        <v>71</v>
      </c>
      <c r="D58" s="10" t="s">
        <v>142</v>
      </c>
      <c r="E58" s="26" t="s">
        <v>370</v>
      </c>
      <c r="F58" s="23"/>
      <c r="G58" s="10" t="s">
        <v>347</v>
      </c>
      <c r="H58" s="10" t="s">
        <v>348</v>
      </c>
      <c r="I58" s="10" t="s">
        <v>145</v>
      </c>
      <c r="J58" s="10" t="s">
        <v>1362</v>
      </c>
      <c r="K58" s="10"/>
      <c r="L58" s="10">
        <v>0</v>
      </c>
      <c r="M58" s="10">
        <v>0</v>
      </c>
      <c r="N58" s="10"/>
      <c r="O58" s="10" t="s">
        <v>371</v>
      </c>
      <c r="P58" s="10">
        <v>1.6</v>
      </c>
      <c r="Q58" s="10"/>
      <c r="R58" s="10"/>
      <c r="S58" s="10"/>
      <c r="T58" s="10"/>
      <c r="U58" s="10">
        <v>4</v>
      </c>
      <c r="V58" s="10">
        <v>8</v>
      </c>
      <c r="W58" s="18" t="s">
        <v>150</v>
      </c>
      <c r="X58" s="10">
        <v>400</v>
      </c>
      <c r="Y58" s="10">
        <v>0</v>
      </c>
      <c r="Z58" s="10" t="s">
        <v>151</v>
      </c>
      <c r="AA58" s="18">
        <v>1500</v>
      </c>
      <c r="AB58" s="10" t="s">
        <v>372</v>
      </c>
      <c r="AC58" s="10"/>
      <c r="AD58" s="18">
        <v>900</v>
      </c>
      <c r="AE58" s="18" t="s">
        <v>151</v>
      </c>
      <c r="AF58" s="18">
        <v>0.1</v>
      </c>
      <c r="AG58" s="18">
        <v>1</v>
      </c>
      <c r="AH58" s="62" t="s">
        <v>165</v>
      </c>
      <c r="AI58" s="4" t="s">
        <v>153</v>
      </c>
      <c r="AJ58" s="10">
        <v>0.5</v>
      </c>
      <c r="AK58" s="10">
        <v>0.5</v>
      </c>
      <c r="AL58" s="10">
        <v>0.01</v>
      </c>
      <c r="AM58" s="10">
        <v>1</v>
      </c>
      <c r="AN58" s="10"/>
      <c r="AO58" s="10"/>
      <c r="AP58" s="10">
        <v>600</v>
      </c>
      <c r="AQ58" s="10">
        <v>0.15</v>
      </c>
      <c r="AR58" s="10"/>
      <c r="AS58" s="10"/>
      <c r="AT58" s="10"/>
      <c r="AU58" s="10">
        <v>1</v>
      </c>
      <c r="AV58" s="10"/>
      <c r="AW58" s="10">
        <v>0</v>
      </c>
      <c r="AX58" s="10">
        <v>0</v>
      </c>
      <c r="AY58" s="10">
        <v>0</v>
      </c>
      <c r="AZ58" s="10">
        <v>0</v>
      </c>
      <c r="BA58" s="10">
        <v>0</v>
      </c>
      <c r="BB58" s="10">
        <v>0</v>
      </c>
      <c r="BC58" s="10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0">
        <v>0</v>
      </c>
      <c r="BI58" s="10">
        <v>100</v>
      </c>
      <c r="BJ58" s="10"/>
      <c r="BK58" s="10"/>
      <c r="BL58" s="10"/>
      <c r="BM58" s="10"/>
      <c r="BN58" s="10"/>
      <c r="BO58" s="10"/>
      <c r="BP58" s="10"/>
      <c r="BQ58" s="5">
        <v>0</v>
      </c>
    </row>
    <row r="59" spans="1:73" s="6" customFormat="1">
      <c r="A59" s="6" t="s">
        <v>373</v>
      </c>
      <c r="B59" s="23" t="s">
        <v>374</v>
      </c>
      <c r="C59" s="6" t="s">
        <v>71</v>
      </c>
      <c r="D59" s="18" t="s">
        <v>320</v>
      </c>
      <c r="E59" s="25" t="s">
        <v>375</v>
      </c>
      <c r="F59" s="23"/>
      <c r="G59" s="18"/>
      <c r="H59" s="18"/>
      <c r="I59" s="18" t="s">
        <v>323</v>
      </c>
      <c r="J59" s="10" t="s">
        <v>1362</v>
      </c>
      <c r="K59" s="18"/>
      <c r="L59" s="18">
        <v>0</v>
      </c>
      <c r="M59" s="18">
        <v>0</v>
      </c>
      <c r="N59" s="18"/>
      <c r="O59" s="18" t="s">
        <v>378</v>
      </c>
      <c r="P59" s="18">
        <v>1.5</v>
      </c>
      <c r="Q59" s="18"/>
      <c r="R59" s="18"/>
      <c r="S59" s="18"/>
      <c r="T59" s="18"/>
      <c r="U59" s="18">
        <v>3</v>
      </c>
      <c r="V59" s="18">
        <v>2</v>
      </c>
      <c r="W59" s="18" t="s">
        <v>150</v>
      </c>
      <c r="X59" s="18">
        <v>400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500</v>
      </c>
      <c r="AQ59" s="18">
        <v>0.3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3" s="6" customFormat="1">
      <c r="A60" s="6" t="s">
        <v>373</v>
      </c>
      <c r="B60" s="23" t="s">
        <v>380</v>
      </c>
      <c r="C60" s="6" t="s">
        <v>71</v>
      </c>
      <c r="D60" s="18" t="s">
        <v>320</v>
      </c>
      <c r="E60" s="25" t="s">
        <v>381</v>
      </c>
      <c r="F60" s="23"/>
      <c r="G60" s="18"/>
      <c r="H60" s="18"/>
      <c r="I60" s="18" t="s">
        <v>323</v>
      </c>
      <c r="J60" s="10" t="s">
        <v>1362</v>
      </c>
      <c r="K60" s="18"/>
      <c r="L60" s="18">
        <v>0</v>
      </c>
      <c r="M60" s="18">
        <v>0</v>
      </c>
      <c r="N60" s="18"/>
      <c r="O60" s="18" t="s">
        <v>235</v>
      </c>
      <c r="P60" s="18">
        <v>2</v>
      </c>
      <c r="Q60" s="18"/>
      <c r="R60" s="18">
        <v>255</v>
      </c>
      <c r="S60" s="18">
        <v>100</v>
      </c>
      <c r="T60" s="18">
        <v>100</v>
      </c>
      <c r="U60" s="18">
        <v>3</v>
      </c>
      <c r="V60" s="18">
        <v>2</v>
      </c>
      <c r="W60" s="18" t="s">
        <v>150</v>
      </c>
      <c r="X60" s="18">
        <v>450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62" t="s">
        <v>152</v>
      </c>
      <c r="AI60" s="4" t="s">
        <v>153</v>
      </c>
      <c r="AJ60" s="18">
        <v>0.5</v>
      </c>
      <c r="AK60" s="18">
        <v>0.5</v>
      </c>
      <c r="AL60" s="10">
        <v>0.01</v>
      </c>
      <c r="AM60" s="10">
        <v>1</v>
      </c>
      <c r="AN60" s="10"/>
      <c r="AO60" s="10"/>
      <c r="AP60" s="18">
        <v>250</v>
      </c>
      <c r="AQ60" s="18">
        <v>0.3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10">
        <v>100</v>
      </c>
      <c r="BE60" s="10">
        <v>20</v>
      </c>
      <c r="BF60" s="10" t="s">
        <v>154</v>
      </c>
      <c r="BG60" s="10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3" s="6" customFormat="1">
      <c r="A61" s="6" t="s">
        <v>373</v>
      </c>
      <c r="B61" s="23" t="s">
        <v>384</v>
      </c>
      <c r="C61" s="6" t="s">
        <v>71</v>
      </c>
      <c r="D61" s="18" t="s">
        <v>320</v>
      </c>
      <c r="E61" s="23" t="s">
        <v>385</v>
      </c>
      <c r="F61" s="23"/>
      <c r="G61" s="18"/>
      <c r="H61" s="18"/>
      <c r="I61" s="18" t="s">
        <v>323</v>
      </c>
      <c r="J61" s="10" t="s">
        <v>1362</v>
      </c>
      <c r="K61" s="18"/>
      <c r="L61" s="18">
        <v>0</v>
      </c>
      <c r="M61" s="18">
        <v>0</v>
      </c>
      <c r="N61" s="18"/>
      <c r="O61" s="18" t="s">
        <v>386</v>
      </c>
      <c r="P61" s="18">
        <v>1.6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400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18" t="s">
        <v>152</v>
      </c>
      <c r="AI61" s="23" t="s">
        <v>153</v>
      </c>
      <c r="AJ61" s="18">
        <v>0.5</v>
      </c>
      <c r="AK61" s="18">
        <v>0.5</v>
      </c>
      <c r="AL61" s="32">
        <v>0.01</v>
      </c>
      <c r="AM61" s="32">
        <v>1</v>
      </c>
      <c r="AN61" s="32"/>
      <c r="AO61" s="32"/>
      <c r="AP61" s="18">
        <v>500</v>
      </c>
      <c r="AQ61" s="18">
        <v>0.3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32">
        <v>100</v>
      </c>
      <c r="BE61" s="32">
        <v>20</v>
      </c>
      <c r="BF61" s="32" t="s">
        <v>154</v>
      </c>
      <c r="BG61" s="32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3" s="6" customFormat="1">
      <c r="A62" s="6" t="s">
        <v>373</v>
      </c>
      <c r="B62" s="23" t="s">
        <v>387</v>
      </c>
      <c r="C62" s="6" t="s">
        <v>71</v>
      </c>
      <c r="D62" s="18" t="s">
        <v>320</v>
      </c>
      <c r="E62" t="s">
        <v>388</v>
      </c>
      <c r="F62" s="23"/>
      <c r="G62" s="18"/>
      <c r="H62" s="18"/>
      <c r="I62" s="18" t="s">
        <v>323</v>
      </c>
      <c r="J62" s="10" t="s">
        <v>1362</v>
      </c>
      <c r="K62" s="18"/>
      <c r="L62" s="18">
        <v>0</v>
      </c>
      <c r="M62" s="18">
        <v>0</v>
      </c>
      <c r="N62" s="18"/>
      <c r="O62" s="18" t="s">
        <v>391</v>
      </c>
      <c r="P62" s="18">
        <v>1.9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0.3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3" s="6" customFormat="1">
      <c r="A63" s="6" t="s">
        <v>373</v>
      </c>
      <c r="B63" s="23" t="s">
        <v>392</v>
      </c>
      <c r="C63" s="6" t="s">
        <v>71</v>
      </c>
      <c r="D63" s="18" t="s">
        <v>320</v>
      </c>
      <c r="E63" t="s">
        <v>393</v>
      </c>
      <c r="F63" s="23"/>
      <c r="G63" s="18"/>
      <c r="H63" s="18"/>
      <c r="I63" s="18" t="s">
        <v>323</v>
      </c>
      <c r="J63" s="10" t="s">
        <v>1362</v>
      </c>
      <c r="K63" s="18"/>
      <c r="L63" s="18">
        <v>0</v>
      </c>
      <c r="M63" s="18">
        <v>0</v>
      </c>
      <c r="N63" s="18"/>
      <c r="O63" s="10" t="s">
        <v>210</v>
      </c>
      <c r="P63" s="18">
        <v>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500</v>
      </c>
      <c r="AQ63" s="18">
        <v>0.3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  <c r="BT63" s="6" t="s">
        <v>379</v>
      </c>
    </row>
    <row r="64" spans="1:73" s="6" customFormat="1">
      <c r="A64" s="6" t="s">
        <v>373</v>
      </c>
      <c r="B64" s="23" t="s">
        <v>396</v>
      </c>
      <c r="C64" s="6" t="s">
        <v>71</v>
      </c>
      <c r="D64" s="18" t="s">
        <v>320</v>
      </c>
      <c r="E64" t="s">
        <v>397</v>
      </c>
      <c r="F64" s="23"/>
      <c r="G64" s="18"/>
      <c r="H64" s="18"/>
      <c r="I64" s="18" t="s">
        <v>323</v>
      </c>
      <c r="J64" s="10" t="s">
        <v>1362</v>
      </c>
      <c r="K64" s="18"/>
      <c r="L64" s="18">
        <v>0</v>
      </c>
      <c r="M64" s="18">
        <v>0</v>
      </c>
      <c r="N64" s="18"/>
      <c r="O64" s="10" t="s">
        <v>163</v>
      </c>
      <c r="P64" s="10">
        <v>2.4500000000000002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800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</row>
    <row r="65" spans="1:73" s="6" customFormat="1">
      <c r="A65" s="6" t="s">
        <v>373</v>
      </c>
      <c r="B65" s="23" t="s">
        <v>400</v>
      </c>
      <c r="C65" s="6" t="s">
        <v>71</v>
      </c>
      <c r="D65" s="18" t="s">
        <v>320</v>
      </c>
      <c r="E65" t="s">
        <v>838</v>
      </c>
      <c r="F65" s="23"/>
      <c r="G65" s="18"/>
      <c r="H65" s="18"/>
      <c r="I65" s="18" t="s">
        <v>323</v>
      </c>
      <c r="J65" s="10" t="s">
        <v>1362</v>
      </c>
      <c r="K65" s="18"/>
      <c r="L65" s="18">
        <v>0</v>
      </c>
      <c r="M65" s="18">
        <v>0</v>
      </c>
      <c r="N65" s="18"/>
      <c r="O65" s="18" t="s">
        <v>284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150</v>
      </c>
      <c r="X65" s="18">
        <v>450</v>
      </c>
      <c r="Y65" s="18">
        <v>0</v>
      </c>
      <c r="Z65" s="18" t="s">
        <v>151</v>
      </c>
      <c r="AA65" s="18">
        <v>1500</v>
      </c>
      <c r="AB65" s="18"/>
      <c r="AC65" s="18"/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500</v>
      </c>
      <c r="AQ65" s="18">
        <v>0.3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100</v>
      </c>
      <c r="BJ65" s="18"/>
      <c r="BK65" s="18"/>
      <c r="BL65" s="18"/>
      <c r="BM65" s="18"/>
      <c r="BN65" s="18"/>
      <c r="BO65" s="18"/>
      <c r="BP65" s="18"/>
      <c r="BQ65" s="6">
        <v>0</v>
      </c>
      <c r="BT65" s="6" t="s">
        <v>379</v>
      </c>
    </row>
    <row r="66" spans="1:73" s="6" customFormat="1">
      <c r="A66" s="6" t="s">
        <v>373</v>
      </c>
      <c r="B66" s="23" t="s">
        <v>404</v>
      </c>
      <c r="C66" s="6" t="s">
        <v>71</v>
      </c>
      <c r="D66" s="18" t="s">
        <v>320</v>
      </c>
      <c r="E66" s="35" t="s">
        <v>405</v>
      </c>
      <c r="F66" s="23"/>
      <c r="G66" s="36"/>
      <c r="H66" s="18"/>
      <c r="I66" s="18" t="s">
        <v>323</v>
      </c>
      <c r="J66" s="10" t="s">
        <v>1362</v>
      </c>
      <c r="K66" s="18"/>
      <c r="L66" s="18">
        <v>0</v>
      </c>
      <c r="M66" s="18">
        <v>0</v>
      </c>
      <c r="N66" s="18"/>
      <c r="O66" s="18" t="s">
        <v>408</v>
      </c>
      <c r="P66" s="18">
        <v>2</v>
      </c>
      <c r="Q66" s="18"/>
      <c r="R66" s="18"/>
      <c r="S66" s="18"/>
      <c r="T66" s="18"/>
      <c r="U66" s="18">
        <v>3</v>
      </c>
      <c r="V66" s="18">
        <v>2</v>
      </c>
      <c r="W66" s="18" t="s">
        <v>409</v>
      </c>
      <c r="X66" s="18">
        <v>450</v>
      </c>
      <c r="Y66" s="18">
        <v>0</v>
      </c>
      <c r="Z66" s="18" t="s">
        <v>151</v>
      </c>
      <c r="AA66" s="18">
        <v>600</v>
      </c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450</v>
      </c>
      <c r="AQ66" s="18">
        <v>0.3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0">
        <v>20</v>
      </c>
      <c r="BF66" s="10" t="s">
        <v>154</v>
      </c>
      <c r="BG66" s="10">
        <v>0</v>
      </c>
      <c r="BH66" s="18">
        <v>0</v>
      </c>
      <c r="BI66" s="18">
        <v>5</v>
      </c>
      <c r="BJ66" s="18"/>
      <c r="BK66" s="18"/>
      <c r="BL66" s="18"/>
      <c r="BM66" s="18"/>
      <c r="BN66" s="18"/>
      <c r="BO66" s="18"/>
      <c r="BP66" s="18"/>
      <c r="BQ66" s="6">
        <v>0</v>
      </c>
      <c r="BU66" s="18" t="s">
        <v>410</v>
      </c>
    </row>
    <row r="67" spans="1:73" s="6" customFormat="1">
      <c r="A67" s="38" t="s">
        <v>414</v>
      </c>
      <c r="B67" s="23" t="s">
        <v>1366</v>
      </c>
      <c r="C67" s="6" t="s">
        <v>71</v>
      </c>
      <c r="D67" s="18" t="s">
        <v>320</v>
      </c>
      <c r="E67" s="39" t="s">
        <v>415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416</v>
      </c>
      <c r="P67" s="18">
        <v>1</v>
      </c>
      <c r="Q67" s="18"/>
      <c r="R67" s="18"/>
      <c r="S67" s="18"/>
      <c r="T67" s="18"/>
      <c r="U67" s="18">
        <v>1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1367</v>
      </c>
      <c r="C68" s="6" t="s">
        <v>71</v>
      </c>
      <c r="D68" s="18" t="s">
        <v>320</v>
      </c>
      <c r="E68" s="39" t="s">
        <v>417</v>
      </c>
      <c r="F68" s="23"/>
      <c r="G68" s="18" t="s">
        <v>411</v>
      </c>
      <c r="H68" s="18"/>
      <c r="I68" s="18" t="s">
        <v>323</v>
      </c>
      <c r="J68" s="12"/>
      <c r="K68" s="18"/>
      <c r="L68" s="18">
        <v>0</v>
      </c>
      <c r="M68" s="18">
        <v>0</v>
      </c>
      <c r="N68" s="18"/>
      <c r="O68" s="18" t="s">
        <v>418</v>
      </c>
      <c r="P68" s="18">
        <v>1.5</v>
      </c>
      <c r="Q68" s="18"/>
      <c r="R68" s="18"/>
      <c r="S68" s="18"/>
      <c r="T68" s="18"/>
      <c r="U68" s="18">
        <v>1.5</v>
      </c>
      <c r="V68" s="18">
        <v>2</v>
      </c>
      <c r="W68" s="18" t="s">
        <v>150</v>
      </c>
      <c r="X68" s="18">
        <v>450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1368</v>
      </c>
      <c r="C69" s="6" t="s">
        <v>71</v>
      </c>
      <c r="D69" s="18" t="s">
        <v>320</v>
      </c>
      <c r="E69" s="40" t="s">
        <v>419</v>
      </c>
      <c r="F69" s="4"/>
      <c r="G69" s="18" t="s">
        <v>420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421</v>
      </c>
      <c r="P69" s="18">
        <v>6</v>
      </c>
      <c r="Q69" s="18"/>
      <c r="R69" s="18"/>
      <c r="S69" s="18"/>
      <c r="T69" s="18"/>
      <c r="U69" s="18">
        <v>2</v>
      </c>
      <c r="V69" s="18">
        <v>2</v>
      </c>
      <c r="W69" s="18" t="s">
        <v>409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0">
        <v>0.01</v>
      </c>
      <c r="AM69" s="10">
        <v>1</v>
      </c>
      <c r="AN69" s="10"/>
      <c r="AO69" s="10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100</v>
      </c>
      <c r="BJ69" s="18"/>
      <c r="BK69" s="18"/>
      <c r="BL69" s="18"/>
      <c r="BM69" s="18"/>
      <c r="BN69" s="18"/>
      <c r="BO69" s="18"/>
      <c r="BP69" s="18"/>
      <c r="BQ69" s="6">
        <v>0</v>
      </c>
    </row>
    <row r="70" spans="1:73" s="6" customFormat="1">
      <c r="A70" s="38" t="s">
        <v>414</v>
      </c>
      <c r="B70" s="23" t="s">
        <v>1369</v>
      </c>
      <c r="C70" s="6" t="s">
        <v>71</v>
      </c>
      <c r="D70" s="18" t="s">
        <v>320</v>
      </c>
      <c r="E70" t="s">
        <v>422</v>
      </c>
      <c r="F70" s="23"/>
      <c r="G70" s="18" t="s">
        <v>423</v>
      </c>
      <c r="H70" s="18"/>
      <c r="I70" s="18" t="s">
        <v>323</v>
      </c>
      <c r="J70" s="18"/>
      <c r="K70" s="18"/>
      <c r="L70" s="18">
        <v>0</v>
      </c>
      <c r="M70" s="18">
        <v>0</v>
      </c>
      <c r="N70" s="18"/>
      <c r="O70" s="18" t="s">
        <v>424</v>
      </c>
      <c r="P70" s="18">
        <v>1.2</v>
      </c>
      <c r="Q70" s="18"/>
      <c r="R70" s="18"/>
      <c r="S70" s="18"/>
      <c r="T70" s="18"/>
      <c r="U70" s="18">
        <v>1.5</v>
      </c>
      <c r="V70" s="18">
        <v>2</v>
      </c>
      <c r="W70" s="18" t="s">
        <v>150</v>
      </c>
      <c r="X70" s="18">
        <v>300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8"/>
      <c r="AM70" s="18">
        <v>1</v>
      </c>
      <c r="AN70" s="18"/>
      <c r="AO70" s="18"/>
      <c r="AP70" s="18">
        <v>250</v>
      </c>
      <c r="AQ70" s="18">
        <v>0.5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2</v>
      </c>
      <c r="BJ70" s="18"/>
      <c r="BK70" s="18"/>
      <c r="BL70" s="18"/>
      <c r="BM70" s="18"/>
      <c r="BN70" s="18"/>
      <c r="BO70" s="18"/>
      <c r="BP70" s="18"/>
      <c r="BQ70" s="6">
        <v>0</v>
      </c>
      <c r="BT70" s="6" t="s">
        <v>379</v>
      </c>
    </row>
    <row r="71" spans="1:73" s="6" customFormat="1">
      <c r="A71" s="38" t="s">
        <v>425</v>
      </c>
      <c r="B71" s="23" t="s">
        <v>1370</v>
      </c>
      <c r="C71" s="6" t="s">
        <v>71</v>
      </c>
      <c r="D71" s="18" t="s">
        <v>320</v>
      </c>
      <c r="E71" s="39" t="s">
        <v>426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427</v>
      </c>
      <c r="P71" s="18">
        <v>2</v>
      </c>
      <c r="Q71" s="18"/>
      <c r="R71" s="18"/>
      <c r="S71" s="18"/>
      <c r="T71" s="18"/>
      <c r="U71" s="18">
        <v>4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/>
      <c r="AC71" s="18"/>
      <c r="AD71" s="18">
        <v>0</v>
      </c>
      <c r="AE71" s="18" t="s">
        <v>151</v>
      </c>
      <c r="AF71" s="18"/>
      <c r="AG71" s="18"/>
      <c r="AH71" s="62" t="s">
        <v>152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250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1371</v>
      </c>
      <c r="C72" s="6" t="s">
        <v>71</v>
      </c>
      <c r="D72" s="18" t="s">
        <v>320</v>
      </c>
      <c r="E72" s="41" t="s">
        <v>428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429</v>
      </c>
      <c r="P72" s="18">
        <v>1.25</v>
      </c>
      <c r="Q72" s="18"/>
      <c r="R72" s="18"/>
      <c r="S72" s="18"/>
      <c r="T72" s="18"/>
      <c r="U72" s="18">
        <v>1.5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430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1372</v>
      </c>
      <c r="C73" s="6" t="s">
        <v>71</v>
      </c>
      <c r="D73" s="18" t="s">
        <v>320</v>
      </c>
      <c r="E73" s="41" t="s">
        <v>431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432</v>
      </c>
      <c r="P73" s="18">
        <v>1.3</v>
      </c>
      <c r="Q73" s="18"/>
      <c r="R73" s="18"/>
      <c r="S73" s="18"/>
      <c r="T73" s="18"/>
      <c r="U73" s="18">
        <v>1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 t="s">
        <v>433</v>
      </c>
      <c r="AC73" s="18"/>
      <c r="AD73" s="18">
        <v>900</v>
      </c>
      <c r="AE73" s="18" t="s">
        <v>151</v>
      </c>
      <c r="AF73" s="18">
        <v>0.1</v>
      </c>
      <c r="AG73" s="18">
        <v>1</v>
      </c>
      <c r="AH73" s="62" t="s">
        <v>165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600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414</v>
      </c>
      <c r="B74" s="23" t="s">
        <v>1373</v>
      </c>
      <c r="C74" s="6" t="s">
        <v>71</v>
      </c>
      <c r="D74" s="18" t="s">
        <v>320</v>
      </c>
      <c r="E74" s="39" t="s">
        <v>434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435</v>
      </c>
      <c r="P74" s="18">
        <v>1.5</v>
      </c>
      <c r="Q74" s="18"/>
      <c r="R74" s="18"/>
      <c r="S74" s="18"/>
      <c r="T74" s="18"/>
      <c r="U74" s="18">
        <v>2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0.5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425</v>
      </c>
      <c r="B75" s="23" t="s">
        <v>1374</v>
      </c>
      <c r="C75" s="6" t="s">
        <v>71</v>
      </c>
      <c r="D75" s="18" t="s">
        <v>320</v>
      </c>
      <c r="E75" s="39" t="s">
        <v>436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437</v>
      </c>
      <c r="P75" s="18">
        <v>3</v>
      </c>
      <c r="Q75" s="18"/>
      <c r="R75" s="18"/>
      <c r="S75" s="18"/>
      <c r="T75" s="18"/>
      <c r="U75" s="18">
        <v>4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/>
      <c r="AC75" s="18"/>
      <c r="AD75" s="18">
        <v>0</v>
      </c>
      <c r="AE75" s="18" t="s">
        <v>151</v>
      </c>
      <c r="AF75" s="18"/>
      <c r="AG75" s="18"/>
      <c r="AH75" s="62" t="s">
        <v>152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250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1375</v>
      </c>
      <c r="C76" s="6" t="s">
        <v>71</v>
      </c>
      <c r="D76" s="18" t="s">
        <v>320</v>
      </c>
      <c r="E76" s="41" t="s">
        <v>438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439</v>
      </c>
      <c r="P76" s="18">
        <v>1.7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 t="s">
        <v>440</v>
      </c>
      <c r="AC76" s="18"/>
      <c r="AD76" s="18">
        <v>900</v>
      </c>
      <c r="AE76" s="18" t="s">
        <v>151</v>
      </c>
      <c r="AF76" s="18">
        <v>0.1</v>
      </c>
      <c r="AG76" s="18">
        <v>1</v>
      </c>
      <c r="AH76" s="62" t="s">
        <v>165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600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1376</v>
      </c>
      <c r="C77" s="6" t="s">
        <v>71</v>
      </c>
      <c r="D77" s="18" t="s">
        <v>320</v>
      </c>
      <c r="E77" s="39" t="s">
        <v>441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442</v>
      </c>
      <c r="P77" s="18">
        <v>1.5</v>
      </c>
      <c r="Q77" s="18"/>
      <c r="R77" s="18"/>
      <c r="S77" s="18"/>
      <c r="T77" s="18"/>
      <c r="U77" s="18">
        <v>2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/>
      <c r="AC77" s="18"/>
      <c r="AD77" s="18">
        <v>0</v>
      </c>
      <c r="AE77" s="18" t="s">
        <v>151</v>
      </c>
      <c r="AF77" s="18"/>
      <c r="AG77" s="18"/>
      <c r="AH77" s="62" t="s">
        <v>152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250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414</v>
      </c>
      <c r="B78" s="23" t="s">
        <v>1377</v>
      </c>
      <c r="C78" s="6" t="s">
        <v>71</v>
      </c>
      <c r="D78" s="18" t="s">
        <v>320</v>
      </c>
      <c r="E78" s="41" t="s">
        <v>443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444</v>
      </c>
      <c r="P78" s="18">
        <v>1.3</v>
      </c>
      <c r="Q78" s="18"/>
      <c r="R78" s="18"/>
      <c r="S78" s="18"/>
      <c r="T78" s="18"/>
      <c r="U78" s="18">
        <v>1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337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0.5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425</v>
      </c>
      <c r="B79" s="23" t="s">
        <v>1378</v>
      </c>
      <c r="C79" s="6" t="s">
        <v>71</v>
      </c>
      <c r="D79" s="18" t="s">
        <v>320</v>
      </c>
      <c r="E79" s="41" t="s">
        <v>445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446</v>
      </c>
      <c r="P79" s="18">
        <v>3</v>
      </c>
      <c r="Q79" s="18"/>
      <c r="R79" s="18"/>
      <c r="S79" s="18"/>
      <c r="T79" s="18"/>
      <c r="U79" s="18">
        <v>4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447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0.25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1379</v>
      </c>
      <c r="C80" s="6" t="s">
        <v>71</v>
      </c>
      <c r="D80" s="18" t="s">
        <v>320</v>
      </c>
      <c r="E80" s="41" t="s">
        <v>448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449</v>
      </c>
      <c r="P80" s="18">
        <v>1.5</v>
      </c>
      <c r="Q80" s="18"/>
      <c r="R80" s="18"/>
      <c r="S80" s="18"/>
      <c r="T80" s="18"/>
      <c r="U80" s="18">
        <v>2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 t="s">
        <v>450</v>
      </c>
      <c r="AC80" s="18"/>
      <c r="AD80" s="18">
        <v>900</v>
      </c>
      <c r="AE80" s="18" t="s">
        <v>151</v>
      </c>
      <c r="AF80" s="18">
        <v>0.1</v>
      </c>
      <c r="AG80" s="18">
        <v>1</v>
      </c>
      <c r="AH80" s="62" t="s">
        <v>165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600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1380</v>
      </c>
      <c r="C81" s="6" t="s">
        <v>71</v>
      </c>
      <c r="D81" s="18" t="s">
        <v>320</v>
      </c>
      <c r="E81" s="39" t="s">
        <v>451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452</v>
      </c>
      <c r="P81" s="18">
        <v>1.3</v>
      </c>
      <c r="Q81" s="18"/>
      <c r="R81" s="18"/>
      <c r="S81" s="18"/>
      <c r="T81" s="18"/>
      <c r="U81" s="18">
        <v>1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/>
      <c r="AC81" s="18"/>
      <c r="AD81" s="18">
        <v>0</v>
      </c>
      <c r="AE81" s="18" t="s">
        <v>151</v>
      </c>
      <c r="AF81" s="18"/>
      <c r="AG81" s="18"/>
      <c r="AH81" s="62" t="s">
        <v>152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250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1381</v>
      </c>
      <c r="C82" s="6" t="s">
        <v>71</v>
      </c>
      <c r="D82" s="18" t="s">
        <v>320</v>
      </c>
      <c r="E82" s="41" t="s">
        <v>453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454</v>
      </c>
      <c r="P82" s="18">
        <v>1.3</v>
      </c>
      <c r="Q82" s="18"/>
      <c r="R82" s="18"/>
      <c r="S82" s="18"/>
      <c r="T82" s="18"/>
      <c r="U82" s="18">
        <v>1.4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 t="s">
        <v>337</v>
      </c>
      <c r="AC82" s="18"/>
      <c r="AD82" s="18">
        <v>900</v>
      </c>
      <c r="AE82" s="18" t="s">
        <v>151</v>
      </c>
      <c r="AF82" s="18">
        <v>0.1</v>
      </c>
      <c r="AG82" s="18">
        <v>1</v>
      </c>
      <c r="AH82" s="62" t="s">
        <v>165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600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70" t="s">
        <v>1382</v>
      </c>
      <c r="C83" s="6" t="s">
        <v>71</v>
      </c>
      <c r="D83" s="18" t="s">
        <v>320</v>
      </c>
      <c r="E83" s="39" t="s">
        <v>455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456</v>
      </c>
      <c r="P83" s="18">
        <v>2.5</v>
      </c>
      <c r="Q83" s="18"/>
      <c r="R83" s="18"/>
      <c r="S83" s="18"/>
      <c r="T83" s="18"/>
      <c r="U83" s="18">
        <v>1.8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/>
      <c r="AC83" s="18"/>
      <c r="AD83" s="18">
        <v>0</v>
      </c>
      <c r="AE83" s="18" t="s">
        <v>151</v>
      </c>
      <c r="AF83" s="18"/>
      <c r="AG83" s="18"/>
      <c r="AH83" s="62" t="s">
        <v>152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250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38" t="s">
        <v>414</v>
      </c>
      <c r="B84" s="70" t="s">
        <v>1383</v>
      </c>
      <c r="C84" s="6" t="s">
        <v>71</v>
      </c>
      <c r="D84" s="18" t="s">
        <v>320</v>
      </c>
      <c r="E84" s="41" t="s">
        <v>457</v>
      </c>
      <c r="F84" s="23"/>
      <c r="G84" s="18" t="s">
        <v>411</v>
      </c>
      <c r="H84" s="18"/>
      <c r="I84" s="18" t="s">
        <v>323</v>
      </c>
      <c r="J84" s="12"/>
      <c r="K84" s="18"/>
      <c r="L84" s="18">
        <v>0</v>
      </c>
      <c r="M84" s="18">
        <v>0</v>
      </c>
      <c r="N84" s="18"/>
      <c r="O84" s="18" t="s">
        <v>458</v>
      </c>
      <c r="P84" s="18">
        <v>2</v>
      </c>
      <c r="Q84" s="18"/>
      <c r="R84" s="18"/>
      <c r="S84" s="18"/>
      <c r="T84" s="18"/>
      <c r="U84" s="18">
        <v>2.2000000000000002</v>
      </c>
      <c r="V84" s="18">
        <v>2</v>
      </c>
      <c r="W84" s="18" t="s">
        <v>150</v>
      </c>
      <c r="X84" s="18">
        <v>450</v>
      </c>
      <c r="Y84" s="18">
        <v>0</v>
      </c>
      <c r="Z84" s="18" t="s">
        <v>151</v>
      </c>
      <c r="AA84" s="18">
        <v>600</v>
      </c>
      <c r="AB84" s="18" t="s">
        <v>337</v>
      </c>
      <c r="AC84" s="18"/>
      <c r="AD84" s="18">
        <v>900</v>
      </c>
      <c r="AE84" s="18" t="s">
        <v>151</v>
      </c>
      <c r="AF84" s="18">
        <v>0.1</v>
      </c>
      <c r="AG84" s="18">
        <v>1</v>
      </c>
      <c r="AH84" s="62" t="s">
        <v>165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600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8"/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</row>
    <row r="85" spans="1:73" s="6" customFormat="1">
      <c r="A85" s="6" t="s">
        <v>459</v>
      </c>
      <c r="B85" s="69" t="s">
        <v>1336</v>
      </c>
      <c r="C85" s="6" t="s">
        <v>71</v>
      </c>
      <c r="D85" s="18" t="s">
        <v>320</v>
      </c>
      <c r="E85" s="68" t="s">
        <v>1309</v>
      </c>
      <c r="F85" s="23"/>
      <c r="G85" s="42"/>
      <c r="H85" s="18"/>
      <c r="I85" s="18" t="s">
        <v>323</v>
      </c>
      <c r="J85" s="18" t="s">
        <v>461</v>
      </c>
      <c r="K85" s="18"/>
      <c r="L85" s="18">
        <v>0</v>
      </c>
      <c r="M85" s="18">
        <v>0</v>
      </c>
      <c r="N85" s="18"/>
      <c r="O85" s="18" t="s">
        <v>462</v>
      </c>
      <c r="P85" s="18">
        <v>1.2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463</v>
      </c>
    </row>
    <row r="86" spans="1:73" s="6" customFormat="1">
      <c r="A86" s="6" t="s">
        <v>459</v>
      </c>
      <c r="B86" s="4" t="s">
        <v>1337</v>
      </c>
      <c r="C86" s="6" t="s">
        <v>71</v>
      </c>
      <c r="D86" s="18" t="s">
        <v>320</v>
      </c>
      <c r="E86" s="68" t="s">
        <v>1310</v>
      </c>
      <c r="F86" s="23"/>
      <c r="G86" s="42"/>
      <c r="H86" s="18"/>
      <c r="I86" s="18" t="s">
        <v>323</v>
      </c>
      <c r="J86" s="18" t="s">
        <v>461</v>
      </c>
      <c r="K86" s="18"/>
      <c r="L86" s="18">
        <v>0</v>
      </c>
      <c r="M86" s="18">
        <v>0</v>
      </c>
      <c r="N86" s="18"/>
      <c r="O86" s="18" t="s">
        <v>462</v>
      </c>
      <c r="P86" s="18">
        <f>P85+0.1</f>
        <v>1.3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463</v>
      </c>
    </row>
    <row r="87" spans="1:73" s="6" customFormat="1">
      <c r="A87" s="6" t="s">
        <v>459</v>
      </c>
      <c r="B87" s="4" t="s">
        <v>1338</v>
      </c>
      <c r="C87" s="6" t="s">
        <v>71</v>
      </c>
      <c r="D87" s="18" t="s">
        <v>320</v>
      </c>
      <c r="E87" s="68" t="s">
        <v>1311</v>
      </c>
      <c r="F87" s="23"/>
      <c r="G87" s="42"/>
      <c r="H87" s="18"/>
      <c r="I87" s="18" t="s">
        <v>323</v>
      </c>
      <c r="J87" s="18" t="s">
        <v>461</v>
      </c>
      <c r="K87" s="18"/>
      <c r="L87" s="18">
        <v>0</v>
      </c>
      <c r="M87" s="18">
        <v>0</v>
      </c>
      <c r="N87" s="18"/>
      <c r="O87" s="18" t="s">
        <v>462</v>
      </c>
      <c r="P87" s="18">
        <f t="shared" ref="P87:P94" si="6">P86+0.1</f>
        <v>1.4000000000000001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0.45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463</v>
      </c>
    </row>
    <row r="88" spans="1:73" s="6" customFormat="1">
      <c r="A88" s="6" t="s">
        <v>459</v>
      </c>
      <c r="B88" s="4" t="s">
        <v>1339</v>
      </c>
      <c r="C88" s="6" t="s">
        <v>71</v>
      </c>
      <c r="D88" s="18" t="s">
        <v>320</v>
      </c>
      <c r="E88" s="68" t="s">
        <v>1312</v>
      </c>
      <c r="F88" s="23"/>
      <c r="G88" s="42"/>
      <c r="H88" s="18"/>
      <c r="I88" s="18" t="s">
        <v>323</v>
      </c>
      <c r="J88" s="18" t="s">
        <v>461</v>
      </c>
      <c r="K88" s="18"/>
      <c r="L88" s="18">
        <v>0</v>
      </c>
      <c r="M88" s="18">
        <v>0</v>
      </c>
      <c r="N88" s="18"/>
      <c r="O88" s="18" t="s">
        <v>462</v>
      </c>
      <c r="P88" s="18">
        <f t="shared" si="6"/>
        <v>1.5000000000000002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0.4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463</v>
      </c>
    </row>
    <row r="89" spans="1:73" s="6" customFormat="1">
      <c r="A89" s="6" t="s">
        <v>459</v>
      </c>
      <c r="B89" s="4" t="s">
        <v>1340</v>
      </c>
      <c r="C89" s="6" t="s">
        <v>71</v>
      </c>
      <c r="D89" s="18" t="s">
        <v>320</v>
      </c>
      <c r="E89" s="68" t="s">
        <v>1313</v>
      </c>
      <c r="F89" s="23"/>
      <c r="G89" s="42"/>
      <c r="H89" s="18"/>
      <c r="I89" s="18" t="s">
        <v>323</v>
      </c>
      <c r="J89" s="18" t="s">
        <v>461</v>
      </c>
      <c r="K89" s="18"/>
      <c r="L89" s="18">
        <v>0</v>
      </c>
      <c r="M89" s="18">
        <v>0</v>
      </c>
      <c r="N89" s="18"/>
      <c r="O89" s="18" t="s">
        <v>462</v>
      </c>
      <c r="P89" s="18">
        <f t="shared" si="6"/>
        <v>1.6000000000000003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0.35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463</v>
      </c>
    </row>
    <row r="90" spans="1:73" s="6" customFormat="1">
      <c r="A90" s="6" t="s">
        <v>459</v>
      </c>
      <c r="B90" s="4" t="s">
        <v>1341</v>
      </c>
      <c r="C90" s="6" t="s">
        <v>71</v>
      </c>
      <c r="D90" s="18" t="s">
        <v>320</v>
      </c>
      <c r="E90" s="68" t="s">
        <v>1314</v>
      </c>
      <c r="F90" s="23"/>
      <c r="G90" s="42"/>
      <c r="H90" s="18"/>
      <c r="I90" s="18" t="s">
        <v>323</v>
      </c>
      <c r="J90" s="18" t="s">
        <v>461</v>
      </c>
      <c r="K90" s="18"/>
      <c r="L90" s="18">
        <v>0</v>
      </c>
      <c r="M90" s="18">
        <v>0</v>
      </c>
      <c r="N90" s="18"/>
      <c r="O90" s="18" t="s">
        <v>462</v>
      </c>
      <c r="P90" s="18">
        <f t="shared" si="6"/>
        <v>1.7000000000000004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0.3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463</v>
      </c>
    </row>
    <row r="91" spans="1:73" s="6" customFormat="1">
      <c r="A91" s="6" t="s">
        <v>459</v>
      </c>
      <c r="B91" s="4" t="s">
        <v>1342</v>
      </c>
      <c r="C91" s="6" t="s">
        <v>71</v>
      </c>
      <c r="D91" s="18" t="s">
        <v>320</v>
      </c>
      <c r="E91" s="68" t="s">
        <v>1315</v>
      </c>
      <c r="F91" s="23"/>
      <c r="G91" s="42"/>
      <c r="H91" s="18"/>
      <c r="I91" s="18" t="s">
        <v>323</v>
      </c>
      <c r="J91" s="18" t="s">
        <v>461</v>
      </c>
      <c r="K91" s="18"/>
      <c r="L91" s="18">
        <v>0</v>
      </c>
      <c r="M91" s="18">
        <v>0</v>
      </c>
      <c r="N91" s="18"/>
      <c r="O91" s="18" t="s">
        <v>462</v>
      </c>
      <c r="P91" s="18">
        <f t="shared" si="6"/>
        <v>1.8000000000000005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0.25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463</v>
      </c>
    </row>
    <row r="92" spans="1:73" s="6" customFormat="1">
      <c r="A92" s="6" t="s">
        <v>459</v>
      </c>
      <c r="B92" s="4" t="s">
        <v>1343</v>
      </c>
      <c r="C92" s="6" t="s">
        <v>71</v>
      </c>
      <c r="D92" s="18" t="s">
        <v>320</v>
      </c>
      <c r="E92" s="68" t="s">
        <v>1316</v>
      </c>
      <c r="F92" s="23"/>
      <c r="G92" s="42"/>
      <c r="H92" s="18"/>
      <c r="I92" s="18" t="s">
        <v>323</v>
      </c>
      <c r="J92" s="18" t="s">
        <v>461</v>
      </c>
      <c r="K92" s="18"/>
      <c r="L92" s="18">
        <v>0</v>
      </c>
      <c r="M92" s="18">
        <v>0</v>
      </c>
      <c r="N92" s="18"/>
      <c r="O92" s="18" t="s">
        <v>462</v>
      </c>
      <c r="P92" s="18">
        <f t="shared" si="6"/>
        <v>1.9000000000000006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0.2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463</v>
      </c>
    </row>
    <row r="93" spans="1:73" s="6" customFormat="1">
      <c r="A93" s="6" t="s">
        <v>459</v>
      </c>
      <c r="B93" s="69" t="s">
        <v>1344</v>
      </c>
      <c r="C93" s="6" t="s">
        <v>71</v>
      </c>
      <c r="D93" s="18" t="s">
        <v>320</v>
      </c>
      <c r="E93" s="68" t="s">
        <v>1317</v>
      </c>
      <c r="F93" s="23"/>
      <c r="G93" s="42"/>
      <c r="H93" s="18"/>
      <c r="I93" s="18" t="s">
        <v>323</v>
      </c>
      <c r="J93" s="18" t="s">
        <v>461</v>
      </c>
      <c r="K93" s="18"/>
      <c r="L93" s="18">
        <v>0</v>
      </c>
      <c r="M93" s="18">
        <v>0</v>
      </c>
      <c r="N93" s="18"/>
      <c r="O93" s="18" t="s">
        <v>462</v>
      </c>
      <c r="P93" s="18">
        <f t="shared" si="6"/>
        <v>2.0000000000000004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0.2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463</v>
      </c>
    </row>
    <row r="94" spans="1:73" s="6" customFormat="1">
      <c r="A94" s="6" t="s">
        <v>459</v>
      </c>
      <c r="B94" s="69" t="s">
        <v>1345</v>
      </c>
      <c r="C94" s="6" t="s">
        <v>71</v>
      </c>
      <c r="D94" s="18" t="s">
        <v>320</v>
      </c>
      <c r="E94" s="68" t="s">
        <v>1318</v>
      </c>
      <c r="F94" s="23"/>
      <c r="G94" s="42"/>
      <c r="H94" s="18"/>
      <c r="I94" s="18" t="s">
        <v>323</v>
      </c>
      <c r="J94" s="18" t="s">
        <v>461</v>
      </c>
      <c r="K94" s="18"/>
      <c r="L94" s="18">
        <v>0</v>
      </c>
      <c r="M94" s="18">
        <v>0</v>
      </c>
      <c r="N94" s="18"/>
      <c r="O94" s="18" t="s">
        <v>462</v>
      </c>
      <c r="P94" s="18">
        <f t="shared" si="6"/>
        <v>2.1000000000000005</v>
      </c>
      <c r="Q94" s="18"/>
      <c r="R94" s="18"/>
      <c r="S94" s="18"/>
      <c r="T94" s="18"/>
      <c r="U94" s="18">
        <v>2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0.2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463</v>
      </c>
    </row>
    <row r="95" spans="1:73" s="6" customFormat="1">
      <c r="A95" s="6" t="s">
        <v>464</v>
      </c>
      <c r="B95" s="69" t="s">
        <v>1346</v>
      </c>
      <c r="C95" s="6" t="s">
        <v>71</v>
      </c>
      <c r="D95" s="18" t="s">
        <v>320</v>
      </c>
      <c r="E95" s="68" t="s">
        <v>1319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465</v>
      </c>
      <c r="P95" s="18">
        <v>1.5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0.3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463</v>
      </c>
    </row>
    <row r="96" spans="1:73" s="6" customFormat="1">
      <c r="A96" s="6" t="s">
        <v>464</v>
      </c>
      <c r="B96" s="4" t="s">
        <v>1347</v>
      </c>
      <c r="C96" s="6" t="s">
        <v>71</v>
      </c>
      <c r="D96" s="18" t="s">
        <v>320</v>
      </c>
      <c r="E96" s="68" t="s">
        <v>1320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465</v>
      </c>
      <c r="P96" s="18">
        <f>P95+0.2</f>
        <v>1.7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0.3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463</v>
      </c>
    </row>
    <row r="97" spans="1:73" s="6" customFormat="1">
      <c r="A97" s="6" t="s">
        <v>464</v>
      </c>
      <c r="B97" s="4" t="s">
        <v>1348</v>
      </c>
      <c r="C97" s="6" t="s">
        <v>71</v>
      </c>
      <c r="D97" s="18" t="s">
        <v>320</v>
      </c>
      <c r="E97" s="68" t="s">
        <v>1321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465</v>
      </c>
      <c r="P97" s="18">
        <f t="shared" ref="P97:P100" si="7">P96+0.2</f>
        <v>1.9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0.3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463</v>
      </c>
    </row>
    <row r="98" spans="1:73" s="6" customFormat="1">
      <c r="A98" s="6" t="s">
        <v>464</v>
      </c>
      <c r="B98" s="4" t="s">
        <v>1349</v>
      </c>
      <c r="C98" s="6" t="s">
        <v>71</v>
      </c>
      <c r="D98" s="18" t="s">
        <v>320</v>
      </c>
      <c r="E98" s="68" t="s">
        <v>1322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465</v>
      </c>
      <c r="P98" s="18">
        <f t="shared" si="7"/>
        <v>2.1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0.3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463</v>
      </c>
    </row>
    <row r="99" spans="1:73" s="6" customFormat="1">
      <c r="A99" s="6" t="s">
        <v>464</v>
      </c>
      <c r="B99" s="4" t="s">
        <v>1350</v>
      </c>
      <c r="C99" s="6" t="s">
        <v>71</v>
      </c>
      <c r="D99" s="18" t="s">
        <v>320</v>
      </c>
      <c r="E99" s="68" t="s">
        <v>1323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465</v>
      </c>
      <c r="P99" s="18">
        <f t="shared" si="7"/>
        <v>2.3000000000000003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0.3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463</v>
      </c>
    </row>
    <row r="100" spans="1:73" s="6" customFormat="1">
      <c r="A100" s="6" t="s">
        <v>464</v>
      </c>
      <c r="B100" s="4" t="s">
        <v>1351</v>
      </c>
      <c r="C100" s="6" t="s">
        <v>71</v>
      </c>
      <c r="D100" s="18" t="s">
        <v>320</v>
      </c>
      <c r="E100" s="68" t="s">
        <v>1324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465</v>
      </c>
      <c r="P100" s="18">
        <f t="shared" si="7"/>
        <v>2.5000000000000004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0.3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463</v>
      </c>
    </row>
    <row r="101" spans="1:73" s="6" customFormat="1">
      <c r="A101" s="6" t="s">
        <v>466</v>
      </c>
      <c r="B101" s="69" t="s">
        <v>1352</v>
      </c>
      <c r="C101" s="6" t="s">
        <v>71</v>
      </c>
      <c r="D101" s="18" t="s">
        <v>320</v>
      </c>
      <c r="E101" s="68" t="s">
        <v>1326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v>2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463</v>
      </c>
    </row>
    <row r="102" spans="1:73" s="6" customFormat="1">
      <c r="A102" s="6" t="s">
        <v>466</v>
      </c>
      <c r="B102" s="4" t="s">
        <v>1353</v>
      </c>
      <c r="C102" s="6" t="s">
        <v>71</v>
      </c>
      <c r="D102" s="18" t="s">
        <v>320</v>
      </c>
      <c r="E102" s="68" t="s">
        <v>1327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>P101+0.15</f>
        <v>2.15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463</v>
      </c>
    </row>
    <row r="103" spans="1:73" s="6" customFormat="1">
      <c r="A103" s="6" t="s">
        <v>466</v>
      </c>
      <c r="B103" s="4" t="s">
        <v>1354</v>
      </c>
      <c r="C103" s="6" t="s">
        <v>71</v>
      </c>
      <c r="D103" s="18" t="s">
        <v>320</v>
      </c>
      <c r="E103" s="68" t="s">
        <v>1328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ref="P103:P110" si="8">P102+0.15</f>
        <v>2.2999999999999998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463</v>
      </c>
    </row>
    <row r="104" spans="1:73" s="6" customFormat="1">
      <c r="A104" s="6" t="s">
        <v>466</v>
      </c>
      <c r="B104" s="4" t="s">
        <v>1355</v>
      </c>
      <c r="C104" s="6" t="s">
        <v>71</v>
      </c>
      <c r="D104" s="18" t="s">
        <v>320</v>
      </c>
      <c r="E104" s="68" t="s">
        <v>1329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8"/>
        <v>2.4499999999999997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463</v>
      </c>
    </row>
    <row r="105" spans="1:73" s="6" customFormat="1">
      <c r="A105" s="6" t="s">
        <v>466</v>
      </c>
      <c r="B105" s="4" t="s">
        <v>1356</v>
      </c>
      <c r="C105" s="6" t="s">
        <v>71</v>
      </c>
      <c r="D105" s="18" t="s">
        <v>320</v>
      </c>
      <c r="E105" s="68" t="s">
        <v>1330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8"/>
        <v>2.5999999999999996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463</v>
      </c>
    </row>
    <row r="106" spans="1:73" s="6" customFormat="1">
      <c r="A106" s="6" t="s">
        <v>466</v>
      </c>
      <c r="B106" s="4" t="s">
        <v>1357</v>
      </c>
      <c r="C106" s="6" t="s">
        <v>71</v>
      </c>
      <c r="D106" s="18" t="s">
        <v>320</v>
      </c>
      <c r="E106" s="68" t="s">
        <v>1325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8"/>
        <v>2.7499999999999996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463</v>
      </c>
    </row>
    <row r="107" spans="1:73" s="6" customFormat="1">
      <c r="A107" s="6" t="s">
        <v>466</v>
      </c>
      <c r="B107" s="4" t="s">
        <v>1358</v>
      </c>
      <c r="C107" s="6" t="s">
        <v>71</v>
      </c>
      <c r="D107" s="18" t="s">
        <v>320</v>
      </c>
      <c r="E107" s="68" t="s">
        <v>1331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8"/>
        <v>2.8999999999999995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463</v>
      </c>
    </row>
    <row r="108" spans="1:73" s="6" customFormat="1">
      <c r="A108" s="6" t="s">
        <v>466</v>
      </c>
      <c r="B108" s="4" t="s">
        <v>1359</v>
      </c>
      <c r="C108" s="6" t="s">
        <v>71</v>
      </c>
      <c r="D108" s="18" t="s">
        <v>320</v>
      </c>
      <c r="E108" s="68" t="s">
        <v>1332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8"/>
        <v>3.0499999999999994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463</v>
      </c>
    </row>
    <row r="109" spans="1:73" s="6" customFormat="1">
      <c r="A109" s="6" t="s">
        <v>466</v>
      </c>
      <c r="B109" s="69" t="s">
        <v>1360</v>
      </c>
      <c r="C109" s="6" t="s">
        <v>71</v>
      </c>
      <c r="D109" s="18" t="s">
        <v>320</v>
      </c>
      <c r="E109" s="68" t="s">
        <v>1333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8"/>
        <v>3.1999999999999993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463</v>
      </c>
    </row>
    <row r="110" spans="1:73" s="6" customFormat="1">
      <c r="A110" s="6" t="s">
        <v>466</v>
      </c>
      <c r="B110" s="69" t="s">
        <v>1361</v>
      </c>
      <c r="C110" s="6" t="s">
        <v>71</v>
      </c>
      <c r="D110" s="18" t="s">
        <v>320</v>
      </c>
      <c r="E110" s="68" t="s">
        <v>1334</v>
      </c>
      <c r="F110" s="23"/>
      <c r="G110" s="42"/>
      <c r="H110" s="18"/>
      <c r="I110" s="18" t="s">
        <v>323</v>
      </c>
      <c r="J110" s="18" t="s">
        <v>349</v>
      </c>
      <c r="K110" s="18"/>
      <c r="L110" s="18">
        <v>0</v>
      </c>
      <c r="M110" s="18">
        <v>0</v>
      </c>
      <c r="N110" s="18"/>
      <c r="O110" s="10" t="s">
        <v>251</v>
      </c>
      <c r="P110" s="18">
        <f t="shared" si="8"/>
        <v>3.3499999999999992</v>
      </c>
      <c r="Q110" s="18"/>
      <c r="R110" s="18"/>
      <c r="S110" s="18"/>
      <c r="T110" s="18"/>
      <c r="U110" s="18">
        <v>4</v>
      </c>
      <c r="V110" s="18">
        <v>2</v>
      </c>
      <c r="W110" s="18" t="s">
        <v>409</v>
      </c>
      <c r="X110" s="18">
        <v>522</v>
      </c>
      <c r="Y110" s="18">
        <v>0</v>
      </c>
      <c r="Z110" s="18" t="s">
        <v>151</v>
      </c>
      <c r="AA110" s="18">
        <v>1000</v>
      </c>
      <c r="AD110" s="18">
        <v>0</v>
      </c>
      <c r="AE110" s="18" t="s">
        <v>151</v>
      </c>
      <c r="AF110" s="18"/>
      <c r="AG110" s="18"/>
      <c r="AH110" s="62" t="s">
        <v>152</v>
      </c>
      <c r="AI110" s="4" t="s">
        <v>153</v>
      </c>
      <c r="AJ110" s="18">
        <v>0.5</v>
      </c>
      <c r="AK110" s="18">
        <v>0.5</v>
      </c>
      <c r="AL110" s="10">
        <v>0.01</v>
      </c>
      <c r="AM110" s="10">
        <v>1</v>
      </c>
      <c r="AN110" s="10"/>
      <c r="AO110" s="10"/>
      <c r="AP110" s="18">
        <v>450</v>
      </c>
      <c r="AQ110" s="18">
        <v>0.2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  <c r="BU110" s="18" t="s">
        <v>463</v>
      </c>
    </row>
    <row r="111" spans="1:73" s="6" customFormat="1">
      <c r="B111" s="18" t="s">
        <v>467</v>
      </c>
      <c r="C111" s="6" t="s">
        <v>71</v>
      </c>
      <c r="D111" s="18" t="s">
        <v>320</v>
      </c>
      <c r="E111" s="43" t="s">
        <v>468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469</v>
      </c>
      <c r="P111" s="18">
        <v>1.4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/>
      <c r="AC111" s="31"/>
      <c r="AD111" s="31">
        <v>0</v>
      </c>
      <c r="AE111" s="31" t="s">
        <v>151</v>
      </c>
      <c r="AF111" s="31"/>
      <c r="AG111" s="31"/>
      <c r="AH111" s="62" t="s">
        <v>152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250</v>
      </c>
      <c r="AQ111" s="18">
        <v>1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470</v>
      </c>
      <c r="C112" s="6" t="s">
        <v>71</v>
      </c>
      <c r="D112" s="18" t="s">
        <v>320</v>
      </c>
      <c r="E112" s="44" t="s">
        <v>471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472</v>
      </c>
      <c r="P112" s="18">
        <v>1.3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31" t="s">
        <v>473</v>
      </c>
      <c r="AC112" s="31"/>
      <c r="AD112" s="18">
        <v>900</v>
      </c>
      <c r="AE112" s="18" t="s">
        <v>151</v>
      </c>
      <c r="AF112" s="18">
        <v>0.1</v>
      </c>
      <c r="AG112" s="18">
        <v>1</v>
      </c>
      <c r="AH112" s="62" t="s">
        <v>165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500</v>
      </c>
      <c r="AQ112" s="18">
        <f>AQ111-0.03</f>
        <v>0.97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474</v>
      </c>
      <c r="C113" s="6" t="s">
        <v>71</v>
      </c>
      <c r="D113" s="18" t="s">
        <v>320</v>
      </c>
      <c r="E113" s="43" t="s">
        <v>475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469</v>
      </c>
      <c r="P113" s="18">
        <v>1.4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18"/>
      <c r="AC113" s="18"/>
      <c r="AD113" s="31">
        <v>0</v>
      </c>
      <c r="AE113" s="31" t="s">
        <v>151</v>
      </c>
      <c r="AF113" s="31"/>
      <c r="AG113" s="31"/>
      <c r="AH113" s="62" t="s">
        <v>152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250</v>
      </c>
      <c r="AQ113" s="18">
        <f t="shared" ref="AQ113:AQ126" si="9">AQ112-0.03</f>
        <v>0.94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476</v>
      </c>
      <c r="C114" s="6" t="s">
        <v>71</v>
      </c>
      <c r="D114" s="18" t="s">
        <v>320</v>
      </c>
      <c r="E114" s="44" t="s">
        <v>477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472</v>
      </c>
      <c r="P114" s="18">
        <v>1.3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31" t="s">
        <v>473</v>
      </c>
      <c r="AC114" s="31"/>
      <c r="AD114" s="18">
        <v>900</v>
      </c>
      <c r="AE114" s="18" t="s">
        <v>151</v>
      </c>
      <c r="AF114" s="18">
        <v>0.1</v>
      </c>
      <c r="AG114" s="18">
        <v>1</v>
      </c>
      <c r="AH114" s="62" t="s">
        <v>165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500</v>
      </c>
      <c r="AQ114" s="18">
        <f t="shared" si="9"/>
        <v>0.90999999999999992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478</v>
      </c>
      <c r="C115" s="6" t="s">
        <v>71</v>
      </c>
      <c r="D115" s="18" t="s">
        <v>320</v>
      </c>
      <c r="E115" s="43" t="s">
        <v>479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469</v>
      </c>
      <c r="P115" s="18">
        <v>1.1000000000000001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18"/>
      <c r="AC115" s="18"/>
      <c r="AD115" s="18">
        <v>0</v>
      </c>
      <c r="AE115" s="18" t="s">
        <v>151</v>
      </c>
      <c r="AF115" s="18"/>
      <c r="AG115" s="18"/>
      <c r="AH115" s="62" t="s">
        <v>152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250</v>
      </c>
      <c r="AQ115" s="18">
        <f t="shared" si="9"/>
        <v>0.87999999999999989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480</v>
      </c>
      <c r="C116" s="6" t="s">
        <v>71</v>
      </c>
      <c r="D116" s="18" t="s">
        <v>320</v>
      </c>
      <c r="E116" s="44" t="s">
        <v>481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472</v>
      </c>
      <c r="P116" s="18">
        <v>0.9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300</v>
      </c>
      <c r="Y116" s="18">
        <v>0</v>
      </c>
      <c r="Z116" s="18" t="s">
        <v>151</v>
      </c>
      <c r="AA116" s="18">
        <v>600</v>
      </c>
      <c r="AB116" s="31" t="s">
        <v>473</v>
      </c>
      <c r="AC116" s="31"/>
      <c r="AD116" s="18">
        <v>900</v>
      </c>
      <c r="AE116" s="18" t="s">
        <v>151</v>
      </c>
      <c r="AF116" s="18">
        <v>0.1</v>
      </c>
      <c r="AG116" s="18">
        <v>1</v>
      </c>
      <c r="AH116" s="62" t="s">
        <v>165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500</v>
      </c>
      <c r="AQ116" s="18">
        <f t="shared" si="9"/>
        <v>0.84999999999999987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482</v>
      </c>
      <c r="C117" s="6" t="s">
        <v>71</v>
      </c>
      <c r="D117" s="18" t="s">
        <v>320</v>
      </c>
      <c r="E117" s="43" t="s">
        <v>483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484</v>
      </c>
      <c r="P117" s="18">
        <v>1.1000000000000001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/>
      <c r="AC117" s="31"/>
      <c r="AD117" s="31">
        <v>0</v>
      </c>
      <c r="AE117" s="31" t="s">
        <v>151</v>
      </c>
      <c r="AF117" s="31"/>
      <c r="AG117" s="31"/>
      <c r="AH117" s="62" t="s">
        <v>152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250</v>
      </c>
      <c r="AQ117" s="18">
        <f t="shared" si="9"/>
        <v>0.81999999999999984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485</v>
      </c>
      <c r="C118" s="6" t="s">
        <v>71</v>
      </c>
      <c r="D118" s="18" t="s">
        <v>320</v>
      </c>
      <c r="E118" s="24" t="s">
        <v>486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487</v>
      </c>
      <c r="P118" s="18">
        <v>0.9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31" t="s">
        <v>473</v>
      </c>
      <c r="AC118" s="31"/>
      <c r="AD118" s="18">
        <v>900</v>
      </c>
      <c r="AE118" s="18" t="s">
        <v>151</v>
      </c>
      <c r="AF118" s="18">
        <v>0.1</v>
      </c>
      <c r="AG118" s="18">
        <v>1</v>
      </c>
      <c r="AH118" s="62" t="s">
        <v>165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500</v>
      </c>
      <c r="AQ118" s="18">
        <f t="shared" si="9"/>
        <v>0.78999999999999981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488</v>
      </c>
      <c r="C119" s="6" t="s">
        <v>71</v>
      </c>
      <c r="D119" s="18" t="s">
        <v>320</v>
      </c>
      <c r="E119" s="20" t="s">
        <v>489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484</v>
      </c>
      <c r="P119" s="18">
        <v>1.55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350</v>
      </c>
      <c r="Y119" s="18">
        <v>0</v>
      </c>
      <c r="Z119" s="18" t="s">
        <v>151</v>
      </c>
      <c r="AA119" s="18">
        <v>600</v>
      </c>
      <c r="AB119" s="18"/>
      <c r="AC119" s="18"/>
      <c r="AD119" s="18">
        <v>0</v>
      </c>
      <c r="AE119" s="18" t="s">
        <v>151</v>
      </c>
      <c r="AF119" s="18"/>
      <c r="AG119" s="18"/>
      <c r="AH119" s="62" t="s">
        <v>152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250</v>
      </c>
      <c r="AQ119" s="18">
        <f t="shared" si="9"/>
        <v>0.75999999999999979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490</v>
      </c>
      <c r="C120" s="6" t="s">
        <v>71</v>
      </c>
      <c r="D120" s="18" t="s">
        <v>320</v>
      </c>
      <c r="E120" s="24" t="s">
        <v>491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487</v>
      </c>
      <c r="P120" s="18">
        <v>0.9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 t="s">
        <v>473</v>
      </c>
      <c r="AC120" s="31"/>
      <c r="AD120" s="18">
        <v>900</v>
      </c>
      <c r="AE120" s="18" t="s">
        <v>151</v>
      </c>
      <c r="AF120" s="18">
        <v>0.1</v>
      </c>
      <c r="AG120" s="18">
        <v>1</v>
      </c>
      <c r="AH120" s="62" t="s">
        <v>165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500</v>
      </c>
      <c r="AQ120" s="18">
        <f t="shared" si="9"/>
        <v>0.72999999999999976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492</v>
      </c>
      <c r="C121" s="6" t="s">
        <v>71</v>
      </c>
      <c r="D121" s="18" t="s">
        <v>320</v>
      </c>
      <c r="E121" s="20" t="s">
        <v>493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494</v>
      </c>
      <c r="P121" s="18">
        <v>1.55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/>
      <c r="AC121" s="31"/>
      <c r="AD121" s="31">
        <v>0</v>
      </c>
      <c r="AE121" s="31" t="s">
        <v>151</v>
      </c>
      <c r="AF121" s="31"/>
      <c r="AG121" s="31"/>
      <c r="AH121" s="62" t="s">
        <v>152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250</v>
      </c>
      <c r="AQ121" s="18">
        <f t="shared" si="9"/>
        <v>0.69999999999999973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495</v>
      </c>
      <c r="C122" s="6" t="s">
        <v>71</v>
      </c>
      <c r="D122" s="18" t="s">
        <v>320</v>
      </c>
      <c r="E122" s="24" t="s">
        <v>496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487</v>
      </c>
      <c r="P122" s="18">
        <v>0.9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390</v>
      </c>
      <c r="Y122" s="18">
        <v>0</v>
      </c>
      <c r="Z122" s="18" t="s">
        <v>151</v>
      </c>
      <c r="AA122" s="18">
        <v>600</v>
      </c>
      <c r="AB122" s="31" t="s">
        <v>473</v>
      </c>
      <c r="AC122" s="31"/>
      <c r="AD122" s="18">
        <v>900</v>
      </c>
      <c r="AE122" s="18" t="s">
        <v>151</v>
      </c>
      <c r="AF122" s="18">
        <v>0.1</v>
      </c>
      <c r="AG122" s="18">
        <v>1</v>
      </c>
      <c r="AH122" s="62" t="s">
        <v>165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500</v>
      </c>
      <c r="AQ122" s="18">
        <f t="shared" si="9"/>
        <v>0.66999999999999971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497</v>
      </c>
      <c r="C123" s="6" t="s">
        <v>71</v>
      </c>
      <c r="D123" s="18" t="s">
        <v>320</v>
      </c>
      <c r="E123" s="45" t="s">
        <v>498</v>
      </c>
      <c r="F123" s="20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494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600</v>
      </c>
      <c r="AB123" s="18"/>
      <c r="AC123" s="18"/>
      <c r="AD123" s="18">
        <v>0</v>
      </c>
      <c r="AE123" s="18" t="s">
        <v>151</v>
      </c>
      <c r="AF123" s="18"/>
      <c r="AG123" s="18"/>
      <c r="AH123" s="62" t="s">
        <v>152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250</v>
      </c>
      <c r="AQ123" s="18">
        <f t="shared" si="9"/>
        <v>0.63999999999999968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499</v>
      </c>
      <c r="C124" s="6" t="s">
        <v>71</v>
      </c>
      <c r="D124" s="18" t="s">
        <v>320</v>
      </c>
      <c r="E124" s="46" t="s">
        <v>500</v>
      </c>
      <c r="F124" s="47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501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1200</v>
      </c>
      <c r="AB124" s="18" t="s">
        <v>502</v>
      </c>
      <c r="AC124" s="18"/>
      <c r="AD124" s="18">
        <v>900</v>
      </c>
      <c r="AE124" s="18" t="s">
        <v>151</v>
      </c>
      <c r="AF124" s="18">
        <v>0.1</v>
      </c>
      <c r="AG124" s="18">
        <v>1</v>
      </c>
      <c r="AH124" s="62" t="s">
        <v>165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1000</v>
      </c>
      <c r="AQ124" s="18">
        <f t="shared" si="9"/>
        <v>0.60999999999999965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503</v>
      </c>
      <c r="C125" s="6" t="s">
        <v>71</v>
      </c>
      <c r="D125" s="18" t="s">
        <v>320</v>
      </c>
      <c r="E125" s="45" t="s">
        <v>504</v>
      </c>
      <c r="F125" s="20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505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600</v>
      </c>
      <c r="AB125" s="31"/>
      <c r="AC125" s="31"/>
      <c r="AD125" s="31">
        <v>0</v>
      </c>
      <c r="AE125" s="31" t="s">
        <v>151</v>
      </c>
      <c r="AF125" s="31"/>
      <c r="AG125" s="31"/>
      <c r="AH125" s="62" t="s">
        <v>152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250</v>
      </c>
      <c r="AQ125" s="18">
        <f t="shared" si="9"/>
        <v>0.57999999999999963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506</v>
      </c>
      <c r="C126" s="6" t="s">
        <v>71</v>
      </c>
      <c r="D126" s="18" t="s">
        <v>320</v>
      </c>
      <c r="E126" s="46" t="s">
        <v>507</v>
      </c>
      <c r="F126" s="47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508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1000</v>
      </c>
      <c r="AB126" s="18" t="s">
        <v>509</v>
      </c>
      <c r="AC126" s="18"/>
      <c r="AD126" s="18">
        <v>900</v>
      </c>
      <c r="AE126" s="18" t="s">
        <v>151</v>
      </c>
      <c r="AF126" s="18">
        <v>0.1</v>
      </c>
      <c r="AG126" s="18">
        <v>1</v>
      </c>
      <c r="AH126" s="62" t="s">
        <v>165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800</v>
      </c>
      <c r="AQ126" s="18">
        <f t="shared" si="9"/>
        <v>0.5499999999999996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510</v>
      </c>
      <c r="C127" s="6" t="s">
        <v>71</v>
      </c>
      <c r="D127" s="18" t="s">
        <v>320</v>
      </c>
      <c r="E127" s="45" t="s">
        <v>511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18" t="s">
        <v>512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31"/>
      <c r="AC127" s="31"/>
      <c r="AD127" s="31">
        <v>0</v>
      </c>
      <c r="AE127" s="31" t="s">
        <v>151</v>
      </c>
      <c r="AF127" s="31"/>
      <c r="AG127" s="31"/>
      <c r="AH127" s="62" t="s">
        <v>152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250</v>
      </c>
      <c r="AQ127" s="18">
        <f t="shared" ref="AQ127:AQ137" si="10">AQ126-0.03</f>
        <v>0.51999999999999957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513</v>
      </c>
      <c r="C128" s="6" t="s">
        <v>71</v>
      </c>
      <c r="D128" s="18" t="s">
        <v>320</v>
      </c>
      <c r="E128" s="24" t="s">
        <v>514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4" t="s">
        <v>515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430</v>
      </c>
      <c r="Y128" s="18">
        <v>0</v>
      </c>
      <c r="Z128" s="18" t="s">
        <v>151</v>
      </c>
      <c r="AA128" s="18">
        <v>600</v>
      </c>
      <c r="AB128" s="18" t="s">
        <v>516</v>
      </c>
      <c r="AC128" s="18"/>
      <c r="AD128" s="18">
        <v>900</v>
      </c>
      <c r="AE128" s="18" t="s">
        <v>151</v>
      </c>
      <c r="AF128" s="18">
        <v>0.1</v>
      </c>
      <c r="AG128" s="18">
        <v>1</v>
      </c>
      <c r="AH128" s="62" t="s">
        <v>165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500</v>
      </c>
      <c r="AQ128" s="18">
        <f t="shared" si="10"/>
        <v>0.48999999999999955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517</v>
      </c>
      <c r="C129" s="6" t="s">
        <v>71</v>
      </c>
      <c r="D129" s="18" t="s">
        <v>320</v>
      </c>
      <c r="E129" s="45" t="s">
        <v>518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324</v>
      </c>
      <c r="P129" s="18">
        <v>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31"/>
      <c r="AC129" s="31"/>
      <c r="AD129" s="31">
        <v>0</v>
      </c>
      <c r="AE129" s="31" t="s">
        <v>151</v>
      </c>
      <c r="AF129" s="31"/>
      <c r="AG129" s="31"/>
      <c r="AH129" s="62" t="s">
        <v>152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250</v>
      </c>
      <c r="AQ129" s="18">
        <f t="shared" si="10"/>
        <v>0.45999999999999952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519</v>
      </c>
      <c r="C130" s="6" t="s">
        <v>71</v>
      </c>
      <c r="D130" s="18" t="s">
        <v>320</v>
      </c>
      <c r="E130" s="24" t="s">
        <v>520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327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328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10"/>
        <v>0.42999999999999949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521</v>
      </c>
      <c r="C131" s="6" t="s">
        <v>71</v>
      </c>
      <c r="D131" s="18" t="s">
        <v>320</v>
      </c>
      <c r="E131" s="24" t="s">
        <v>522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523</v>
      </c>
      <c r="P131" s="18">
        <v>1.1000000000000001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18" t="s">
        <v>524</v>
      </c>
      <c r="AC131" s="18"/>
      <c r="AD131" s="18">
        <v>900</v>
      </c>
      <c r="AE131" s="18" t="s">
        <v>151</v>
      </c>
      <c r="AF131" s="18">
        <v>0.1</v>
      </c>
      <c r="AG131" s="18">
        <v>1</v>
      </c>
      <c r="AH131" s="62" t="s">
        <v>165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500</v>
      </c>
      <c r="AQ131" s="18">
        <f t="shared" si="10"/>
        <v>0.39999999999999947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525</v>
      </c>
      <c r="C132" s="6" t="s">
        <v>71</v>
      </c>
      <c r="D132" s="18" t="s">
        <v>320</v>
      </c>
      <c r="E132" s="45" t="s">
        <v>526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527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31"/>
      <c r="AC132" s="31"/>
      <c r="AD132" s="31">
        <v>0</v>
      </c>
      <c r="AE132" s="31" t="s">
        <v>151</v>
      </c>
      <c r="AF132" s="31"/>
      <c r="AG132" s="31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10"/>
        <v>0.36999999999999944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528</v>
      </c>
      <c r="C133" s="6" t="s">
        <v>71</v>
      </c>
      <c r="D133" s="18" t="s">
        <v>320</v>
      </c>
      <c r="E133" s="45" t="s">
        <v>529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530</v>
      </c>
      <c r="P133" s="18">
        <v>1.2</v>
      </c>
      <c r="Q133" s="18"/>
      <c r="R133" s="18"/>
      <c r="S133" s="18"/>
      <c r="T133" s="18"/>
      <c r="U133" s="18">
        <v>0.5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250</v>
      </c>
      <c r="AQ133" s="18">
        <f t="shared" si="10"/>
        <v>0.33999999999999941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531</v>
      </c>
      <c r="C134" s="6" t="s">
        <v>71</v>
      </c>
      <c r="D134" s="18" t="s">
        <v>320</v>
      </c>
      <c r="E134" s="24" t="s">
        <v>532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331</v>
      </c>
      <c r="P134" s="18">
        <v>1</v>
      </c>
      <c r="Q134" s="18"/>
      <c r="R134" s="18"/>
      <c r="S134" s="18"/>
      <c r="T134" s="18"/>
      <c r="U134" s="18">
        <v>0.7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18"/>
      <c r="AC134" s="18"/>
      <c r="AD134" s="18">
        <v>0</v>
      </c>
      <c r="AE134" s="18" t="s">
        <v>151</v>
      </c>
      <c r="AF134" s="18"/>
      <c r="AG134" s="18"/>
      <c r="AH134" s="62" t="s">
        <v>152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10"/>
        <v>0.30999999999999939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533</v>
      </c>
      <c r="C135" s="6" t="s">
        <v>71</v>
      </c>
      <c r="D135" s="18" t="s">
        <v>320</v>
      </c>
      <c r="E135" s="45" t="s">
        <v>534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424</v>
      </c>
      <c r="P135" s="18">
        <v>1</v>
      </c>
      <c r="Q135" s="18"/>
      <c r="R135" s="18"/>
      <c r="S135" s="18"/>
      <c r="T135" s="18"/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49" t="s">
        <v>535</v>
      </c>
      <c r="AC135" s="49"/>
      <c r="AD135" s="49">
        <v>900</v>
      </c>
      <c r="AE135" s="49" t="s">
        <v>151</v>
      </c>
      <c r="AF135" s="49">
        <v>0.1</v>
      </c>
      <c r="AG135" s="49">
        <v>1</v>
      </c>
      <c r="AH135" s="64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500</v>
      </c>
      <c r="AQ135" s="18">
        <f t="shared" si="10"/>
        <v>0.27999999999999936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536</v>
      </c>
      <c r="C136" s="6" t="s">
        <v>71</v>
      </c>
      <c r="D136" s="18" t="s">
        <v>320</v>
      </c>
      <c r="E136" s="45" t="s">
        <v>537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424</v>
      </c>
      <c r="P136" s="18">
        <v>1</v>
      </c>
      <c r="Q136" s="18"/>
      <c r="R136" s="18">
        <v>255</v>
      </c>
      <c r="S136" s="18">
        <v>55</v>
      </c>
      <c r="T136" s="18">
        <v>55</v>
      </c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 t="s">
        <v>450</v>
      </c>
      <c r="AC136" s="18"/>
      <c r="AD136" s="18">
        <v>900</v>
      </c>
      <c r="AE136" s="18" t="s">
        <v>151</v>
      </c>
      <c r="AF136" s="18">
        <v>0.1</v>
      </c>
      <c r="AG136" s="18">
        <v>1</v>
      </c>
      <c r="AH136" s="62" t="s">
        <v>165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250</v>
      </c>
      <c r="AQ136" s="18">
        <f t="shared" si="10"/>
        <v>0.24999999999999936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538</v>
      </c>
      <c r="C137" s="6" t="s">
        <v>71</v>
      </c>
      <c r="D137" s="18" t="s">
        <v>320</v>
      </c>
      <c r="E137" s="45" t="s">
        <v>539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424</v>
      </c>
      <c r="P137" s="18">
        <v>1</v>
      </c>
      <c r="Q137" s="18"/>
      <c r="R137" s="18"/>
      <c r="S137" s="18"/>
      <c r="T137" s="18"/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/>
      <c r="AC137" s="18"/>
      <c r="AD137" s="18">
        <v>0</v>
      </c>
      <c r="AE137" s="18" t="s">
        <v>151</v>
      </c>
      <c r="AF137" s="18"/>
      <c r="AG137" s="18"/>
      <c r="AH137" s="62" t="s">
        <v>152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500</v>
      </c>
      <c r="AQ137" s="18">
        <f t="shared" si="10"/>
        <v>0.21999999999999936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540</v>
      </c>
      <c r="C138" s="6" t="s">
        <v>71</v>
      </c>
      <c r="D138" s="18" t="s">
        <v>320</v>
      </c>
      <c r="E138" s="45" t="s">
        <v>541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424</v>
      </c>
      <c r="P138" s="18">
        <v>1</v>
      </c>
      <c r="Q138" s="18"/>
      <c r="R138" s="18">
        <v>255</v>
      </c>
      <c r="S138" s="18">
        <v>55</v>
      </c>
      <c r="T138" s="18">
        <v>55</v>
      </c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450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542</v>
      </c>
      <c r="C139" s="6" t="s">
        <v>71</v>
      </c>
      <c r="D139" s="18" t="s">
        <v>320</v>
      </c>
      <c r="E139" s="45" t="s">
        <v>543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544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450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545</v>
      </c>
      <c r="C140" s="6" t="s">
        <v>71</v>
      </c>
      <c r="D140" s="18" t="s">
        <v>320</v>
      </c>
      <c r="E140" s="45" t="s">
        <v>546</v>
      </c>
      <c r="F140" s="20"/>
      <c r="G140" s="18" t="s">
        <v>322</v>
      </c>
      <c r="H140" s="18"/>
      <c r="I140" s="18" t="s">
        <v>323</v>
      </c>
      <c r="J140" s="18"/>
      <c r="K140" s="18"/>
      <c r="L140" s="18">
        <v>0</v>
      </c>
      <c r="M140" s="18">
        <v>0</v>
      </c>
      <c r="N140" s="18"/>
      <c r="O140" s="18" t="s">
        <v>544</v>
      </c>
      <c r="P140" s="18">
        <v>1.1000000000000001</v>
      </c>
      <c r="Q140" s="18"/>
      <c r="R140" s="18"/>
      <c r="S140" s="18"/>
      <c r="T140" s="18"/>
      <c r="U140" s="18">
        <v>0.5</v>
      </c>
      <c r="V140" s="18">
        <v>2</v>
      </c>
      <c r="W140" s="18" t="s">
        <v>150</v>
      </c>
      <c r="X140" s="18">
        <v>512</v>
      </c>
      <c r="Y140" s="18">
        <v>0</v>
      </c>
      <c r="Z140" s="18" t="s">
        <v>151</v>
      </c>
      <c r="AA140" s="18">
        <v>600</v>
      </c>
      <c r="AB140" s="18" t="s">
        <v>450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250</v>
      </c>
      <c r="AQ140" s="18">
        <v>0.2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547</v>
      </c>
      <c r="C141" s="6" t="s">
        <v>71</v>
      </c>
      <c r="D141" s="18" t="s">
        <v>320</v>
      </c>
      <c r="E141" s="24" t="s">
        <v>334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v>0.8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548</v>
      </c>
      <c r="C142" s="6" t="s">
        <v>71</v>
      </c>
      <c r="D142" s="18" t="s">
        <v>320</v>
      </c>
      <c r="E142" s="24" t="s">
        <v>339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>AQ141-0.08</f>
        <v>0.72000000000000008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549</v>
      </c>
      <c r="C143" s="6" t="s">
        <v>71</v>
      </c>
      <c r="D143" s="18" t="s">
        <v>320</v>
      </c>
      <c r="E143" s="24" t="s">
        <v>342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ref="AQ143:AQ149" si="11">AQ142-0.08</f>
        <v>0.64000000000000012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550</v>
      </c>
      <c r="C144" s="6" t="s">
        <v>71</v>
      </c>
      <c r="D144" s="18" t="s">
        <v>320</v>
      </c>
      <c r="E144" s="24" t="s">
        <v>551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1"/>
        <v>0.56000000000000016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552</v>
      </c>
      <c r="C145" s="6" t="s">
        <v>71</v>
      </c>
      <c r="D145" s="18" t="s">
        <v>320</v>
      </c>
      <c r="E145" s="24" t="s">
        <v>553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1"/>
        <v>0.48000000000000015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554</v>
      </c>
      <c r="C146" s="6" t="s">
        <v>71</v>
      </c>
      <c r="D146" s="18" t="s">
        <v>320</v>
      </c>
      <c r="E146" s="24" t="s">
        <v>555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1"/>
        <v>0.40000000000000013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556</v>
      </c>
      <c r="C147" s="6" t="s">
        <v>71</v>
      </c>
      <c r="D147" s="18" t="s">
        <v>320</v>
      </c>
      <c r="E147" s="24" t="s">
        <v>557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1"/>
        <v>0.32000000000000012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558</v>
      </c>
      <c r="C148" s="6" t="s">
        <v>71</v>
      </c>
      <c r="D148" s="18" t="s">
        <v>320</v>
      </c>
      <c r="E148" s="24" t="s">
        <v>559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1"/>
        <v>0.2400000000000001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6" customFormat="1">
      <c r="B149" s="18" t="s">
        <v>560</v>
      </c>
      <c r="C149" s="6" t="s">
        <v>71</v>
      </c>
      <c r="D149" s="18" t="s">
        <v>320</v>
      </c>
      <c r="E149" s="24" t="s">
        <v>561</v>
      </c>
      <c r="F149" s="23"/>
      <c r="G149" s="18" t="s">
        <v>322</v>
      </c>
      <c r="H149" s="18"/>
      <c r="I149" s="18" t="s">
        <v>323</v>
      </c>
      <c r="J149" s="18" t="s">
        <v>335</v>
      </c>
      <c r="K149" s="18"/>
      <c r="L149" s="18">
        <v>0</v>
      </c>
      <c r="M149" s="18">
        <v>0</v>
      </c>
      <c r="N149" s="18"/>
      <c r="O149" s="18" t="s">
        <v>343</v>
      </c>
      <c r="P149" s="18">
        <v>1.3</v>
      </c>
      <c r="Q149" s="18"/>
      <c r="R149" s="18">
        <v>255</v>
      </c>
      <c r="S149" s="18">
        <v>0</v>
      </c>
      <c r="T149" s="18">
        <v>200</v>
      </c>
      <c r="U149" s="18">
        <v>1.2</v>
      </c>
      <c r="V149" s="18">
        <v>2</v>
      </c>
      <c r="W149" s="18" t="s">
        <v>150</v>
      </c>
      <c r="X149" s="18">
        <v>300</v>
      </c>
      <c r="Y149" s="18">
        <v>0</v>
      </c>
      <c r="Z149" s="18" t="s">
        <v>151</v>
      </c>
      <c r="AA149" s="18">
        <v>1500</v>
      </c>
      <c r="AB149" s="18" t="s">
        <v>337</v>
      </c>
      <c r="AC149" s="18"/>
      <c r="AD149" s="18">
        <v>900</v>
      </c>
      <c r="AE149" s="18" t="s">
        <v>151</v>
      </c>
      <c r="AF149" s="18">
        <v>0.1</v>
      </c>
      <c r="AG149" s="18">
        <v>1</v>
      </c>
      <c r="AH149" s="62" t="s">
        <v>165</v>
      </c>
      <c r="AI149" s="4" t="s">
        <v>153</v>
      </c>
      <c r="AJ149" s="18">
        <v>0.5</v>
      </c>
      <c r="AK149" s="18">
        <v>0.5</v>
      </c>
      <c r="AL149" s="18"/>
      <c r="AM149" s="18">
        <v>1</v>
      </c>
      <c r="AN149" s="18"/>
      <c r="AO149" s="18"/>
      <c r="AP149" s="18">
        <v>500</v>
      </c>
      <c r="AQ149" s="18">
        <f t="shared" si="11"/>
        <v>0.16000000000000009</v>
      </c>
      <c r="AR149" s="18"/>
      <c r="AS149" s="18"/>
      <c r="AT149" s="18"/>
      <c r="AU149" s="18">
        <v>1</v>
      </c>
      <c r="AV149" s="18"/>
      <c r="AW149" s="18">
        <v>0</v>
      </c>
      <c r="AX149" s="18">
        <v>0</v>
      </c>
      <c r="AY149" s="18">
        <v>0</v>
      </c>
      <c r="AZ149" s="18">
        <v>0</v>
      </c>
      <c r="BA149" s="18">
        <v>0</v>
      </c>
      <c r="BB149" s="18">
        <v>0</v>
      </c>
      <c r="BC149" s="18">
        <v>100</v>
      </c>
      <c r="BD149" s="10">
        <v>100</v>
      </c>
      <c r="BE149" s="18"/>
      <c r="BF149" s="10" t="s">
        <v>154</v>
      </c>
      <c r="BG149" s="10">
        <v>0</v>
      </c>
      <c r="BH149" s="18">
        <v>0</v>
      </c>
      <c r="BI149" s="18">
        <v>100</v>
      </c>
      <c r="BJ149" s="18"/>
      <c r="BK149" s="18"/>
      <c r="BL149" s="18"/>
      <c r="BM149" s="18"/>
      <c r="BN149" s="18"/>
      <c r="BO149" s="18"/>
      <c r="BP149" s="18"/>
      <c r="BQ149" s="6">
        <v>0</v>
      </c>
    </row>
    <row r="150" spans="1:69" s="5" customFormat="1">
      <c r="A150" s="6"/>
      <c r="B150" s="18" t="s">
        <v>562</v>
      </c>
      <c r="C150" s="5" t="s">
        <v>71</v>
      </c>
      <c r="D150" s="10" t="s">
        <v>142</v>
      </c>
      <c r="E150" s="25" t="s">
        <v>346</v>
      </c>
      <c r="F150" s="23"/>
      <c r="G150" s="10" t="s">
        <v>347</v>
      </c>
      <c r="H150" s="10" t="s">
        <v>348</v>
      </c>
      <c r="I150" s="10" t="s">
        <v>145</v>
      </c>
      <c r="J150" s="12" t="s">
        <v>563</v>
      </c>
      <c r="K150" s="10"/>
      <c r="L150" s="10">
        <v>0</v>
      </c>
      <c r="M150" s="10">
        <v>0</v>
      </c>
      <c r="N150" s="10"/>
      <c r="O150" s="10" t="s">
        <v>350</v>
      </c>
      <c r="P150" s="10">
        <v>2.1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v>0.8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564</v>
      </c>
      <c r="C151" s="5" t="s">
        <v>71</v>
      </c>
      <c r="D151" s="10" t="s">
        <v>142</v>
      </c>
      <c r="E151" t="s">
        <v>352</v>
      </c>
      <c r="F151" s="23"/>
      <c r="G151" s="10" t="s">
        <v>347</v>
      </c>
      <c r="H151" s="10" t="s">
        <v>348</v>
      </c>
      <c r="I151" s="10" t="s">
        <v>145</v>
      </c>
      <c r="J151" s="12" t="s">
        <v>565</v>
      </c>
      <c r="K151" s="10"/>
      <c r="L151" s="10">
        <v>0</v>
      </c>
      <c r="M151" s="10">
        <v>0</v>
      </c>
      <c r="N151" s="10"/>
      <c r="O151" s="10" t="s">
        <v>353</v>
      </c>
      <c r="P151" s="10">
        <v>1.8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ref="AQ151:AQ157" si="12">AQ150-0.08</f>
        <v>0.72000000000000008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A152" s="6"/>
      <c r="B152" s="18" t="s">
        <v>566</v>
      </c>
      <c r="C152" s="5" t="s">
        <v>71</v>
      </c>
      <c r="D152" s="10" t="s">
        <v>142</v>
      </c>
      <c r="E152" t="s">
        <v>355</v>
      </c>
      <c r="F152" s="23"/>
      <c r="G152" s="10" t="s">
        <v>347</v>
      </c>
      <c r="H152" s="10" t="s">
        <v>348</v>
      </c>
      <c r="I152" s="10" t="s">
        <v>145</v>
      </c>
      <c r="J152" s="12" t="s">
        <v>567</v>
      </c>
      <c r="K152" s="10"/>
      <c r="L152" s="10">
        <v>0</v>
      </c>
      <c r="M152" s="10">
        <v>0</v>
      </c>
      <c r="N152" s="10"/>
      <c r="O152" s="10" t="s">
        <v>356</v>
      </c>
      <c r="P152" s="10">
        <v>2.31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2"/>
        <v>0.64000000000000012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568</v>
      </c>
      <c r="C153" s="5" t="s">
        <v>71</v>
      </c>
      <c r="D153" s="10" t="s">
        <v>142</v>
      </c>
      <c r="E153" t="s">
        <v>358</v>
      </c>
      <c r="F153" s="23"/>
      <c r="G153" s="10" t="s">
        <v>347</v>
      </c>
      <c r="H153" s="10" t="s">
        <v>348</v>
      </c>
      <c r="I153" s="10" t="s">
        <v>145</v>
      </c>
      <c r="J153" s="12" t="s">
        <v>569</v>
      </c>
      <c r="K153" s="10"/>
      <c r="L153" s="10">
        <v>0</v>
      </c>
      <c r="M153" s="10">
        <v>0</v>
      </c>
      <c r="N153" s="10"/>
      <c r="O153" s="10" t="s">
        <v>359</v>
      </c>
      <c r="P153" s="10">
        <v>2.5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2"/>
        <v>0.56000000000000016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570</v>
      </c>
      <c r="C154" s="5" t="s">
        <v>71</v>
      </c>
      <c r="D154" s="10" t="s">
        <v>142</v>
      </c>
      <c r="E154" t="s">
        <v>361</v>
      </c>
      <c r="F154" s="23"/>
      <c r="G154" s="10" t="s">
        <v>347</v>
      </c>
      <c r="H154" s="10" t="s">
        <v>348</v>
      </c>
      <c r="I154" s="10" t="s">
        <v>145</v>
      </c>
      <c r="J154" s="12" t="s">
        <v>571</v>
      </c>
      <c r="K154" s="10"/>
      <c r="L154" s="10">
        <v>0</v>
      </c>
      <c r="M154" s="10">
        <v>0</v>
      </c>
      <c r="N154" s="10"/>
      <c r="O154" s="10" t="s">
        <v>362</v>
      </c>
      <c r="P154" s="10">
        <v>1.96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0"/>
      <c r="AC154" s="10"/>
      <c r="AD154" s="10">
        <v>0</v>
      </c>
      <c r="AE154" s="10" t="s">
        <v>151</v>
      </c>
      <c r="AF154" s="10"/>
      <c r="AG154" s="10"/>
      <c r="AH154" s="63" t="s">
        <v>152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250</v>
      </c>
      <c r="AQ154" s="18">
        <f t="shared" si="12"/>
        <v>0.48000000000000015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572</v>
      </c>
      <c r="C155" s="5" t="s">
        <v>71</v>
      </c>
      <c r="D155" s="10" t="s">
        <v>142</v>
      </c>
      <c r="E155" s="26" t="s">
        <v>364</v>
      </c>
      <c r="F155" s="23"/>
      <c r="G155" s="10" t="s">
        <v>347</v>
      </c>
      <c r="H155" s="10" t="s">
        <v>348</v>
      </c>
      <c r="I155" s="10" t="s">
        <v>145</v>
      </c>
      <c r="J155" s="12" t="s">
        <v>573</v>
      </c>
      <c r="K155" s="10"/>
      <c r="L155" s="10">
        <v>0</v>
      </c>
      <c r="M155" s="10">
        <v>0</v>
      </c>
      <c r="N155" s="10"/>
      <c r="O155" s="10" t="s">
        <v>365</v>
      </c>
      <c r="P155" s="10">
        <v>2.8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8" t="s">
        <v>366</v>
      </c>
      <c r="AC155" s="10"/>
      <c r="AD155" s="18">
        <v>900</v>
      </c>
      <c r="AE155" s="18" t="s">
        <v>151</v>
      </c>
      <c r="AF155" s="18">
        <v>0.1</v>
      </c>
      <c r="AG155" s="18">
        <v>1</v>
      </c>
      <c r="AH155" s="62" t="s">
        <v>165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600</v>
      </c>
      <c r="AQ155" s="18">
        <f t="shared" si="12"/>
        <v>0.40000000000000013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574</v>
      </c>
      <c r="C156" s="5" t="s">
        <v>71</v>
      </c>
      <c r="D156" s="10" t="s">
        <v>142</v>
      </c>
      <c r="E156" t="s">
        <v>368</v>
      </c>
      <c r="F156" s="23"/>
      <c r="G156" s="10" t="s">
        <v>347</v>
      </c>
      <c r="H156" s="10" t="s">
        <v>348</v>
      </c>
      <c r="I156" s="10" t="s">
        <v>145</v>
      </c>
      <c r="J156" s="10" t="s">
        <v>575</v>
      </c>
      <c r="K156" s="10"/>
      <c r="L156" s="10">
        <v>0</v>
      </c>
      <c r="M156" s="10">
        <v>0</v>
      </c>
      <c r="N156" s="10"/>
      <c r="O156" s="10" t="s">
        <v>218</v>
      </c>
      <c r="P156" s="10">
        <v>2.31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/>
      <c r="AC156" s="10"/>
      <c r="AD156" s="10">
        <v>0</v>
      </c>
      <c r="AE156" s="10" t="s">
        <v>151</v>
      </c>
      <c r="AF156" s="10"/>
      <c r="AG156" s="10"/>
      <c r="AH156" s="63" t="s">
        <v>152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250</v>
      </c>
      <c r="AQ156" s="18">
        <f t="shared" si="12"/>
        <v>0.32000000000000012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576</v>
      </c>
      <c r="C157" s="5" t="s">
        <v>71</v>
      </c>
      <c r="D157" s="10" t="s">
        <v>142</v>
      </c>
      <c r="E157" s="26" t="s">
        <v>370</v>
      </c>
      <c r="F157" s="23"/>
      <c r="G157" s="10" t="s">
        <v>347</v>
      </c>
      <c r="H157" s="10" t="s">
        <v>348</v>
      </c>
      <c r="I157" s="10" t="s">
        <v>145</v>
      </c>
      <c r="J157" s="10" t="s">
        <v>577</v>
      </c>
      <c r="K157" s="10"/>
      <c r="L157" s="10">
        <v>0</v>
      </c>
      <c r="M157" s="10">
        <v>0</v>
      </c>
      <c r="N157" s="10"/>
      <c r="O157" s="10" t="s">
        <v>371</v>
      </c>
      <c r="P157" s="10">
        <v>1.6</v>
      </c>
      <c r="Q157" s="10"/>
      <c r="R157" s="10"/>
      <c r="S157" s="10"/>
      <c r="T157" s="10"/>
      <c r="U157" s="10">
        <v>4</v>
      </c>
      <c r="V157" s="10">
        <v>8</v>
      </c>
      <c r="W157" s="18" t="s">
        <v>150</v>
      </c>
      <c r="X157" s="10">
        <v>450</v>
      </c>
      <c r="Y157" s="10">
        <v>0</v>
      </c>
      <c r="Z157" s="10" t="s">
        <v>151</v>
      </c>
      <c r="AA157" s="18">
        <v>1500</v>
      </c>
      <c r="AB157" s="10" t="s">
        <v>372</v>
      </c>
      <c r="AC157" s="10"/>
      <c r="AD157" s="18">
        <v>900</v>
      </c>
      <c r="AE157" s="18" t="s">
        <v>151</v>
      </c>
      <c r="AF157" s="18">
        <v>0.1</v>
      </c>
      <c r="AG157" s="18">
        <v>1</v>
      </c>
      <c r="AH157" s="62" t="s">
        <v>165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600</v>
      </c>
      <c r="AQ157" s="18">
        <f t="shared" si="12"/>
        <v>0.2400000000000001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578</v>
      </c>
      <c r="C158" s="5" t="s">
        <v>71</v>
      </c>
      <c r="D158" s="10" t="s">
        <v>142</v>
      </c>
      <c r="E158" t="s">
        <v>579</v>
      </c>
      <c r="F158" s="23"/>
      <c r="G158" s="10" t="s">
        <v>347</v>
      </c>
      <c r="H158" s="10" t="s">
        <v>348</v>
      </c>
      <c r="I158" s="10" t="s">
        <v>145</v>
      </c>
      <c r="J158" s="10" t="s">
        <v>577</v>
      </c>
      <c r="K158" s="10"/>
      <c r="L158" s="10">
        <v>0</v>
      </c>
      <c r="M158" s="10">
        <v>0</v>
      </c>
      <c r="N158" s="10"/>
      <c r="O158" s="10" t="s">
        <v>580</v>
      </c>
      <c r="P158" s="10">
        <v>1.5</v>
      </c>
      <c r="Q158" s="10"/>
      <c r="R158" s="10"/>
      <c r="S158" s="10"/>
      <c r="T158" s="10"/>
      <c r="U158" s="10">
        <v>4</v>
      </c>
      <c r="V158" s="10">
        <v>8</v>
      </c>
      <c r="W158" s="18" t="s">
        <v>581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B159" s="18" t="s">
        <v>582</v>
      </c>
      <c r="C159" s="5" t="s">
        <v>71</v>
      </c>
      <c r="D159" s="10" t="s">
        <v>142</v>
      </c>
      <c r="E159" s="4" t="s">
        <v>583</v>
      </c>
      <c r="F159" s="23"/>
      <c r="G159" s="10" t="s">
        <v>347</v>
      </c>
      <c r="H159" s="10" t="s">
        <v>348</v>
      </c>
      <c r="I159" s="10" t="s">
        <v>145</v>
      </c>
      <c r="J159" s="10" t="s">
        <v>584</v>
      </c>
      <c r="K159" s="10"/>
      <c r="L159" s="10">
        <v>0</v>
      </c>
      <c r="M159" s="10">
        <v>0</v>
      </c>
      <c r="N159" s="10"/>
      <c r="O159" s="10" t="s">
        <v>585</v>
      </c>
      <c r="P159" s="10">
        <v>0.8</v>
      </c>
      <c r="Q159" s="10"/>
      <c r="R159" s="10"/>
      <c r="S159" s="10"/>
      <c r="T159" s="10"/>
      <c r="U159" s="10">
        <v>4</v>
      </c>
      <c r="V159" s="10">
        <v>8</v>
      </c>
      <c r="W159" s="18" t="s">
        <v>581</v>
      </c>
      <c r="X159" s="10">
        <v>450</v>
      </c>
      <c r="Y159" s="10">
        <v>1500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1000</v>
      </c>
      <c r="AQ159" s="10">
        <v>0.15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A160" s="6"/>
      <c r="B160" s="18" t="s">
        <v>1364</v>
      </c>
      <c r="C160" s="5" t="s">
        <v>71</v>
      </c>
      <c r="D160" s="10" t="s">
        <v>142</v>
      </c>
      <c r="E160" s="25" t="s">
        <v>1363</v>
      </c>
      <c r="F160" s="23"/>
      <c r="G160" s="10" t="s">
        <v>347</v>
      </c>
      <c r="H160" s="10" t="s">
        <v>348</v>
      </c>
      <c r="I160" s="10" t="s">
        <v>145</v>
      </c>
      <c r="J160" s="10" t="s">
        <v>577</v>
      </c>
      <c r="K160" s="10"/>
      <c r="L160" s="10">
        <v>0</v>
      </c>
      <c r="M160" s="10">
        <v>0</v>
      </c>
      <c r="N160" s="10"/>
      <c r="O160" s="10" t="s">
        <v>1365</v>
      </c>
      <c r="P160" s="10">
        <v>1</v>
      </c>
      <c r="Q160" s="10"/>
      <c r="R160" s="10">
        <v>255</v>
      </c>
      <c r="S160" s="10">
        <v>255</v>
      </c>
      <c r="T160" s="10">
        <v>90</v>
      </c>
      <c r="U160" s="10">
        <v>4</v>
      </c>
      <c r="V160" s="10">
        <v>8</v>
      </c>
      <c r="W160" s="18" t="s">
        <v>150</v>
      </c>
      <c r="X160" s="10">
        <v>450</v>
      </c>
      <c r="Y160" s="10">
        <v>0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600</v>
      </c>
      <c r="AQ160" s="18">
        <v>0.24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586</v>
      </c>
      <c r="C161" s="5" t="s">
        <v>71</v>
      </c>
      <c r="D161" s="10" t="s">
        <v>142</v>
      </c>
      <c r="E161" t="s">
        <v>587</v>
      </c>
      <c r="F161" s="23"/>
      <c r="G161" s="10" t="s">
        <v>347</v>
      </c>
      <c r="H161" s="10" t="s">
        <v>348</v>
      </c>
      <c r="I161" s="10" t="s">
        <v>145</v>
      </c>
      <c r="J161" s="10" t="s">
        <v>588</v>
      </c>
      <c r="K161" s="10"/>
      <c r="L161" s="10">
        <v>0</v>
      </c>
      <c r="M161" s="10">
        <v>0</v>
      </c>
      <c r="N161" s="10"/>
      <c r="O161" s="10" t="s">
        <v>437</v>
      </c>
      <c r="P161" s="10">
        <v>2</v>
      </c>
      <c r="Q161" s="10"/>
      <c r="R161" s="10"/>
      <c r="S161" s="10"/>
      <c r="T161" s="10"/>
      <c r="U161" s="10">
        <v>3</v>
      </c>
      <c r="V161" s="10">
        <v>8</v>
      </c>
      <c r="W161" s="10" t="s">
        <v>581</v>
      </c>
      <c r="X161" s="10">
        <v>450</v>
      </c>
      <c r="Y161" s="10">
        <v>1464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589</v>
      </c>
      <c r="C162" s="5" t="s">
        <v>71</v>
      </c>
      <c r="D162" s="10" t="s">
        <v>142</v>
      </c>
      <c r="E162" t="s">
        <v>590</v>
      </c>
      <c r="F162" s="23"/>
      <c r="G162" s="10" t="s">
        <v>347</v>
      </c>
      <c r="H162" s="10" t="s">
        <v>348</v>
      </c>
      <c r="I162" s="10" t="s">
        <v>145</v>
      </c>
      <c r="J162" s="10" t="s">
        <v>591</v>
      </c>
      <c r="K162" s="10"/>
      <c r="L162" s="10">
        <v>0</v>
      </c>
      <c r="M162" s="10">
        <v>0</v>
      </c>
      <c r="N162" s="10"/>
      <c r="O162" s="10" t="s">
        <v>592</v>
      </c>
      <c r="P162" s="10">
        <v>1.3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593</v>
      </c>
      <c r="C163" s="5" t="s">
        <v>71</v>
      </c>
      <c r="D163" s="10" t="s">
        <v>142</v>
      </c>
      <c r="E163" t="s">
        <v>594</v>
      </c>
      <c r="F163" s="23"/>
      <c r="G163" s="10" t="s">
        <v>347</v>
      </c>
      <c r="H163" s="10" t="s">
        <v>348</v>
      </c>
      <c r="I163" s="10" t="s">
        <v>145</v>
      </c>
      <c r="J163" s="10" t="s">
        <v>595</v>
      </c>
      <c r="K163" s="10"/>
      <c r="L163" s="10">
        <v>0</v>
      </c>
      <c r="M163" s="10">
        <v>0</v>
      </c>
      <c r="N163" s="10"/>
      <c r="O163" s="10" t="s">
        <v>462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596</v>
      </c>
      <c r="C164" s="5" t="s">
        <v>71</v>
      </c>
      <c r="D164" s="10" t="s">
        <v>142</v>
      </c>
      <c r="E164" t="s">
        <v>597</v>
      </c>
      <c r="F164" s="23"/>
      <c r="G164" s="10" t="s">
        <v>347</v>
      </c>
      <c r="H164" s="10" t="s">
        <v>348</v>
      </c>
      <c r="I164" s="10" t="s">
        <v>145</v>
      </c>
      <c r="J164" s="10" t="s">
        <v>598</v>
      </c>
      <c r="K164" s="10"/>
      <c r="L164" s="10">
        <v>0</v>
      </c>
      <c r="M164" s="10">
        <v>0</v>
      </c>
      <c r="N164" s="10"/>
      <c r="O164" s="10" t="s">
        <v>599</v>
      </c>
      <c r="P164" s="10">
        <v>1.8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>
      <c r="B165" s="18" t="s">
        <v>600</v>
      </c>
      <c r="C165" s="5" t="s">
        <v>71</v>
      </c>
      <c r="D165" s="10" t="s">
        <v>142</v>
      </c>
      <c r="E165" t="s">
        <v>601</v>
      </c>
      <c r="F165" s="23"/>
      <c r="G165" s="10" t="s">
        <v>347</v>
      </c>
      <c r="H165" s="10" t="s">
        <v>348</v>
      </c>
      <c r="I165" s="10" t="s">
        <v>145</v>
      </c>
      <c r="J165" s="10" t="s">
        <v>602</v>
      </c>
      <c r="K165" s="10"/>
      <c r="L165" s="10">
        <v>0</v>
      </c>
      <c r="M165" s="10">
        <v>0</v>
      </c>
      <c r="N165" s="10"/>
      <c r="O165" s="10" t="s">
        <v>603</v>
      </c>
      <c r="P165" s="10">
        <v>1.5</v>
      </c>
      <c r="Q165" s="10"/>
      <c r="R165" s="10"/>
      <c r="S165" s="10"/>
      <c r="T165" s="10"/>
      <c r="U165" s="10">
        <v>2.5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0.5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 ht="15" customHeight="1">
      <c r="B166" s="18" t="s">
        <v>604</v>
      </c>
      <c r="C166" s="5" t="s">
        <v>71</v>
      </c>
      <c r="D166" s="10" t="s">
        <v>142</v>
      </c>
      <c r="E166" t="s">
        <v>605</v>
      </c>
      <c r="F166" s="50"/>
      <c r="G166" s="10" t="s">
        <v>347</v>
      </c>
      <c r="H166" s="10" t="s">
        <v>348</v>
      </c>
      <c r="I166" s="10" t="s">
        <v>145</v>
      </c>
      <c r="J166" s="10" t="s">
        <v>606</v>
      </c>
      <c r="K166" s="10"/>
      <c r="L166" s="10">
        <v>0</v>
      </c>
      <c r="M166" s="10">
        <v>0</v>
      </c>
      <c r="N166" s="10"/>
      <c r="O166" s="10" t="s">
        <v>465</v>
      </c>
      <c r="P166" s="10">
        <v>2.4</v>
      </c>
      <c r="Q166" s="10"/>
      <c r="R166" s="10"/>
      <c r="S166" s="10"/>
      <c r="T166" s="10"/>
      <c r="U166" s="10">
        <v>4</v>
      </c>
      <c r="V166" s="10">
        <v>8</v>
      </c>
      <c r="W166" s="10" t="s">
        <v>150</v>
      </c>
      <c r="X166" s="10">
        <v>450</v>
      </c>
      <c r="Y166" s="10">
        <v>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0.3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607</v>
      </c>
      <c r="C167" s="5" t="s">
        <v>71</v>
      </c>
      <c r="D167" s="10" t="s">
        <v>142</v>
      </c>
      <c r="E167" t="s">
        <v>608</v>
      </c>
      <c r="F167" s="23"/>
      <c r="G167" s="10" t="s">
        <v>347</v>
      </c>
      <c r="H167" s="10" t="s">
        <v>348</v>
      </c>
      <c r="I167" s="10" t="s">
        <v>145</v>
      </c>
      <c r="J167" s="10" t="s">
        <v>609</v>
      </c>
      <c r="K167" s="10"/>
      <c r="L167" s="10">
        <v>0</v>
      </c>
      <c r="M167" s="10">
        <v>0</v>
      </c>
      <c r="N167" s="10"/>
      <c r="O167" s="10" t="s">
        <v>251</v>
      </c>
      <c r="P167" s="10">
        <v>3</v>
      </c>
      <c r="Q167" s="10"/>
      <c r="R167" s="10"/>
      <c r="S167" s="10"/>
      <c r="T167" s="10"/>
      <c r="U167" s="10">
        <v>4</v>
      </c>
      <c r="V167" s="10">
        <v>8</v>
      </c>
      <c r="W167" s="10" t="s">
        <v>581</v>
      </c>
      <c r="X167" s="10">
        <v>450</v>
      </c>
      <c r="Y167" s="10">
        <v>1500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>
        <v>0.01</v>
      </c>
      <c r="AM167" s="10">
        <v>1</v>
      </c>
      <c r="AN167" s="10"/>
      <c r="AO167" s="10"/>
      <c r="AP167" s="10">
        <v>250</v>
      </c>
      <c r="AQ167" s="10">
        <v>0.15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610</v>
      </c>
      <c r="C168" s="5" t="s">
        <v>71</v>
      </c>
      <c r="D168" s="10" t="s">
        <v>142</v>
      </c>
      <c r="E168" t="s">
        <v>611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247</v>
      </c>
      <c r="P168" s="10">
        <v>0.8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612</v>
      </c>
      <c r="C169" s="5" t="s">
        <v>71</v>
      </c>
      <c r="D169" s="10" t="s">
        <v>142</v>
      </c>
      <c r="E169" t="s">
        <v>613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227</v>
      </c>
      <c r="P169" s="10">
        <v>1.1499999999999999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614</v>
      </c>
      <c r="C170" s="5" t="s">
        <v>71</v>
      </c>
      <c r="D170" s="10" t="s">
        <v>142</v>
      </c>
      <c r="E170" t="s">
        <v>615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259</v>
      </c>
      <c r="P170" s="10">
        <v>1.6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616</v>
      </c>
      <c r="C171" s="5" t="s">
        <v>71</v>
      </c>
      <c r="D171" s="10" t="s">
        <v>142</v>
      </c>
      <c r="E171" t="s">
        <v>617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235</v>
      </c>
      <c r="P171" s="10">
        <v>1.65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618</v>
      </c>
      <c r="C172" s="5" t="s">
        <v>71</v>
      </c>
      <c r="D172" s="10" t="s">
        <v>142</v>
      </c>
      <c r="E172" t="s">
        <v>619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159</v>
      </c>
      <c r="P172" s="10">
        <v>1.3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620</v>
      </c>
      <c r="C173" s="5" t="s">
        <v>71</v>
      </c>
      <c r="D173" s="10" t="s">
        <v>142</v>
      </c>
      <c r="E173" t="s">
        <v>621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353</v>
      </c>
      <c r="P173" s="10">
        <v>1.36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622</v>
      </c>
      <c r="C174" s="5" t="s">
        <v>71</v>
      </c>
      <c r="D174" s="10" t="s">
        <v>142</v>
      </c>
      <c r="E174" t="s">
        <v>623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193</v>
      </c>
      <c r="P174" s="10">
        <v>1.3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5" customFormat="1">
      <c r="B175" s="18" t="s">
        <v>624</v>
      </c>
      <c r="C175" s="5" t="s">
        <v>71</v>
      </c>
      <c r="D175" s="10" t="s">
        <v>142</v>
      </c>
      <c r="E175" t="s">
        <v>625</v>
      </c>
      <c r="F175"/>
      <c r="G175" s="10" t="s">
        <v>347</v>
      </c>
      <c r="H175" s="10" t="s">
        <v>348</v>
      </c>
      <c r="I175" s="10" t="s">
        <v>145</v>
      </c>
      <c r="J175" s="10" t="s">
        <v>349</v>
      </c>
      <c r="K175" s="10"/>
      <c r="L175" s="10">
        <v>0</v>
      </c>
      <c r="M175" s="10">
        <v>0</v>
      </c>
      <c r="N175" s="10"/>
      <c r="O175" s="10" t="s">
        <v>210</v>
      </c>
      <c r="P175" s="10">
        <v>1</v>
      </c>
      <c r="Q175" s="10"/>
      <c r="R175" s="10"/>
      <c r="S175" s="10"/>
      <c r="T175" s="10"/>
      <c r="U175" s="10">
        <v>1</v>
      </c>
      <c r="V175" s="10">
        <v>8</v>
      </c>
      <c r="W175" s="10" t="s">
        <v>150</v>
      </c>
      <c r="X175" s="10">
        <v>450</v>
      </c>
      <c r="Y175" s="10">
        <v>0</v>
      </c>
      <c r="Z175" s="10" t="s">
        <v>151</v>
      </c>
      <c r="AA175" s="18">
        <v>1500</v>
      </c>
      <c r="AB175" s="10"/>
      <c r="AC175" s="10"/>
      <c r="AD175" s="10">
        <v>0</v>
      </c>
      <c r="AE175" s="10" t="s">
        <v>151</v>
      </c>
      <c r="AF175" s="10"/>
      <c r="AG175" s="10"/>
      <c r="AH175" s="63" t="s">
        <v>152</v>
      </c>
      <c r="AI175" s="4" t="s">
        <v>153</v>
      </c>
      <c r="AJ175" s="10">
        <v>0.5</v>
      </c>
      <c r="AK175" s="10">
        <v>0.5</v>
      </c>
      <c r="AL175" s="10"/>
      <c r="AM175" s="10">
        <v>1</v>
      </c>
      <c r="AN175" s="10"/>
      <c r="AO175" s="10"/>
      <c r="AP175" s="10">
        <v>250</v>
      </c>
      <c r="AQ175" s="10">
        <v>0.2</v>
      </c>
      <c r="AR175" s="10"/>
      <c r="AS175" s="10"/>
      <c r="AT175" s="10"/>
      <c r="AU175" s="10">
        <v>1</v>
      </c>
      <c r="AV175" s="10"/>
      <c r="AW175" s="10">
        <v>0</v>
      </c>
      <c r="AX175" s="10">
        <v>0</v>
      </c>
      <c r="AY175" s="10">
        <v>0</v>
      </c>
      <c r="AZ175" s="10">
        <v>0</v>
      </c>
      <c r="BA175" s="10">
        <v>0</v>
      </c>
      <c r="BB175" s="10">
        <v>0</v>
      </c>
      <c r="BC175" s="10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0">
        <v>0</v>
      </c>
      <c r="BI175" s="10">
        <v>100</v>
      </c>
      <c r="BJ175" s="10"/>
      <c r="BK175" s="10"/>
      <c r="BL175" s="10"/>
      <c r="BM175" s="10"/>
      <c r="BN175" s="10"/>
      <c r="BO175" s="10"/>
      <c r="BP175" s="10"/>
      <c r="BQ175" s="5">
        <v>0</v>
      </c>
    </row>
    <row r="176" spans="2:69" s="7" customFormat="1">
      <c r="B176" s="51" t="s">
        <v>626</v>
      </c>
      <c r="C176" s="7" t="s">
        <v>71</v>
      </c>
      <c r="D176" s="51" t="s">
        <v>142</v>
      </c>
      <c r="E176" s="52" t="s">
        <v>627</v>
      </c>
      <c r="F176" s="52"/>
      <c r="G176" s="51" t="s">
        <v>347</v>
      </c>
      <c r="H176" s="51" t="s">
        <v>348</v>
      </c>
      <c r="I176" s="51" t="s">
        <v>145</v>
      </c>
      <c r="J176" s="51"/>
      <c r="K176" s="51"/>
      <c r="L176" s="51">
        <v>0</v>
      </c>
      <c r="M176" s="51">
        <v>0</v>
      </c>
      <c r="N176" s="51"/>
      <c r="O176" s="51"/>
      <c r="P176" s="51">
        <v>1</v>
      </c>
      <c r="Q176" s="51"/>
      <c r="R176" s="51"/>
      <c r="S176" s="51"/>
      <c r="T176" s="51"/>
      <c r="U176" s="51">
        <v>1</v>
      </c>
      <c r="V176" s="51">
        <v>8</v>
      </c>
      <c r="W176" s="51" t="s">
        <v>150</v>
      </c>
      <c r="X176" s="51">
        <v>450</v>
      </c>
      <c r="Y176" s="51">
        <v>0</v>
      </c>
      <c r="Z176" s="51" t="s">
        <v>151</v>
      </c>
      <c r="AA176" s="51">
        <v>1500</v>
      </c>
      <c r="AB176" s="51"/>
      <c r="AC176" s="51"/>
      <c r="AD176" s="51">
        <v>0</v>
      </c>
      <c r="AE176" s="51" t="s">
        <v>151</v>
      </c>
      <c r="AF176" s="51"/>
      <c r="AG176" s="51"/>
      <c r="AH176" s="65" t="s">
        <v>152</v>
      </c>
      <c r="AI176" s="52" t="s">
        <v>153</v>
      </c>
      <c r="AJ176" s="51">
        <v>0.5</v>
      </c>
      <c r="AK176" s="51">
        <v>0.5</v>
      </c>
      <c r="AL176" s="51"/>
      <c r="AM176" s="51">
        <v>1</v>
      </c>
      <c r="AN176" s="51"/>
      <c r="AO176" s="51"/>
      <c r="AP176" s="51">
        <v>250</v>
      </c>
      <c r="AQ176" s="51">
        <v>0.2</v>
      </c>
      <c r="AR176" s="51"/>
      <c r="AS176" s="51"/>
      <c r="AT176" s="51"/>
      <c r="AU176" s="51">
        <v>1</v>
      </c>
      <c r="AV176" s="51"/>
      <c r="AW176" s="51">
        <v>0</v>
      </c>
      <c r="AX176" s="51">
        <v>0</v>
      </c>
      <c r="AY176" s="51">
        <v>0</v>
      </c>
      <c r="AZ176" s="51">
        <v>0</v>
      </c>
      <c r="BA176" s="51">
        <v>0</v>
      </c>
      <c r="BB176" s="51">
        <v>0</v>
      </c>
      <c r="BC176" s="51">
        <v>100</v>
      </c>
      <c r="BD176" s="10">
        <v>100</v>
      </c>
      <c r="BE176" s="51"/>
      <c r="BF176" s="51" t="s">
        <v>154</v>
      </c>
      <c r="BG176" s="51">
        <v>0</v>
      </c>
      <c r="BH176" s="51">
        <v>0</v>
      </c>
      <c r="BI176" s="51">
        <v>100</v>
      </c>
      <c r="BJ176" s="51"/>
      <c r="BK176" s="51"/>
      <c r="BL176" s="51"/>
      <c r="BM176" s="51"/>
      <c r="BN176" s="51"/>
      <c r="BO176" s="51"/>
      <c r="BP176" s="51"/>
      <c r="BQ176" s="7">
        <v>0</v>
      </c>
    </row>
    <row r="177" spans="2:73" s="6" customFormat="1">
      <c r="B177" s="18" t="s">
        <v>628</v>
      </c>
      <c r="C177" s="6" t="s">
        <v>71</v>
      </c>
      <c r="D177" s="18" t="s">
        <v>320</v>
      </c>
      <c r="E177" s="20" t="s">
        <v>629</v>
      </c>
      <c r="F177" s="20"/>
      <c r="G177" s="18" t="s">
        <v>420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630</v>
      </c>
      <c r="P177" s="18">
        <v>0.4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1</v>
      </c>
      <c r="AR177" s="18"/>
      <c r="AS177" s="18"/>
      <c r="AT177" s="18"/>
      <c r="AU177" s="18">
        <v>1</v>
      </c>
      <c r="AV177" s="18" t="s">
        <v>631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632</v>
      </c>
      <c r="C178" s="6" t="s">
        <v>71</v>
      </c>
      <c r="D178" s="18" t="s">
        <v>320</v>
      </c>
      <c r="E178" t="s">
        <v>633</v>
      </c>
      <c r="F178" s="20"/>
      <c r="G178" s="18" t="s">
        <v>420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634</v>
      </c>
      <c r="P178" s="18">
        <v>0.5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0.8</v>
      </c>
      <c r="AR178" s="18"/>
      <c r="AS178" s="18"/>
      <c r="AT178" s="18"/>
      <c r="AU178" s="18">
        <v>1</v>
      </c>
      <c r="AV178" s="18" t="s">
        <v>631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635</v>
      </c>
      <c r="C179" s="6" t="s">
        <v>71</v>
      </c>
      <c r="D179" s="18" t="s">
        <v>320</v>
      </c>
      <c r="E179" t="s">
        <v>636</v>
      </c>
      <c r="F179" s="20"/>
      <c r="G179" s="18" t="s">
        <v>420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637</v>
      </c>
      <c r="P179" s="18">
        <v>0.6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0.6</v>
      </c>
      <c r="AR179" s="18"/>
      <c r="AS179" s="18"/>
      <c r="AT179" s="18"/>
      <c r="AU179" s="18">
        <v>1</v>
      </c>
      <c r="AV179" s="18" t="s">
        <v>631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638</v>
      </c>
      <c r="C180" s="6" t="s">
        <v>71</v>
      </c>
      <c r="D180" s="18" t="s">
        <v>320</v>
      </c>
      <c r="E180" t="s">
        <v>639</v>
      </c>
      <c r="F180" s="20"/>
      <c r="G180" s="18" t="s">
        <v>420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640</v>
      </c>
      <c r="P180" s="18">
        <v>0.7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0.4</v>
      </c>
      <c r="AR180" s="18"/>
      <c r="AS180" s="18"/>
      <c r="AT180" s="18"/>
      <c r="AU180" s="18">
        <v>1</v>
      </c>
      <c r="AV180" s="18" t="s">
        <v>631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641</v>
      </c>
      <c r="C181" s="6" t="s">
        <v>71</v>
      </c>
      <c r="D181" s="18" t="s">
        <v>320</v>
      </c>
      <c r="E181" t="s">
        <v>642</v>
      </c>
      <c r="F181" s="20"/>
      <c r="G181" s="18" t="s">
        <v>420</v>
      </c>
      <c r="H181" s="18"/>
      <c r="I181" s="18" t="s">
        <v>323</v>
      </c>
      <c r="J181" s="18"/>
      <c r="K181" s="18"/>
      <c r="L181" s="18">
        <v>0</v>
      </c>
      <c r="M181" s="18">
        <v>0</v>
      </c>
      <c r="N181" s="18"/>
      <c r="O181" s="18" t="s">
        <v>643</v>
      </c>
      <c r="P181" s="18">
        <v>0.8</v>
      </c>
      <c r="Q181" s="18"/>
      <c r="R181" s="18"/>
      <c r="S181" s="18"/>
      <c r="T181" s="18"/>
      <c r="U181" s="18">
        <v>0.5</v>
      </c>
      <c r="V181" s="18">
        <v>8</v>
      </c>
      <c r="W181" s="18" t="s">
        <v>409</v>
      </c>
      <c r="X181" s="18">
        <v>400</v>
      </c>
      <c r="Y181" s="18">
        <v>0</v>
      </c>
      <c r="Z181" s="18" t="s">
        <v>151</v>
      </c>
      <c r="AA181" s="18">
        <v>600</v>
      </c>
      <c r="AB181" s="18"/>
      <c r="AC181" s="18"/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8"/>
      <c r="AM181" s="18">
        <v>1</v>
      </c>
      <c r="AN181" s="18"/>
      <c r="AO181" s="18"/>
      <c r="AP181" s="18">
        <v>250</v>
      </c>
      <c r="AQ181" s="18">
        <v>0.2</v>
      </c>
      <c r="AR181" s="18"/>
      <c r="AS181" s="18"/>
      <c r="AT181" s="18"/>
      <c r="AU181" s="18">
        <v>1</v>
      </c>
      <c r="AV181" s="18" t="s">
        <v>631</v>
      </c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8"/>
      <c r="BF181" s="10" t="s">
        <v>154</v>
      </c>
      <c r="BG181" s="10">
        <v>0</v>
      </c>
      <c r="BH181" s="18">
        <v>0</v>
      </c>
      <c r="BI181" s="18">
        <v>100</v>
      </c>
      <c r="BJ181" s="18"/>
      <c r="BK181" s="18"/>
      <c r="BL181" s="18"/>
      <c r="BM181" s="18"/>
      <c r="BN181" s="18"/>
      <c r="BO181" s="18"/>
      <c r="BP181" s="18"/>
      <c r="BQ181" s="6">
        <v>0</v>
      </c>
    </row>
    <row r="182" spans="2:73" s="6" customFormat="1">
      <c r="B182" s="18" t="s">
        <v>644</v>
      </c>
      <c r="C182" s="6" t="s">
        <v>71</v>
      </c>
      <c r="D182" s="18" t="s">
        <v>320</v>
      </c>
      <c r="E182" s="35" t="s">
        <v>645</v>
      </c>
      <c r="F182" s="23"/>
      <c r="G182" s="35" t="s">
        <v>646</v>
      </c>
      <c r="H182" s="18"/>
      <c r="I182" s="18" t="s">
        <v>323</v>
      </c>
      <c r="J182" s="18" t="s">
        <v>335</v>
      </c>
      <c r="K182" s="18"/>
      <c r="L182" s="18">
        <v>0</v>
      </c>
      <c r="M182" s="18">
        <v>0</v>
      </c>
      <c r="N182" s="18"/>
      <c r="O182" s="18" t="s">
        <v>340</v>
      </c>
      <c r="P182" s="18"/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v>0.8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/>
    </row>
    <row r="183" spans="2:73" s="6" customFormat="1">
      <c r="B183" s="18" t="s">
        <v>647</v>
      </c>
      <c r="C183" s="6" t="s">
        <v>71</v>
      </c>
      <c r="D183" s="18" t="s">
        <v>320</v>
      </c>
      <c r="E183" s="53" t="s">
        <v>648</v>
      </c>
      <c r="F183" s="23"/>
      <c r="G183" s="35" t="s">
        <v>649</v>
      </c>
      <c r="H183" s="18"/>
      <c r="I183" s="18" t="s">
        <v>323</v>
      </c>
      <c r="J183" s="18" t="s">
        <v>650</v>
      </c>
      <c r="K183" s="18"/>
      <c r="L183" s="18">
        <v>0</v>
      </c>
      <c r="M183" s="18">
        <v>0</v>
      </c>
      <c r="N183" s="18"/>
      <c r="O183" s="18" t="s">
        <v>651</v>
      </c>
      <c r="P183" s="18">
        <v>1.1000000000000001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250</v>
      </c>
      <c r="AQ183" s="18">
        <f>AQ182-0.08</f>
        <v>0.72000000000000008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652</v>
      </c>
    </row>
    <row r="184" spans="2:73" s="6" customFormat="1">
      <c r="B184" s="18" t="s">
        <v>653</v>
      </c>
      <c r="C184" s="6" t="s">
        <v>71</v>
      </c>
      <c r="D184" s="18" t="s">
        <v>320</v>
      </c>
      <c r="E184" s="53" t="s">
        <v>654</v>
      </c>
      <c r="F184" s="23"/>
      <c r="G184" s="36" t="s">
        <v>655</v>
      </c>
      <c r="H184" s="18"/>
      <c r="I184" s="18" t="s">
        <v>323</v>
      </c>
      <c r="J184" s="18" t="s">
        <v>656</v>
      </c>
      <c r="K184" s="18"/>
      <c r="L184" s="18">
        <v>0</v>
      </c>
      <c r="M184" s="18">
        <v>0</v>
      </c>
      <c r="N184" s="18"/>
      <c r="O184" s="18" t="s">
        <v>657</v>
      </c>
      <c r="P184" s="18">
        <v>1.2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350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ref="AQ184:AQ190" si="13">AQ183-0.08</f>
        <v>0.64000000000000012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658</v>
      </c>
    </row>
    <row r="185" spans="2:73" s="6" customFormat="1">
      <c r="B185" s="18" t="s">
        <v>659</v>
      </c>
      <c r="C185" s="6" t="s">
        <v>71</v>
      </c>
      <c r="D185" s="18" t="s">
        <v>320</v>
      </c>
      <c r="E185" s="53" t="s">
        <v>660</v>
      </c>
      <c r="F185" s="23"/>
      <c r="G185" s="36" t="s">
        <v>661</v>
      </c>
      <c r="H185" s="18"/>
      <c r="I185" s="18" t="s">
        <v>323</v>
      </c>
      <c r="J185" s="18" t="s">
        <v>662</v>
      </c>
      <c r="K185" s="18"/>
      <c r="L185" s="18">
        <v>0</v>
      </c>
      <c r="M185" s="18">
        <v>0</v>
      </c>
      <c r="N185" s="18"/>
      <c r="O185" s="18" t="s">
        <v>663</v>
      </c>
      <c r="P185" s="18">
        <v>1.4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375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400</v>
      </c>
      <c r="AQ185" s="18">
        <f t="shared" si="13"/>
        <v>0.56000000000000016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664</v>
      </c>
    </row>
    <row r="186" spans="2:73" s="6" customFormat="1">
      <c r="B186" s="18" t="s">
        <v>665</v>
      </c>
      <c r="C186" s="6" t="s">
        <v>71</v>
      </c>
      <c r="D186" s="18" t="s">
        <v>320</v>
      </c>
      <c r="E186" s="35" t="s">
        <v>666</v>
      </c>
      <c r="F186" s="23"/>
      <c r="G186" s="36" t="s">
        <v>406</v>
      </c>
      <c r="H186" s="18"/>
      <c r="I186" s="18" t="s">
        <v>323</v>
      </c>
      <c r="J186" s="18" t="s">
        <v>407</v>
      </c>
      <c r="K186" s="18"/>
      <c r="L186" s="18">
        <v>0</v>
      </c>
      <c r="M186" s="18">
        <v>0</v>
      </c>
      <c r="N186" s="18"/>
      <c r="O186" s="18" t="s">
        <v>408</v>
      </c>
      <c r="P186" s="18">
        <v>2</v>
      </c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450</v>
      </c>
      <c r="Y186" s="18">
        <v>0</v>
      </c>
      <c r="Z186" s="18" t="s">
        <v>151</v>
      </c>
      <c r="AA186" s="18">
        <v>600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3"/>
        <v>0.48000000000000015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 t="s">
        <v>410</v>
      </c>
    </row>
    <row r="187" spans="2:73" s="6" customFormat="1">
      <c r="B187" s="18" t="s">
        <v>667</v>
      </c>
      <c r="C187" s="6" t="s">
        <v>71</v>
      </c>
      <c r="D187" s="18" t="s">
        <v>320</v>
      </c>
      <c r="E187" s="35" t="s">
        <v>668</v>
      </c>
      <c r="F187" s="23"/>
      <c r="G187" s="42" t="s">
        <v>669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336</v>
      </c>
      <c r="P187" s="18"/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D187" s="18">
        <v>0</v>
      </c>
      <c r="AE187" s="18" t="s">
        <v>151</v>
      </c>
      <c r="AF187" s="18"/>
      <c r="AG187" s="18"/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3"/>
        <v>0.40000000000000013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670</v>
      </c>
      <c r="C188" s="6" t="s">
        <v>71</v>
      </c>
      <c r="D188" s="18" t="s">
        <v>320</v>
      </c>
      <c r="E188" s="53" t="s">
        <v>671</v>
      </c>
      <c r="F188" s="23"/>
      <c r="G188" s="42" t="s">
        <v>672</v>
      </c>
      <c r="H188" s="18"/>
      <c r="I188" s="18" t="s">
        <v>323</v>
      </c>
      <c r="J188" s="18" t="s">
        <v>349</v>
      </c>
      <c r="K188" s="18"/>
      <c r="L188" s="18">
        <v>0</v>
      </c>
      <c r="M188" s="18">
        <v>0</v>
      </c>
      <c r="N188" s="18"/>
      <c r="O188" s="18" t="s">
        <v>673</v>
      </c>
      <c r="P188" s="18">
        <v>1.2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B188" s="6" t="s">
        <v>674</v>
      </c>
      <c r="AC188" s="6">
        <v>0</v>
      </c>
      <c r="AD188" s="10">
        <v>9999</v>
      </c>
      <c r="AE188" s="10" t="s">
        <v>151</v>
      </c>
      <c r="AF188" s="10"/>
      <c r="AG188" s="10">
        <v>1</v>
      </c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3"/>
        <v>0.32000000000000012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/>
    </row>
    <row r="189" spans="2:73" s="6" customFormat="1">
      <c r="B189" s="18" t="s">
        <v>675</v>
      </c>
      <c r="C189" s="6" t="s">
        <v>71</v>
      </c>
      <c r="D189" s="18" t="s">
        <v>320</v>
      </c>
      <c r="E189" s="35" t="s">
        <v>676</v>
      </c>
      <c r="F189" s="23"/>
      <c r="G189" s="42" t="s">
        <v>677</v>
      </c>
      <c r="H189" s="18"/>
      <c r="I189" s="18" t="s">
        <v>323</v>
      </c>
      <c r="J189" s="18" t="s">
        <v>678</v>
      </c>
      <c r="K189" s="18"/>
      <c r="L189" s="18">
        <v>0</v>
      </c>
      <c r="M189" s="18">
        <v>0</v>
      </c>
      <c r="N189" s="18"/>
      <c r="O189" s="16" t="s">
        <v>679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3"/>
        <v>0.2400000000000001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680</v>
      </c>
    </row>
    <row r="190" spans="2:73" s="6" customFormat="1">
      <c r="B190" s="18" t="s">
        <v>681</v>
      </c>
      <c r="C190" s="6" t="s">
        <v>71</v>
      </c>
      <c r="D190" s="18" t="s">
        <v>320</v>
      </c>
      <c r="E190" s="35" t="s">
        <v>682</v>
      </c>
      <c r="F190" s="23"/>
      <c r="G190" s="42" t="s">
        <v>460</v>
      </c>
      <c r="H190" s="18"/>
      <c r="I190" s="18" t="s">
        <v>323</v>
      </c>
      <c r="J190" s="18" t="s">
        <v>461</v>
      </c>
      <c r="K190" s="18"/>
      <c r="L190" s="18">
        <v>0</v>
      </c>
      <c r="M190" s="18">
        <v>0</v>
      </c>
      <c r="N190" s="18"/>
      <c r="O190" s="18" t="s">
        <v>462</v>
      </c>
      <c r="P190" s="18">
        <v>1.5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522</v>
      </c>
      <c r="Y190" s="18">
        <v>0</v>
      </c>
      <c r="Z190" s="18" t="s">
        <v>151</v>
      </c>
      <c r="AA190" s="18">
        <v>1000</v>
      </c>
      <c r="AD190" s="18">
        <v>0</v>
      </c>
      <c r="AE190" s="18" t="s">
        <v>151</v>
      </c>
      <c r="AF190" s="18"/>
      <c r="AG190" s="18"/>
      <c r="AH190" s="62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450</v>
      </c>
      <c r="AQ190" s="18">
        <f t="shared" si="13"/>
        <v>0.16000000000000009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463</v>
      </c>
    </row>
    <row r="191" spans="2:73" s="6" customFormat="1">
      <c r="B191" s="18" t="s">
        <v>683</v>
      </c>
      <c r="C191" s="6" t="s">
        <v>71</v>
      </c>
      <c r="D191" s="18" t="s">
        <v>320</v>
      </c>
      <c r="E191" s="35" t="s">
        <v>684</v>
      </c>
      <c r="F191" s="23"/>
      <c r="G191" s="42" t="s">
        <v>685</v>
      </c>
      <c r="H191" s="18"/>
      <c r="I191" s="18" t="s">
        <v>323</v>
      </c>
      <c r="J191" s="18" t="s">
        <v>686</v>
      </c>
      <c r="K191" s="18"/>
      <c r="L191" s="18">
        <v>0</v>
      </c>
      <c r="M191" s="18">
        <v>0</v>
      </c>
      <c r="N191" s="18"/>
      <c r="O191" s="18" t="s">
        <v>687</v>
      </c>
      <c r="P191" s="18">
        <v>2</v>
      </c>
      <c r="Q191" s="18"/>
      <c r="R191" s="18"/>
      <c r="S191" s="18"/>
      <c r="T191" s="18"/>
      <c r="U191" s="18">
        <v>2</v>
      </c>
      <c r="V191" s="18">
        <v>2</v>
      </c>
      <c r="W191" s="18" t="s">
        <v>409</v>
      </c>
      <c r="X191" s="18">
        <v>200</v>
      </c>
      <c r="Y191" s="18">
        <v>150</v>
      </c>
      <c r="Z191" s="18" t="s">
        <v>151</v>
      </c>
      <c r="AA191" s="18">
        <v>1500</v>
      </c>
      <c r="AB191" s="10" t="s">
        <v>688</v>
      </c>
      <c r="AC191" s="10">
        <v>0</v>
      </c>
      <c r="AD191" s="10">
        <v>9999</v>
      </c>
      <c r="AE191" s="10" t="s">
        <v>151</v>
      </c>
      <c r="AF191" s="10"/>
      <c r="AG191" s="10">
        <v>1</v>
      </c>
      <c r="AH191" s="62" t="s">
        <v>689</v>
      </c>
      <c r="AI191" s="4" t="s">
        <v>153</v>
      </c>
      <c r="AJ191" s="10">
        <v>0.5</v>
      </c>
      <c r="AK191" s="10">
        <v>0.5</v>
      </c>
      <c r="AL191" s="10">
        <v>0.01</v>
      </c>
      <c r="AM191" s="10">
        <v>1</v>
      </c>
      <c r="AN191" s="10"/>
      <c r="AO191" s="10"/>
      <c r="AP191" s="10">
        <v>1000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  <c r="BU191" s="18" t="s">
        <v>690</v>
      </c>
    </row>
    <row r="192" spans="2:73" s="6" customFormat="1">
      <c r="B192" s="18" t="s">
        <v>691</v>
      </c>
      <c r="C192" s="6" t="s">
        <v>71</v>
      </c>
      <c r="D192" s="18" t="s">
        <v>320</v>
      </c>
      <c r="E192" s="38" t="s">
        <v>692</v>
      </c>
      <c r="F192" s="23"/>
      <c r="G192" s="42"/>
      <c r="H192" s="18"/>
      <c r="I192" s="18" t="s">
        <v>323</v>
      </c>
      <c r="J192" s="18" t="s">
        <v>693</v>
      </c>
      <c r="K192" s="18"/>
      <c r="L192" s="18">
        <v>0</v>
      </c>
      <c r="M192" s="18">
        <v>0</v>
      </c>
      <c r="N192" s="18"/>
      <c r="O192" s="18" t="s">
        <v>694</v>
      </c>
      <c r="P192" s="18">
        <v>3</v>
      </c>
      <c r="Q192" s="18"/>
      <c r="R192" s="18"/>
      <c r="S192" s="18"/>
      <c r="T192" s="18">
        <v>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1000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600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695</v>
      </c>
      <c r="BG192" s="10">
        <v>25000000</v>
      </c>
      <c r="BH192" s="18">
        <v>0</v>
      </c>
      <c r="BI192" s="18">
        <v>5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696</v>
      </c>
      <c r="C193" s="6" t="s">
        <v>71</v>
      </c>
      <c r="D193" s="18" t="s">
        <v>320</v>
      </c>
      <c r="E193" s="38" t="s">
        <v>697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50</v>
      </c>
      <c r="S193" s="18">
        <v>255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698</v>
      </c>
      <c r="C194" s="6" t="s">
        <v>71</v>
      </c>
      <c r="D194" s="18" t="s">
        <v>320</v>
      </c>
      <c r="E194" s="38" t="s">
        <v>699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255</v>
      </c>
      <c r="S194" s="18">
        <v>50</v>
      </c>
      <c r="T194" s="18">
        <v>50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700</v>
      </c>
      <c r="C195" s="6" t="s">
        <v>71</v>
      </c>
      <c r="D195" s="18" t="s">
        <v>320</v>
      </c>
      <c r="E195" s="38" t="s">
        <v>701</v>
      </c>
      <c r="F195" s="23"/>
      <c r="G195" s="42"/>
      <c r="H195" s="18"/>
      <c r="I195" s="18" t="s">
        <v>323</v>
      </c>
      <c r="J195" s="18" t="s">
        <v>335</v>
      </c>
      <c r="K195" s="18"/>
      <c r="L195" s="18">
        <v>0</v>
      </c>
      <c r="M195" s="18">
        <v>0</v>
      </c>
      <c r="N195" s="18"/>
      <c r="O195" s="18" t="s">
        <v>340</v>
      </c>
      <c r="P195" s="18">
        <v>2</v>
      </c>
      <c r="Q195" s="18"/>
      <c r="R195" s="18">
        <v>50</v>
      </c>
      <c r="S195" s="18">
        <v>255</v>
      </c>
      <c r="T195" s="18">
        <v>255</v>
      </c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600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450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702</v>
      </c>
      <c r="C196" s="6" t="s">
        <v>71</v>
      </c>
      <c r="D196" s="18" t="s">
        <v>320</v>
      </c>
      <c r="E196" s="35" t="s">
        <v>703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600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704</v>
      </c>
      <c r="C197" s="6" t="s">
        <v>71</v>
      </c>
      <c r="D197" s="18" t="s">
        <v>320</v>
      </c>
      <c r="E197" s="35" t="s">
        <v>705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706</v>
      </c>
      <c r="C198" s="6" t="s">
        <v>71</v>
      </c>
      <c r="D198" s="18" t="s">
        <v>320</v>
      </c>
      <c r="E198" s="35" t="s">
        <v>707</v>
      </c>
      <c r="F198" s="23"/>
      <c r="G198" s="42"/>
      <c r="H198" s="18"/>
      <c r="I198" s="18" t="s">
        <v>323</v>
      </c>
      <c r="J198" s="18" t="s">
        <v>349</v>
      </c>
      <c r="K198" s="18"/>
      <c r="L198" s="18">
        <v>0</v>
      </c>
      <c r="M198" s="18">
        <v>0</v>
      </c>
      <c r="N198" s="18"/>
      <c r="O198" s="18"/>
      <c r="P198" s="18"/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450</v>
      </c>
      <c r="Y198" s="18">
        <v>0</v>
      </c>
      <c r="Z198" s="18" t="s">
        <v>151</v>
      </c>
      <c r="AA198" s="18">
        <v>1500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500</v>
      </c>
      <c r="AQ198" s="18">
        <v>0.15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8">
        <v>0</v>
      </c>
      <c r="BI198" s="18">
        <v>10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708</v>
      </c>
      <c r="C199" s="6" t="s">
        <v>71</v>
      </c>
      <c r="D199" s="18" t="s">
        <v>320</v>
      </c>
      <c r="E199" s="35" t="s">
        <v>709</v>
      </c>
      <c r="F199" s="35"/>
      <c r="G199" s="35" t="s">
        <v>710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711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1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712</v>
      </c>
      <c r="C200" s="6" t="s">
        <v>71</v>
      </c>
      <c r="D200" s="18" t="s">
        <v>320</v>
      </c>
      <c r="E200" s="35" t="s">
        <v>713</v>
      </c>
      <c r="F200" s="35"/>
      <c r="G200" s="35" t="s">
        <v>710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711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0.9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714</v>
      </c>
      <c r="C201" s="6" t="s">
        <v>71</v>
      </c>
      <c r="D201" s="18" t="s">
        <v>320</v>
      </c>
      <c r="E201" s="35" t="s">
        <v>715</v>
      </c>
      <c r="F201" s="35"/>
      <c r="G201" s="35" t="s">
        <v>710</v>
      </c>
      <c r="H201" s="18"/>
      <c r="I201" s="18" t="s">
        <v>323</v>
      </c>
      <c r="J201" s="18" t="s">
        <v>335</v>
      </c>
      <c r="K201" s="18"/>
      <c r="L201" s="18">
        <v>0</v>
      </c>
      <c r="M201" s="18">
        <v>0</v>
      </c>
      <c r="N201" s="18"/>
      <c r="O201" s="18" t="s">
        <v>711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0.8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716</v>
      </c>
      <c r="C202" s="6" t="s">
        <v>71</v>
      </c>
      <c r="D202" s="18" t="s">
        <v>320</v>
      </c>
      <c r="E202" s="35" t="s">
        <v>717</v>
      </c>
      <c r="F202" s="35"/>
      <c r="G202" s="35" t="s">
        <v>710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711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718</v>
      </c>
      <c r="C203" s="6" t="s">
        <v>71</v>
      </c>
      <c r="D203" s="18" t="s">
        <v>320</v>
      </c>
      <c r="E203" s="35" t="s">
        <v>719</v>
      </c>
      <c r="F203" s="35"/>
      <c r="G203" s="35" t="s">
        <v>710</v>
      </c>
      <c r="H203" s="18"/>
      <c r="I203" s="18" t="s">
        <v>323</v>
      </c>
      <c r="J203" s="18" t="s">
        <v>349</v>
      </c>
      <c r="K203" s="18"/>
      <c r="L203" s="18">
        <v>0</v>
      </c>
      <c r="M203" s="18">
        <v>0</v>
      </c>
      <c r="N203" s="18"/>
      <c r="O203" s="18" t="s">
        <v>711</v>
      </c>
      <c r="P203" s="18">
        <v>1.5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0.7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720</v>
      </c>
      <c r="C204" s="6" t="s">
        <v>71</v>
      </c>
      <c r="D204" s="18" t="s">
        <v>320</v>
      </c>
      <c r="E204" s="35" t="s">
        <v>721</v>
      </c>
      <c r="F204" s="35"/>
      <c r="G204" s="35" t="s">
        <v>722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723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1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724</v>
      </c>
      <c r="C205" s="6" t="s">
        <v>71</v>
      </c>
      <c r="D205" s="18" t="s">
        <v>320</v>
      </c>
      <c r="E205" s="35" t="s">
        <v>725</v>
      </c>
      <c r="F205" s="35"/>
      <c r="G205" s="35" t="s">
        <v>722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723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0.9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726</v>
      </c>
      <c r="C206" s="6" t="s">
        <v>71</v>
      </c>
      <c r="D206" s="18" t="s">
        <v>320</v>
      </c>
      <c r="E206" s="35" t="s">
        <v>727</v>
      </c>
      <c r="F206" s="35"/>
      <c r="G206" s="35" t="s">
        <v>722</v>
      </c>
      <c r="H206" s="18"/>
      <c r="I206" s="18" t="s">
        <v>323</v>
      </c>
      <c r="J206" s="18" t="s">
        <v>335</v>
      </c>
      <c r="K206" s="18"/>
      <c r="L206" s="18">
        <v>0</v>
      </c>
      <c r="M206" s="18">
        <v>0</v>
      </c>
      <c r="N206" s="18"/>
      <c r="O206" s="18" t="s">
        <v>723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0.8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728</v>
      </c>
      <c r="C207" s="6" t="s">
        <v>71</v>
      </c>
      <c r="D207" s="18" t="s">
        <v>320</v>
      </c>
      <c r="E207" s="35" t="s">
        <v>729</v>
      </c>
      <c r="F207" s="35"/>
      <c r="G207" s="35" t="s">
        <v>722</v>
      </c>
      <c r="H207" s="18"/>
      <c r="I207" s="18" t="s">
        <v>323</v>
      </c>
      <c r="J207" s="18" t="s">
        <v>349</v>
      </c>
      <c r="K207" s="18"/>
      <c r="L207" s="18">
        <v>0</v>
      </c>
      <c r="M207" s="18">
        <v>0</v>
      </c>
      <c r="N207" s="18"/>
      <c r="O207" s="18" t="s">
        <v>723</v>
      </c>
      <c r="P207" s="18">
        <v>2.0299999999999998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0.7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730</v>
      </c>
      <c r="C208" s="6" t="s">
        <v>71</v>
      </c>
      <c r="D208" s="18" t="s">
        <v>320</v>
      </c>
      <c r="E208" s="35" t="s">
        <v>731</v>
      </c>
      <c r="F208" s="35"/>
      <c r="G208" s="35" t="s">
        <v>732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733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1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734</v>
      </c>
      <c r="C209" s="6" t="s">
        <v>71</v>
      </c>
      <c r="D209" s="18" t="s">
        <v>320</v>
      </c>
      <c r="E209" s="35" t="s">
        <v>735</v>
      </c>
      <c r="F209" s="35"/>
      <c r="G209" s="35" t="s">
        <v>732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733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0.9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736</v>
      </c>
      <c r="C210" s="6" t="s">
        <v>71</v>
      </c>
      <c r="D210" s="18" t="s">
        <v>320</v>
      </c>
      <c r="E210" s="35" t="s">
        <v>737</v>
      </c>
      <c r="F210" s="35"/>
      <c r="G210" s="35" t="s">
        <v>732</v>
      </c>
      <c r="H210" s="18"/>
      <c r="I210" s="18" t="s">
        <v>323</v>
      </c>
      <c r="J210" s="18" t="s">
        <v>335</v>
      </c>
      <c r="K210" s="18"/>
      <c r="L210" s="18">
        <v>0</v>
      </c>
      <c r="M210" s="18">
        <v>0</v>
      </c>
      <c r="N210" s="18"/>
      <c r="O210" s="18" t="s">
        <v>733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0.8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738</v>
      </c>
      <c r="C211" s="6" t="s">
        <v>71</v>
      </c>
      <c r="D211" s="18" t="s">
        <v>320</v>
      </c>
      <c r="E211" s="35" t="s">
        <v>739</v>
      </c>
      <c r="F211" s="35"/>
      <c r="G211" s="35" t="s">
        <v>732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733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s="18" t="s">
        <v>740</v>
      </c>
      <c r="C212" s="6" t="s">
        <v>71</v>
      </c>
      <c r="D212" s="18" t="s">
        <v>320</v>
      </c>
      <c r="E212" s="35" t="s">
        <v>719</v>
      </c>
      <c r="F212" s="35"/>
      <c r="G212" s="35" t="s">
        <v>732</v>
      </c>
      <c r="H212" s="18"/>
      <c r="I212" s="18" t="s">
        <v>323</v>
      </c>
      <c r="J212" s="18" t="s">
        <v>349</v>
      </c>
      <c r="K212" s="18"/>
      <c r="L212" s="18">
        <v>0</v>
      </c>
      <c r="M212" s="18">
        <v>0</v>
      </c>
      <c r="N212" s="18"/>
      <c r="O212" s="18" t="s">
        <v>733</v>
      </c>
      <c r="P212" s="18">
        <v>2.1</v>
      </c>
      <c r="Q212" s="18"/>
      <c r="R212" s="18"/>
      <c r="S212" s="18"/>
      <c r="T212" s="18"/>
      <c r="U212" s="18">
        <v>2</v>
      </c>
      <c r="V212" s="18">
        <v>2</v>
      </c>
      <c r="W212" s="18" t="s">
        <v>409</v>
      </c>
      <c r="X212" s="18">
        <v>400</v>
      </c>
      <c r="Y212" s="18">
        <v>0</v>
      </c>
      <c r="Z212" s="18" t="s">
        <v>151</v>
      </c>
      <c r="AA212" s="18">
        <v>600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0.7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8"/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</row>
    <row r="213" spans="2:72" s="6" customFormat="1">
      <c r="B213" t="s">
        <v>741</v>
      </c>
      <c r="C213" s="6" t="s">
        <v>71</v>
      </c>
      <c r="D213" s="18" t="s">
        <v>320</v>
      </c>
      <c r="E213" s="25" t="s">
        <v>742</v>
      </c>
      <c r="F213" s="23"/>
      <c r="G213" s="18" t="s">
        <v>743</v>
      </c>
      <c r="H213" s="18"/>
      <c r="I213" s="18" t="s">
        <v>323</v>
      </c>
      <c r="J213" s="18"/>
      <c r="K213" s="18"/>
      <c r="L213" s="18">
        <v>0</v>
      </c>
      <c r="M213" s="18">
        <v>0</v>
      </c>
      <c r="N213" s="18"/>
      <c r="O213" s="18" t="s">
        <v>744</v>
      </c>
      <c r="P213" s="18">
        <v>1.1000000000000001</v>
      </c>
      <c r="Q213" s="18"/>
      <c r="R213" s="18"/>
      <c r="S213" s="18"/>
      <c r="T213" s="18"/>
      <c r="U213" s="18">
        <v>0.5</v>
      </c>
      <c r="V213" s="18">
        <v>2</v>
      </c>
      <c r="W213" s="18" t="s">
        <v>150</v>
      </c>
      <c r="X213" s="18">
        <v>350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250</v>
      </c>
      <c r="AQ213" s="18">
        <v>0.8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745</v>
      </c>
      <c r="C214" s="6" t="s">
        <v>71</v>
      </c>
      <c r="D214" s="18" t="s">
        <v>320</v>
      </c>
      <c r="E214" s="25" t="s">
        <v>746</v>
      </c>
      <c r="F214" s="23"/>
      <c r="G214" s="18" t="s">
        <v>743</v>
      </c>
      <c r="H214" s="18"/>
      <c r="I214" s="18" t="s">
        <v>323</v>
      </c>
      <c r="J214" s="18" t="s">
        <v>747</v>
      </c>
      <c r="K214" s="18"/>
      <c r="L214" s="18">
        <v>0</v>
      </c>
      <c r="M214" s="18">
        <v>0</v>
      </c>
      <c r="N214" s="18"/>
      <c r="O214" s="18" t="s">
        <v>748</v>
      </c>
      <c r="P214" s="18">
        <v>2.2000000000000002</v>
      </c>
      <c r="Q214" s="18"/>
      <c r="R214" s="18"/>
      <c r="S214" s="18"/>
      <c r="T214" s="18"/>
      <c r="U214" s="18">
        <v>2</v>
      </c>
      <c r="V214" s="18">
        <v>2</v>
      </c>
      <c r="W214" s="18" t="s">
        <v>150</v>
      </c>
      <c r="X214" s="18">
        <v>400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749</v>
      </c>
      <c r="C215" s="6" t="s">
        <v>71</v>
      </c>
      <c r="D215" s="18" t="s">
        <v>320</v>
      </c>
      <c r="E215" s="25" t="s">
        <v>750</v>
      </c>
      <c r="F215" s="23"/>
      <c r="G215" s="18" t="s">
        <v>743</v>
      </c>
      <c r="H215" s="18"/>
      <c r="I215" s="18" t="s">
        <v>323</v>
      </c>
      <c r="J215" s="12" t="s">
        <v>751</v>
      </c>
      <c r="K215" s="18"/>
      <c r="L215" s="18">
        <v>0</v>
      </c>
      <c r="M215" s="18">
        <v>0</v>
      </c>
      <c r="N215" s="18"/>
      <c r="O215" s="10" t="s">
        <v>247</v>
      </c>
      <c r="P215" s="18">
        <v>1.3</v>
      </c>
      <c r="Q215" s="18"/>
      <c r="R215" s="18">
        <v>255</v>
      </c>
      <c r="S215" s="18">
        <v>100</v>
      </c>
      <c r="T215" s="18">
        <v>100</v>
      </c>
      <c r="U215" s="18">
        <v>2</v>
      </c>
      <c r="V215" s="18">
        <v>2</v>
      </c>
      <c r="W215" s="18" t="s">
        <v>150</v>
      </c>
      <c r="X215" s="18">
        <v>450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400</v>
      </c>
      <c r="AQ215" s="18">
        <v>0.5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752</v>
      </c>
      <c r="C216" s="6" t="s">
        <v>71</v>
      </c>
      <c r="D216" s="18" t="s">
        <v>320</v>
      </c>
      <c r="E216" s="25" t="s">
        <v>753</v>
      </c>
      <c r="F216" s="23"/>
      <c r="G216" s="18" t="s">
        <v>743</v>
      </c>
      <c r="H216" s="18"/>
      <c r="I216" s="18" t="s">
        <v>323</v>
      </c>
      <c r="J216" s="12" t="s">
        <v>754</v>
      </c>
      <c r="K216" s="18"/>
      <c r="L216" s="18">
        <v>0</v>
      </c>
      <c r="M216" s="18">
        <v>0</v>
      </c>
      <c r="N216" s="18"/>
      <c r="O216" s="18" t="s">
        <v>755</v>
      </c>
      <c r="P216" s="18">
        <v>1.5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756</v>
      </c>
      <c r="C217" s="6" t="s">
        <v>71</v>
      </c>
      <c r="D217" s="18" t="s">
        <v>320</v>
      </c>
      <c r="E217" s="25" t="s">
        <v>757</v>
      </c>
      <c r="F217" s="23"/>
      <c r="G217" s="18" t="s">
        <v>743</v>
      </c>
      <c r="H217" s="18"/>
      <c r="I217" s="18" t="s">
        <v>323</v>
      </c>
      <c r="J217" s="12" t="s">
        <v>758</v>
      </c>
      <c r="K217" s="18"/>
      <c r="L217" s="18">
        <v>0</v>
      </c>
      <c r="M217" s="18">
        <v>0</v>
      </c>
      <c r="N217" s="18"/>
      <c r="O217" s="18" t="s">
        <v>603</v>
      </c>
      <c r="P217" s="18">
        <v>1.35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400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0.2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759</v>
      </c>
      <c r="C218" s="6" t="s">
        <v>71</v>
      </c>
      <c r="D218" s="18" t="s">
        <v>320</v>
      </c>
      <c r="E218" s="25" t="s">
        <v>760</v>
      </c>
      <c r="F218" s="23"/>
      <c r="G218" s="18" t="s">
        <v>761</v>
      </c>
      <c r="H218" s="18"/>
      <c r="I218" s="18" t="s">
        <v>323</v>
      </c>
      <c r="J218" s="18" t="s">
        <v>762</v>
      </c>
      <c r="K218" s="18"/>
      <c r="L218" s="18">
        <v>0</v>
      </c>
      <c r="M218" s="18">
        <v>0</v>
      </c>
      <c r="N218" s="18"/>
      <c r="O218" s="18" t="s">
        <v>763</v>
      </c>
      <c r="P218" s="18">
        <v>1.4</v>
      </c>
      <c r="Q218" s="18"/>
      <c r="R218" s="18"/>
      <c r="S218" s="18"/>
      <c r="T218" s="18"/>
      <c r="U218" s="18">
        <v>1</v>
      </c>
      <c r="V218" s="18">
        <v>2</v>
      </c>
      <c r="W218" s="18" t="s">
        <v>150</v>
      </c>
      <c r="X218" s="18">
        <v>350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400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764</v>
      </c>
      <c r="C219" s="6" t="s">
        <v>71</v>
      </c>
      <c r="D219" s="18" t="s">
        <v>320</v>
      </c>
      <c r="E219" s="25" t="s">
        <v>765</v>
      </c>
      <c r="F219" s="23"/>
      <c r="G219" s="18" t="s">
        <v>761</v>
      </c>
      <c r="H219" s="18"/>
      <c r="I219" s="18" t="s">
        <v>323</v>
      </c>
      <c r="J219" s="12" t="s">
        <v>766</v>
      </c>
      <c r="K219" s="18"/>
      <c r="L219" s="18">
        <v>0</v>
      </c>
      <c r="M219" s="18">
        <v>0</v>
      </c>
      <c r="N219" s="18"/>
      <c r="O219" s="18" t="s">
        <v>767</v>
      </c>
      <c r="P219" s="18">
        <v>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400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0.5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768</v>
      </c>
      <c r="C220" s="6" t="s">
        <v>71</v>
      </c>
      <c r="D220" s="18" t="s">
        <v>320</v>
      </c>
      <c r="E220" s="25" t="s">
        <v>769</v>
      </c>
      <c r="F220" s="23"/>
      <c r="G220" s="18" t="s">
        <v>761</v>
      </c>
      <c r="H220" s="18"/>
      <c r="I220" s="18" t="s">
        <v>323</v>
      </c>
      <c r="J220" s="12" t="s">
        <v>770</v>
      </c>
      <c r="K220" s="18"/>
      <c r="L220" s="18">
        <v>0</v>
      </c>
      <c r="M220" s="18">
        <v>0</v>
      </c>
      <c r="N220" s="18"/>
      <c r="O220" s="18" t="s">
        <v>771</v>
      </c>
      <c r="P220" s="18">
        <v>2.2000000000000002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600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772</v>
      </c>
      <c r="C221" s="6" t="s">
        <v>71</v>
      </c>
      <c r="D221" s="18" t="s">
        <v>320</v>
      </c>
      <c r="E221" s="25" t="s">
        <v>773</v>
      </c>
      <c r="F221" s="23"/>
      <c r="G221" s="18" t="s">
        <v>774</v>
      </c>
      <c r="H221" s="18"/>
      <c r="I221" s="18" t="s">
        <v>323</v>
      </c>
      <c r="J221" s="12" t="s">
        <v>775</v>
      </c>
      <c r="K221" s="18"/>
      <c r="L221" s="18">
        <v>0</v>
      </c>
      <c r="M221" s="18">
        <v>0</v>
      </c>
      <c r="N221" s="18"/>
      <c r="O221" s="18" t="s">
        <v>776</v>
      </c>
      <c r="P221" s="18">
        <v>1.6</v>
      </c>
      <c r="Q221" s="18"/>
      <c r="R221" s="18"/>
      <c r="S221" s="18"/>
      <c r="T221" s="18"/>
      <c r="U221" s="18">
        <v>2</v>
      </c>
      <c r="V221" s="18">
        <v>2</v>
      </c>
      <c r="W221" s="18" t="s">
        <v>150</v>
      </c>
      <c r="X221" s="18">
        <v>400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0.4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777</v>
      </c>
      <c r="C222" s="6" t="s">
        <v>71</v>
      </c>
      <c r="D222" s="18" t="s">
        <v>320</v>
      </c>
      <c r="E222" s="25" t="s">
        <v>778</v>
      </c>
      <c r="F222" s="23"/>
      <c r="G222" s="18" t="s">
        <v>774</v>
      </c>
      <c r="H222" s="18"/>
      <c r="I222" s="18" t="s">
        <v>323</v>
      </c>
      <c r="J222" s="10" t="s">
        <v>779</v>
      </c>
      <c r="K222" s="18"/>
      <c r="L222" s="18">
        <v>0</v>
      </c>
      <c r="M222" s="18">
        <v>0</v>
      </c>
      <c r="N222" s="18"/>
      <c r="O222" s="18" t="s">
        <v>776</v>
      </c>
      <c r="P222" s="18">
        <v>1.6</v>
      </c>
      <c r="Q222" s="18"/>
      <c r="R222" s="18">
        <v>0</v>
      </c>
      <c r="S222" s="18">
        <v>255</v>
      </c>
      <c r="T222" s="18">
        <v>255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780</v>
      </c>
      <c r="C223" s="6" t="s">
        <v>71</v>
      </c>
      <c r="D223" s="18" t="s">
        <v>320</v>
      </c>
      <c r="E223" s="25" t="s">
        <v>781</v>
      </c>
      <c r="F223" s="23"/>
      <c r="G223" s="18" t="s">
        <v>774</v>
      </c>
      <c r="H223" s="18"/>
      <c r="I223" s="18" t="s">
        <v>323</v>
      </c>
      <c r="J223" s="10" t="s">
        <v>412</v>
      </c>
      <c r="K223" s="18"/>
      <c r="L223" s="18">
        <v>0</v>
      </c>
      <c r="M223" s="18">
        <v>0</v>
      </c>
      <c r="N223" s="18"/>
      <c r="O223" s="18" t="s">
        <v>776</v>
      </c>
      <c r="P223" s="18">
        <v>1.6</v>
      </c>
      <c r="Q223" s="18"/>
      <c r="R223" s="18">
        <v>255</v>
      </c>
      <c r="S223" s="18">
        <v>255</v>
      </c>
      <c r="T223" s="18">
        <v>0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782</v>
      </c>
      <c r="C224" s="6" t="s">
        <v>71</v>
      </c>
      <c r="D224" s="18" t="s">
        <v>320</v>
      </c>
      <c r="E224" s="25" t="s">
        <v>783</v>
      </c>
      <c r="F224" s="23"/>
      <c r="G224" s="18" t="s">
        <v>774</v>
      </c>
      <c r="H224" s="18"/>
      <c r="I224" s="18" t="s">
        <v>323</v>
      </c>
      <c r="J224" s="10" t="s">
        <v>784</v>
      </c>
      <c r="K224" s="18"/>
      <c r="L224" s="18">
        <v>0</v>
      </c>
      <c r="M224" s="18">
        <v>0</v>
      </c>
      <c r="N224" s="18"/>
      <c r="O224" s="18" t="s">
        <v>776</v>
      </c>
      <c r="P224" s="18">
        <v>1.6</v>
      </c>
      <c r="Q224" s="18"/>
      <c r="R224" s="18">
        <v>255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785</v>
      </c>
      <c r="C225" s="6" t="s">
        <v>71</v>
      </c>
      <c r="D225" s="18" t="s">
        <v>320</v>
      </c>
      <c r="E225" s="25" t="s">
        <v>786</v>
      </c>
      <c r="F225" s="23"/>
      <c r="G225" s="18" t="s">
        <v>774</v>
      </c>
      <c r="H225" s="18"/>
      <c r="I225" s="18" t="s">
        <v>323</v>
      </c>
      <c r="J225" s="10" t="s">
        <v>787</v>
      </c>
      <c r="K225" s="18"/>
      <c r="L225" s="18">
        <v>0</v>
      </c>
      <c r="M225" s="18">
        <v>0</v>
      </c>
      <c r="N225" s="18"/>
      <c r="O225" s="18" t="s">
        <v>776</v>
      </c>
      <c r="P225" s="18">
        <v>1.6</v>
      </c>
      <c r="Q225" s="18"/>
      <c r="R225" s="18">
        <v>0</v>
      </c>
      <c r="S225" s="18">
        <v>0</v>
      </c>
      <c r="T225" s="18">
        <v>255</v>
      </c>
      <c r="U225" s="18">
        <v>2</v>
      </c>
      <c r="V225" s="18">
        <v>2</v>
      </c>
      <c r="W225" s="18" t="s">
        <v>150</v>
      </c>
      <c r="X225" s="18">
        <v>350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0.2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788</v>
      </c>
      <c r="C226" s="6" t="s">
        <v>71</v>
      </c>
      <c r="D226" s="18" t="s">
        <v>320</v>
      </c>
      <c r="E226" s="25" t="s">
        <v>789</v>
      </c>
      <c r="F226" s="23"/>
      <c r="G226" s="18" t="s">
        <v>376</v>
      </c>
      <c r="H226" s="18"/>
      <c r="I226" s="18" t="s">
        <v>323</v>
      </c>
      <c r="J226" s="12" t="s">
        <v>790</v>
      </c>
      <c r="K226" s="18"/>
      <c r="L226" s="18">
        <v>0</v>
      </c>
      <c r="M226" s="18">
        <v>0</v>
      </c>
      <c r="N226" s="18"/>
      <c r="O226" s="18" t="s">
        <v>791</v>
      </c>
      <c r="P226" s="18">
        <v>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792</v>
      </c>
      <c r="C227" s="6" t="s">
        <v>71</v>
      </c>
      <c r="D227" s="18" t="s">
        <v>320</v>
      </c>
      <c r="E227" s="25" t="s">
        <v>793</v>
      </c>
      <c r="F227" s="23"/>
      <c r="G227" s="18" t="s">
        <v>376</v>
      </c>
      <c r="H227" s="18"/>
      <c r="I227" s="18" t="s">
        <v>323</v>
      </c>
      <c r="J227" s="12" t="s">
        <v>794</v>
      </c>
      <c r="K227" s="18"/>
      <c r="L227" s="18">
        <v>0</v>
      </c>
      <c r="M227" s="18">
        <v>0</v>
      </c>
      <c r="N227" s="18"/>
      <c r="O227" s="18" t="s">
        <v>795</v>
      </c>
      <c r="P227" s="18">
        <v>1.2</v>
      </c>
      <c r="Q227" s="18"/>
      <c r="R227" s="18"/>
      <c r="S227" s="18"/>
      <c r="T227" s="18"/>
      <c r="U227" s="18">
        <v>2</v>
      </c>
      <c r="V227" s="18">
        <v>2</v>
      </c>
      <c r="W227" s="18" t="s">
        <v>150</v>
      </c>
      <c r="X227" s="18">
        <v>400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500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796</v>
      </c>
      <c r="C228" s="6" t="s">
        <v>71</v>
      </c>
      <c r="D228" s="18" t="s">
        <v>320</v>
      </c>
      <c r="E228" s="25" t="s">
        <v>797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798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799</v>
      </c>
      <c r="C229" s="6" t="s">
        <v>71</v>
      </c>
      <c r="D229" s="18" t="s">
        <v>320</v>
      </c>
      <c r="E229" s="25" t="s">
        <v>797</v>
      </c>
      <c r="F229" s="23"/>
      <c r="G229" s="18" t="s">
        <v>376</v>
      </c>
      <c r="H229" s="18"/>
      <c r="I229" s="18" t="s">
        <v>323</v>
      </c>
      <c r="J229" s="18"/>
      <c r="K229" s="18"/>
      <c r="L229" s="18">
        <v>0</v>
      </c>
      <c r="M229" s="18">
        <v>0</v>
      </c>
      <c r="N229" s="18"/>
      <c r="O229" s="18" t="s">
        <v>798</v>
      </c>
      <c r="P229" s="18">
        <v>0.85</v>
      </c>
      <c r="Q229" s="18"/>
      <c r="R229" s="18">
        <v>0</v>
      </c>
      <c r="S229" s="18">
        <v>255</v>
      </c>
      <c r="T229" s="18">
        <v>255</v>
      </c>
      <c r="U229" s="18">
        <v>0.5</v>
      </c>
      <c r="V229" s="18">
        <v>2</v>
      </c>
      <c r="W229" s="18" t="s">
        <v>150</v>
      </c>
      <c r="X229" s="18">
        <v>350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0.4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800</v>
      </c>
      <c r="C230" s="6" t="s">
        <v>71</v>
      </c>
      <c r="D230" s="18" t="s">
        <v>320</v>
      </c>
      <c r="E230" s="25" t="s">
        <v>801</v>
      </c>
      <c r="F230" s="23"/>
      <c r="G230" s="18" t="s">
        <v>376</v>
      </c>
      <c r="H230" s="18"/>
      <c r="I230" s="18" t="s">
        <v>323</v>
      </c>
      <c r="J230" s="12" t="s">
        <v>802</v>
      </c>
      <c r="K230" s="18"/>
      <c r="L230" s="18">
        <v>0</v>
      </c>
      <c r="M230" s="18">
        <v>0</v>
      </c>
      <c r="N230" s="18"/>
      <c r="O230" s="18" t="s">
        <v>803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500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804</v>
      </c>
      <c r="C231" s="6" t="s">
        <v>71</v>
      </c>
      <c r="D231" s="18" t="s">
        <v>320</v>
      </c>
      <c r="E231" s="25" t="s">
        <v>805</v>
      </c>
      <c r="F231" s="23"/>
      <c r="G231" s="18" t="s">
        <v>376</v>
      </c>
      <c r="H231" s="18"/>
      <c r="I231" s="18" t="s">
        <v>323</v>
      </c>
      <c r="J231" s="18"/>
      <c r="K231" s="18"/>
      <c r="L231" s="18">
        <v>0</v>
      </c>
      <c r="M231" s="18">
        <v>0</v>
      </c>
      <c r="N231" s="18"/>
      <c r="O231" s="18" t="s">
        <v>806</v>
      </c>
      <c r="P231" s="18">
        <v>1</v>
      </c>
      <c r="Q231" s="18"/>
      <c r="R231" s="18"/>
      <c r="S231" s="18"/>
      <c r="T231" s="18"/>
      <c r="U231" s="18">
        <v>0.5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0.4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807</v>
      </c>
      <c r="C232" s="6" t="s">
        <v>71</v>
      </c>
      <c r="D232" s="18" t="s">
        <v>320</v>
      </c>
      <c r="E232" s="25" t="s">
        <v>808</v>
      </c>
      <c r="F232" s="23"/>
      <c r="G232" s="18" t="s">
        <v>376</v>
      </c>
      <c r="H232" s="18"/>
      <c r="I232" s="18" t="s">
        <v>323</v>
      </c>
      <c r="J232" s="12" t="s">
        <v>809</v>
      </c>
      <c r="K232" s="18"/>
      <c r="L232" s="18">
        <v>0</v>
      </c>
      <c r="M232" s="18">
        <v>0</v>
      </c>
      <c r="N232" s="18"/>
      <c r="O232" s="18" t="s">
        <v>810</v>
      </c>
      <c r="P232" s="18">
        <v>1.5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811</v>
      </c>
      <c r="C233" s="6" t="s">
        <v>71</v>
      </c>
      <c r="D233" s="18" t="s">
        <v>320</v>
      </c>
      <c r="E233" s="25" t="s">
        <v>812</v>
      </c>
      <c r="F233" s="23"/>
      <c r="G233" s="18" t="s">
        <v>376</v>
      </c>
      <c r="H233" s="18"/>
      <c r="I233" s="18" t="s">
        <v>323</v>
      </c>
      <c r="J233" s="18"/>
      <c r="K233" s="18"/>
      <c r="L233" s="18">
        <v>0</v>
      </c>
      <c r="M233" s="18">
        <v>0</v>
      </c>
      <c r="N233" s="18"/>
      <c r="O233" s="18" t="s">
        <v>813</v>
      </c>
      <c r="P233" s="18">
        <v>1.1000000000000001</v>
      </c>
      <c r="Q233" s="18"/>
      <c r="R233" s="18"/>
      <c r="S233" s="18"/>
      <c r="T233" s="18"/>
      <c r="U233" s="18">
        <v>0.5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250</v>
      </c>
      <c r="AQ233" s="18">
        <v>0.4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814</v>
      </c>
      <c r="C234" s="6" t="s">
        <v>71</v>
      </c>
      <c r="D234" s="18" t="s">
        <v>320</v>
      </c>
      <c r="E234" s="25" t="s">
        <v>375</v>
      </c>
      <c r="F234" s="23"/>
      <c r="G234" s="18" t="s">
        <v>376</v>
      </c>
      <c r="H234" s="18"/>
      <c r="I234" s="18" t="s">
        <v>323</v>
      </c>
      <c r="J234" s="12" t="s">
        <v>377</v>
      </c>
      <c r="K234" s="18"/>
      <c r="L234" s="18">
        <v>0</v>
      </c>
      <c r="M234" s="18">
        <v>0</v>
      </c>
      <c r="N234" s="18"/>
      <c r="O234" s="18" t="s">
        <v>378</v>
      </c>
      <c r="P234" s="18">
        <v>1.5</v>
      </c>
      <c r="Q234" s="18"/>
      <c r="R234" s="18"/>
      <c r="S234" s="18"/>
      <c r="T234" s="18"/>
      <c r="U234" s="18">
        <v>2</v>
      </c>
      <c r="V234" s="18">
        <v>2</v>
      </c>
      <c r="W234" s="18" t="s">
        <v>150</v>
      </c>
      <c r="X234" s="18">
        <v>400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500</v>
      </c>
      <c r="AQ234" s="18">
        <v>0.2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815</v>
      </c>
      <c r="C235" s="6" t="s">
        <v>71</v>
      </c>
      <c r="D235" s="18" t="s">
        <v>320</v>
      </c>
      <c r="E235" s="25" t="s">
        <v>816</v>
      </c>
      <c r="F235" s="23"/>
      <c r="G235" s="18" t="s">
        <v>376</v>
      </c>
      <c r="H235" s="18"/>
      <c r="I235" s="18" t="s">
        <v>323</v>
      </c>
      <c r="J235" s="18"/>
      <c r="K235" s="18"/>
      <c r="L235" s="18">
        <v>0</v>
      </c>
      <c r="M235" s="18">
        <v>0</v>
      </c>
      <c r="N235" s="18"/>
      <c r="O235" s="18" t="s">
        <v>817</v>
      </c>
      <c r="P235" s="18">
        <v>1.3</v>
      </c>
      <c r="Q235" s="18"/>
      <c r="R235" s="18"/>
      <c r="S235" s="18"/>
      <c r="T235" s="18"/>
      <c r="U235" s="18">
        <v>1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0.4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818</v>
      </c>
      <c r="C236" s="6" t="s">
        <v>71</v>
      </c>
      <c r="D236" s="18" t="s">
        <v>320</v>
      </c>
      <c r="E236" s="25" t="s">
        <v>381</v>
      </c>
      <c r="F236" s="23"/>
      <c r="G236" s="18" t="s">
        <v>382</v>
      </c>
      <c r="H236" s="18"/>
      <c r="I236" s="18" t="s">
        <v>323</v>
      </c>
      <c r="J236" s="12" t="s">
        <v>383</v>
      </c>
      <c r="K236" s="18"/>
      <c r="L236" s="18">
        <v>0</v>
      </c>
      <c r="M236" s="18">
        <v>0</v>
      </c>
      <c r="N236" s="18"/>
      <c r="O236" s="18" t="s">
        <v>235</v>
      </c>
      <c r="P236" s="18">
        <v>2</v>
      </c>
      <c r="Q236" s="18"/>
      <c r="R236" s="18">
        <v>255</v>
      </c>
      <c r="S236" s="18">
        <v>100</v>
      </c>
      <c r="T236" s="18">
        <v>100</v>
      </c>
      <c r="U236" s="18">
        <v>2</v>
      </c>
      <c r="V236" s="18">
        <v>2</v>
      </c>
      <c r="W236" s="18" t="s">
        <v>150</v>
      </c>
      <c r="X236" s="18">
        <v>450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0.2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819</v>
      </c>
      <c r="C237" s="6" t="s">
        <v>71</v>
      </c>
      <c r="D237" s="18" t="s">
        <v>320</v>
      </c>
      <c r="E237" t="s">
        <v>820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484</v>
      </c>
      <c r="P237" s="18">
        <v>1.2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350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821</v>
      </c>
      <c r="C238" s="6" t="s">
        <v>71</v>
      </c>
      <c r="D238" s="18" t="s">
        <v>320</v>
      </c>
      <c r="E238" t="s">
        <v>822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494</v>
      </c>
      <c r="P238" s="18">
        <v>1.65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300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250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t="s">
        <v>823</v>
      </c>
      <c r="C239" s="6" t="s">
        <v>71</v>
      </c>
      <c r="D239" s="18" t="s">
        <v>320</v>
      </c>
      <c r="E239" t="s">
        <v>824</v>
      </c>
      <c r="F239" s="23"/>
      <c r="G239" s="18" t="s">
        <v>382</v>
      </c>
      <c r="H239" s="18"/>
      <c r="I239" s="18" t="s">
        <v>323</v>
      </c>
      <c r="J239" s="18"/>
      <c r="K239" s="18"/>
      <c r="L239" s="18">
        <v>0</v>
      </c>
      <c r="M239" s="18">
        <v>0</v>
      </c>
      <c r="N239" s="18"/>
      <c r="O239" s="18" t="s">
        <v>487</v>
      </c>
      <c r="P239" s="18">
        <v>1.02</v>
      </c>
      <c r="Q239" s="18"/>
      <c r="R239" s="18"/>
      <c r="S239" s="18"/>
      <c r="T239" s="18"/>
      <c r="U239" s="18">
        <v>0.5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2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800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s="23" t="s">
        <v>825</v>
      </c>
      <c r="C240" s="6" t="s">
        <v>71</v>
      </c>
      <c r="D240" s="18" t="s">
        <v>320</v>
      </c>
      <c r="E240" s="23" t="s">
        <v>385</v>
      </c>
      <c r="F240" s="23"/>
      <c r="G240" s="18" t="s">
        <v>382</v>
      </c>
      <c r="H240" s="18"/>
      <c r="I240" s="18" t="s">
        <v>323</v>
      </c>
      <c r="J240" s="18" t="s">
        <v>826</v>
      </c>
      <c r="K240" s="18"/>
      <c r="L240" s="18">
        <v>0</v>
      </c>
      <c r="M240" s="18">
        <v>0</v>
      </c>
      <c r="N240" s="18"/>
      <c r="O240" s="18" t="s">
        <v>386</v>
      </c>
      <c r="P240" s="18">
        <v>1.6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400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18" t="s">
        <v>152</v>
      </c>
      <c r="AI240" s="23" t="s">
        <v>153</v>
      </c>
      <c r="AJ240" s="18">
        <v>0.5</v>
      </c>
      <c r="AK240" s="18">
        <v>0.5</v>
      </c>
      <c r="AL240" s="32">
        <v>0.01</v>
      </c>
      <c r="AM240" s="32">
        <v>1</v>
      </c>
      <c r="AN240" s="32"/>
      <c r="AO240" s="32"/>
      <c r="AP240" s="18">
        <v>500</v>
      </c>
      <c r="AQ240" s="18">
        <v>0.3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32">
        <v>100</v>
      </c>
      <c r="BE240" s="32">
        <v>20</v>
      </c>
      <c r="BF240" s="32" t="s">
        <v>154</v>
      </c>
      <c r="BG240" s="32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827</v>
      </c>
      <c r="C241" s="6" t="s">
        <v>71</v>
      </c>
      <c r="D241" s="18" t="s">
        <v>320</v>
      </c>
      <c r="E241" t="s">
        <v>156</v>
      </c>
      <c r="F241" s="23"/>
      <c r="G241" s="18" t="s">
        <v>382</v>
      </c>
      <c r="H241" s="18"/>
      <c r="I241" s="18" t="s">
        <v>323</v>
      </c>
      <c r="J241" s="18" t="s">
        <v>828</v>
      </c>
      <c r="K241" s="18"/>
      <c r="L241" s="18">
        <v>0</v>
      </c>
      <c r="M241" s="18">
        <v>0</v>
      </c>
      <c r="N241" s="18"/>
      <c r="O241" s="18" t="s">
        <v>159</v>
      </c>
      <c r="P241" s="18">
        <v>2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0.2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829</v>
      </c>
      <c r="C242" s="6" t="s">
        <v>71</v>
      </c>
      <c r="D242" s="18" t="s">
        <v>320</v>
      </c>
      <c r="E242" t="s">
        <v>830</v>
      </c>
      <c r="F242" s="23"/>
      <c r="G242" s="18" t="s">
        <v>402</v>
      </c>
      <c r="H242" s="18"/>
      <c r="I242" s="18" t="s">
        <v>323</v>
      </c>
      <c r="J242" s="12" t="s">
        <v>831</v>
      </c>
      <c r="K242" s="18"/>
      <c r="L242" s="18">
        <v>0</v>
      </c>
      <c r="M242" s="18">
        <v>0</v>
      </c>
      <c r="N242" s="18"/>
      <c r="O242" s="18" t="s">
        <v>832</v>
      </c>
      <c r="P242" s="18">
        <v>1.9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400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833</v>
      </c>
      <c r="C243" s="6" t="s">
        <v>71</v>
      </c>
      <c r="D243" s="18" t="s">
        <v>320</v>
      </c>
      <c r="E243" t="s">
        <v>401</v>
      </c>
      <c r="F243" s="23"/>
      <c r="G243" s="18" t="s">
        <v>402</v>
      </c>
      <c r="H243" s="18"/>
      <c r="I243" s="18" t="s">
        <v>323</v>
      </c>
      <c r="J243" s="12" t="s">
        <v>834</v>
      </c>
      <c r="K243" s="18"/>
      <c r="L243" s="18">
        <v>0</v>
      </c>
      <c r="M243" s="18">
        <v>0</v>
      </c>
      <c r="N243" s="18"/>
      <c r="O243" s="18" t="s">
        <v>403</v>
      </c>
      <c r="P243" s="18">
        <v>1.8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0.3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835</v>
      </c>
      <c r="C244" s="6" t="s">
        <v>71</v>
      </c>
      <c r="D244" s="18" t="s">
        <v>320</v>
      </c>
      <c r="E244" t="s">
        <v>253</v>
      </c>
      <c r="F244" s="23"/>
      <c r="G244" s="18" t="s">
        <v>402</v>
      </c>
      <c r="H244" s="18"/>
      <c r="I244" s="18" t="s">
        <v>323</v>
      </c>
      <c r="J244" s="12" t="s">
        <v>836</v>
      </c>
      <c r="K244" s="18"/>
      <c r="L244" s="18">
        <v>0</v>
      </c>
      <c r="M244" s="18">
        <v>0</v>
      </c>
      <c r="N244" s="18"/>
      <c r="O244" s="10" t="s">
        <v>255</v>
      </c>
      <c r="P244" s="18">
        <v>1.5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837</v>
      </c>
      <c r="C245" s="6" t="s">
        <v>71</v>
      </c>
      <c r="D245" s="18" t="s">
        <v>320</v>
      </c>
      <c r="E245" t="s">
        <v>838</v>
      </c>
      <c r="F245" s="23"/>
      <c r="G245" s="18" t="s">
        <v>389</v>
      </c>
      <c r="H245" s="18"/>
      <c r="I245" s="18" t="s">
        <v>323</v>
      </c>
      <c r="J245" s="12" t="s">
        <v>839</v>
      </c>
      <c r="K245" s="18"/>
      <c r="L245" s="18">
        <v>0</v>
      </c>
      <c r="M245" s="18">
        <v>0</v>
      </c>
      <c r="N245" s="18"/>
      <c r="O245" s="18" t="s">
        <v>284</v>
      </c>
      <c r="P245" s="18">
        <v>2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400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840</v>
      </c>
      <c r="C246" s="6" t="s">
        <v>71</v>
      </c>
      <c r="D246" s="18" t="s">
        <v>320</v>
      </c>
      <c r="E246" t="s">
        <v>841</v>
      </c>
      <c r="F246" s="23"/>
      <c r="G246" s="18" t="s">
        <v>389</v>
      </c>
      <c r="H246" s="18"/>
      <c r="I246" s="18" t="s">
        <v>323</v>
      </c>
      <c r="J246" s="12" t="s">
        <v>842</v>
      </c>
      <c r="K246" s="18"/>
      <c r="L246" s="18">
        <v>0</v>
      </c>
      <c r="M246" s="18">
        <v>0</v>
      </c>
      <c r="N246" s="18"/>
      <c r="O246" s="18" t="s">
        <v>748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843</v>
      </c>
      <c r="C247" s="6" t="s">
        <v>71</v>
      </c>
      <c r="D247" s="18" t="s">
        <v>320</v>
      </c>
      <c r="E247" t="s">
        <v>844</v>
      </c>
      <c r="F247" s="23"/>
      <c r="G247" s="18" t="s">
        <v>389</v>
      </c>
      <c r="H247" s="18"/>
      <c r="I247" s="18" t="s">
        <v>323</v>
      </c>
      <c r="J247" s="12" t="s">
        <v>845</v>
      </c>
      <c r="K247" s="18"/>
      <c r="L247" s="18">
        <v>0</v>
      </c>
      <c r="M247" s="18">
        <v>0</v>
      </c>
      <c r="N247" s="18"/>
      <c r="O247" s="18" t="s">
        <v>846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847</v>
      </c>
      <c r="C248" s="6" t="s">
        <v>71</v>
      </c>
      <c r="D248" s="18" t="s">
        <v>320</v>
      </c>
      <c r="E248" t="s">
        <v>848</v>
      </c>
      <c r="F248" s="23"/>
      <c r="G248" s="18" t="s">
        <v>389</v>
      </c>
      <c r="H248" s="18"/>
      <c r="I248" s="18" t="s">
        <v>323</v>
      </c>
      <c r="J248" s="12" t="s">
        <v>849</v>
      </c>
      <c r="K248" s="18"/>
      <c r="L248" s="18">
        <v>0</v>
      </c>
      <c r="M248" s="18">
        <v>0</v>
      </c>
      <c r="N248" s="18"/>
      <c r="O248" s="18" t="s">
        <v>850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851</v>
      </c>
      <c r="C249" s="6" t="s">
        <v>71</v>
      </c>
      <c r="D249" s="18" t="s">
        <v>320</v>
      </c>
      <c r="E249" t="s">
        <v>388</v>
      </c>
      <c r="F249" s="23"/>
      <c r="G249" s="18" t="s">
        <v>389</v>
      </c>
      <c r="H249" s="18"/>
      <c r="I249" s="18" t="s">
        <v>323</v>
      </c>
      <c r="J249" s="12" t="s">
        <v>390</v>
      </c>
      <c r="K249" s="18"/>
      <c r="L249" s="18">
        <v>0</v>
      </c>
      <c r="M249" s="18">
        <v>0</v>
      </c>
      <c r="N249" s="18"/>
      <c r="O249" s="18" t="s">
        <v>391</v>
      </c>
      <c r="P249" s="18">
        <v>1.9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450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500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852</v>
      </c>
      <c r="C250" s="6" t="s">
        <v>71</v>
      </c>
      <c r="D250" s="18" t="s">
        <v>320</v>
      </c>
      <c r="E250" t="s">
        <v>853</v>
      </c>
      <c r="F250" s="23"/>
      <c r="G250" s="18" t="s">
        <v>394</v>
      </c>
      <c r="H250" s="18"/>
      <c r="I250" s="18" t="s">
        <v>323</v>
      </c>
      <c r="J250" s="12" t="s">
        <v>854</v>
      </c>
      <c r="K250" s="18"/>
      <c r="L250" s="18">
        <v>0</v>
      </c>
      <c r="M250" s="18">
        <v>0</v>
      </c>
      <c r="N250" s="18"/>
      <c r="O250" s="18" t="s">
        <v>855</v>
      </c>
      <c r="P250" s="18">
        <v>1.3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350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856</v>
      </c>
      <c r="C251" s="6" t="s">
        <v>71</v>
      </c>
      <c r="D251" s="18" t="s">
        <v>320</v>
      </c>
      <c r="E251" t="s">
        <v>857</v>
      </c>
      <c r="F251" s="23"/>
      <c r="G251" s="18" t="s">
        <v>394</v>
      </c>
      <c r="H251" s="18"/>
      <c r="I251" s="18" t="s">
        <v>323</v>
      </c>
      <c r="J251" s="12" t="s">
        <v>858</v>
      </c>
      <c r="K251" s="18"/>
      <c r="L251" s="18">
        <v>0</v>
      </c>
      <c r="M251" s="18">
        <v>0</v>
      </c>
      <c r="N251" s="18"/>
      <c r="O251" s="18" t="s">
        <v>859</v>
      </c>
      <c r="P251" s="18">
        <v>2.1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400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860</v>
      </c>
      <c r="C252" s="6" t="s">
        <v>71</v>
      </c>
      <c r="D252" s="18" t="s">
        <v>320</v>
      </c>
      <c r="E252" t="s">
        <v>861</v>
      </c>
      <c r="F252" s="23"/>
      <c r="G252" s="18" t="s">
        <v>394</v>
      </c>
      <c r="H252" s="18"/>
      <c r="I252" s="18" t="s">
        <v>323</v>
      </c>
      <c r="J252" s="12" t="s">
        <v>862</v>
      </c>
      <c r="K252" s="18"/>
      <c r="L252" s="18">
        <v>0</v>
      </c>
      <c r="M252" s="18">
        <v>0</v>
      </c>
      <c r="N252" s="18"/>
      <c r="O252" s="18" t="s">
        <v>863</v>
      </c>
      <c r="P252" s="18">
        <v>1.7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300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864</v>
      </c>
      <c r="C253" s="6" t="s">
        <v>71</v>
      </c>
      <c r="D253" s="18" t="s">
        <v>320</v>
      </c>
      <c r="E253" t="s">
        <v>865</v>
      </c>
      <c r="F253" s="23"/>
      <c r="G253" s="18" t="s">
        <v>394</v>
      </c>
      <c r="H253" s="18"/>
      <c r="I253" s="18" t="s">
        <v>323</v>
      </c>
      <c r="J253" s="12" t="s">
        <v>866</v>
      </c>
      <c r="K253" s="18"/>
      <c r="L253" s="18">
        <v>0</v>
      </c>
      <c r="M253" s="18">
        <v>0</v>
      </c>
      <c r="N253" s="18"/>
      <c r="O253" s="18" t="s">
        <v>867</v>
      </c>
      <c r="P253" s="18">
        <v>1.4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868</v>
      </c>
      <c r="C254" s="6" t="s">
        <v>71</v>
      </c>
      <c r="D254" s="18" t="s">
        <v>320</v>
      </c>
      <c r="E254" t="s">
        <v>869</v>
      </c>
      <c r="F254" s="23"/>
      <c r="G254" s="18" t="s">
        <v>394</v>
      </c>
      <c r="H254" s="18"/>
      <c r="I254" s="18" t="s">
        <v>323</v>
      </c>
      <c r="J254" s="12" t="s">
        <v>870</v>
      </c>
      <c r="K254" s="18"/>
      <c r="L254" s="18">
        <v>0</v>
      </c>
      <c r="M254" s="18">
        <v>0</v>
      </c>
      <c r="N254" s="18"/>
      <c r="O254" s="18" t="s">
        <v>871</v>
      </c>
      <c r="P254" s="18">
        <v>1.5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350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872</v>
      </c>
      <c r="C255" s="6" t="s">
        <v>71</v>
      </c>
      <c r="D255" s="18" t="s">
        <v>320</v>
      </c>
      <c r="E255" t="s">
        <v>873</v>
      </c>
      <c r="F255" s="23"/>
      <c r="G255" s="18" t="s">
        <v>394</v>
      </c>
      <c r="H255" s="18"/>
      <c r="I255" s="18" t="s">
        <v>323</v>
      </c>
      <c r="J255" s="12" t="s">
        <v>874</v>
      </c>
      <c r="K255" s="18"/>
      <c r="L255" s="18">
        <v>0</v>
      </c>
      <c r="M255" s="18">
        <v>0</v>
      </c>
      <c r="N255" s="18"/>
      <c r="O255" s="18" t="s">
        <v>875</v>
      </c>
      <c r="P255" s="18">
        <v>1.4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400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250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876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877</v>
      </c>
      <c r="K256" s="18"/>
      <c r="L256" s="18">
        <v>0</v>
      </c>
      <c r="M256" s="18">
        <v>0</v>
      </c>
      <c r="N256" s="18"/>
      <c r="O256" s="10" t="s">
        <v>210</v>
      </c>
      <c r="P256" s="18">
        <v>1.7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72" s="6" customFormat="1">
      <c r="B257" t="s">
        <v>878</v>
      </c>
      <c r="C257" s="6" t="s">
        <v>71</v>
      </c>
      <c r="D257" s="18" t="s">
        <v>320</v>
      </c>
      <c r="E257" t="s">
        <v>393</v>
      </c>
      <c r="F257" s="23"/>
      <c r="G257" s="18" t="s">
        <v>394</v>
      </c>
      <c r="H257" s="18"/>
      <c r="I257" s="18" t="s">
        <v>323</v>
      </c>
      <c r="J257" s="12" t="s">
        <v>395</v>
      </c>
      <c r="K257" s="18"/>
      <c r="L257" s="18">
        <v>0</v>
      </c>
      <c r="M257" s="18">
        <v>0</v>
      </c>
      <c r="N257" s="18"/>
      <c r="O257" s="10" t="s">
        <v>210</v>
      </c>
      <c r="P257" s="18">
        <v>2</v>
      </c>
      <c r="Q257" s="18"/>
      <c r="R257" s="18"/>
      <c r="S257" s="18"/>
      <c r="T257" s="18"/>
      <c r="U257" s="18">
        <v>2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500</v>
      </c>
      <c r="AQ257" s="18">
        <v>0.2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  <c r="BT257" s="6" t="s">
        <v>379</v>
      </c>
    </row>
    <row r="258" spans="2:72" s="6" customFormat="1">
      <c r="B258" t="s">
        <v>879</v>
      </c>
      <c r="C258" s="6" t="s">
        <v>71</v>
      </c>
      <c r="D258" s="18" t="s">
        <v>320</v>
      </c>
      <c r="E258" t="s">
        <v>880</v>
      </c>
      <c r="F258" s="23"/>
      <c r="G258" s="18" t="s">
        <v>398</v>
      </c>
      <c r="H258" s="18"/>
      <c r="I258" s="18" t="s">
        <v>323</v>
      </c>
      <c r="J258" s="12" t="s">
        <v>881</v>
      </c>
      <c r="K258" s="18"/>
      <c r="L258" s="18">
        <v>0</v>
      </c>
      <c r="M258" s="18">
        <v>0</v>
      </c>
      <c r="N258" s="18"/>
      <c r="O258" s="18" t="s">
        <v>296</v>
      </c>
      <c r="P258" s="18">
        <v>1.5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72" s="6" customFormat="1">
      <c r="B259" t="s">
        <v>882</v>
      </c>
      <c r="C259" s="6" t="s">
        <v>71</v>
      </c>
      <c r="D259" s="18" t="s">
        <v>320</v>
      </c>
      <c r="E259" t="s">
        <v>883</v>
      </c>
      <c r="F259" s="23"/>
      <c r="G259" s="18" t="s">
        <v>398</v>
      </c>
      <c r="H259" s="18"/>
      <c r="I259" s="18" t="s">
        <v>323</v>
      </c>
      <c r="J259" s="12" t="s">
        <v>884</v>
      </c>
      <c r="K259" s="18"/>
      <c r="L259" s="18">
        <v>0</v>
      </c>
      <c r="M259" s="18">
        <v>0</v>
      </c>
      <c r="N259" s="18"/>
      <c r="O259" s="18" t="s">
        <v>885</v>
      </c>
      <c r="P259" s="18">
        <v>2.15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72" s="6" customFormat="1">
      <c r="B260" t="s">
        <v>886</v>
      </c>
      <c r="C260" s="6" t="s">
        <v>71</v>
      </c>
      <c r="D260" s="18" t="s">
        <v>320</v>
      </c>
      <c r="E260" t="s">
        <v>887</v>
      </c>
      <c r="F260" s="23"/>
      <c r="G260" s="18" t="s">
        <v>398</v>
      </c>
      <c r="H260" s="18"/>
      <c r="I260" s="18" t="s">
        <v>323</v>
      </c>
      <c r="J260" s="12" t="s">
        <v>888</v>
      </c>
      <c r="K260" s="18"/>
      <c r="L260" s="18">
        <v>0</v>
      </c>
      <c r="M260" s="18">
        <v>0</v>
      </c>
      <c r="N260" s="18"/>
      <c r="O260" s="18" t="s">
        <v>679</v>
      </c>
      <c r="P260" s="18">
        <v>1.32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72" s="6" customFormat="1">
      <c r="B261" t="s">
        <v>889</v>
      </c>
      <c r="C261" s="6" t="s">
        <v>71</v>
      </c>
      <c r="D261" s="18" t="s">
        <v>320</v>
      </c>
      <c r="E261" t="s">
        <v>890</v>
      </c>
      <c r="F261" s="23"/>
      <c r="G261" s="18" t="s">
        <v>398</v>
      </c>
      <c r="H261" s="18"/>
      <c r="I261" s="18" t="s">
        <v>323</v>
      </c>
      <c r="J261" s="12" t="s">
        <v>891</v>
      </c>
      <c r="K261" s="18"/>
      <c r="L261" s="18">
        <v>0</v>
      </c>
      <c r="M261" s="18">
        <v>0</v>
      </c>
      <c r="N261" s="18"/>
      <c r="O261" s="18" t="s">
        <v>892</v>
      </c>
      <c r="P261" s="18">
        <v>1.4</v>
      </c>
      <c r="Q261" s="18"/>
      <c r="R261" s="18"/>
      <c r="S261" s="18"/>
      <c r="T261" s="18"/>
      <c r="U261" s="18">
        <v>1.5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72" s="6" customFormat="1">
      <c r="B262" t="s">
        <v>893</v>
      </c>
      <c r="C262" s="6" t="s">
        <v>71</v>
      </c>
      <c r="D262" s="18" t="s">
        <v>320</v>
      </c>
      <c r="E262" s="25" t="s">
        <v>894</v>
      </c>
      <c r="F262" s="23"/>
      <c r="G262" s="18" t="s">
        <v>398</v>
      </c>
      <c r="H262" s="18"/>
      <c r="I262" s="18" t="s">
        <v>323</v>
      </c>
      <c r="J262" s="12"/>
      <c r="K262" s="18"/>
      <c r="L262" s="18">
        <v>0</v>
      </c>
      <c r="M262" s="18">
        <v>0</v>
      </c>
      <c r="N262" s="18"/>
      <c r="O262" s="18" t="s">
        <v>895</v>
      </c>
      <c r="P262" s="18">
        <v>1.5</v>
      </c>
      <c r="Q262" s="18"/>
      <c r="R262" s="18"/>
      <c r="S262" s="18"/>
      <c r="T262" s="18"/>
      <c r="U262" s="18">
        <v>2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250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72" s="6" customFormat="1">
      <c r="B263" t="s">
        <v>896</v>
      </c>
      <c r="C263" s="6" t="s">
        <v>71</v>
      </c>
      <c r="D263" s="18" t="s">
        <v>320</v>
      </c>
      <c r="E263" t="s">
        <v>397</v>
      </c>
      <c r="F263" s="23"/>
      <c r="G263" s="18" t="s">
        <v>398</v>
      </c>
      <c r="H263" s="18"/>
      <c r="I263" s="18" t="s">
        <v>323</v>
      </c>
      <c r="J263" s="12" t="s">
        <v>399</v>
      </c>
      <c r="K263" s="18"/>
      <c r="L263" s="18">
        <v>0</v>
      </c>
      <c r="M263" s="18">
        <v>0</v>
      </c>
      <c r="N263" s="18"/>
      <c r="O263" s="10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800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72" s="6" customFormat="1">
      <c r="B264" t="s">
        <v>897</v>
      </c>
      <c r="C264" s="6" t="s">
        <v>71</v>
      </c>
      <c r="D264" s="18" t="s">
        <v>320</v>
      </c>
      <c r="E264" t="s">
        <v>161</v>
      </c>
      <c r="F264" s="23"/>
      <c r="G264" s="18" t="s">
        <v>898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8" t="s">
        <v>163</v>
      </c>
      <c r="P264" s="10">
        <v>2.4500000000000002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72" s="6" customFormat="1">
      <c r="B265" t="s">
        <v>899</v>
      </c>
      <c r="C265" s="6" t="s">
        <v>71</v>
      </c>
      <c r="D265" s="18" t="s">
        <v>320</v>
      </c>
      <c r="E265" t="s">
        <v>172</v>
      </c>
      <c r="F265" s="23"/>
      <c r="G265" s="18" t="s">
        <v>898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174</v>
      </c>
      <c r="P265" s="18">
        <v>1.6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72" s="6" customFormat="1">
      <c r="B266" t="s">
        <v>900</v>
      </c>
      <c r="C266" s="6" t="s">
        <v>71</v>
      </c>
      <c r="D266" s="18" t="s">
        <v>320</v>
      </c>
      <c r="E266" t="s">
        <v>901</v>
      </c>
      <c r="F266" s="23"/>
      <c r="G266" s="18" t="s">
        <v>898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0" t="s">
        <v>585</v>
      </c>
      <c r="P266" s="10">
        <v>0.45</v>
      </c>
      <c r="Q266" s="18"/>
      <c r="R266" s="18"/>
      <c r="S266" s="18"/>
      <c r="T266" s="18"/>
      <c r="U266" s="18">
        <v>4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72" s="6" customFormat="1">
      <c r="B267" t="s">
        <v>902</v>
      </c>
      <c r="C267" s="6" t="s">
        <v>71</v>
      </c>
      <c r="D267" s="18" t="s">
        <v>320</v>
      </c>
      <c r="E267" s="4" t="s">
        <v>903</v>
      </c>
      <c r="F267" s="23"/>
      <c r="G267" s="18" t="s">
        <v>898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8" t="s">
        <v>904</v>
      </c>
      <c r="P267" s="18">
        <v>1.5</v>
      </c>
      <c r="Q267" s="18"/>
      <c r="R267" s="18"/>
      <c r="S267" s="18"/>
      <c r="T267" s="18"/>
      <c r="U267" s="18">
        <v>1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72" s="6" customFormat="1">
      <c r="B268" t="s">
        <v>905</v>
      </c>
      <c r="C268" s="6" t="s">
        <v>71</v>
      </c>
      <c r="D268" s="18" t="s">
        <v>320</v>
      </c>
      <c r="E268" t="s">
        <v>290</v>
      </c>
      <c r="F268" s="23"/>
      <c r="G268" s="18" t="s">
        <v>898</v>
      </c>
      <c r="H268" s="18"/>
      <c r="I268" s="18" t="s">
        <v>323</v>
      </c>
      <c r="J268" s="18" t="s">
        <v>349</v>
      </c>
      <c r="K268" s="18"/>
      <c r="L268" s="18">
        <v>0</v>
      </c>
      <c r="M268" s="18">
        <v>0</v>
      </c>
      <c r="N268" s="18"/>
      <c r="O268" s="10" t="s">
        <v>292</v>
      </c>
      <c r="P268" s="18">
        <v>2.6</v>
      </c>
      <c r="Q268" s="18"/>
      <c r="R268" s="18"/>
      <c r="S268" s="18"/>
      <c r="T268" s="18"/>
      <c r="U268" s="18">
        <v>4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600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72" s="6" customFormat="1">
      <c r="B269" t="s">
        <v>906</v>
      </c>
      <c r="C269" s="6" t="s">
        <v>71</v>
      </c>
      <c r="D269" s="18" t="s">
        <v>320</v>
      </c>
      <c r="E269" t="s">
        <v>907</v>
      </c>
      <c r="F269" s="23"/>
      <c r="G269" s="18"/>
      <c r="H269" s="18"/>
      <c r="I269" s="18" t="s">
        <v>323</v>
      </c>
      <c r="J269" s="18"/>
      <c r="K269" s="18"/>
      <c r="L269" s="18">
        <v>0</v>
      </c>
      <c r="M269" s="18">
        <v>0</v>
      </c>
      <c r="N269" s="18"/>
      <c r="O269" s="18" t="s">
        <v>418</v>
      </c>
      <c r="P269" s="10">
        <v>1.5</v>
      </c>
      <c r="Q269" s="18"/>
      <c r="R269" s="18"/>
      <c r="S269" s="18"/>
      <c r="T269" s="18"/>
      <c r="U269" s="18">
        <v>1</v>
      </c>
      <c r="V269" s="18">
        <v>2</v>
      </c>
      <c r="W269" s="18" t="s">
        <v>150</v>
      </c>
      <c r="X269" s="18">
        <v>350</v>
      </c>
      <c r="Y269" s="18">
        <v>0</v>
      </c>
      <c r="Z269" s="18" t="s">
        <v>151</v>
      </c>
      <c r="AA269" s="18">
        <v>1500</v>
      </c>
      <c r="AB269" s="18"/>
      <c r="AC269" s="18"/>
      <c r="AD269" s="18">
        <v>0</v>
      </c>
      <c r="AE269" s="18" t="s">
        <v>151</v>
      </c>
      <c r="AF269" s="18"/>
      <c r="AG269" s="18"/>
      <c r="AH269" s="62" t="s">
        <v>152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300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3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72" s="6" customFormat="1">
      <c r="B270" t="s">
        <v>908</v>
      </c>
      <c r="C270" s="6" t="s">
        <v>71</v>
      </c>
      <c r="D270" s="18" t="s">
        <v>320</v>
      </c>
      <c r="E270" s="26" t="s">
        <v>909</v>
      </c>
      <c r="F270" s="23"/>
      <c r="G270" s="18"/>
      <c r="H270" s="18"/>
      <c r="I270" s="18" t="s">
        <v>323</v>
      </c>
      <c r="J270" s="18" t="s">
        <v>910</v>
      </c>
      <c r="K270" s="18"/>
      <c r="L270" s="18">
        <v>0</v>
      </c>
      <c r="M270" s="18">
        <v>0</v>
      </c>
      <c r="N270" s="18"/>
      <c r="O270" s="18" t="s">
        <v>424</v>
      </c>
      <c r="P270" s="10">
        <v>4</v>
      </c>
      <c r="Q270" s="18"/>
      <c r="R270" s="18"/>
      <c r="S270" s="18"/>
      <c r="T270" s="18"/>
      <c r="U270" s="18">
        <v>4</v>
      </c>
      <c r="V270" s="18">
        <v>2</v>
      </c>
      <c r="W270" s="18" t="s">
        <v>150</v>
      </c>
      <c r="X270" s="18">
        <v>450</v>
      </c>
      <c r="Y270" s="18">
        <v>0</v>
      </c>
      <c r="Z270" s="18" t="s">
        <v>151</v>
      </c>
      <c r="AA270" s="18">
        <v>1500</v>
      </c>
      <c r="AB270" s="18" t="s">
        <v>535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72" s="6" customFormat="1">
      <c r="B271" t="s">
        <v>911</v>
      </c>
      <c r="C271" s="6" t="s">
        <v>71</v>
      </c>
      <c r="D271" s="18" t="s">
        <v>320</v>
      </c>
      <c r="E271" s="26" t="s">
        <v>912</v>
      </c>
      <c r="F271" s="23"/>
      <c r="G271" s="18"/>
      <c r="H271" s="18"/>
      <c r="I271" s="18" t="s">
        <v>323</v>
      </c>
      <c r="J271" s="54" t="s">
        <v>913</v>
      </c>
      <c r="K271" s="18"/>
      <c r="L271" s="18">
        <v>0</v>
      </c>
      <c r="M271" s="18">
        <v>0</v>
      </c>
      <c r="N271" s="18"/>
      <c r="O271" s="18" t="s">
        <v>914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 t="s">
        <v>915</v>
      </c>
      <c r="AC271" s="18"/>
      <c r="AD271" s="18">
        <v>900</v>
      </c>
      <c r="AE271" s="18" t="s">
        <v>151</v>
      </c>
      <c r="AF271" s="18">
        <v>0.1</v>
      </c>
      <c r="AG271" s="18">
        <v>1</v>
      </c>
      <c r="AH271" s="62" t="s">
        <v>165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72" s="6" customFormat="1">
      <c r="B272" t="s">
        <v>916</v>
      </c>
      <c r="C272" s="6" t="s">
        <v>71</v>
      </c>
      <c r="D272" s="18" t="s">
        <v>320</v>
      </c>
      <c r="E272" s="26" t="s">
        <v>912</v>
      </c>
      <c r="F272" s="23"/>
      <c r="G272" s="18"/>
      <c r="H272" s="18"/>
      <c r="I272" s="18" t="s">
        <v>323</v>
      </c>
      <c r="J272" s="54" t="s">
        <v>917</v>
      </c>
      <c r="K272" s="18"/>
      <c r="L272" s="18">
        <v>0</v>
      </c>
      <c r="M272" s="18">
        <v>0</v>
      </c>
      <c r="N272" s="18"/>
      <c r="O272" s="18" t="s">
        <v>918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919</v>
      </c>
      <c r="C273" s="6" t="s">
        <v>71</v>
      </c>
      <c r="D273" s="18" t="s">
        <v>320</v>
      </c>
      <c r="E273" s="26" t="s">
        <v>912</v>
      </c>
      <c r="F273" s="23"/>
      <c r="G273" s="18"/>
      <c r="H273" s="18"/>
      <c r="I273" s="18" t="s">
        <v>323</v>
      </c>
      <c r="J273" s="18" t="s">
        <v>920</v>
      </c>
      <c r="K273" s="18"/>
      <c r="L273" s="18">
        <v>0</v>
      </c>
      <c r="M273" s="18">
        <v>0</v>
      </c>
      <c r="N273" s="18"/>
      <c r="O273" s="18" t="s">
        <v>921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/>
      <c r="AC273" s="18"/>
      <c r="AD273" s="18">
        <v>0</v>
      </c>
      <c r="AE273" s="18" t="s">
        <v>151</v>
      </c>
      <c r="AF273" s="18"/>
      <c r="AG273" s="18"/>
      <c r="AH273" s="62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922</v>
      </c>
      <c r="C274" s="6" t="s">
        <v>71</v>
      </c>
      <c r="D274" s="18" t="s">
        <v>320</v>
      </c>
      <c r="E274" s="26" t="s">
        <v>912</v>
      </c>
      <c r="F274" s="23"/>
      <c r="G274" s="18"/>
      <c r="H274" s="18"/>
      <c r="I274" s="18" t="s">
        <v>323</v>
      </c>
      <c r="J274" s="18" t="s">
        <v>923</v>
      </c>
      <c r="K274" s="18"/>
      <c r="L274" s="18">
        <v>0</v>
      </c>
      <c r="M274" s="18">
        <v>0</v>
      </c>
      <c r="N274" s="18"/>
      <c r="O274" s="18" t="s">
        <v>924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 t="s">
        <v>925</v>
      </c>
      <c r="AC274" s="18"/>
      <c r="AD274" s="18">
        <v>900</v>
      </c>
      <c r="AE274" s="18" t="s">
        <v>151</v>
      </c>
      <c r="AF274" s="18">
        <v>0.1</v>
      </c>
      <c r="AG274" s="18">
        <v>1</v>
      </c>
      <c r="AH274" s="62" t="s">
        <v>165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926</v>
      </c>
      <c r="C275" s="6" t="s">
        <v>71</v>
      </c>
      <c r="D275" s="18" t="s">
        <v>320</v>
      </c>
      <c r="E275" s="26" t="s">
        <v>912</v>
      </c>
      <c r="F275" s="23"/>
      <c r="G275" s="18"/>
      <c r="H275" s="18"/>
      <c r="I275" s="18" t="s">
        <v>323</v>
      </c>
      <c r="J275" s="18" t="s">
        <v>927</v>
      </c>
      <c r="K275" s="18"/>
      <c r="L275" s="18">
        <v>0</v>
      </c>
      <c r="M275" s="18">
        <v>0</v>
      </c>
      <c r="N275" s="18"/>
      <c r="O275" s="18" t="s">
        <v>928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929</v>
      </c>
      <c r="C276" s="6" t="s">
        <v>71</v>
      </c>
      <c r="D276" s="18" t="s">
        <v>320</v>
      </c>
      <c r="E276" s="26" t="s">
        <v>912</v>
      </c>
      <c r="F276" s="23"/>
      <c r="G276" s="18"/>
      <c r="H276" s="18"/>
      <c r="I276" s="18" t="s">
        <v>323</v>
      </c>
      <c r="J276" s="18" t="s">
        <v>920</v>
      </c>
      <c r="K276" s="18"/>
      <c r="L276" s="18">
        <v>0</v>
      </c>
      <c r="M276" s="18">
        <v>0</v>
      </c>
      <c r="N276" s="18"/>
      <c r="O276" s="18" t="s">
        <v>930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931</v>
      </c>
      <c r="C277" s="6" t="s">
        <v>71</v>
      </c>
      <c r="D277" s="18" t="s">
        <v>320</v>
      </c>
      <c r="E277" s="26" t="s">
        <v>912</v>
      </c>
      <c r="F277" s="23"/>
      <c r="G277" s="18"/>
      <c r="H277" s="18"/>
      <c r="I277" s="18" t="s">
        <v>323</v>
      </c>
      <c r="J277" s="18" t="s">
        <v>932</v>
      </c>
      <c r="K277" s="18"/>
      <c r="L277" s="18">
        <v>0</v>
      </c>
      <c r="M277" s="18">
        <v>0</v>
      </c>
      <c r="N277" s="18"/>
      <c r="O277" s="18" t="s">
        <v>446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933</v>
      </c>
      <c r="C278" s="6" t="s">
        <v>71</v>
      </c>
      <c r="D278" s="18" t="s">
        <v>320</v>
      </c>
      <c r="E278" s="26" t="s">
        <v>912</v>
      </c>
      <c r="F278" s="23"/>
      <c r="G278" s="18"/>
      <c r="H278" s="18"/>
      <c r="I278" s="18" t="s">
        <v>323</v>
      </c>
      <c r="J278" s="18" t="s">
        <v>920</v>
      </c>
      <c r="K278" s="18"/>
      <c r="L278" s="18">
        <v>0</v>
      </c>
      <c r="M278" s="18">
        <v>0</v>
      </c>
      <c r="N278" s="18"/>
      <c r="O278" s="18" t="s">
        <v>928</v>
      </c>
      <c r="P278" s="10">
        <v>2.5</v>
      </c>
      <c r="Q278" s="18"/>
      <c r="R278" s="18"/>
      <c r="S278" s="18"/>
      <c r="T278" s="18"/>
      <c r="U278" s="18">
        <v>3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/>
      <c r="AC278" s="18"/>
      <c r="AD278" s="18">
        <v>0</v>
      </c>
      <c r="AE278" s="18" t="s">
        <v>151</v>
      </c>
      <c r="AF278" s="18"/>
      <c r="AG278" s="18"/>
      <c r="AH278" s="62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600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934</v>
      </c>
      <c r="C279" s="6" t="s">
        <v>71</v>
      </c>
      <c r="D279" s="18" t="s">
        <v>320</v>
      </c>
      <c r="E279" s="26" t="s">
        <v>935</v>
      </c>
      <c r="F279" s="23"/>
      <c r="G279" s="18"/>
      <c r="H279" s="18"/>
      <c r="I279" s="18" t="s">
        <v>323</v>
      </c>
      <c r="J279" s="18" t="s">
        <v>936</v>
      </c>
      <c r="K279" s="18"/>
      <c r="L279" s="18">
        <v>0</v>
      </c>
      <c r="M279" s="18">
        <v>0</v>
      </c>
      <c r="N279" s="18"/>
      <c r="O279" s="18" t="s">
        <v>937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 t="s">
        <v>938</v>
      </c>
      <c r="AC279" s="18"/>
      <c r="AD279" s="18">
        <v>900</v>
      </c>
      <c r="AE279" s="18" t="s">
        <v>151</v>
      </c>
      <c r="AF279" s="18">
        <v>0.1</v>
      </c>
      <c r="AG279" s="18">
        <v>1</v>
      </c>
      <c r="AH279" s="62" t="s">
        <v>165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500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939</v>
      </c>
      <c r="C280" s="6" t="s">
        <v>71</v>
      </c>
      <c r="D280" s="18" t="s">
        <v>320</v>
      </c>
      <c r="E280" t="s">
        <v>940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941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942</v>
      </c>
      <c r="C281" s="6" t="s">
        <v>71</v>
      </c>
      <c r="D281" s="18" t="s">
        <v>320</v>
      </c>
      <c r="E281" t="s">
        <v>943</v>
      </c>
      <c r="F281" s="23"/>
      <c r="G281" s="18"/>
      <c r="H281" s="18"/>
      <c r="I281" s="18" t="s">
        <v>323</v>
      </c>
      <c r="J281" s="18" t="s">
        <v>349</v>
      </c>
      <c r="K281" s="18"/>
      <c r="L281" s="18">
        <v>0</v>
      </c>
      <c r="M281" s="18">
        <v>0</v>
      </c>
      <c r="N281" s="18"/>
      <c r="O281" s="18" t="s">
        <v>944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300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945</v>
      </c>
      <c r="C282" s="6" t="s">
        <v>71</v>
      </c>
      <c r="D282" s="18" t="s">
        <v>320</v>
      </c>
      <c r="E282" t="s">
        <v>946</v>
      </c>
      <c r="F282" s="23"/>
      <c r="G282" s="18"/>
      <c r="H282" s="18"/>
      <c r="I282" s="18" t="s">
        <v>323</v>
      </c>
      <c r="J282" s="18" t="s">
        <v>947</v>
      </c>
      <c r="K282" s="18"/>
      <c r="L282" s="18">
        <v>0</v>
      </c>
      <c r="M282" s="18">
        <v>0</v>
      </c>
      <c r="N282" s="18"/>
      <c r="O282" s="18" t="s">
        <v>948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250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949</v>
      </c>
      <c r="C283" s="6" t="s">
        <v>71</v>
      </c>
      <c r="D283" s="18" t="s">
        <v>320</v>
      </c>
      <c r="E283" t="s">
        <v>950</v>
      </c>
      <c r="F283" s="23"/>
      <c r="G283" s="18"/>
      <c r="H283" s="18"/>
      <c r="I283" s="18" t="s">
        <v>323</v>
      </c>
      <c r="J283" s="18" t="s">
        <v>951</v>
      </c>
      <c r="K283" s="18"/>
      <c r="L283" s="18">
        <v>0</v>
      </c>
      <c r="M283" s="18">
        <v>0</v>
      </c>
      <c r="N283" s="18"/>
      <c r="O283" s="18" t="s">
        <v>952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/>
      <c r="AC283" s="18"/>
      <c r="AD283" s="18">
        <v>0</v>
      </c>
      <c r="AE283" s="18" t="s">
        <v>151</v>
      </c>
      <c r="AF283" s="18"/>
      <c r="AG283" s="18"/>
      <c r="AH283" s="62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300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953</v>
      </c>
      <c r="C284" s="6" t="s">
        <v>71</v>
      </c>
      <c r="D284" s="18" t="s">
        <v>320</v>
      </c>
      <c r="E284" s="26" t="s">
        <v>954</v>
      </c>
      <c r="F284" s="23"/>
      <c r="G284" s="18"/>
      <c r="H284" s="18"/>
      <c r="I284" s="18" t="s">
        <v>323</v>
      </c>
      <c r="J284" s="18" t="s">
        <v>955</v>
      </c>
      <c r="K284" s="18"/>
      <c r="L284" s="18">
        <v>0</v>
      </c>
      <c r="M284" s="18">
        <v>0</v>
      </c>
      <c r="N284" s="18"/>
      <c r="O284" s="18" t="s">
        <v>956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 t="s">
        <v>957</v>
      </c>
      <c r="AC284" s="18"/>
      <c r="AD284" s="18">
        <v>900</v>
      </c>
      <c r="AE284" s="18" t="s">
        <v>151</v>
      </c>
      <c r="AF284" s="18">
        <v>0.1</v>
      </c>
      <c r="AG284" s="18">
        <v>1</v>
      </c>
      <c r="AH284" s="62" t="s">
        <v>165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600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958</v>
      </c>
      <c r="C285" s="6" t="s">
        <v>71</v>
      </c>
      <c r="D285" s="18" t="s">
        <v>320</v>
      </c>
      <c r="E285" t="s">
        <v>959</v>
      </c>
      <c r="F285" s="23"/>
      <c r="G285" s="18"/>
      <c r="H285" s="18"/>
      <c r="I285" s="18" t="s">
        <v>323</v>
      </c>
      <c r="J285" s="29" t="s">
        <v>960</v>
      </c>
      <c r="K285" s="18"/>
      <c r="L285" s="18">
        <v>0</v>
      </c>
      <c r="M285" s="18">
        <v>0</v>
      </c>
      <c r="N285" s="18"/>
      <c r="O285" s="18" t="s">
        <v>961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962</v>
      </c>
      <c r="C286" s="6" t="s">
        <v>71</v>
      </c>
      <c r="D286" s="18" t="s">
        <v>320</v>
      </c>
      <c r="E286" t="s">
        <v>963</v>
      </c>
      <c r="F286" s="23"/>
      <c r="G286" s="18"/>
      <c r="H286" s="18"/>
      <c r="I286" s="18" t="s">
        <v>323</v>
      </c>
      <c r="J286" s="18" t="s">
        <v>349</v>
      </c>
      <c r="K286" s="18"/>
      <c r="L286" s="18">
        <v>0</v>
      </c>
      <c r="M286" s="18">
        <v>0</v>
      </c>
      <c r="N286" s="18"/>
      <c r="O286" s="18" t="s">
        <v>964</v>
      </c>
      <c r="P286" s="10">
        <v>1</v>
      </c>
      <c r="Q286" s="18"/>
      <c r="R286" s="18"/>
      <c r="S286" s="18"/>
      <c r="T286" s="18"/>
      <c r="U286" s="18">
        <v>1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300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t="s">
        <v>965</v>
      </c>
      <c r="C287" s="6" t="s">
        <v>71</v>
      </c>
      <c r="D287" s="18" t="s">
        <v>320</v>
      </c>
      <c r="E287" s="26" t="s">
        <v>966</v>
      </c>
      <c r="F287" s="23"/>
      <c r="G287" s="18"/>
      <c r="H287" s="18"/>
      <c r="I287" s="18" t="s">
        <v>323</v>
      </c>
      <c r="J287" s="54" t="s">
        <v>913</v>
      </c>
      <c r="K287" s="18"/>
      <c r="L287" s="18">
        <v>0</v>
      </c>
      <c r="M287" s="18">
        <v>0</v>
      </c>
      <c r="N287" s="18"/>
      <c r="O287" s="18" t="s">
        <v>300</v>
      </c>
      <c r="P287" s="10">
        <v>2.5</v>
      </c>
      <c r="Q287" s="18"/>
      <c r="R287" s="18"/>
      <c r="S287" s="18"/>
      <c r="T287" s="18"/>
      <c r="U287" s="18">
        <v>3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500</v>
      </c>
      <c r="AQ287" s="18">
        <v>0.15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100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967</v>
      </c>
      <c r="C288" s="6" t="s">
        <v>71</v>
      </c>
      <c r="D288" s="18" t="s">
        <v>320</v>
      </c>
      <c r="E288" s="17" t="s">
        <v>968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969</v>
      </c>
      <c r="P288" s="10">
        <v>1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/>
      <c r="AC288" s="18"/>
      <c r="AD288" s="18">
        <v>0</v>
      </c>
      <c r="AE288" s="18" t="s">
        <v>151</v>
      </c>
      <c r="AF288" s="18"/>
      <c r="AG288" s="18"/>
      <c r="AH288" s="62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300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970</v>
      </c>
      <c r="C289" s="6" t="s">
        <v>71</v>
      </c>
      <c r="D289" s="18" t="s">
        <v>320</v>
      </c>
      <c r="E289" s="17" t="s">
        <v>971</v>
      </c>
      <c r="F289" s="23"/>
      <c r="G289" s="18"/>
      <c r="H289" s="18"/>
      <c r="I289" s="18" t="s">
        <v>323</v>
      </c>
      <c r="J289" s="18"/>
      <c r="K289" s="18"/>
      <c r="L289" s="18">
        <v>0</v>
      </c>
      <c r="M289" s="18">
        <v>0</v>
      </c>
      <c r="N289" s="18"/>
      <c r="O289" s="18" t="s">
        <v>972</v>
      </c>
      <c r="P289" s="10">
        <v>2</v>
      </c>
      <c r="Q289" s="18"/>
      <c r="R289" s="18"/>
      <c r="S289" s="18"/>
      <c r="T289" s="18"/>
      <c r="U289" s="18">
        <v>0.5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 t="s">
        <v>957</v>
      </c>
      <c r="AC289" s="18"/>
      <c r="AD289" s="18">
        <v>900</v>
      </c>
      <c r="AE289" s="18" t="s">
        <v>151</v>
      </c>
      <c r="AF289" s="18">
        <v>0.1</v>
      </c>
      <c r="AG289" s="18">
        <v>1</v>
      </c>
      <c r="AH289" s="62" t="s">
        <v>165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600</v>
      </c>
      <c r="AQ289" s="18">
        <v>0.5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5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973</v>
      </c>
      <c r="C290" s="6" t="s">
        <v>71</v>
      </c>
      <c r="D290" s="18" t="s">
        <v>320</v>
      </c>
      <c r="E290" s="17" t="s">
        <v>974</v>
      </c>
      <c r="F290" s="23"/>
      <c r="G290" s="18"/>
      <c r="H290" s="18"/>
      <c r="I290" s="18" t="s">
        <v>323</v>
      </c>
      <c r="J290" s="12" t="s">
        <v>870</v>
      </c>
      <c r="K290" s="18"/>
      <c r="L290" s="18">
        <v>0</v>
      </c>
      <c r="M290" s="18">
        <v>0</v>
      </c>
      <c r="N290" s="18"/>
      <c r="O290" s="18" t="s">
        <v>975</v>
      </c>
      <c r="P290" s="10">
        <v>3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17" t="s">
        <v>976</v>
      </c>
      <c r="C291" s="6" t="s">
        <v>71</v>
      </c>
      <c r="D291" s="18" t="s">
        <v>320</v>
      </c>
      <c r="E291" s="17" t="s">
        <v>977</v>
      </c>
      <c r="F291" s="23"/>
      <c r="G291" s="18"/>
      <c r="H291" s="18"/>
      <c r="I291" s="18" t="s">
        <v>323</v>
      </c>
      <c r="J291" s="12" t="s">
        <v>874</v>
      </c>
      <c r="K291" s="18"/>
      <c r="L291" s="18">
        <v>0</v>
      </c>
      <c r="M291" s="18">
        <v>0</v>
      </c>
      <c r="N291" s="18"/>
      <c r="O291" s="18" t="s">
        <v>978</v>
      </c>
      <c r="P291" s="10">
        <v>4</v>
      </c>
      <c r="Q291" s="18"/>
      <c r="R291" s="18"/>
      <c r="S291" s="18"/>
      <c r="T291" s="18"/>
      <c r="U291" s="18">
        <v>4</v>
      </c>
      <c r="V291" s="18">
        <v>2</v>
      </c>
      <c r="W291" s="18" t="s">
        <v>150</v>
      </c>
      <c r="X291" s="18">
        <v>522</v>
      </c>
      <c r="Y291" s="18">
        <v>0</v>
      </c>
      <c r="Z291" s="18" t="s">
        <v>151</v>
      </c>
      <c r="AA291" s="18">
        <v>1500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300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0">
        <v>20</v>
      </c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979</v>
      </c>
      <c r="C292" s="6" t="s">
        <v>71</v>
      </c>
      <c r="D292" s="18" t="s">
        <v>320</v>
      </c>
      <c r="E292" s="55" t="s">
        <v>980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981</v>
      </c>
      <c r="P292" s="18">
        <v>1.34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982</v>
      </c>
      <c r="C293" s="6" t="s">
        <v>71</v>
      </c>
      <c r="D293" s="18" t="s">
        <v>320</v>
      </c>
      <c r="E293" s="55" t="s">
        <v>983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981</v>
      </c>
      <c r="P293" s="18">
        <v>1.4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984</v>
      </c>
      <c r="C294" s="6" t="s">
        <v>71</v>
      </c>
      <c r="D294" s="18" t="s">
        <v>320</v>
      </c>
      <c r="E294" s="55" t="s">
        <v>985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981</v>
      </c>
      <c r="P294" s="18">
        <v>1.46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986</v>
      </c>
      <c r="C295" s="6" t="s">
        <v>71</v>
      </c>
      <c r="D295" s="18" t="s">
        <v>320</v>
      </c>
      <c r="E295" s="55" t="s">
        <v>987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981</v>
      </c>
      <c r="P295" s="18">
        <v>1.52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988</v>
      </c>
      <c r="C296" s="6" t="s">
        <v>71</v>
      </c>
      <c r="D296" s="18" t="s">
        <v>320</v>
      </c>
      <c r="E296" s="55" t="s">
        <v>989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981</v>
      </c>
      <c r="P296" s="18">
        <v>1.58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990</v>
      </c>
      <c r="C297" s="6" t="s">
        <v>71</v>
      </c>
      <c r="D297" s="18" t="s">
        <v>320</v>
      </c>
      <c r="E297" s="55" t="s">
        <v>991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981</v>
      </c>
      <c r="P297" s="18">
        <v>1.64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992</v>
      </c>
      <c r="C298" s="6" t="s">
        <v>71</v>
      </c>
      <c r="D298" s="18" t="s">
        <v>320</v>
      </c>
      <c r="E298" s="55" t="s">
        <v>993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981</v>
      </c>
      <c r="P298" s="18">
        <v>1.7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994</v>
      </c>
      <c r="C299" s="6" t="s">
        <v>71</v>
      </c>
      <c r="D299" s="18" t="s">
        <v>320</v>
      </c>
      <c r="E299" s="55" t="s">
        <v>995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981</v>
      </c>
      <c r="P299" s="18">
        <v>1.76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996</v>
      </c>
      <c r="C300" s="6" t="s">
        <v>71</v>
      </c>
      <c r="D300" s="18" t="s">
        <v>320</v>
      </c>
      <c r="E300" s="55" t="s">
        <v>997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981</v>
      </c>
      <c r="P300" s="18">
        <v>1.82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998</v>
      </c>
      <c r="C301" s="6" t="s">
        <v>71</v>
      </c>
      <c r="D301" s="18" t="s">
        <v>320</v>
      </c>
      <c r="E301" s="55" t="s">
        <v>999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981</v>
      </c>
      <c r="P301" s="18">
        <v>1.88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1000</v>
      </c>
      <c r="C302" s="6" t="s">
        <v>71</v>
      </c>
      <c r="D302" s="18" t="s">
        <v>320</v>
      </c>
      <c r="E302" s="55" t="s">
        <v>1001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981</v>
      </c>
      <c r="P302" s="18">
        <v>1.94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1002</v>
      </c>
      <c r="C303" s="6" t="s">
        <v>71</v>
      </c>
      <c r="D303" s="18" t="s">
        <v>320</v>
      </c>
      <c r="E303" s="55" t="s">
        <v>1003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981</v>
      </c>
      <c r="P303" s="18">
        <v>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250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1004</v>
      </c>
      <c r="C304" s="6" t="s">
        <v>71</v>
      </c>
      <c r="D304" s="18" t="s">
        <v>320</v>
      </c>
      <c r="E304" s="55" t="s">
        <v>1005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1.2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1006</v>
      </c>
      <c r="C305" s="6" t="s">
        <v>71</v>
      </c>
      <c r="D305" s="18" t="s">
        <v>320</v>
      </c>
      <c r="E305" s="55" t="s">
        <v>1007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1.4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1008</v>
      </c>
      <c r="C306" s="6" t="s">
        <v>71</v>
      </c>
      <c r="D306" s="18" t="s">
        <v>320</v>
      </c>
      <c r="E306" s="55" t="s">
        <v>1009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1.6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1010</v>
      </c>
      <c r="C307" s="6" t="s">
        <v>71</v>
      </c>
      <c r="D307" s="18" t="s">
        <v>320</v>
      </c>
      <c r="E307" s="55" t="s">
        <v>1011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1.8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1012</v>
      </c>
      <c r="C308" s="6" t="s">
        <v>71</v>
      </c>
      <c r="D308" s="18" t="s">
        <v>320</v>
      </c>
      <c r="E308" s="55" t="s">
        <v>1013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1014</v>
      </c>
      <c r="C309" s="6" t="s">
        <v>71</v>
      </c>
      <c r="D309" s="18" t="s">
        <v>320</v>
      </c>
      <c r="E309" s="55" t="s">
        <v>1015</v>
      </c>
      <c r="F309" s="23"/>
      <c r="G309" s="18" t="s">
        <v>411</v>
      </c>
      <c r="H309" s="18"/>
      <c r="I309" s="18" t="s">
        <v>323</v>
      </c>
      <c r="J309" s="12"/>
      <c r="K309" s="18"/>
      <c r="L309" s="18">
        <v>0</v>
      </c>
      <c r="M309" s="18">
        <v>0</v>
      </c>
      <c r="N309" s="18"/>
      <c r="O309" s="18" t="s">
        <v>292</v>
      </c>
      <c r="P309" s="18">
        <v>2.2000000000000002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/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1016</v>
      </c>
      <c r="C310" s="6" t="s">
        <v>71</v>
      </c>
      <c r="D310" s="18" t="s">
        <v>320</v>
      </c>
      <c r="E310" s="55" t="s">
        <v>1017</v>
      </c>
      <c r="F310" s="23"/>
      <c r="G310" s="18" t="s">
        <v>411</v>
      </c>
      <c r="H310" s="18"/>
      <c r="I310" s="18" t="s">
        <v>323</v>
      </c>
      <c r="J310" s="12" t="s">
        <v>1018</v>
      </c>
      <c r="K310" s="18"/>
      <c r="L310" s="18">
        <v>0</v>
      </c>
      <c r="M310" s="18">
        <v>0</v>
      </c>
      <c r="N310" s="18"/>
      <c r="O310" s="18" t="s">
        <v>292</v>
      </c>
      <c r="P310" s="18">
        <v>2.4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1019</v>
      </c>
      <c r="C311" s="6" t="s">
        <v>71</v>
      </c>
      <c r="D311" s="18" t="s">
        <v>320</v>
      </c>
      <c r="E311" s="55" t="s">
        <v>1020</v>
      </c>
      <c r="F311" s="23"/>
      <c r="G311" s="18" t="s">
        <v>411</v>
      </c>
      <c r="H311" s="18"/>
      <c r="I311" s="18" t="s">
        <v>323</v>
      </c>
      <c r="J311" s="12" t="s">
        <v>1018</v>
      </c>
      <c r="K311" s="18"/>
      <c r="L311" s="18">
        <v>0</v>
      </c>
      <c r="M311" s="18">
        <v>0</v>
      </c>
      <c r="N311" s="18"/>
      <c r="O311" s="18" t="s">
        <v>292</v>
      </c>
      <c r="P311" s="18">
        <v>2.6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4" t="s">
        <v>1021</v>
      </c>
      <c r="C312" s="6" t="s">
        <v>71</v>
      </c>
      <c r="D312" s="18" t="s">
        <v>320</v>
      </c>
      <c r="E312" s="55" t="s">
        <v>1022</v>
      </c>
      <c r="F312" s="23"/>
      <c r="G312" s="18" t="s">
        <v>411</v>
      </c>
      <c r="H312" s="18"/>
      <c r="I312" s="18" t="s">
        <v>323</v>
      </c>
      <c r="J312" s="12" t="s">
        <v>1018</v>
      </c>
      <c r="K312" s="18"/>
      <c r="L312" s="18">
        <v>0</v>
      </c>
      <c r="M312" s="18">
        <v>0</v>
      </c>
      <c r="N312" s="18"/>
      <c r="O312" s="18" t="s">
        <v>292</v>
      </c>
      <c r="P312" s="18">
        <v>2.8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1023</v>
      </c>
      <c r="C313" s="6" t="s">
        <v>71</v>
      </c>
      <c r="D313" s="18" t="s">
        <v>320</v>
      </c>
      <c r="E313" s="55" t="s">
        <v>1024</v>
      </c>
      <c r="F313" s="23"/>
      <c r="G313" s="18" t="s">
        <v>411</v>
      </c>
      <c r="H313" s="18"/>
      <c r="I313" s="18" t="s">
        <v>323</v>
      </c>
      <c r="J313" s="12" t="s">
        <v>1018</v>
      </c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>
        <v>20</v>
      </c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1025</v>
      </c>
      <c r="C314" s="6" t="s">
        <v>71</v>
      </c>
      <c r="D314" s="18" t="s">
        <v>320</v>
      </c>
      <c r="E314" s="55" t="s">
        <v>1026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1027</v>
      </c>
      <c r="C315" s="6" t="s">
        <v>71</v>
      </c>
      <c r="D315" s="18" t="s">
        <v>320</v>
      </c>
      <c r="E315" s="55" t="s">
        <v>1028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1029</v>
      </c>
      <c r="C316" s="6" t="s">
        <v>71</v>
      </c>
      <c r="D316" s="18" t="s">
        <v>320</v>
      </c>
      <c r="E316" s="55" t="s">
        <v>1030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1031</v>
      </c>
      <c r="C317" s="6" t="s">
        <v>71</v>
      </c>
      <c r="D317" s="18" t="s">
        <v>320</v>
      </c>
      <c r="E317" s="55" t="s">
        <v>1032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1033</v>
      </c>
      <c r="C318" s="6" t="s">
        <v>71</v>
      </c>
      <c r="D318" s="18" t="s">
        <v>320</v>
      </c>
      <c r="E318" s="55" t="s">
        <v>1034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1035</v>
      </c>
      <c r="C319" s="6" t="s">
        <v>71</v>
      </c>
      <c r="D319" s="18" t="s">
        <v>320</v>
      </c>
      <c r="E319" s="55" t="s">
        <v>1036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1037</v>
      </c>
      <c r="C320" s="6" t="s">
        <v>71</v>
      </c>
      <c r="D320" s="18" t="s">
        <v>320</v>
      </c>
      <c r="E320" s="55" t="s">
        <v>1038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1039</v>
      </c>
      <c r="C321" s="6" t="s">
        <v>71</v>
      </c>
      <c r="D321" s="18" t="s">
        <v>320</v>
      </c>
      <c r="E321" s="55" t="s">
        <v>1040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1041</v>
      </c>
      <c r="C322" s="6" t="s">
        <v>71</v>
      </c>
      <c r="D322" s="18" t="s">
        <v>320</v>
      </c>
      <c r="E322" s="55" t="s">
        <v>1042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55" t="s">
        <v>1043</v>
      </c>
      <c r="C323" s="6" t="s">
        <v>71</v>
      </c>
      <c r="D323" s="18" t="s">
        <v>320</v>
      </c>
      <c r="E323" s="55" t="s">
        <v>1044</v>
      </c>
      <c r="F323" s="23"/>
      <c r="G323" s="18" t="s">
        <v>411</v>
      </c>
      <c r="H323" s="18"/>
      <c r="I323" s="18" t="s">
        <v>323</v>
      </c>
      <c r="J323" s="12"/>
      <c r="K323" s="18"/>
      <c r="L323" s="18">
        <v>0</v>
      </c>
      <c r="M323" s="18">
        <v>0</v>
      </c>
      <c r="N323" s="18"/>
      <c r="O323" s="18" t="s">
        <v>292</v>
      </c>
      <c r="P323" s="18">
        <v>3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/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1045</v>
      </c>
      <c r="C324" s="6" t="s">
        <v>71</v>
      </c>
      <c r="D324" s="18" t="s">
        <v>320</v>
      </c>
      <c r="E324" s="37" t="s">
        <v>1046</v>
      </c>
      <c r="F324" s="23"/>
      <c r="G324" s="18" t="s">
        <v>411</v>
      </c>
      <c r="H324" s="18"/>
      <c r="I324" s="18" t="s">
        <v>323</v>
      </c>
      <c r="J324" s="12" t="s">
        <v>1047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1048</v>
      </c>
      <c r="C325" s="6" t="s">
        <v>71</v>
      </c>
      <c r="D325" s="18" t="s">
        <v>320</v>
      </c>
      <c r="E325" s="37" t="s">
        <v>1049</v>
      </c>
      <c r="F325" s="23"/>
      <c r="G325" s="18" t="s">
        <v>411</v>
      </c>
      <c r="H325" s="18"/>
      <c r="I325" s="18" t="s">
        <v>323</v>
      </c>
      <c r="J325" s="12" t="s">
        <v>1047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1050</v>
      </c>
      <c r="C326" s="6" t="s">
        <v>71</v>
      </c>
      <c r="D326" s="18" t="s">
        <v>320</v>
      </c>
      <c r="E326" s="37" t="s">
        <v>1051</v>
      </c>
      <c r="F326" s="23"/>
      <c r="G326" s="18" t="s">
        <v>411</v>
      </c>
      <c r="H326" s="18"/>
      <c r="I326" s="18" t="s">
        <v>323</v>
      </c>
      <c r="J326" s="12" t="s">
        <v>1047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1052</v>
      </c>
      <c r="C327" s="6" t="s">
        <v>71</v>
      </c>
      <c r="D327" s="18" t="s">
        <v>320</v>
      </c>
      <c r="E327" s="37" t="s">
        <v>1053</v>
      </c>
      <c r="F327" s="23"/>
      <c r="G327" s="18" t="s">
        <v>411</v>
      </c>
      <c r="H327" s="18"/>
      <c r="I327" s="18" t="s">
        <v>323</v>
      </c>
      <c r="J327" s="12" t="s">
        <v>1047</v>
      </c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>
        <v>20</v>
      </c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1054</v>
      </c>
      <c r="C328" s="6" t="s">
        <v>71</v>
      </c>
      <c r="D328" s="18" t="s">
        <v>320</v>
      </c>
      <c r="E328" s="37" t="s">
        <v>1055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1056</v>
      </c>
      <c r="C329" s="6" t="s">
        <v>71</v>
      </c>
      <c r="D329" s="18" t="s">
        <v>320</v>
      </c>
      <c r="E329" s="37" t="s">
        <v>1057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1058</v>
      </c>
      <c r="C330" s="6" t="s">
        <v>71</v>
      </c>
      <c r="D330" s="18" t="s">
        <v>320</v>
      </c>
      <c r="E330" s="37" t="s">
        <v>1059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1060</v>
      </c>
      <c r="C331" s="6" t="s">
        <v>71</v>
      </c>
      <c r="D331" s="18" t="s">
        <v>320</v>
      </c>
      <c r="E331" s="37" t="s">
        <v>1061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48" t="s">
        <v>413</v>
      </c>
      <c r="P331" s="18">
        <v>1.2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400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1062</v>
      </c>
      <c r="C332" s="6" t="s">
        <v>71</v>
      </c>
      <c r="D332" s="18" t="s">
        <v>320</v>
      </c>
      <c r="E332" s="39" t="s">
        <v>1063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1064</v>
      </c>
      <c r="P332" s="18">
        <v>1</v>
      </c>
      <c r="Q332" s="18"/>
      <c r="R332" s="18"/>
      <c r="S332" s="18"/>
      <c r="T332" s="18"/>
      <c r="U332" s="18">
        <v>1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1065</v>
      </c>
      <c r="C333" s="6" t="s">
        <v>71</v>
      </c>
      <c r="D333" s="18" t="s">
        <v>320</v>
      </c>
      <c r="E333" s="39" t="s">
        <v>1066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1067</v>
      </c>
      <c r="P333" s="18">
        <v>1.5</v>
      </c>
      <c r="Q333" s="18"/>
      <c r="R333" s="18"/>
      <c r="S333" s="18"/>
      <c r="T333" s="18"/>
      <c r="U333" s="18">
        <v>2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/>
      <c r="AC333" s="18"/>
      <c r="AD333" s="18">
        <v>0</v>
      </c>
      <c r="AE333" s="18" t="s">
        <v>151</v>
      </c>
      <c r="AF333" s="18"/>
      <c r="AG333" s="18"/>
      <c r="AH333" s="62" t="s">
        <v>152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250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1068</v>
      </c>
      <c r="C334" s="6" t="s">
        <v>71</v>
      </c>
      <c r="D334" s="18" t="s">
        <v>320</v>
      </c>
      <c r="E334" s="41" t="s">
        <v>1069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1070</v>
      </c>
      <c r="P334" s="18">
        <v>1.1499999999999999</v>
      </c>
      <c r="Q334" s="18"/>
      <c r="R334" s="18"/>
      <c r="S334" s="18"/>
      <c r="T334" s="18"/>
      <c r="U334" s="18">
        <v>1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1071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1072</v>
      </c>
      <c r="C335" s="6" t="s">
        <v>71</v>
      </c>
      <c r="D335" s="18" t="s">
        <v>320</v>
      </c>
      <c r="E335" s="41" t="s">
        <v>1073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1074</v>
      </c>
      <c r="P335" s="18">
        <v>1.5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 t="s">
        <v>1075</v>
      </c>
      <c r="AC335" s="18"/>
      <c r="AD335" s="18">
        <v>900</v>
      </c>
      <c r="AE335" s="18" t="s">
        <v>151</v>
      </c>
      <c r="AF335" s="18">
        <v>0.1</v>
      </c>
      <c r="AG335" s="18">
        <v>1</v>
      </c>
      <c r="AH335" s="62" t="s">
        <v>165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600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1076</v>
      </c>
      <c r="C336" s="6" t="s">
        <v>71</v>
      </c>
      <c r="D336" s="18" t="s">
        <v>320</v>
      </c>
      <c r="E336" s="39" t="s">
        <v>1077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1078</v>
      </c>
      <c r="P336" s="18">
        <v>1.6</v>
      </c>
      <c r="Q336" s="18"/>
      <c r="R336" s="18"/>
      <c r="S336" s="18"/>
      <c r="T336" s="18"/>
      <c r="U336" s="18">
        <v>2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/>
      <c r="AC336" s="18"/>
      <c r="AD336" s="18">
        <v>0</v>
      </c>
      <c r="AE336" s="18" t="s">
        <v>151</v>
      </c>
      <c r="AF336" s="18"/>
      <c r="AG336" s="18"/>
      <c r="AH336" s="62" t="s">
        <v>152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250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1079</v>
      </c>
      <c r="C337" s="6" t="s">
        <v>71</v>
      </c>
      <c r="D337" s="18" t="s">
        <v>320</v>
      </c>
      <c r="E337" s="41" t="s">
        <v>1080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429</v>
      </c>
      <c r="P337" s="18">
        <v>1.25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430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1081</v>
      </c>
      <c r="C338" s="6" t="s">
        <v>71</v>
      </c>
      <c r="D338" s="18" t="s">
        <v>320</v>
      </c>
      <c r="E338" s="41" t="s">
        <v>1082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432</v>
      </c>
      <c r="P338" s="18">
        <v>1.3</v>
      </c>
      <c r="Q338" s="18"/>
      <c r="R338" s="18"/>
      <c r="S338" s="18"/>
      <c r="T338" s="18"/>
      <c r="U338" s="18">
        <v>1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 t="s">
        <v>433</v>
      </c>
      <c r="AC338" s="18"/>
      <c r="AD338" s="18">
        <v>900</v>
      </c>
      <c r="AE338" s="18" t="s">
        <v>151</v>
      </c>
      <c r="AF338" s="18">
        <v>0.1</v>
      </c>
      <c r="AG338" s="18">
        <v>1</v>
      </c>
      <c r="AH338" s="62" t="s">
        <v>165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600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1083</v>
      </c>
      <c r="C339" s="6" t="s">
        <v>71</v>
      </c>
      <c r="D339" s="18" t="s">
        <v>320</v>
      </c>
      <c r="E339" s="39" t="s">
        <v>1084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435</v>
      </c>
      <c r="P339" s="18">
        <v>1.5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4" t="s">
        <v>1085</v>
      </c>
      <c r="C340" s="6" t="s">
        <v>71</v>
      </c>
      <c r="D340" s="18" t="s">
        <v>320</v>
      </c>
      <c r="E340" s="39" t="s">
        <v>1086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1087</v>
      </c>
      <c r="P340" s="18">
        <v>1.3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/>
      <c r="AC340" s="18"/>
      <c r="AD340" s="18">
        <v>0</v>
      </c>
      <c r="AE340" s="18" t="s">
        <v>151</v>
      </c>
      <c r="AF340" s="18"/>
      <c r="AG340" s="18"/>
      <c r="AH340" s="62" t="s">
        <v>152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250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1088</v>
      </c>
      <c r="C341" s="6" t="s">
        <v>71</v>
      </c>
      <c r="D341" s="18" t="s">
        <v>320</v>
      </c>
      <c r="E341" s="41" t="s">
        <v>1089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439</v>
      </c>
      <c r="P341" s="18">
        <v>1.7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440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2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1090</v>
      </c>
      <c r="C342" s="6" t="s">
        <v>71</v>
      </c>
      <c r="D342" s="18" t="s">
        <v>320</v>
      </c>
      <c r="E342" s="39" t="s">
        <v>1091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442</v>
      </c>
      <c r="P342" s="18">
        <v>1.5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/>
      <c r="AC342" s="18"/>
      <c r="AD342" s="18">
        <v>0</v>
      </c>
      <c r="AE342" s="18" t="s">
        <v>151</v>
      </c>
      <c r="AF342" s="18"/>
      <c r="AG342" s="18"/>
      <c r="AH342" s="62" t="s">
        <v>152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250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1092</v>
      </c>
      <c r="C343" s="6" t="s">
        <v>71</v>
      </c>
      <c r="D343" s="18" t="s">
        <v>320</v>
      </c>
      <c r="E343" s="41" t="s">
        <v>1093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1094</v>
      </c>
      <c r="P343" s="18">
        <v>2.2000000000000002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447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1095</v>
      </c>
      <c r="C344" s="6" t="s">
        <v>71</v>
      </c>
      <c r="D344" s="18" t="s">
        <v>320</v>
      </c>
      <c r="E344" s="41" t="s">
        <v>1096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444</v>
      </c>
      <c r="P344" s="18">
        <v>1.3</v>
      </c>
      <c r="Q344" s="18"/>
      <c r="R344" s="18"/>
      <c r="S344" s="18"/>
      <c r="T344" s="18"/>
      <c r="U344" s="18">
        <v>1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337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1097</v>
      </c>
      <c r="C345" s="6" t="s">
        <v>71</v>
      </c>
      <c r="D345" s="18" t="s">
        <v>320</v>
      </c>
      <c r="E345" s="41" t="s">
        <v>1098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449</v>
      </c>
      <c r="P345" s="18">
        <v>1.5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 t="s">
        <v>450</v>
      </c>
      <c r="AC345" s="18"/>
      <c r="AD345" s="18">
        <v>900</v>
      </c>
      <c r="AE345" s="18" t="s">
        <v>151</v>
      </c>
      <c r="AF345" s="18">
        <v>0.1</v>
      </c>
      <c r="AG345" s="18">
        <v>1</v>
      </c>
      <c r="AH345" s="62" t="s">
        <v>165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600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1099</v>
      </c>
      <c r="C346" s="6" t="s">
        <v>71</v>
      </c>
      <c r="D346" s="18" t="s">
        <v>320</v>
      </c>
      <c r="E346" s="39" t="s">
        <v>1100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452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2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1101</v>
      </c>
      <c r="C347" s="6" t="s">
        <v>71</v>
      </c>
      <c r="D347" s="18" t="s">
        <v>320</v>
      </c>
      <c r="E347" s="41" t="s">
        <v>1102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454</v>
      </c>
      <c r="P347" s="18">
        <v>1.3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 t="s">
        <v>337</v>
      </c>
      <c r="AC347" s="18"/>
      <c r="AD347" s="18">
        <v>900</v>
      </c>
      <c r="AE347" s="18" t="s">
        <v>151</v>
      </c>
      <c r="AF347" s="18">
        <v>0.1</v>
      </c>
      <c r="AG347" s="18">
        <v>1</v>
      </c>
      <c r="AH347" s="62" t="s">
        <v>165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600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1103</v>
      </c>
      <c r="C348" s="6" t="s">
        <v>71</v>
      </c>
      <c r="D348" s="18" t="s">
        <v>320</v>
      </c>
      <c r="E348" s="39" t="s">
        <v>1104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1105</v>
      </c>
      <c r="C349" s="6" t="s">
        <v>71</v>
      </c>
      <c r="D349" s="18" t="s">
        <v>320</v>
      </c>
      <c r="E349" s="39" t="s">
        <v>1106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1107</v>
      </c>
      <c r="C350" s="6" t="s">
        <v>71</v>
      </c>
      <c r="D350" s="18" t="s">
        <v>320</v>
      </c>
      <c r="E350" s="55" t="s">
        <v>1108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1109</v>
      </c>
      <c r="C351" s="6" t="s">
        <v>71</v>
      </c>
      <c r="D351" s="18" t="s">
        <v>320</v>
      </c>
      <c r="E351" s="55" t="s">
        <v>1110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1111</v>
      </c>
      <c r="C352" s="6" t="s">
        <v>71</v>
      </c>
      <c r="D352" s="18" t="s">
        <v>320</v>
      </c>
      <c r="E352" s="55" t="s">
        <v>1112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1113</v>
      </c>
      <c r="C353" s="6" t="s">
        <v>71</v>
      </c>
      <c r="D353" s="18" t="s">
        <v>320</v>
      </c>
      <c r="E353" s="55" t="s">
        <v>1114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1115</v>
      </c>
      <c r="C354" s="6" t="s">
        <v>71</v>
      </c>
      <c r="D354" s="18" t="s">
        <v>320</v>
      </c>
      <c r="E354" s="55" t="s">
        <v>1116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s="55" t="s">
        <v>1117</v>
      </c>
      <c r="C355" s="6" t="s">
        <v>71</v>
      </c>
      <c r="D355" s="18" t="s">
        <v>320</v>
      </c>
      <c r="E355" s="55" t="s">
        <v>1118</v>
      </c>
      <c r="F355" s="23"/>
      <c r="G355" s="18" t="s">
        <v>411</v>
      </c>
      <c r="H355" s="18"/>
      <c r="I355" s="18" t="s">
        <v>323</v>
      </c>
      <c r="J355" s="12"/>
      <c r="K355" s="18"/>
      <c r="L355" s="18">
        <v>0</v>
      </c>
      <c r="M355" s="18">
        <v>0</v>
      </c>
      <c r="N355" s="18"/>
      <c r="O355" s="18" t="s">
        <v>296</v>
      </c>
      <c r="P355" s="18">
        <v>1.5</v>
      </c>
      <c r="Q355" s="18"/>
      <c r="R355" s="18"/>
      <c r="S355" s="18"/>
      <c r="T355" s="18"/>
      <c r="U355" s="18">
        <v>2</v>
      </c>
      <c r="V355" s="18">
        <v>2</v>
      </c>
      <c r="W355" s="18" t="s">
        <v>150</v>
      </c>
      <c r="X355" s="18">
        <v>450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0.15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1119</v>
      </c>
      <c r="C356" s="6" t="s">
        <v>71</v>
      </c>
      <c r="D356" s="18" t="s">
        <v>320</v>
      </c>
      <c r="E356" s="4" t="s">
        <v>1120</v>
      </c>
      <c r="F356" s="4"/>
      <c r="G356" s="18" t="s">
        <v>420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421</v>
      </c>
      <c r="P356" s="18">
        <v>5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0.7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1121</v>
      </c>
      <c r="C357" s="6" t="s">
        <v>71</v>
      </c>
      <c r="D357" s="18" t="s">
        <v>320</v>
      </c>
      <c r="E357" s="4" t="s">
        <v>1122</v>
      </c>
      <c r="F357" s="4"/>
      <c r="G357" s="18" t="s">
        <v>420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421</v>
      </c>
      <c r="P357" s="18">
        <v>8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0.5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1123</v>
      </c>
      <c r="C358" s="6" t="s">
        <v>71</v>
      </c>
      <c r="D358" s="18" t="s">
        <v>320</v>
      </c>
      <c r="E358" s="4" t="s">
        <v>1124</v>
      </c>
      <c r="F358" s="4"/>
      <c r="G358" s="18" t="s">
        <v>420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421</v>
      </c>
      <c r="P358" s="18">
        <v>10.5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0.3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6" customFormat="1">
      <c r="B359" t="s">
        <v>1125</v>
      </c>
      <c r="C359" s="6" t="s">
        <v>71</v>
      </c>
      <c r="D359" s="18" t="s">
        <v>320</v>
      </c>
      <c r="E359" s="4" t="s">
        <v>1126</v>
      </c>
      <c r="F359" s="4"/>
      <c r="G359" s="18" t="s">
        <v>420</v>
      </c>
      <c r="H359" s="18"/>
      <c r="I359" s="18" t="s">
        <v>323</v>
      </c>
      <c r="J359" s="18"/>
      <c r="K359" s="18"/>
      <c r="L359" s="18">
        <v>0</v>
      </c>
      <c r="M359" s="18">
        <v>0</v>
      </c>
      <c r="N359" s="18"/>
      <c r="O359" s="18" t="s">
        <v>421</v>
      </c>
      <c r="P359" s="18">
        <v>12.5</v>
      </c>
      <c r="Q359" s="18"/>
      <c r="R359" s="18"/>
      <c r="S359" s="18"/>
      <c r="T359" s="18"/>
      <c r="U359" s="18">
        <v>1</v>
      </c>
      <c r="V359" s="18">
        <v>2</v>
      </c>
      <c r="W359" s="18" t="s">
        <v>409</v>
      </c>
      <c r="X359" s="18">
        <v>300</v>
      </c>
      <c r="Y359" s="18">
        <v>0</v>
      </c>
      <c r="Z359" s="18" t="s">
        <v>151</v>
      </c>
      <c r="AA359" s="18">
        <v>600</v>
      </c>
      <c r="AB359" s="18"/>
      <c r="AC359" s="18"/>
      <c r="AD359" s="18">
        <v>0</v>
      </c>
      <c r="AE359" s="18" t="s">
        <v>151</v>
      </c>
      <c r="AF359" s="18"/>
      <c r="AG359" s="18"/>
      <c r="AH359" s="62" t="s">
        <v>152</v>
      </c>
      <c r="AI359" s="4" t="s">
        <v>153</v>
      </c>
      <c r="AJ359" s="18">
        <v>0.5</v>
      </c>
      <c r="AK359" s="18">
        <v>0.5</v>
      </c>
      <c r="AL359" s="10">
        <v>0.01</v>
      </c>
      <c r="AM359" s="10">
        <v>1</v>
      </c>
      <c r="AN359" s="10"/>
      <c r="AO359" s="10"/>
      <c r="AP359" s="18">
        <v>250</v>
      </c>
      <c r="AQ359" s="18">
        <v>0.1</v>
      </c>
      <c r="AR359" s="18"/>
      <c r="AS359" s="18"/>
      <c r="AT359" s="18"/>
      <c r="AU359" s="18">
        <v>1</v>
      </c>
      <c r="AV359" s="18"/>
      <c r="AW359" s="18">
        <v>0</v>
      </c>
      <c r="AX359" s="18">
        <v>0</v>
      </c>
      <c r="AY359" s="18">
        <v>0</v>
      </c>
      <c r="AZ359" s="18">
        <v>0</v>
      </c>
      <c r="BA359" s="18">
        <v>0</v>
      </c>
      <c r="BB359" s="18">
        <v>0</v>
      </c>
      <c r="BC359" s="18">
        <v>100</v>
      </c>
      <c r="BD359" s="10">
        <v>100</v>
      </c>
      <c r="BE359" s="18"/>
      <c r="BF359" s="10" t="s">
        <v>154</v>
      </c>
      <c r="BG359" s="10">
        <v>0</v>
      </c>
      <c r="BH359" s="18">
        <v>0</v>
      </c>
      <c r="BI359" s="18">
        <v>100</v>
      </c>
      <c r="BJ359" s="18"/>
      <c r="BK359" s="18"/>
      <c r="BL359" s="18"/>
      <c r="BM359" s="18"/>
      <c r="BN359" s="18"/>
      <c r="BO359" s="18"/>
      <c r="BP359" s="18"/>
      <c r="BQ359" s="6">
        <v>0</v>
      </c>
    </row>
    <row r="360" spans="2:69" s="7" customFormat="1">
      <c r="B360" s="56" t="s">
        <v>1127</v>
      </c>
      <c r="C360" s="7" t="s">
        <v>71</v>
      </c>
      <c r="D360" s="51" t="s">
        <v>320</v>
      </c>
      <c r="E360" s="52" t="s">
        <v>1128</v>
      </c>
      <c r="F360" s="56"/>
      <c r="G360" s="51" t="s">
        <v>423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1129</v>
      </c>
      <c r="P360" s="51">
        <v>0.55000000000000004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1130</v>
      </c>
      <c r="C361" s="7" t="s">
        <v>71</v>
      </c>
      <c r="D361" s="51" t="s">
        <v>320</v>
      </c>
      <c r="E361" s="52" t="s">
        <v>1128</v>
      </c>
      <c r="F361" s="56"/>
      <c r="G361" s="51" t="s">
        <v>423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1129</v>
      </c>
      <c r="P361" s="51">
        <f>P360+0.05</f>
        <v>0.60000000000000009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1131</v>
      </c>
      <c r="C362" s="7" t="s">
        <v>71</v>
      </c>
      <c r="D362" s="51" t="s">
        <v>320</v>
      </c>
      <c r="E362" s="52" t="s">
        <v>1128</v>
      </c>
      <c r="F362" s="56"/>
      <c r="G362" s="51" t="s">
        <v>423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1129</v>
      </c>
      <c r="P362" s="51">
        <f t="shared" ref="P362:P372" si="14">P361+0.05</f>
        <v>0.65000000000000013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1132</v>
      </c>
      <c r="C363" s="7" t="s">
        <v>71</v>
      </c>
      <c r="D363" s="51" t="s">
        <v>320</v>
      </c>
      <c r="E363" s="52" t="s">
        <v>1128</v>
      </c>
      <c r="F363" s="56"/>
      <c r="G363" s="51" t="s">
        <v>423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1129</v>
      </c>
      <c r="P363" s="51">
        <f t="shared" si="14"/>
        <v>0.70000000000000018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1133</v>
      </c>
      <c r="C364" s="7" t="s">
        <v>71</v>
      </c>
      <c r="D364" s="51" t="s">
        <v>320</v>
      </c>
      <c r="E364" s="52" t="s">
        <v>1128</v>
      </c>
      <c r="F364" s="56"/>
      <c r="G364" s="51" t="s">
        <v>423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1129</v>
      </c>
      <c r="P364" s="51">
        <f t="shared" si="14"/>
        <v>0.75000000000000022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1134</v>
      </c>
      <c r="C365" s="7" t="s">
        <v>71</v>
      </c>
      <c r="D365" s="51" t="s">
        <v>320</v>
      </c>
      <c r="E365" s="52" t="s">
        <v>1128</v>
      </c>
      <c r="F365" s="56"/>
      <c r="G365" s="51" t="s">
        <v>423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1129</v>
      </c>
      <c r="P365" s="51">
        <f t="shared" si="14"/>
        <v>0.80000000000000027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1135</v>
      </c>
      <c r="C366" s="7" t="s">
        <v>71</v>
      </c>
      <c r="D366" s="51" t="s">
        <v>320</v>
      </c>
      <c r="E366" s="52" t="s">
        <v>1128</v>
      </c>
      <c r="F366" s="56"/>
      <c r="G366" s="51" t="s">
        <v>423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1129</v>
      </c>
      <c r="P366" s="51">
        <f t="shared" si="14"/>
        <v>0.85000000000000031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1136</v>
      </c>
      <c r="C367" s="7" t="s">
        <v>71</v>
      </c>
      <c r="D367" s="51" t="s">
        <v>320</v>
      </c>
      <c r="E367" s="52" t="s">
        <v>1128</v>
      </c>
      <c r="F367" s="56"/>
      <c r="G367" s="51" t="s">
        <v>423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1129</v>
      </c>
      <c r="P367" s="51">
        <f t="shared" si="14"/>
        <v>0.90000000000000036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1137</v>
      </c>
      <c r="C368" s="7" t="s">
        <v>71</v>
      </c>
      <c r="D368" s="51" t="s">
        <v>320</v>
      </c>
      <c r="E368" s="52" t="s">
        <v>1128</v>
      </c>
      <c r="F368" s="56"/>
      <c r="G368" s="51" t="s">
        <v>423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1129</v>
      </c>
      <c r="P368" s="51">
        <f t="shared" si="14"/>
        <v>0.9500000000000004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1138</v>
      </c>
      <c r="C369" s="7" t="s">
        <v>71</v>
      </c>
      <c r="D369" s="51" t="s">
        <v>320</v>
      </c>
      <c r="E369" s="52" t="s">
        <v>1128</v>
      </c>
      <c r="F369" s="56"/>
      <c r="G369" s="51" t="s">
        <v>423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1129</v>
      </c>
      <c r="P369" s="51">
        <f t="shared" si="14"/>
        <v>1.0000000000000004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1139</v>
      </c>
      <c r="C370" s="7" t="s">
        <v>71</v>
      </c>
      <c r="D370" s="51" t="s">
        <v>320</v>
      </c>
      <c r="E370" s="52" t="s">
        <v>1128</v>
      </c>
      <c r="F370" s="56"/>
      <c r="G370" s="51" t="s">
        <v>423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1129</v>
      </c>
      <c r="P370" s="51">
        <f t="shared" si="14"/>
        <v>1.0500000000000005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1140</v>
      </c>
      <c r="C371" s="7" t="s">
        <v>71</v>
      </c>
      <c r="D371" s="51" t="s">
        <v>320</v>
      </c>
      <c r="E371" s="52" t="s">
        <v>1128</v>
      </c>
      <c r="F371" s="56"/>
      <c r="G371" s="51" t="s">
        <v>423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1129</v>
      </c>
      <c r="P371" s="51">
        <f t="shared" si="14"/>
        <v>1.1000000000000005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7" customFormat="1">
      <c r="B372" s="56" t="s">
        <v>1141</v>
      </c>
      <c r="C372" s="7" t="s">
        <v>71</v>
      </c>
      <c r="D372" s="51" t="s">
        <v>320</v>
      </c>
      <c r="E372" s="52" t="s">
        <v>1128</v>
      </c>
      <c r="F372" s="56"/>
      <c r="G372" s="51" t="s">
        <v>423</v>
      </c>
      <c r="H372" s="51"/>
      <c r="I372" s="51" t="s">
        <v>323</v>
      </c>
      <c r="J372" s="51"/>
      <c r="K372" s="51"/>
      <c r="L372" s="51">
        <v>0</v>
      </c>
      <c r="M372" s="51">
        <v>0</v>
      </c>
      <c r="N372" s="51"/>
      <c r="O372" s="51" t="s">
        <v>1129</v>
      </c>
      <c r="P372" s="51">
        <f t="shared" si="14"/>
        <v>1.1500000000000006</v>
      </c>
      <c r="Q372" s="51"/>
      <c r="R372" s="51"/>
      <c r="S372" s="51"/>
      <c r="T372" s="51"/>
      <c r="U372" s="51">
        <v>1</v>
      </c>
      <c r="V372" s="51">
        <v>2</v>
      </c>
      <c r="W372" s="51" t="s">
        <v>409</v>
      </c>
      <c r="X372" s="51">
        <v>450</v>
      </c>
      <c r="Y372" s="51">
        <v>0</v>
      </c>
      <c r="Z372" s="51" t="s">
        <v>151</v>
      </c>
      <c r="AA372" s="18">
        <v>600</v>
      </c>
      <c r="AB372" s="51"/>
      <c r="AC372" s="51"/>
      <c r="AD372" s="51">
        <v>0</v>
      </c>
      <c r="AE372" s="51" t="s">
        <v>151</v>
      </c>
      <c r="AF372" s="51"/>
      <c r="AG372" s="51"/>
      <c r="AH372" s="65" t="s">
        <v>152</v>
      </c>
      <c r="AI372" s="52" t="s">
        <v>153</v>
      </c>
      <c r="AJ372" s="51">
        <v>0.5</v>
      </c>
      <c r="AK372" s="51">
        <v>0.5</v>
      </c>
      <c r="AL372" s="51"/>
      <c r="AM372" s="51">
        <v>1</v>
      </c>
      <c r="AN372" s="51"/>
      <c r="AO372" s="51"/>
      <c r="AP372" s="51">
        <v>250</v>
      </c>
      <c r="AQ372" s="51">
        <v>0.5</v>
      </c>
      <c r="AR372" s="51"/>
      <c r="AS372" s="51"/>
      <c r="AT372" s="51"/>
      <c r="AU372" s="51">
        <v>1</v>
      </c>
      <c r="AV372" s="51"/>
      <c r="AW372" s="51">
        <v>0</v>
      </c>
      <c r="AX372" s="51">
        <v>0</v>
      </c>
      <c r="AY372" s="51">
        <v>0</v>
      </c>
      <c r="AZ372" s="51">
        <v>0</v>
      </c>
      <c r="BA372" s="51">
        <v>0</v>
      </c>
      <c r="BB372" s="51">
        <v>0</v>
      </c>
      <c r="BC372" s="51">
        <v>100</v>
      </c>
      <c r="BD372" s="10">
        <v>100</v>
      </c>
      <c r="BE372" s="51"/>
      <c r="BF372" s="51" t="s">
        <v>154</v>
      </c>
      <c r="BG372" s="51">
        <v>0</v>
      </c>
      <c r="BH372" s="51">
        <v>0</v>
      </c>
      <c r="BI372" s="51">
        <v>100</v>
      </c>
      <c r="BJ372" s="51"/>
      <c r="BK372" s="51"/>
      <c r="BL372" s="51"/>
      <c r="BM372" s="51"/>
      <c r="BN372" s="51"/>
      <c r="BO372" s="51"/>
      <c r="BP372" s="51"/>
      <c r="BQ372" s="7">
        <v>0</v>
      </c>
    </row>
    <row r="373" spans="2:69" s="6" customFormat="1">
      <c r="B373" s="23" t="s">
        <v>1142</v>
      </c>
      <c r="C373" s="6" t="s">
        <v>71</v>
      </c>
      <c r="D373" s="18" t="s">
        <v>320</v>
      </c>
      <c r="E373" s="40" t="s">
        <v>1143</v>
      </c>
      <c r="F373" s="23"/>
      <c r="G373" s="18" t="s">
        <v>423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1144</v>
      </c>
      <c r="P373" s="18">
        <v>0.4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1145</v>
      </c>
      <c r="C374" s="6" t="s">
        <v>71</v>
      </c>
      <c r="D374" s="18" t="s">
        <v>320</v>
      </c>
      <c r="E374" s="4" t="s">
        <v>1146</v>
      </c>
      <c r="F374" s="23"/>
      <c r="G374" s="18" t="s">
        <v>423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1144</v>
      </c>
      <c r="P374" s="18">
        <v>0.45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1147</v>
      </c>
      <c r="C375" s="6" t="s">
        <v>71</v>
      </c>
      <c r="D375" s="18" t="s">
        <v>320</v>
      </c>
      <c r="E375" s="4" t="s">
        <v>1148</v>
      </c>
      <c r="F375" s="23"/>
      <c r="G375" s="18" t="s">
        <v>423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1144</v>
      </c>
      <c r="P375" s="18">
        <v>0.5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1149</v>
      </c>
      <c r="C376" s="6" t="s">
        <v>71</v>
      </c>
      <c r="D376" s="18" t="s">
        <v>320</v>
      </c>
      <c r="E376" s="4" t="s">
        <v>1150</v>
      </c>
      <c r="F376" s="23"/>
      <c r="G376" s="18" t="s">
        <v>423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1144</v>
      </c>
      <c r="P376" s="18">
        <v>0.55000000000000004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1151</v>
      </c>
      <c r="C377" s="6" t="s">
        <v>71</v>
      </c>
      <c r="D377" s="18" t="s">
        <v>320</v>
      </c>
      <c r="E377" s="4" t="s">
        <v>1152</v>
      </c>
      <c r="F377" s="23"/>
      <c r="G377" s="18" t="s">
        <v>423</v>
      </c>
      <c r="H377" s="18"/>
      <c r="I377" s="18" t="s">
        <v>323</v>
      </c>
      <c r="J377" s="18"/>
      <c r="K377" s="18"/>
      <c r="L377" s="18">
        <v>0</v>
      </c>
      <c r="M377" s="18">
        <v>0</v>
      </c>
      <c r="N377" s="18"/>
      <c r="O377" s="18" t="s">
        <v>1144</v>
      </c>
      <c r="P377" s="18">
        <v>0.6</v>
      </c>
      <c r="Q377" s="18"/>
      <c r="R377" s="18"/>
      <c r="S377" s="18"/>
      <c r="T377" s="18"/>
      <c r="U377" s="18">
        <v>1</v>
      </c>
      <c r="V377" s="18">
        <v>2</v>
      </c>
      <c r="W377" s="18" t="s">
        <v>409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1153</v>
      </c>
      <c r="C378" s="6" t="s">
        <v>71</v>
      </c>
      <c r="D378" s="18" t="s">
        <v>320</v>
      </c>
      <c r="E378" s="4" t="s">
        <v>1154</v>
      </c>
      <c r="F378" s="23"/>
      <c r="G378" s="18" t="s">
        <v>423</v>
      </c>
      <c r="H378" s="18"/>
      <c r="I378" s="18" t="s">
        <v>323</v>
      </c>
      <c r="J378" s="18" t="s">
        <v>1018</v>
      </c>
      <c r="K378" s="18"/>
      <c r="L378" s="18">
        <v>0</v>
      </c>
      <c r="M378" s="18">
        <v>0</v>
      </c>
      <c r="N378" s="18"/>
      <c r="O378" s="18" t="s">
        <v>1155</v>
      </c>
      <c r="P378" s="18">
        <v>1.3</v>
      </c>
      <c r="Q378" s="18"/>
      <c r="R378" s="18"/>
      <c r="S378" s="18"/>
      <c r="T378" s="18"/>
      <c r="U378" s="18">
        <v>2</v>
      </c>
      <c r="V378" s="18">
        <v>2</v>
      </c>
      <c r="W378" s="18" t="s">
        <v>150</v>
      </c>
      <c r="X378" s="18">
        <v>450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0.2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>
        <v>20</v>
      </c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1156</v>
      </c>
      <c r="C379" s="6" t="s">
        <v>71</v>
      </c>
      <c r="D379" s="18" t="s">
        <v>320</v>
      </c>
      <c r="E379" s="4" t="s">
        <v>1157</v>
      </c>
      <c r="F379" s="23"/>
      <c r="G379" s="18" t="s">
        <v>423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1144</v>
      </c>
      <c r="P379" s="18">
        <v>0.4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1158</v>
      </c>
      <c r="C380" s="6" t="s">
        <v>71</v>
      </c>
      <c r="D380" s="18" t="s">
        <v>320</v>
      </c>
      <c r="E380" s="4" t="s">
        <v>1159</v>
      </c>
      <c r="F380" s="23"/>
      <c r="G380" s="18" t="s">
        <v>423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1144</v>
      </c>
      <c r="P380" s="18">
        <v>0.45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1160</v>
      </c>
      <c r="C381" s="6" t="s">
        <v>71</v>
      </c>
      <c r="D381" s="18" t="s">
        <v>320</v>
      </c>
      <c r="E381" s="4" t="s">
        <v>1161</v>
      </c>
      <c r="F381" s="23"/>
      <c r="G381" s="18" t="s">
        <v>423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1144</v>
      </c>
      <c r="P381" s="18">
        <v>0.5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1162</v>
      </c>
      <c r="C382" s="6" t="s">
        <v>71</v>
      </c>
      <c r="D382" s="18" t="s">
        <v>320</v>
      </c>
      <c r="E382" s="4" t="s">
        <v>1163</v>
      </c>
      <c r="F382" s="23"/>
      <c r="G382" s="18" t="s">
        <v>423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1144</v>
      </c>
      <c r="P382" s="18">
        <v>0.55000000000000004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1164</v>
      </c>
      <c r="C383" s="6" t="s">
        <v>71</v>
      </c>
      <c r="D383" s="18" t="s">
        <v>320</v>
      </c>
      <c r="E383" s="4" t="s">
        <v>1165</v>
      </c>
      <c r="F383" s="23"/>
      <c r="G383" s="18" t="s">
        <v>423</v>
      </c>
      <c r="H383" s="18"/>
      <c r="I383" s="18" t="s">
        <v>323</v>
      </c>
      <c r="J383" s="18"/>
      <c r="K383" s="18"/>
      <c r="L383" s="18">
        <v>0</v>
      </c>
      <c r="M383" s="18">
        <v>0</v>
      </c>
      <c r="N383" s="18"/>
      <c r="O383" s="18" t="s">
        <v>1144</v>
      </c>
      <c r="P383" s="18">
        <v>0.6</v>
      </c>
      <c r="Q383" s="18"/>
      <c r="R383" s="18"/>
      <c r="S383" s="18"/>
      <c r="T383" s="18"/>
      <c r="U383" s="18">
        <v>1</v>
      </c>
      <c r="V383" s="18">
        <v>2</v>
      </c>
      <c r="W383" s="18" t="s">
        <v>409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1166</v>
      </c>
      <c r="C384" s="6" t="s">
        <v>71</v>
      </c>
      <c r="D384" s="18" t="s">
        <v>320</v>
      </c>
      <c r="E384" s="4" t="s">
        <v>1167</v>
      </c>
      <c r="F384" s="23"/>
      <c r="G384" s="18" t="s">
        <v>423</v>
      </c>
      <c r="H384" s="18"/>
      <c r="I384" s="18" t="s">
        <v>323</v>
      </c>
      <c r="J384" s="18" t="s">
        <v>1018</v>
      </c>
      <c r="K384" s="18"/>
      <c r="L384" s="18">
        <v>0</v>
      </c>
      <c r="M384" s="18">
        <v>0</v>
      </c>
      <c r="N384" s="18"/>
      <c r="O384" s="18" t="s">
        <v>1168</v>
      </c>
      <c r="P384" s="18">
        <v>1.3</v>
      </c>
      <c r="Q384" s="18"/>
      <c r="R384" s="18"/>
      <c r="S384" s="18"/>
      <c r="T384" s="18"/>
      <c r="U384" s="18">
        <v>2</v>
      </c>
      <c r="V384" s="18">
        <v>2</v>
      </c>
      <c r="W384" s="18" t="s">
        <v>150</v>
      </c>
      <c r="X384" s="18">
        <v>450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0.2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>
        <v>20</v>
      </c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1169</v>
      </c>
      <c r="C385" s="6" t="s">
        <v>71</v>
      </c>
      <c r="D385" s="18" t="s">
        <v>320</v>
      </c>
      <c r="E385" s="4" t="s">
        <v>1170</v>
      </c>
      <c r="F385" s="23"/>
      <c r="G385" s="18" t="s">
        <v>423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1144</v>
      </c>
      <c r="P385" s="18">
        <v>0.4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1171</v>
      </c>
      <c r="C386" s="6" t="s">
        <v>71</v>
      </c>
      <c r="D386" s="18" t="s">
        <v>320</v>
      </c>
      <c r="E386" s="4" t="s">
        <v>1172</v>
      </c>
      <c r="F386" s="23"/>
      <c r="G386" s="18" t="s">
        <v>423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1144</v>
      </c>
      <c r="P386" s="18">
        <v>0.45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1173</v>
      </c>
      <c r="C387" s="6" t="s">
        <v>71</v>
      </c>
      <c r="D387" s="18" t="s">
        <v>320</v>
      </c>
      <c r="E387" s="4" t="s">
        <v>1174</v>
      </c>
      <c r="F387" s="23"/>
      <c r="G387" s="18" t="s">
        <v>423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1144</v>
      </c>
      <c r="P387" s="18">
        <v>0.5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1175</v>
      </c>
      <c r="C388" s="6" t="s">
        <v>71</v>
      </c>
      <c r="D388" s="18" t="s">
        <v>320</v>
      </c>
      <c r="E388" s="4" t="s">
        <v>1176</v>
      </c>
      <c r="F388" s="23"/>
      <c r="G388" s="18" t="s">
        <v>423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1144</v>
      </c>
      <c r="P388" s="18">
        <v>0.55000000000000004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1177</v>
      </c>
      <c r="C389" s="6" t="s">
        <v>71</v>
      </c>
      <c r="D389" s="18" t="s">
        <v>320</v>
      </c>
      <c r="E389" s="4" t="s">
        <v>1178</v>
      </c>
      <c r="F389" s="23"/>
      <c r="G389" s="18" t="s">
        <v>423</v>
      </c>
      <c r="H389" s="18"/>
      <c r="I389" s="18" t="s">
        <v>323</v>
      </c>
      <c r="J389" s="18"/>
      <c r="K389" s="18"/>
      <c r="L389" s="18">
        <v>0</v>
      </c>
      <c r="M389" s="18">
        <v>0</v>
      </c>
      <c r="N389" s="18"/>
      <c r="O389" s="18" t="s">
        <v>1144</v>
      </c>
      <c r="P389" s="18">
        <v>0.6</v>
      </c>
      <c r="Q389" s="18"/>
      <c r="R389" s="18"/>
      <c r="S389" s="18"/>
      <c r="T389" s="18"/>
      <c r="U389" s="18">
        <v>1</v>
      </c>
      <c r="V389" s="18">
        <v>2</v>
      </c>
      <c r="W389" s="18" t="s">
        <v>409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1179</v>
      </c>
      <c r="C390" s="6" t="s">
        <v>71</v>
      </c>
      <c r="D390" s="18" t="s">
        <v>320</v>
      </c>
      <c r="E390" s="4" t="s">
        <v>1180</v>
      </c>
      <c r="F390" s="23"/>
      <c r="G390" s="18" t="s">
        <v>423</v>
      </c>
      <c r="H390" s="18"/>
      <c r="I390" s="18" t="s">
        <v>323</v>
      </c>
      <c r="J390" s="18" t="s">
        <v>1018</v>
      </c>
      <c r="K390" s="18"/>
      <c r="L390" s="18">
        <v>0</v>
      </c>
      <c r="M390" s="18">
        <v>0</v>
      </c>
      <c r="N390" s="18"/>
      <c r="O390" s="18" t="s">
        <v>1181</v>
      </c>
      <c r="P390" s="18">
        <v>1.5</v>
      </c>
      <c r="Q390" s="18"/>
      <c r="R390" s="18"/>
      <c r="S390" s="18"/>
      <c r="T390" s="18"/>
      <c r="U390" s="18">
        <v>2</v>
      </c>
      <c r="V390" s="18">
        <v>2</v>
      </c>
      <c r="W390" s="18" t="s">
        <v>150</v>
      </c>
      <c r="X390" s="18">
        <v>450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0.2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>
        <v>20</v>
      </c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1182</v>
      </c>
      <c r="C391" s="6" t="s">
        <v>71</v>
      </c>
      <c r="D391" s="18" t="s">
        <v>320</v>
      </c>
      <c r="E391" s="4" t="s">
        <v>1183</v>
      </c>
      <c r="F391" s="23"/>
      <c r="G391" s="18" t="s">
        <v>423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1144</v>
      </c>
      <c r="P391" s="18">
        <v>0.4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1184</v>
      </c>
      <c r="C392" s="6" t="s">
        <v>71</v>
      </c>
      <c r="D392" s="18" t="s">
        <v>320</v>
      </c>
      <c r="E392" s="4" t="s">
        <v>1185</v>
      </c>
      <c r="F392" s="23"/>
      <c r="G392" s="18" t="s">
        <v>423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1144</v>
      </c>
      <c r="P392" s="18">
        <v>0.45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1186</v>
      </c>
      <c r="C393" s="6" t="s">
        <v>71</v>
      </c>
      <c r="D393" s="18" t="s">
        <v>320</v>
      </c>
      <c r="E393" s="4" t="s">
        <v>1187</v>
      </c>
      <c r="F393" s="23"/>
      <c r="G393" s="18" t="s">
        <v>423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1144</v>
      </c>
      <c r="P393" s="18">
        <v>0.5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1188</v>
      </c>
      <c r="C394" s="6" t="s">
        <v>71</v>
      </c>
      <c r="D394" s="18" t="s">
        <v>320</v>
      </c>
      <c r="E394" s="4" t="s">
        <v>1189</v>
      </c>
      <c r="F394" s="23"/>
      <c r="G394" s="18" t="s">
        <v>423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1144</v>
      </c>
      <c r="P394" s="18">
        <v>0.55000000000000004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1190</v>
      </c>
      <c r="C395" s="6" t="s">
        <v>71</v>
      </c>
      <c r="D395" s="18" t="s">
        <v>320</v>
      </c>
      <c r="E395" s="4" t="s">
        <v>1191</v>
      </c>
      <c r="F395" s="23"/>
      <c r="G395" s="18" t="s">
        <v>423</v>
      </c>
      <c r="H395" s="18"/>
      <c r="I395" s="18" t="s">
        <v>323</v>
      </c>
      <c r="J395" s="18"/>
      <c r="K395" s="18"/>
      <c r="L395" s="18">
        <v>0</v>
      </c>
      <c r="M395" s="18">
        <v>0</v>
      </c>
      <c r="N395" s="18"/>
      <c r="O395" s="18" t="s">
        <v>1144</v>
      </c>
      <c r="P395" s="18">
        <v>0.6</v>
      </c>
      <c r="Q395" s="18"/>
      <c r="R395" s="18"/>
      <c r="S395" s="18"/>
      <c r="T395" s="18"/>
      <c r="U395" s="18">
        <v>1</v>
      </c>
      <c r="V395" s="18">
        <v>2</v>
      </c>
      <c r="W395" s="18" t="s">
        <v>409</v>
      </c>
      <c r="X395" s="18">
        <v>400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0.5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23" t="s">
        <v>1192</v>
      </c>
      <c r="C396" s="6" t="s">
        <v>71</v>
      </c>
      <c r="D396" s="18" t="s">
        <v>320</v>
      </c>
      <c r="E396" s="4" t="s">
        <v>1193</v>
      </c>
      <c r="F396" s="23"/>
      <c r="G396" s="18" t="s">
        <v>423</v>
      </c>
      <c r="H396" s="18"/>
      <c r="I396" s="18" t="s">
        <v>323</v>
      </c>
      <c r="J396" s="18" t="s">
        <v>1018</v>
      </c>
      <c r="K396" s="18"/>
      <c r="L396" s="18">
        <v>0</v>
      </c>
      <c r="M396" s="18">
        <v>0</v>
      </c>
      <c r="N396" s="18"/>
      <c r="O396" s="18" t="s">
        <v>1194</v>
      </c>
      <c r="P396" s="18">
        <v>1.7</v>
      </c>
      <c r="Q396" s="18"/>
      <c r="R396" s="18"/>
      <c r="S396" s="18"/>
      <c r="T396" s="18"/>
      <c r="U396" s="18">
        <v>2</v>
      </c>
      <c r="V396" s="18">
        <v>2</v>
      </c>
      <c r="W396" s="18" t="s">
        <v>150</v>
      </c>
      <c r="X396" s="18">
        <v>450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0.2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>
        <v>20</v>
      </c>
      <c r="BF396" s="10" t="s">
        <v>154</v>
      </c>
      <c r="BG396" s="10">
        <v>0</v>
      </c>
      <c r="BH396" s="18">
        <v>0</v>
      </c>
      <c r="BI396" s="18">
        <v>100</v>
      </c>
      <c r="BJ396" s="18"/>
      <c r="BK396" s="18"/>
      <c r="BL396" s="18"/>
      <c r="BM396" s="18"/>
      <c r="BN396" s="18"/>
      <c r="BO396" s="18"/>
      <c r="BP396" s="18"/>
      <c r="BQ396" s="6">
        <v>0</v>
      </c>
    </row>
    <row r="397" spans="2:72" s="6" customFormat="1">
      <c r="B397" s="57" t="s">
        <v>1195</v>
      </c>
      <c r="C397" s="6" t="s">
        <v>71</v>
      </c>
      <c r="D397" s="18" t="s">
        <v>320</v>
      </c>
      <c r="E397" t="s">
        <v>422</v>
      </c>
      <c r="F397" s="23"/>
      <c r="G397" s="18" t="s">
        <v>423</v>
      </c>
      <c r="H397" s="18"/>
      <c r="I397" s="18" t="s">
        <v>323</v>
      </c>
      <c r="J397" s="18"/>
      <c r="K397" s="18"/>
      <c r="L397" s="18">
        <v>0</v>
      </c>
      <c r="M397" s="18">
        <v>0</v>
      </c>
      <c r="N397" s="18"/>
      <c r="O397" s="18" t="s">
        <v>424</v>
      </c>
      <c r="P397" s="18">
        <v>0.5</v>
      </c>
      <c r="Q397" s="18"/>
      <c r="R397" s="18"/>
      <c r="S397" s="18"/>
      <c r="T397" s="18"/>
      <c r="U397" s="18">
        <v>0.5</v>
      </c>
      <c r="V397" s="18">
        <v>2</v>
      </c>
      <c r="W397" s="18" t="s">
        <v>150</v>
      </c>
      <c r="X397" s="18">
        <v>300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1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2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t="s">
        <v>1196</v>
      </c>
      <c r="C398" s="6" t="s">
        <v>71</v>
      </c>
      <c r="D398" s="18" t="s">
        <v>320</v>
      </c>
      <c r="E398" t="s">
        <v>1197</v>
      </c>
      <c r="F398" s="23"/>
      <c r="G398" s="18" t="s">
        <v>423</v>
      </c>
      <c r="H398" s="18"/>
      <c r="I398" s="18" t="s">
        <v>323</v>
      </c>
      <c r="J398" s="18" t="s">
        <v>335</v>
      </c>
      <c r="K398" s="18"/>
      <c r="L398" s="18">
        <v>0</v>
      </c>
      <c r="M398" s="18">
        <v>0</v>
      </c>
      <c r="N398" s="18"/>
      <c r="O398" s="18" t="s">
        <v>1198</v>
      </c>
      <c r="P398" s="18">
        <v>1.5</v>
      </c>
      <c r="Q398" s="18"/>
      <c r="R398" s="18"/>
      <c r="S398" s="18"/>
      <c r="T398" s="18"/>
      <c r="U398" s="18">
        <v>1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3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1199</v>
      </c>
      <c r="C399" s="6" t="s">
        <v>71</v>
      </c>
      <c r="D399" s="18" t="s">
        <v>320</v>
      </c>
      <c r="E399" s="4" t="s">
        <v>1200</v>
      </c>
      <c r="F399" s="23"/>
      <c r="G399" s="18" t="s">
        <v>1201</v>
      </c>
      <c r="H399" s="18"/>
      <c r="I399" s="18" t="s">
        <v>323</v>
      </c>
      <c r="J399" s="18" t="s">
        <v>1202</v>
      </c>
      <c r="K399" s="18"/>
      <c r="L399" s="18">
        <v>0</v>
      </c>
      <c r="M399" s="18">
        <v>0</v>
      </c>
      <c r="N399" s="18"/>
      <c r="O399" s="4" t="s">
        <v>1203</v>
      </c>
      <c r="P399" s="18">
        <v>1.6</v>
      </c>
      <c r="Q399" s="18"/>
      <c r="R399" s="18"/>
      <c r="S399" s="18"/>
      <c r="T399" s="18"/>
      <c r="U399" s="18">
        <v>3</v>
      </c>
      <c r="V399" s="18">
        <v>2</v>
      </c>
      <c r="W399" s="18" t="s">
        <v>150</v>
      </c>
      <c r="X399" s="18">
        <v>350</v>
      </c>
      <c r="Y399" s="18">
        <v>0</v>
      </c>
      <c r="Z399" s="18" t="s">
        <v>151</v>
      </c>
      <c r="AA399" s="18">
        <v>600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250</v>
      </c>
      <c r="AQ399" s="18">
        <v>0.8</v>
      </c>
      <c r="AR399" s="18"/>
      <c r="AS399" s="18"/>
      <c r="AT399" s="18"/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1204</v>
      </c>
      <c r="C400" s="6" t="s">
        <v>71</v>
      </c>
      <c r="D400" s="18" t="s">
        <v>320</v>
      </c>
      <c r="E400" s="4" t="s">
        <v>1205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1206</v>
      </c>
      <c r="P400" s="18">
        <v>1.5</v>
      </c>
      <c r="Q400" s="18"/>
      <c r="R400" s="18">
        <v>255</v>
      </c>
      <c r="S400" s="18">
        <v>100</v>
      </c>
      <c r="T400" s="18">
        <v>100</v>
      </c>
      <c r="U400" s="18">
        <v>3</v>
      </c>
      <c r="V400" s="18">
        <v>128</v>
      </c>
      <c r="W400" s="18" t="s">
        <v>147</v>
      </c>
      <c r="X400" s="18">
        <v>0</v>
      </c>
      <c r="Y400" s="18">
        <v>0</v>
      </c>
      <c r="Z400" s="18" t="s">
        <v>151</v>
      </c>
      <c r="AA400" s="18">
        <v>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0</v>
      </c>
      <c r="AQ400" s="18">
        <v>0.8</v>
      </c>
      <c r="AR400" s="18">
        <v>0</v>
      </c>
      <c r="AS400" s="18">
        <v>0</v>
      </c>
      <c r="AT400" s="18">
        <v>0</v>
      </c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154</v>
      </c>
      <c r="BG400" s="10">
        <v>0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6" customFormat="1">
      <c r="B401" s="4" t="s">
        <v>1207</v>
      </c>
      <c r="C401" s="6" t="s">
        <v>71</v>
      </c>
      <c r="D401" s="18" t="s">
        <v>320</v>
      </c>
      <c r="E401" s="58" t="s">
        <v>1208</v>
      </c>
      <c r="F401" s="23"/>
      <c r="G401" s="18"/>
      <c r="H401" s="18"/>
      <c r="I401" s="18" t="s">
        <v>323</v>
      </c>
      <c r="J401" s="18"/>
      <c r="K401" s="18"/>
      <c r="L401" s="18">
        <v>0</v>
      </c>
      <c r="M401" s="18">
        <v>0</v>
      </c>
      <c r="N401" s="18"/>
      <c r="O401" s="4" t="s">
        <v>603</v>
      </c>
      <c r="P401" s="18">
        <v>1</v>
      </c>
      <c r="Q401" s="18"/>
      <c r="R401" s="18"/>
      <c r="S401" s="18"/>
      <c r="T401" s="18"/>
      <c r="U401" s="18">
        <v>2</v>
      </c>
      <c r="V401" s="18">
        <v>2</v>
      </c>
      <c r="W401" s="18" t="s">
        <v>150</v>
      </c>
      <c r="X401" s="18">
        <v>350</v>
      </c>
      <c r="Y401" s="18">
        <v>0</v>
      </c>
      <c r="Z401" s="18" t="s">
        <v>151</v>
      </c>
      <c r="AA401" s="18">
        <v>600</v>
      </c>
      <c r="AB401" s="18"/>
      <c r="AC401" s="18"/>
      <c r="AD401" s="18">
        <v>0</v>
      </c>
      <c r="AE401" s="18" t="s">
        <v>151</v>
      </c>
      <c r="AF401" s="18"/>
      <c r="AG401" s="18"/>
      <c r="AH401" s="62" t="s">
        <v>152</v>
      </c>
      <c r="AI401" s="4" t="s">
        <v>153</v>
      </c>
      <c r="AJ401" s="18">
        <v>0.5</v>
      </c>
      <c r="AK401" s="18">
        <v>0.5</v>
      </c>
      <c r="AL401" s="18"/>
      <c r="AM401" s="18">
        <v>1</v>
      </c>
      <c r="AN401" s="18"/>
      <c r="AO401" s="18"/>
      <c r="AP401" s="18">
        <v>250</v>
      </c>
      <c r="AQ401" s="18">
        <v>0.8</v>
      </c>
      <c r="AR401" s="18"/>
      <c r="AS401" s="18"/>
      <c r="AT401" s="18"/>
      <c r="AU401" s="18">
        <v>1</v>
      </c>
      <c r="AV401" s="18"/>
      <c r="AW401" s="18">
        <v>0</v>
      </c>
      <c r="AX401" s="18">
        <v>0</v>
      </c>
      <c r="AY401" s="18">
        <v>0</v>
      </c>
      <c r="AZ401" s="18">
        <v>0</v>
      </c>
      <c r="BA401" s="18">
        <v>0</v>
      </c>
      <c r="BB401" s="18">
        <v>0</v>
      </c>
      <c r="BC401" s="18">
        <v>100</v>
      </c>
      <c r="BD401" s="10">
        <v>100</v>
      </c>
      <c r="BE401" s="18"/>
      <c r="BF401" s="10" t="s">
        <v>695</v>
      </c>
      <c r="BG401" s="10">
        <v>2</v>
      </c>
      <c r="BH401" s="18">
        <v>0</v>
      </c>
      <c r="BI401" s="18">
        <v>100</v>
      </c>
      <c r="BJ401" s="18"/>
      <c r="BK401" s="18"/>
      <c r="BL401" s="18"/>
      <c r="BM401" s="18"/>
      <c r="BN401" s="18"/>
      <c r="BO401" s="18"/>
      <c r="BP401" s="18"/>
      <c r="BQ401" s="6">
        <v>0</v>
      </c>
      <c r="BT401" s="6" t="s">
        <v>379</v>
      </c>
    </row>
    <row r="402" spans="2:73" s="6" customFormat="1">
      <c r="B402" s="40" t="s">
        <v>1384</v>
      </c>
      <c r="C402" s="6" t="s">
        <v>71</v>
      </c>
      <c r="D402" s="18" t="s">
        <v>320</v>
      </c>
      <c r="E402" s="58" t="s">
        <v>1385</v>
      </c>
      <c r="F402" s="23"/>
      <c r="G402" s="18"/>
      <c r="H402" s="18"/>
      <c r="I402" s="18" t="s">
        <v>323</v>
      </c>
      <c r="J402" s="18" t="s">
        <v>1386</v>
      </c>
      <c r="K402" s="18"/>
      <c r="L402" s="18">
        <v>0</v>
      </c>
      <c r="M402" s="18">
        <v>0</v>
      </c>
      <c r="N402" s="18"/>
      <c r="O402" s="4" t="s">
        <v>630</v>
      </c>
      <c r="P402" s="18">
        <v>1</v>
      </c>
      <c r="Q402" s="18"/>
      <c r="R402" s="18"/>
      <c r="S402" s="18"/>
      <c r="T402" s="18"/>
      <c r="U402" s="18">
        <v>2</v>
      </c>
      <c r="V402" s="18">
        <v>2</v>
      </c>
      <c r="W402" s="18" t="s">
        <v>150</v>
      </c>
      <c r="X402" s="18">
        <v>350</v>
      </c>
      <c r="Y402" s="18">
        <v>0</v>
      </c>
      <c r="Z402" s="18" t="s">
        <v>151</v>
      </c>
      <c r="AA402" s="18">
        <v>600</v>
      </c>
      <c r="AB402" s="18"/>
      <c r="AC402" s="18"/>
      <c r="AD402" s="18">
        <v>0</v>
      </c>
      <c r="AE402" s="18" t="s">
        <v>151</v>
      </c>
      <c r="AF402" s="18"/>
      <c r="AG402" s="18"/>
      <c r="AH402" s="62" t="s">
        <v>152</v>
      </c>
      <c r="AI402" s="4" t="s">
        <v>153</v>
      </c>
      <c r="AJ402" s="18">
        <v>0.5</v>
      </c>
      <c r="AK402" s="18">
        <v>0.5</v>
      </c>
      <c r="AL402" s="18"/>
      <c r="AM402" s="18">
        <v>1</v>
      </c>
      <c r="AN402" s="18"/>
      <c r="AO402" s="18"/>
      <c r="AP402" s="18">
        <v>250</v>
      </c>
      <c r="AQ402" s="18">
        <v>2</v>
      </c>
      <c r="AR402" s="18"/>
      <c r="AS402" s="18"/>
      <c r="AT402" s="18"/>
      <c r="AU402" s="18">
        <v>1</v>
      </c>
      <c r="AV402" s="18"/>
      <c r="AW402" s="18">
        <v>0</v>
      </c>
      <c r="AX402" s="18">
        <v>0</v>
      </c>
      <c r="AY402" s="18">
        <v>0</v>
      </c>
      <c r="AZ402" s="18">
        <v>0</v>
      </c>
      <c r="BA402" s="18">
        <v>0</v>
      </c>
      <c r="BB402" s="18">
        <v>0</v>
      </c>
      <c r="BC402" s="18">
        <v>100</v>
      </c>
      <c r="BD402" s="10">
        <v>100</v>
      </c>
      <c r="BE402" s="18"/>
      <c r="BF402" s="10" t="s">
        <v>695</v>
      </c>
      <c r="BG402" s="10">
        <v>2</v>
      </c>
      <c r="BH402" s="18">
        <v>0</v>
      </c>
      <c r="BI402" s="18">
        <v>100</v>
      </c>
      <c r="BJ402" s="18"/>
      <c r="BK402" s="18"/>
      <c r="BL402" s="18"/>
      <c r="BM402" s="18"/>
      <c r="BN402" s="18"/>
      <c r="BO402" s="18"/>
      <c r="BP402" s="18"/>
      <c r="BQ402" s="6">
        <v>0</v>
      </c>
      <c r="BT402" s="6" t="s">
        <v>379</v>
      </c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  <row r="417" spans="2:73" s="5" customFormat="1">
      <c r="B417" s="10"/>
      <c r="D417" s="10"/>
      <c r="E417" s="59"/>
      <c r="F417" s="59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60"/>
      <c r="BK417" s="60"/>
      <c r="BL417" s="60"/>
      <c r="BM417" s="60"/>
      <c r="BN417" s="60"/>
      <c r="BO417" s="60"/>
      <c r="BP417" s="61"/>
      <c r="BQ417" s="6"/>
      <c r="BR417" s="6"/>
      <c r="BS417" s="6"/>
      <c r="BT417" s="6"/>
      <c r="BU417" s="6"/>
    </row>
  </sheetData>
  <autoFilter ref="A1:BU401" xr:uid="{00000000-0009-0000-0000-000000000000}"/>
  <sortState xmlns:xlrd2="http://schemas.microsoft.com/office/spreadsheetml/2017/richdata2" ref="A2:BT33">
    <sortCondition ref="B2:B33"/>
  </sortState>
  <phoneticPr fontId="15" type="noConversion"/>
  <conditionalFormatting sqref="AP1:AP43 AP403:AP1048576 AP45:AP401">
    <cfRule type="cellIs" dxfId="2" priority="3" stopIfTrue="1" operator="greaterThan">
      <formula>600</formula>
    </cfRule>
  </conditionalFormatting>
  <conditionalFormatting sqref="AP402">
    <cfRule type="cellIs" dxfId="1" priority="2" stopIfTrue="1" operator="greaterThan">
      <formula>600</formula>
    </cfRule>
  </conditionalFormatting>
  <conditionalFormatting sqref="AP44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276225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1209</v>
      </c>
      <c r="B1" s="4" t="s">
        <v>1210</v>
      </c>
      <c r="C1" s="4" t="s">
        <v>1211</v>
      </c>
      <c r="D1" s="4" t="s">
        <v>1212</v>
      </c>
      <c r="E1" s="4" t="s">
        <v>1213</v>
      </c>
    </row>
    <row r="2" spans="1:5">
      <c r="A2">
        <v>1</v>
      </c>
      <c r="B2" s="2" t="s">
        <v>1214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1215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1216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1217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1218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1219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1220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1221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1222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1223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1224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1225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1226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1227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1228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1229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1230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1231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1232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1233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1234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1235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1236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1237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1238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1239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1240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1241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1242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1243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1244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1245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1246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1247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1248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1249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1250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1251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1252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1253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1254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1255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1256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1257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1258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1259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1260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1261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1262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1263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1264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1265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1266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1267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1268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1269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1270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1271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1272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1273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1274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1275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1276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1277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1278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1279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1280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1281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1282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1283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1284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1285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1286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1287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1288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1289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1290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1291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1292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1293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1294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1295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1296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1297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1298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1299</v>
      </c>
      <c r="C2" s="1" t="s">
        <v>71</v>
      </c>
      <c r="D2" s="3" t="s">
        <v>320</v>
      </c>
      <c r="E2" s="2" t="s">
        <v>1300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1301</v>
      </c>
      <c r="N2" s="2" t="s">
        <v>1302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1303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1305</v>
      </c>
      <c r="C3" s="1" t="s">
        <v>71</v>
      </c>
      <c r="D3" s="3" t="s">
        <v>320</v>
      </c>
      <c r="E3" s="2" t="s">
        <v>1306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1307</v>
      </c>
      <c r="N3" s="2" t="s">
        <v>1308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1303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2020-06-03T01:35:54Z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