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300" windowHeight="9135"/>
  </bookViews>
  <sheets>
    <sheet name="P000" sheetId="1" r:id="rId1"/>
    <sheet name="id" sheetId="2" r:id="rId2"/>
  </sheets>
  <functionGroups/>
  <definedNames>
    <definedName name="_xlnm._FilterDatabase" localSheetId="0" hidden="1">P000!$A$1:$E$272</definedName>
  </definedNames>
  <calcPr calcId="125725"/>
</workbook>
</file>

<file path=xl/calcChain.xml><?xml version="1.0" encoding="utf-8"?>
<calcChain xmlns="http://schemas.openxmlformats.org/spreadsheetml/2006/main">
  <c r="U48" i="1"/>
  <c r="H48"/>
  <c r="F48"/>
  <c r="U47"/>
  <c r="H47"/>
  <c r="F47"/>
  <c r="I29"/>
  <c r="I30"/>
  <c r="I31"/>
  <c r="I32"/>
  <c r="I33"/>
  <c r="I34"/>
  <c r="I35"/>
  <c r="I36"/>
  <c r="I28"/>
  <c r="U56"/>
  <c r="H56"/>
  <c r="F56"/>
  <c r="U55"/>
  <c r="H55"/>
  <c r="F55"/>
  <c r="U54"/>
  <c r="H54"/>
  <c r="F54"/>
  <c r="U53"/>
  <c r="H53"/>
  <c r="F53"/>
  <c r="U52"/>
  <c r="H52"/>
  <c r="F52"/>
  <c r="U51"/>
  <c r="H51"/>
  <c r="F51"/>
  <c r="U50"/>
  <c r="H50"/>
  <c r="F50"/>
  <c r="U49"/>
  <c r="H49"/>
  <c r="F49"/>
  <c r="U46"/>
  <c r="H46"/>
  <c r="F46"/>
  <c r="U45"/>
  <c r="H45"/>
  <c r="F45"/>
  <c r="U44"/>
  <c r="H44"/>
  <c r="F44"/>
  <c r="U43"/>
  <c r="H43"/>
  <c r="F43"/>
  <c r="U42"/>
  <c r="H42"/>
  <c r="F42"/>
  <c r="U41"/>
  <c r="H41"/>
  <c r="F41"/>
  <c r="U40"/>
  <c r="H40"/>
  <c r="F40"/>
  <c r="U39"/>
  <c r="H39"/>
  <c r="F39"/>
  <c r="U38"/>
  <c r="H38"/>
  <c r="F38"/>
  <c r="U37"/>
  <c r="H37"/>
  <c r="F37"/>
  <c r="U34"/>
  <c r="H34"/>
  <c r="F34"/>
  <c r="U33"/>
  <c r="H33"/>
  <c r="F33"/>
  <c r="U30"/>
  <c r="H30"/>
  <c r="F30"/>
  <c r="U29"/>
  <c r="H29"/>
  <c r="F29"/>
  <c r="U28"/>
  <c r="H28"/>
  <c r="F28"/>
  <c r="U27"/>
  <c r="H27"/>
  <c r="F27"/>
  <c r="U32"/>
  <c r="H32"/>
  <c r="F32"/>
  <c r="U31"/>
  <c r="H31"/>
  <c r="F31"/>
  <c r="U35"/>
  <c r="H35"/>
  <c r="F35"/>
  <c r="U36"/>
  <c r="H36"/>
  <c r="F36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U26"/>
  <c r="H26"/>
  <c r="U25"/>
  <c r="H25"/>
  <c r="U24"/>
  <c r="H24"/>
  <c r="U23"/>
  <c r="H23"/>
  <c r="U22"/>
  <c r="H22"/>
  <c r="U21"/>
  <c r="H21"/>
  <c r="U20"/>
  <c r="H20"/>
  <c r="U19"/>
  <c r="H19"/>
  <c r="U18"/>
  <c r="H18"/>
  <c r="U17"/>
  <c r="H17"/>
  <c r="U16"/>
  <c r="H16"/>
  <c r="U15"/>
  <c r="H15"/>
  <c r="U14"/>
  <c r="H14"/>
  <c r="U13"/>
  <c r="H13"/>
  <c r="U12"/>
  <c r="H12"/>
  <c r="U11"/>
  <c r="H11"/>
  <c r="U10"/>
  <c r="H10"/>
  <c r="H6"/>
  <c r="U6"/>
  <c r="H7"/>
  <c r="U7"/>
  <c r="H8"/>
  <c r="U8"/>
  <c r="H9"/>
  <c r="U9"/>
  <c r="U5"/>
  <c r="H5"/>
  <c r="U4"/>
  <c r="H4"/>
  <c r="U3" l="1"/>
  <c r="F3"/>
  <c r="H3"/>
  <c r="A2" l="1"/>
</calcChain>
</file>

<file path=xl/sharedStrings.xml><?xml version="1.0" encoding="utf-8"?>
<sst xmlns="http://schemas.openxmlformats.org/spreadsheetml/2006/main" count="912" uniqueCount="535">
  <si>
    <t>ID</t>
  </si>
  <si>
    <t>类型</t>
  </si>
  <si>
    <t>父对象</t>
  </si>
  <si>
    <t>名称</t>
  </si>
  <si>
    <t>unit</t>
  </si>
  <si>
    <t>Name</t>
  </si>
  <si>
    <t>parent</t>
    <phoneticPr fontId="3" type="noConversion"/>
  </si>
  <si>
    <t>提示工具</t>
    <phoneticPr fontId="3" type="noConversion"/>
  </si>
  <si>
    <t>Tip</t>
    <phoneticPr fontId="3" type="noConversion"/>
  </si>
  <si>
    <t>提示工具-说明</t>
    <phoneticPr fontId="3" type="noConversion"/>
  </si>
  <si>
    <t>Ubertip</t>
    <phoneticPr fontId="3" type="noConversion"/>
  </si>
  <si>
    <t>图标</t>
    <phoneticPr fontId="3" type="noConversion"/>
  </si>
  <si>
    <t>Art</t>
    <phoneticPr fontId="3" type="noConversion"/>
  </si>
  <si>
    <t>科技需求</t>
    <phoneticPr fontId="3" type="noConversion"/>
  </si>
  <si>
    <r>
      <t>Re</t>
    </r>
    <r>
      <rPr>
        <sz val="11"/>
        <color theme="1"/>
        <rFont val="等线"/>
        <family val="3"/>
        <charset val="134"/>
        <scheme val="minor"/>
      </rPr>
      <t>quires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</si>
  <si>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heckDep</t>
    </r>
    <phoneticPr fontId="3" type="noConversion"/>
  </si>
  <si>
    <r>
      <t>a</t>
    </r>
    <r>
      <rPr>
        <sz val="11"/>
        <color theme="1"/>
        <rFont val="等线"/>
        <family val="3"/>
        <charset val="134"/>
        <scheme val="minor"/>
      </rPr>
      <t>bility</t>
    </r>
    <phoneticPr fontId="3" type="noConversion"/>
  </si>
  <si>
    <t>种族</t>
    <phoneticPr fontId="3" type="noConversion"/>
  </si>
  <si>
    <t>race</t>
    <phoneticPr fontId="3" type="noConversion"/>
  </si>
  <si>
    <t>critters</t>
  </si>
  <si>
    <t>等级</t>
    <phoneticPr fontId="3" type="noConversion"/>
  </si>
  <si>
    <t>数据A</t>
    <phoneticPr fontId="3" type="noConversion"/>
  </si>
  <si>
    <t>数据B</t>
    <phoneticPr fontId="3" type="noConversion"/>
  </si>
  <si>
    <t>数据C</t>
    <phoneticPr fontId="3" type="noConversion"/>
  </si>
  <si>
    <t>数据D</t>
    <phoneticPr fontId="3" type="noConversion"/>
  </si>
  <si>
    <t>数据E</t>
    <phoneticPr fontId="3" type="noConversion"/>
  </si>
  <si>
    <t>数据F</t>
    <phoneticPr fontId="3" type="noConversion"/>
  </si>
  <si>
    <r>
      <t>D</t>
    </r>
    <r>
      <rPr>
        <sz val="11"/>
        <color theme="1"/>
        <rFont val="等线"/>
        <family val="3"/>
        <charset val="134"/>
        <scheme val="minor"/>
      </rPr>
      <t>ataA1</t>
    </r>
    <phoneticPr fontId="3" type="noConversion"/>
  </si>
  <si>
    <t>DataB1</t>
    <phoneticPr fontId="3" type="noConversion"/>
  </si>
  <si>
    <t>DataC1</t>
    <phoneticPr fontId="3" type="noConversion"/>
  </si>
  <si>
    <t>DataD1</t>
    <phoneticPr fontId="3" type="noConversion"/>
  </si>
  <si>
    <t>DataE1</t>
    <phoneticPr fontId="3" type="noConversion"/>
  </si>
  <si>
    <t>DataF1</t>
    <phoneticPr fontId="3" type="noConversion"/>
  </si>
  <si>
    <r>
      <t>E</t>
    </r>
    <r>
      <rPr>
        <sz val="11"/>
        <color theme="1"/>
        <rFont val="等线"/>
        <family val="3"/>
        <charset val="134"/>
        <scheme val="minor"/>
      </rPr>
      <t>ffectArt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</si>
  <si>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asterArt</t>
    </r>
    <phoneticPr fontId="3" type="noConversion"/>
  </si>
  <si>
    <t>目标点</t>
    <phoneticPr fontId="3" type="noConversion"/>
  </si>
  <si>
    <t>目标</t>
    <phoneticPr fontId="3" type="noConversion"/>
  </si>
  <si>
    <t>施法者</t>
    <phoneticPr fontId="3" type="noConversion"/>
  </si>
  <si>
    <r>
      <t>H</t>
    </r>
    <r>
      <rPr>
        <sz val="11"/>
        <color theme="1"/>
        <rFont val="等线"/>
        <family val="3"/>
        <charset val="134"/>
        <scheme val="minor"/>
      </rPr>
      <t>otkey</t>
    </r>
    <phoneticPr fontId="3" type="noConversion"/>
  </si>
  <si>
    <t>热键</t>
    <phoneticPr fontId="3" type="noConversion"/>
  </si>
  <si>
    <t xml:space="preserve"> </t>
    <phoneticPr fontId="3" type="noConversion"/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</si>
  <si>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</si>
  <si>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</si>
  <si>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</si>
  <si>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</si>
  <si>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</si>
  <si>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</si>
  <si>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</si>
  <si>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</si>
  <si>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</si>
  <si>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</si>
  <si>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</si>
  <si>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</si>
  <si>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</si>
  <si>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</si>
  <si>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</si>
  <si>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</si>
  <si>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</si>
  <si>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</si>
  <si>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</si>
  <si>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</si>
  <si>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</si>
  <si>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</si>
  <si>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</si>
  <si>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</si>
  <si>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</si>
  <si>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</si>
  <si>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</si>
  <si>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</si>
  <si>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</si>
  <si>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</si>
  <si>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</si>
  <si>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</si>
  <si>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</si>
  <si>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</si>
  <si>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</si>
  <si>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</si>
  <si>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</si>
  <si>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</si>
  <si>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</si>
  <si>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</si>
  <si>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</si>
  <si>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</si>
  <si>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</si>
  <si>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</si>
  <si>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</si>
  <si>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</si>
  <si>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</si>
  <si>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</si>
  <si>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</si>
  <si>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</si>
  <si>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</si>
  <si>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</si>
  <si>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</si>
  <si>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</si>
  <si>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</si>
  <si>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</si>
  <si>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</si>
  <si>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</si>
  <si>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</si>
  <si>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</si>
  <si>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</si>
  <si>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</si>
  <si>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</si>
  <si>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</si>
  <si>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</si>
  <si>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</si>
  <si>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</si>
  <si>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</si>
  <si>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</si>
  <si>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</si>
  <si>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</si>
  <si>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</si>
  <si>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</si>
  <si>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</si>
  <si>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</si>
  <si>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</si>
  <si>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</si>
  <si>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</si>
  <si>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</si>
  <si>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</si>
  <si>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</si>
  <si>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</si>
  <si>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</si>
  <si>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</si>
  <si>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</si>
  <si>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</si>
  <si>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</si>
  <si>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</si>
  <si>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</si>
  <si>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</si>
  <si>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</si>
  <si>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</si>
  <si>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</si>
  <si>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</si>
  <si>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</si>
  <si>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</si>
  <si>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</si>
  <si>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</si>
  <si>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</si>
  <si>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</si>
  <si>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</si>
  <si>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</si>
  <si>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</si>
  <si>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</si>
  <si>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</si>
  <si>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</si>
  <si>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</si>
  <si>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</si>
  <si>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</si>
  <si>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</si>
  <si>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</si>
  <si>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</si>
  <si>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</si>
  <si>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</si>
  <si>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</si>
  <si>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</si>
  <si>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</si>
  <si>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</si>
  <si>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</si>
  <si>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</si>
  <si>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</si>
  <si>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</si>
  <si>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</si>
  <si>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</si>
  <si>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</si>
  <si>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</si>
  <si>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</si>
  <si>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</si>
  <si>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</si>
  <si>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</si>
  <si>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</si>
  <si>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</si>
  <si>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</si>
  <si>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</si>
  <si>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</si>
  <si>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</si>
  <si>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</si>
  <si>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</si>
  <si>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</si>
  <si>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</si>
  <si>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</si>
  <si>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</si>
  <si>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</si>
  <si>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</si>
  <si>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</si>
  <si>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</si>
  <si>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</si>
  <si>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</si>
  <si>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</si>
  <si>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</si>
  <si>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</si>
  <si>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</si>
  <si>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</si>
  <si>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</si>
  <si>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</si>
  <si>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</si>
  <si>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</si>
  <si>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</si>
  <si>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</si>
  <si>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</si>
  <si>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</si>
  <si>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</si>
  <si>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</si>
  <si>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</si>
  <si>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</si>
  <si>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</si>
  <si>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</si>
  <si>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</si>
  <si>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</si>
  <si>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</si>
  <si>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</si>
  <si>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</si>
  <si>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</si>
  <si>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</si>
  <si>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</si>
  <si>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</si>
  <si>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</si>
  <si>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</si>
  <si>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</si>
  <si>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</si>
  <si>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</si>
  <si>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</si>
  <si>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</si>
  <si>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</si>
  <si>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</si>
  <si>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</si>
  <si>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</si>
  <si>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</si>
  <si>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</si>
  <si>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</si>
  <si>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</si>
  <si>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</si>
  <si>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</si>
  <si>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</si>
  <si>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</si>
  <si>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</si>
  <si>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</si>
  <si>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</si>
  <si>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</si>
  <si>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</si>
  <si>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</si>
  <si>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</si>
  <si>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</si>
  <si>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</si>
  <si>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</si>
  <si>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</si>
  <si>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</si>
  <si>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</si>
  <si>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</si>
  <si>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</si>
  <si>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</si>
  <si>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</si>
  <si>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</si>
  <si>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</si>
  <si>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</si>
  <si>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</si>
  <si>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</si>
  <si>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</si>
  <si>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</si>
  <si>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</si>
  <si>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</si>
  <si>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</si>
  <si>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</si>
  <si>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</si>
  <si>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</si>
  <si>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</si>
  <si>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</si>
  <si>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</si>
  <si>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</si>
  <si>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</si>
  <si>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</si>
  <si>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</si>
  <si>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</si>
  <si>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</si>
  <si>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</si>
  <si>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</si>
  <si>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</si>
  <si>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</si>
  <si>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</si>
  <si>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</si>
  <si>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</si>
  <si>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</si>
  <si>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</si>
  <si>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</si>
  <si>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</si>
  <si>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</si>
  <si>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</si>
  <si>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</si>
  <si>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</si>
  <si>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</si>
  <si>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</si>
  <si>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</si>
  <si>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</si>
  <si>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</si>
  <si>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</si>
  <si>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</si>
  <si>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</si>
  <si>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</si>
  <si>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</si>
  <si>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</si>
  <si>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</si>
  <si>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</si>
  <si>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</si>
  <si>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</si>
  <si>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</si>
  <si>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</si>
  <si>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</si>
  <si>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</si>
  <si>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</si>
  <si>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</si>
  <si>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</si>
  <si>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</si>
  <si>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</si>
  <si>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</si>
  <si>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</si>
  <si>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</si>
  <si>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</si>
  <si>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</si>
  <si>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</si>
  <si>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</si>
  <si>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</si>
  <si>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</si>
  <si>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</si>
  <si>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</si>
  <si>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</si>
  <si>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</si>
  <si>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</si>
  <si>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</si>
  <si>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</si>
  <si>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</si>
  <si>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</si>
  <si>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</si>
  <si>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</si>
  <si>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</si>
  <si>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</si>
  <si>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</si>
  <si>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</si>
  <si>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</si>
  <si>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</si>
  <si>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</si>
  <si>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</si>
  <si>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</si>
  <si>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</si>
  <si>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</si>
  <si>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</si>
  <si>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</si>
  <si>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</si>
  <si>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</si>
  <si>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</si>
  <si>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</si>
  <si>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</si>
  <si>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</si>
  <si>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</si>
  <si>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</si>
  <si>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</si>
  <si>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</si>
  <si>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</si>
  <si>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</si>
  <si>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</si>
  <si>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</si>
  <si>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</si>
  <si>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</si>
  <si>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</si>
  <si>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</si>
  <si>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</si>
  <si>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</si>
  <si>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</si>
  <si>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</si>
  <si>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</si>
  <si>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</si>
  <si>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</si>
  <si>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</si>
  <si>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</si>
  <si>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</si>
  <si>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</si>
  <si>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</si>
  <si>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</si>
  <si>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</si>
  <si>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</si>
  <si>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</si>
  <si>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</si>
  <si>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</si>
  <si>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</si>
  <si>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</si>
  <si>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</si>
  <si>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</si>
  <si>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</si>
  <si>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ANcl</t>
  </si>
  <si>
    <t xml:space="preserve"> </t>
    <phoneticPr fontId="3" type="noConversion"/>
  </si>
  <si>
    <t>levels</t>
    <phoneticPr fontId="3" type="noConversion"/>
  </si>
  <si>
    <t>TargetArt</t>
    <phoneticPr fontId="3" type="noConversion"/>
  </si>
  <si>
    <t>需求值</t>
    <phoneticPr fontId="3" type="noConversion"/>
  </si>
  <si>
    <t>Requiresamount</t>
    <phoneticPr fontId="3" type="noConversion"/>
  </si>
  <si>
    <t>挑战1</t>
    <phoneticPr fontId="3" type="noConversion"/>
  </si>
  <si>
    <t>按钮位置x</t>
  </si>
  <si>
    <t>按钮位置y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</si>
  <si>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</si>
  <si>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</si>
  <si>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</si>
  <si>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</si>
  <si>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</si>
  <si>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</si>
  <si>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</si>
  <si>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</si>
  <si>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</si>
  <si>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</si>
  <si>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</si>
  <si>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</si>
  <si>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</si>
  <si>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</si>
  <si>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</si>
  <si>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</si>
  <si>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</si>
  <si>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</si>
  <si>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</si>
  <si>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</si>
  <si>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</si>
  <si>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</si>
  <si>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</si>
  <si>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t>ATAA</t>
    <phoneticPr fontId="3" type="noConversion"/>
  </si>
  <si>
    <t>ATAB</t>
    <phoneticPr fontId="3" type="noConversion"/>
  </si>
  <si>
    <t>ATAC</t>
    <phoneticPr fontId="3" type="noConversion"/>
  </si>
  <si>
    <t>ATAD</t>
    <phoneticPr fontId="3" type="noConversion"/>
  </si>
  <si>
    <t>ATAE</t>
    <phoneticPr fontId="3" type="noConversion"/>
  </si>
  <si>
    <t>ATAF</t>
    <phoneticPr fontId="3" type="noConversion"/>
  </si>
  <si>
    <t>ATAG</t>
    <phoneticPr fontId="3" type="noConversion"/>
  </si>
  <si>
    <t>ATAH</t>
    <phoneticPr fontId="3" type="noConversion"/>
  </si>
  <si>
    <t>ATAI</t>
    <phoneticPr fontId="3" type="noConversion"/>
  </si>
  <si>
    <t>ATAJ</t>
    <phoneticPr fontId="3" type="noConversion"/>
  </si>
  <si>
    <t>ATAK</t>
    <phoneticPr fontId="3" type="noConversion"/>
  </si>
  <si>
    <t>ATAL</t>
    <phoneticPr fontId="3" type="noConversion"/>
  </si>
  <si>
    <t>ATAM</t>
    <phoneticPr fontId="3" type="noConversion"/>
  </si>
  <si>
    <t>ATAN</t>
    <phoneticPr fontId="3" type="noConversion"/>
  </si>
  <si>
    <t>ATAO</t>
    <phoneticPr fontId="3" type="noConversion"/>
  </si>
  <si>
    <t>ATAP</t>
    <phoneticPr fontId="3" type="noConversion"/>
  </si>
  <si>
    <t>ATAQ</t>
    <phoneticPr fontId="3" type="noConversion"/>
  </si>
  <si>
    <t>ATAR</t>
    <phoneticPr fontId="3" type="noConversion"/>
  </si>
  <si>
    <t>ATAS</t>
    <phoneticPr fontId="3" type="noConversion"/>
  </si>
  <si>
    <t>ATAT</t>
    <phoneticPr fontId="3" type="noConversion"/>
  </si>
  <si>
    <t>ATAU</t>
    <phoneticPr fontId="3" type="noConversion"/>
  </si>
  <si>
    <t>ATAV</t>
    <phoneticPr fontId="3" type="noConversion"/>
  </si>
  <si>
    <t>ATAW</t>
    <phoneticPr fontId="3" type="noConversion"/>
  </si>
  <si>
    <t>ATAX</t>
    <phoneticPr fontId="3" type="noConversion"/>
  </si>
  <si>
    <t xml:space="preserve"> </t>
    <phoneticPr fontId="3" type="noConversion"/>
  </si>
  <si>
    <t>['buttonpos:1']</t>
  </si>
  <si>
    <t>['buttonpos:2']</t>
  </si>
  <si>
    <t>灵力挑战1</t>
    <phoneticPr fontId="3" type="noConversion"/>
  </si>
  <si>
    <t>灵力挑战2</t>
  </si>
  <si>
    <t>灵力挑战3</t>
  </si>
  <si>
    <t>灵力挑战4</t>
  </si>
  <si>
    <t>灵力挑战5</t>
  </si>
  <si>
    <t>灵力挑战6</t>
  </si>
  <si>
    <t>灵力挑战7</t>
  </si>
  <si>
    <t>灵力挑战8</t>
  </si>
  <si>
    <t>法宝挑战1</t>
    <phoneticPr fontId="3" type="noConversion"/>
  </si>
  <si>
    <t>法宝挑战2</t>
  </si>
  <si>
    <t>法宝挑战3</t>
  </si>
  <si>
    <t>法宝挑战4</t>
  </si>
  <si>
    <t>法宝挑战5</t>
  </si>
  <si>
    <t>法宝挑战6</t>
  </si>
  <si>
    <t>法宝挑战7</t>
  </si>
  <si>
    <t>法宝挑战8</t>
  </si>
  <si>
    <t>灵力挑战9</t>
  </si>
  <si>
    <t>灵力挑战10</t>
  </si>
  <si>
    <t>法宝挑战9</t>
  </si>
  <si>
    <t>法宝挑战10</t>
  </si>
  <si>
    <t>门票挑战1</t>
    <phoneticPr fontId="3" type="noConversion"/>
  </si>
  <si>
    <t>门票挑战2</t>
  </si>
  <si>
    <t>门票挑战3</t>
  </si>
  <si>
    <t>门票挑战4</t>
  </si>
  <si>
    <t>门票挑战5</t>
  </si>
  <si>
    <t>门票挑战6</t>
  </si>
  <si>
    <t>门票挑战7</t>
  </si>
  <si>
    <t>门票挑战8</t>
  </si>
  <si>
    <t>AT0A</t>
  </si>
  <si>
    <t>AT0B</t>
  </si>
  <si>
    <t>AT0C</t>
  </si>
  <si>
    <t>AT0D</t>
  </si>
  <si>
    <t>AT0E</t>
  </si>
  <si>
    <t>AT0F</t>
  </si>
  <si>
    <t>AT0G</t>
  </si>
  <si>
    <t>AT0H</t>
  </si>
  <si>
    <t>AT0I</t>
  </si>
  <si>
    <t>AT0J</t>
  </si>
  <si>
    <t>AT1A</t>
  </si>
  <si>
    <t>AT1B</t>
  </si>
  <si>
    <t>AT1C</t>
  </si>
  <si>
    <t>AT1D</t>
  </si>
  <si>
    <t>AT1E</t>
  </si>
  <si>
    <t>AT1F</t>
  </si>
  <si>
    <t>AT1G</t>
  </si>
  <si>
    <t>AT1H</t>
  </si>
  <si>
    <t>AT1I</t>
  </si>
  <si>
    <t>AT1J</t>
  </si>
  <si>
    <t>AT2A</t>
  </si>
  <si>
    <t>AT2B</t>
  </si>
  <si>
    <t>AT2C</t>
  </si>
  <si>
    <t>AT2D</t>
  </si>
  <si>
    <t>AT2E</t>
  </si>
  <si>
    <t>AT2F</t>
  </si>
  <si>
    <t>AT2G</t>
  </si>
  <si>
    <t>AT2H</t>
  </si>
  <si>
    <t>法宝挑战11</t>
  </si>
  <si>
    <t>法宝挑战12</t>
  </si>
  <si>
    <t>AT1K</t>
    <phoneticPr fontId="3" type="noConversion"/>
  </si>
  <si>
    <t>AT1L</t>
    <phoneticPr fontId="3" type="noConversion"/>
  </si>
  <si>
    <t>KTAA</t>
  </si>
  <si>
    <t>KTAB</t>
  </si>
  <si>
    <t>KTAC</t>
  </si>
  <si>
    <t>KTAQ</t>
  </si>
  <si>
    <t>KTAR</t>
  </si>
  <si>
    <t>KTAS</t>
  </si>
  <si>
    <t>KTAT</t>
  </si>
  <si>
    <t>KTAU</t>
  </si>
  <si>
    <t>KTAV</t>
  </si>
  <si>
    <t>KTAW</t>
  </si>
  <si>
    <t>KTAD,RJ0B</t>
    <phoneticPr fontId="3" type="noConversion"/>
  </si>
  <si>
    <t>KTAE,RJ0B</t>
    <phoneticPr fontId="3" type="noConversion"/>
  </si>
  <si>
    <t>KTAF,RJ0C</t>
    <phoneticPr fontId="3" type="noConversion"/>
  </si>
  <si>
    <t>KTAG,RJ0C</t>
    <phoneticPr fontId="3" type="noConversion"/>
  </si>
  <si>
    <t>KTAH,RJ0D</t>
    <phoneticPr fontId="3" type="noConversion"/>
  </si>
  <si>
    <t>KTAI,RJ0D</t>
    <phoneticPr fontId="3" type="noConversion"/>
  </si>
  <si>
    <t>KTAJ,RJ0E</t>
    <phoneticPr fontId="3" type="noConversion"/>
  </si>
  <si>
    <t>KTAK,RJ0E</t>
    <phoneticPr fontId="3" type="noConversion"/>
  </si>
  <si>
    <t>KTAL,RJ0F</t>
    <phoneticPr fontId="3" type="noConversion"/>
  </si>
  <si>
    <t>KTAM,RJ0G</t>
    <phoneticPr fontId="3" type="noConversion"/>
  </si>
  <si>
    <t>KTAN,RJ0H</t>
    <phoneticPr fontId="3" type="noConversion"/>
  </si>
  <si>
    <t>KTAO,RJ0I</t>
    <phoneticPr fontId="3" type="noConversion"/>
  </si>
  <si>
    <t>KTAP,RJ0EJ</t>
    <phoneticPr fontId="3" type="noConversion"/>
  </si>
  <si>
    <t>KTAE</t>
    <phoneticPr fontId="3" type="noConversion"/>
  </si>
  <si>
    <t>KTAH,RJ0C</t>
    <phoneticPr fontId="3" type="noConversion"/>
  </si>
  <si>
    <t>冷却</t>
    <phoneticPr fontId="3" type="noConversion"/>
  </si>
  <si>
    <t>cool1</t>
    <phoneticPr fontId="3" type="noConversion"/>
  </si>
  <si>
    <t>RF0A</t>
    <phoneticPr fontId="3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</si>
</sst>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Border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0" fillId="2" borderId="0" xfId="0" applyNumberFormat="1" applyFill="1"/>
    <xf numFmtId="0" fontId="1" fillId="2" borderId="0" xfId="0" applyNumberFormat="1" applyFont="1" applyFill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09"/>
  <sheetViews>
    <sheetView tabSelected="1" zoomScaleNormal="100" workbookViewId="0">
      <pane xSplit="5" ySplit="2" topLeftCell="G21" activePane="bottomRight" state="frozen"/>
      <selection pane="topRight"/>
      <selection pane="bottomLeft"/>
      <selection pane="bottomRight" activeCell="I37" sqref="I37"/>
    </sheetView>
  </sheetViews>
  <sheetFormatPr defaultColWidth="9" defaultRowHeight="14.25"/>
  <cols>
    <col min="1" max="1" width="20.25" style="2" customWidth="1"/>
    <col min="2" max="2" width="9" style="2"/>
    <col min="3" max="3" width="7.125" style="2" customWidth="1"/>
    <col min="4" max="4" width="8.375" style="16" customWidth="1"/>
    <col min="5" max="5" width="28.75" style="3" customWidth="1"/>
    <col min="6" max="6" width="25.75" style="2" customWidth="1"/>
    <col min="7" max="7" width="63.125" style="2" customWidth="1"/>
    <col min="8" max="8" width="45.625" style="2" customWidth="1"/>
    <col min="9" max="12" width="10.25" style="2" customWidth="1"/>
    <col min="13" max="20" width="9" style="2"/>
    <col min="21" max="21" width="11.875" style="2" customWidth="1"/>
    <col min="22" max="16384" width="9" style="2"/>
  </cols>
  <sheetData>
    <row r="1" spans="1:26" s="1" customFormat="1">
      <c r="A1" s="3"/>
      <c r="B1" s="1" t="s">
        <v>0</v>
      </c>
      <c r="C1" s="1" t="s">
        <v>1</v>
      </c>
      <c r="D1" s="13" t="s">
        <v>2</v>
      </c>
      <c r="E1" s="3" t="s">
        <v>3</v>
      </c>
      <c r="F1" s="5" t="s">
        <v>7</v>
      </c>
      <c r="G1" s="5" t="s">
        <v>9</v>
      </c>
      <c r="H1" s="5" t="s">
        <v>11</v>
      </c>
      <c r="I1" s="5" t="s">
        <v>13</v>
      </c>
      <c r="J1" s="5" t="s">
        <v>392</v>
      </c>
      <c r="K1" s="17" t="s">
        <v>395</v>
      </c>
      <c r="L1" s="17" t="s">
        <v>396</v>
      </c>
      <c r="M1" s="1">
        <v>0</v>
      </c>
      <c r="N1" s="5" t="s">
        <v>17</v>
      </c>
      <c r="O1" s="5" t="s">
        <v>20</v>
      </c>
      <c r="P1" s="5" t="s">
        <v>21</v>
      </c>
      <c r="Q1" s="5" t="s">
        <v>22</v>
      </c>
      <c r="R1" s="5" t="s">
        <v>23</v>
      </c>
      <c r="S1" s="5" t="s">
        <v>24</v>
      </c>
      <c r="T1" s="5" t="s">
        <v>25</v>
      </c>
      <c r="U1" s="5" t="s">
        <v>26</v>
      </c>
      <c r="V1" s="5" t="s">
        <v>35</v>
      </c>
      <c r="W1" s="5" t="s">
        <v>36</v>
      </c>
      <c r="X1" s="5" t="s">
        <v>37</v>
      </c>
      <c r="Y1" s="5" t="s">
        <v>39</v>
      </c>
      <c r="Z1" s="5" t="s">
        <v>532</v>
      </c>
    </row>
    <row r="2" spans="1:26" s="1" customFormat="1" ht="12.95" customHeight="1">
      <c r="A2" s="3">
        <f>COUNTA(B:B)+1</f>
        <v>56</v>
      </c>
      <c r="C2" s="1" t="s">
        <v>4</v>
      </c>
      <c r="D2" s="14" t="s">
        <v>6</v>
      </c>
      <c r="E2" s="3" t="s">
        <v>5</v>
      </c>
      <c r="F2" s="5" t="s">
        <v>8</v>
      </c>
      <c r="G2" s="5" t="s">
        <v>10</v>
      </c>
      <c r="H2" s="5" t="s">
        <v>12</v>
      </c>
      <c r="I2" s="5" t="s">
        <v>14</v>
      </c>
      <c r="J2" s="5" t="s">
        <v>393</v>
      </c>
      <c r="K2" s="18" t="s">
        <v>445</v>
      </c>
      <c r="L2" s="18" t="s">
        <v>446</v>
      </c>
      <c r="M2" s="5" t="s">
        <v>15</v>
      </c>
      <c r="N2" s="5" t="s">
        <v>18</v>
      </c>
      <c r="O2" s="5" t="s">
        <v>390</v>
      </c>
      <c r="P2" s="5" t="s">
        <v>27</v>
      </c>
      <c r="Q2" s="5" t="s">
        <v>28</v>
      </c>
      <c r="R2" s="5" t="s">
        <v>29</v>
      </c>
      <c r="S2" s="5" t="s">
        <v>30</v>
      </c>
      <c r="T2" s="5" t="s">
        <v>31</v>
      </c>
      <c r="U2" s="5" t="s">
        <v>32</v>
      </c>
      <c r="V2" s="5" t="s">
        <v>33</v>
      </c>
      <c r="W2" s="5" t="s">
        <v>391</v>
      </c>
      <c r="X2" s="5" t="s">
        <v>34</v>
      </c>
      <c r="Y2" s="5" t="s">
        <v>38</v>
      </c>
      <c r="Z2" s="5" t="s">
        <v>533</v>
      </c>
    </row>
    <row r="3" spans="1:26" s="1" customFormat="1">
      <c r="A3" s="1">
        <v>21</v>
      </c>
      <c r="B3" s="4" t="s">
        <v>420</v>
      </c>
      <c r="C3" s="11" t="s">
        <v>16</v>
      </c>
      <c r="D3" s="4" t="s">
        <v>388</v>
      </c>
      <c r="E3" s="7" t="s">
        <v>394</v>
      </c>
      <c r="F3" s="9" t="str">
        <f t="shared" ref="F3" si="0">E3</f>
        <v>挑战1</v>
      </c>
      <c r="G3" s="9"/>
      <c r="H3" s="1" t="str">
        <f t="shared" ref="H3" si="1">"ReplaceableTextures\\CommandButtons\\BTN"&amp;B3&amp;".blp"</f>
        <v>ReplaceableTextures\\CommandButtons\\BTNATAA.blp</v>
      </c>
      <c r="I3" s="11"/>
      <c r="J3" s="11"/>
      <c r="K3" s="11">
        <v>0</v>
      </c>
      <c r="L3" s="11">
        <v>0</v>
      </c>
      <c r="N3" s="9" t="s">
        <v>19</v>
      </c>
      <c r="O3" s="1">
        <v>1</v>
      </c>
      <c r="P3" s="1">
        <v>0</v>
      </c>
      <c r="Q3" s="1">
        <v>0</v>
      </c>
      <c r="R3" s="1">
        <v>1</v>
      </c>
      <c r="S3" s="1">
        <v>0</v>
      </c>
      <c r="T3" s="1">
        <v>0</v>
      </c>
      <c r="U3" s="1" t="str">
        <f>IF(A3="","",INDEX(id!$A:$A,A3))</f>
        <v>autoharvestlumber</v>
      </c>
      <c r="V3" s="5" t="s">
        <v>444</v>
      </c>
      <c r="W3" s="5" t="s">
        <v>40</v>
      </c>
      <c r="X3" s="5" t="s">
        <v>40</v>
      </c>
      <c r="Y3" s="5" t="s">
        <v>389</v>
      </c>
      <c r="Z3" s="5">
        <v>10</v>
      </c>
    </row>
    <row r="4" spans="1:26" s="1" customFormat="1">
      <c r="A4" s="1">
        <v>22</v>
      </c>
      <c r="B4" s="4" t="s">
        <v>421</v>
      </c>
      <c r="C4" s="11" t="s">
        <v>16</v>
      </c>
      <c r="D4" s="4" t="s">
        <v>388</v>
      </c>
      <c r="E4" s="7" t="s">
        <v>397</v>
      </c>
      <c r="F4" s="9" t="str">
        <f t="shared" ref="F4:F26" si="2">E4</f>
        <v>挑战2</v>
      </c>
      <c r="G4" s="9"/>
      <c r="H4" s="1" t="str">
        <f t="shared" ref="H4:H5" si="3">"ReplaceableTextures\\CommandButtons\\BTN"&amp;B4&amp;".blp"</f>
        <v>ReplaceableTextures\\CommandButtons\\BTNATAB.blp</v>
      </c>
      <c r="I4" s="11" t="s">
        <v>507</v>
      </c>
      <c r="J4" s="11"/>
      <c r="K4" s="11">
        <v>1</v>
      </c>
      <c r="L4" s="11">
        <v>0</v>
      </c>
      <c r="N4" s="9" t="s">
        <v>19</v>
      </c>
      <c r="O4" s="1">
        <v>1</v>
      </c>
      <c r="P4" s="1">
        <v>0</v>
      </c>
      <c r="Q4" s="1">
        <v>0</v>
      </c>
      <c r="R4" s="1">
        <v>1</v>
      </c>
      <c r="S4" s="1">
        <v>0</v>
      </c>
      <c r="T4" s="1">
        <v>0</v>
      </c>
      <c r="U4" s="1" t="str">
        <f>IF(A4="","",INDEX(id!$A:$A,A4))</f>
        <v>avatar</v>
      </c>
      <c r="V4" s="5" t="s">
        <v>40</v>
      </c>
      <c r="W4" s="5" t="s">
        <v>40</v>
      </c>
      <c r="X4" s="5" t="s">
        <v>40</v>
      </c>
      <c r="Y4" s="5" t="s">
        <v>40</v>
      </c>
      <c r="Z4" s="5">
        <v>10</v>
      </c>
    </row>
    <row r="5" spans="1:26" s="1" customFormat="1">
      <c r="A5" s="1">
        <v>23</v>
      </c>
      <c r="B5" s="4" t="s">
        <v>422</v>
      </c>
      <c r="C5" s="11" t="s">
        <v>16</v>
      </c>
      <c r="D5" s="4" t="s">
        <v>388</v>
      </c>
      <c r="E5" s="7" t="s">
        <v>398</v>
      </c>
      <c r="F5" s="9" t="str">
        <f t="shared" si="2"/>
        <v>挑战3</v>
      </c>
      <c r="G5" s="9"/>
      <c r="H5" s="1" t="str">
        <f t="shared" si="3"/>
        <v>ReplaceableTextures\\CommandButtons\\BTNATAC.blp</v>
      </c>
      <c r="I5" s="11" t="s">
        <v>508</v>
      </c>
      <c r="J5" s="11"/>
      <c r="K5" s="11">
        <v>2</v>
      </c>
      <c r="L5" s="11">
        <v>0</v>
      </c>
      <c r="N5" s="9" t="s">
        <v>19</v>
      </c>
      <c r="O5" s="1">
        <v>1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U5" s="1" t="str">
        <f>IF(A5="","",INDEX(id!$A:$A,A5))</f>
        <v>avengerform</v>
      </c>
      <c r="V5" s="5" t="s">
        <v>40</v>
      </c>
      <c r="W5" s="5" t="s">
        <v>40</v>
      </c>
      <c r="X5" s="5" t="s">
        <v>40</v>
      </c>
      <c r="Y5" s="5" t="s">
        <v>40</v>
      </c>
      <c r="Z5" s="5">
        <v>10</v>
      </c>
    </row>
    <row r="6" spans="1:26" s="1" customFormat="1">
      <c r="A6" s="1">
        <v>24</v>
      </c>
      <c r="B6" s="4" t="s">
        <v>423</v>
      </c>
      <c r="C6" s="11" t="s">
        <v>16</v>
      </c>
      <c r="D6" s="4" t="s">
        <v>388</v>
      </c>
      <c r="E6" s="7" t="s">
        <v>399</v>
      </c>
      <c r="F6" s="9" t="str">
        <f t="shared" si="2"/>
        <v>挑战4</v>
      </c>
      <c r="G6" s="9"/>
      <c r="H6" s="1" t="str">
        <f>"ReplaceableTextures\\CommandButtons\\BTN"&amp;B6&amp;".blp"</f>
        <v>ReplaceableTextures\\CommandButtons\\BTNATAD.blp</v>
      </c>
      <c r="I6" s="11" t="s">
        <v>509</v>
      </c>
      <c r="J6" s="11"/>
      <c r="K6" s="11">
        <v>3</v>
      </c>
      <c r="L6" s="11">
        <v>0</v>
      </c>
      <c r="N6" s="9" t="s">
        <v>19</v>
      </c>
      <c r="O6" s="1">
        <v>1</v>
      </c>
      <c r="P6" s="1">
        <v>0</v>
      </c>
      <c r="Q6" s="1">
        <v>0</v>
      </c>
      <c r="R6" s="1">
        <v>1</v>
      </c>
      <c r="S6" s="1">
        <v>0</v>
      </c>
      <c r="T6" s="1">
        <v>0</v>
      </c>
      <c r="U6" s="1" t="str">
        <f>IF(A6="","",INDEX(id!$A:$A,A6))</f>
        <v>awaken</v>
      </c>
      <c r="V6" s="5" t="s">
        <v>40</v>
      </c>
      <c r="W6" s="5" t="s">
        <v>40</v>
      </c>
      <c r="X6" s="5" t="s">
        <v>40</v>
      </c>
      <c r="Y6" s="5" t="s">
        <v>40</v>
      </c>
      <c r="Z6" s="5">
        <v>10</v>
      </c>
    </row>
    <row r="7" spans="1:26" s="1" customFormat="1">
      <c r="A7" s="1">
        <v>25</v>
      </c>
      <c r="B7" s="4" t="s">
        <v>424</v>
      </c>
      <c r="C7" s="11" t="s">
        <v>16</v>
      </c>
      <c r="D7" s="4" t="s">
        <v>388</v>
      </c>
      <c r="E7" s="7" t="s">
        <v>400</v>
      </c>
      <c r="F7" s="9" t="str">
        <f t="shared" si="2"/>
        <v>挑战5</v>
      </c>
      <c r="G7" s="9"/>
      <c r="H7" s="1" t="str">
        <f t="shared" ref="H7:H9" si="4">"ReplaceableTextures\\CommandButtons\\BTN"&amp;B7&amp;".blp"</f>
        <v>ReplaceableTextures\\CommandButtons\\BTNATAE.blp</v>
      </c>
      <c r="I7" s="11" t="s">
        <v>517</v>
      </c>
      <c r="J7" s="11"/>
      <c r="K7" s="11">
        <v>0</v>
      </c>
      <c r="L7" s="11">
        <v>1</v>
      </c>
      <c r="N7" s="9" t="s">
        <v>19</v>
      </c>
      <c r="O7" s="1">
        <v>1</v>
      </c>
      <c r="P7" s="1">
        <v>0</v>
      </c>
      <c r="Q7" s="1">
        <v>0</v>
      </c>
      <c r="R7" s="1">
        <v>1</v>
      </c>
      <c r="S7" s="1">
        <v>0</v>
      </c>
      <c r="T7" s="1">
        <v>0</v>
      </c>
      <c r="U7" s="1" t="str">
        <f>IF(A7="","",INDEX(id!$A:$A,A7))</f>
        <v>banish</v>
      </c>
      <c r="V7" s="5" t="s">
        <v>40</v>
      </c>
      <c r="W7" s="5" t="s">
        <v>40</v>
      </c>
      <c r="X7" s="5" t="s">
        <v>40</v>
      </c>
      <c r="Y7" s="5" t="s">
        <v>40</v>
      </c>
      <c r="Z7" s="5">
        <v>10</v>
      </c>
    </row>
    <row r="8" spans="1:26" s="1" customFormat="1">
      <c r="A8" s="1">
        <v>26</v>
      </c>
      <c r="B8" s="4" t="s">
        <v>425</v>
      </c>
      <c r="C8" s="11" t="s">
        <v>16</v>
      </c>
      <c r="D8" s="4" t="s">
        <v>388</v>
      </c>
      <c r="E8" s="7" t="s">
        <v>401</v>
      </c>
      <c r="F8" s="9" t="str">
        <f t="shared" si="2"/>
        <v>挑战6</v>
      </c>
      <c r="G8" s="9"/>
      <c r="H8" s="1" t="str">
        <f t="shared" si="4"/>
        <v>ReplaceableTextures\\CommandButtons\\BTNATAF.blp</v>
      </c>
      <c r="I8" s="11" t="s">
        <v>518</v>
      </c>
      <c r="J8" s="11"/>
      <c r="K8" s="11">
        <v>1</v>
      </c>
      <c r="L8" s="11">
        <v>1</v>
      </c>
      <c r="N8" s="9" t="s">
        <v>19</v>
      </c>
      <c r="O8" s="1">
        <v>1</v>
      </c>
      <c r="P8" s="1">
        <v>0</v>
      </c>
      <c r="Q8" s="1">
        <v>0</v>
      </c>
      <c r="R8" s="1">
        <v>1</v>
      </c>
      <c r="S8" s="1">
        <v>0</v>
      </c>
      <c r="T8" s="1">
        <v>0</v>
      </c>
      <c r="U8" s="1" t="str">
        <f>IF(A8="","",INDEX(id!$A:$A,A8))</f>
        <v>barkskin</v>
      </c>
      <c r="V8" s="5" t="s">
        <v>40</v>
      </c>
      <c r="W8" s="5" t="s">
        <v>40</v>
      </c>
      <c r="X8" s="5" t="s">
        <v>40</v>
      </c>
      <c r="Y8" s="5" t="s">
        <v>40</v>
      </c>
      <c r="Z8" s="5">
        <v>10</v>
      </c>
    </row>
    <row r="9" spans="1:26" s="1" customFormat="1">
      <c r="A9" s="1">
        <v>27</v>
      </c>
      <c r="B9" s="4" t="s">
        <v>426</v>
      </c>
      <c r="C9" s="11" t="s">
        <v>16</v>
      </c>
      <c r="D9" s="4" t="s">
        <v>388</v>
      </c>
      <c r="E9" s="7" t="s">
        <v>402</v>
      </c>
      <c r="F9" s="9" t="str">
        <f t="shared" si="2"/>
        <v>挑战7</v>
      </c>
      <c r="G9" s="9"/>
      <c r="H9" s="1" t="str">
        <f t="shared" si="4"/>
        <v>ReplaceableTextures\\CommandButtons\\BTNATAG.blp</v>
      </c>
      <c r="I9" s="11" t="s">
        <v>519</v>
      </c>
      <c r="J9" s="11"/>
      <c r="K9" s="11">
        <v>2</v>
      </c>
      <c r="L9" s="11">
        <v>1</v>
      </c>
      <c r="N9" s="9" t="s">
        <v>19</v>
      </c>
      <c r="O9" s="1">
        <v>1</v>
      </c>
      <c r="P9" s="1">
        <v>0</v>
      </c>
      <c r="Q9" s="1">
        <v>0</v>
      </c>
      <c r="R9" s="1">
        <v>1</v>
      </c>
      <c r="S9" s="1">
        <v>0</v>
      </c>
      <c r="T9" s="1">
        <v>0</v>
      </c>
      <c r="U9" s="1" t="str">
        <f>IF(A9="","",INDEX(id!$A:$A,A9))</f>
        <v>barkskinoff</v>
      </c>
      <c r="V9" s="5" t="s">
        <v>40</v>
      </c>
      <c r="W9" s="5" t="s">
        <v>40</v>
      </c>
      <c r="X9" s="5" t="s">
        <v>40</v>
      </c>
      <c r="Y9" s="5" t="s">
        <v>40</v>
      </c>
      <c r="Z9" s="5">
        <v>10</v>
      </c>
    </row>
    <row r="10" spans="1:26" s="1" customFormat="1">
      <c r="A10" s="1">
        <v>28</v>
      </c>
      <c r="B10" s="4" t="s">
        <v>427</v>
      </c>
      <c r="C10" s="11" t="s">
        <v>16</v>
      </c>
      <c r="D10" s="4" t="s">
        <v>388</v>
      </c>
      <c r="E10" s="7" t="s">
        <v>403</v>
      </c>
      <c r="F10" s="9" t="str">
        <f t="shared" si="2"/>
        <v>挑战8</v>
      </c>
      <c r="G10" s="9"/>
      <c r="H10" s="1" t="str">
        <f t="shared" ref="H10" si="5">"ReplaceableTextures\\CommandButtons\\BTN"&amp;B10&amp;".blp"</f>
        <v>ReplaceableTextures\\CommandButtons\\BTNATAH.blp</v>
      </c>
      <c r="I10" s="11" t="s">
        <v>520</v>
      </c>
      <c r="J10" s="11"/>
      <c r="K10" s="11">
        <v>3</v>
      </c>
      <c r="L10" s="11">
        <v>1</v>
      </c>
      <c r="N10" s="9" t="s">
        <v>19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 t="str">
        <f>IF(A10="","",INDEX(id!$A:$A,A10))</f>
        <v>barkskinon</v>
      </c>
      <c r="V10" s="5" t="s">
        <v>40</v>
      </c>
      <c r="W10" s="5" t="s">
        <v>40</v>
      </c>
      <c r="X10" s="5" t="s">
        <v>40</v>
      </c>
      <c r="Y10" s="5" t="s">
        <v>40</v>
      </c>
      <c r="Z10" s="5">
        <v>10</v>
      </c>
    </row>
    <row r="11" spans="1:26" s="1" customFormat="1">
      <c r="A11" s="1">
        <v>21</v>
      </c>
      <c r="B11" s="4" t="s">
        <v>428</v>
      </c>
      <c r="C11" s="11" t="s">
        <v>16</v>
      </c>
      <c r="D11" s="4" t="s">
        <v>388</v>
      </c>
      <c r="E11" s="7" t="s">
        <v>404</v>
      </c>
      <c r="F11" s="9" t="str">
        <f t="shared" si="2"/>
        <v>挑战9</v>
      </c>
      <c r="G11" s="9"/>
      <c r="H11" s="1" t="str">
        <f>"ReplaceableTextures\\CommandButtons\\BTN"&amp;B11&amp;".blp"</f>
        <v>ReplaceableTextures\\CommandButtons\\BTNATAI.blp</v>
      </c>
      <c r="I11" s="11" t="s">
        <v>521</v>
      </c>
      <c r="J11" s="11"/>
      <c r="K11" s="11">
        <v>0</v>
      </c>
      <c r="L11" s="11">
        <v>0</v>
      </c>
      <c r="N11" s="9" t="s">
        <v>19</v>
      </c>
      <c r="O11" s="1">
        <v>1</v>
      </c>
      <c r="P11" s="1">
        <v>0</v>
      </c>
      <c r="Q11" s="1">
        <v>0</v>
      </c>
      <c r="R11" s="1">
        <v>1</v>
      </c>
      <c r="S11" s="1">
        <v>0</v>
      </c>
      <c r="T11" s="1">
        <v>0</v>
      </c>
      <c r="U11" s="1" t="str">
        <f>IF(A11="","",INDEX(id!$A:$A,A11))</f>
        <v>autoharvestlumber</v>
      </c>
      <c r="V11" s="5" t="s">
        <v>40</v>
      </c>
      <c r="W11" s="5" t="s">
        <v>40</v>
      </c>
      <c r="X11" s="5" t="s">
        <v>40</v>
      </c>
      <c r="Y11" s="5" t="s">
        <v>40</v>
      </c>
      <c r="Z11" s="5">
        <v>10</v>
      </c>
    </row>
    <row r="12" spans="1:26" s="1" customFormat="1">
      <c r="A12" s="1">
        <v>22</v>
      </c>
      <c r="B12" s="4" t="s">
        <v>429</v>
      </c>
      <c r="C12" s="11" t="s">
        <v>16</v>
      </c>
      <c r="D12" s="4" t="s">
        <v>388</v>
      </c>
      <c r="E12" s="7" t="s">
        <v>405</v>
      </c>
      <c r="F12" s="9" t="str">
        <f t="shared" si="2"/>
        <v>挑战10</v>
      </c>
      <c r="G12" s="9"/>
      <c r="H12" s="1" t="str">
        <f t="shared" ref="H12:H13" si="6">"ReplaceableTextures\\CommandButtons\\BTN"&amp;B12&amp;".blp"</f>
        <v>ReplaceableTextures\\CommandButtons\\BTNATAJ.blp</v>
      </c>
      <c r="I12" s="11" t="s">
        <v>522</v>
      </c>
      <c r="J12" s="11"/>
      <c r="K12" s="11">
        <v>1</v>
      </c>
      <c r="L12" s="11">
        <v>0</v>
      </c>
      <c r="N12" s="9" t="s">
        <v>19</v>
      </c>
      <c r="O12" s="1">
        <v>1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 t="str">
        <f>IF(A12="","",INDEX(id!$A:$A,A12))</f>
        <v>avatar</v>
      </c>
      <c r="V12" s="5" t="s">
        <v>40</v>
      </c>
      <c r="W12" s="5" t="s">
        <v>40</v>
      </c>
      <c r="X12" s="5" t="s">
        <v>40</v>
      </c>
      <c r="Y12" s="5" t="s">
        <v>40</v>
      </c>
      <c r="Z12" s="5">
        <v>10</v>
      </c>
    </row>
    <row r="13" spans="1:26" s="1" customFormat="1">
      <c r="A13" s="1">
        <v>23</v>
      </c>
      <c r="B13" s="4" t="s">
        <v>430</v>
      </c>
      <c r="C13" s="11" t="s">
        <v>16</v>
      </c>
      <c r="D13" s="4" t="s">
        <v>388</v>
      </c>
      <c r="E13" s="7" t="s">
        <v>406</v>
      </c>
      <c r="F13" s="9" t="str">
        <f t="shared" si="2"/>
        <v>挑战11</v>
      </c>
      <c r="G13" s="9"/>
      <c r="H13" s="1" t="str">
        <f t="shared" si="6"/>
        <v>ReplaceableTextures\\CommandButtons\\BTNATAK.blp</v>
      </c>
      <c r="I13" s="11" t="s">
        <v>523</v>
      </c>
      <c r="J13" s="11"/>
      <c r="K13" s="11">
        <v>2</v>
      </c>
      <c r="L13" s="11">
        <v>0</v>
      </c>
      <c r="N13" s="9" t="s">
        <v>19</v>
      </c>
      <c r="O13" s="1">
        <v>1</v>
      </c>
      <c r="P13" s="1">
        <v>0</v>
      </c>
      <c r="Q13" s="1">
        <v>0</v>
      </c>
      <c r="R13" s="1">
        <v>1</v>
      </c>
      <c r="S13" s="1">
        <v>0</v>
      </c>
      <c r="T13" s="1">
        <v>0</v>
      </c>
      <c r="U13" s="1" t="str">
        <f>IF(A13="","",INDEX(id!$A:$A,A13))</f>
        <v>avengerform</v>
      </c>
      <c r="V13" s="5" t="s">
        <v>40</v>
      </c>
      <c r="W13" s="5" t="s">
        <v>40</v>
      </c>
      <c r="X13" s="5" t="s">
        <v>40</v>
      </c>
      <c r="Y13" s="5" t="s">
        <v>40</v>
      </c>
      <c r="Z13" s="5">
        <v>10</v>
      </c>
    </row>
    <row r="14" spans="1:26" s="1" customFormat="1">
      <c r="A14" s="1">
        <v>24</v>
      </c>
      <c r="B14" s="4" t="s">
        <v>431</v>
      </c>
      <c r="C14" s="11" t="s">
        <v>16</v>
      </c>
      <c r="D14" s="4" t="s">
        <v>388</v>
      </c>
      <c r="E14" s="7" t="s">
        <v>407</v>
      </c>
      <c r="F14" s="9" t="str">
        <f t="shared" si="2"/>
        <v>挑战12</v>
      </c>
      <c r="G14" s="9"/>
      <c r="H14" s="1" t="str">
        <f>"ReplaceableTextures\\CommandButtons\\BTN"&amp;B14&amp;".blp"</f>
        <v>ReplaceableTextures\\CommandButtons\\BTNATAL.blp</v>
      </c>
      <c r="I14" s="11" t="s">
        <v>524</v>
      </c>
      <c r="J14" s="11"/>
      <c r="K14" s="11">
        <v>3</v>
      </c>
      <c r="L14" s="11">
        <v>0</v>
      </c>
      <c r="N14" s="9" t="s">
        <v>19</v>
      </c>
      <c r="O14" s="1">
        <v>1</v>
      </c>
      <c r="P14" s="1">
        <v>0</v>
      </c>
      <c r="Q14" s="1">
        <v>0</v>
      </c>
      <c r="R14" s="1">
        <v>1</v>
      </c>
      <c r="S14" s="1">
        <v>0</v>
      </c>
      <c r="T14" s="1">
        <v>0</v>
      </c>
      <c r="U14" s="1" t="str">
        <f>IF(A14="","",INDEX(id!$A:$A,A14))</f>
        <v>awaken</v>
      </c>
      <c r="V14" s="5" t="s">
        <v>40</v>
      </c>
      <c r="W14" s="5" t="s">
        <v>40</v>
      </c>
      <c r="X14" s="5" t="s">
        <v>40</v>
      </c>
      <c r="Y14" s="5" t="s">
        <v>40</v>
      </c>
      <c r="Z14" s="5">
        <v>10</v>
      </c>
    </row>
    <row r="15" spans="1:26" s="1" customFormat="1">
      <c r="A15" s="1">
        <v>25</v>
      </c>
      <c r="B15" s="4" t="s">
        <v>432</v>
      </c>
      <c r="C15" s="11" t="s">
        <v>16</v>
      </c>
      <c r="D15" s="4" t="s">
        <v>388</v>
      </c>
      <c r="E15" s="7" t="s">
        <v>408</v>
      </c>
      <c r="F15" s="9" t="str">
        <f t="shared" si="2"/>
        <v>挑战13</v>
      </c>
      <c r="G15" s="9"/>
      <c r="H15" s="1" t="str">
        <f t="shared" ref="H15:H18" si="7">"ReplaceableTextures\\CommandButtons\\BTN"&amp;B15&amp;".blp"</f>
        <v>ReplaceableTextures\\CommandButtons\\BTNATAM.blp</v>
      </c>
      <c r="I15" s="11" t="s">
        <v>525</v>
      </c>
      <c r="J15" s="11"/>
      <c r="K15" s="11">
        <v>0</v>
      </c>
      <c r="L15" s="11">
        <v>1</v>
      </c>
      <c r="N15" s="9" t="s">
        <v>19</v>
      </c>
      <c r="O15" s="1">
        <v>1</v>
      </c>
      <c r="P15" s="1">
        <v>0</v>
      </c>
      <c r="Q15" s="1">
        <v>0</v>
      </c>
      <c r="R15" s="1">
        <v>1</v>
      </c>
      <c r="S15" s="1">
        <v>0</v>
      </c>
      <c r="T15" s="1">
        <v>0</v>
      </c>
      <c r="U15" s="1" t="str">
        <f>IF(A15="","",INDEX(id!$A:$A,A15))</f>
        <v>banish</v>
      </c>
      <c r="V15" s="5" t="s">
        <v>40</v>
      </c>
      <c r="W15" s="5" t="s">
        <v>40</v>
      </c>
      <c r="X15" s="5" t="s">
        <v>40</v>
      </c>
      <c r="Y15" s="5" t="s">
        <v>40</v>
      </c>
      <c r="Z15" s="5">
        <v>10</v>
      </c>
    </row>
    <row r="16" spans="1:26" s="1" customFormat="1">
      <c r="A16" s="1">
        <v>26</v>
      </c>
      <c r="B16" s="4" t="s">
        <v>433</v>
      </c>
      <c r="C16" s="11" t="s">
        <v>16</v>
      </c>
      <c r="D16" s="4" t="s">
        <v>388</v>
      </c>
      <c r="E16" s="7" t="s">
        <v>409</v>
      </c>
      <c r="F16" s="9" t="str">
        <f t="shared" si="2"/>
        <v>挑战14</v>
      </c>
      <c r="G16" s="9"/>
      <c r="H16" s="1" t="str">
        <f t="shared" si="7"/>
        <v>ReplaceableTextures\\CommandButtons\\BTNATAN.blp</v>
      </c>
      <c r="I16" s="11" t="s">
        <v>526</v>
      </c>
      <c r="J16" s="11"/>
      <c r="K16" s="11">
        <v>1</v>
      </c>
      <c r="L16" s="11">
        <v>1</v>
      </c>
      <c r="N16" s="9" t="s">
        <v>19</v>
      </c>
      <c r="O16" s="1">
        <v>1</v>
      </c>
      <c r="P16" s="1">
        <v>0</v>
      </c>
      <c r="Q16" s="1">
        <v>0</v>
      </c>
      <c r="R16" s="1">
        <v>1</v>
      </c>
      <c r="S16" s="1">
        <v>0</v>
      </c>
      <c r="T16" s="1">
        <v>0</v>
      </c>
      <c r="U16" s="1" t="str">
        <f>IF(A16="","",INDEX(id!$A:$A,A16))</f>
        <v>barkskin</v>
      </c>
      <c r="V16" s="5" t="s">
        <v>40</v>
      </c>
      <c r="W16" s="5" t="s">
        <v>40</v>
      </c>
      <c r="X16" s="5" t="s">
        <v>40</v>
      </c>
      <c r="Y16" s="5" t="s">
        <v>40</v>
      </c>
      <c r="Z16" s="5">
        <v>10</v>
      </c>
    </row>
    <row r="17" spans="1:26" s="1" customFormat="1">
      <c r="A17" s="1">
        <v>27</v>
      </c>
      <c r="B17" s="4" t="s">
        <v>434</v>
      </c>
      <c r="C17" s="11" t="s">
        <v>16</v>
      </c>
      <c r="D17" s="4" t="s">
        <v>388</v>
      </c>
      <c r="E17" s="7" t="s">
        <v>410</v>
      </c>
      <c r="F17" s="9" t="str">
        <f t="shared" si="2"/>
        <v>挑战15</v>
      </c>
      <c r="G17" s="9"/>
      <c r="H17" s="1" t="str">
        <f t="shared" si="7"/>
        <v>ReplaceableTextures\\CommandButtons\\BTNATAO.blp</v>
      </c>
      <c r="I17" s="11" t="s">
        <v>527</v>
      </c>
      <c r="J17" s="11"/>
      <c r="K17" s="11">
        <v>2</v>
      </c>
      <c r="L17" s="11">
        <v>1</v>
      </c>
      <c r="N17" s="9" t="s">
        <v>19</v>
      </c>
      <c r="O17" s="1">
        <v>1</v>
      </c>
      <c r="P17" s="1">
        <v>0</v>
      </c>
      <c r="Q17" s="1">
        <v>0</v>
      </c>
      <c r="R17" s="1">
        <v>1</v>
      </c>
      <c r="S17" s="1">
        <v>0</v>
      </c>
      <c r="T17" s="1">
        <v>0</v>
      </c>
      <c r="U17" s="1" t="str">
        <f>IF(A17="","",INDEX(id!$A:$A,A17))</f>
        <v>barkskinoff</v>
      </c>
      <c r="V17" s="5" t="s">
        <v>40</v>
      </c>
      <c r="W17" s="5" t="s">
        <v>40</v>
      </c>
      <c r="X17" s="5" t="s">
        <v>40</v>
      </c>
      <c r="Y17" s="5" t="s">
        <v>40</v>
      </c>
      <c r="Z17" s="5">
        <v>10</v>
      </c>
    </row>
    <row r="18" spans="1:26" s="1" customFormat="1">
      <c r="A18" s="1">
        <v>28</v>
      </c>
      <c r="B18" s="4" t="s">
        <v>435</v>
      </c>
      <c r="C18" s="11" t="s">
        <v>16</v>
      </c>
      <c r="D18" s="4" t="s">
        <v>388</v>
      </c>
      <c r="E18" s="7" t="s">
        <v>411</v>
      </c>
      <c r="F18" s="9" t="str">
        <f t="shared" si="2"/>
        <v>挑战16</v>
      </c>
      <c r="G18" s="9"/>
      <c r="H18" s="1" t="str">
        <f t="shared" si="7"/>
        <v>ReplaceableTextures\\CommandButtons\\BTNATAP.blp</v>
      </c>
      <c r="I18" s="11" t="s">
        <v>528</v>
      </c>
      <c r="J18" s="11"/>
      <c r="K18" s="11">
        <v>3</v>
      </c>
      <c r="L18" s="11">
        <v>1</v>
      </c>
      <c r="N18" s="9" t="s">
        <v>19</v>
      </c>
      <c r="O18" s="1">
        <v>1</v>
      </c>
      <c r="P18" s="1">
        <v>0</v>
      </c>
      <c r="Q18" s="1">
        <v>0</v>
      </c>
      <c r="R18" s="1">
        <v>1</v>
      </c>
      <c r="S18" s="1">
        <v>0</v>
      </c>
      <c r="T18" s="1">
        <v>0</v>
      </c>
      <c r="U18" s="1" t="str">
        <f>IF(A18="","",INDEX(id!$A:$A,A18))</f>
        <v>barkskinon</v>
      </c>
      <c r="V18" s="5" t="s">
        <v>40</v>
      </c>
      <c r="W18" s="5" t="s">
        <v>40</v>
      </c>
      <c r="X18" s="5" t="s">
        <v>40</v>
      </c>
      <c r="Y18" s="5" t="s">
        <v>40</v>
      </c>
      <c r="Z18" s="5">
        <v>10</v>
      </c>
    </row>
    <row r="19" spans="1:26" s="1" customFormat="1">
      <c r="A19" s="1">
        <v>21</v>
      </c>
      <c r="B19" s="4" t="s">
        <v>436</v>
      </c>
      <c r="C19" s="11" t="s">
        <v>16</v>
      </c>
      <c r="D19" s="4" t="s">
        <v>388</v>
      </c>
      <c r="E19" s="7" t="s">
        <v>412</v>
      </c>
      <c r="F19" s="9" t="str">
        <f t="shared" si="2"/>
        <v>挑战17</v>
      </c>
      <c r="G19" s="9"/>
      <c r="H19" s="1" t="str">
        <f>"ReplaceableTextures\\CommandButtons\\BTN"&amp;B19&amp;".blp"</f>
        <v>ReplaceableTextures\\CommandButtons\\BTNATAQ.blp</v>
      </c>
      <c r="I19" s="11" t="s">
        <v>529</v>
      </c>
      <c r="J19" s="11"/>
      <c r="K19" s="11">
        <v>0</v>
      </c>
      <c r="L19" s="11">
        <v>0</v>
      </c>
      <c r="N19" s="9" t="s">
        <v>19</v>
      </c>
      <c r="O19" s="1">
        <v>1</v>
      </c>
      <c r="P19" s="1">
        <v>0</v>
      </c>
      <c r="Q19" s="1">
        <v>0</v>
      </c>
      <c r="R19" s="1">
        <v>1</v>
      </c>
      <c r="S19" s="1">
        <v>0</v>
      </c>
      <c r="T19" s="1">
        <v>0</v>
      </c>
      <c r="U19" s="1" t="str">
        <f>IF(A19="","",INDEX(id!$A:$A,A19))</f>
        <v>autoharvestlumber</v>
      </c>
      <c r="V19" s="5" t="s">
        <v>40</v>
      </c>
      <c r="W19" s="5" t="s">
        <v>40</v>
      </c>
      <c r="X19" s="5" t="s">
        <v>40</v>
      </c>
      <c r="Y19" s="5" t="s">
        <v>40</v>
      </c>
      <c r="Z19" s="5">
        <v>10</v>
      </c>
    </row>
    <row r="20" spans="1:26" s="1" customFormat="1">
      <c r="A20" s="1">
        <v>22</v>
      </c>
      <c r="B20" s="4" t="s">
        <v>437</v>
      </c>
      <c r="C20" s="11" t="s">
        <v>16</v>
      </c>
      <c r="D20" s="4" t="s">
        <v>388</v>
      </c>
      <c r="E20" s="7" t="s">
        <v>413</v>
      </c>
      <c r="F20" s="9" t="str">
        <f t="shared" si="2"/>
        <v>挑战18</v>
      </c>
      <c r="G20" s="9"/>
      <c r="H20" s="1" t="str">
        <f t="shared" ref="H20:H21" si="8">"ReplaceableTextures\\CommandButtons\\BTN"&amp;B20&amp;".blp"</f>
        <v>ReplaceableTextures\\CommandButtons\\BTNATAR.blp</v>
      </c>
      <c r="I20" s="11" t="s">
        <v>510</v>
      </c>
      <c r="J20" s="11"/>
      <c r="K20" s="11">
        <v>1</v>
      </c>
      <c r="L20" s="11">
        <v>0</v>
      </c>
      <c r="N20" s="9" t="s">
        <v>19</v>
      </c>
      <c r="O20" s="1">
        <v>1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 t="str">
        <f>IF(A20="","",INDEX(id!$A:$A,A20))</f>
        <v>avatar</v>
      </c>
      <c r="V20" s="5" t="s">
        <v>40</v>
      </c>
      <c r="W20" s="5" t="s">
        <v>40</v>
      </c>
      <c r="X20" s="5" t="s">
        <v>40</v>
      </c>
      <c r="Y20" s="5" t="s">
        <v>40</v>
      </c>
      <c r="Z20" s="5">
        <v>10</v>
      </c>
    </row>
    <row r="21" spans="1:26" s="1" customFormat="1">
      <c r="A21" s="1">
        <v>23</v>
      </c>
      <c r="B21" s="4" t="s">
        <v>438</v>
      </c>
      <c r="C21" s="11" t="s">
        <v>16</v>
      </c>
      <c r="D21" s="4" t="s">
        <v>388</v>
      </c>
      <c r="E21" s="7" t="s">
        <v>414</v>
      </c>
      <c r="F21" s="9" t="str">
        <f t="shared" si="2"/>
        <v>挑战19</v>
      </c>
      <c r="G21" s="9"/>
      <c r="H21" s="1" t="str">
        <f t="shared" si="8"/>
        <v>ReplaceableTextures\\CommandButtons\\BTNATAS.blp</v>
      </c>
      <c r="I21" s="11" t="s">
        <v>511</v>
      </c>
      <c r="J21" s="11"/>
      <c r="K21" s="11">
        <v>2</v>
      </c>
      <c r="L21" s="11">
        <v>0</v>
      </c>
      <c r="N21" s="9" t="s">
        <v>19</v>
      </c>
      <c r="O21" s="1">
        <v>1</v>
      </c>
      <c r="P21" s="1">
        <v>0</v>
      </c>
      <c r="Q21" s="1">
        <v>0</v>
      </c>
      <c r="R21" s="1">
        <v>1</v>
      </c>
      <c r="S21" s="1">
        <v>0</v>
      </c>
      <c r="T21" s="1">
        <v>0</v>
      </c>
      <c r="U21" s="1" t="str">
        <f>IF(A21="","",INDEX(id!$A:$A,A21))</f>
        <v>avengerform</v>
      </c>
      <c r="V21" s="5" t="s">
        <v>40</v>
      </c>
      <c r="W21" s="5" t="s">
        <v>40</v>
      </c>
      <c r="X21" s="5" t="s">
        <v>40</v>
      </c>
      <c r="Y21" s="5" t="s">
        <v>40</v>
      </c>
      <c r="Z21" s="5">
        <v>10</v>
      </c>
    </row>
    <row r="22" spans="1:26" s="1" customFormat="1">
      <c r="A22" s="1">
        <v>24</v>
      </c>
      <c r="B22" s="4" t="s">
        <v>439</v>
      </c>
      <c r="C22" s="11" t="s">
        <v>16</v>
      </c>
      <c r="D22" s="4" t="s">
        <v>388</v>
      </c>
      <c r="E22" s="7" t="s">
        <v>415</v>
      </c>
      <c r="F22" s="9" t="str">
        <f t="shared" si="2"/>
        <v>挑战20</v>
      </c>
      <c r="G22" s="9"/>
      <c r="H22" s="1" t="str">
        <f>"ReplaceableTextures\\CommandButtons\\BTN"&amp;B22&amp;".blp"</f>
        <v>ReplaceableTextures\\CommandButtons\\BTNATAT.blp</v>
      </c>
      <c r="I22" s="11" t="s">
        <v>512</v>
      </c>
      <c r="J22" s="11"/>
      <c r="K22" s="11">
        <v>3</v>
      </c>
      <c r="L22" s="11">
        <v>0</v>
      </c>
      <c r="N22" s="9" t="s">
        <v>19</v>
      </c>
      <c r="O22" s="1">
        <v>1</v>
      </c>
      <c r="P22" s="1">
        <v>0</v>
      </c>
      <c r="Q22" s="1">
        <v>0</v>
      </c>
      <c r="R22" s="1">
        <v>1</v>
      </c>
      <c r="S22" s="1">
        <v>0</v>
      </c>
      <c r="T22" s="1">
        <v>0</v>
      </c>
      <c r="U22" s="1" t="str">
        <f>IF(A22="","",INDEX(id!$A:$A,A22))</f>
        <v>awaken</v>
      </c>
      <c r="V22" s="5" t="s">
        <v>40</v>
      </c>
      <c r="W22" s="5" t="s">
        <v>40</v>
      </c>
      <c r="X22" s="5" t="s">
        <v>40</v>
      </c>
      <c r="Y22" s="5" t="s">
        <v>40</v>
      </c>
      <c r="Z22" s="5">
        <v>10</v>
      </c>
    </row>
    <row r="23" spans="1:26" s="1" customFormat="1">
      <c r="A23" s="1">
        <v>25</v>
      </c>
      <c r="B23" s="4" t="s">
        <v>440</v>
      </c>
      <c r="C23" s="11" t="s">
        <v>16</v>
      </c>
      <c r="D23" s="4" t="s">
        <v>388</v>
      </c>
      <c r="E23" s="7" t="s">
        <v>416</v>
      </c>
      <c r="F23" s="9" t="str">
        <f t="shared" si="2"/>
        <v>挑战21</v>
      </c>
      <c r="G23" s="9"/>
      <c r="H23" s="1" t="str">
        <f t="shared" ref="H23:H26" si="9">"ReplaceableTextures\\CommandButtons\\BTN"&amp;B23&amp;".blp"</f>
        <v>ReplaceableTextures\\CommandButtons\\BTNATAU.blp</v>
      </c>
      <c r="I23" s="11" t="s">
        <v>513</v>
      </c>
      <c r="J23" s="11"/>
      <c r="K23" s="11">
        <v>0</v>
      </c>
      <c r="L23" s="11">
        <v>1</v>
      </c>
      <c r="N23" s="9" t="s">
        <v>19</v>
      </c>
      <c r="O23" s="1">
        <v>1</v>
      </c>
      <c r="P23" s="1">
        <v>0</v>
      </c>
      <c r="Q23" s="1">
        <v>0</v>
      </c>
      <c r="R23" s="1">
        <v>1</v>
      </c>
      <c r="S23" s="1">
        <v>0</v>
      </c>
      <c r="T23" s="1">
        <v>0</v>
      </c>
      <c r="U23" s="1" t="str">
        <f>IF(A23="","",INDEX(id!$A:$A,A23))</f>
        <v>banish</v>
      </c>
      <c r="V23" s="5" t="s">
        <v>40</v>
      </c>
      <c r="W23" s="5" t="s">
        <v>40</v>
      </c>
      <c r="X23" s="5" t="s">
        <v>40</v>
      </c>
      <c r="Y23" s="5" t="s">
        <v>40</v>
      </c>
      <c r="Z23" s="5">
        <v>10</v>
      </c>
    </row>
    <row r="24" spans="1:26" s="1" customFormat="1">
      <c r="A24" s="1">
        <v>26</v>
      </c>
      <c r="B24" s="4" t="s">
        <v>441</v>
      </c>
      <c r="C24" s="11" t="s">
        <v>16</v>
      </c>
      <c r="D24" s="4" t="s">
        <v>388</v>
      </c>
      <c r="E24" s="7" t="s">
        <v>417</v>
      </c>
      <c r="F24" s="9" t="str">
        <f t="shared" si="2"/>
        <v>挑战22</v>
      </c>
      <c r="G24" s="9"/>
      <c r="H24" s="1" t="str">
        <f t="shared" si="9"/>
        <v>ReplaceableTextures\\CommandButtons\\BTNATAV.blp</v>
      </c>
      <c r="I24" s="11" t="s">
        <v>514</v>
      </c>
      <c r="J24" s="11"/>
      <c r="K24" s="11">
        <v>1</v>
      </c>
      <c r="L24" s="11">
        <v>1</v>
      </c>
      <c r="N24" s="9" t="s">
        <v>19</v>
      </c>
      <c r="O24" s="1">
        <v>1</v>
      </c>
      <c r="P24" s="1">
        <v>0</v>
      </c>
      <c r="Q24" s="1">
        <v>0</v>
      </c>
      <c r="R24" s="1">
        <v>1</v>
      </c>
      <c r="S24" s="1">
        <v>0</v>
      </c>
      <c r="T24" s="1">
        <v>0</v>
      </c>
      <c r="U24" s="1" t="str">
        <f>IF(A24="","",INDEX(id!$A:$A,A24))</f>
        <v>barkskin</v>
      </c>
      <c r="V24" s="5" t="s">
        <v>40</v>
      </c>
      <c r="W24" s="5" t="s">
        <v>40</v>
      </c>
      <c r="X24" s="5" t="s">
        <v>40</v>
      </c>
      <c r="Y24" s="5" t="s">
        <v>40</v>
      </c>
      <c r="Z24" s="5">
        <v>10</v>
      </c>
    </row>
    <row r="25" spans="1:26" s="1" customFormat="1">
      <c r="A25" s="1">
        <v>27</v>
      </c>
      <c r="B25" s="4" t="s">
        <v>442</v>
      </c>
      <c r="C25" s="11" t="s">
        <v>16</v>
      </c>
      <c r="D25" s="4" t="s">
        <v>388</v>
      </c>
      <c r="E25" s="7" t="s">
        <v>418</v>
      </c>
      <c r="F25" s="9" t="str">
        <f t="shared" si="2"/>
        <v>挑战23</v>
      </c>
      <c r="G25" s="9"/>
      <c r="H25" s="1" t="str">
        <f t="shared" si="9"/>
        <v>ReplaceableTextures\\CommandButtons\\BTNATAW.blp</v>
      </c>
      <c r="I25" s="11" t="s">
        <v>515</v>
      </c>
      <c r="J25" s="11"/>
      <c r="K25" s="11">
        <v>2</v>
      </c>
      <c r="L25" s="11">
        <v>1</v>
      </c>
      <c r="N25" s="9" t="s">
        <v>19</v>
      </c>
      <c r="O25" s="1">
        <v>1</v>
      </c>
      <c r="P25" s="1">
        <v>0</v>
      </c>
      <c r="Q25" s="1">
        <v>0</v>
      </c>
      <c r="R25" s="1">
        <v>1</v>
      </c>
      <c r="S25" s="1">
        <v>0</v>
      </c>
      <c r="T25" s="1">
        <v>0</v>
      </c>
      <c r="U25" s="1" t="str">
        <f>IF(A25="","",INDEX(id!$A:$A,A25))</f>
        <v>barkskinoff</v>
      </c>
      <c r="V25" s="5" t="s">
        <v>40</v>
      </c>
      <c r="W25" s="5" t="s">
        <v>40</v>
      </c>
      <c r="X25" s="5" t="s">
        <v>40</v>
      </c>
      <c r="Y25" s="5" t="s">
        <v>40</v>
      </c>
      <c r="Z25" s="5">
        <v>10</v>
      </c>
    </row>
    <row r="26" spans="1:26" s="1" customFormat="1">
      <c r="A26" s="1">
        <v>28</v>
      </c>
      <c r="B26" s="4" t="s">
        <v>443</v>
      </c>
      <c r="C26" s="11" t="s">
        <v>16</v>
      </c>
      <c r="D26" s="4" t="s">
        <v>388</v>
      </c>
      <c r="E26" s="7" t="s">
        <v>419</v>
      </c>
      <c r="F26" s="9" t="str">
        <f t="shared" si="2"/>
        <v>挑战24</v>
      </c>
      <c r="G26" s="9"/>
      <c r="H26" s="1" t="str">
        <f t="shared" si="9"/>
        <v>ReplaceableTextures\\CommandButtons\\BTNATAX.blp</v>
      </c>
      <c r="I26" s="11" t="s">
        <v>516</v>
      </c>
      <c r="J26" s="11"/>
      <c r="K26" s="11">
        <v>3</v>
      </c>
      <c r="L26" s="11">
        <v>1</v>
      </c>
      <c r="N26" s="9" t="s">
        <v>19</v>
      </c>
      <c r="O26" s="1">
        <v>1</v>
      </c>
      <c r="P26" s="1">
        <v>0</v>
      </c>
      <c r="Q26" s="1">
        <v>0</v>
      </c>
      <c r="R26" s="1">
        <v>1</v>
      </c>
      <c r="S26" s="1">
        <v>0</v>
      </c>
      <c r="T26" s="1">
        <v>0</v>
      </c>
      <c r="U26" s="1" t="str">
        <f>IF(A26="","",INDEX(id!$A:$A,A26))</f>
        <v>barkskinon</v>
      </c>
      <c r="V26" s="5" t="s">
        <v>40</v>
      </c>
      <c r="W26" s="5" t="s">
        <v>40</v>
      </c>
      <c r="X26" s="5" t="s">
        <v>40</v>
      </c>
      <c r="Y26" s="5" t="s">
        <v>40</v>
      </c>
      <c r="Z26" s="5">
        <v>10</v>
      </c>
    </row>
    <row r="27" spans="1:26" s="1" customFormat="1">
      <c r="A27" s="1">
        <v>31</v>
      </c>
      <c r="B27" s="4" t="s">
        <v>475</v>
      </c>
      <c r="C27" s="11" t="s">
        <v>16</v>
      </c>
      <c r="D27" s="4" t="s">
        <v>388</v>
      </c>
      <c r="E27" s="7" t="s">
        <v>447</v>
      </c>
      <c r="F27" s="9" t="str">
        <f t="shared" ref="F27:F56" si="10">E27</f>
        <v>灵力挑战1</v>
      </c>
      <c r="G27" s="9"/>
      <c r="H27" s="1" t="str">
        <f t="shared" ref="H27:H56" si="11">"ReplaceableTextures\\CommandButtons\\BTN"&amp;B27&amp;".blp"</f>
        <v>ReplaceableTextures\\CommandButtons\\BTNAT0A.blp</v>
      </c>
      <c r="I27" s="11"/>
      <c r="J27" s="11"/>
      <c r="K27" s="11">
        <v>0</v>
      </c>
      <c r="L27" s="11">
        <v>2</v>
      </c>
      <c r="N27" s="9" t="s">
        <v>19</v>
      </c>
      <c r="O27" s="1">
        <v>1</v>
      </c>
      <c r="P27" s="1">
        <v>0</v>
      </c>
      <c r="Q27" s="1">
        <v>0</v>
      </c>
      <c r="R27" s="1">
        <v>1</v>
      </c>
      <c r="S27" s="1">
        <v>0</v>
      </c>
      <c r="T27" s="1">
        <v>0</v>
      </c>
      <c r="U27" s="1" t="str">
        <f>IF(A27="","",INDEX(id!$A:$A,A27))</f>
        <v>bearform</v>
      </c>
      <c r="V27" s="5" t="s">
        <v>40</v>
      </c>
      <c r="W27" s="5" t="s">
        <v>40</v>
      </c>
      <c r="X27" s="5" t="s">
        <v>40</v>
      </c>
      <c r="Y27" s="5" t="s">
        <v>40</v>
      </c>
      <c r="Z27" s="5">
        <v>60</v>
      </c>
    </row>
    <row r="28" spans="1:26" s="1" customFormat="1">
      <c r="A28" s="1">
        <v>31</v>
      </c>
      <c r="B28" s="4" t="s">
        <v>476</v>
      </c>
      <c r="C28" s="11" t="s">
        <v>16</v>
      </c>
      <c r="D28" s="4" t="s">
        <v>388</v>
      </c>
      <c r="E28" s="7" t="s">
        <v>448</v>
      </c>
      <c r="F28" s="9" t="str">
        <f t="shared" si="10"/>
        <v>灵力挑战2</v>
      </c>
      <c r="G28" s="9"/>
      <c r="H28" s="1" t="str">
        <f t="shared" si="11"/>
        <v>ReplaceableTextures\\CommandButtons\\BTNAT0B.blp</v>
      </c>
      <c r="I28" s="11" t="str">
        <f>"K"&amp;RIGHT(B27,3)</f>
        <v>KT0A</v>
      </c>
      <c r="J28" s="11"/>
      <c r="K28" s="11">
        <v>0</v>
      </c>
      <c r="L28" s="11">
        <v>2</v>
      </c>
      <c r="N28" s="9" t="s">
        <v>19</v>
      </c>
      <c r="O28" s="1">
        <v>1</v>
      </c>
      <c r="P28" s="1">
        <v>0</v>
      </c>
      <c r="Q28" s="1">
        <v>0</v>
      </c>
      <c r="R28" s="1">
        <v>1</v>
      </c>
      <c r="S28" s="1">
        <v>0</v>
      </c>
      <c r="T28" s="1">
        <v>0</v>
      </c>
      <c r="U28" s="1" t="str">
        <f>IF(A28="","",INDEX(id!$A:$A,A28))</f>
        <v>bearform</v>
      </c>
      <c r="V28" s="5" t="s">
        <v>40</v>
      </c>
      <c r="W28" s="5" t="s">
        <v>40</v>
      </c>
      <c r="X28" s="5" t="s">
        <v>40</v>
      </c>
      <c r="Y28" s="5" t="s">
        <v>40</v>
      </c>
      <c r="Z28" s="5">
        <v>60</v>
      </c>
    </row>
    <row r="29" spans="1:26" s="1" customFormat="1">
      <c r="A29" s="1">
        <v>31</v>
      </c>
      <c r="B29" s="4" t="s">
        <v>477</v>
      </c>
      <c r="C29" s="11" t="s">
        <v>16</v>
      </c>
      <c r="D29" s="4" t="s">
        <v>388</v>
      </c>
      <c r="E29" s="7" t="s">
        <v>449</v>
      </c>
      <c r="F29" s="9" t="str">
        <f t="shared" si="10"/>
        <v>灵力挑战3</v>
      </c>
      <c r="G29" s="9"/>
      <c r="H29" s="1" t="str">
        <f t="shared" si="11"/>
        <v>ReplaceableTextures\\CommandButtons\\BTNAT0C.blp</v>
      </c>
      <c r="I29" s="11" t="str">
        <f t="shared" ref="I29:I36" si="12">"K"&amp;RIGHT(B28,3)</f>
        <v>KT0B</v>
      </c>
      <c r="J29" s="11"/>
      <c r="K29" s="11">
        <v>0</v>
      </c>
      <c r="L29" s="11">
        <v>2</v>
      </c>
      <c r="N29" s="9" t="s">
        <v>19</v>
      </c>
      <c r="O29" s="1">
        <v>1</v>
      </c>
      <c r="P29" s="1">
        <v>0</v>
      </c>
      <c r="Q29" s="1">
        <v>0</v>
      </c>
      <c r="R29" s="1">
        <v>1</v>
      </c>
      <c r="S29" s="1">
        <v>0</v>
      </c>
      <c r="T29" s="1">
        <v>0</v>
      </c>
      <c r="U29" s="1" t="str">
        <f>IF(A29="","",INDEX(id!$A:$A,A29))</f>
        <v>bearform</v>
      </c>
      <c r="V29" s="5" t="s">
        <v>40</v>
      </c>
      <c r="W29" s="5" t="s">
        <v>40</v>
      </c>
      <c r="X29" s="5" t="s">
        <v>40</v>
      </c>
      <c r="Y29" s="5" t="s">
        <v>40</v>
      </c>
      <c r="Z29" s="5">
        <v>60</v>
      </c>
    </row>
    <row r="30" spans="1:26" s="1" customFormat="1">
      <c r="A30" s="1">
        <v>31</v>
      </c>
      <c r="B30" s="4" t="s">
        <v>478</v>
      </c>
      <c r="C30" s="11" t="s">
        <v>16</v>
      </c>
      <c r="D30" s="4" t="s">
        <v>388</v>
      </c>
      <c r="E30" s="7" t="s">
        <v>450</v>
      </c>
      <c r="F30" s="9" t="str">
        <f t="shared" si="10"/>
        <v>灵力挑战4</v>
      </c>
      <c r="G30" s="9"/>
      <c r="H30" s="1" t="str">
        <f t="shared" si="11"/>
        <v>ReplaceableTextures\\CommandButtons\\BTNAT0D.blp</v>
      </c>
      <c r="I30" s="11" t="str">
        <f t="shared" si="12"/>
        <v>KT0C</v>
      </c>
      <c r="J30" s="11"/>
      <c r="K30" s="11">
        <v>0</v>
      </c>
      <c r="L30" s="11">
        <v>2</v>
      </c>
      <c r="N30" s="9" t="s">
        <v>19</v>
      </c>
      <c r="O30" s="1">
        <v>1</v>
      </c>
      <c r="P30" s="1">
        <v>0</v>
      </c>
      <c r="Q30" s="1">
        <v>0</v>
      </c>
      <c r="R30" s="1">
        <v>1</v>
      </c>
      <c r="S30" s="1">
        <v>0</v>
      </c>
      <c r="T30" s="1">
        <v>0</v>
      </c>
      <c r="U30" s="1" t="str">
        <f>IF(A30="","",INDEX(id!$A:$A,A30))</f>
        <v>bearform</v>
      </c>
      <c r="V30" s="5" t="s">
        <v>40</v>
      </c>
      <c r="W30" s="5" t="s">
        <v>40</v>
      </c>
      <c r="X30" s="5" t="s">
        <v>40</v>
      </c>
      <c r="Y30" s="5" t="s">
        <v>40</v>
      </c>
      <c r="Z30" s="5">
        <v>60</v>
      </c>
    </row>
    <row r="31" spans="1:26" s="1" customFormat="1">
      <c r="A31" s="1">
        <v>31</v>
      </c>
      <c r="B31" s="4" t="s">
        <v>479</v>
      </c>
      <c r="C31" s="11" t="s">
        <v>16</v>
      </c>
      <c r="D31" s="4" t="s">
        <v>388</v>
      </c>
      <c r="E31" s="7" t="s">
        <v>451</v>
      </c>
      <c r="F31" s="9" t="str">
        <f t="shared" si="10"/>
        <v>灵力挑战5</v>
      </c>
      <c r="G31" s="9"/>
      <c r="H31" s="1" t="str">
        <f t="shared" si="11"/>
        <v>ReplaceableTextures\\CommandButtons\\BTNAT0E.blp</v>
      </c>
      <c r="I31" s="11" t="str">
        <f t="shared" si="12"/>
        <v>KT0D</v>
      </c>
      <c r="J31" s="11"/>
      <c r="K31" s="11">
        <v>0</v>
      </c>
      <c r="L31" s="11">
        <v>2</v>
      </c>
      <c r="N31" s="9" t="s">
        <v>19</v>
      </c>
      <c r="O31" s="1">
        <v>1</v>
      </c>
      <c r="P31" s="1">
        <v>0</v>
      </c>
      <c r="Q31" s="1">
        <v>0</v>
      </c>
      <c r="R31" s="1">
        <v>1</v>
      </c>
      <c r="S31" s="1">
        <v>0</v>
      </c>
      <c r="T31" s="1">
        <v>0</v>
      </c>
      <c r="U31" s="1" t="str">
        <f>IF(A31="","",INDEX(id!$A:$A,A31))</f>
        <v>bearform</v>
      </c>
      <c r="V31" s="5" t="s">
        <v>40</v>
      </c>
      <c r="W31" s="5" t="s">
        <v>40</v>
      </c>
      <c r="X31" s="5" t="s">
        <v>40</v>
      </c>
      <c r="Y31" s="5" t="s">
        <v>40</v>
      </c>
      <c r="Z31" s="5">
        <v>60</v>
      </c>
    </row>
    <row r="32" spans="1:26" s="1" customFormat="1">
      <c r="A32" s="1">
        <v>31</v>
      </c>
      <c r="B32" s="4" t="s">
        <v>480</v>
      </c>
      <c r="C32" s="11" t="s">
        <v>16</v>
      </c>
      <c r="D32" s="4" t="s">
        <v>388</v>
      </c>
      <c r="E32" s="7" t="s">
        <v>452</v>
      </c>
      <c r="F32" s="9" t="str">
        <f t="shared" si="10"/>
        <v>灵力挑战6</v>
      </c>
      <c r="G32" s="9"/>
      <c r="H32" s="1" t="str">
        <f t="shared" si="11"/>
        <v>ReplaceableTextures\\CommandButtons\\BTNAT0F.blp</v>
      </c>
      <c r="I32" s="11" t="str">
        <f t="shared" si="12"/>
        <v>KT0E</v>
      </c>
      <c r="J32" s="11"/>
      <c r="K32" s="11">
        <v>0</v>
      </c>
      <c r="L32" s="11">
        <v>2</v>
      </c>
      <c r="N32" s="9" t="s">
        <v>19</v>
      </c>
      <c r="O32" s="1">
        <v>1</v>
      </c>
      <c r="P32" s="1">
        <v>0</v>
      </c>
      <c r="Q32" s="1">
        <v>0</v>
      </c>
      <c r="R32" s="1">
        <v>1</v>
      </c>
      <c r="S32" s="1">
        <v>0</v>
      </c>
      <c r="T32" s="1">
        <v>0</v>
      </c>
      <c r="U32" s="1" t="str">
        <f>IF(A32="","",INDEX(id!$A:$A,A32))</f>
        <v>bearform</v>
      </c>
      <c r="V32" s="5" t="s">
        <v>40</v>
      </c>
      <c r="W32" s="5" t="s">
        <v>40</v>
      </c>
      <c r="X32" s="5" t="s">
        <v>40</v>
      </c>
      <c r="Y32" s="5" t="s">
        <v>40</v>
      </c>
      <c r="Z32" s="5">
        <v>60</v>
      </c>
    </row>
    <row r="33" spans="1:26" s="1" customFormat="1">
      <c r="A33" s="1">
        <v>31</v>
      </c>
      <c r="B33" s="4" t="s">
        <v>481</v>
      </c>
      <c r="C33" s="11" t="s">
        <v>16</v>
      </c>
      <c r="D33" s="4" t="s">
        <v>388</v>
      </c>
      <c r="E33" s="7" t="s">
        <v>453</v>
      </c>
      <c r="F33" s="9" t="str">
        <f t="shared" si="10"/>
        <v>灵力挑战7</v>
      </c>
      <c r="G33" s="9"/>
      <c r="H33" s="1" t="str">
        <f t="shared" si="11"/>
        <v>ReplaceableTextures\\CommandButtons\\BTNAT0G.blp</v>
      </c>
      <c r="I33" s="11" t="str">
        <f t="shared" si="12"/>
        <v>KT0F</v>
      </c>
      <c r="J33" s="11"/>
      <c r="K33" s="11">
        <v>0</v>
      </c>
      <c r="L33" s="11">
        <v>2</v>
      </c>
      <c r="N33" s="9" t="s">
        <v>19</v>
      </c>
      <c r="O33" s="1">
        <v>1</v>
      </c>
      <c r="P33" s="1">
        <v>0</v>
      </c>
      <c r="Q33" s="1">
        <v>0</v>
      </c>
      <c r="R33" s="1">
        <v>1</v>
      </c>
      <c r="S33" s="1">
        <v>0</v>
      </c>
      <c r="T33" s="1">
        <v>0</v>
      </c>
      <c r="U33" s="1" t="str">
        <f>IF(A33="","",INDEX(id!$A:$A,A33))</f>
        <v>bearform</v>
      </c>
      <c r="V33" s="5" t="s">
        <v>40</v>
      </c>
      <c r="W33" s="5" t="s">
        <v>40</v>
      </c>
      <c r="X33" s="5" t="s">
        <v>40</v>
      </c>
      <c r="Y33" s="5" t="s">
        <v>40</v>
      </c>
      <c r="Z33" s="5">
        <v>60</v>
      </c>
    </row>
    <row r="34" spans="1:26" s="1" customFormat="1">
      <c r="A34" s="1">
        <v>31</v>
      </c>
      <c r="B34" s="4" t="s">
        <v>482</v>
      </c>
      <c r="C34" s="11" t="s">
        <v>16</v>
      </c>
      <c r="D34" s="4" t="s">
        <v>388</v>
      </c>
      <c r="E34" s="7" t="s">
        <v>454</v>
      </c>
      <c r="F34" s="9" t="str">
        <f t="shared" si="10"/>
        <v>灵力挑战8</v>
      </c>
      <c r="G34" s="9"/>
      <c r="H34" s="1" t="str">
        <f t="shared" si="11"/>
        <v>ReplaceableTextures\\CommandButtons\\BTNAT0H.blp</v>
      </c>
      <c r="I34" s="11" t="str">
        <f t="shared" si="12"/>
        <v>KT0G</v>
      </c>
      <c r="J34" s="11"/>
      <c r="K34" s="11">
        <v>0</v>
      </c>
      <c r="L34" s="11">
        <v>2</v>
      </c>
      <c r="N34" s="9" t="s">
        <v>19</v>
      </c>
      <c r="O34" s="1">
        <v>1</v>
      </c>
      <c r="P34" s="1">
        <v>0</v>
      </c>
      <c r="Q34" s="1">
        <v>0</v>
      </c>
      <c r="R34" s="1">
        <v>1</v>
      </c>
      <c r="S34" s="1">
        <v>0</v>
      </c>
      <c r="T34" s="1">
        <v>0</v>
      </c>
      <c r="U34" s="1" t="str">
        <f>IF(A34="","",INDEX(id!$A:$A,A34))</f>
        <v>bearform</v>
      </c>
      <c r="V34" s="5" t="s">
        <v>40</v>
      </c>
      <c r="W34" s="5" t="s">
        <v>40</v>
      </c>
      <c r="X34" s="5" t="s">
        <v>40</v>
      </c>
      <c r="Y34" s="5" t="s">
        <v>40</v>
      </c>
      <c r="Z34" s="5">
        <v>60</v>
      </c>
    </row>
    <row r="35" spans="1:26" s="1" customFormat="1">
      <c r="A35" s="1">
        <v>31</v>
      </c>
      <c r="B35" s="4" t="s">
        <v>483</v>
      </c>
      <c r="C35" s="11" t="s">
        <v>16</v>
      </c>
      <c r="D35" s="4" t="s">
        <v>388</v>
      </c>
      <c r="E35" s="7" t="s">
        <v>463</v>
      </c>
      <c r="F35" s="9" t="str">
        <f t="shared" si="10"/>
        <v>灵力挑战9</v>
      </c>
      <c r="G35" s="9"/>
      <c r="H35" s="1" t="str">
        <f t="shared" si="11"/>
        <v>ReplaceableTextures\\CommandButtons\\BTNAT0I.blp</v>
      </c>
      <c r="I35" s="11" t="str">
        <f t="shared" si="12"/>
        <v>KT0H</v>
      </c>
      <c r="J35" s="11"/>
      <c r="K35" s="11">
        <v>0</v>
      </c>
      <c r="L35" s="11">
        <v>2</v>
      </c>
      <c r="N35" s="9" t="s">
        <v>19</v>
      </c>
      <c r="O35" s="1">
        <v>1</v>
      </c>
      <c r="P35" s="1">
        <v>0</v>
      </c>
      <c r="Q35" s="1">
        <v>0</v>
      </c>
      <c r="R35" s="1">
        <v>1</v>
      </c>
      <c r="S35" s="1">
        <v>0</v>
      </c>
      <c r="T35" s="1">
        <v>0</v>
      </c>
      <c r="U35" s="1" t="str">
        <f>IF(A35="","",INDEX(id!$A:$A,A35))</f>
        <v>bearform</v>
      </c>
      <c r="V35" s="5" t="s">
        <v>40</v>
      </c>
      <c r="W35" s="5" t="s">
        <v>40</v>
      </c>
      <c r="X35" s="5" t="s">
        <v>40</v>
      </c>
      <c r="Y35" s="5" t="s">
        <v>40</v>
      </c>
      <c r="Z35" s="5">
        <v>60</v>
      </c>
    </row>
    <row r="36" spans="1:26" s="1" customFormat="1">
      <c r="A36" s="1">
        <v>31</v>
      </c>
      <c r="B36" s="4" t="s">
        <v>484</v>
      </c>
      <c r="C36" s="11" t="s">
        <v>16</v>
      </c>
      <c r="D36" s="4" t="s">
        <v>388</v>
      </c>
      <c r="E36" s="7" t="s">
        <v>464</v>
      </c>
      <c r="F36" s="9" t="str">
        <f t="shared" si="10"/>
        <v>灵力挑战10</v>
      </c>
      <c r="G36" s="9"/>
      <c r="H36" s="1" t="str">
        <f t="shared" si="11"/>
        <v>ReplaceableTextures\\CommandButtons\\BTNAT0J.blp</v>
      </c>
      <c r="I36" s="11" t="str">
        <f t="shared" si="12"/>
        <v>KT0I</v>
      </c>
      <c r="J36" s="11"/>
      <c r="K36" s="11">
        <v>0</v>
      </c>
      <c r="L36" s="11">
        <v>2</v>
      </c>
      <c r="N36" s="9" t="s">
        <v>19</v>
      </c>
      <c r="O36" s="1">
        <v>1</v>
      </c>
      <c r="P36" s="1">
        <v>0</v>
      </c>
      <c r="Q36" s="1">
        <v>0</v>
      </c>
      <c r="R36" s="1">
        <v>1</v>
      </c>
      <c r="S36" s="1">
        <v>0</v>
      </c>
      <c r="T36" s="1">
        <v>0</v>
      </c>
      <c r="U36" s="1" t="str">
        <f>IF(A36="","",INDEX(id!$A:$A,A36))</f>
        <v>bearform</v>
      </c>
      <c r="V36" s="5" t="s">
        <v>40</v>
      </c>
      <c r="W36" s="5" t="s">
        <v>40</v>
      </c>
      <c r="X36" s="5" t="s">
        <v>40</v>
      </c>
      <c r="Y36" s="5" t="s">
        <v>40</v>
      </c>
      <c r="Z36" s="5">
        <v>60</v>
      </c>
    </row>
    <row r="37" spans="1:26" s="1" customFormat="1">
      <c r="A37" s="1">
        <v>32</v>
      </c>
      <c r="B37" s="4" t="s">
        <v>485</v>
      </c>
      <c r="C37" s="11" t="s">
        <v>16</v>
      </c>
      <c r="D37" s="4" t="s">
        <v>388</v>
      </c>
      <c r="E37" s="7" t="s">
        <v>455</v>
      </c>
      <c r="F37" s="9" t="str">
        <f t="shared" si="10"/>
        <v>法宝挑战1</v>
      </c>
      <c r="G37" s="9"/>
      <c r="H37" s="1" t="str">
        <f t="shared" si="11"/>
        <v>ReplaceableTextures\\CommandButtons\\BTNAT1A.blp</v>
      </c>
      <c r="I37" s="11" t="s">
        <v>534</v>
      </c>
      <c r="J37" s="11"/>
      <c r="K37" s="11">
        <v>1</v>
      </c>
      <c r="L37" s="11">
        <v>2</v>
      </c>
      <c r="N37" s="9" t="s">
        <v>19</v>
      </c>
      <c r="O37" s="1">
        <v>1</v>
      </c>
      <c r="P37" s="1">
        <v>0</v>
      </c>
      <c r="Q37" s="1">
        <v>0</v>
      </c>
      <c r="R37" s="1">
        <v>1</v>
      </c>
      <c r="S37" s="1">
        <v>0</v>
      </c>
      <c r="T37" s="1">
        <v>0</v>
      </c>
      <c r="U37" s="1" t="str">
        <f>IF(A37="","",INDEX(id!$A:$A,A37))</f>
        <v>berserk</v>
      </c>
      <c r="V37" s="5" t="s">
        <v>40</v>
      </c>
      <c r="W37" s="5" t="s">
        <v>40</v>
      </c>
      <c r="X37" s="5" t="s">
        <v>40</v>
      </c>
      <c r="Y37" s="5" t="s">
        <v>40</v>
      </c>
      <c r="Z37" s="5">
        <v>60</v>
      </c>
    </row>
    <row r="38" spans="1:26" s="1" customFormat="1">
      <c r="A38" s="1">
        <v>32</v>
      </c>
      <c r="B38" s="4" t="s">
        <v>486</v>
      </c>
      <c r="C38" s="11" t="s">
        <v>16</v>
      </c>
      <c r="D38" s="4" t="s">
        <v>388</v>
      </c>
      <c r="E38" s="7" t="s">
        <v>456</v>
      </c>
      <c r="F38" s="9" t="str">
        <f t="shared" si="10"/>
        <v>法宝挑战2</v>
      </c>
      <c r="G38" s="9"/>
      <c r="H38" s="1" t="str">
        <f t="shared" si="11"/>
        <v>ReplaceableTextures\\CommandButtons\\BTNAT1B.blp</v>
      </c>
      <c r="I38" s="11"/>
      <c r="J38" s="11"/>
      <c r="K38" s="11">
        <v>1</v>
      </c>
      <c r="L38" s="11">
        <v>2</v>
      </c>
      <c r="N38" s="9" t="s">
        <v>19</v>
      </c>
      <c r="O38" s="1">
        <v>1</v>
      </c>
      <c r="P38" s="1">
        <v>0</v>
      </c>
      <c r="Q38" s="1">
        <v>0</v>
      </c>
      <c r="R38" s="1">
        <v>1</v>
      </c>
      <c r="S38" s="1">
        <v>0</v>
      </c>
      <c r="T38" s="1">
        <v>0</v>
      </c>
      <c r="U38" s="1" t="str">
        <f>IF(A38="","",INDEX(id!$A:$A,A38))</f>
        <v>berserk</v>
      </c>
      <c r="V38" s="5" t="s">
        <v>40</v>
      </c>
      <c r="W38" s="5" t="s">
        <v>40</v>
      </c>
      <c r="X38" s="5" t="s">
        <v>40</v>
      </c>
      <c r="Y38" s="5" t="s">
        <v>40</v>
      </c>
      <c r="Z38" s="5">
        <v>60</v>
      </c>
    </row>
    <row r="39" spans="1:26" s="1" customFormat="1">
      <c r="A39" s="1">
        <v>32</v>
      </c>
      <c r="B39" s="4" t="s">
        <v>487</v>
      </c>
      <c r="C39" s="11" t="s">
        <v>16</v>
      </c>
      <c r="D39" s="4" t="s">
        <v>388</v>
      </c>
      <c r="E39" s="7" t="s">
        <v>457</v>
      </c>
      <c r="F39" s="9" t="str">
        <f t="shared" si="10"/>
        <v>法宝挑战3</v>
      </c>
      <c r="G39" s="9"/>
      <c r="H39" s="1" t="str">
        <f t="shared" si="11"/>
        <v>ReplaceableTextures\\CommandButtons\\BTNAT1C.blp</v>
      </c>
      <c r="I39" s="11"/>
      <c r="J39" s="11"/>
      <c r="K39" s="11">
        <v>1</v>
      </c>
      <c r="L39" s="11">
        <v>2</v>
      </c>
      <c r="N39" s="9" t="s">
        <v>19</v>
      </c>
      <c r="O39" s="1">
        <v>1</v>
      </c>
      <c r="P39" s="1">
        <v>0</v>
      </c>
      <c r="Q39" s="1">
        <v>0</v>
      </c>
      <c r="R39" s="1">
        <v>1</v>
      </c>
      <c r="S39" s="1">
        <v>0</v>
      </c>
      <c r="T39" s="1">
        <v>0</v>
      </c>
      <c r="U39" s="1" t="str">
        <f>IF(A39="","",INDEX(id!$A:$A,A39))</f>
        <v>berserk</v>
      </c>
      <c r="V39" s="5" t="s">
        <v>40</v>
      </c>
      <c r="W39" s="5" t="s">
        <v>40</v>
      </c>
      <c r="X39" s="5" t="s">
        <v>40</v>
      </c>
      <c r="Y39" s="5" t="s">
        <v>40</v>
      </c>
      <c r="Z39" s="5">
        <v>60</v>
      </c>
    </row>
    <row r="40" spans="1:26" s="1" customFormat="1">
      <c r="A40" s="1">
        <v>32</v>
      </c>
      <c r="B40" s="4" t="s">
        <v>488</v>
      </c>
      <c r="C40" s="11" t="s">
        <v>16</v>
      </c>
      <c r="D40" s="4" t="s">
        <v>388</v>
      </c>
      <c r="E40" s="7" t="s">
        <v>458</v>
      </c>
      <c r="F40" s="9" t="str">
        <f t="shared" si="10"/>
        <v>法宝挑战4</v>
      </c>
      <c r="G40" s="9"/>
      <c r="H40" s="1" t="str">
        <f t="shared" si="11"/>
        <v>ReplaceableTextures\\CommandButtons\\BTNAT1D.blp</v>
      </c>
      <c r="I40" s="11"/>
      <c r="J40" s="11"/>
      <c r="K40" s="11">
        <v>1</v>
      </c>
      <c r="L40" s="11">
        <v>2</v>
      </c>
      <c r="N40" s="9" t="s">
        <v>19</v>
      </c>
      <c r="O40" s="1">
        <v>1</v>
      </c>
      <c r="P40" s="1">
        <v>0</v>
      </c>
      <c r="Q40" s="1">
        <v>0</v>
      </c>
      <c r="R40" s="1">
        <v>1</v>
      </c>
      <c r="S40" s="1">
        <v>0</v>
      </c>
      <c r="T40" s="1">
        <v>0</v>
      </c>
      <c r="U40" s="1" t="str">
        <f>IF(A40="","",INDEX(id!$A:$A,A40))</f>
        <v>berserk</v>
      </c>
      <c r="V40" s="5" t="s">
        <v>40</v>
      </c>
      <c r="W40" s="5" t="s">
        <v>40</v>
      </c>
      <c r="X40" s="5" t="s">
        <v>40</v>
      </c>
      <c r="Y40" s="5" t="s">
        <v>40</v>
      </c>
      <c r="Z40" s="5">
        <v>60</v>
      </c>
    </row>
    <row r="41" spans="1:26" s="1" customFormat="1">
      <c r="A41" s="1">
        <v>32</v>
      </c>
      <c r="B41" s="4" t="s">
        <v>489</v>
      </c>
      <c r="C41" s="11" t="s">
        <v>16</v>
      </c>
      <c r="D41" s="4" t="s">
        <v>388</v>
      </c>
      <c r="E41" s="7" t="s">
        <v>459</v>
      </c>
      <c r="F41" s="9" t="str">
        <f t="shared" si="10"/>
        <v>法宝挑战5</v>
      </c>
      <c r="G41" s="9"/>
      <c r="H41" s="1" t="str">
        <f t="shared" si="11"/>
        <v>ReplaceableTextures\\CommandButtons\\BTNAT1E.blp</v>
      </c>
      <c r="I41" s="11"/>
      <c r="J41" s="11"/>
      <c r="K41" s="11">
        <v>1</v>
      </c>
      <c r="L41" s="11">
        <v>2</v>
      </c>
      <c r="N41" s="9" t="s">
        <v>19</v>
      </c>
      <c r="O41" s="1">
        <v>1</v>
      </c>
      <c r="P41" s="1">
        <v>0</v>
      </c>
      <c r="Q41" s="1">
        <v>0</v>
      </c>
      <c r="R41" s="1">
        <v>1</v>
      </c>
      <c r="S41" s="1">
        <v>0</v>
      </c>
      <c r="T41" s="1">
        <v>0</v>
      </c>
      <c r="U41" s="1" t="str">
        <f>IF(A41="","",INDEX(id!$A:$A,A41))</f>
        <v>berserk</v>
      </c>
      <c r="V41" s="5" t="s">
        <v>40</v>
      </c>
      <c r="W41" s="5" t="s">
        <v>40</v>
      </c>
      <c r="X41" s="5" t="s">
        <v>40</v>
      </c>
      <c r="Y41" s="5" t="s">
        <v>40</v>
      </c>
      <c r="Z41" s="5">
        <v>60</v>
      </c>
    </row>
    <row r="42" spans="1:26" s="1" customFormat="1">
      <c r="A42" s="1">
        <v>32</v>
      </c>
      <c r="B42" s="4" t="s">
        <v>490</v>
      </c>
      <c r="C42" s="11" t="s">
        <v>16</v>
      </c>
      <c r="D42" s="4" t="s">
        <v>388</v>
      </c>
      <c r="E42" s="7" t="s">
        <v>460</v>
      </c>
      <c r="F42" s="9" t="str">
        <f t="shared" si="10"/>
        <v>法宝挑战6</v>
      </c>
      <c r="G42" s="9"/>
      <c r="H42" s="1" t="str">
        <f t="shared" si="11"/>
        <v>ReplaceableTextures\\CommandButtons\\BTNAT1F.blp</v>
      </c>
      <c r="I42" s="11"/>
      <c r="J42" s="11"/>
      <c r="K42" s="11">
        <v>1</v>
      </c>
      <c r="L42" s="11">
        <v>2</v>
      </c>
      <c r="N42" s="9" t="s">
        <v>19</v>
      </c>
      <c r="O42" s="1">
        <v>1</v>
      </c>
      <c r="P42" s="1">
        <v>0</v>
      </c>
      <c r="Q42" s="1">
        <v>0</v>
      </c>
      <c r="R42" s="1">
        <v>1</v>
      </c>
      <c r="S42" s="1">
        <v>0</v>
      </c>
      <c r="T42" s="1">
        <v>0</v>
      </c>
      <c r="U42" s="1" t="str">
        <f>IF(A42="","",INDEX(id!$A:$A,A42))</f>
        <v>berserk</v>
      </c>
      <c r="V42" s="5" t="s">
        <v>40</v>
      </c>
      <c r="W42" s="5" t="s">
        <v>40</v>
      </c>
      <c r="X42" s="5" t="s">
        <v>40</v>
      </c>
      <c r="Y42" s="5" t="s">
        <v>40</v>
      </c>
      <c r="Z42" s="5">
        <v>60</v>
      </c>
    </row>
    <row r="43" spans="1:26" s="1" customFormat="1">
      <c r="A43" s="1">
        <v>32</v>
      </c>
      <c r="B43" s="4" t="s">
        <v>491</v>
      </c>
      <c r="C43" s="11" t="s">
        <v>16</v>
      </c>
      <c r="D43" s="4" t="s">
        <v>388</v>
      </c>
      <c r="E43" s="7" t="s">
        <v>461</v>
      </c>
      <c r="F43" s="9" t="str">
        <f t="shared" si="10"/>
        <v>法宝挑战7</v>
      </c>
      <c r="G43" s="9"/>
      <c r="H43" s="1" t="str">
        <f t="shared" si="11"/>
        <v>ReplaceableTextures\\CommandButtons\\BTNAT1G.blp</v>
      </c>
      <c r="I43" s="11"/>
      <c r="J43" s="11"/>
      <c r="K43" s="11">
        <v>1</v>
      </c>
      <c r="L43" s="11">
        <v>2</v>
      </c>
      <c r="N43" s="9" t="s">
        <v>19</v>
      </c>
      <c r="O43" s="1">
        <v>1</v>
      </c>
      <c r="P43" s="1">
        <v>0</v>
      </c>
      <c r="Q43" s="1">
        <v>0</v>
      </c>
      <c r="R43" s="1">
        <v>1</v>
      </c>
      <c r="S43" s="1">
        <v>0</v>
      </c>
      <c r="T43" s="1">
        <v>0</v>
      </c>
      <c r="U43" s="1" t="str">
        <f>IF(A43="","",INDEX(id!$A:$A,A43))</f>
        <v>berserk</v>
      </c>
      <c r="V43" s="5" t="s">
        <v>40</v>
      </c>
      <c r="W43" s="5" t="s">
        <v>40</v>
      </c>
      <c r="X43" s="5" t="s">
        <v>40</v>
      </c>
      <c r="Y43" s="5" t="s">
        <v>40</v>
      </c>
      <c r="Z43" s="5">
        <v>60</v>
      </c>
    </row>
    <row r="44" spans="1:26" s="1" customFormat="1">
      <c r="A44" s="1">
        <v>32</v>
      </c>
      <c r="B44" s="4" t="s">
        <v>492</v>
      </c>
      <c r="C44" s="11" t="s">
        <v>16</v>
      </c>
      <c r="D44" s="4" t="s">
        <v>388</v>
      </c>
      <c r="E44" s="7" t="s">
        <v>462</v>
      </c>
      <c r="F44" s="9" t="str">
        <f t="shared" si="10"/>
        <v>法宝挑战8</v>
      </c>
      <c r="G44" s="9"/>
      <c r="H44" s="1" t="str">
        <f t="shared" si="11"/>
        <v>ReplaceableTextures\\CommandButtons\\BTNAT1H.blp</v>
      </c>
      <c r="I44" s="11"/>
      <c r="J44" s="11"/>
      <c r="K44" s="11">
        <v>1</v>
      </c>
      <c r="L44" s="11">
        <v>2</v>
      </c>
      <c r="N44" s="9" t="s">
        <v>19</v>
      </c>
      <c r="O44" s="1">
        <v>1</v>
      </c>
      <c r="P44" s="1">
        <v>0</v>
      </c>
      <c r="Q44" s="1">
        <v>0</v>
      </c>
      <c r="R44" s="1">
        <v>1</v>
      </c>
      <c r="S44" s="1">
        <v>0</v>
      </c>
      <c r="T44" s="1">
        <v>0</v>
      </c>
      <c r="U44" s="1" t="str">
        <f>IF(A44="","",INDEX(id!$A:$A,A44))</f>
        <v>berserk</v>
      </c>
      <c r="V44" s="5" t="s">
        <v>40</v>
      </c>
      <c r="W44" s="5" t="s">
        <v>40</v>
      </c>
      <c r="X44" s="5" t="s">
        <v>40</v>
      </c>
      <c r="Y44" s="5" t="s">
        <v>40</v>
      </c>
      <c r="Z44" s="5">
        <v>60</v>
      </c>
    </row>
    <row r="45" spans="1:26" s="1" customFormat="1">
      <c r="A45" s="1">
        <v>32</v>
      </c>
      <c r="B45" s="4" t="s">
        <v>493</v>
      </c>
      <c r="C45" s="11" t="s">
        <v>16</v>
      </c>
      <c r="D45" s="4" t="s">
        <v>388</v>
      </c>
      <c r="E45" s="7" t="s">
        <v>465</v>
      </c>
      <c r="F45" s="9" t="str">
        <f t="shared" si="10"/>
        <v>法宝挑战9</v>
      </c>
      <c r="G45" s="9"/>
      <c r="H45" s="1" t="str">
        <f t="shared" si="11"/>
        <v>ReplaceableTextures\\CommandButtons\\BTNAT1I.blp</v>
      </c>
      <c r="I45" s="11"/>
      <c r="J45" s="11"/>
      <c r="K45" s="11">
        <v>1</v>
      </c>
      <c r="L45" s="11">
        <v>2</v>
      </c>
      <c r="N45" s="9" t="s">
        <v>19</v>
      </c>
      <c r="O45" s="1">
        <v>1</v>
      </c>
      <c r="P45" s="1">
        <v>0</v>
      </c>
      <c r="Q45" s="1">
        <v>0</v>
      </c>
      <c r="R45" s="1">
        <v>1</v>
      </c>
      <c r="S45" s="1">
        <v>0</v>
      </c>
      <c r="T45" s="1">
        <v>0</v>
      </c>
      <c r="U45" s="1" t="str">
        <f>IF(A45="","",INDEX(id!$A:$A,A45))</f>
        <v>berserk</v>
      </c>
      <c r="V45" s="5" t="s">
        <v>40</v>
      </c>
      <c r="W45" s="5" t="s">
        <v>40</v>
      </c>
      <c r="X45" s="5" t="s">
        <v>40</v>
      </c>
      <c r="Y45" s="5" t="s">
        <v>40</v>
      </c>
      <c r="Z45" s="5">
        <v>60</v>
      </c>
    </row>
    <row r="46" spans="1:26" s="1" customFormat="1">
      <c r="A46" s="1">
        <v>32</v>
      </c>
      <c r="B46" s="4" t="s">
        <v>494</v>
      </c>
      <c r="C46" s="11" t="s">
        <v>16</v>
      </c>
      <c r="D46" s="4" t="s">
        <v>388</v>
      </c>
      <c r="E46" s="7" t="s">
        <v>466</v>
      </c>
      <c r="F46" s="9" t="str">
        <f t="shared" si="10"/>
        <v>法宝挑战10</v>
      </c>
      <c r="G46" s="9"/>
      <c r="H46" s="1" t="str">
        <f t="shared" si="11"/>
        <v>ReplaceableTextures\\CommandButtons\\BTNAT1J.blp</v>
      </c>
      <c r="I46" s="11"/>
      <c r="J46" s="11"/>
      <c r="K46" s="11">
        <v>1</v>
      </c>
      <c r="L46" s="11">
        <v>2</v>
      </c>
      <c r="N46" s="9" t="s">
        <v>19</v>
      </c>
      <c r="O46" s="1">
        <v>1</v>
      </c>
      <c r="P46" s="1">
        <v>0</v>
      </c>
      <c r="Q46" s="1">
        <v>0</v>
      </c>
      <c r="R46" s="1">
        <v>1</v>
      </c>
      <c r="S46" s="1">
        <v>0</v>
      </c>
      <c r="T46" s="1">
        <v>0</v>
      </c>
      <c r="U46" s="1" t="str">
        <f>IF(A46="","",INDEX(id!$A:$A,A46))</f>
        <v>berserk</v>
      </c>
      <c r="V46" s="5" t="s">
        <v>40</v>
      </c>
      <c r="W46" s="5" t="s">
        <v>40</v>
      </c>
      <c r="X46" s="5" t="s">
        <v>40</v>
      </c>
      <c r="Y46" s="5" t="s">
        <v>40</v>
      </c>
      <c r="Z46" s="5">
        <v>60</v>
      </c>
    </row>
    <row r="47" spans="1:26" s="1" customFormat="1">
      <c r="A47" s="1">
        <v>32</v>
      </c>
      <c r="B47" s="4" t="s">
        <v>505</v>
      </c>
      <c r="C47" s="11" t="s">
        <v>16</v>
      </c>
      <c r="D47" s="4" t="s">
        <v>388</v>
      </c>
      <c r="E47" s="7" t="s">
        <v>503</v>
      </c>
      <c r="F47" s="9" t="str">
        <f t="shared" si="10"/>
        <v>法宝挑战11</v>
      </c>
      <c r="G47" s="9"/>
      <c r="H47" s="1" t="str">
        <f t="shared" ref="H47:H48" si="13">"ReplaceableTextures\\CommandButtons\\BTN"&amp;B47&amp;".blp"</f>
        <v>ReplaceableTextures\\CommandButtons\\BTNAT1K.blp</v>
      </c>
      <c r="I47" s="11"/>
      <c r="J47" s="11"/>
      <c r="K47" s="11">
        <v>1</v>
      </c>
      <c r="L47" s="11">
        <v>2</v>
      </c>
      <c r="N47" s="9" t="s">
        <v>19</v>
      </c>
      <c r="O47" s="1">
        <v>1</v>
      </c>
      <c r="P47" s="1">
        <v>0</v>
      </c>
      <c r="Q47" s="1">
        <v>0</v>
      </c>
      <c r="R47" s="1">
        <v>1</v>
      </c>
      <c r="S47" s="1">
        <v>0</v>
      </c>
      <c r="T47" s="1">
        <v>0</v>
      </c>
      <c r="U47" s="1" t="str">
        <f>IF(A47="","",INDEX(id!$A:$A,A47))</f>
        <v>berserk</v>
      </c>
      <c r="V47" s="5" t="s">
        <v>40</v>
      </c>
      <c r="W47" s="5" t="s">
        <v>40</v>
      </c>
      <c r="X47" s="5" t="s">
        <v>40</v>
      </c>
      <c r="Y47" s="5" t="s">
        <v>40</v>
      </c>
      <c r="Z47" s="5">
        <v>60</v>
      </c>
    </row>
    <row r="48" spans="1:26" s="1" customFormat="1">
      <c r="A48" s="1">
        <v>32</v>
      </c>
      <c r="B48" s="4" t="s">
        <v>506</v>
      </c>
      <c r="C48" s="11" t="s">
        <v>16</v>
      </c>
      <c r="D48" s="4" t="s">
        <v>388</v>
      </c>
      <c r="E48" s="7" t="s">
        <v>504</v>
      </c>
      <c r="F48" s="9" t="str">
        <f t="shared" si="10"/>
        <v>法宝挑战12</v>
      </c>
      <c r="G48" s="9"/>
      <c r="H48" s="1" t="str">
        <f t="shared" si="13"/>
        <v>ReplaceableTextures\\CommandButtons\\BTNAT1L.blp</v>
      </c>
      <c r="I48" s="11"/>
      <c r="J48" s="11"/>
      <c r="K48" s="11">
        <v>1</v>
      </c>
      <c r="L48" s="11">
        <v>2</v>
      </c>
      <c r="N48" s="9" t="s">
        <v>19</v>
      </c>
      <c r="O48" s="1">
        <v>1</v>
      </c>
      <c r="P48" s="1">
        <v>0</v>
      </c>
      <c r="Q48" s="1">
        <v>0</v>
      </c>
      <c r="R48" s="1">
        <v>1</v>
      </c>
      <c r="S48" s="1">
        <v>0</v>
      </c>
      <c r="T48" s="1">
        <v>0</v>
      </c>
      <c r="U48" s="1" t="str">
        <f>IF(A48="","",INDEX(id!$A:$A,A48))</f>
        <v>berserk</v>
      </c>
      <c r="V48" s="5" t="s">
        <v>40</v>
      </c>
      <c r="W48" s="5" t="s">
        <v>40</v>
      </c>
      <c r="X48" s="5" t="s">
        <v>40</v>
      </c>
      <c r="Y48" s="5" t="s">
        <v>40</v>
      </c>
      <c r="Z48" s="5">
        <v>60</v>
      </c>
    </row>
    <row r="49" spans="1:26" s="1" customFormat="1">
      <c r="A49" s="1">
        <v>33</v>
      </c>
      <c r="B49" s="4" t="s">
        <v>495</v>
      </c>
      <c r="C49" s="11" t="s">
        <v>16</v>
      </c>
      <c r="D49" s="4" t="s">
        <v>388</v>
      </c>
      <c r="E49" s="7" t="s">
        <v>467</v>
      </c>
      <c r="F49" s="9" t="str">
        <f t="shared" si="10"/>
        <v>门票挑战1</v>
      </c>
      <c r="G49" s="9"/>
      <c r="H49" s="1" t="str">
        <f t="shared" si="11"/>
        <v>ReplaceableTextures\\CommandButtons\\BTNAT2A.blp</v>
      </c>
      <c r="I49" s="11"/>
      <c r="J49" s="11"/>
      <c r="K49" s="11">
        <v>2</v>
      </c>
      <c r="L49" s="11">
        <v>2</v>
      </c>
      <c r="N49" s="9" t="s">
        <v>19</v>
      </c>
      <c r="O49" s="1">
        <v>1</v>
      </c>
      <c r="P49" s="1">
        <v>0</v>
      </c>
      <c r="Q49" s="1">
        <v>0</v>
      </c>
      <c r="R49" s="1">
        <v>1</v>
      </c>
      <c r="S49" s="1">
        <v>0</v>
      </c>
      <c r="T49" s="1">
        <v>0</v>
      </c>
      <c r="U49" s="1" t="str">
        <f>IF(A49="","",INDEX(id!$A:$A,A49))</f>
        <v>blackarrow</v>
      </c>
      <c r="V49" s="5" t="s">
        <v>40</v>
      </c>
      <c r="W49" s="5" t="s">
        <v>40</v>
      </c>
      <c r="X49" s="5" t="s">
        <v>40</v>
      </c>
      <c r="Y49" s="5" t="s">
        <v>40</v>
      </c>
      <c r="Z49" s="5">
        <v>60</v>
      </c>
    </row>
    <row r="50" spans="1:26" s="1" customFormat="1">
      <c r="A50" s="1">
        <v>33</v>
      </c>
      <c r="B50" s="4" t="s">
        <v>496</v>
      </c>
      <c r="C50" s="11" t="s">
        <v>16</v>
      </c>
      <c r="D50" s="4" t="s">
        <v>388</v>
      </c>
      <c r="E50" s="7" t="s">
        <v>468</v>
      </c>
      <c r="F50" s="9" t="str">
        <f t="shared" si="10"/>
        <v>门票挑战2</v>
      </c>
      <c r="G50" s="9"/>
      <c r="H50" s="1" t="str">
        <f t="shared" si="11"/>
        <v>ReplaceableTextures\\CommandButtons\\BTNAT2B.blp</v>
      </c>
      <c r="I50" s="11" t="s">
        <v>530</v>
      </c>
      <c r="J50" s="11"/>
      <c r="K50" s="11">
        <v>2</v>
      </c>
      <c r="L50" s="11">
        <v>2</v>
      </c>
      <c r="N50" s="9" t="s">
        <v>19</v>
      </c>
      <c r="O50" s="1">
        <v>1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 t="str">
        <f>IF(A50="","",INDEX(id!$A:$A,A50))</f>
        <v>blackarrow</v>
      </c>
      <c r="V50" s="5" t="s">
        <v>40</v>
      </c>
      <c r="W50" s="5" t="s">
        <v>40</v>
      </c>
      <c r="X50" s="5" t="s">
        <v>40</v>
      </c>
      <c r="Y50" s="5" t="s">
        <v>40</v>
      </c>
      <c r="Z50" s="5">
        <v>60</v>
      </c>
    </row>
    <row r="51" spans="1:26" s="1" customFormat="1">
      <c r="A51" s="1">
        <v>33</v>
      </c>
      <c r="B51" s="4" t="s">
        <v>497</v>
      </c>
      <c r="C51" s="11" t="s">
        <v>16</v>
      </c>
      <c r="D51" s="4" t="s">
        <v>388</v>
      </c>
      <c r="E51" s="7" t="s">
        <v>469</v>
      </c>
      <c r="F51" s="9" t="str">
        <f t="shared" si="10"/>
        <v>门票挑战3</v>
      </c>
      <c r="G51" s="9"/>
      <c r="H51" s="1" t="str">
        <f t="shared" si="11"/>
        <v>ReplaceableTextures\\CommandButtons\\BTNAT2C.blp</v>
      </c>
      <c r="I51" s="11" t="s">
        <v>520</v>
      </c>
      <c r="J51" s="11"/>
      <c r="K51" s="11">
        <v>2</v>
      </c>
      <c r="L51" s="11">
        <v>2</v>
      </c>
      <c r="N51" s="9" t="s">
        <v>19</v>
      </c>
      <c r="O51" s="1">
        <v>1</v>
      </c>
      <c r="P51" s="1">
        <v>0</v>
      </c>
      <c r="Q51" s="1">
        <v>0</v>
      </c>
      <c r="R51" s="1">
        <v>1</v>
      </c>
      <c r="S51" s="1">
        <v>0</v>
      </c>
      <c r="T51" s="1">
        <v>0</v>
      </c>
      <c r="U51" s="1" t="str">
        <f>IF(A51="","",INDEX(id!$A:$A,A51))</f>
        <v>blackarrow</v>
      </c>
      <c r="V51" s="5" t="s">
        <v>40</v>
      </c>
      <c r="W51" s="5" t="s">
        <v>40</v>
      </c>
      <c r="X51" s="5" t="s">
        <v>40</v>
      </c>
      <c r="Y51" s="5" t="s">
        <v>40</v>
      </c>
      <c r="Z51" s="5">
        <v>60</v>
      </c>
    </row>
    <row r="52" spans="1:26" s="1" customFormat="1">
      <c r="A52" s="1">
        <v>33</v>
      </c>
      <c r="B52" s="4" t="s">
        <v>498</v>
      </c>
      <c r="C52" s="11" t="s">
        <v>16</v>
      </c>
      <c r="D52" s="4" t="s">
        <v>388</v>
      </c>
      <c r="E52" s="7" t="s">
        <v>470</v>
      </c>
      <c r="F52" s="9" t="str">
        <f t="shared" si="10"/>
        <v>门票挑战4</v>
      </c>
      <c r="G52" s="9"/>
      <c r="H52" s="1" t="str">
        <f t="shared" si="11"/>
        <v>ReplaceableTextures\\CommandButtons\\BTNAT2D.blp</v>
      </c>
      <c r="I52" s="11" t="s">
        <v>531</v>
      </c>
      <c r="J52" s="11"/>
      <c r="K52" s="11">
        <v>2</v>
      </c>
      <c r="L52" s="11">
        <v>2</v>
      </c>
      <c r="N52" s="9" t="s">
        <v>19</v>
      </c>
      <c r="O52" s="1">
        <v>1</v>
      </c>
      <c r="P52" s="1">
        <v>0</v>
      </c>
      <c r="Q52" s="1">
        <v>0</v>
      </c>
      <c r="R52" s="1">
        <v>1</v>
      </c>
      <c r="S52" s="1">
        <v>0</v>
      </c>
      <c r="T52" s="1">
        <v>0</v>
      </c>
      <c r="U52" s="1" t="str">
        <f>IF(A52="","",INDEX(id!$A:$A,A52))</f>
        <v>blackarrow</v>
      </c>
      <c r="V52" s="5" t="s">
        <v>40</v>
      </c>
      <c r="W52" s="5" t="s">
        <v>40</v>
      </c>
      <c r="X52" s="5" t="s">
        <v>40</v>
      </c>
      <c r="Y52" s="5" t="s">
        <v>40</v>
      </c>
      <c r="Z52" s="5">
        <v>60</v>
      </c>
    </row>
    <row r="53" spans="1:26" s="1" customFormat="1">
      <c r="A53" s="1">
        <v>33</v>
      </c>
      <c r="B53" s="4" t="s">
        <v>499</v>
      </c>
      <c r="C53" s="11" t="s">
        <v>16</v>
      </c>
      <c r="D53" s="4" t="s">
        <v>388</v>
      </c>
      <c r="E53" s="7" t="s">
        <v>471</v>
      </c>
      <c r="F53" s="9" t="str">
        <f t="shared" si="10"/>
        <v>门票挑战5</v>
      </c>
      <c r="G53" s="9"/>
      <c r="H53" s="1" t="str">
        <f t="shared" si="11"/>
        <v>ReplaceableTextures\\CommandButtons\\BTNAT2E.blp</v>
      </c>
      <c r="I53" s="11" t="s">
        <v>523</v>
      </c>
      <c r="J53" s="11"/>
      <c r="K53" s="11">
        <v>2</v>
      </c>
      <c r="L53" s="11">
        <v>2</v>
      </c>
      <c r="N53" s="9" t="s">
        <v>19</v>
      </c>
      <c r="O53" s="1">
        <v>1</v>
      </c>
      <c r="P53" s="1">
        <v>0</v>
      </c>
      <c r="Q53" s="1">
        <v>0</v>
      </c>
      <c r="R53" s="1">
        <v>1</v>
      </c>
      <c r="S53" s="1">
        <v>0</v>
      </c>
      <c r="T53" s="1">
        <v>0</v>
      </c>
      <c r="U53" s="1" t="str">
        <f>IF(A53="","",INDEX(id!$A:$A,A53))</f>
        <v>blackarrow</v>
      </c>
      <c r="V53" s="5" t="s">
        <v>40</v>
      </c>
      <c r="W53" s="5" t="s">
        <v>40</v>
      </c>
      <c r="X53" s="5" t="s">
        <v>40</v>
      </c>
      <c r="Y53" s="5" t="s">
        <v>40</v>
      </c>
      <c r="Z53" s="5">
        <v>60</v>
      </c>
    </row>
    <row r="54" spans="1:26" s="1" customFormat="1">
      <c r="A54" s="1">
        <v>33</v>
      </c>
      <c r="B54" s="4" t="s">
        <v>500</v>
      </c>
      <c r="C54" s="11" t="s">
        <v>16</v>
      </c>
      <c r="D54" s="4" t="s">
        <v>388</v>
      </c>
      <c r="E54" s="7" t="s">
        <v>472</v>
      </c>
      <c r="F54" s="9" t="str">
        <f t="shared" si="10"/>
        <v>门票挑战6</v>
      </c>
      <c r="G54" s="9"/>
      <c r="H54" s="1" t="str">
        <f t="shared" si="11"/>
        <v>ReplaceableTextures\\CommandButtons\\BTNAT2F.blp</v>
      </c>
      <c r="I54" s="11" t="s">
        <v>524</v>
      </c>
      <c r="J54" s="11"/>
      <c r="K54" s="11">
        <v>2</v>
      </c>
      <c r="L54" s="11">
        <v>2</v>
      </c>
      <c r="N54" s="9" t="s">
        <v>19</v>
      </c>
      <c r="O54" s="1">
        <v>1</v>
      </c>
      <c r="P54" s="1">
        <v>0</v>
      </c>
      <c r="Q54" s="1">
        <v>0</v>
      </c>
      <c r="R54" s="1">
        <v>1</v>
      </c>
      <c r="S54" s="1">
        <v>0</v>
      </c>
      <c r="T54" s="1">
        <v>0</v>
      </c>
      <c r="U54" s="1" t="str">
        <f>IF(A54="","",INDEX(id!$A:$A,A54))</f>
        <v>blackarrow</v>
      </c>
      <c r="V54" s="5" t="s">
        <v>40</v>
      </c>
      <c r="W54" s="5" t="s">
        <v>40</v>
      </c>
      <c r="X54" s="5" t="s">
        <v>40</v>
      </c>
      <c r="Y54" s="5" t="s">
        <v>40</v>
      </c>
      <c r="Z54" s="5">
        <v>60</v>
      </c>
    </row>
    <row r="55" spans="1:26" s="1" customFormat="1">
      <c r="A55" s="1">
        <v>33</v>
      </c>
      <c r="B55" s="4" t="s">
        <v>501</v>
      </c>
      <c r="C55" s="11" t="s">
        <v>16</v>
      </c>
      <c r="D55" s="4" t="s">
        <v>388</v>
      </c>
      <c r="E55" s="7" t="s">
        <v>473</v>
      </c>
      <c r="F55" s="9" t="str">
        <f t="shared" si="10"/>
        <v>门票挑战7</v>
      </c>
      <c r="G55" s="9"/>
      <c r="H55" s="1" t="str">
        <f t="shared" si="11"/>
        <v>ReplaceableTextures\\CommandButtons\\BTNAT2G.blp</v>
      </c>
      <c r="I55" s="11" t="s">
        <v>526</v>
      </c>
      <c r="J55" s="11"/>
      <c r="K55" s="11">
        <v>2</v>
      </c>
      <c r="L55" s="11">
        <v>2</v>
      </c>
      <c r="N55" s="9" t="s">
        <v>19</v>
      </c>
      <c r="O55" s="1">
        <v>1</v>
      </c>
      <c r="P55" s="1">
        <v>0</v>
      </c>
      <c r="Q55" s="1">
        <v>0</v>
      </c>
      <c r="R55" s="1">
        <v>1</v>
      </c>
      <c r="S55" s="1">
        <v>0</v>
      </c>
      <c r="T55" s="1">
        <v>0</v>
      </c>
      <c r="U55" s="1" t="str">
        <f>IF(A55="","",INDEX(id!$A:$A,A55))</f>
        <v>blackarrow</v>
      </c>
      <c r="V55" s="5" t="s">
        <v>40</v>
      </c>
      <c r="W55" s="5" t="s">
        <v>40</v>
      </c>
      <c r="X55" s="5" t="s">
        <v>40</v>
      </c>
      <c r="Y55" s="5" t="s">
        <v>40</v>
      </c>
      <c r="Z55" s="5">
        <v>60</v>
      </c>
    </row>
    <row r="56" spans="1:26" s="1" customFormat="1">
      <c r="A56" s="1">
        <v>33</v>
      </c>
      <c r="B56" s="4" t="s">
        <v>502</v>
      </c>
      <c r="C56" s="11" t="s">
        <v>16</v>
      </c>
      <c r="D56" s="4" t="s">
        <v>388</v>
      </c>
      <c r="E56" s="7" t="s">
        <v>474</v>
      </c>
      <c r="F56" s="9" t="str">
        <f t="shared" si="10"/>
        <v>门票挑战8</v>
      </c>
      <c r="G56" s="9"/>
      <c r="H56" s="1" t="str">
        <f t="shared" si="11"/>
        <v>ReplaceableTextures\\CommandButtons\\BTNAT2H.blp</v>
      </c>
      <c r="I56" s="11" t="s">
        <v>527</v>
      </c>
      <c r="J56" s="11"/>
      <c r="K56" s="11">
        <v>2</v>
      </c>
      <c r="L56" s="11">
        <v>2</v>
      </c>
      <c r="N56" s="9" t="s">
        <v>19</v>
      </c>
      <c r="O56" s="1">
        <v>1</v>
      </c>
      <c r="P56" s="1">
        <v>0</v>
      </c>
      <c r="Q56" s="1">
        <v>0</v>
      </c>
      <c r="R56" s="1">
        <v>1</v>
      </c>
      <c r="S56" s="1">
        <v>0</v>
      </c>
      <c r="T56" s="1">
        <v>0</v>
      </c>
      <c r="U56" s="1" t="str">
        <f>IF(A56="","",INDEX(id!$A:$A,A56))</f>
        <v>blackarrow</v>
      </c>
      <c r="V56" s="5" t="s">
        <v>40</v>
      </c>
      <c r="W56" s="5" t="s">
        <v>40</v>
      </c>
      <c r="X56" s="5" t="s">
        <v>40</v>
      </c>
      <c r="Y56" s="5" t="s">
        <v>40</v>
      </c>
      <c r="Z56" s="5">
        <v>60</v>
      </c>
    </row>
    <row r="57" spans="1:26" s="1" customFormat="1">
      <c r="B57" s="4"/>
      <c r="D57" s="15"/>
      <c r="E57" s="7"/>
      <c r="F57" s="9"/>
      <c r="G57" s="9"/>
    </row>
    <row r="58" spans="1:26" s="1" customFormat="1">
      <c r="B58" s="4"/>
      <c r="D58" s="15"/>
      <c r="E58" s="7"/>
      <c r="F58" s="9"/>
      <c r="G58" s="9"/>
    </row>
    <row r="59" spans="1:26" s="1" customFormat="1">
      <c r="B59" s="4"/>
      <c r="D59" s="15"/>
      <c r="E59" s="7"/>
      <c r="F59" s="9"/>
      <c r="G59" s="9"/>
    </row>
    <row r="60" spans="1:26" s="1" customFormat="1">
      <c r="B60" s="4"/>
      <c r="D60" s="15"/>
      <c r="E60" s="7"/>
      <c r="F60" s="9"/>
      <c r="G60" s="9"/>
    </row>
    <row r="61" spans="1:26" s="1" customFormat="1">
      <c r="B61" s="4"/>
      <c r="D61" s="15"/>
      <c r="E61" s="7"/>
      <c r="F61" s="9"/>
      <c r="G61" s="9"/>
    </row>
    <row r="62" spans="1:26" s="1" customFormat="1">
      <c r="B62" s="4"/>
      <c r="D62" s="15"/>
      <c r="E62" s="7"/>
      <c r="F62" s="9"/>
      <c r="G62" s="9"/>
    </row>
    <row r="63" spans="1:26" s="1" customFormat="1">
      <c r="B63" s="4"/>
      <c r="D63" s="15"/>
      <c r="E63" s="7"/>
      <c r="F63" s="9"/>
      <c r="G63" s="9"/>
    </row>
    <row r="64" spans="1:26" s="1" customFormat="1">
      <c r="B64" s="4"/>
      <c r="D64" s="15"/>
      <c r="E64" s="7"/>
      <c r="F64" s="9"/>
      <c r="G64" s="9"/>
    </row>
    <row r="65" spans="2:7" s="1" customFormat="1">
      <c r="B65" s="4"/>
      <c r="D65" s="15"/>
      <c r="E65" s="7"/>
      <c r="F65" s="9"/>
      <c r="G65" s="9"/>
    </row>
    <row r="66" spans="2:7" s="1" customFormat="1">
      <c r="B66" s="4"/>
      <c r="D66" s="15"/>
      <c r="E66" s="7"/>
      <c r="F66" s="9"/>
      <c r="G66" s="9"/>
    </row>
    <row r="67" spans="2:7" s="1" customFormat="1">
      <c r="B67" s="4"/>
      <c r="D67" s="15"/>
      <c r="E67" s="7"/>
      <c r="F67" s="9"/>
      <c r="G67" s="9"/>
    </row>
    <row r="68" spans="2:7" s="1" customFormat="1">
      <c r="B68" s="4"/>
      <c r="D68" s="15"/>
      <c r="E68" s="7"/>
      <c r="F68" s="9"/>
      <c r="G68" s="9"/>
    </row>
    <row r="69" spans="2:7" s="1" customFormat="1">
      <c r="B69" s="4"/>
      <c r="D69" s="15"/>
      <c r="E69" s="7"/>
      <c r="F69" s="9"/>
      <c r="G69" s="9"/>
    </row>
    <row r="70" spans="2:7" s="1" customFormat="1">
      <c r="B70" s="4"/>
      <c r="D70" s="15"/>
      <c r="E70" s="7"/>
      <c r="F70" s="9"/>
      <c r="G70" s="9"/>
    </row>
    <row r="71" spans="2:7" s="1" customFormat="1">
      <c r="B71" s="4"/>
      <c r="D71" s="15"/>
      <c r="E71" s="7"/>
      <c r="F71" s="9"/>
      <c r="G71" s="9"/>
    </row>
    <row r="72" spans="2:7" s="1" customFormat="1">
      <c r="B72" s="4"/>
      <c r="D72" s="15"/>
      <c r="E72" s="7"/>
      <c r="F72" s="9"/>
      <c r="G72" s="9"/>
    </row>
    <row r="73" spans="2:7" s="1" customFormat="1">
      <c r="B73" s="4"/>
      <c r="D73" s="15"/>
      <c r="E73" s="7"/>
      <c r="F73" s="9"/>
      <c r="G73" s="9"/>
    </row>
    <row r="74" spans="2:7" s="1" customFormat="1">
      <c r="B74" s="4"/>
      <c r="D74" s="15"/>
      <c r="E74" s="7"/>
      <c r="F74" s="9"/>
      <c r="G74" s="9"/>
    </row>
    <row r="75" spans="2:7" s="1" customFormat="1">
      <c r="B75" s="4"/>
      <c r="D75" s="15"/>
      <c r="E75" s="7"/>
      <c r="F75" s="9"/>
      <c r="G75" s="9"/>
    </row>
    <row r="76" spans="2:7" s="1" customFormat="1">
      <c r="B76" s="4"/>
      <c r="D76" s="15"/>
      <c r="E76" s="7"/>
      <c r="F76" s="9"/>
      <c r="G76" s="9"/>
    </row>
    <row r="77" spans="2:7" s="1" customFormat="1">
      <c r="B77" s="4"/>
      <c r="D77" s="15"/>
      <c r="E77" s="7"/>
      <c r="F77" s="9"/>
      <c r="G77" s="9"/>
    </row>
    <row r="78" spans="2:7" s="1" customFormat="1">
      <c r="B78" s="4"/>
      <c r="D78" s="15"/>
      <c r="E78" s="7"/>
      <c r="F78" s="9"/>
      <c r="G78" s="9"/>
    </row>
    <row r="79" spans="2:7" s="1" customFormat="1">
      <c r="B79" s="4"/>
      <c r="D79" s="15"/>
      <c r="E79" s="7"/>
      <c r="F79" s="9"/>
      <c r="G79" s="9"/>
    </row>
    <row r="80" spans="2:7" s="1" customFormat="1">
      <c r="B80" s="4"/>
      <c r="D80" s="15"/>
      <c r="E80" s="7"/>
      <c r="F80" s="9"/>
      <c r="G80" s="9"/>
    </row>
    <row r="81" spans="2:7" s="1" customFormat="1">
      <c r="B81" s="4"/>
      <c r="D81" s="15"/>
      <c r="E81" s="7"/>
      <c r="F81" s="9"/>
      <c r="G81" s="9"/>
    </row>
    <row r="82" spans="2:7" s="1" customFormat="1">
      <c r="B82" s="4"/>
      <c r="D82" s="15"/>
      <c r="E82" s="7"/>
      <c r="F82" s="9"/>
      <c r="G82" s="9"/>
    </row>
    <row r="83" spans="2:7" s="1" customFormat="1">
      <c r="B83" s="4"/>
      <c r="D83" s="15"/>
      <c r="E83" s="7"/>
      <c r="F83" s="9"/>
      <c r="G83" s="9"/>
    </row>
    <row r="84" spans="2:7" s="1" customFormat="1">
      <c r="B84" s="4"/>
      <c r="D84" s="15"/>
      <c r="E84" s="7"/>
      <c r="F84" s="9"/>
      <c r="G84" s="9"/>
    </row>
    <row r="85" spans="2:7" s="1" customFormat="1">
      <c r="B85" s="4"/>
      <c r="D85" s="15"/>
      <c r="E85" s="7"/>
      <c r="F85" s="9"/>
      <c r="G85" s="9"/>
    </row>
    <row r="86" spans="2:7" s="1" customFormat="1">
      <c r="B86" s="4"/>
      <c r="D86" s="15"/>
      <c r="E86" s="7"/>
      <c r="F86" s="9"/>
      <c r="G86" s="9"/>
    </row>
    <row r="87" spans="2:7" s="1" customFormat="1">
      <c r="B87" s="4"/>
      <c r="D87" s="15"/>
      <c r="E87" s="7"/>
      <c r="F87" s="9"/>
      <c r="G87" s="9"/>
    </row>
    <row r="88" spans="2:7" s="1" customFormat="1">
      <c r="B88" s="4"/>
      <c r="D88" s="15"/>
      <c r="E88" s="7"/>
      <c r="F88" s="9"/>
      <c r="G88" s="9"/>
    </row>
    <row r="89" spans="2:7" s="1" customFormat="1">
      <c r="B89" s="4"/>
      <c r="D89" s="15"/>
      <c r="E89" s="7"/>
      <c r="F89" s="9"/>
      <c r="G89" s="9"/>
    </row>
    <row r="90" spans="2:7" s="1" customFormat="1">
      <c r="B90" s="4"/>
      <c r="D90" s="15"/>
      <c r="E90" s="7"/>
      <c r="F90" s="9"/>
      <c r="G90" s="9"/>
    </row>
    <row r="91" spans="2:7" s="1" customFormat="1">
      <c r="B91" s="4"/>
      <c r="D91" s="15"/>
      <c r="E91" s="7"/>
      <c r="F91" s="9"/>
      <c r="G91" s="9"/>
    </row>
    <row r="92" spans="2:7" s="1" customFormat="1">
      <c r="B92" s="4"/>
      <c r="D92" s="15"/>
      <c r="E92" s="7"/>
      <c r="F92" s="9"/>
      <c r="G92" s="9"/>
    </row>
    <row r="93" spans="2:7" s="1" customFormat="1" ht="16.5">
      <c r="B93" s="4"/>
      <c r="D93" s="15"/>
      <c r="E93" s="6"/>
      <c r="F93" s="9"/>
      <c r="G93" s="9"/>
    </row>
    <row r="94" spans="2:7" s="1" customFormat="1" ht="16.5">
      <c r="B94" s="4"/>
      <c r="D94" s="15"/>
      <c r="E94" s="6"/>
      <c r="F94" s="9"/>
      <c r="G94" s="9"/>
    </row>
    <row r="95" spans="2:7" s="1" customFormat="1" ht="16.5">
      <c r="B95" s="4"/>
      <c r="D95" s="15"/>
      <c r="E95" s="6"/>
      <c r="F95" s="9"/>
      <c r="G95" s="9"/>
    </row>
    <row r="96" spans="2:7" s="1" customFormat="1" ht="16.5">
      <c r="B96" s="4"/>
      <c r="D96" s="15"/>
      <c r="E96" s="6"/>
      <c r="F96" s="9"/>
      <c r="G96" s="9"/>
    </row>
    <row r="97" spans="2:7" s="1" customFormat="1" ht="16.5">
      <c r="B97" s="4"/>
      <c r="D97" s="15"/>
      <c r="E97" s="6"/>
      <c r="F97" s="9"/>
      <c r="G97" s="9"/>
    </row>
    <row r="98" spans="2:7" s="1" customFormat="1" ht="16.5">
      <c r="B98" s="4"/>
      <c r="D98" s="15"/>
      <c r="E98" s="6"/>
      <c r="F98" s="9"/>
      <c r="G98" s="9"/>
    </row>
    <row r="99" spans="2:7" s="1" customFormat="1" ht="16.5">
      <c r="B99" s="4"/>
      <c r="D99" s="15"/>
      <c r="E99" s="6"/>
      <c r="F99" s="9"/>
      <c r="G99" s="9"/>
    </row>
    <row r="100" spans="2:7" s="1" customFormat="1" ht="16.5">
      <c r="B100" s="4"/>
      <c r="D100" s="15"/>
      <c r="E100" s="6"/>
      <c r="F100" s="9"/>
      <c r="G100" s="9"/>
    </row>
    <row r="101" spans="2:7" s="1" customFormat="1" ht="16.5">
      <c r="B101" s="4"/>
      <c r="D101" s="15"/>
      <c r="E101" s="6"/>
      <c r="F101" s="9"/>
      <c r="G101" s="9"/>
    </row>
    <row r="102" spans="2:7" s="1" customFormat="1" ht="16.5">
      <c r="B102" s="4"/>
      <c r="D102" s="15"/>
      <c r="E102" s="6"/>
      <c r="F102" s="9"/>
      <c r="G102" s="9"/>
    </row>
    <row r="103" spans="2:7" s="1" customFormat="1" ht="16.5">
      <c r="B103" s="4"/>
      <c r="D103" s="15"/>
      <c r="E103" s="6"/>
      <c r="F103" s="9"/>
      <c r="G103" s="9"/>
    </row>
    <row r="104" spans="2:7" s="1" customFormat="1" ht="16.5">
      <c r="B104" s="4"/>
      <c r="D104" s="15"/>
      <c r="E104" s="6"/>
      <c r="F104" s="9"/>
      <c r="G104" s="9"/>
    </row>
    <row r="105" spans="2:7" s="1" customFormat="1" ht="16.5">
      <c r="B105" s="4"/>
      <c r="D105" s="15"/>
      <c r="E105" s="6"/>
      <c r="F105" s="9"/>
      <c r="G105" s="9"/>
    </row>
    <row r="106" spans="2:7" s="1" customFormat="1" ht="16.5">
      <c r="B106" s="4"/>
      <c r="D106" s="15"/>
      <c r="E106" s="6"/>
      <c r="F106" s="9"/>
      <c r="G106" s="9"/>
    </row>
    <row r="107" spans="2:7" s="1" customFormat="1" ht="16.5">
      <c r="B107" s="4"/>
      <c r="D107" s="15"/>
      <c r="E107" s="6"/>
      <c r="F107" s="9"/>
      <c r="G107" s="9"/>
    </row>
    <row r="108" spans="2:7" s="1" customFormat="1" ht="16.5">
      <c r="B108" s="4"/>
      <c r="D108" s="15"/>
      <c r="E108" s="6"/>
      <c r="F108" s="9"/>
      <c r="G108" s="9"/>
    </row>
    <row r="109" spans="2:7" s="1" customFormat="1" ht="16.5">
      <c r="B109" s="4"/>
      <c r="D109" s="15"/>
      <c r="E109" s="6"/>
      <c r="F109" s="9"/>
      <c r="G109" s="9"/>
    </row>
    <row r="110" spans="2:7" s="1" customFormat="1" ht="16.5">
      <c r="B110" s="4"/>
      <c r="D110" s="15"/>
      <c r="E110" s="6"/>
      <c r="F110" s="9"/>
      <c r="G110" s="9"/>
    </row>
    <row r="111" spans="2:7" s="1" customFormat="1">
      <c r="B111" s="4"/>
      <c r="D111" s="15"/>
      <c r="E111" s="7"/>
      <c r="F111" s="9"/>
      <c r="G111" s="9"/>
    </row>
    <row r="112" spans="2:7" s="1" customFormat="1">
      <c r="B112" s="4"/>
      <c r="D112" s="15"/>
      <c r="E112" s="7"/>
      <c r="F112" s="9"/>
      <c r="G112" s="9"/>
    </row>
    <row r="113" spans="2:7" s="1" customFormat="1">
      <c r="B113" s="4"/>
      <c r="D113" s="15"/>
      <c r="E113" s="7"/>
      <c r="F113" s="9"/>
      <c r="G113" s="9"/>
    </row>
    <row r="114" spans="2:7" s="1" customFormat="1">
      <c r="B114" s="4"/>
      <c r="D114" s="15"/>
      <c r="E114" s="7"/>
      <c r="F114" s="9"/>
      <c r="G114" s="9"/>
    </row>
    <row r="115" spans="2:7" s="1" customFormat="1">
      <c r="B115" s="4"/>
      <c r="D115" s="15"/>
      <c r="E115" s="7"/>
      <c r="F115" s="9"/>
      <c r="G115" s="9"/>
    </row>
    <row r="116" spans="2:7" s="1" customFormat="1">
      <c r="B116" s="4"/>
      <c r="D116" s="15"/>
      <c r="E116" s="7"/>
      <c r="F116" s="9"/>
      <c r="G116" s="9"/>
    </row>
    <row r="117" spans="2:7" s="1" customFormat="1">
      <c r="B117" s="4"/>
      <c r="D117" s="15"/>
      <c r="E117" s="7"/>
      <c r="F117" s="9"/>
      <c r="G117" s="9"/>
    </row>
    <row r="118" spans="2:7" s="1" customFormat="1">
      <c r="B118" s="4"/>
      <c r="D118" s="15"/>
      <c r="E118" s="8"/>
      <c r="F118" s="9"/>
      <c r="G118" s="9"/>
    </row>
    <row r="119" spans="2:7" s="1" customFormat="1">
      <c r="B119" s="4"/>
      <c r="D119" s="15"/>
      <c r="E119" s="7"/>
      <c r="F119" s="9"/>
      <c r="G119" s="9"/>
    </row>
    <row r="120" spans="2:7" s="1" customFormat="1">
      <c r="B120" s="4"/>
      <c r="D120" s="15"/>
      <c r="E120" s="7"/>
      <c r="F120" s="9"/>
      <c r="G120" s="9"/>
    </row>
    <row r="121" spans="2:7" s="1" customFormat="1">
      <c r="B121" s="4"/>
      <c r="D121" s="15"/>
      <c r="E121" s="8"/>
      <c r="F121" s="9"/>
      <c r="G121" s="9"/>
    </row>
    <row r="122" spans="2:7" s="1" customFormat="1">
      <c r="B122" s="4"/>
      <c r="D122" s="15"/>
      <c r="E122" s="7"/>
      <c r="F122" s="9"/>
      <c r="G122" s="9"/>
    </row>
    <row r="123" spans="2:7" s="1" customFormat="1">
      <c r="B123" s="4"/>
      <c r="D123" s="15"/>
      <c r="E123" s="7"/>
      <c r="F123" s="9"/>
      <c r="G123" s="9"/>
    </row>
    <row r="124" spans="2:7" s="1" customFormat="1">
      <c r="B124" s="4"/>
      <c r="D124" s="15"/>
      <c r="E124" s="7"/>
      <c r="F124" s="9"/>
      <c r="G124" s="9"/>
    </row>
    <row r="125" spans="2:7" s="1" customFormat="1">
      <c r="B125" s="4"/>
      <c r="D125" s="15"/>
      <c r="E125" s="7"/>
      <c r="F125" s="9"/>
      <c r="G125" s="9"/>
    </row>
    <row r="126" spans="2:7" s="1" customFormat="1">
      <c r="B126" s="4"/>
      <c r="D126" s="15"/>
      <c r="E126" s="7"/>
      <c r="F126" s="9"/>
      <c r="G126" s="9"/>
    </row>
    <row r="127" spans="2:7" s="1" customFormat="1">
      <c r="B127" s="4"/>
      <c r="D127" s="15"/>
      <c r="E127" s="7"/>
      <c r="F127" s="9"/>
      <c r="G127" s="9"/>
    </row>
    <row r="128" spans="2:7" s="1" customFormat="1">
      <c r="B128" s="4"/>
      <c r="D128" s="15"/>
      <c r="E128" s="7"/>
      <c r="F128" s="9"/>
      <c r="G128" s="9"/>
    </row>
    <row r="129" spans="2:7" s="1" customFormat="1">
      <c r="B129" s="4"/>
      <c r="D129" s="15"/>
      <c r="E129" s="7"/>
      <c r="F129" s="9"/>
      <c r="G129" s="9"/>
    </row>
    <row r="130" spans="2:7" s="1" customFormat="1">
      <c r="B130" s="4"/>
      <c r="D130" s="15"/>
      <c r="E130" s="7"/>
      <c r="F130" s="9"/>
      <c r="G130" s="9"/>
    </row>
    <row r="131" spans="2:7" s="1" customFormat="1">
      <c r="B131" s="4"/>
      <c r="D131" s="15"/>
      <c r="E131" s="7"/>
      <c r="F131" s="9"/>
      <c r="G131" s="9"/>
    </row>
    <row r="132" spans="2:7" s="1" customFormat="1">
      <c r="B132" s="4"/>
      <c r="D132" s="15"/>
      <c r="E132" s="7"/>
      <c r="F132" s="9"/>
      <c r="G132" s="9"/>
    </row>
    <row r="133" spans="2:7" s="1" customFormat="1">
      <c r="B133" s="4"/>
      <c r="D133" s="15"/>
      <c r="E133" s="7"/>
      <c r="F133" s="9"/>
      <c r="G133" s="9"/>
    </row>
    <row r="134" spans="2:7" s="1" customFormat="1">
      <c r="B134" s="4"/>
      <c r="D134" s="15"/>
      <c r="E134" s="7"/>
      <c r="F134" s="9"/>
      <c r="G134" s="9"/>
    </row>
    <row r="135" spans="2:7" s="1" customFormat="1">
      <c r="B135" s="4"/>
      <c r="D135" s="15"/>
      <c r="E135" s="7"/>
      <c r="F135" s="9"/>
      <c r="G135" s="9"/>
    </row>
    <row r="136" spans="2:7" s="1" customFormat="1">
      <c r="B136" s="4"/>
      <c r="D136" s="15"/>
      <c r="E136" s="7"/>
      <c r="F136" s="9"/>
      <c r="G136" s="9"/>
    </row>
    <row r="137" spans="2:7" s="1" customFormat="1">
      <c r="B137" s="4"/>
      <c r="D137" s="15"/>
      <c r="E137" s="8"/>
      <c r="F137" s="9"/>
      <c r="G137" s="9"/>
    </row>
    <row r="138" spans="2:7" s="1" customFormat="1">
      <c r="B138" s="4"/>
      <c r="D138" s="15"/>
      <c r="E138" s="7"/>
      <c r="F138" s="9"/>
      <c r="G138" s="9"/>
    </row>
    <row r="139" spans="2:7" s="1" customFormat="1">
      <c r="B139" s="4"/>
      <c r="D139" s="15"/>
      <c r="E139" s="7"/>
      <c r="F139" s="9"/>
      <c r="G139" s="9"/>
    </row>
    <row r="140" spans="2:7" s="1" customFormat="1">
      <c r="B140" s="4"/>
      <c r="D140" s="15"/>
      <c r="E140" s="8"/>
      <c r="F140" s="9"/>
      <c r="G140" s="9"/>
    </row>
    <row r="141" spans="2:7" s="1" customFormat="1">
      <c r="B141" s="4"/>
      <c r="D141" s="15"/>
      <c r="E141" s="7"/>
      <c r="F141" s="9"/>
      <c r="G141" s="9"/>
    </row>
    <row r="142" spans="2:7" s="1" customFormat="1">
      <c r="B142" s="4"/>
      <c r="D142" s="15"/>
      <c r="E142" s="7"/>
      <c r="F142" s="9"/>
      <c r="G142" s="9"/>
    </row>
    <row r="143" spans="2:7" s="1" customFormat="1">
      <c r="B143" s="4"/>
      <c r="D143" s="15"/>
      <c r="E143" s="7"/>
      <c r="F143" s="9"/>
      <c r="G143" s="9"/>
    </row>
    <row r="144" spans="2:7" s="1" customFormat="1">
      <c r="B144" s="4"/>
      <c r="D144" s="15"/>
      <c r="E144" s="7"/>
      <c r="F144" s="9"/>
      <c r="G144" s="9"/>
    </row>
    <row r="145" spans="2:7" s="1" customFormat="1">
      <c r="B145" s="4"/>
      <c r="D145" s="15"/>
      <c r="E145" s="7"/>
      <c r="F145" s="9"/>
      <c r="G145" s="9"/>
    </row>
    <row r="146" spans="2:7" s="1" customFormat="1">
      <c r="B146" s="4"/>
      <c r="D146" s="15"/>
      <c r="E146" s="7"/>
      <c r="F146" s="9"/>
      <c r="G146" s="9"/>
    </row>
    <row r="147" spans="2:7" s="1" customFormat="1">
      <c r="B147" s="4"/>
      <c r="D147" s="15"/>
      <c r="E147" s="7"/>
      <c r="F147" s="9"/>
      <c r="G147" s="9"/>
    </row>
    <row r="148" spans="2:7" s="1" customFormat="1">
      <c r="B148" s="4"/>
      <c r="D148" s="15"/>
      <c r="E148" s="7"/>
      <c r="F148" s="9"/>
      <c r="G148" s="9"/>
    </row>
    <row r="149" spans="2:7" s="1" customFormat="1">
      <c r="B149" s="4"/>
      <c r="D149" s="15"/>
      <c r="E149" s="7"/>
      <c r="F149" s="9"/>
      <c r="G149" s="9"/>
    </row>
    <row r="150" spans="2:7" s="1" customFormat="1">
      <c r="B150" s="4"/>
      <c r="D150" s="15"/>
      <c r="E150" s="7"/>
      <c r="F150" s="9"/>
      <c r="G150" s="9"/>
    </row>
    <row r="151" spans="2:7" s="1" customFormat="1">
      <c r="B151" s="4"/>
      <c r="D151" s="15"/>
      <c r="E151" s="7"/>
      <c r="F151" s="9"/>
      <c r="G151" s="9"/>
    </row>
    <row r="152" spans="2:7" s="1" customFormat="1">
      <c r="B152" s="4"/>
      <c r="D152" s="15"/>
      <c r="E152" s="7"/>
      <c r="F152" s="9"/>
      <c r="G152" s="9"/>
    </row>
    <row r="153" spans="2:7" s="1" customFormat="1" ht="16.5">
      <c r="B153" s="4"/>
      <c r="D153" s="15"/>
      <c r="E153" s="6"/>
      <c r="F153" s="9"/>
      <c r="G153" s="9"/>
    </row>
    <row r="154" spans="2:7" s="1" customFormat="1" ht="16.5">
      <c r="B154" s="4"/>
      <c r="D154" s="15"/>
      <c r="E154" s="6"/>
      <c r="F154" s="9"/>
      <c r="G154" s="9"/>
    </row>
    <row r="155" spans="2:7" s="1" customFormat="1" ht="16.5">
      <c r="B155" s="4"/>
      <c r="D155" s="15"/>
      <c r="E155" s="6"/>
      <c r="F155" s="9"/>
      <c r="G155" s="9"/>
    </row>
    <row r="156" spans="2:7" s="1" customFormat="1" ht="16.5">
      <c r="B156" s="4"/>
      <c r="D156" s="15"/>
      <c r="E156" s="6"/>
      <c r="F156" s="9"/>
      <c r="G156" s="9"/>
    </row>
    <row r="157" spans="2:7" s="1" customFormat="1" ht="16.5">
      <c r="B157" s="4"/>
      <c r="D157" s="15"/>
      <c r="E157" s="6"/>
      <c r="F157" s="9"/>
      <c r="G157" s="9"/>
    </row>
    <row r="158" spans="2:7" s="1" customFormat="1" ht="16.5">
      <c r="B158" s="4"/>
      <c r="D158" s="15"/>
      <c r="E158" s="6"/>
      <c r="F158" s="9"/>
      <c r="G158" s="9"/>
    </row>
    <row r="159" spans="2:7" s="1" customFormat="1" ht="16.5">
      <c r="B159" s="4"/>
      <c r="D159" s="15"/>
      <c r="E159" s="6"/>
      <c r="F159" s="9"/>
      <c r="G159" s="9"/>
    </row>
    <row r="160" spans="2:7" s="1" customFormat="1" ht="16.5">
      <c r="B160" s="4"/>
      <c r="D160" s="15"/>
      <c r="E160" s="6"/>
      <c r="F160" s="9"/>
      <c r="G160" s="9"/>
    </row>
    <row r="161" spans="2:7" s="1" customFormat="1" ht="16.5">
      <c r="B161" s="4"/>
      <c r="D161" s="15"/>
      <c r="E161" s="6"/>
      <c r="F161" s="9"/>
      <c r="G161" s="9"/>
    </row>
    <row r="162" spans="2:7" s="1" customFormat="1" ht="16.5">
      <c r="B162" s="4"/>
      <c r="D162" s="15"/>
      <c r="E162" s="6"/>
      <c r="F162" s="9"/>
      <c r="G162" s="9"/>
    </row>
    <row r="163" spans="2:7" s="1" customFormat="1" ht="16.5">
      <c r="B163" s="4"/>
      <c r="D163" s="15"/>
      <c r="E163" s="6"/>
      <c r="F163" s="9"/>
      <c r="G163" s="9"/>
    </row>
    <row r="164" spans="2:7" s="1" customFormat="1" ht="16.5">
      <c r="B164" s="4"/>
      <c r="D164" s="15"/>
      <c r="E164" s="6"/>
      <c r="F164" s="9"/>
      <c r="G164" s="9"/>
    </row>
    <row r="165" spans="2:7" s="1" customFormat="1" ht="16.5">
      <c r="B165" s="4"/>
      <c r="D165" s="15"/>
      <c r="E165" s="6"/>
      <c r="F165" s="9"/>
      <c r="G165" s="9"/>
    </row>
    <row r="166" spans="2:7" s="1" customFormat="1" ht="16.5">
      <c r="B166" s="4"/>
      <c r="D166" s="15"/>
      <c r="E166" s="6"/>
      <c r="F166" s="9"/>
      <c r="G166" s="9"/>
    </row>
    <row r="167" spans="2:7" s="1" customFormat="1" ht="16.5">
      <c r="B167" s="4"/>
      <c r="D167" s="15"/>
      <c r="E167" s="6"/>
      <c r="F167" s="9"/>
      <c r="G167" s="9"/>
    </row>
    <row r="168" spans="2:7" s="1" customFormat="1" ht="16.5">
      <c r="B168" s="4"/>
      <c r="D168" s="15"/>
      <c r="E168" s="6"/>
      <c r="F168" s="9"/>
      <c r="G168" s="9"/>
    </row>
    <row r="169" spans="2:7" s="1" customFormat="1" ht="16.5">
      <c r="B169" s="4"/>
      <c r="D169" s="15"/>
      <c r="E169" s="6"/>
      <c r="F169" s="9"/>
      <c r="G169" s="9"/>
    </row>
    <row r="170" spans="2:7" s="1" customFormat="1" ht="16.5">
      <c r="B170" s="4"/>
      <c r="D170" s="15"/>
      <c r="E170" s="6"/>
      <c r="F170" s="9"/>
      <c r="G170" s="9"/>
    </row>
    <row r="171" spans="2:7" s="1" customFormat="1">
      <c r="B171" s="4"/>
      <c r="D171" s="15"/>
      <c r="E171" s="7"/>
      <c r="F171" s="9"/>
      <c r="G171" s="9"/>
    </row>
    <row r="172" spans="2:7" s="1" customFormat="1">
      <c r="B172" s="4"/>
      <c r="D172" s="15"/>
      <c r="E172" s="7"/>
      <c r="F172" s="9"/>
      <c r="G172" s="9"/>
    </row>
    <row r="173" spans="2:7" s="1" customFormat="1">
      <c r="B173" s="4"/>
      <c r="D173" s="15"/>
      <c r="E173" s="7"/>
      <c r="F173" s="9"/>
      <c r="G173" s="9"/>
    </row>
    <row r="174" spans="2:7" s="1" customFormat="1">
      <c r="B174" s="4"/>
      <c r="D174" s="15"/>
      <c r="E174" s="7"/>
      <c r="F174" s="9"/>
      <c r="G174" s="9"/>
    </row>
    <row r="175" spans="2:7" s="1" customFormat="1">
      <c r="B175" s="4"/>
      <c r="D175" s="15"/>
      <c r="E175" s="7"/>
      <c r="F175" s="9"/>
      <c r="G175" s="9"/>
    </row>
    <row r="176" spans="2:7" s="1" customFormat="1">
      <c r="B176" s="4"/>
      <c r="D176" s="15"/>
      <c r="E176" s="7"/>
      <c r="F176" s="9"/>
      <c r="G176" s="9"/>
    </row>
    <row r="177" spans="2:7" s="1" customFormat="1">
      <c r="B177" s="4"/>
      <c r="D177" s="15"/>
      <c r="E177" s="7"/>
      <c r="F177" s="9"/>
      <c r="G177" s="9"/>
    </row>
    <row r="178" spans="2:7" s="1" customFormat="1">
      <c r="B178" s="4"/>
      <c r="D178" s="15"/>
      <c r="E178" s="7"/>
      <c r="F178" s="9"/>
      <c r="G178" s="9"/>
    </row>
    <row r="179" spans="2:7" s="1" customFormat="1">
      <c r="B179" s="4"/>
      <c r="D179" s="15"/>
      <c r="E179" s="7"/>
      <c r="F179" s="9"/>
      <c r="G179" s="9"/>
    </row>
    <row r="180" spans="2:7" s="1" customFormat="1">
      <c r="B180" s="4"/>
      <c r="D180" s="15"/>
      <c r="E180" s="7"/>
      <c r="F180" s="9"/>
      <c r="G180" s="9"/>
    </row>
    <row r="181" spans="2:7" s="1" customFormat="1">
      <c r="B181" s="4"/>
      <c r="D181" s="15"/>
      <c r="E181" s="7"/>
      <c r="F181" s="9"/>
      <c r="G181" s="9"/>
    </row>
    <row r="182" spans="2:7" s="1" customFormat="1">
      <c r="B182" s="4"/>
      <c r="D182" s="15"/>
      <c r="E182" s="7"/>
      <c r="F182" s="9"/>
      <c r="G182" s="9"/>
    </row>
    <row r="183" spans="2:7" s="1" customFormat="1">
      <c r="B183" s="4"/>
      <c r="D183" s="15"/>
      <c r="E183" s="7"/>
      <c r="F183" s="9"/>
      <c r="G183" s="9"/>
    </row>
    <row r="184" spans="2:7" s="1" customFormat="1">
      <c r="B184" s="4"/>
      <c r="D184" s="15"/>
      <c r="E184" s="7"/>
      <c r="F184" s="9"/>
      <c r="G184" s="9"/>
    </row>
    <row r="185" spans="2:7" s="1" customFormat="1">
      <c r="B185" s="4"/>
      <c r="D185" s="15"/>
      <c r="E185" s="7"/>
      <c r="F185" s="9"/>
      <c r="G185" s="9"/>
    </row>
    <row r="186" spans="2:7" s="1" customFormat="1">
      <c r="B186" s="4"/>
      <c r="D186" s="15"/>
      <c r="E186" s="7"/>
      <c r="F186" s="9"/>
      <c r="G186" s="9"/>
    </row>
    <row r="187" spans="2:7" s="1" customFormat="1">
      <c r="B187" s="4"/>
      <c r="D187" s="15"/>
      <c r="E187" s="7"/>
      <c r="F187" s="9"/>
      <c r="G187" s="9"/>
    </row>
    <row r="188" spans="2:7" s="1" customFormat="1">
      <c r="B188" s="4"/>
      <c r="D188" s="15"/>
      <c r="E188" s="7"/>
      <c r="F188" s="9"/>
      <c r="G188" s="9"/>
    </row>
    <row r="189" spans="2:7" s="1" customFormat="1">
      <c r="B189" s="4"/>
      <c r="D189" s="15"/>
      <c r="E189" s="7"/>
      <c r="F189" s="9"/>
      <c r="G189" s="9"/>
    </row>
    <row r="190" spans="2:7" s="1" customFormat="1">
      <c r="B190" s="4"/>
      <c r="D190" s="15"/>
      <c r="E190" s="7"/>
      <c r="F190" s="9"/>
      <c r="G190" s="9"/>
    </row>
    <row r="191" spans="2:7" s="1" customFormat="1">
      <c r="B191" s="4"/>
      <c r="D191" s="15"/>
      <c r="E191" s="7"/>
      <c r="F191" s="9"/>
      <c r="G191" s="9"/>
    </row>
    <row r="192" spans="2:7" s="1" customFormat="1">
      <c r="B192" s="4"/>
      <c r="D192" s="15"/>
      <c r="E192" s="7"/>
      <c r="F192" s="9"/>
      <c r="G192" s="9"/>
    </row>
    <row r="193" spans="2:7" s="1" customFormat="1">
      <c r="B193" s="4"/>
      <c r="D193" s="15"/>
      <c r="E193" s="7"/>
      <c r="F193" s="9"/>
      <c r="G193" s="9"/>
    </row>
    <row r="194" spans="2:7" s="1" customFormat="1">
      <c r="B194" s="4"/>
      <c r="D194" s="15"/>
      <c r="E194" s="7"/>
      <c r="F194" s="9"/>
      <c r="G194" s="9"/>
    </row>
    <row r="195" spans="2:7" s="1" customFormat="1">
      <c r="B195" s="4"/>
      <c r="D195" s="15"/>
      <c r="E195" s="7"/>
      <c r="F195" s="9"/>
      <c r="G195" s="9"/>
    </row>
    <row r="196" spans="2:7" s="1" customFormat="1">
      <c r="B196" s="4"/>
      <c r="D196" s="15"/>
      <c r="E196" s="7"/>
      <c r="F196" s="9"/>
      <c r="G196" s="9"/>
    </row>
    <row r="197" spans="2:7" s="1" customFormat="1">
      <c r="B197" s="4"/>
      <c r="D197" s="15"/>
      <c r="E197" s="7"/>
      <c r="F197" s="9"/>
      <c r="G197" s="9"/>
    </row>
    <row r="198" spans="2:7" s="1" customFormat="1">
      <c r="B198" s="4"/>
      <c r="D198" s="15"/>
      <c r="E198" s="7"/>
      <c r="F198" s="9"/>
      <c r="G198" s="9"/>
    </row>
    <row r="199" spans="2:7" s="1" customFormat="1">
      <c r="B199" s="4"/>
      <c r="D199" s="15"/>
      <c r="E199" s="7"/>
      <c r="F199" s="9"/>
      <c r="G199" s="9"/>
    </row>
    <row r="200" spans="2:7" s="1" customFormat="1">
      <c r="B200" s="4"/>
      <c r="D200" s="15"/>
      <c r="E200" s="7"/>
      <c r="F200" s="9"/>
      <c r="G200" s="9"/>
    </row>
    <row r="201" spans="2:7" s="1" customFormat="1">
      <c r="B201" s="4"/>
      <c r="D201" s="15"/>
      <c r="E201" s="7"/>
      <c r="F201" s="9"/>
      <c r="G201" s="9"/>
    </row>
    <row r="202" spans="2:7" s="1" customFormat="1">
      <c r="B202" s="4"/>
      <c r="D202" s="15"/>
      <c r="E202" s="7"/>
      <c r="F202" s="9"/>
      <c r="G202" s="9"/>
    </row>
    <row r="203" spans="2:7" s="1" customFormat="1">
      <c r="B203" s="4"/>
      <c r="D203" s="15"/>
      <c r="E203" s="7"/>
      <c r="F203" s="9"/>
      <c r="G203" s="9"/>
    </row>
    <row r="204" spans="2:7" s="1" customFormat="1">
      <c r="B204" s="4"/>
      <c r="D204" s="15"/>
      <c r="E204" s="7"/>
      <c r="F204" s="9"/>
      <c r="G204" s="9"/>
    </row>
    <row r="205" spans="2:7" s="1" customFormat="1">
      <c r="B205" s="4"/>
      <c r="D205" s="15"/>
      <c r="E205" s="7"/>
      <c r="F205" s="9"/>
      <c r="G205" s="9"/>
    </row>
    <row r="206" spans="2:7" s="1" customFormat="1">
      <c r="B206" s="4"/>
      <c r="D206" s="15"/>
      <c r="E206" s="7"/>
      <c r="F206" s="9"/>
      <c r="G206" s="9"/>
    </row>
    <row r="207" spans="2:7" s="1" customFormat="1">
      <c r="B207" s="4"/>
      <c r="D207" s="15"/>
      <c r="E207" s="7"/>
      <c r="F207" s="9"/>
      <c r="G207" s="9"/>
    </row>
    <row r="208" spans="2:7" s="1" customFormat="1">
      <c r="B208" s="4"/>
      <c r="D208" s="15"/>
      <c r="E208" s="7"/>
      <c r="F208" s="9"/>
      <c r="G208" s="9"/>
    </row>
    <row r="209" spans="2:7" s="1" customFormat="1">
      <c r="B209" s="4"/>
      <c r="D209" s="15"/>
      <c r="E209" s="7"/>
      <c r="F209" s="9"/>
      <c r="G209" s="9"/>
    </row>
    <row r="210" spans="2:7" s="1" customFormat="1">
      <c r="B210" s="4"/>
      <c r="D210" s="15"/>
      <c r="E210" s="7"/>
      <c r="F210" s="9"/>
      <c r="G210" s="9"/>
    </row>
    <row r="211" spans="2:7" s="1" customFormat="1">
      <c r="B211" s="4"/>
      <c r="D211" s="15"/>
      <c r="E211" s="7"/>
      <c r="F211" s="9"/>
      <c r="G211" s="9"/>
    </row>
    <row r="212" spans="2:7" s="1" customFormat="1">
      <c r="B212" s="4"/>
      <c r="D212" s="15"/>
      <c r="E212" s="7"/>
      <c r="F212" s="9"/>
      <c r="G212" s="9"/>
    </row>
    <row r="213" spans="2:7" s="1" customFormat="1" ht="16.5">
      <c r="B213" s="4"/>
      <c r="D213" s="15"/>
      <c r="E213" s="6"/>
      <c r="F213" s="9"/>
      <c r="G213" s="9"/>
    </row>
    <row r="214" spans="2:7" s="1" customFormat="1" ht="16.5">
      <c r="B214" s="4"/>
      <c r="D214" s="15"/>
      <c r="E214" s="6"/>
      <c r="F214" s="9"/>
      <c r="G214" s="9"/>
    </row>
    <row r="215" spans="2:7" s="1" customFormat="1" ht="16.5">
      <c r="B215" s="4"/>
      <c r="D215" s="15"/>
      <c r="E215" s="6"/>
      <c r="F215" s="9"/>
      <c r="G215" s="9"/>
    </row>
    <row r="216" spans="2:7" s="1" customFormat="1" ht="16.5">
      <c r="B216" s="4"/>
      <c r="D216" s="15"/>
      <c r="E216" s="6"/>
      <c r="F216" s="9"/>
      <c r="G216" s="9"/>
    </row>
    <row r="217" spans="2:7" s="1" customFormat="1" ht="16.5">
      <c r="B217" s="4"/>
      <c r="D217" s="15"/>
      <c r="E217" s="6"/>
      <c r="F217" s="9"/>
      <c r="G217" s="9"/>
    </row>
    <row r="218" spans="2:7" s="1" customFormat="1" ht="16.5">
      <c r="B218" s="4"/>
      <c r="D218" s="15"/>
      <c r="E218" s="6"/>
      <c r="F218" s="9"/>
      <c r="G218" s="9"/>
    </row>
    <row r="219" spans="2:7" s="1" customFormat="1" ht="16.5">
      <c r="B219" s="4"/>
      <c r="D219" s="15"/>
      <c r="E219" s="6"/>
      <c r="F219" s="9"/>
      <c r="G219" s="9"/>
    </row>
    <row r="220" spans="2:7" s="1" customFormat="1" ht="16.5">
      <c r="B220" s="4"/>
      <c r="D220" s="15"/>
      <c r="E220" s="6"/>
      <c r="F220" s="9"/>
      <c r="G220" s="9"/>
    </row>
    <row r="221" spans="2:7" s="1" customFormat="1" ht="16.5">
      <c r="B221" s="4"/>
      <c r="D221" s="15"/>
      <c r="E221" s="6"/>
      <c r="F221" s="9"/>
      <c r="G221" s="9"/>
    </row>
    <row r="222" spans="2:7" s="1" customFormat="1" ht="16.5">
      <c r="B222" s="4"/>
      <c r="D222" s="15"/>
      <c r="E222" s="6"/>
      <c r="F222" s="9"/>
      <c r="G222" s="9"/>
    </row>
    <row r="223" spans="2:7" s="1" customFormat="1" ht="16.5">
      <c r="B223" s="4"/>
      <c r="D223" s="15"/>
      <c r="E223" s="6"/>
      <c r="F223" s="9"/>
      <c r="G223" s="9"/>
    </row>
    <row r="224" spans="2:7" s="1" customFormat="1" ht="16.5">
      <c r="B224" s="4"/>
      <c r="D224" s="15"/>
      <c r="E224" s="6"/>
      <c r="F224" s="9"/>
      <c r="G224" s="9"/>
    </row>
    <row r="225" spans="2:7" s="1" customFormat="1" ht="16.5">
      <c r="B225" s="4"/>
      <c r="D225" s="15"/>
      <c r="E225" s="6"/>
      <c r="F225" s="9"/>
      <c r="G225" s="9"/>
    </row>
    <row r="226" spans="2:7" s="1" customFormat="1" ht="16.5">
      <c r="B226" s="4"/>
      <c r="D226" s="15"/>
      <c r="E226" s="6"/>
      <c r="F226" s="9"/>
      <c r="G226" s="9"/>
    </row>
    <row r="227" spans="2:7" s="1" customFormat="1" ht="16.5">
      <c r="B227" s="4"/>
      <c r="D227" s="15"/>
      <c r="E227" s="6"/>
      <c r="F227" s="9"/>
      <c r="G227" s="9"/>
    </row>
    <row r="228" spans="2:7" s="1" customFormat="1" ht="16.5">
      <c r="B228" s="4"/>
      <c r="D228" s="15"/>
      <c r="E228" s="6"/>
      <c r="F228" s="9"/>
      <c r="G228" s="9"/>
    </row>
    <row r="229" spans="2:7" s="1" customFormat="1" ht="16.5">
      <c r="B229" s="4"/>
      <c r="D229" s="15"/>
      <c r="E229" s="6"/>
      <c r="F229" s="9"/>
      <c r="G229" s="9"/>
    </row>
    <row r="230" spans="2:7" s="1" customFormat="1" ht="16.5">
      <c r="B230" s="4"/>
      <c r="D230" s="15"/>
      <c r="E230" s="6"/>
      <c r="F230" s="9"/>
      <c r="G230" s="9"/>
    </row>
    <row r="231" spans="2:7" s="1" customFormat="1">
      <c r="B231" s="4"/>
      <c r="D231" s="15"/>
      <c r="E231" s="7"/>
      <c r="F231" s="9"/>
      <c r="G231" s="9"/>
    </row>
    <row r="232" spans="2:7" s="1" customFormat="1">
      <c r="B232" s="4"/>
      <c r="D232" s="15"/>
      <c r="E232" s="7"/>
      <c r="F232" s="9"/>
      <c r="G232" s="9"/>
    </row>
    <row r="233" spans="2:7" s="1" customFormat="1">
      <c r="B233" s="4"/>
      <c r="D233" s="15"/>
      <c r="E233" s="7"/>
      <c r="F233" s="9"/>
      <c r="G233" s="9"/>
    </row>
    <row r="234" spans="2:7" s="1" customFormat="1">
      <c r="B234" s="4"/>
      <c r="D234" s="15"/>
      <c r="E234" s="7"/>
      <c r="F234" s="9"/>
      <c r="G234" s="9"/>
    </row>
    <row r="235" spans="2:7" s="1" customFormat="1">
      <c r="B235" s="4"/>
      <c r="D235" s="15"/>
      <c r="E235" s="7"/>
      <c r="F235" s="9"/>
      <c r="G235" s="9"/>
    </row>
    <row r="236" spans="2:7" s="1" customFormat="1">
      <c r="B236" s="4"/>
      <c r="D236" s="15"/>
      <c r="E236" s="7"/>
      <c r="F236" s="9"/>
      <c r="G236" s="9"/>
    </row>
    <row r="237" spans="2:7" s="1" customFormat="1">
      <c r="B237" s="4"/>
      <c r="D237" s="15"/>
      <c r="E237" s="7"/>
      <c r="F237" s="9"/>
      <c r="G237" s="9"/>
    </row>
    <row r="238" spans="2:7" s="1" customFormat="1">
      <c r="B238" s="4"/>
      <c r="D238" s="15"/>
      <c r="E238" s="7"/>
      <c r="F238" s="9"/>
      <c r="G238" s="9"/>
    </row>
    <row r="239" spans="2:7" s="1" customFormat="1">
      <c r="B239" s="4"/>
      <c r="D239" s="15"/>
      <c r="E239" s="7"/>
      <c r="F239" s="9"/>
      <c r="G239" s="9"/>
    </row>
    <row r="240" spans="2:7" s="1" customFormat="1">
      <c r="B240" s="4"/>
      <c r="D240" s="15"/>
      <c r="E240" s="7"/>
      <c r="F240" s="9"/>
      <c r="G240" s="9"/>
    </row>
    <row r="241" spans="2:7" s="1" customFormat="1">
      <c r="B241" s="4"/>
      <c r="D241" s="15"/>
      <c r="E241" s="7"/>
      <c r="F241" s="9"/>
      <c r="G241" s="9"/>
    </row>
    <row r="242" spans="2:7" s="1" customFormat="1">
      <c r="B242" s="4"/>
      <c r="D242" s="15"/>
      <c r="E242" s="7"/>
      <c r="F242" s="9"/>
      <c r="G242" s="9"/>
    </row>
    <row r="243" spans="2:7" s="1" customFormat="1">
      <c r="B243" s="4"/>
      <c r="D243" s="15"/>
      <c r="E243" s="7"/>
      <c r="F243" s="9"/>
      <c r="G243" s="9"/>
    </row>
    <row r="244" spans="2:7" s="1" customFormat="1">
      <c r="B244" s="4"/>
      <c r="D244" s="15"/>
      <c r="E244" s="7"/>
      <c r="F244" s="9"/>
      <c r="G244" s="9"/>
    </row>
    <row r="245" spans="2:7" s="1" customFormat="1">
      <c r="B245" s="4"/>
      <c r="D245" s="15"/>
      <c r="E245" s="7"/>
      <c r="F245" s="9"/>
      <c r="G245" s="9"/>
    </row>
    <row r="246" spans="2:7" s="1" customFormat="1">
      <c r="B246" s="4"/>
      <c r="D246" s="15"/>
      <c r="E246" s="7"/>
      <c r="F246" s="9"/>
      <c r="G246" s="9"/>
    </row>
    <row r="247" spans="2:7" s="1" customFormat="1">
      <c r="B247" s="4"/>
      <c r="D247" s="15"/>
      <c r="E247" s="7"/>
      <c r="F247" s="9"/>
      <c r="G247" s="9"/>
    </row>
    <row r="248" spans="2:7" s="1" customFormat="1">
      <c r="B248" s="4"/>
      <c r="D248" s="15"/>
      <c r="E248" s="7"/>
      <c r="F248" s="9"/>
      <c r="G248" s="9"/>
    </row>
    <row r="249" spans="2:7" s="1" customFormat="1">
      <c r="B249" s="4"/>
      <c r="D249" s="15"/>
      <c r="E249" s="7"/>
      <c r="F249" s="9"/>
      <c r="G249" s="9"/>
    </row>
    <row r="250" spans="2:7" s="1" customFormat="1">
      <c r="B250" s="4"/>
      <c r="D250" s="15"/>
      <c r="E250" s="7"/>
      <c r="F250" s="9"/>
      <c r="G250" s="9"/>
    </row>
    <row r="251" spans="2:7" s="1" customFormat="1">
      <c r="B251" s="4"/>
      <c r="D251" s="15"/>
      <c r="E251" s="7"/>
      <c r="F251" s="9"/>
      <c r="G251" s="9"/>
    </row>
    <row r="252" spans="2:7" s="1" customFormat="1">
      <c r="B252" s="4"/>
      <c r="D252" s="15"/>
      <c r="E252" s="7"/>
      <c r="F252" s="9"/>
      <c r="G252" s="9"/>
    </row>
    <row r="253" spans="2:7" s="1" customFormat="1">
      <c r="B253" s="4"/>
      <c r="D253" s="15"/>
      <c r="E253" s="7"/>
      <c r="F253" s="9"/>
      <c r="G253" s="9"/>
    </row>
    <row r="254" spans="2:7" s="1" customFormat="1">
      <c r="B254" s="4"/>
      <c r="D254" s="15"/>
      <c r="E254" s="7"/>
      <c r="F254" s="9"/>
      <c r="G254" s="9"/>
    </row>
    <row r="255" spans="2:7" s="1" customFormat="1">
      <c r="B255" s="4"/>
      <c r="D255" s="15"/>
      <c r="E255" s="7"/>
      <c r="F255" s="9"/>
      <c r="G255" s="9"/>
    </row>
    <row r="256" spans="2:7" s="1" customFormat="1">
      <c r="B256" s="4"/>
      <c r="D256" s="15"/>
      <c r="E256" s="7"/>
      <c r="F256" s="9"/>
      <c r="G256" s="9"/>
    </row>
    <row r="257" spans="2:7" s="1" customFormat="1">
      <c r="B257" s="4"/>
      <c r="D257" s="15"/>
      <c r="E257" s="7"/>
      <c r="F257" s="9"/>
      <c r="G257" s="9"/>
    </row>
    <row r="258" spans="2:7" s="1" customFormat="1">
      <c r="B258" s="4"/>
      <c r="D258" s="15"/>
      <c r="E258" s="7"/>
      <c r="F258" s="9"/>
      <c r="G258" s="9"/>
    </row>
    <row r="259" spans="2:7" s="1" customFormat="1">
      <c r="B259" s="4"/>
      <c r="D259" s="15"/>
      <c r="E259" s="7"/>
      <c r="F259" s="9"/>
      <c r="G259" s="9"/>
    </row>
    <row r="260" spans="2:7" s="1" customFormat="1">
      <c r="B260" s="4"/>
      <c r="D260" s="15"/>
      <c r="E260" s="7"/>
      <c r="F260" s="9"/>
      <c r="G260" s="9"/>
    </row>
    <row r="261" spans="2:7" s="1" customFormat="1">
      <c r="B261" s="4"/>
      <c r="D261" s="15"/>
      <c r="E261" s="7"/>
      <c r="F261" s="9"/>
      <c r="G261" s="9"/>
    </row>
    <row r="262" spans="2:7" s="1" customFormat="1">
      <c r="B262" s="4"/>
      <c r="D262" s="15"/>
      <c r="E262" s="7"/>
      <c r="F262" s="9"/>
      <c r="G262" s="9"/>
    </row>
    <row r="263" spans="2:7" s="1" customFormat="1">
      <c r="B263" s="4"/>
      <c r="D263" s="15"/>
      <c r="E263" s="7"/>
      <c r="F263" s="9"/>
      <c r="G263" s="9"/>
    </row>
    <row r="264" spans="2:7" s="1" customFormat="1">
      <c r="B264" s="4"/>
      <c r="D264" s="15"/>
      <c r="E264" s="7"/>
      <c r="F264" s="9"/>
      <c r="G264" s="9"/>
    </row>
    <row r="265" spans="2:7" s="1" customFormat="1">
      <c r="B265" s="4"/>
      <c r="D265" s="15"/>
      <c r="E265" s="7"/>
      <c r="F265" s="9"/>
      <c r="G265" s="9"/>
    </row>
    <row r="266" spans="2:7" s="1" customFormat="1">
      <c r="B266" s="4"/>
      <c r="D266" s="15"/>
      <c r="E266" s="7"/>
      <c r="F266" s="9"/>
      <c r="G266" s="9"/>
    </row>
    <row r="267" spans="2:7" s="1" customFormat="1">
      <c r="B267" s="4"/>
      <c r="D267" s="15"/>
      <c r="E267" s="7"/>
      <c r="F267" s="9"/>
      <c r="G267" s="9"/>
    </row>
    <row r="268" spans="2:7" s="1" customFormat="1">
      <c r="B268" s="4"/>
      <c r="D268" s="15"/>
      <c r="E268" s="7"/>
      <c r="F268" s="9"/>
      <c r="G268" s="9"/>
    </row>
    <row r="269" spans="2:7" s="1" customFormat="1">
      <c r="B269" s="4"/>
      <c r="D269" s="15"/>
      <c r="E269" s="7"/>
      <c r="F269" s="9"/>
      <c r="G269" s="9"/>
    </row>
    <row r="270" spans="2:7" s="1" customFormat="1">
      <c r="B270" s="4"/>
      <c r="D270" s="15"/>
      <c r="E270" s="7"/>
      <c r="F270" s="9"/>
      <c r="G270" s="9"/>
    </row>
    <row r="271" spans="2:7" s="1" customFormat="1">
      <c r="B271" s="4"/>
      <c r="D271" s="15"/>
      <c r="E271" s="7"/>
      <c r="F271" s="9"/>
      <c r="G271" s="9"/>
    </row>
    <row r="272" spans="2:7" s="1" customFormat="1">
      <c r="B272" s="4"/>
      <c r="D272" s="15"/>
      <c r="E272" s="7"/>
      <c r="F272" s="9"/>
      <c r="G272" s="9"/>
    </row>
    <row r="273" spans="2:7" s="1" customFormat="1" ht="16.5">
      <c r="B273" s="4"/>
      <c r="D273" s="15"/>
      <c r="E273" s="6"/>
      <c r="F273" s="9"/>
      <c r="G273" s="9"/>
    </row>
    <row r="274" spans="2:7" s="1" customFormat="1" ht="16.5">
      <c r="B274" s="4"/>
      <c r="D274" s="15"/>
      <c r="E274" s="6"/>
      <c r="F274" s="9"/>
      <c r="G274" s="9"/>
    </row>
    <row r="275" spans="2:7" s="1" customFormat="1" ht="16.5">
      <c r="B275" s="4"/>
      <c r="D275" s="15"/>
      <c r="E275" s="6"/>
      <c r="F275" s="9"/>
      <c r="G275" s="9"/>
    </row>
    <row r="276" spans="2:7" s="1" customFormat="1" ht="16.5">
      <c r="B276" s="4"/>
      <c r="D276" s="15"/>
      <c r="E276" s="6"/>
      <c r="F276" s="9"/>
      <c r="G276" s="9"/>
    </row>
    <row r="277" spans="2:7" s="1" customFormat="1" ht="16.5">
      <c r="B277" s="4"/>
      <c r="D277" s="15"/>
      <c r="E277" s="6"/>
      <c r="F277" s="9"/>
      <c r="G277" s="9"/>
    </row>
    <row r="278" spans="2:7" s="1" customFormat="1" ht="16.5">
      <c r="B278" s="4"/>
      <c r="D278" s="15"/>
      <c r="E278" s="6"/>
      <c r="F278" s="9"/>
      <c r="G278" s="9"/>
    </row>
    <row r="279" spans="2:7" s="1" customFormat="1" ht="16.5">
      <c r="B279" s="4"/>
      <c r="D279" s="15"/>
      <c r="E279" s="6"/>
      <c r="F279" s="9"/>
      <c r="G279" s="9"/>
    </row>
    <row r="280" spans="2:7" s="1" customFormat="1" ht="16.5">
      <c r="B280" s="4"/>
      <c r="D280" s="15"/>
      <c r="E280" s="6"/>
      <c r="F280" s="9"/>
      <c r="G280" s="9"/>
    </row>
    <row r="281" spans="2:7" s="1" customFormat="1" ht="16.5">
      <c r="B281" s="4"/>
      <c r="D281" s="15"/>
      <c r="E281" s="6"/>
      <c r="F281" s="9"/>
      <c r="G281" s="9"/>
    </row>
    <row r="282" spans="2:7" s="1" customFormat="1" ht="16.5">
      <c r="B282" s="4"/>
      <c r="D282" s="15"/>
      <c r="E282" s="6"/>
      <c r="F282" s="9"/>
      <c r="G282" s="9"/>
    </row>
    <row r="283" spans="2:7" s="1" customFormat="1" ht="16.5">
      <c r="B283" s="4"/>
      <c r="D283" s="15"/>
      <c r="E283" s="6"/>
      <c r="F283" s="9"/>
      <c r="G283" s="9"/>
    </row>
    <row r="284" spans="2:7" s="1" customFormat="1" ht="16.5">
      <c r="B284" s="4"/>
      <c r="D284" s="15"/>
      <c r="E284" s="6"/>
      <c r="F284" s="9"/>
      <c r="G284" s="9"/>
    </row>
    <row r="285" spans="2:7" s="1" customFormat="1" ht="16.5">
      <c r="B285" s="4"/>
      <c r="D285" s="15"/>
      <c r="E285" s="6"/>
      <c r="F285" s="9"/>
      <c r="G285" s="9"/>
    </row>
    <row r="286" spans="2:7" s="1" customFormat="1" ht="16.5">
      <c r="B286" s="4"/>
      <c r="D286" s="15"/>
      <c r="E286" s="6"/>
      <c r="F286" s="9"/>
      <c r="G286" s="9"/>
    </row>
    <row r="287" spans="2:7" s="1" customFormat="1" ht="16.5">
      <c r="B287" s="4"/>
      <c r="D287" s="15"/>
      <c r="E287" s="6"/>
      <c r="F287" s="9"/>
      <c r="G287" s="9"/>
    </row>
    <row r="288" spans="2:7" s="1" customFormat="1" ht="16.5">
      <c r="B288" s="4"/>
      <c r="D288" s="15"/>
      <c r="E288" s="6"/>
      <c r="F288" s="9"/>
      <c r="G288" s="9"/>
    </row>
    <row r="289" spans="1:7" s="1" customFormat="1" ht="16.5">
      <c r="B289" s="4"/>
      <c r="D289" s="15"/>
      <c r="E289" s="6"/>
      <c r="F289" s="9"/>
      <c r="G289" s="9"/>
    </row>
    <row r="290" spans="1:7" s="1" customFormat="1" ht="16.5">
      <c r="B290" s="4"/>
      <c r="D290" s="15"/>
      <c r="E290" s="6"/>
      <c r="F290" s="9"/>
      <c r="G290" s="9"/>
    </row>
    <row r="291" spans="1:7">
      <c r="A291" s="1"/>
      <c r="F291" s="10"/>
      <c r="G291" s="10"/>
    </row>
    <row r="292" spans="1:7">
      <c r="A292" s="1"/>
      <c r="F292" s="10"/>
      <c r="G292" s="10"/>
    </row>
    <row r="293" spans="1:7">
      <c r="A293" s="1"/>
      <c r="F293" s="10"/>
      <c r="G293" s="10"/>
    </row>
    <row r="294" spans="1:7">
      <c r="A294" s="1"/>
      <c r="F294" s="10"/>
      <c r="G294" s="10"/>
    </row>
    <row r="295" spans="1:7">
      <c r="A295" s="1"/>
      <c r="F295" s="10"/>
      <c r="G295" s="10"/>
    </row>
    <row r="296" spans="1:7">
      <c r="A296" s="1"/>
      <c r="F296" s="10"/>
      <c r="G296" s="10"/>
    </row>
    <row r="297" spans="1:7">
      <c r="A297" s="1"/>
      <c r="F297" s="10"/>
      <c r="G297" s="10"/>
    </row>
    <row r="298" spans="1:7">
      <c r="A298" s="1"/>
      <c r="F298" s="10"/>
      <c r="G298" s="10"/>
    </row>
    <row r="299" spans="1:7">
      <c r="A299" s="1"/>
      <c r="F299" s="10"/>
      <c r="G299" s="10"/>
    </row>
    <row r="300" spans="1:7">
      <c r="A300" s="1"/>
      <c r="F300" s="10"/>
      <c r="G300" s="10"/>
    </row>
    <row r="301" spans="1:7">
      <c r="A301" s="1"/>
      <c r="F301" s="10"/>
      <c r="G301" s="10"/>
    </row>
    <row r="302" spans="1:7">
      <c r="A302" s="1"/>
      <c r="F302" s="10"/>
      <c r="G302" s="10"/>
    </row>
    <row r="303" spans="1:7">
      <c r="F303" s="10"/>
      <c r="G303" s="10"/>
    </row>
    <row r="304" spans="1:7">
      <c r="F304" s="10"/>
      <c r="G304" s="10"/>
    </row>
    <row r="305" spans="6:7">
      <c r="F305" s="10"/>
      <c r="G305" s="10"/>
    </row>
    <row r="306" spans="6:7">
      <c r="F306" s="10"/>
      <c r="G306" s="10"/>
    </row>
    <row r="307" spans="6:7">
      <c r="F307" s="10"/>
      <c r="G307" s="10"/>
    </row>
    <row r="308" spans="6:7">
      <c r="F308" s="10"/>
      <c r="G308" s="10"/>
    </row>
    <row r="309" spans="6:7">
      <c r="F309" s="10"/>
      <c r="G309" s="10"/>
    </row>
  </sheetData>
  <autoFilter ref="A1:E272">
    <sortState ref="A11:BM17">
      <sortCondition ref="B13"/>
    </sortState>
  </autoFilter>
  <phoneticPr fontId="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RowHeight="14.25"/>
  <sheetData>
    <row r="1" spans="1:1">
      <c r="A1" s="12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44</v>
      </c>
    </row>
    <row r="5" spans="1:1">
      <c r="A5" t="s">
        <v>45</v>
      </c>
    </row>
    <row r="6" spans="1:1">
      <c r="A6" t="s">
        <v>46</v>
      </c>
    </row>
    <row r="7" spans="1:1">
      <c r="A7" t="s">
        <v>47</v>
      </c>
    </row>
    <row r="8" spans="1:1">
      <c r="A8" t="s">
        <v>48</v>
      </c>
    </row>
    <row r="9" spans="1:1">
      <c r="A9" t="s">
        <v>49</v>
      </c>
    </row>
    <row r="10" spans="1:1">
      <c r="A10" t="s">
        <v>50</v>
      </c>
    </row>
    <row r="11" spans="1:1">
      <c r="A11" t="s">
        <v>51</v>
      </c>
    </row>
    <row r="12" spans="1:1">
      <c r="A12" t="s">
        <v>52</v>
      </c>
    </row>
    <row r="13" spans="1:1">
      <c r="A13" t="s">
        <v>53</v>
      </c>
    </row>
    <row r="14" spans="1:1">
      <c r="A14" t="s">
        <v>54</v>
      </c>
    </row>
    <row r="15" spans="1:1">
      <c r="A15" t="s">
        <v>55</v>
      </c>
    </row>
    <row r="16" spans="1:1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  <row r="22" spans="1:1">
      <c r="A22" t="s">
        <v>62</v>
      </c>
    </row>
    <row r="23" spans="1:1">
      <c r="A23" t="s">
        <v>63</v>
      </c>
    </row>
    <row r="24" spans="1:1">
      <c r="A24" t="s">
        <v>64</v>
      </c>
    </row>
    <row r="25" spans="1:1">
      <c r="A25" t="s">
        <v>65</v>
      </c>
    </row>
    <row r="26" spans="1:1">
      <c r="A26" t="s">
        <v>66</v>
      </c>
    </row>
    <row r="27" spans="1:1">
      <c r="A27" t="s">
        <v>67</v>
      </c>
    </row>
    <row r="28" spans="1:1">
      <c r="A28" t="s">
        <v>68</v>
      </c>
    </row>
    <row r="29" spans="1:1">
      <c r="A29" t="s">
        <v>69</v>
      </c>
    </row>
    <row r="30" spans="1:1">
      <c r="A30" t="s">
        <v>70</v>
      </c>
    </row>
    <row r="31" spans="1:1">
      <c r="A31" t="s">
        <v>71</v>
      </c>
    </row>
    <row r="32" spans="1:1">
      <c r="A32" t="s">
        <v>72</v>
      </c>
    </row>
    <row r="33" spans="1:1">
      <c r="A33" t="s">
        <v>73</v>
      </c>
    </row>
    <row r="34" spans="1:1">
      <c r="A34" t="s">
        <v>74</v>
      </c>
    </row>
    <row r="35" spans="1:1">
      <c r="A35" t="s">
        <v>75</v>
      </c>
    </row>
    <row r="36" spans="1:1">
      <c r="A36" t="s">
        <v>76</v>
      </c>
    </row>
    <row r="37" spans="1:1">
      <c r="A37" t="s">
        <v>77</v>
      </c>
    </row>
    <row r="38" spans="1:1">
      <c r="A38" t="s">
        <v>78</v>
      </c>
    </row>
    <row r="39" spans="1:1">
      <c r="A39" t="s">
        <v>79</v>
      </c>
    </row>
    <row r="40" spans="1:1">
      <c r="A40" t="s">
        <v>80</v>
      </c>
    </row>
    <row r="41" spans="1:1">
      <c r="A41" t="s">
        <v>81</v>
      </c>
    </row>
    <row r="42" spans="1:1">
      <c r="A42" t="s">
        <v>82</v>
      </c>
    </row>
    <row r="43" spans="1:1">
      <c r="A43" t="s">
        <v>83</v>
      </c>
    </row>
    <row r="44" spans="1:1">
      <c r="A44" t="s">
        <v>84</v>
      </c>
    </row>
    <row r="45" spans="1:1">
      <c r="A45" t="s">
        <v>85</v>
      </c>
    </row>
    <row r="46" spans="1:1">
      <c r="A46" t="s">
        <v>86</v>
      </c>
    </row>
    <row r="47" spans="1:1">
      <c r="A47" t="s">
        <v>87</v>
      </c>
    </row>
    <row r="48" spans="1:1">
      <c r="A48" t="s">
        <v>88</v>
      </c>
    </row>
    <row r="49" spans="1:1">
      <c r="A49" t="s">
        <v>89</v>
      </c>
    </row>
    <row r="50" spans="1:1">
      <c r="A50" t="s">
        <v>90</v>
      </c>
    </row>
    <row r="51" spans="1:1">
      <c r="A51" t="s">
        <v>91</v>
      </c>
    </row>
    <row r="52" spans="1:1">
      <c r="A52" t="s">
        <v>92</v>
      </c>
    </row>
    <row r="53" spans="1:1">
      <c r="A53" t="s">
        <v>93</v>
      </c>
    </row>
    <row r="54" spans="1:1">
      <c r="A54" t="s">
        <v>94</v>
      </c>
    </row>
    <row r="55" spans="1:1">
      <c r="A55" t="s">
        <v>95</v>
      </c>
    </row>
    <row r="56" spans="1:1">
      <c r="A56" t="s">
        <v>96</v>
      </c>
    </row>
    <row r="57" spans="1:1">
      <c r="A57" t="s">
        <v>97</v>
      </c>
    </row>
    <row r="58" spans="1:1">
      <c r="A58" t="s">
        <v>98</v>
      </c>
    </row>
    <row r="59" spans="1:1">
      <c r="A59" t="s">
        <v>99</v>
      </c>
    </row>
    <row r="60" spans="1:1">
      <c r="A60" t="s">
        <v>100</v>
      </c>
    </row>
    <row r="61" spans="1:1">
      <c r="A61" t="s">
        <v>101</v>
      </c>
    </row>
    <row r="62" spans="1:1">
      <c r="A62" t="s">
        <v>102</v>
      </c>
    </row>
    <row r="63" spans="1:1">
      <c r="A63" t="s">
        <v>103</v>
      </c>
    </row>
    <row r="64" spans="1:1">
      <c r="A64" t="s">
        <v>104</v>
      </c>
    </row>
    <row r="65" spans="1:1">
      <c r="A65" t="s">
        <v>105</v>
      </c>
    </row>
    <row r="66" spans="1:1">
      <c r="A66" t="s">
        <v>106</v>
      </c>
    </row>
    <row r="67" spans="1:1">
      <c r="A67" t="s">
        <v>107</v>
      </c>
    </row>
    <row r="68" spans="1:1">
      <c r="A68" t="s">
        <v>108</v>
      </c>
    </row>
    <row r="69" spans="1:1">
      <c r="A69" t="s">
        <v>109</v>
      </c>
    </row>
    <row r="70" spans="1:1">
      <c r="A70" t="s">
        <v>110</v>
      </c>
    </row>
    <row r="71" spans="1:1">
      <c r="A71" t="s">
        <v>111</v>
      </c>
    </row>
    <row r="72" spans="1:1">
      <c r="A72" t="s">
        <v>112</v>
      </c>
    </row>
    <row r="73" spans="1:1">
      <c r="A73" t="s">
        <v>113</v>
      </c>
    </row>
    <row r="74" spans="1:1">
      <c r="A74" t="s">
        <v>114</v>
      </c>
    </row>
    <row r="75" spans="1:1">
      <c r="A75" t="s">
        <v>115</v>
      </c>
    </row>
    <row r="76" spans="1:1">
      <c r="A76" t="s">
        <v>116</v>
      </c>
    </row>
    <row r="77" spans="1:1">
      <c r="A77" t="s">
        <v>117</v>
      </c>
    </row>
    <row r="78" spans="1:1">
      <c r="A78" t="s">
        <v>118</v>
      </c>
    </row>
    <row r="79" spans="1:1">
      <c r="A79" t="s">
        <v>119</v>
      </c>
    </row>
    <row r="80" spans="1:1">
      <c r="A80" t="s">
        <v>120</v>
      </c>
    </row>
    <row r="81" spans="1:1">
      <c r="A81" t="s">
        <v>121</v>
      </c>
    </row>
    <row r="82" spans="1:1">
      <c r="A82" t="s">
        <v>122</v>
      </c>
    </row>
    <row r="83" spans="1:1">
      <c r="A83" t="s">
        <v>123</v>
      </c>
    </row>
    <row r="84" spans="1:1">
      <c r="A84" t="s">
        <v>124</v>
      </c>
    </row>
    <row r="85" spans="1:1">
      <c r="A85" t="s">
        <v>125</v>
      </c>
    </row>
    <row r="86" spans="1:1">
      <c r="A86" t="s">
        <v>126</v>
      </c>
    </row>
    <row r="87" spans="1:1">
      <c r="A87" t="s">
        <v>127</v>
      </c>
    </row>
    <row r="88" spans="1:1">
      <c r="A88" t="s">
        <v>128</v>
      </c>
    </row>
    <row r="89" spans="1:1">
      <c r="A89" t="s">
        <v>129</v>
      </c>
    </row>
    <row r="90" spans="1:1">
      <c r="A90" t="s">
        <v>130</v>
      </c>
    </row>
    <row r="91" spans="1:1">
      <c r="A91" t="s">
        <v>131</v>
      </c>
    </row>
    <row r="92" spans="1:1">
      <c r="A92" t="s">
        <v>132</v>
      </c>
    </row>
    <row r="93" spans="1:1">
      <c r="A93" t="s">
        <v>133</v>
      </c>
    </row>
    <row r="94" spans="1:1">
      <c r="A94" t="s">
        <v>134</v>
      </c>
    </row>
    <row r="95" spans="1:1">
      <c r="A95" t="s">
        <v>135</v>
      </c>
    </row>
    <row r="96" spans="1:1">
      <c r="A96" t="s">
        <v>136</v>
      </c>
    </row>
    <row r="97" spans="1:1">
      <c r="A97" t="s">
        <v>137</v>
      </c>
    </row>
    <row r="98" spans="1:1">
      <c r="A98" t="s">
        <v>138</v>
      </c>
    </row>
    <row r="99" spans="1:1">
      <c r="A99" t="s">
        <v>139</v>
      </c>
    </row>
    <row r="100" spans="1:1">
      <c r="A100" t="s">
        <v>140</v>
      </c>
    </row>
    <row r="101" spans="1:1">
      <c r="A101" t="s">
        <v>141</v>
      </c>
    </row>
    <row r="102" spans="1:1">
      <c r="A102" t="s">
        <v>142</v>
      </c>
    </row>
    <row r="103" spans="1:1">
      <c r="A103" t="s">
        <v>143</v>
      </c>
    </row>
    <row r="104" spans="1:1">
      <c r="A104" t="s">
        <v>144</v>
      </c>
    </row>
    <row r="105" spans="1:1">
      <c r="A105" t="s">
        <v>145</v>
      </c>
    </row>
    <row r="106" spans="1:1">
      <c r="A106" t="s">
        <v>146</v>
      </c>
    </row>
    <row r="107" spans="1:1">
      <c r="A107" t="s">
        <v>147</v>
      </c>
    </row>
    <row r="108" spans="1:1">
      <c r="A108" t="s">
        <v>148</v>
      </c>
    </row>
    <row r="109" spans="1:1">
      <c r="A109" t="s">
        <v>149</v>
      </c>
    </row>
    <row r="110" spans="1:1">
      <c r="A110" t="s">
        <v>150</v>
      </c>
    </row>
    <row r="111" spans="1:1">
      <c r="A111" t="s">
        <v>151</v>
      </c>
    </row>
    <row r="112" spans="1:1">
      <c r="A112" t="s">
        <v>152</v>
      </c>
    </row>
    <row r="113" spans="1:1">
      <c r="A113" t="s">
        <v>153</v>
      </c>
    </row>
    <row r="114" spans="1:1">
      <c r="A114" t="s">
        <v>154</v>
      </c>
    </row>
    <row r="115" spans="1:1">
      <c r="A115" t="s">
        <v>155</v>
      </c>
    </row>
    <row r="116" spans="1:1">
      <c r="A116" t="s">
        <v>156</v>
      </c>
    </row>
    <row r="117" spans="1:1">
      <c r="A117" t="s">
        <v>157</v>
      </c>
    </row>
    <row r="118" spans="1:1">
      <c r="A118" t="s">
        <v>158</v>
      </c>
    </row>
    <row r="119" spans="1:1">
      <c r="A119" t="s">
        <v>159</v>
      </c>
    </row>
    <row r="120" spans="1:1">
      <c r="A120" t="s">
        <v>160</v>
      </c>
    </row>
    <row r="121" spans="1:1">
      <c r="A121" t="s">
        <v>161</v>
      </c>
    </row>
    <row r="122" spans="1:1">
      <c r="A122" t="s">
        <v>162</v>
      </c>
    </row>
    <row r="123" spans="1:1">
      <c r="A123" t="s">
        <v>163</v>
      </c>
    </row>
    <row r="124" spans="1:1">
      <c r="A124" t="s">
        <v>164</v>
      </c>
    </row>
    <row r="125" spans="1:1">
      <c r="A125" t="s">
        <v>165</v>
      </c>
    </row>
    <row r="126" spans="1:1">
      <c r="A126" t="s">
        <v>166</v>
      </c>
    </row>
    <row r="127" spans="1:1">
      <c r="A127" t="s">
        <v>167</v>
      </c>
    </row>
    <row r="128" spans="1:1">
      <c r="A128" t="s">
        <v>168</v>
      </c>
    </row>
    <row r="129" spans="1:1">
      <c r="A129" t="s">
        <v>169</v>
      </c>
    </row>
    <row r="130" spans="1:1">
      <c r="A130" t="s">
        <v>170</v>
      </c>
    </row>
    <row r="131" spans="1:1">
      <c r="A131" t="s">
        <v>171</v>
      </c>
    </row>
    <row r="132" spans="1:1">
      <c r="A132" t="s">
        <v>172</v>
      </c>
    </row>
    <row r="133" spans="1:1">
      <c r="A133" t="s">
        <v>173</v>
      </c>
    </row>
    <row r="134" spans="1:1">
      <c r="A134" t="s">
        <v>174</v>
      </c>
    </row>
    <row r="135" spans="1:1">
      <c r="A135" t="s">
        <v>175</v>
      </c>
    </row>
    <row r="136" spans="1:1">
      <c r="A136" t="s">
        <v>176</v>
      </c>
    </row>
    <row r="137" spans="1:1">
      <c r="A137" t="s">
        <v>177</v>
      </c>
    </row>
    <row r="138" spans="1:1">
      <c r="A138" t="s">
        <v>178</v>
      </c>
    </row>
    <row r="139" spans="1:1">
      <c r="A139" t="s">
        <v>179</v>
      </c>
    </row>
    <row r="140" spans="1:1">
      <c r="A140" t="s">
        <v>180</v>
      </c>
    </row>
    <row r="141" spans="1:1">
      <c r="A141" t="s">
        <v>181</v>
      </c>
    </row>
    <row r="142" spans="1:1">
      <c r="A142" t="s">
        <v>182</v>
      </c>
    </row>
    <row r="143" spans="1:1">
      <c r="A143" t="s">
        <v>183</v>
      </c>
    </row>
    <row r="144" spans="1:1">
      <c r="A144" t="s">
        <v>184</v>
      </c>
    </row>
    <row r="145" spans="1:1">
      <c r="A145" t="s">
        <v>185</v>
      </c>
    </row>
    <row r="146" spans="1:1">
      <c r="A146" t="s">
        <v>186</v>
      </c>
    </row>
    <row r="147" spans="1:1">
      <c r="A147" t="s">
        <v>187</v>
      </c>
    </row>
    <row r="148" spans="1:1">
      <c r="A148" t="s">
        <v>188</v>
      </c>
    </row>
    <row r="149" spans="1:1">
      <c r="A149" t="s">
        <v>189</v>
      </c>
    </row>
    <row r="150" spans="1:1">
      <c r="A150" t="s">
        <v>190</v>
      </c>
    </row>
    <row r="151" spans="1:1">
      <c r="A151" t="s">
        <v>191</v>
      </c>
    </row>
    <row r="152" spans="1:1">
      <c r="A152" t="s">
        <v>192</v>
      </c>
    </row>
    <row r="153" spans="1:1">
      <c r="A153" t="s">
        <v>193</v>
      </c>
    </row>
    <row r="154" spans="1:1">
      <c r="A154" t="s">
        <v>194</v>
      </c>
    </row>
    <row r="155" spans="1:1">
      <c r="A155" t="s">
        <v>195</v>
      </c>
    </row>
    <row r="156" spans="1:1">
      <c r="A156" t="s">
        <v>196</v>
      </c>
    </row>
    <row r="157" spans="1:1">
      <c r="A157" t="s">
        <v>197</v>
      </c>
    </row>
    <row r="158" spans="1:1">
      <c r="A158" t="s">
        <v>198</v>
      </c>
    </row>
    <row r="159" spans="1:1">
      <c r="A159" t="s">
        <v>199</v>
      </c>
    </row>
    <row r="160" spans="1:1">
      <c r="A160" t="s">
        <v>200</v>
      </c>
    </row>
    <row r="161" spans="1:1">
      <c r="A161" t="s">
        <v>201</v>
      </c>
    </row>
    <row r="162" spans="1:1">
      <c r="A162" t="s">
        <v>202</v>
      </c>
    </row>
    <row r="163" spans="1:1">
      <c r="A163" t="s">
        <v>203</v>
      </c>
    </row>
    <row r="164" spans="1:1">
      <c r="A164" t="s">
        <v>204</v>
      </c>
    </row>
    <row r="165" spans="1:1">
      <c r="A165" t="s">
        <v>205</v>
      </c>
    </row>
    <row r="166" spans="1:1">
      <c r="A166" t="s">
        <v>206</v>
      </c>
    </row>
    <row r="167" spans="1:1">
      <c r="A167" t="s">
        <v>207</v>
      </c>
    </row>
    <row r="168" spans="1:1">
      <c r="A168" t="s">
        <v>208</v>
      </c>
    </row>
    <row r="169" spans="1:1">
      <c r="A169" t="s">
        <v>209</v>
      </c>
    </row>
    <row r="170" spans="1:1">
      <c r="A170" t="s">
        <v>210</v>
      </c>
    </row>
    <row r="171" spans="1:1">
      <c r="A171" t="s">
        <v>211</v>
      </c>
    </row>
    <row r="172" spans="1:1">
      <c r="A172" t="s">
        <v>212</v>
      </c>
    </row>
    <row r="173" spans="1:1">
      <c r="A173" t="s">
        <v>213</v>
      </c>
    </row>
    <row r="174" spans="1:1">
      <c r="A174" t="s">
        <v>214</v>
      </c>
    </row>
    <row r="175" spans="1:1">
      <c r="A175" t="s">
        <v>215</v>
      </c>
    </row>
    <row r="176" spans="1:1">
      <c r="A176" t="s">
        <v>216</v>
      </c>
    </row>
    <row r="177" spans="1:1">
      <c r="A177" t="s">
        <v>217</v>
      </c>
    </row>
    <row r="178" spans="1:1">
      <c r="A178" t="s">
        <v>218</v>
      </c>
    </row>
    <row r="179" spans="1:1">
      <c r="A179" t="s">
        <v>219</v>
      </c>
    </row>
    <row r="180" spans="1:1">
      <c r="A180" t="s">
        <v>220</v>
      </c>
    </row>
    <row r="181" spans="1:1">
      <c r="A181" t="s">
        <v>221</v>
      </c>
    </row>
    <row r="182" spans="1:1">
      <c r="A182" t="s">
        <v>222</v>
      </c>
    </row>
    <row r="183" spans="1:1">
      <c r="A183" t="s">
        <v>223</v>
      </c>
    </row>
    <row r="184" spans="1:1">
      <c r="A184" t="s">
        <v>224</v>
      </c>
    </row>
    <row r="185" spans="1:1">
      <c r="A185" t="s">
        <v>225</v>
      </c>
    </row>
    <row r="186" spans="1:1">
      <c r="A186" t="s">
        <v>226</v>
      </c>
    </row>
    <row r="187" spans="1:1">
      <c r="A187" t="s">
        <v>227</v>
      </c>
    </row>
    <row r="188" spans="1:1">
      <c r="A188" t="s">
        <v>228</v>
      </c>
    </row>
    <row r="189" spans="1:1">
      <c r="A189" t="s">
        <v>229</v>
      </c>
    </row>
    <row r="190" spans="1:1">
      <c r="A190" t="s">
        <v>230</v>
      </c>
    </row>
    <row r="191" spans="1:1">
      <c r="A191" t="s">
        <v>231</v>
      </c>
    </row>
    <row r="192" spans="1:1">
      <c r="A192" t="s">
        <v>232</v>
      </c>
    </row>
    <row r="193" spans="1:1">
      <c r="A193" t="s">
        <v>233</v>
      </c>
    </row>
    <row r="194" spans="1:1">
      <c r="A194" t="s">
        <v>234</v>
      </c>
    </row>
    <row r="195" spans="1:1">
      <c r="A195" t="s">
        <v>235</v>
      </c>
    </row>
    <row r="196" spans="1:1">
      <c r="A196" t="s">
        <v>236</v>
      </c>
    </row>
    <row r="197" spans="1:1">
      <c r="A197" t="s">
        <v>237</v>
      </c>
    </row>
    <row r="198" spans="1:1">
      <c r="A198" t="s">
        <v>238</v>
      </c>
    </row>
    <row r="199" spans="1:1">
      <c r="A199" t="s">
        <v>239</v>
      </c>
    </row>
    <row r="200" spans="1:1">
      <c r="A200" t="s">
        <v>240</v>
      </c>
    </row>
    <row r="201" spans="1:1">
      <c r="A201" t="s">
        <v>241</v>
      </c>
    </row>
    <row r="202" spans="1:1">
      <c r="A202" t="s">
        <v>242</v>
      </c>
    </row>
    <row r="203" spans="1:1">
      <c r="A203" t="s">
        <v>243</v>
      </c>
    </row>
    <row r="204" spans="1:1">
      <c r="A204" t="s">
        <v>244</v>
      </c>
    </row>
    <row r="205" spans="1:1">
      <c r="A205" t="s">
        <v>245</v>
      </c>
    </row>
    <row r="206" spans="1:1">
      <c r="A206" t="s">
        <v>246</v>
      </c>
    </row>
    <row r="207" spans="1:1">
      <c r="A207" t="s">
        <v>247</v>
      </c>
    </row>
    <row r="208" spans="1:1">
      <c r="A208" t="s">
        <v>248</v>
      </c>
    </row>
    <row r="209" spans="1:1">
      <c r="A209" t="s">
        <v>249</v>
      </c>
    </row>
    <row r="210" spans="1:1">
      <c r="A210" t="s">
        <v>250</v>
      </c>
    </row>
    <row r="211" spans="1:1">
      <c r="A211" t="s">
        <v>251</v>
      </c>
    </row>
    <row r="212" spans="1:1">
      <c r="A212" t="s">
        <v>252</v>
      </c>
    </row>
    <row r="213" spans="1:1">
      <c r="A213" t="s">
        <v>253</v>
      </c>
    </row>
    <row r="214" spans="1:1">
      <c r="A214" t="s">
        <v>254</v>
      </c>
    </row>
    <row r="215" spans="1:1">
      <c r="A215" t="s">
        <v>255</v>
      </c>
    </row>
    <row r="216" spans="1:1">
      <c r="A216" t="s">
        <v>256</v>
      </c>
    </row>
    <row r="217" spans="1:1">
      <c r="A217" t="s">
        <v>257</v>
      </c>
    </row>
    <row r="218" spans="1:1">
      <c r="A218" t="s">
        <v>258</v>
      </c>
    </row>
    <row r="219" spans="1:1">
      <c r="A219" t="s">
        <v>259</v>
      </c>
    </row>
    <row r="220" spans="1:1">
      <c r="A220" t="s">
        <v>260</v>
      </c>
    </row>
    <row r="221" spans="1:1">
      <c r="A221" t="s">
        <v>261</v>
      </c>
    </row>
    <row r="222" spans="1:1">
      <c r="A222" t="s">
        <v>262</v>
      </c>
    </row>
    <row r="223" spans="1:1">
      <c r="A223" t="s">
        <v>263</v>
      </c>
    </row>
    <row r="224" spans="1:1">
      <c r="A224" t="s">
        <v>264</v>
      </c>
    </row>
    <row r="225" spans="1:1">
      <c r="A225" t="s">
        <v>265</v>
      </c>
    </row>
    <row r="226" spans="1:1">
      <c r="A226" t="s">
        <v>266</v>
      </c>
    </row>
    <row r="227" spans="1:1">
      <c r="A227" t="s">
        <v>267</v>
      </c>
    </row>
    <row r="228" spans="1:1">
      <c r="A228" t="s">
        <v>268</v>
      </c>
    </row>
    <row r="229" spans="1:1">
      <c r="A229" t="s">
        <v>269</v>
      </c>
    </row>
    <row r="230" spans="1:1">
      <c r="A230" t="s">
        <v>270</v>
      </c>
    </row>
    <row r="231" spans="1:1">
      <c r="A231" t="s">
        <v>271</v>
      </c>
    </row>
    <row r="232" spans="1:1">
      <c r="A232" t="s">
        <v>272</v>
      </c>
    </row>
    <row r="233" spans="1:1">
      <c r="A233" t="s">
        <v>273</v>
      </c>
    </row>
    <row r="234" spans="1:1">
      <c r="A234" t="s">
        <v>274</v>
      </c>
    </row>
    <row r="235" spans="1:1">
      <c r="A235" t="s">
        <v>275</v>
      </c>
    </row>
    <row r="236" spans="1:1">
      <c r="A236" t="s">
        <v>276</v>
      </c>
    </row>
    <row r="237" spans="1:1">
      <c r="A237" t="s">
        <v>277</v>
      </c>
    </row>
    <row r="238" spans="1:1">
      <c r="A238" t="s">
        <v>278</v>
      </c>
    </row>
    <row r="239" spans="1:1">
      <c r="A239" t="s">
        <v>279</v>
      </c>
    </row>
    <row r="240" spans="1:1">
      <c r="A240" t="s">
        <v>280</v>
      </c>
    </row>
    <row r="241" spans="1:1">
      <c r="A241" t="s">
        <v>281</v>
      </c>
    </row>
    <row r="242" spans="1:1">
      <c r="A242" t="s">
        <v>282</v>
      </c>
    </row>
    <row r="243" spans="1:1">
      <c r="A243" t="s">
        <v>283</v>
      </c>
    </row>
    <row r="244" spans="1:1">
      <c r="A244" t="s">
        <v>284</v>
      </c>
    </row>
    <row r="245" spans="1:1">
      <c r="A245" t="s">
        <v>285</v>
      </c>
    </row>
    <row r="246" spans="1:1">
      <c r="A246" t="s">
        <v>286</v>
      </c>
    </row>
    <row r="247" spans="1:1">
      <c r="A247" t="s">
        <v>287</v>
      </c>
    </row>
    <row r="248" spans="1:1">
      <c r="A248" t="s">
        <v>288</v>
      </c>
    </row>
    <row r="249" spans="1:1">
      <c r="A249" t="s">
        <v>289</v>
      </c>
    </row>
    <row r="250" spans="1:1">
      <c r="A250" t="s">
        <v>290</v>
      </c>
    </row>
    <row r="251" spans="1:1">
      <c r="A251" t="s">
        <v>291</v>
      </c>
    </row>
    <row r="252" spans="1:1">
      <c r="A252" t="s">
        <v>292</v>
      </c>
    </row>
    <row r="253" spans="1:1">
      <c r="A253" t="s">
        <v>293</v>
      </c>
    </row>
    <row r="254" spans="1:1">
      <c r="A254" t="s">
        <v>294</v>
      </c>
    </row>
    <row r="255" spans="1:1">
      <c r="A255" t="s">
        <v>295</v>
      </c>
    </row>
    <row r="256" spans="1:1">
      <c r="A256" t="s">
        <v>296</v>
      </c>
    </row>
    <row r="257" spans="1:1">
      <c r="A257" t="s">
        <v>297</v>
      </c>
    </row>
    <row r="258" spans="1:1">
      <c r="A258" t="s">
        <v>298</v>
      </c>
    </row>
    <row r="259" spans="1:1">
      <c r="A259" t="s">
        <v>299</v>
      </c>
    </row>
    <row r="260" spans="1:1">
      <c r="A260" t="s">
        <v>300</v>
      </c>
    </row>
    <row r="261" spans="1:1">
      <c r="A261" t="s">
        <v>301</v>
      </c>
    </row>
    <row r="262" spans="1:1">
      <c r="A262" t="s">
        <v>302</v>
      </c>
    </row>
    <row r="263" spans="1:1">
      <c r="A263" t="s">
        <v>303</v>
      </c>
    </row>
    <row r="264" spans="1:1">
      <c r="A264" t="s">
        <v>304</v>
      </c>
    </row>
    <row r="265" spans="1:1">
      <c r="A265" t="s">
        <v>305</v>
      </c>
    </row>
    <row r="266" spans="1:1">
      <c r="A266" t="s">
        <v>306</v>
      </c>
    </row>
    <row r="267" spans="1:1">
      <c r="A267" t="s">
        <v>307</v>
      </c>
    </row>
    <row r="268" spans="1:1">
      <c r="A268" t="s">
        <v>308</v>
      </c>
    </row>
    <row r="269" spans="1:1">
      <c r="A269" t="s">
        <v>309</v>
      </c>
    </row>
    <row r="270" spans="1:1">
      <c r="A270" t="s">
        <v>310</v>
      </c>
    </row>
    <row r="271" spans="1:1">
      <c r="A271" t="s">
        <v>311</v>
      </c>
    </row>
    <row r="272" spans="1:1">
      <c r="A272" t="s">
        <v>312</v>
      </c>
    </row>
    <row r="273" spans="1:1">
      <c r="A273" t="s">
        <v>313</v>
      </c>
    </row>
    <row r="274" spans="1:1">
      <c r="A274" t="s">
        <v>314</v>
      </c>
    </row>
    <row r="275" spans="1:1">
      <c r="A275" t="s">
        <v>315</v>
      </c>
    </row>
    <row r="276" spans="1:1">
      <c r="A276" t="s">
        <v>316</v>
      </c>
    </row>
    <row r="277" spans="1:1">
      <c r="A277" t="s">
        <v>317</v>
      </c>
    </row>
    <row r="278" spans="1:1">
      <c r="A278" t="s">
        <v>318</v>
      </c>
    </row>
    <row r="279" spans="1:1">
      <c r="A279" t="s">
        <v>319</v>
      </c>
    </row>
    <row r="280" spans="1:1">
      <c r="A280" t="s">
        <v>320</v>
      </c>
    </row>
    <row r="281" spans="1:1">
      <c r="A281" t="s">
        <v>321</v>
      </c>
    </row>
    <row r="282" spans="1:1">
      <c r="A282" t="s">
        <v>322</v>
      </c>
    </row>
    <row r="283" spans="1:1">
      <c r="A283" t="s">
        <v>323</v>
      </c>
    </row>
    <row r="284" spans="1:1">
      <c r="A284" t="s">
        <v>324</v>
      </c>
    </row>
    <row r="285" spans="1:1">
      <c r="A285" t="s">
        <v>325</v>
      </c>
    </row>
    <row r="286" spans="1:1">
      <c r="A286" t="s">
        <v>326</v>
      </c>
    </row>
    <row r="287" spans="1:1">
      <c r="A287" t="s">
        <v>327</v>
      </c>
    </row>
    <row r="288" spans="1:1">
      <c r="A288" t="s">
        <v>328</v>
      </c>
    </row>
    <row r="289" spans="1:1">
      <c r="A289" t="s">
        <v>329</v>
      </c>
    </row>
    <row r="290" spans="1:1">
      <c r="A290" t="s">
        <v>330</v>
      </c>
    </row>
    <row r="291" spans="1:1">
      <c r="A291" t="s">
        <v>331</v>
      </c>
    </row>
    <row r="292" spans="1:1">
      <c r="A292" t="s">
        <v>332</v>
      </c>
    </row>
    <row r="293" spans="1:1">
      <c r="A293" t="s">
        <v>333</v>
      </c>
    </row>
    <row r="294" spans="1:1">
      <c r="A294" t="s">
        <v>334</v>
      </c>
    </row>
    <row r="295" spans="1:1">
      <c r="A295" t="s">
        <v>335</v>
      </c>
    </row>
    <row r="296" spans="1:1">
      <c r="A296" t="s">
        <v>336</v>
      </c>
    </row>
    <row r="297" spans="1:1">
      <c r="A297" t="s">
        <v>337</v>
      </c>
    </row>
    <row r="298" spans="1:1">
      <c r="A298" t="s">
        <v>338</v>
      </c>
    </row>
    <row r="299" spans="1:1">
      <c r="A299" t="s">
        <v>339</v>
      </c>
    </row>
    <row r="300" spans="1:1">
      <c r="A300" t="s">
        <v>340</v>
      </c>
    </row>
    <row r="301" spans="1:1">
      <c r="A301" t="s">
        <v>341</v>
      </c>
    </row>
    <row r="302" spans="1:1">
      <c r="A302" t="s">
        <v>342</v>
      </c>
    </row>
    <row r="303" spans="1:1">
      <c r="A303" t="s">
        <v>343</v>
      </c>
    </row>
    <row r="304" spans="1:1">
      <c r="A304" t="s">
        <v>344</v>
      </c>
    </row>
    <row r="305" spans="1:1">
      <c r="A305" t="s">
        <v>345</v>
      </c>
    </row>
    <row r="306" spans="1:1">
      <c r="A306" t="s">
        <v>346</v>
      </c>
    </row>
    <row r="307" spans="1:1">
      <c r="A307" t="s">
        <v>347</v>
      </c>
    </row>
    <row r="308" spans="1:1">
      <c r="A308" t="s">
        <v>348</v>
      </c>
    </row>
    <row r="309" spans="1:1">
      <c r="A309" t="s">
        <v>349</v>
      </c>
    </row>
    <row r="310" spans="1:1">
      <c r="A310" t="s">
        <v>350</v>
      </c>
    </row>
    <row r="311" spans="1:1">
      <c r="A311" t="s">
        <v>351</v>
      </c>
    </row>
    <row r="312" spans="1:1">
      <c r="A312" t="s">
        <v>352</v>
      </c>
    </row>
    <row r="313" spans="1:1">
      <c r="A313" t="s">
        <v>353</v>
      </c>
    </row>
    <row r="314" spans="1:1">
      <c r="A314" t="s">
        <v>354</v>
      </c>
    </row>
    <row r="315" spans="1:1">
      <c r="A315" t="s">
        <v>355</v>
      </c>
    </row>
    <row r="316" spans="1:1">
      <c r="A316" t="s">
        <v>356</v>
      </c>
    </row>
    <row r="317" spans="1:1">
      <c r="A317" t="s">
        <v>357</v>
      </c>
    </row>
    <row r="318" spans="1:1">
      <c r="A318" t="s">
        <v>358</v>
      </c>
    </row>
    <row r="319" spans="1:1">
      <c r="A319" t="s">
        <v>359</v>
      </c>
    </row>
    <row r="320" spans="1:1">
      <c r="A320" t="s">
        <v>360</v>
      </c>
    </row>
    <row r="321" spans="1:1">
      <c r="A321" t="s">
        <v>361</v>
      </c>
    </row>
    <row r="322" spans="1:1">
      <c r="A322" t="s">
        <v>362</v>
      </c>
    </row>
    <row r="323" spans="1:1">
      <c r="A323" t="s">
        <v>363</v>
      </c>
    </row>
    <row r="324" spans="1:1">
      <c r="A324" t="s">
        <v>364</v>
      </c>
    </row>
    <row r="325" spans="1:1">
      <c r="A325" t="s">
        <v>365</v>
      </c>
    </row>
    <row r="326" spans="1:1">
      <c r="A326" t="s">
        <v>366</v>
      </c>
    </row>
    <row r="327" spans="1:1">
      <c r="A327" t="s">
        <v>367</v>
      </c>
    </row>
    <row r="328" spans="1:1">
      <c r="A328" t="s">
        <v>368</v>
      </c>
    </row>
    <row r="329" spans="1:1">
      <c r="A329" t="s">
        <v>369</v>
      </c>
    </row>
    <row r="330" spans="1:1">
      <c r="A330" t="s">
        <v>370</v>
      </c>
    </row>
    <row r="331" spans="1:1">
      <c r="A331" t="s">
        <v>371</v>
      </c>
    </row>
    <row r="332" spans="1:1">
      <c r="A332" t="s">
        <v>372</v>
      </c>
    </row>
    <row r="333" spans="1:1">
      <c r="A333" t="s">
        <v>373</v>
      </c>
    </row>
    <row r="334" spans="1:1">
      <c r="A334" t="s">
        <v>374</v>
      </c>
    </row>
    <row r="335" spans="1:1">
      <c r="A335" t="s">
        <v>375</v>
      </c>
    </row>
    <row r="336" spans="1:1">
      <c r="A336" t="s">
        <v>376</v>
      </c>
    </row>
    <row r="337" spans="1:1">
      <c r="A337" t="s">
        <v>377</v>
      </c>
    </row>
    <row r="338" spans="1:1">
      <c r="A338" t="s">
        <v>378</v>
      </c>
    </row>
    <row r="339" spans="1:1">
      <c r="A339" t="s">
        <v>379</v>
      </c>
    </row>
    <row r="340" spans="1:1">
      <c r="A340" t="s">
        <v>380</v>
      </c>
    </row>
    <row r="341" spans="1:1">
      <c r="A341" t="s">
        <v>381</v>
      </c>
    </row>
    <row r="342" spans="1:1">
      <c r="A342" t="s">
        <v>382</v>
      </c>
    </row>
    <row r="343" spans="1:1">
      <c r="A343" t="s">
        <v>383</v>
      </c>
    </row>
    <row r="344" spans="1:1">
      <c r="A344" t="s">
        <v>384</v>
      </c>
    </row>
    <row r="345" spans="1:1">
      <c r="A345" t="s">
        <v>385</v>
      </c>
    </row>
    <row r="346" spans="1:1">
      <c r="A346" t="s">
        <v>386</v>
      </c>
    </row>
    <row r="347" spans="1:1">
      <c r="A347" t="s">
        <v>387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2020-02-05T01:14:52Z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