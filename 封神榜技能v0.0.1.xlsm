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P000!$A$1:$E$272</definedName>
  </definedNames>
  <calcPr calcId="125725"/>
</workbook>
</file>

<file path=xl/calcChain.xml><?xml version="1.0" encoding="utf-8"?>
<calcChain xmlns="http://schemas.openxmlformats.org/spreadsheetml/2006/main">
  <c r="U48" i="1"/>
  <c r="H48"/>
  <c r="F48"/>
  <c r="U47"/>
  <c r="H47"/>
  <c r="F47"/>
  <c r="I29"/>
  <c r="I30"/>
  <c r="I31"/>
  <c r="I32"/>
  <c r="I33"/>
  <c r="I34"/>
  <c r="I35"/>
  <c r="I36"/>
  <c r="I28"/>
  <c r="U56"/>
  <c r="H56"/>
  <c r="F56"/>
  <c r="U55"/>
  <c r="H55"/>
  <c r="F55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<sst xmlns="http://schemas.openxmlformats.org/spreadsheetml/2006/main" count="911" uniqueCount="534">
  <si>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</si>
  <si>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</si>
  <si>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</si>
  <si>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</si>
  <si>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</si>
  <si>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</si>
  <si>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</si>
  <si>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</si>
  <si>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</si>
  <si>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</si>
  <si>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</si>
  <si>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</si>
  <si>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</si>
  <si>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</si>
  <si>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</si>
  <si>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</si>
  <si>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</si>
  <si>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</si>
  <si>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</si>
  <si>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</si>
  <si>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</si>
  <si>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</si>
  <si>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</si>
  <si>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</si>
  <si>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</si>
  <si>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</si>
  <si>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</si>
  <si>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</si>
  <si>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</si>
  <si>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</si>
  <si>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</si>
  <si>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</si>
  <si>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</si>
  <si>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</si>
  <si>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</si>
  <si>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</si>
  <si>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</si>
  <si>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</si>
  <si>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</si>
  <si>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</si>
  <si>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</si>
  <si>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</si>
  <si>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</si>
  <si>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</si>
  <si>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</si>
  <si>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</si>
  <si>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</si>
  <si>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</si>
  <si>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</si>
  <si>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</si>
  <si>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</si>
  <si>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</si>
  <si>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</si>
  <si>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</si>
  <si>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</si>
  <si>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</si>
  <si>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</si>
  <si>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</si>
  <si>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</si>
  <si>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</si>
  <si>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</si>
  <si>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</si>
  <si>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</si>
  <si>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</si>
  <si>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</si>
  <si>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</si>
  <si>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</si>
  <si>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</si>
  <si>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</si>
  <si>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</si>
  <si>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</si>
  <si>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</si>
  <si>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</si>
  <si>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</si>
  <si>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</si>
  <si>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</si>
  <si>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</si>
  <si>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</si>
  <si>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</si>
  <si>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</si>
  <si>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</si>
  <si>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</si>
  <si>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</si>
  <si>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</si>
  <si>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</si>
  <si>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</si>
  <si>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</si>
  <si>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</si>
  <si>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</si>
  <si>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</si>
  <si>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</si>
  <si>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</si>
  <si>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</si>
  <si>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</si>
  <si>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</si>
  <si>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</si>
  <si>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</si>
  <si>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</si>
  <si>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</si>
  <si>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</si>
  <si>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</si>
  <si>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</si>
  <si>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</si>
  <si>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</si>
  <si>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</si>
  <si>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</si>
  <si>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</si>
  <si>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</si>
  <si>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</si>
  <si>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</si>
  <si>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</si>
  <si>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</si>
  <si>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</si>
  <si>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</si>
  <si>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</si>
  <si>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</si>
  <si>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</si>
  <si>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</si>
  <si>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</si>
  <si>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</si>
  <si>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</si>
  <si>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</si>
  <si>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</si>
  <si>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</si>
  <si>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</si>
  <si>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</si>
  <si>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</si>
  <si>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</si>
  <si>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</si>
  <si>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</si>
  <si>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</si>
  <si>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</si>
  <si>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</si>
  <si>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</si>
  <si>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</si>
  <si>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</si>
  <si>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</si>
  <si>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</si>
  <si>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</si>
  <si>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</si>
  <si>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</si>
  <si>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</si>
  <si>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</si>
  <si>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</si>
  <si>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</si>
  <si>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</si>
  <si>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</si>
  <si>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</si>
  <si>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</si>
  <si>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</si>
  <si>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</si>
  <si>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</si>
  <si>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</si>
  <si>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</si>
  <si>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</si>
  <si>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</si>
  <si>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</si>
  <si>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</si>
  <si>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</si>
  <si>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</si>
  <si>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</si>
  <si>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</si>
  <si>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</si>
  <si>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</si>
  <si>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</si>
  <si>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</si>
  <si>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</si>
  <si>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</si>
  <si>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</si>
  <si>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</si>
  <si>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</si>
  <si>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</si>
  <si>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</si>
  <si>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</si>
  <si>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</si>
  <si>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</si>
  <si>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</si>
  <si>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</si>
  <si>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</si>
  <si>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</si>
  <si>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</si>
  <si>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</si>
  <si>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</si>
  <si>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</si>
  <si>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</si>
  <si>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</si>
  <si>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</si>
  <si>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</si>
  <si>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</si>
  <si>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</si>
  <si>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</si>
  <si>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</si>
  <si>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</si>
  <si>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</si>
  <si>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</si>
  <si>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</si>
  <si>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</si>
  <si>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</si>
  <si>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</si>
  <si>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</si>
  <si>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</si>
  <si>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</si>
  <si>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</si>
  <si>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</si>
  <si>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</si>
  <si>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</si>
  <si>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</si>
  <si>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</si>
  <si>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</si>
  <si>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</si>
  <si>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</si>
  <si>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</si>
  <si>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</si>
  <si>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</si>
  <si>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</si>
  <si>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</si>
  <si>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</si>
  <si>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</si>
  <si>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</si>
  <si>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</si>
  <si>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</si>
  <si>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</si>
  <si>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</si>
  <si>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</si>
  <si>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</si>
  <si>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</si>
  <si>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</si>
  <si>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</si>
  <si>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</si>
  <si>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</si>
  <si>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</si>
  <si>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</si>
  <si>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</si>
  <si>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</si>
  <si>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</si>
  <si>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</si>
  <si>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</si>
  <si>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</si>
  <si>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</si>
  <si>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</si>
  <si>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</si>
  <si>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</si>
  <si>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</si>
  <si>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</si>
  <si>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</si>
  <si>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</si>
  <si>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</si>
  <si>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</si>
  <si>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</si>
  <si>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</si>
  <si>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</si>
  <si>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</si>
  <si>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</si>
  <si>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</si>
  <si>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</si>
  <si>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</si>
  <si>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</si>
  <si>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</si>
  <si>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</si>
  <si>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</si>
  <si>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</si>
  <si>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</si>
  <si>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</si>
  <si>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</si>
  <si>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</si>
  <si>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</si>
  <si>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</si>
  <si>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</si>
  <si>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</si>
  <si>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</si>
  <si>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</si>
  <si>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</si>
  <si>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</si>
  <si>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</si>
  <si>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</si>
  <si>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</si>
  <si>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</si>
  <si>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</si>
  <si>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</si>
  <si>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</si>
  <si>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</si>
  <si>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</si>
  <si>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</si>
  <si>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</si>
  <si>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</si>
  <si>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</si>
  <si>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</si>
  <si>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</si>
  <si>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</si>
  <si>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</si>
  <si>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</si>
  <si>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</si>
  <si>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</si>
  <si>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</si>
  <si>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</si>
  <si>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</si>
  <si>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</si>
  <si>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</si>
  <si>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</si>
  <si>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</si>
  <si>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</si>
  <si>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</si>
  <si>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</si>
  <si>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</si>
  <si>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</si>
  <si>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</si>
  <si>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</si>
  <si>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</si>
  <si>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</si>
  <si>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</si>
  <si>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</si>
  <si>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</si>
  <si>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</si>
  <si>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</si>
  <si>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</si>
  <si>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</si>
  <si>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</si>
  <si>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</si>
  <si>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</si>
  <si>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</si>
  <si>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</si>
  <si>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</si>
  <si>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</si>
  <si>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</si>
  <si>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</si>
  <si>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</si>
  <si>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</si>
  <si>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</si>
  <si>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</si>
  <si>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</si>
  <si>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</si>
  <si>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</si>
  <si>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</si>
  <si>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</si>
  <si>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</si>
  <si>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</si>
  <si>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</si>
  <si>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</si>
  <si>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</si>
  <si>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</si>
  <si>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</si>
  <si>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</si>
  <si>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</si>
  <si>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</si>
  <si>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</si>
  <si>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</si>
  <si>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</si>
  <si>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</si>
  <si>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</si>
  <si>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</si>
  <si>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</si>
  <si>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</si>
  <si>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</si>
  <si>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</si>
  <si>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</si>
  <si>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</si>
  <si>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</si>
  <si>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</si>
  <si>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</si>
  <si>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</si>
  <si>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</si>
  <si>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</si>
  <si>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</si>
  <si>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</si>
  <si>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</si>
  <si>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</si>
  <si>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</si>
  <si>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</si>
  <si>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</si>
  <si>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</si>
  <si>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</si>
  <si>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</si>
  <si>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</si>
  <si>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</si>
  <si>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</si>
  <si>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</si>
  <si>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</si>
  <si>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</si>
  <si>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</si>
  <si>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</si>
  <si>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</si>
  <si>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</si>
  <si>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</si>
  <si>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</si>
  <si>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</si>
  <si>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</si>
  <si>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</si>
  <si>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</si>
  <si>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</si>
  <si>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</si>
  <si>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</si>
  <si>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</si>
  <si>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</si>
  <si>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</si>
  <si>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</si>
  <si>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</si>
  <si>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</si>
  <si>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</si>
  <si>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</si>
  <si>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</si>
  <si>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</si>
  <si>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</si>
  <si>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</si>
  <si>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</si>
  <si>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</si>
  <si>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</si>
  <si>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</si>
  <si>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</si>
  <si>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</si>
  <si>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</si>
  <si>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</si>
  <si>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</si>
  <si>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</si>
  <si>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</si>
  <si>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</si>
  <si>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</si>
  <si>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</si>
  <si>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</si>
  <si>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</si>
  <si>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</si>
  <si>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</si>
  <si>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</si>
  <si>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</si>
  <si>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</si>
  <si>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</si>
  <si>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</si>
  <si>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</si>
  <si>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</si>
  <si>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</si>
  <si>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</si>
  <si>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</si>
  <si>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</si>
  <si>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</si>
  <si>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</si>
  <si>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</si>
  <si>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</si>
  <si>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</si>
  <si>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</si>
  <si>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</si>
  <si>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</si>
  <si>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</si>
  <si>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</si>
  <si>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</si>
  <si>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</si>
  <si>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</si>
  <si>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</si>
  <si>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</si>
  <si>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</si>
  <si>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</si>
  <si>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</si>
  <si>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</si>
  <si>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</si>
  <si>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</si>
  <si>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</si>
  <si>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</si>
  <si>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法宝挑战1</t>
    <phoneticPr fontId="3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</si>
  <si>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</si>
  <si>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</si>
  <si>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</si>
  <si>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</si>
  <si>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</si>
  <si>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</si>
  <si>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</si>
  <si>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灵力挑战9</t>
  </si>
  <si>
    <t>灵力挑战10</t>
  </si>
  <si>
    <t>法宝挑战9</t>
  </si>
  <si>
    <t>法宝挑战10</t>
  </si>
  <si>
    <t>门票挑战1</t>
    <phoneticPr fontId="3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</si>
  <si>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</si>
  <si>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</si>
  <si>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</si>
  <si>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</si>
  <si>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</si>
  <si>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</si>
  <si>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</si>
  <si>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</si>
  <si>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</si>
  <si>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</si>
  <si>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</si>
  <si>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</si>
  <si>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</si>
  <si>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</si>
  <si>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</si>
  <si>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</si>
  <si>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</si>
  <si>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</si>
  <si>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</si>
  <si>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</si>
  <si>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</si>
  <si>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</si>
  <si>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</si>
  <si>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</si>
  <si>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</si>
  <si>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</si>
  <si>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</si>
  <si>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</si>
  <si>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</si>
  <si>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</si>
  <si>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</si>
  <si>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</si>
  <si>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</si>
  <si>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</si>
  <si>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</si>
  <si>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法宝挑战11</t>
  </si>
  <si>
    <t>法宝挑战12</t>
  </si>
  <si>
    <t>AT1K</t>
    <phoneticPr fontId="3" type="noConversion"/>
  </si>
  <si>
    <t>AT1L</t>
    <phoneticPr fontId="3" type="noConversion"/>
  </si>
  <si>
    <t>KTAA</t>
  </si>
  <si>
    <t>KTAB</t>
  </si>
  <si>
    <t>KTAC</t>
  </si>
  <si>
    <t>KTAQ</t>
  </si>
  <si>
    <t>KTAR</t>
  </si>
  <si>
    <t>KTAS</t>
  </si>
  <si>
    <t>KTAT</t>
  </si>
  <si>
    <t>KTAU</t>
  </si>
  <si>
    <t>KTAV</t>
  </si>
  <si>
    <t>KTAW</t>
  </si>
  <si>
    <t>KTAD,RJ0B</t>
    <phoneticPr fontId="3" type="noConversion"/>
  </si>
  <si>
    <t>KTAE,RJ0B</t>
    <phoneticPr fontId="3" type="noConversion"/>
  </si>
  <si>
    <t>KTAF,RJ0C</t>
    <phoneticPr fontId="3" type="noConversion"/>
  </si>
  <si>
    <t>KTAG,RJ0C</t>
    <phoneticPr fontId="3" type="noConversion"/>
  </si>
  <si>
    <t>KTAH,RJ0D</t>
    <phoneticPr fontId="3" type="noConversion"/>
  </si>
  <si>
    <t>KTAI,RJ0D</t>
    <phoneticPr fontId="3" type="noConversion"/>
  </si>
  <si>
    <t>KTAJ,RJ0E</t>
    <phoneticPr fontId="3" type="noConversion"/>
  </si>
  <si>
    <t>KTAK,RJ0E</t>
    <phoneticPr fontId="3" type="noConversion"/>
  </si>
  <si>
    <t>KTAL,RJ0F</t>
    <phoneticPr fontId="3" type="noConversion"/>
  </si>
  <si>
    <t>KTAM,RJ0G</t>
    <phoneticPr fontId="3" type="noConversion"/>
  </si>
  <si>
    <t>KTAN,RJ0H</t>
    <phoneticPr fontId="3" type="noConversion"/>
  </si>
  <si>
    <t>KTAO,RJ0I</t>
    <phoneticPr fontId="3" type="noConversion"/>
  </si>
  <si>
    <t>KTAP,RJ0EJ</t>
    <phoneticPr fontId="3" type="noConversion"/>
  </si>
  <si>
    <t>KTAE</t>
    <phoneticPr fontId="3" type="noConversion"/>
  </si>
  <si>
    <t>KTAH,RJ0C</t>
    <phoneticPr fontId="3" type="noConversion"/>
  </si>
  <si>
    <t>冷却</t>
    <phoneticPr fontId="3" type="noConversion"/>
  </si>
  <si>
    <t>cool1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</si>
</sst>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9"/>
  <sheetViews>
    <sheetView tabSelected="1" zoomScaleNormal="100" workbookViewId="0">
      <pane xSplit="5" ySplit="2" topLeftCell="J3" activePane="bottomRight" state="frozen"/>
      <selection pane="topRight"/>
      <selection pane="bottomLeft"/>
      <selection pane="bottomRight" activeCell="V22" sqref="V22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 t="s">
        <v>532</v>
      </c>
    </row>
    <row r="2" spans="1:26" s="1" customFormat="1" ht="12.95" customHeight="1">
      <c r="A2" s="3">
        <f>COUNTA(B:B)+1</f>
        <v>56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 t="s">
        <v>533</v>
      </c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>
        <v>10</v>
      </c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">
        <v>507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>
        <v>10</v>
      </c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">
        <v>508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>
        <v>10</v>
      </c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">
        <v>509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>
        <v>10</v>
      </c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4">"ReplaceableTextures\\CommandButtons\\BTN"&amp;B7&amp;".blp"</f>
        <v>ReplaceableTextures\\CommandButtons\\BTNATAE.blp</v>
      </c>
      <c r="I7" s="11" t="s">
        <v>517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>
        <v>10</v>
      </c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4"/>
        <v>ReplaceableTextures\\CommandButtons\\BTNATAF.blp</v>
      </c>
      <c r="I8" s="11" t="s">
        <v>518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>
        <v>10</v>
      </c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4"/>
        <v>ReplaceableTextures\\CommandButtons\\BTNATAG.blp</v>
      </c>
      <c r="I9" s="11" t="s">
        <v>519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>
        <v>10</v>
      </c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5">"ReplaceableTextures\\CommandButtons\\BTN"&amp;B10&amp;".blp"</f>
        <v>ReplaceableTextures\\CommandButtons\\BTNATAH.blp</v>
      </c>
      <c r="I10" s="11" t="s">
        <v>520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>
        <v>10</v>
      </c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">
        <v>521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>
        <v>10</v>
      </c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6">"ReplaceableTextures\\CommandButtons\\BTN"&amp;B12&amp;".blp"</f>
        <v>ReplaceableTextures\\CommandButtons\\BTNATAJ.blp</v>
      </c>
      <c r="I12" s="11" t="s">
        <v>522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>
        <v>10</v>
      </c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6"/>
        <v>ReplaceableTextures\\CommandButtons\\BTNATAK.blp</v>
      </c>
      <c r="I13" s="11" t="s">
        <v>523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>
        <v>10</v>
      </c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">
        <v>524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>
        <v>10</v>
      </c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7">"ReplaceableTextures\\CommandButtons\\BTN"&amp;B15&amp;".blp"</f>
        <v>ReplaceableTextures\\CommandButtons\\BTNATAM.blp</v>
      </c>
      <c r="I15" s="11" t="s">
        <v>525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>
        <v>10</v>
      </c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7"/>
        <v>ReplaceableTextures\\CommandButtons\\BTNATAN.blp</v>
      </c>
      <c r="I16" s="11" t="s">
        <v>526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>
        <v>10</v>
      </c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7"/>
        <v>ReplaceableTextures\\CommandButtons\\BTNATAO.blp</v>
      </c>
      <c r="I17" s="11" t="s">
        <v>527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>
        <v>10</v>
      </c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7"/>
        <v>ReplaceableTextures\\CommandButtons\\BTNATAP.blp</v>
      </c>
      <c r="I18" s="11" t="s">
        <v>528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>
        <v>10</v>
      </c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">
        <v>529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>
        <v>10</v>
      </c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8">"ReplaceableTextures\\CommandButtons\\BTN"&amp;B20&amp;".blp"</f>
        <v>ReplaceableTextures\\CommandButtons\\BTNATAR.blp</v>
      </c>
      <c r="I20" s="11" t="s">
        <v>510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>
        <v>10</v>
      </c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8"/>
        <v>ReplaceableTextures\\CommandButtons\\BTNATAS.blp</v>
      </c>
      <c r="I21" s="11" t="s">
        <v>511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>
        <v>10</v>
      </c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">
        <v>512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>
        <v>10</v>
      </c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9">"ReplaceableTextures\\CommandButtons\\BTN"&amp;B23&amp;".blp"</f>
        <v>ReplaceableTextures\\CommandButtons\\BTNATAU.blp</v>
      </c>
      <c r="I23" s="11" t="s">
        <v>513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>
        <v>10</v>
      </c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9"/>
        <v>ReplaceableTextures\\CommandButtons\\BTNATAV.blp</v>
      </c>
      <c r="I24" s="11" t="s">
        <v>514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>
        <v>10</v>
      </c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9"/>
        <v>ReplaceableTextures\\CommandButtons\\BTNATAW.blp</v>
      </c>
      <c r="I25" s="11" t="s">
        <v>515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>
        <v>10</v>
      </c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9"/>
        <v>ReplaceableTextures\\CommandButtons\\BTNATAX.blp</v>
      </c>
      <c r="I26" s="11" t="s">
        <v>516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>
        <v>10</v>
      </c>
    </row>
    <row r="27" spans="1:26" s="1" customFormat="1">
      <c r="A27" s="1">
        <v>31</v>
      </c>
      <c r="B27" s="4" t="s">
        <v>475</v>
      </c>
      <c r="C27" s="11" t="s">
        <v>16</v>
      </c>
      <c r="D27" s="4" t="s">
        <v>388</v>
      </c>
      <c r="E27" s="7" t="s">
        <v>447</v>
      </c>
      <c r="F27" s="9" t="str">
        <f t="shared" ref="F27:F56" si="10">E27</f>
        <v>灵力挑战1</v>
      </c>
      <c r="G27" s="9"/>
      <c r="H27" s="1" t="str">
        <f t="shared" ref="H27:H56" si="11"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>
        <v>60</v>
      </c>
    </row>
    <row r="28" spans="1:26" s="1" customFormat="1">
      <c r="A28" s="1">
        <v>31</v>
      </c>
      <c r="B28" s="4" t="s">
        <v>476</v>
      </c>
      <c r="C28" s="11" t="s">
        <v>16</v>
      </c>
      <c r="D28" s="4" t="s">
        <v>388</v>
      </c>
      <c r="E28" s="7" t="s">
        <v>448</v>
      </c>
      <c r="F28" s="9" t="str">
        <f t="shared" si="10"/>
        <v>灵力挑战2</v>
      </c>
      <c r="G28" s="9"/>
      <c r="H28" s="1" t="str">
        <f t="shared" si="11"/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>
        <v>60</v>
      </c>
    </row>
    <row r="29" spans="1:26" s="1" customFormat="1">
      <c r="A29" s="1">
        <v>31</v>
      </c>
      <c r="B29" s="4" t="s">
        <v>477</v>
      </c>
      <c r="C29" s="11" t="s">
        <v>16</v>
      </c>
      <c r="D29" s="4" t="s">
        <v>388</v>
      </c>
      <c r="E29" s="7" t="s">
        <v>449</v>
      </c>
      <c r="F29" s="9" t="str">
        <f t="shared" si="10"/>
        <v>灵力挑战3</v>
      </c>
      <c r="G29" s="9"/>
      <c r="H29" s="1" t="str">
        <f t="shared" si="11"/>
        <v>ReplaceableTextures\\CommandButtons\\BTNAT0C.blp</v>
      </c>
      <c r="I29" s="11" t="str">
        <f t="shared" ref="I29:I36" si="12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>
        <v>60</v>
      </c>
    </row>
    <row r="30" spans="1:26" s="1" customFormat="1">
      <c r="A30" s="1">
        <v>31</v>
      </c>
      <c r="B30" s="4" t="s">
        <v>478</v>
      </c>
      <c r="C30" s="11" t="s">
        <v>16</v>
      </c>
      <c r="D30" s="4" t="s">
        <v>388</v>
      </c>
      <c r="E30" s="7" t="s">
        <v>450</v>
      </c>
      <c r="F30" s="9" t="str">
        <f t="shared" si="10"/>
        <v>灵力挑战4</v>
      </c>
      <c r="G30" s="9"/>
      <c r="H30" s="1" t="str">
        <f t="shared" si="11"/>
        <v>ReplaceableTextures\\CommandButtons\\BTNAT0D.blp</v>
      </c>
      <c r="I30" s="11" t="str">
        <f t="shared" si="12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>
        <v>60</v>
      </c>
    </row>
    <row r="31" spans="1:26" s="1" customFormat="1">
      <c r="A31" s="1">
        <v>31</v>
      </c>
      <c r="B31" s="4" t="s">
        <v>479</v>
      </c>
      <c r="C31" s="11" t="s">
        <v>16</v>
      </c>
      <c r="D31" s="4" t="s">
        <v>388</v>
      </c>
      <c r="E31" s="7" t="s">
        <v>451</v>
      </c>
      <c r="F31" s="9" t="str">
        <f t="shared" si="10"/>
        <v>灵力挑战5</v>
      </c>
      <c r="G31" s="9"/>
      <c r="H31" s="1" t="str">
        <f t="shared" si="11"/>
        <v>ReplaceableTextures\\CommandButtons\\BTNAT0E.blp</v>
      </c>
      <c r="I31" s="11" t="str">
        <f t="shared" si="12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>
        <v>60</v>
      </c>
    </row>
    <row r="32" spans="1:26" s="1" customFormat="1">
      <c r="A32" s="1">
        <v>31</v>
      </c>
      <c r="B32" s="4" t="s">
        <v>480</v>
      </c>
      <c r="C32" s="11" t="s">
        <v>16</v>
      </c>
      <c r="D32" s="4" t="s">
        <v>388</v>
      </c>
      <c r="E32" s="7" t="s">
        <v>452</v>
      </c>
      <c r="F32" s="9" t="str">
        <f t="shared" si="10"/>
        <v>灵力挑战6</v>
      </c>
      <c r="G32" s="9"/>
      <c r="H32" s="1" t="str">
        <f t="shared" si="11"/>
        <v>ReplaceableTextures\\CommandButtons\\BTNAT0F.blp</v>
      </c>
      <c r="I32" s="11" t="str">
        <f t="shared" si="12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>
        <v>60</v>
      </c>
    </row>
    <row r="33" spans="1:26" s="1" customFormat="1">
      <c r="A33" s="1">
        <v>31</v>
      </c>
      <c r="B33" s="4" t="s">
        <v>481</v>
      </c>
      <c r="C33" s="11" t="s">
        <v>16</v>
      </c>
      <c r="D33" s="4" t="s">
        <v>388</v>
      </c>
      <c r="E33" s="7" t="s">
        <v>453</v>
      </c>
      <c r="F33" s="9" t="str">
        <f t="shared" si="10"/>
        <v>灵力挑战7</v>
      </c>
      <c r="G33" s="9"/>
      <c r="H33" s="1" t="str">
        <f t="shared" si="11"/>
        <v>ReplaceableTextures\\CommandButtons\\BTNAT0G.blp</v>
      </c>
      <c r="I33" s="11" t="str">
        <f t="shared" si="12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>
        <v>60</v>
      </c>
    </row>
    <row r="34" spans="1:26" s="1" customFormat="1">
      <c r="A34" s="1">
        <v>31</v>
      </c>
      <c r="B34" s="4" t="s">
        <v>482</v>
      </c>
      <c r="C34" s="11" t="s">
        <v>16</v>
      </c>
      <c r="D34" s="4" t="s">
        <v>388</v>
      </c>
      <c r="E34" s="7" t="s">
        <v>454</v>
      </c>
      <c r="F34" s="9" t="str">
        <f t="shared" si="10"/>
        <v>灵力挑战8</v>
      </c>
      <c r="G34" s="9"/>
      <c r="H34" s="1" t="str">
        <f t="shared" si="11"/>
        <v>ReplaceableTextures\\CommandButtons\\BTNAT0H.blp</v>
      </c>
      <c r="I34" s="11" t="str">
        <f t="shared" si="12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>
        <v>60</v>
      </c>
    </row>
    <row r="35" spans="1:26" s="1" customFormat="1">
      <c r="A35" s="1">
        <v>31</v>
      </c>
      <c r="B35" s="4" t="s">
        <v>483</v>
      </c>
      <c r="C35" s="11" t="s">
        <v>16</v>
      </c>
      <c r="D35" s="4" t="s">
        <v>388</v>
      </c>
      <c r="E35" s="7" t="s">
        <v>463</v>
      </c>
      <c r="F35" s="9" t="str">
        <f t="shared" si="10"/>
        <v>灵力挑战9</v>
      </c>
      <c r="G35" s="9"/>
      <c r="H35" s="1" t="str">
        <f t="shared" si="11"/>
        <v>ReplaceableTextures\\CommandButtons\\BTNAT0I.blp</v>
      </c>
      <c r="I35" s="11" t="str">
        <f t="shared" si="12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>
        <v>60</v>
      </c>
    </row>
    <row r="36" spans="1:26" s="1" customFormat="1">
      <c r="A36" s="1">
        <v>31</v>
      </c>
      <c r="B36" s="4" t="s">
        <v>484</v>
      </c>
      <c r="C36" s="11" t="s">
        <v>16</v>
      </c>
      <c r="D36" s="4" t="s">
        <v>388</v>
      </c>
      <c r="E36" s="7" t="s">
        <v>464</v>
      </c>
      <c r="F36" s="9" t="str">
        <f t="shared" si="10"/>
        <v>灵力挑战10</v>
      </c>
      <c r="G36" s="9"/>
      <c r="H36" s="1" t="str">
        <f t="shared" si="11"/>
        <v>ReplaceableTextures\\CommandButtons\\BTNAT0J.blp</v>
      </c>
      <c r="I36" s="11" t="str">
        <f t="shared" si="12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>
        <v>60</v>
      </c>
    </row>
    <row r="37" spans="1:26" s="1" customFormat="1">
      <c r="A37" s="1">
        <v>32</v>
      </c>
      <c r="B37" s="4" t="s">
        <v>485</v>
      </c>
      <c r="C37" s="11" t="s">
        <v>16</v>
      </c>
      <c r="D37" s="4" t="s">
        <v>388</v>
      </c>
      <c r="E37" s="7" t="s">
        <v>455</v>
      </c>
      <c r="F37" s="9" t="str">
        <f t="shared" si="10"/>
        <v>法宝挑战1</v>
      </c>
      <c r="G37" s="9"/>
      <c r="H37" s="1" t="str">
        <f t="shared" si="11"/>
        <v>ReplaceableTextures\\CommandButtons\\BTNAT1A.blp</v>
      </c>
      <c r="I37" s="11"/>
      <c r="J37" s="11"/>
      <c r="K37" s="11">
        <v>1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berserk</v>
      </c>
      <c r="V37" s="5" t="s">
        <v>40</v>
      </c>
      <c r="W37" s="5" t="s">
        <v>40</v>
      </c>
      <c r="X37" s="5" t="s">
        <v>40</v>
      </c>
      <c r="Y37" s="5" t="s">
        <v>40</v>
      </c>
      <c r="Z37" s="5">
        <v>60</v>
      </c>
    </row>
    <row r="38" spans="1:26" s="1" customFormat="1">
      <c r="A38" s="1">
        <v>32</v>
      </c>
      <c r="B38" s="4" t="s">
        <v>486</v>
      </c>
      <c r="C38" s="11" t="s">
        <v>16</v>
      </c>
      <c r="D38" s="4" t="s">
        <v>388</v>
      </c>
      <c r="E38" s="7" t="s">
        <v>456</v>
      </c>
      <c r="F38" s="9" t="str">
        <f t="shared" si="10"/>
        <v>法宝挑战2</v>
      </c>
      <c r="G38" s="9"/>
      <c r="H38" s="1" t="str">
        <f t="shared" si="11"/>
        <v>ReplaceableTextures\\CommandButtons\\BTNAT1B.blp</v>
      </c>
      <c r="I38" s="11"/>
      <c r="J38" s="11"/>
      <c r="K38" s="11">
        <v>1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berserk</v>
      </c>
      <c r="V38" s="5" t="s">
        <v>40</v>
      </c>
      <c r="W38" s="5" t="s">
        <v>40</v>
      </c>
      <c r="X38" s="5" t="s">
        <v>40</v>
      </c>
      <c r="Y38" s="5" t="s">
        <v>40</v>
      </c>
      <c r="Z38" s="5">
        <v>60</v>
      </c>
    </row>
    <row r="39" spans="1:26" s="1" customFormat="1">
      <c r="A39" s="1">
        <v>32</v>
      </c>
      <c r="B39" s="4" t="s">
        <v>487</v>
      </c>
      <c r="C39" s="11" t="s">
        <v>16</v>
      </c>
      <c r="D39" s="4" t="s">
        <v>388</v>
      </c>
      <c r="E39" s="7" t="s">
        <v>457</v>
      </c>
      <c r="F39" s="9" t="str">
        <f t="shared" si="10"/>
        <v>法宝挑战3</v>
      </c>
      <c r="G39" s="9"/>
      <c r="H39" s="1" t="str">
        <f t="shared" si="11"/>
        <v>ReplaceableTextures\\CommandButtons\\BTNAT1C.blp</v>
      </c>
      <c r="I39" s="11"/>
      <c r="J39" s="11"/>
      <c r="K39" s="11">
        <v>1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berserk</v>
      </c>
      <c r="V39" s="5" t="s">
        <v>40</v>
      </c>
      <c r="W39" s="5" t="s">
        <v>40</v>
      </c>
      <c r="X39" s="5" t="s">
        <v>40</v>
      </c>
      <c r="Y39" s="5" t="s">
        <v>40</v>
      </c>
      <c r="Z39" s="5">
        <v>60</v>
      </c>
    </row>
    <row r="40" spans="1:26" s="1" customFormat="1">
      <c r="A40" s="1">
        <v>32</v>
      </c>
      <c r="B40" s="4" t="s">
        <v>488</v>
      </c>
      <c r="C40" s="11" t="s">
        <v>16</v>
      </c>
      <c r="D40" s="4" t="s">
        <v>388</v>
      </c>
      <c r="E40" s="7" t="s">
        <v>458</v>
      </c>
      <c r="F40" s="9" t="str">
        <f t="shared" si="10"/>
        <v>法宝挑战4</v>
      </c>
      <c r="G40" s="9"/>
      <c r="H40" s="1" t="str">
        <f t="shared" si="11"/>
        <v>ReplaceableTextures\\CommandButtons\\BTNAT1D.blp</v>
      </c>
      <c r="I40" s="11"/>
      <c r="J40" s="11"/>
      <c r="K40" s="11">
        <v>1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berserk</v>
      </c>
      <c r="V40" s="5" t="s">
        <v>40</v>
      </c>
      <c r="W40" s="5" t="s">
        <v>40</v>
      </c>
      <c r="X40" s="5" t="s">
        <v>40</v>
      </c>
      <c r="Y40" s="5" t="s">
        <v>40</v>
      </c>
      <c r="Z40" s="5">
        <v>60</v>
      </c>
    </row>
    <row r="41" spans="1:26" s="1" customFormat="1">
      <c r="A41" s="1">
        <v>32</v>
      </c>
      <c r="B41" s="4" t="s">
        <v>489</v>
      </c>
      <c r="C41" s="11" t="s">
        <v>16</v>
      </c>
      <c r="D41" s="4" t="s">
        <v>388</v>
      </c>
      <c r="E41" s="7" t="s">
        <v>459</v>
      </c>
      <c r="F41" s="9" t="str">
        <f t="shared" si="10"/>
        <v>法宝挑战5</v>
      </c>
      <c r="G41" s="9"/>
      <c r="H41" s="1" t="str">
        <f t="shared" si="11"/>
        <v>ReplaceableTextures\\CommandButtons\\BTNAT1E.blp</v>
      </c>
      <c r="I41" s="11"/>
      <c r="J41" s="11"/>
      <c r="K41" s="11">
        <v>1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berserk</v>
      </c>
      <c r="V41" s="5" t="s">
        <v>40</v>
      </c>
      <c r="W41" s="5" t="s">
        <v>40</v>
      </c>
      <c r="X41" s="5" t="s">
        <v>40</v>
      </c>
      <c r="Y41" s="5" t="s">
        <v>40</v>
      </c>
      <c r="Z41" s="5">
        <v>60</v>
      </c>
    </row>
    <row r="42" spans="1:26" s="1" customFormat="1">
      <c r="A42" s="1">
        <v>32</v>
      </c>
      <c r="B42" s="4" t="s">
        <v>490</v>
      </c>
      <c r="C42" s="11" t="s">
        <v>16</v>
      </c>
      <c r="D42" s="4" t="s">
        <v>388</v>
      </c>
      <c r="E42" s="7" t="s">
        <v>460</v>
      </c>
      <c r="F42" s="9" t="str">
        <f t="shared" si="10"/>
        <v>法宝挑战6</v>
      </c>
      <c r="G42" s="9"/>
      <c r="H42" s="1" t="str">
        <f t="shared" si="11"/>
        <v>ReplaceableTextures\\CommandButtons\\BTNAT1F.blp</v>
      </c>
      <c r="I42" s="11"/>
      <c r="J42" s="11"/>
      <c r="K42" s="11">
        <v>1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berserk</v>
      </c>
      <c r="V42" s="5" t="s">
        <v>40</v>
      </c>
      <c r="W42" s="5" t="s">
        <v>40</v>
      </c>
      <c r="X42" s="5" t="s">
        <v>40</v>
      </c>
      <c r="Y42" s="5" t="s">
        <v>40</v>
      </c>
      <c r="Z42" s="5">
        <v>60</v>
      </c>
    </row>
    <row r="43" spans="1:26" s="1" customFormat="1">
      <c r="A43" s="1">
        <v>32</v>
      </c>
      <c r="B43" s="4" t="s">
        <v>491</v>
      </c>
      <c r="C43" s="11" t="s">
        <v>16</v>
      </c>
      <c r="D43" s="4" t="s">
        <v>388</v>
      </c>
      <c r="E43" s="7" t="s">
        <v>461</v>
      </c>
      <c r="F43" s="9" t="str">
        <f t="shared" si="10"/>
        <v>法宝挑战7</v>
      </c>
      <c r="G43" s="9"/>
      <c r="H43" s="1" t="str">
        <f t="shared" si="11"/>
        <v>ReplaceableTextures\\CommandButtons\\BTNAT1G.blp</v>
      </c>
      <c r="I43" s="11"/>
      <c r="J43" s="11"/>
      <c r="K43" s="11">
        <v>1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berserk</v>
      </c>
      <c r="V43" s="5" t="s">
        <v>40</v>
      </c>
      <c r="W43" s="5" t="s">
        <v>40</v>
      </c>
      <c r="X43" s="5" t="s">
        <v>40</v>
      </c>
      <c r="Y43" s="5" t="s">
        <v>40</v>
      </c>
      <c r="Z43" s="5">
        <v>60</v>
      </c>
    </row>
    <row r="44" spans="1:26" s="1" customFormat="1">
      <c r="A44" s="1">
        <v>32</v>
      </c>
      <c r="B44" s="4" t="s">
        <v>492</v>
      </c>
      <c r="C44" s="11" t="s">
        <v>16</v>
      </c>
      <c r="D44" s="4" t="s">
        <v>388</v>
      </c>
      <c r="E44" s="7" t="s">
        <v>462</v>
      </c>
      <c r="F44" s="9" t="str">
        <f t="shared" si="10"/>
        <v>法宝挑战8</v>
      </c>
      <c r="G44" s="9"/>
      <c r="H44" s="1" t="str">
        <f t="shared" si="11"/>
        <v>ReplaceableTextures\\CommandButtons\\BTNAT1H.blp</v>
      </c>
      <c r="I44" s="11"/>
      <c r="J44" s="11"/>
      <c r="K44" s="11">
        <v>1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berserk</v>
      </c>
      <c r="V44" s="5" t="s">
        <v>40</v>
      </c>
      <c r="W44" s="5" t="s">
        <v>40</v>
      </c>
      <c r="X44" s="5" t="s">
        <v>40</v>
      </c>
      <c r="Y44" s="5" t="s">
        <v>40</v>
      </c>
      <c r="Z44" s="5">
        <v>60</v>
      </c>
    </row>
    <row r="45" spans="1:26" s="1" customFormat="1">
      <c r="A45" s="1">
        <v>32</v>
      </c>
      <c r="B45" s="4" t="s">
        <v>493</v>
      </c>
      <c r="C45" s="11" t="s">
        <v>16</v>
      </c>
      <c r="D45" s="4" t="s">
        <v>388</v>
      </c>
      <c r="E45" s="7" t="s">
        <v>465</v>
      </c>
      <c r="F45" s="9" t="str">
        <f t="shared" si="10"/>
        <v>法宝挑战9</v>
      </c>
      <c r="G45" s="9"/>
      <c r="H45" s="1" t="str">
        <f t="shared" si="11"/>
        <v>ReplaceableTextures\\CommandButtons\\BTNAT1I.blp</v>
      </c>
      <c r="I45" s="11"/>
      <c r="J45" s="11"/>
      <c r="K45" s="11">
        <v>1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berserk</v>
      </c>
      <c r="V45" s="5" t="s">
        <v>40</v>
      </c>
      <c r="W45" s="5" t="s">
        <v>40</v>
      </c>
      <c r="X45" s="5" t="s">
        <v>40</v>
      </c>
      <c r="Y45" s="5" t="s">
        <v>40</v>
      </c>
      <c r="Z45" s="5">
        <v>60</v>
      </c>
    </row>
    <row r="46" spans="1:26" s="1" customFormat="1">
      <c r="A46" s="1">
        <v>32</v>
      </c>
      <c r="B46" s="4" t="s">
        <v>494</v>
      </c>
      <c r="C46" s="11" t="s">
        <v>16</v>
      </c>
      <c r="D46" s="4" t="s">
        <v>388</v>
      </c>
      <c r="E46" s="7" t="s">
        <v>466</v>
      </c>
      <c r="F46" s="9" t="str">
        <f t="shared" si="10"/>
        <v>法宝挑战10</v>
      </c>
      <c r="G46" s="9"/>
      <c r="H46" s="1" t="str">
        <f t="shared" si="11"/>
        <v>ReplaceableTextures\\CommandButtons\\BTNAT1J.blp</v>
      </c>
      <c r="I46" s="11"/>
      <c r="J46" s="11"/>
      <c r="K46" s="11">
        <v>1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berserk</v>
      </c>
      <c r="V46" s="5" t="s">
        <v>40</v>
      </c>
      <c r="W46" s="5" t="s">
        <v>40</v>
      </c>
      <c r="X46" s="5" t="s">
        <v>40</v>
      </c>
      <c r="Y46" s="5" t="s">
        <v>40</v>
      </c>
      <c r="Z46" s="5">
        <v>60</v>
      </c>
    </row>
    <row r="47" spans="1:26" s="1" customFormat="1">
      <c r="A47" s="1">
        <v>32</v>
      </c>
      <c r="B47" s="4" t="s">
        <v>505</v>
      </c>
      <c r="C47" s="11" t="s">
        <v>16</v>
      </c>
      <c r="D47" s="4" t="s">
        <v>388</v>
      </c>
      <c r="E47" s="7" t="s">
        <v>503</v>
      </c>
      <c r="F47" s="9" t="str">
        <f t="shared" si="10"/>
        <v>法宝挑战11</v>
      </c>
      <c r="G47" s="9"/>
      <c r="H47" s="1" t="str">
        <f t="shared" ref="H47:H48" si="13">"ReplaceableTextures\\CommandButtons\\BTN"&amp;B47&amp;".blp"</f>
        <v>ReplaceableTextures\\CommandButtons\\BTNAT1K.blp</v>
      </c>
      <c r="I47" s="11"/>
      <c r="J47" s="11"/>
      <c r="K47" s="11">
        <v>1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berserk</v>
      </c>
      <c r="V47" s="5" t="s">
        <v>40</v>
      </c>
      <c r="W47" s="5" t="s">
        <v>40</v>
      </c>
      <c r="X47" s="5" t="s">
        <v>40</v>
      </c>
      <c r="Y47" s="5" t="s">
        <v>40</v>
      </c>
      <c r="Z47" s="5">
        <v>60</v>
      </c>
    </row>
    <row r="48" spans="1:26" s="1" customFormat="1">
      <c r="A48" s="1">
        <v>32</v>
      </c>
      <c r="B48" s="4" t="s">
        <v>506</v>
      </c>
      <c r="C48" s="11" t="s">
        <v>16</v>
      </c>
      <c r="D48" s="4" t="s">
        <v>388</v>
      </c>
      <c r="E48" s="7" t="s">
        <v>504</v>
      </c>
      <c r="F48" s="9" t="str">
        <f t="shared" si="10"/>
        <v>法宝挑战12</v>
      </c>
      <c r="G48" s="9"/>
      <c r="H48" s="1" t="str">
        <f t="shared" si="13"/>
        <v>ReplaceableTextures\\CommandButtons\\BTNAT1L.blp</v>
      </c>
      <c r="I48" s="11"/>
      <c r="J48" s="11"/>
      <c r="K48" s="11">
        <v>1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berserk</v>
      </c>
      <c r="V48" s="5" t="s">
        <v>40</v>
      </c>
      <c r="W48" s="5" t="s">
        <v>40</v>
      </c>
      <c r="X48" s="5" t="s">
        <v>40</v>
      </c>
      <c r="Y48" s="5" t="s">
        <v>40</v>
      </c>
      <c r="Z48" s="5">
        <v>60</v>
      </c>
    </row>
    <row r="49" spans="1:26" s="1" customFormat="1">
      <c r="A49" s="1">
        <v>33</v>
      </c>
      <c r="B49" s="4" t="s">
        <v>495</v>
      </c>
      <c r="C49" s="11" t="s">
        <v>16</v>
      </c>
      <c r="D49" s="4" t="s">
        <v>388</v>
      </c>
      <c r="E49" s="7" t="s">
        <v>467</v>
      </c>
      <c r="F49" s="9" t="str">
        <f t="shared" si="10"/>
        <v>门票挑战1</v>
      </c>
      <c r="G49" s="9"/>
      <c r="H49" s="1" t="str">
        <f t="shared" si="11"/>
        <v>ReplaceableTextures\\CommandButtons\\BTNAT2A.blp</v>
      </c>
      <c r="I49" s="11"/>
      <c r="J49" s="11"/>
      <c r="K49" s="11">
        <v>2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blackarrow</v>
      </c>
      <c r="V49" s="5" t="s">
        <v>40</v>
      </c>
      <c r="W49" s="5" t="s">
        <v>40</v>
      </c>
      <c r="X49" s="5" t="s">
        <v>40</v>
      </c>
      <c r="Y49" s="5" t="s">
        <v>40</v>
      </c>
      <c r="Z49" s="5">
        <v>60</v>
      </c>
    </row>
    <row r="50" spans="1:26" s="1" customFormat="1">
      <c r="A50" s="1">
        <v>33</v>
      </c>
      <c r="B50" s="4" t="s">
        <v>496</v>
      </c>
      <c r="C50" s="11" t="s">
        <v>16</v>
      </c>
      <c r="D50" s="4" t="s">
        <v>388</v>
      </c>
      <c r="E50" s="7" t="s">
        <v>468</v>
      </c>
      <c r="F50" s="9" t="str">
        <f t="shared" si="10"/>
        <v>门票挑战2</v>
      </c>
      <c r="G50" s="9"/>
      <c r="H50" s="1" t="str">
        <f t="shared" si="11"/>
        <v>ReplaceableTextures\\CommandButtons\\BTNAT2B.blp</v>
      </c>
      <c r="I50" s="11" t="s">
        <v>530</v>
      </c>
      <c r="J50" s="11"/>
      <c r="K50" s="11">
        <v>2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blackarrow</v>
      </c>
      <c r="V50" s="5" t="s">
        <v>40</v>
      </c>
      <c r="W50" s="5" t="s">
        <v>40</v>
      </c>
      <c r="X50" s="5" t="s">
        <v>40</v>
      </c>
      <c r="Y50" s="5" t="s">
        <v>40</v>
      </c>
      <c r="Z50" s="5">
        <v>60</v>
      </c>
    </row>
    <row r="51" spans="1:26" s="1" customFormat="1">
      <c r="A51" s="1">
        <v>33</v>
      </c>
      <c r="B51" s="4" t="s">
        <v>497</v>
      </c>
      <c r="C51" s="11" t="s">
        <v>16</v>
      </c>
      <c r="D51" s="4" t="s">
        <v>388</v>
      </c>
      <c r="E51" s="7" t="s">
        <v>469</v>
      </c>
      <c r="F51" s="9" t="str">
        <f t="shared" si="10"/>
        <v>门票挑战3</v>
      </c>
      <c r="G51" s="9"/>
      <c r="H51" s="1" t="str">
        <f t="shared" si="11"/>
        <v>ReplaceableTextures\\CommandButtons\\BTNAT2C.blp</v>
      </c>
      <c r="I51" s="11" t="s">
        <v>520</v>
      </c>
      <c r="J51" s="11"/>
      <c r="K51" s="11">
        <v>2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blackarrow</v>
      </c>
      <c r="V51" s="5" t="s">
        <v>40</v>
      </c>
      <c r="W51" s="5" t="s">
        <v>40</v>
      </c>
      <c r="X51" s="5" t="s">
        <v>40</v>
      </c>
      <c r="Y51" s="5" t="s">
        <v>40</v>
      </c>
      <c r="Z51" s="5">
        <v>60</v>
      </c>
    </row>
    <row r="52" spans="1:26" s="1" customFormat="1">
      <c r="A52" s="1">
        <v>33</v>
      </c>
      <c r="B52" s="4" t="s">
        <v>498</v>
      </c>
      <c r="C52" s="11" t="s">
        <v>16</v>
      </c>
      <c r="D52" s="4" t="s">
        <v>388</v>
      </c>
      <c r="E52" s="7" t="s">
        <v>470</v>
      </c>
      <c r="F52" s="9" t="str">
        <f t="shared" si="10"/>
        <v>门票挑战4</v>
      </c>
      <c r="G52" s="9"/>
      <c r="H52" s="1" t="str">
        <f t="shared" si="11"/>
        <v>ReplaceableTextures\\CommandButtons\\BTNAT2D.blp</v>
      </c>
      <c r="I52" s="11" t="s">
        <v>531</v>
      </c>
      <c r="J52" s="11"/>
      <c r="K52" s="11">
        <v>2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blackarrow</v>
      </c>
      <c r="V52" s="5" t="s">
        <v>40</v>
      </c>
      <c r="W52" s="5" t="s">
        <v>40</v>
      </c>
      <c r="X52" s="5" t="s">
        <v>40</v>
      </c>
      <c r="Y52" s="5" t="s">
        <v>40</v>
      </c>
      <c r="Z52" s="5">
        <v>60</v>
      </c>
    </row>
    <row r="53" spans="1:26" s="1" customFormat="1">
      <c r="A53" s="1">
        <v>33</v>
      </c>
      <c r="B53" s="4" t="s">
        <v>499</v>
      </c>
      <c r="C53" s="11" t="s">
        <v>16</v>
      </c>
      <c r="D53" s="4" t="s">
        <v>388</v>
      </c>
      <c r="E53" s="7" t="s">
        <v>471</v>
      </c>
      <c r="F53" s="9" t="str">
        <f t="shared" si="10"/>
        <v>门票挑战5</v>
      </c>
      <c r="G53" s="9"/>
      <c r="H53" s="1" t="str">
        <f t="shared" si="11"/>
        <v>ReplaceableTextures\\CommandButtons\\BTNAT2E.blp</v>
      </c>
      <c r="I53" s="11" t="s">
        <v>523</v>
      </c>
      <c r="J53" s="11"/>
      <c r="K53" s="11">
        <v>2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blackarrow</v>
      </c>
      <c r="V53" s="5" t="s">
        <v>40</v>
      </c>
      <c r="W53" s="5" t="s">
        <v>40</v>
      </c>
      <c r="X53" s="5" t="s">
        <v>40</v>
      </c>
      <c r="Y53" s="5" t="s">
        <v>40</v>
      </c>
      <c r="Z53" s="5">
        <v>60</v>
      </c>
    </row>
    <row r="54" spans="1:26" s="1" customFormat="1">
      <c r="A54" s="1">
        <v>33</v>
      </c>
      <c r="B54" s="4" t="s">
        <v>500</v>
      </c>
      <c r="C54" s="11" t="s">
        <v>16</v>
      </c>
      <c r="D54" s="4" t="s">
        <v>388</v>
      </c>
      <c r="E54" s="7" t="s">
        <v>472</v>
      </c>
      <c r="F54" s="9" t="str">
        <f t="shared" si="10"/>
        <v>门票挑战6</v>
      </c>
      <c r="G54" s="9"/>
      <c r="H54" s="1" t="str">
        <f t="shared" si="11"/>
        <v>ReplaceableTextures\\CommandButtons\\BTNAT2F.blp</v>
      </c>
      <c r="I54" s="11" t="s">
        <v>524</v>
      </c>
      <c r="J54" s="11"/>
      <c r="K54" s="11">
        <v>2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blackarrow</v>
      </c>
      <c r="V54" s="5" t="s">
        <v>40</v>
      </c>
      <c r="W54" s="5" t="s">
        <v>40</v>
      </c>
      <c r="X54" s="5" t="s">
        <v>40</v>
      </c>
      <c r="Y54" s="5" t="s">
        <v>40</v>
      </c>
      <c r="Z54" s="5">
        <v>60</v>
      </c>
    </row>
    <row r="55" spans="1:26" s="1" customFormat="1">
      <c r="A55" s="1">
        <v>33</v>
      </c>
      <c r="B55" s="4" t="s">
        <v>501</v>
      </c>
      <c r="C55" s="11" t="s">
        <v>16</v>
      </c>
      <c r="D55" s="4" t="s">
        <v>388</v>
      </c>
      <c r="E55" s="7" t="s">
        <v>473</v>
      </c>
      <c r="F55" s="9" t="str">
        <f t="shared" si="10"/>
        <v>门票挑战7</v>
      </c>
      <c r="G55" s="9"/>
      <c r="H55" s="1" t="str">
        <f t="shared" si="11"/>
        <v>ReplaceableTextures\\CommandButtons\\BTNAT2G.blp</v>
      </c>
      <c r="I55" s="11" t="s">
        <v>526</v>
      </c>
      <c r="J55" s="11"/>
      <c r="K55" s="11">
        <v>2</v>
      </c>
      <c r="L55" s="11">
        <v>2</v>
      </c>
      <c r="N55" s="9" t="s">
        <v>19</v>
      </c>
      <c r="O55" s="1">
        <v>1</v>
      </c>
      <c r="P55" s="1">
        <v>0</v>
      </c>
      <c r="Q55" s="1">
        <v>0</v>
      </c>
      <c r="R55" s="1">
        <v>1</v>
      </c>
      <c r="S55" s="1">
        <v>0</v>
      </c>
      <c r="T55" s="1">
        <v>0</v>
      </c>
      <c r="U55" s="1" t="str">
        <f>IF(A55="","",INDEX(id!$A:$A,A55))</f>
        <v>blackarrow</v>
      </c>
      <c r="V55" s="5" t="s">
        <v>40</v>
      </c>
      <c r="W55" s="5" t="s">
        <v>40</v>
      </c>
      <c r="X55" s="5" t="s">
        <v>40</v>
      </c>
      <c r="Y55" s="5" t="s">
        <v>40</v>
      </c>
      <c r="Z55" s="5">
        <v>60</v>
      </c>
    </row>
    <row r="56" spans="1:26" s="1" customFormat="1">
      <c r="A56" s="1">
        <v>33</v>
      </c>
      <c r="B56" s="4" t="s">
        <v>502</v>
      </c>
      <c r="C56" s="11" t="s">
        <v>16</v>
      </c>
      <c r="D56" s="4" t="s">
        <v>388</v>
      </c>
      <c r="E56" s="7" t="s">
        <v>474</v>
      </c>
      <c r="F56" s="9" t="str">
        <f t="shared" si="10"/>
        <v>门票挑战8</v>
      </c>
      <c r="G56" s="9"/>
      <c r="H56" s="1" t="str">
        <f t="shared" si="11"/>
        <v>ReplaceableTextures\\CommandButtons\\BTNAT2H.blp</v>
      </c>
      <c r="I56" s="11" t="s">
        <v>527</v>
      </c>
      <c r="J56" s="11"/>
      <c r="K56" s="11">
        <v>2</v>
      </c>
      <c r="L56" s="11">
        <v>2</v>
      </c>
      <c r="N56" s="9" t="s">
        <v>19</v>
      </c>
      <c r="O56" s="1">
        <v>1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U56" s="1" t="str">
        <f>IF(A56="","",INDEX(id!$A:$A,A56))</f>
        <v>blackarrow</v>
      </c>
      <c r="V56" s="5" t="s">
        <v>40</v>
      </c>
      <c r="W56" s="5" t="s">
        <v>40</v>
      </c>
      <c r="X56" s="5" t="s">
        <v>40</v>
      </c>
      <c r="Y56" s="5" t="s">
        <v>40</v>
      </c>
      <c r="Z56" s="5">
        <v>60</v>
      </c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7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 ht="16.5">
      <c r="B109" s="4"/>
      <c r="D109" s="15"/>
      <c r="E109" s="6"/>
      <c r="F109" s="9"/>
      <c r="G109" s="9"/>
    </row>
    <row r="110" spans="2:7" s="1" customFormat="1" ht="16.5">
      <c r="B110" s="4"/>
      <c r="D110" s="15"/>
      <c r="E110" s="6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8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8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7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8"/>
      <c r="F137" s="9"/>
      <c r="G137" s="9"/>
    </row>
    <row r="138" spans="2:7" s="1" customFormat="1">
      <c r="B138" s="4"/>
      <c r="D138" s="15"/>
      <c r="E138" s="7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8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 ht="16.5">
      <c r="B169" s="4"/>
      <c r="D169" s="15"/>
      <c r="E169" s="6"/>
      <c r="F169" s="9"/>
      <c r="G169" s="9"/>
    </row>
    <row r="170" spans="2:7" s="1" customFormat="1" ht="16.5">
      <c r="B170" s="4"/>
      <c r="D170" s="15"/>
      <c r="E170" s="6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 ht="16.5">
      <c r="B229" s="4"/>
      <c r="D229" s="15"/>
      <c r="E229" s="6"/>
      <c r="F229" s="9"/>
      <c r="G229" s="9"/>
    </row>
    <row r="230" spans="2:7" s="1" customFormat="1" ht="16.5">
      <c r="B230" s="4"/>
      <c r="D230" s="15"/>
      <c r="E230" s="6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>
      <c r="B271" s="4"/>
      <c r="D271" s="15"/>
      <c r="E271" s="7"/>
      <c r="F271" s="9"/>
      <c r="G271" s="9"/>
    </row>
    <row r="272" spans="2:7" s="1" customFormat="1">
      <c r="B272" s="4"/>
      <c r="D272" s="15"/>
      <c r="E272" s="7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 s="1" customFormat="1" ht="16.5">
      <c r="B289" s="4"/>
      <c r="D289" s="15"/>
      <c r="E289" s="6"/>
      <c r="F289" s="9"/>
      <c r="G289" s="9"/>
    </row>
    <row r="290" spans="1:7" s="1" customFormat="1" ht="16.5">
      <c r="B290" s="4"/>
      <c r="D290" s="15"/>
      <c r="E290" s="6"/>
      <c r="F290" s="9"/>
      <c r="G290" s="9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A301" s="1"/>
      <c r="F301" s="10"/>
      <c r="G301" s="10"/>
    </row>
    <row r="302" spans="1:7">
      <c r="A302" s="1"/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  <row r="308" spans="6:7">
      <c r="F308" s="10"/>
      <c r="G308" s="10"/>
    </row>
    <row r="309" spans="6:7">
      <c r="F309" s="10"/>
      <c r="G309" s="10"/>
    </row>
  </sheetData>
  <autoFilter ref="A1:E27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2020-02-04T10:58:28Z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