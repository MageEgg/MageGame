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I48"/>
  <c r="H48"/>
  <c r="F48"/>
  <c r="U47"/>
  <c r="I47"/>
  <c r="H47"/>
  <c r="F47"/>
  <c r="I29"/>
  <c r="I30"/>
  <c r="I31"/>
  <c r="I32"/>
  <c r="I33"/>
  <c r="I34"/>
  <c r="I35"/>
  <c r="I36"/>
  <c r="I38"/>
  <c r="I39"/>
  <c r="I40"/>
  <c r="I41"/>
  <c r="I42"/>
  <c r="I43"/>
  <c r="I44"/>
  <c r="I45"/>
  <c r="I46"/>
  <c r="I50"/>
  <c r="I51"/>
  <c r="I52"/>
  <c r="I53"/>
  <c r="I54"/>
  <c r="I55"/>
  <c r="I5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I11"/>
  <c r="I12"/>
  <c r="I13"/>
  <c r="I14"/>
  <c r="I15"/>
  <c r="I16"/>
  <c r="I17"/>
  <c r="I18"/>
  <c r="I19"/>
  <c r="I20"/>
  <c r="I21"/>
  <c r="I22"/>
  <c r="I23"/>
  <c r="I24"/>
  <c r="I25"/>
  <c r="I2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I5"/>
  <c r="I6"/>
  <c r="I7"/>
  <c r="I8"/>
  <c r="I9"/>
  <c r="I10"/>
  <c r="I4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<sst xmlns="http://schemas.openxmlformats.org/spreadsheetml/2006/main" count="879" uniqueCount="507">
  <si>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</si>
  <si>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</si>
  <si>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</si>
  <si>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</si>
  <si>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</si>
  <si>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</si>
  <si>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</si>
  <si>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</si>
  <si>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</si>
  <si>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</si>
  <si>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</si>
  <si>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</si>
  <si>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</si>
  <si>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</si>
  <si>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</si>
  <si>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</si>
  <si>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</si>
  <si>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</si>
  <si>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</si>
  <si>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</si>
  <si>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</si>
  <si>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</si>
  <si>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</si>
  <si>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</si>
  <si>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</si>
  <si>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</si>
  <si>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</si>
  <si>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</si>
  <si>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</si>
  <si>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</si>
  <si>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</si>
  <si>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</si>
  <si>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</si>
  <si>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</si>
  <si>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</si>
  <si>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</si>
  <si>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</si>
  <si>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</si>
  <si>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</si>
  <si>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</si>
  <si>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</si>
  <si>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</si>
  <si>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</si>
  <si>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</si>
  <si>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</si>
  <si>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</si>
  <si>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</si>
  <si>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</si>
  <si>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</si>
  <si>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</si>
  <si>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</si>
  <si>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</si>
  <si>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</si>
  <si>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</si>
  <si>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</si>
  <si>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</si>
  <si>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</si>
  <si>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</si>
  <si>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</si>
  <si>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</si>
  <si>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</si>
  <si>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</si>
  <si>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</si>
  <si>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</si>
  <si>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</si>
  <si>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</si>
  <si>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</si>
  <si>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</si>
  <si>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</si>
  <si>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</si>
  <si>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</si>
  <si>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</si>
  <si>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</si>
  <si>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</si>
  <si>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</si>
  <si>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</si>
  <si>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</si>
  <si>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</si>
  <si>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</si>
  <si>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</si>
  <si>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</si>
  <si>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</si>
  <si>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</si>
  <si>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</si>
  <si>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</si>
  <si>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</si>
  <si>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</si>
  <si>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</si>
  <si>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</si>
  <si>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</si>
  <si>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</si>
  <si>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</si>
  <si>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</si>
  <si>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</si>
  <si>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</si>
  <si>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</si>
  <si>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</si>
  <si>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</si>
  <si>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</si>
  <si>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</si>
  <si>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</si>
  <si>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</si>
  <si>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</si>
  <si>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</si>
  <si>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</si>
  <si>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</si>
  <si>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</si>
  <si>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</si>
  <si>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</si>
  <si>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</si>
  <si>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</si>
  <si>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</si>
  <si>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</si>
  <si>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</si>
  <si>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</si>
  <si>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</si>
  <si>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</si>
  <si>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</si>
  <si>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</si>
  <si>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</si>
  <si>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</si>
  <si>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</si>
  <si>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</si>
  <si>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</si>
  <si>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</si>
  <si>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</si>
  <si>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</si>
  <si>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</si>
  <si>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</si>
  <si>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</si>
  <si>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</si>
  <si>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</si>
  <si>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</si>
  <si>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</si>
  <si>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</si>
  <si>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</si>
  <si>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</si>
  <si>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</si>
  <si>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</si>
  <si>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</si>
  <si>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</si>
  <si>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</si>
  <si>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</si>
  <si>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</si>
  <si>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</si>
  <si>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</si>
  <si>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</si>
  <si>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</si>
  <si>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</si>
  <si>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</si>
  <si>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</si>
  <si>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</si>
  <si>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</si>
  <si>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</si>
  <si>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</si>
  <si>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</si>
  <si>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</si>
  <si>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</si>
  <si>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</si>
  <si>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</si>
  <si>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</si>
  <si>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</si>
  <si>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</si>
  <si>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</si>
  <si>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</si>
  <si>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</si>
  <si>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</si>
  <si>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</si>
  <si>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</si>
  <si>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</si>
  <si>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</si>
  <si>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</si>
  <si>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</si>
  <si>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</si>
  <si>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</si>
  <si>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</si>
  <si>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</si>
  <si>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</si>
  <si>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</si>
  <si>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</si>
  <si>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</si>
  <si>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</si>
  <si>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</si>
  <si>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</si>
  <si>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</si>
  <si>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</si>
  <si>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</si>
  <si>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</si>
  <si>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</si>
  <si>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</si>
  <si>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</si>
  <si>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</si>
  <si>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</si>
  <si>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</si>
  <si>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</si>
  <si>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</si>
  <si>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</si>
  <si>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</si>
  <si>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</si>
  <si>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</si>
  <si>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</si>
  <si>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</si>
  <si>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</si>
  <si>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</si>
  <si>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</si>
  <si>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</si>
  <si>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</si>
  <si>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</si>
  <si>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</si>
  <si>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</si>
  <si>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</si>
  <si>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</si>
  <si>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</si>
  <si>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</si>
  <si>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</si>
  <si>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</si>
  <si>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</si>
  <si>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</si>
  <si>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</si>
  <si>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</si>
  <si>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</si>
  <si>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</si>
  <si>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</si>
  <si>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</si>
  <si>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</si>
  <si>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</si>
  <si>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</si>
  <si>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</si>
  <si>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</si>
  <si>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</si>
  <si>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</si>
  <si>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</si>
  <si>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</si>
  <si>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</si>
  <si>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</si>
  <si>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</si>
  <si>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</si>
  <si>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</si>
  <si>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</si>
  <si>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</si>
  <si>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</si>
  <si>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</si>
  <si>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</si>
  <si>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</si>
  <si>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</si>
  <si>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</si>
  <si>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</si>
  <si>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</si>
  <si>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</si>
  <si>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</si>
  <si>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</si>
  <si>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</si>
  <si>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</si>
  <si>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</si>
  <si>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</si>
  <si>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</si>
  <si>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</si>
  <si>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</si>
  <si>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</si>
  <si>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</si>
  <si>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</si>
  <si>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</si>
  <si>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</si>
  <si>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</si>
  <si>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</si>
  <si>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</si>
  <si>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</si>
  <si>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</si>
  <si>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</si>
  <si>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</si>
  <si>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</si>
  <si>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</si>
  <si>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</si>
  <si>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</si>
  <si>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</si>
  <si>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</si>
  <si>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</si>
  <si>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</si>
  <si>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</si>
  <si>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</si>
  <si>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</si>
  <si>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</si>
  <si>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</si>
  <si>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</si>
  <si>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</si>
  <si>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</si>
  <si>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</si>
  <si>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</si>
  <si>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</si>
  <si>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</si>
  <si>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</si>
  <si>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</si>
  <si>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</si>
  <si>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</si>
  <si>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</si>
  <si>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</si>
  <si>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</si>
  <si>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</si>
  <si>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</si>
  <si>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</si>
  <si>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</si>
  <si>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</si>
  <si>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</si>
  <si>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</si>
  <si>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</si>
  <si>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</si>
  <si>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</si>
  <si>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</si>
  <si>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</si>
  <si>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</si>
  <si>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</si>
  <si>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</si>
  <si>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</si>
  <si>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</si>
  <si>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</si>
  <si>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</si>
  <si>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</si>
  <si>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</si>
  <si>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</si>
  <si>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</si>
  <si>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</si>
  <si>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</si>
  <si>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</si>
  <si>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</si>
  <si>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</si>
  <si>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</si>
  <si>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</si>
  <si>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</si>
  <si>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</si>
  <si>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</si>
  <si>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</si>
  <si>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</si>
  <si>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</si>
  <si>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</si>
  <si>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</si>
  <si>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</si>
  <si>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</si>
  <si>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</si>
  <si>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</si>
  <si>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</si>
  <si>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</si>
  <si>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</si>
  <si>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</si>
  <si>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</si>
  <si>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</si>
  <si>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</si>
  <si>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</si>
  <si>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</si>
  <si>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</si>
  <si>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</si>
  <si>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</si>
  <si>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</si>
  <si>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</si>
  <si>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</si>
  <si>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</si>
  <si>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</si>
  <si>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</si>
  <si>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</si>
  <si>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</si>
  <si>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</si>
  <si>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</si>
  <si>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</si>
  <si>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</si>
  <si>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</si>
  <si>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</si>
  <si>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</si>
  <si>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</si>
  <si>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</si>
  <si>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</si>
  <si>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</si>
  <si>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</si>
  <si>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</si>
  <si>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</si>
  <si>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</si>
  <si>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</si>
  <si>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</si>
  <si>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</si>
  <si>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</si>
  <si>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</si>
  <si>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</si>
  <si>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</si>
  <si>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</si>
  <si>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</si>
  <si>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</si>
  <si>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</si>
  <si>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</si>
  <si>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</si>
  <si>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</si>
  <si>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</si>
  <si>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</si>
  <si>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</si>
  <si>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</si>
  <si>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</si>
  <si>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</si>
  <si>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</si>
  <si>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</si>
  <si>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</si>
  <si>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</si>
  <si>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</si>
  <si>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</si>
  <si>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</si>
  <si>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</si>
  <si>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</si>
  <si>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</si>
  <si>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</si>
  <si>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</si>
  <si>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</si>
  <si>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</si>
  <si>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</si>
  <si>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</si>
  <si>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</si>
  <si>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</si>
  <si>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</si>
  <si>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</si>
  <si>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</si>
  <si>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</si>
  <si>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</si>
  <si>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</si>
  <si>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</si>
  <si>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</si>
  <si>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</si>
  <si>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</si>
  <si>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</si>
  <si>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</si>
  <si>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</si>
  <si>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</si>
  <si>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</si>
  <si>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</si>
  <si>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</si>
  <si>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</si>
  <si>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</si>
  <si>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</si>
  <si>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</si>
  <si>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</si>
  <si>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</si>
  <si>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</si>
  <si>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</si>
  <si>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</si>
  <si>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</si>
  <si>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</si>
  <si>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</si>
  <si>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</si>
  <si>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</si>
  <si>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</si>
  <si>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</si>
  <si>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</si>
  <si>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</si>
  <si>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</si>
  <si>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</si>
  <si>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</si>
  <si>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</si>
  <si>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</si>
  <si>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</si>
  <si>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</si>
  <si>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</si>
  <si>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</si>
  <si>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</si>
  <si>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</si>
  <si>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</si>
  <si>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</si>
  <si>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</si>
  <si>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</si>
  <si>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</si>
  <si>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</si>
  <si>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</si>
  <si>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</si>
  <si>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</si>
  <si>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</si>
  <si>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</si>
  <si>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</si>
  <si>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</si>
  <si>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</si>
  <si>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</si>
  <si>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</si>
  <si>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</si>
  <si>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</si>
  <si>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</si>
  <si>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</si>
  <si>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</si>
  <si>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</si>
  <si>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</si>
  <si>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</si>
  <si>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</si>
  <si>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</si>
  <si>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</si>
  <si>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</si>
  <si>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</si>
  <si>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</si>
  <si>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</si>
  <si>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</si>
  <si>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</si>
  <si>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</si>
  <si>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</si>
  <si>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</si>
  <si>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</si>
  <si>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</si>
  <si>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</si>
  <si>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</si>
  <si>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</si>
  <si>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</si>
  <si>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</si>
  <si>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</si>
  <si>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</si>
  <si>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法宝挑战11</t>
  </si>
  <si>
    <t>法宝挑战12</t>
  </si>
  <si>
    <t>AT1K</t>
    <phoneticPr fontId="3" type="noConversion"/>
  </si>
  <si>
    <t>AT1L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</si>
</sst>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J24" activePane="bottomRight" state="frozen"/>
      <selection pane="topRight"/>
      <selection pane="bottomLeft"/>
      <selection pane="bottomRight" activeCell="L37" sqref="L37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/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/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/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tr">
        <f>"K"&amp;RIGHT(B3,3)</f>
        <v>KTAA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/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tr">
        <f t="shared" ref="I5:I26" si="4">"K"&amp;RIGHT(B4,3)</f>
        <v>KTAB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/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tr">
        <f t="shared" si="4"/>
        <v>KTAC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/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5">"ReplaceableTextures\\CommandButtons\\BTN"&amp;B7&amp;".blp"</f>
        <v>ReplaceableTextures\\CommandButtons\\BTNATAE.blp</v>
      </c>
      <c r="I7" s="11" t="str">
        <f t="shared" si="4"/>
        <v>KTAD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/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5"/>
        <v>ReplaceableTextures\\CommandButtons\\BTNATAF.blp</v>
      </c>
      <c r="I8" s="11" t="str">
        <f t="shared" si="4"/>
        <v>KTAE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/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5"/>
        <v>ReplaceableTextures\\CommandButtons\\BTNATAG.blp</v>
      </c>
      <c r="I9" s="11" t="str">
        <f t="shared" si="4"/>
        <v>KTAF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/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6">"ReplaceableTextures\\CommandButtons\\BTN"&amp;B10&amp;".blp"</f>
        <v>ReplaceableTextures\\CommandButtons\\BTNATAH.blp</v>
      </c>
      <c r="I10" s="11" t="str">
        <f t="shared" si="4"/>
        <v>KTAG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/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tr">
        <f t="shared" si="4"/>
        <v>KTAH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/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7">"ReplaceableTextures\\CommandButtons\\BTN"&amp;B12&amp;".blp"</f>
        <v>ReplaceableTextures\\CommandButtons\\BTNATAJ.blp</v>
      </c>
      <c r="I12" s="11" t="str">
        <f t="shared" si="4"/>
        <v>KTAI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/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7"/>
        <v>ReplaceableTextures\\CommandButtons\\BTNATAK.blp</v>
      </c>
      <c r="I13" s="11" t="str">
        <f t="shared" si="4"/>
        <v>KTAJ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/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tr">
        <f t="shared" si="4"/>
        <v>KTAK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/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8">"ReplaceableTextures\\CommandButtons\\BTN"&amp;B15&amp;".blp"</f>
        <v>ReplaceableTextures\\CommandButtons\\BTNATAM.blp</v>
      </c>
      <c r="I15" s="11" t="str">
        <f t="shared" si="4"/>
        <v>KTAL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/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8"/>
        <v>ReplaceableTextures\\CommandButtons\\BTNATAN.blp</v>
      </c>
      <c r="I16" s="11" t="str">
        <f t="shared" si="4"/>
        <v>KTAM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/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8"/>
        <v>ReplaceableTextures\\CommandButtons\\BTNATAO.blp</v>
      </c>
      <c r="I17" s="11" t="str">
        <f t="shared" si="4"/>
        <v>KTAN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/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8"/>
        <v>ReplaceableTextures\\CommandButtons\\BTNATAP.blp</v>
      </c>
      <c r="I18" s="11" t="str">
        <f t="shared" si="4"/>
        <v>KTAO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/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tr">
        <f t="shared" si="4"/>
        <v>KTAP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/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9">"ReplaceableTextures\\CommandButtons\\BTN"&amp;B20&amp;".blp"</f>
        <v>ReplaceableTextures\\CommandButtons\\BTNATAR.blp</v>
      </c>
      <c r="I20" s="11" t="str">
        <f t="shared" si="4"/>
        <v>KTAQ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/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9"/>
        <v>ReplaceableTextures\\CommandButtons\\BTNATAS.blp</v>
      </c>
      <c r="I21" s="11" t="str">
        <f t="shared" si="4"/>
        <v>KTAR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/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tr">
        <f t="shared" si="4"/>
        <v>KTAS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/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10">"ReplaceableTextures\\CommandButtons\\BTN"&amp;B23&amp;".blp"</f>
        <v>ReplaceableTextures\\CommandButtons\\BTNATAU.blp</v>
      </c>
      <c r="I23" s="11" t="str">
        <f t="shared" si="4"/>
        <v>KTAT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/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10"/>
        <v>ReplaceableTextures\\CommandButtons\\BTNATAV.blp</v>
      </c>
      <c r="I24" s="11" t="str">
        <f t="shared" si="4"/>
        <v>KTAU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/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10"/>
        <v>ReplaceableTextures\\CommandButtons\\BTNATAW.blp</v>
      </c>
      <c r="I25" s="11" t="str">
        <f t="shared" si="4"/>
        <v>KTAV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/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10"/>
        <v>ReplaceableTextures\\CommandButtons\\BTNATAX.blp</v>
      </c>
      <c r="I26" s="11" t="str">
        <f t="shared" si="4"/>
        <v>KTAW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/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 t="shared" ref="F27:F56" si="11">E27</f>
        <v>灵力挑战1</v>
      </c>
      <c r="G27" s="9"/>
      <c r="H27" s="1" t="str">
        <f t="shared" ref="H27:H56" si="12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/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 t="shared" si="11"/>
        <v>灵力挑战2</v>
      </c>
      <c r="G28" s="9"/>
      <c r="H28" s="1" t="str">
        <f t="shared" si="12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/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 t="shared" si="11"/>
        <v>灵力挑战3</v>
      </c>
      <c r="G29" s="9"/>
      <c r="H29" s="1" t="str">
        <f t="shared" si="12"/>
        <v>ReplaceableTextures\\CommandButtons\\BTNAT0C.blp</v>
      </c>
      <c r="I29" s="11" t="str">
        <f t="shared" ref="I29:I56" si="13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/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 t="shared" si="11"/>
        <v>灵力挑战4</v>
      </c>
      <c r="G30" s="9"/>
      <c r="H30" s="1" t="str">
        <f t="shared" si="12"/>
        <v>ReplaceableTextures\\CommandButtons\\BTNAT0D.blp</v>
      </c>
      <c r="I30" s="11" t="str">
        <f t="shared" si="13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/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 t="shared" si="11"/>
        <v>灵力挑战5</v>
      </c>
      <c r="G31" s="9"/>
      <c r="H31" s="1" t="str">
        <f t="shared" si="12"/>
        <v>ReplaceableTextures\\CommandButtons\\BTNAT0E.blp</v>
      </c>
      <c r="I31" s="11" t="str">
        <f t="shared" si="13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/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 t="shared" si="11"/>
        <v>灵力挑战6</v>
      </c>
      <c r="G32" s="9"/>
      <c r="H32" s="1" t="str">
        <f t="shared" si="12"/>
        <v>ReplaceableTextures\\CommandButtons\\BTNAT0F.blp</v>
      </c>
      <c r="I32" s="11" t="str">
        <f t="shared" si="13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/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 t="shared" si="11"/>
        <v>灵力挑战7</v>
      </c>
      <c r="G33" s="9"/>
      <c r="H33" s="1" t="str">
        <f t="shared" si="12"/>
        <v>ReplaceableTextures\\CommandButtons\\BTNAT0G.blp</v>
      </c>
      <c r="I33" s="11" t="str">
        <f t="shared" si="13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/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 t="shared" si="11"/>
        <v>灵力挑战8</v>
      </c>
      <c r="G34" s="9"/>
      <c r="H34" s="1" t="str">
        <f t="shared" si="12"/>
        <v>ReplaceableTextures\\CommandButtons\\BTNAT0H.blp</v>
      </c>
      <c r="I34" s="11" t="str">
        <f t="shared" si="13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/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 t="shared" si="11"/>
        <v>灵力挑战9</v>
      </c>
      <c r="G35" s="9"/>
      <c r="H35" s="1" t="str">
        <f t="shared" si="12"/>
        <v>ReplaceableTextures\\CommandButtons\\BTNAT0I.blp</v>
      </c>
      <c r="I35" s="11" t="str">
        <f t="shared" si="13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/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 t="shared" si="11"/>
        <v>灵力挑战10</v>
      </c>
      <c r="G36" s="9"/>
      <c r="H36" s="1" t="str">
        <f t="shared" si="12"/>
        <v>ReplaceableTextures\\CommandButtons\\BTNAT0J.blp</v>
      </c>
      <c r="I36" s="11" t="str">
        <f t="shared" si="13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/>
    </row>
    <row r="37" spans="1:26" s="1" customFormat="1">
      <c r="A37" s="1">
        <v>32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 t="shared" si="11"/>
        <v>法宝挑战1</v>
      </c>
      <c r="G37" s="9"/>
      <c r="H37" s="1" t="str">
        <f t="shared" si="12"/>
        <v>ReplaceableTextures\\CommandButtons\\BTNAT1A.blp</v>
      </c>
      <c r="I37" s="11"/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/>
    </row>
    <row r="38" spans="1:26" s="1" customFormat="1">
      <c r="A38" s="1">
        <v>32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 t="shared" si="11"/>
        <v>法宝挑战2</v>
      </c>
      <c r="G38" s="9"/>
      <c r="H38" s="1" t="str">
        <f t="shared" si="12"/>
        <v>ReplaceableTextures\\CommandButtons\\BTNAT1B.blp</v>
      </c>
      <c r="I38" s="11" t="str">
        <f t="shared" si="13"/>
        <v>KT1A</v>
      </c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/>
    </row>
    <row r="39" spans="1:26" s="1" customFormat="1">
      <c r="A39" s="1">
        <v>32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 t="shared" si="11"/>
        <v>法宝挑战3</v>
      </c>
      <c r="G39" s="9"/>
      <c r="H39" s="1" t="str">
        <f t="shared" si="12"/>
        <v>ReplaceableTextures\\CommandButtons\\BTNAT1C.blp</v>
      </c>
      <c r="I39" s="11" t="str">
        <f t="shared" si="13"/>
        <v>KT1B</v>
      </c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/>
    </row>
    <row r="40" spans="1:26" s="1" customFormat="1">
      <c r="A40" s="1">
        <v>32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 t="shared" si="11"/>
        <v>法宝挑战4</v>
      </c>
      <c r="G40" s="9"/>
      <c r="H40" s="1" t="str">
        <f t="shared" si="12"/>
        <v>ReplaceableTextures\\CommandButtons\\BTNAT1D.blp</v>
      </c>
      <c r="I40" s="11" t="str">
        <f t="shared" si="13"/>
        <v>KT1C</v>
      </c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/>
    </row>
    <row r="41" spans="1:26" s="1" customFormat="1">
      <c r="A41" s="1">
        <v>32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 t="shared" si="11"/>
        <v>法宝挑战5</v>
      </c>
      <c r="G41" s="9"/>
      <c r="H41" s="1" t="str">
        <f t="shared" si="12"/>
        <v>ReplaceableTextures\\CommandButtons\\BTNAT1E.blp</v>
      </c>
      <c r="I41" s="11" t="str">
        <f t="shared" si="13"/>
        <v>KT1D</v>
      </c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/>
    </row>
    <row r="42" spans="1:26" s="1" customFormat="1">
      <c r="A42" s="1">
        <v>32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 t="shared" si="11"/>
        <v>法宝挑战6</v>
      </c>
      <c r="G42" s="9"/>
      <c r="H42" s="1" t="str">
        <f t="shared" si="12"/>
        <v>ReplaceableTextures\\CommandButtons\\BTNAT1F.blp</v>
      </c>
      <c r="I42" s="11" t="str">
        <f t="shared" si="13"/>
        <v>KT1E</v>
      </c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/>
    </row>
    <row r="43" spans="1:26" s="1" customFormat="1">
      <c r="A43" s="1">
        <v>32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 t="shared" si="11"/>
        <v>法宝挑战7</v>
      </c>
      <c r="G43" s="9"/>
      <c r="H43" s="1" t="str">
        <f t="shared" si="12"/>
        <v>ReplaceableTextures\\CommandButtons\\BTNAT1G.blp</v>
      </c>
      <c r="I43" s="11" t="str">
        <f t="shared" si="13"/>
        <v>KT1F</v>
      </c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/>
    </row>
    <row r="44" spans="1:26" s="1" customFormat="1">
      <c r="A44" s="1">
        <v>32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 t="shared" si="11"/>
        <v>法宝挑战8</v>
      </c>
      <c r="G44" s="9"/>
      <c r="H44" s="1" t="str">
        <f t="shared" si="12"/>
        <v>ReplaceableTextures\\CommandButtons\\BTNAT1H.blp</v>
      </c>
      <c r="I44" s="11" t="str">
        <f t="shared" si="13"/>
        <v>KT1G</v>
      </c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/>
    </row>
    <row r="45" spans="1:26" s="1" customFormat="1">
      <c r="A45" s="1">
        <v>32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 t="shared" si="11"/>
        <v>法宝挑战9</v>
      </c>
      <c r="G45" s="9"/>
      <c r="H45" s="1" t="str">
        <f t="shared" si="12"/>
        <v>ReplaceableTextures\\CommandButtons\\BTNAT1I.blp</v>
      </c>
      <c r="I45" s="11" t="str">
        <f t="shared" si="13"/>
        <v>KT1H</v>
      </c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/>
    </row>
    <row r="46" spans="1:26" s="1" customFormat="1">
      <c r="A46" s="1">
        <v>32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 t="shared" si="11"/>
        <v>法宝挑战10</v>
      </c>
      <c r="G46" s="9"/>
      <c r="H46" s="1" t="str">
        <f t="shared" si="12"/>
        <v>ReplaceableTextures\\CommandButtons\\BTNAT1J.blp</v>
      </c>
      <c r="I46" s="11" t="str">
        <f t="shared" si="13"/>
        <v>KT1I</v>
      </c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/>
    </row>
    <row r="47" spans="1:26" s="1" customFormat="1">
      <c r="A47" s="1">
        <v>32</v>
      </c>
      <c r="B47" s="4" t="s">
        <v>505</v>
      </c>
      <c r="C47" s="11" t="s">
        <v>16</v>
      </c>
      <c r="D47" s="4" t="s">
        <v>388</v>
      </c>
      <c r="E47" s="7" t="s">
        <v>503</v>
      </c>
      <c r="F47" s="9" t="str">
        <f t="shared" si="11"/>
        <v>法宝挑战11</v>
      </c>
      <c r="G47" s="9"/>
      <c r="H47" s="1" t="str">
        <f t="shared" ref="H47:H48" si="14">"ReplaceableTextures\\CommandButtons\\BTN"&amp;B47&amp;".blp"</f>
        <v>ReplaceableTextures\\CommandButtons\\BTNAT1K.blp</v>
      </c>
      <c r="I47" s="11" t="str">
        <f t="shared" ref="I47:I48" si="15">"K"&amp;RIGHT(B46,3)</f>
        <v>KT1J</v>
      </c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/>
    </row>
    <row r="48" spans="1:26" s="1" customFormat="1">
      <c r="A48" s="1">
        <v>32</v>
      </c>
      <c r="B48" s="4" t="s">
        <v>506</v>
      </c>
      <c r="C48" s="11" t="s">
        <v>16</v>
      </c>
      <c r="D48" s="4" t="s">
        <v>388</v>
      </c>
      <c r="E48" s="7" t="s">
        <v>504</v>
      </c>
      <c r="F48" s="9" t="str">
        <f t="shared" si="11"/>
        <v>法宝挑战12</v>
      </c>
      <c r="G48" s="9"/>
      <c r="H48" s="1" t="str">
        <f t="shared" si="14"/>
        <v>ReplaceableTextures\\CommandButtons\\BTNAT1L.blp</v>
      </c>
      <c r="I48" s="11" t="str">
        <f t="shared" si="15"/>
        <v>KT1K</v>
      </c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/>
    </row>
    <row r="49" spans="1:26" s="1" customFormat="1">
      <c r="A49" s="1">
        <v>33</v>
      </c>
      <c r="B49" s="4" t="s">
        <v>495</v>
      </c>
      <c r="C49" s="11" t="s">
        <v>16</v>
      </c>
      <c r="D49" s="4" t="s">
        <v>388</v>
      </c>
      <c r="E49" s="7" t="s">
        <v>467</v>
      </c>
      <c r="F49" s="9" t="str">
        <f t="shared" si="11"/>
        <v>门票挑战1</v>
      </c>
      <c r="G49" s="9"/>
      <c r="H49" s="1" t="str">
        <f t="shared" si="12"/>
        <v>ReplaceableTextures\\CommandButtons\\BTNAT2A.blp</v>
      </c>
      <c r="I49" s="11"/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/>
    </row>
    <row r="50" spans="1:26" s="1" customFormat="1">
      <c r="A50" s="1">
        <v>33</v>
      </c>
      <c r="B50" s="4" t="s">
        <v>496</v>
      </c>
      <c r="C50" s="11" t="s">
        <v>16</v>
      </c>
      <c r="D50" s="4" t="s">
        <v>388</v>
      </c>
      <c r="E50" s="7" t="s">
        <v>468</v>
      </c>
      <c r="F50" s="9" t="str">
        <f t="shared" si="11"/>
        <v>门票挑战2</v>
      </c>
      <c r="G50" s="9"/>
      <c r="H50" s="1" t="str">
        <f t="shared" si="12"/>
        <v>ReplaceableTextures\\CommandButtons\\BTNAT2B.blp</v>
      </c>
      <c r="I50" s="11" t="str">
        <f t="shared" si="13"/>
        <v>KT2A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/>
    </row>
    <row r="51" spans="1:26" s="1" customFormat="1">
      <c r="A51" s="1">
        <v>33</v>
      </c>
      <c r="B51" s="4" t="s">
        <v>497</v>
      </c>
      <c r="C51" s="11" t="s">
        <v>16</v>
      </c>
      <c r="D51" s="4" t="s">
        <v>388</v>
      </c>
      <c r="E51" s="7" t="s">
        <v>469</v>
      </c>
      <c r="F51" s="9" t="str">
        <f t="shared" si="11"/>
        <v>门票挑战3</v>
      </c>
      <c r="G51" s="9"/>
      <c r="H51" s="1" t="str">
        <f t="shared" si="12"/>
        <v>ReplaceableTextures\\CommandButtons\\BTNAT2C.blp</v>
      </c>
      <c r="I51" s="11" t="str">
        <f t="shared" si="13"/>
        <v>KT2B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/>
    </row>
    <row r="52" spans="1:26" s="1" customFormat="1">
      <c r="A52" s="1">
        <v>33</v>
      </c>
      <c r="B52" s="4" t="s">
        <v>498</v>
      </c>
      <c r="C52" s="11" t="s">
        <v>16</v>
      </c>
      <c r="D52" s="4" t="s">
        <v>388</v>
      </c>
      <c r="E52" s="7" t="s">
        <v>470</v>
      </c>
      <c r="F52" s="9" t="str">
        <f t="shared" si="11"/>
        <v>门票挑战4</v>
      </c>
      <c r="G52" s="9"/>
      <c r="H52" s="1" t="str">
        <f t="shared" si="12"/>
        <v>ReplaceableTextures\\CommandButtons\\BTNAT2D.blp</v>
      </c>
      <c r="I52" s="11" t="str">
        <f t="shared" si="13"/>
        <v>KT2C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/>
    </row>
    <row r="53" spans="1:26" s="1" customFormat="1">
      <c r="A53" s="1">
        <v>33</v>
      </c>
      <c r="B53" s="4" t="s">
        <v>499</v>
      </c>
      <c r="C53" s="11" t="s">
        <v>16</v>
      </c>
      <c r="D53" s="4" t="s">
        <v>388</v>
      </c>
      <c r="E53" s="7" t="s">
        <v>471</v>
      </c>
      <c r="F53" s="9" t="str">
        <f t="shared" si="11"/>
        <v>门票挑战5</v>
      </c>
      <c r="G53" s="9"/>
      <c r="H53" s="1" t="str">
        <f t="shared" si="12"/>
        <v>ReplaceableTextures\\CommandButtons\\BTNAT2E.blp</v>
      </c>
      <c r="I53" s="11" t="str">
        <f t="shared" si="13"/>
        <v>KT2D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/>
    </row>
    <row r="54" spans="1:26" s="1" customFormat="1">
      <c r="A54" s="1">
        <v>33</v>
      </c>
      <c r="B54" s="4" t="s">
        <v>500</v>
      </c>
      <c r="C54" s="11" t="s">
        <v>16</v>
      </c>
      <c r="D54" s="4" t="s">
        <v>388</v>
      </c>
      <c r="E54" s="7" t="s">
        <v>472</v>
      </c>
      <c r="F54" s="9" t="str">
        <f t="shared" si="11"/>
        <v>门票挑战6</v>
      </c>
      <c r="G54" s="9"/>
      <c r="H54" s="1" t="str">
        <f t="shared" si="12"/>
        <v>ReplaceableTextures\\CommandButtons\\BTNAT2F.blp</v>
      </c>
      <c r="I54" s="11" t="str">
        <f t="shared" si="13"/>
        <v>KT2E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/>
    </row>
    <row r="55" spans="1:26" s="1" customFormat="1">
      <c r="A55" s="1">
        <v>33</v>
      </c>
      <c r="B55" s="4" t="s">
        <v>501</v>
      </c>
      <c r="C55" s="11" t="s">
        <v>16</v>
      </c>
      <c r="D55" s="4" t="s">
        <v>388</v>
      </c>
      <c r="E55" s="7" t="s">
        <v>473</v>
      </c>
      <c r="F55" s="9" t="str">
        <f t="shared" si="11"/>
        <v>门票挑战7</v>
      </c>
      <c r="G55" s="9"/>
      <c r="H55" s="1" t="str">
        <f t="shared" si="12"/>
        <v>ReplaceableTextures\\CommandButtons\\BTNAT2G.blp</v>
      </c>
      <c r="I55" s="11" t="str">
        <f t="shared" si="13"/>
        <v>KT2F</v>
      </c>
      <c r="J55" s="11"/>
      <c r="K55" s="11">
        <v>2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/>
    </row>
    <row r="56" spans="1:26" s="1" customFormat="1">
      <c r="A56" s="1">
        <v>33</v>
      </c>
      <c r="B56" s="4" t="s">
        <v>502</v>
      </c>
      <c r="C56" s="11" t="s">
        <v>16</v>
      </c>
      <c r="D56" s="4" t="s">
        <v>388</v>
      </c>
      <c r="E56" s="7" t="s">
        <v>474</v>
      </c>
      <c r="F56" s="9" t="str">
        <f t="shared" si="11"/>
        <v>门票挑战8</v>
      </c>
      <c r="G56" s="9"/>
      <c r="H56" s="1" t="str">
        <f t="shared" si="12"/>
        <v>ReplaceableTextures\\CommandButtons\\BTNAT2H.blp</v>
      </c>
      <c r="I56" s="11" t="str">
        <f t="shared" si="13"/>
        <v>KT2G</v>
      </c>
      <c r="J56" s="11"/>
      <c r="K56" s="11">
        <v>2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/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