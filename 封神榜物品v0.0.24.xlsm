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080" windowHeight="13065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P000!$A$1:$AP$706</definedName>
  </definedNames>
  <calcPr calcId="125725"/>
</workbook>
</file>

<file path=xl/calcChain.xml><?xml version="1.0" encoding="utf-8"?>
<calcChain xmlns="http://schemas.openxmlformats.org/spreadsheetml/2006/main"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M127"/>
  <c r="L127"/>
  <c r="K127"/>
  <c r="N127" s="1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M124"/>
  <c r="L124"/>
  <c r="K124"/>
  <c r="N124" s="1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28" i="2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C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C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C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C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C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T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T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T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T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U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AB48"/>
  <c r="AA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AB43"/>
  <c r="AA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AB38"/>
  <c r="AA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AB33"/>
  <c r="AA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AO23"/>
  <c r="W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AO18"/>
  <c r="W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AO13"/>
  <c r="W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W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249" i="1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I213"/>
  <c r="K213" s="1"/>
  <c r="H213"/>
  <c r="J213" s="1"/>
  <c r="B213"/>
  <c r="M212"/>
  <c r="I212"/>
  <c r="K212" s="1"/>
  <c r="H212"/>
  <c r="J212" s="1"/>
  <c r="B212"/>
  <c r="M211"/>
  <c r="I211"/>
  <c r="K211" s="1"/>
  <c r="H211"/>
  <c r="J211" s="1"/>
  <c r="B211"/>
  <c r="M210"/>
  <c r="I210"/>
  <c r="K210" s="1"/>
  <c r="H210"/>
  <c r="J210" s="1"/>
  <c r="B210"/>
  <c r="M209"/>
  <c r="I209"/>
  <c r="K209" s="1"/>
  <c r="H209"/>
  <c r="J209" s="1"/>
  <c r="B209"/>
  <c r="M208"/>
  <c r="I208"/>
  <c r="K208" s="1"/>
  <c r="H208"/>
  <c r="J208" s="1"/>
  <c r="B208"/>
  <c r="M207"/>
  <c r="I207"/>
  <c r="K207" s="1"/>
  <c r="H207"/>
  <c r="J207" s="1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I194"/>
  <c r="K194" s="1"/>
  <c r="H194"/>
  <c r="J194" s="1"/>
  <c r="B194"/>
  <c r="M193"/>
  <c r="I193"/>
  <c r="K193" s="1"/>
  <c r="H193"/>
  <c r="J193" s="1"/>
  <c r="B193"/>
  <c r="M192"/>
  <c r="I192"/>
  <c r="K192" s="1"/>
  <c r="H192"/>
  <c r="J192" s="1"/>
  <c r="B192"/>
  <c r="M191"/>
  <c r="I191"/>
  <c r="K191" s="1"/>
  <c r="H191"/>
  <c r="J191" s="1"/>
  <c r="B191"/>
  <c r="M190"/>
  <c r="I190"/>
  <c r="K190" s="1"/>
  <c r="H190"/>
  <c r="J190" s="1"/>
  <c r="B190"/>
  <c r="M189"/>
  <c r="I189"/>
  <c r="K189" s="1"/>
  <c r="H189"/>
  <c r="J189" s="1"/>
  <c r="B189"/>
  <c r="M188"/>
  <c r="I188"/>
  <c r="K188" s="1"/>
  <c r="H188"/>
  <c r="J188" s="1"/>
  <c r="B188"/>
  <c r="M187"/>
  <c r="I187"/>
  <c r="K187" s="1"/>
  <c r="H187"/>
  <c r="J187" s="1"/>
  <c r="B187"/>
  <c r="M186"/>
  <c r="I186"/>
  <c r="K186" s="1"/>
  <c r="H186"/>
  <c r="J186" s="1"/>
  <c r="B186"/>
  <c r="M185"/>
  <c r="I185"/>
  <c r="K185" s="1"/>
  <c r="H185"/>
  <c r="J185" s="1"/>
  <c r="B185"/>
  <c r="M184"/>
  <c r="I184"/>
  <c r="K184" s="1"/>
  <c r="H184"/>
  <c r="J184" s="1"/>
  <c r="B184"/>
  <c r="M183"/>
  <c r="I183"/>
  <c r="K183" s="1"/>
  <c r="H183"/>
  <c r="J183" s="1"/>
  <c r="B183"/>
  <c r="M182"/>
  <c r="I182"/>
  <c r="K182" s="1"/>
  <c r="H182"/>
  <c r="J182" s="1"/>
  <c r="B182"/>
  <c r="M181"/>
  <c r="I181"/>
  <c r="K181" s="1"/>
  <c r="H181"/>
  <c r="J181" s="1"/>
  <c r="B181"/>
  <c r="M180"/>
  <c r="I180"/>
  <c r="K180" s="1"/>
  <c r="H180"/>
  <c r="J180" s="1"/>
  <c r="B180"/>
  <c r="M179"/>
  <c r="I179"/>
  <c r="K179" s="1"/>
  <c r="H179"/>
  <c r="J179" s="1"/>
  <c r="B179"/>
  <c r="M178"/>
  <c r="I178"/>
  <c r="K178" s="1"/>
  <c r="H178"/>
  <c r="J178" s="1"/>
  <c r="B178"/>
  <c r="M177"/>
  <c r="I177"/>
  <c r="K177" s="1"/>
  <c r="H177"/>
  <c r="J177" s="1"/>
  <c r="B177"/>
  <c r="M176"/>
  <c r="I176"/>
  <c r="K176" s="1"/>
  <c r="H176"/>
  <c r="J176" s="1"/>
  <c r="B176"/>
  <c r="M175"/>
  <c r="I175"/>
  <c r="K175" s="1"/>
  <c r="H175"/>
  <c r="J175" s="1"/>
  <c r="B175"/>
  <c r="M174"/>
  <c r="I174"/>
  <c r="K174" s="1"/>
  <c r="H174"/>
  <c r="J174" s="1"/>
  <c r="B174"/>
  <c r="M173"/>
  <c r="I173"/>
  <c r="K173" s="1"/>
  <c r="H173"/>
  <c r="J173" s="1"/>
  <c r="B173"/>
  <c r="M172"/>
  <c r="I172"/>
  <c r="K172" s="1"/>
  <c r="H172"/>
  <c r="J172" s="1"/>
  <c r="B172"/>
  <c r="M171"/>
  <c r="I171"/>
  <c r="K171" s="1"/>
  <c r="H171"/>
  <c r="J171" s="1"/>
  <c r="B171"/>
  <c r="M170"/>
  <c r="I170"/>
  <c r="K170" s="1"/>
  <c r="H170"/>
  <c r="J170" s="1"/>
  <c r="B170"/>
  <c r="M169"/>
  <c r="I169"/>
  <c r="K169" s="1"/>
  <c r="H169"/>
  <c r="J169" s="1"/>
  <c r="B169"/>
  <c r="M168"/>
  <c r="I168"/>
  <c r="K168" s="1"/>
  <c r="H168"/>
  <c r="J168" s="1"/>
  <c r="B168"/>
  <c r="M167"/>
  <c r="I167"/>
  <c r="K167" s="1"/>
  <c r="H167"/>
  <c r="J167" s="1"/>
  <c r="B167"/>
  <c r="M166"/>
  <c r="I166"/>
  <c r="K166" s="1"/>
  <c r="H166"/>
  <c r="J166" s="1"/>
  <c r="B166"/>
  <c r="M165"/>
  <c r="I165"/>
  <c r="K165" s="1"/>
  <c r="H165"/>
  <c r="J165" s="1"/>
  <c r="B165"/>
  <c r="M164"/>
  <c r="I164"/>
  <c r="K164" s="1"/>
  <c r="H164"/>
  <c r="J164" s="1"/>
  <c r="B164"/>
  <c r="M163"/>
  <c r="I163"/>
  <c r="K163" s="1"/>
  <c r="H163"/>
  <c r="J163" s="1"/>
  <c r="B163"/>
  <c r="M162"/>
  <c r="I162"/>
  <c r="K162" s="1"/>
  <c r="H162"/>
  <c r="J162" s="1"/>
  <c r="B162"/>
  <c r="M161"/>
  <c r="I161"/>
  <c r="K161" s="1"/>
  <c r="H161"/>
  <c r="J161" s="1"/>
  <c r="B161"/>
  <c r="M160"/>
  <c r="I160"/>
  <c r="K160" s="1"/>
  <c r="H160"/>
  <c r="J160" s="1"/>
  <c r="B160"/>
  <c r="M159"/>
  <c r="I159"/>
  <c r="K159" s="1"/>
  <c r="H159"/>
  <c r="J159" s="1"/>
  <c r="B159"/>
  <c r="M158"/>
  <c r="I158"/>
  <c r="K158" s="1"/>
  <c r="H158"/>
  <c r="J158" s="1"/>
  <c r="B158"/>
  <c r="M157"/>
  <c r="I157"/>
  <c r="K157" s="1"/>
  <c r="H157"/>
  <c r="J157" s="1"/>
  <c r="B157"/>
  <c r="M156"/>
  <c r="I156"/>
  <c r="K156" s="1"/>
  <c r="H156"/>
  <c r="J156" s="1"/>
  <c r="B156"/>
  <c r="M155"/>
  <c r="I155"/>
  <c r="K155" s="1"/>
  <c r="H155"/>
  <c r="J155" s="1"/>
  <c r="B155"/>
  <c r="M154"/>
  <c r="I154"/>
  <c r="K154" s="1"/>
  <c r="H154"/>
  <c r="J154" s="1"/>
  <c r="B154"/>
  <c r="M153"/>
  <c r="I153"/>
  <c r="K153" s="1"/>
  <c r="H153"/>
  <c r="J153" s="1"/>
  <c r="B153"/>
  <c r="M152"/>
  <c r="I152"/>
  <c r="K152" s="1"/>
  <c r="H152"/>
  <c r="J152" s="1"/>
  <c r="B152"/>
  <c r="M151"/>
  <c r="I151"/>
  <c r="K151" s="1"/>
  <c r="H151"/>
  <c r="J151" s="1"/>
  <c r="B151"/>
  <c r="M150"/>
  <c r="I150"/>
  <c r="K150" s="1"/>
  <c r="H150"/>
  <c r="J150" s="1"/>
  <c r="B150"/>
  <c r="M149"/>
  <c r="I149"/>
  <c r="K149" s="1"/>
  <c r="H149"/>
  <c r="J149" s="1"/>
  <c r="B149"/>
  <c r="M148"/>
  <c r="I148"/>
  <c r="K148" s="1"/>
  <c r="H148"/>
  <c r="J148" s="1"/>
  <c r="B148"/>
  <c r="M147"/>
  <c r="I147"/>
  <c r="K147" s="1"/>
  <c r="H147"/>
  <c r="J147" s="1"/>
  <c r="B147"/>
  <c r="M146"/>
  <c r="I146"/>
  <c r="K146" s="1"/>
  <c r="H146"/>
  <c r="J146" s="1"/>
  <c r="B146"/>
  <c r="M145"/>
  <c r="I145"/>
  <c r="K145" s="1"/>
  <c r="H145"/>
  <c r="J145" s="1"/>
  <c r="B145"/>
  <c r="M144"/>
  <c r="I144"/>
  <c r="K144" s="1"/>
  <c r="H144"/>
  <c r="J144" s="1"/>
  <c r="B144"/>
  <c r="M143"/>
  <c r="I143"/>
  <c r="K143" s="1"/>
  <c r="H143"/>
  <c r="J143" s="1"/>
  <c r="B143"/>
  <c r="M142"/>
  <c r="I142"/>
  <c r="K142" s="1"/>
  <c r="H142"/>
  <c r="J142" s="1"/>
  <c r="B142"/>
  <c r="M141"/>
  <c r="I141"/>
  <c r="K141" s="1"/>
  <c r="H141"/>
  <c r="J141" s="1"/>
  <c r="B141"/>
  <c r="M140"/>
  <c r="I140"/>
  <c r="K140" s="1"/>
  <c r="H140"/>
  <c r="J140" s="1"/>
  <c r="B140"/>
  <c r="M139"/>
  <c r="I139"/>
  <c r="K139" s="1"/>
  <c r="H139"/>
  <c r="J139" s="1"/>
  <c r="B139"/>
  <c r="M138"/>
  <c r="I138"/>
  <c r="K138" s="1"/>
  <c r="H138"/>
  <c r="J138" s="1"/>
  <c r="B138"/>
  <c r="M137"/>
  <c r="I137"/>
  <c r="K137" s="1"/>
  <c r="H137"/>
  <c r="J137" s="1"/>
  <c r="B137"/>
  <c r="M136"/>
  <c r="I136"/>
  <c r="K136" s="1"/>
  <c r="H136"/>
  <c r="J136" s="1"/>
  <c r="B136"/>
  <c r="M135"/>
  <c r="I135"/>
  <c r="K135" s="1"/>
  <c r="H135"/>
  <c r="J135" s="1"/>
  <c r="B135"/>
  <c r="M134"/>
  <c r="I134"/>
  <c r="K134" s="1"/>
  <c r="H134"/>
  <c r="J134" s="1"/>
  <c r="B134"/>
  <c r="M133"/>
  <c r="I133"/>
  <c r="K133" s="1"/>
  <c r="H133"/>
  <c r="J133" s="1"/>
  <c r="B133"/>
  <c r="M132"/>
  <c r="I132"/>
  <c r="K132" s="1"/>
  <c r="H132"/>
  <c r="J132" s="1"/>
  <c r="B132"/>
  <c r="M131"/>
  <c r="I131"/>
  <c r="K131" s="1"/>
  <c r="H131"/>
  <c r="J131" s="1"/>
  <c r="B131"/>
  <c r="M130"/>
  <c r="I130"/>
  <c r="K130" s="1"/>
  <c r="H130"/>
  <c r="J130" s="1"/>
  <c r="B130"/>
  <c r="M129"/>
  <c r="I129"/>
  <c r="K129" s="1"/>
  <c r="H129"/>
  <c r="J129" s="1"/>
  <c r="B129"/>
  <c r="M128"/>
  <c r="I128"/>
  <c r="K128" s="1"/>
  <c r="H128"/>
  <c r="J128" s="1"/>
  <c r="B128"/>
  <c r="M127"/>
  <c r="I127"/>
  <c r="K127" s="1"/>
  <c r="H127"/>
  <c r="J127" s="1"/>
  <c r="B127"/>
  <c r="M126"/>
  <c r="I126"/>
  <c r="K126" s="1"/>
  <c r="H126"/>
  <c r="J126" s="1"/>
  <c r="B126"/>
  <c r="M125"/>
  <c r="I125"/>
  <c r="K125" s="1"/>
  <c r="H125"/>
  <c r="J125" s="1"/>
  <c r="B125"/>
  <c r="M124"/>
  <c r="I124"/>
  <c r="K124" s="1"/>
  <c r="H124"/>
  <c r="J124" s="1"/>
  <c r="B124"/>
  <c r="M123"/>
  <c r="I123"/>
  <c r="K123" s="1"/>
  <c r="H123"/>
  <c r="J123" s="1"/>
  <c r="B123"/>
  <c r="M122"/>
  <c r="I122"/>
  <c r="K122" s="1"/>
  <c r="H122"/>
  <c r="J122" s="1"/>
  <c r="B122"/>
  <c r="M121"/>
  <c r="I121"/>
  <c r="K121" s="1"/>
  <c r="H121"/>
  <c r="J121" s="1"/>
  <c r="B121"/>
  <c r="M120"/>
  <c r="I120"/>
  <c r="K120" s="1"/>
  <c r="H120"/>
  <c r="J120" s="1"/>
  <c r="B120"/>
  <c r="M119"/>
  <c r="I119"/>
  <c r="K119" s="1"/>
  <c r="H119"/>
  <c r="J119" s="1"/>
  <c r="B119"/>
  <c r="M118"/>
  <c r="I118"/>
  <c r="K118" s="1"/>
  <c r="H118"/>
  <c r="J118" s="1"/>
  <c r="B118"/>
  <c r="M117"/>
  <c r="I117"/>
  <c r="K117" s="1"/>
  <c r="H117"/>
  <c r="J117" s="1"/>
  <c r="B117"/>
  <c r="M116"/>
  <c r="I116"/>
  <c r="K116" s="1"/>
  <c r="H116"/>
  <c r="J116" s="1"/>
  <c r="B116"/>
  <c r="M115"/>
  <c r="I115"/>
  <c r="K115" s="1"/>
  <c r="H115"/>
  <c r="J115" s="1"/>
  <c r="B115"/>
  <c r="M114"/>
  <c r="I114"/>
  <c r="K114" s="1"/>
  <c r="H114"/>
  <c r="J114" s="1"/>
  <c r="B114"/>
  <c r="M113"/>
  <c r="I113"/>
  <c r="K113" s="1"/>
  <c r="H113"/>
  <c r="J113" s="1"/>
  <c r="B113"/>
  <c r="M112"/>
  <c r="I112"/>
  <c r="K112" s="1"/>
  <c r="H112"/>
  <c r="J112" s="1"/>
  <c r="B112"/>
  <c r="M111"/>
  <c r="I111"/>
  <c r="K111" s="1"/>
  <c r="H111"/>
  <c r="J111" s="1"/>
  <c r="B111"/>
  <c r="M110"/>
  <c r="I110"/>
  <c r="K110" s="1"/>
  <c r="H110"/>
  <c r="J110" s="1"/>
  <c r="B110"/>
  <c r="M109"/>
  <c r="I109"/>
  <c r="K109" s="1"/>
  <c r="H109"/>
  <c r="J109" s="1"/>
  <c r="B109"/>
  <c r="M108"/>
  <c r="I108"/>
  <c r="K108" s="1"/>
  <c r="H108"/>
  <c r="J108" s="1"/>
  <c r="B108"/>
  <c r="M107"/>
  <c r="I107"/>
  <c r="K107" s="1"/>
  <c r="H107"/>
  <c r="J107" s="1"/>
  <c r="B107"/>
  <c r="M106"/>
  <c r="I106"/>
  <c r="K106" s="1"/>
  <c r="H106"/>
  <c r="J106" s="1"/>
  <c r="B106"/>
  <c r="M105"/>
  <c r="I105"/>
  <c r="K105" s="1"/>
  <c r="H105"/>
  <c r="J105" s="1"/>
  <c r="B105"/>
  <c r="M104"/>
  <c r="I104"/>
  <c r="K104" s="1"/>
  <c r="H104"/>
  <c r="J104" s="1"/>
  <c r="B104"/>
  <c r="M103"/>
  <c r="I103"/>
  <c r="K103" s="1"/>
  <c r="H103"/>
  <c r="J103" s="1"/>
  <c r="B103"/>
  <c r="M102"/>
  <c r="I102"/>
  <c r="K102" s="1"/>
  <c r="H102"/>
  <c r="J102" s="1"/>
  <c r="B102"/>
  <c r="M101"/>
  <c r="I101"/>
  <c r="K101" s="1"/>
  <c r="H101"/>
  <c r="J101" s="1"/>
  <c r="B101"/>
  <c r="M100"/>
  <c r="I100"/>
  <c r="K100" s="1"/>
  <c r="H100"/>
  <c r="J100" s="1"/>
  <c r="B100"/>
  <c r="M99"/>
  <c r="I99"/>
  <c r="K99" s="1"/>
  <c r="H99"/>
  <c r="J99" s="1"/>
  <c r="B99"/>
  <c r="M98"/>
  <c r="I98"/>
  <c r="K98" s="1"/>
  <c r="H98"/>
  <c r="J98" s="1"/>
  <c r="B98"/>
  <c r="M97"/>
  <c r="I97"/>
  <c r="K97" s="1"/>
  <c r="H97"/>
  <c r="J97" s="1"/>
  <c r="B97"/>
  <c r="M96"/>
  <c r="I96"/>
  <c r="K96" s="1"/>
  <c r="H96"/>
  <c r="J96" s="1"/>
  <c r="B96"/>
  <c r="M95"/>
  <c r="I95"/>
  <c r="K95" s="1"/>
  <c r="H95"/>
  <c r="J95" s="1"/>
  <c r="B95"/>
  <c r="M94"/>
  <c r="I94"/>
  <c r="K94" s="1"/>
  <c r="H94"/>
  <c r="J94" s="1"/>
  <c r="B94"/>
  <c r="M93"/>
  <c r="I93"/>
  <c r="K93" s="1"/>
  <c r="H93"/>
  <c r="J93" s="1"/>
  <c r="B93"/>
  <c r="M92"/>
  <c r="I92"/>
  <c r="K92" s="1"/>
  <c r="H92"/>
  <c r="J92" s="1"/>
  <c r="B92"/>
  <c r="M91"/>
  <c r="I91"/>
  <c r="K91" s="1"/>
  <c r="H91"/>
  <c r="J91" s="1"/>
  <c r="B91"/>
  <c r="M90"/>
  <c r="I90"/>
  <c r="K90" s="1"/>
  <c r="H90"/>
  <c r="J90" s="1"/>
  <c r="B90"/>
  <c r="M89"/>
  <c r="I89"/>
  <c r="K89" s="1"/>
  <c r="H89"/>
  <c r="J89" s="1"/>
  <c r="B89"/>
  <c r="M88"/>
  <c r="I88"/>
  <c r="K88" s="1"/>
  <c r="H88"/>
  <c r="J88" s="1"/>
  <c r="B88"/>
  <c r="M87"/>
  <c r="I87"/>
  <c r="K87" s="1"/>
  <c r="H87"/>
  <c r="J87" s="1"/>
  <c r="B87"/>
  <c r="M86"/>
  <c r="I86"/>
  <c r="K86" s="1"/>
  <c r="H86"/>
  <c r="J86" s="1"/>
  <c r="B86"/>
  <c r="M85"/>
  <c r="I85"/>
  <c r="K85" s="1"/>
  <c r="H85"/>
  <c r="J85" s="1"/>
  <c r="B85"/>
  <c r="M84"/>
  <c r="I84"/>
  <c r="K84" s="1"/>
  <c r="H84"/>
  <c r="J84" s="1"/>
  <c r="B84"/>
  <c r="M83"/>
  <c r="I83"/>
  <c r="K83" s="1"/>
  <c r="H83"/>
  <c r="J83" s="1"/>
  <c r="B83"/>
  <c r="M82"/>
  <c r="I82"/>
  <c r="K82" s="1"/>
  <c r="H82"/>
  <c r="J82" s="1"/>
  <c r="B82"/>
  <c r="M81"/>
  <c r="I81"/>
  <c r="K81" s="1"/>
  <c r="H81"/>
  <c r="J81" s="1"/>
  <c r="B81"/>
  <c r="M80"/>
  <c r="I80"/>
  <c r="K80" s="1"/>
  <c r="H80"/>
  <c r="J80" s="1"/>
  <c r="B80"/>
  <c r="M79"/>
  <c r="I79"/>
  <c r="K79" s="1"/>
  <c r="H79"/>
  <c r="J79" s="1"/>
  <c r="B79"/>
  <c r="M78"/>
  <c r="I78"/>
  <c r="K78" s="1"/>
  <c r="H78"/>
  <c r="J78" s="1"/>
  <c r="B78"/>
  <c r="M77"/>
  <c r="I77"/>
  <c r="K77" s="1"/>
  <c r="H77"/>
  <c r="J77" s="1"/>
  <c r="B77"/>
  <c r="M76"/>
  <c r="I76"/>
  <c r="K76" s="1"/>
  <c r="H76"/>
  <c r="J76" s="1"/>
  <c r="B76"/>
  <c r="M75"/>
  <c r="I75"/>
  <c r="K75" s="1"/>
  <c r="H75"/>
  <c r="J75" s="1"/>
  <c r="B75"/>
  <c r="M74"/>
  <c r="I74"/>
  <c r="K74" s="1"/>
  <c r="H74"/>
  <c r="J74" s="1"/>
  <c r="B74"/>
  <c r="M73"/>
  <c r="I73"/>
  <c r="K73" s="1"/>
  <c r="H73"/>
  <c r="J73" s="1"/>
  <c r="B73"/>
  <c r="M72"/>
  <c r="I72"/>
  <c r="K72" s="1"/>
  <c r="H72"/>
  <c r="J72" s="1"/>
  <c r="B72"/>
  <c r="M71"/>
  <c r="I71"/>
  <c r="K71" s="1"/>
  <c r="H71"/>
  <c r="J71" s="1"/>
  <c r="B71"/>
  <c r="M70"/>
  <c r="I70"/>
  <c r="K70" s="1"/>
  <c r="H70"/>
  <c r="J70" s="1"/>
  <c r="B70"/>
  <c r="M69"/>
  <c r="I69"/>
  <c r="K69" s="1"/>
  <c r="H69"/>
  <c r="J69" s="1"/>
  <c r="B69"/>
  <c r="M68"/>
  <c r="I68"/>
  <c r="K68" s="1"/>
  <c r="H68"/>
  <c r="J68" s="1"/>
  <c r="B68"/>
  <c r="M67"/>
  <c r="I67"/>
  <c r="K67" s="1"/>
  <c r="H67"/>
  <c r="J67" s="1"/>
  <c r="B67"/>
  <c r="M66"/>
  <c r="I66"/>
  <c r="K66" s="1"/>
  <c r="H66"/>
  <c r="J66" s="1"/>
  <c r="B66"/>
  <c r="M65"/>
  <c r="I65"/>
  <c r="K65" s="1"/>
  <c r="H65"/>
  <c r="J65" s="1"/>
  <c r="B65"/>
  <c r="M64"/>
  <c r="I64"/>
  <c r="K64" s="1"/>
  <c r="H64"/>
  <c r="J64" s="1"/>
  <c r="B64"/>
  <c r="M63"/>
  <c r="I63"/>
  <c r="K63" s="1"/>
  <c r="H63"/>
  <c r="J63" s="1"/>
  <c r="B63"/>
  <c r="M62"/>
  <c r="I62"/>
  <c r="K62" s="1"/>
  <c r="H62"/>
  <c r="J62" s="1"/>
  <c r="B62"/>
  <c r="M61"/>
  <c r="I61"/>
  <c r="K61" s="1"/>
  <c r="H61"/>
  <c r="J61" s="1"/>
  <c r="B61"/>
  <c r="M60"/>
  <c r="I60"/>
  <c r="K60" s="1"/>
  <c r="H60"/>
  <c r="J60" s="1"/>
  <c r="B60"/>
  <c r="M59"/>
  <c r="I59"/>
  <c r="K59" s="1"/>
  <c r="H59"/>
  <c r="J59" s="1"/>
  <c r="B59"/>
  <c r="M58"/>
  <c r="I58"/>
  <c r="K58" s="1"/>
  <c r="H58"/>
  <c r="J58" s="1"/>
  <c r="B58"/>
  <c r="M57"/>
  <c r="I57"/>
  <c r="K57" s="1"/>
  <c r="H57"/>
  <c r="J57" s="1"/>
  <c r="B57"/>
  <c r="M56"/>
  <c r="I56"/>
  <c r="K56" s="1"/>
  <c r="H56"/>
  <c r="J56" s="1"/>
  <c r="B56"/>
  <c r="M55"/>
  <c r="I55"/>
  <c r="K55" s="1"/>
  <c r="H55"/>
  <c r="J55" s="1"/>
  <c r="B55"/>
  <c r="M54"/>
  <c r="I54"/>
  <c r="K54" s="1"/>
  <c r="H54"/>
  <c r="J54" s="1"/>
  <c r="B54"/>
  <c r="M53"/>
  <c r="I53"/>
  <c r="K53" s="1"/>
  <c r="H53"/>
  <c r="J53" s="1"/>
  <c r="B53"/>
  <c r="M52"/>
  <c r="I52"/>
  <c r="K52" s="1"/>
  <c r="H52"/>
  <c r="J52" s="1"/>
  <c r="B52"/>
  <c r="M51"/>
  <c r="I51"/>
  <c r="K51" s="1"/>
  <c r="H51"/>
  <c r="J51" s="1"/>
  <c r="B51"/>
  <c r="M50"/>
  <c r="I50"/>
  <c r="K50" s="1"/>
  <c r="H50"/>
  <c r="J50" s="1"/>
  <c r="B50"/>
  <c r="M49"/>
  <c r="I49"/>
  <c r="K49" s="1"/>
  <c r="H49"/>
  <c r="J49" s="1"/>
  <c r="B49"/>
  <c r="M48"/>
  <c r="I48"/>
  <c r="K48" s="1"/>
  <c r="H48"/>
  <c r="J48" s="1"/>
  <c r="B48"/>
  <c r="M47"/>
  <c r="I47"/>
  <c r="K47" s="1"/>
  <c r="H47"/>
  <c r="J47" s="1"/>
  <c r="B47"/>
  <c r="M46"/>
  <c r="I46"/>
  <c r="K46" s="1"/>
  <c r="H46"/>
  <c r="J46" s="1"/>
  <c r="B46"/>
  <c r="M45"/>
  <c r="I45"/>
  <c r="K45" s="1"/>
  <c r="H45"/>
  <c r="J45" s="1"/>
  <c r="B45"/>
  <c r="M44"/>
  <c r="I44"/>
  <c r="K44" s="1"/>
  <c r="H44"/>
  <c r="J44" s="1"/>
  <c r="B44"/>
  <c r="M43"/>
  <c r="I43"/>
  <c r="K43" s="1"/>
  <c r="H43"/>
  <c r="J43" s="1"/>
  <c r="B43"/>
  <c r="M42"/>
  <c r="I42"/>
  <c r="K42" s="1"/>
  <c r="H42"/>
  <c r="J42" s="1"/>
  <c r="B42"/>
  <c r="M41"/>
  <c r="I41"/>
  <c r="K41" s="1"/>
  <c r="H41"/>
  <c r="J41" s="1"/>
  <c r="B41"/>
  <c r="M40"/>
  <c r="I40"/>
  <c r="K40" s="1"/>
  <c r="H40"/>
  <c r="J40" s="1"/>
  <c r="B40"/>
  <c r="M39"/>
  <c r="I39"/>
  <c r="K39" s="1"/>
  <c r="H39"/>
  <c r="J39" s="1"/>
  <c r="B39"/>
  <c r="M38"/>
  <c r="I38"/>
  <c r="K38" s="1"/>
  <c r="H38"/>
  <c r="J38" s="1"/>
  <c r="B38"/>
  <c r="M37"/>
  <c r="I37"/>
  <c r="K37" s="1"/>
  <c r="H37"/>
  <c r="J37" s="1"/>
  <c r="B37"/>
  <c r="M36"/>
  <c r="I36"/>
  <c r="K36" s="1"/>
  <c r="H36"/>
  <c r="J36" s="1"/>
  <c r="B36"/>
  <c r="M35"/>
  <c r="I35"/>
  <c r="K35" s="1"/>
  <c r="H35"/>
  <c r="J35" s="1"/>
  <c r="B35"/>
  <c r="M34"/>
  <c r="I34"/>
  <c r="K34" s="1"/>
  <c r="H34"/>
  <c r="J34" s="1"/>
  <c r="B34"/>
  <c r="M33"/>
  <c r="I33"/>
  <c r="K33" s="1"/>
  <c r="H33"/>
  <c r="J33" s="1"/>
  <c r="B33"/>
  <c r="M32"/>
  <c r="I32"/>
  <c r="K32" s="1"/>
  <c r="H32"/>
  <c r="J32" s="1"/>
  <c r="B32"/>
  <c r="M31"/>
  <c r="I31"/>
  <c r="K31" s="1"/>
  <c r="H31"/>
  <c r="J31" s="1"/>
  <c r="B31"/>
  <c r="M30"/>
  <c r="I30"/>
  <c r="K30" s="1"/>
  <c r="H30"/>
  <c r="J30" s="1"/>
  <c r="B30"/>
  <c r="M29"/>
  <c r="I29"/>
  <c r="K29" s="1"/>
  <c r="H29"/>
  <c r="J29" s="1"/>
  <c r="B29"/>
  <c r="M28"/>
  <c r="I28"/>
  <c r="K28" s="1"/>
  <c r="H28"/>
  <c r="J28" s="1"/>
  <c r="B28"/>
  <c r="M27"/>
  <c r="I27"/>
  <c r="K27" s="1"/>
  <c r="H27"/>
  <c r="J27" s="1"/>
  <c r="B27"/>
  <c r="M26"/>
  <c r="I26"/>
  <c r="K26" s="1"/>
  <c r="H26"/>
  <c r="J26" s="1"/>
  <c r="B26"/>
  <c r="M25"/>
  <c r="I25"/>
  <c r="K25" s="1"/>
  <c r="H25"/>
  <c r="J25" s="1"/>
  <c r="B25"/>
  <c r="M24"/>
  <c r="I24"/>
  <c r="K24" s="1"/>
  <c r="H24"/>
  <c r="J24" s="1"/>
  <c r="B24"/>
  <c r="M23"/>
  <c r="I23"/>
  <c r="K23" s="1"/>
  <c r="H23"/>
  <c r="J23" s="1"/>
  <c r="B23"/>
  <c r="M22"/>
  <c r="I22"/>
  <c r="K22" s="1"/>
  <c r="H22"/>
  <c r="J22" s="1"/>
  <c r="B22"/>
  <c r="M21"/>
  <c r="I21"/>
  <c r="K21" s="1"/>
  <c r="H21"/>
  <c r="J21" s="1"/>
  <c r="B21"/>
  <c r="M20"/>
  <c r="I20"/>
  <c r="K20" s="1"/>
  <c r="H20"/>
  <c r="J20" s="1"/>
  <c r="B20"/>
  <c r="M19"/>
  <c r="I19"/>
  <c r="K19" s="1"/>
  <c r="H19"/>
  <c r="J19" s="1"/>
  <c r="B19"/>
  <c r="M18"/>
  <c r="I18"/>
  <c r="K18" s="1"/>
  <c r="H18"/>
  <c r="J18" s="1"/>
  <c r="B18"/>
  <c r="M17"/>
  <c r="I17"/>
  <c r="K17" s="1"/>
  <c r="H17"/>
  <c r="J17" s="1"/>
  <c r="B17"/>
  <c r="M16"/>
  <c r="I16"/>
  <c r="K16" s="1"/>
  <c r="H16"/>
  <c r="J16" s="1"/>
  <c r="B16"/>
  <c r="M15"/>
  <c r="I15"/>
  <c r="K15" s="1"/>
  <c r="H15"/>
  <c r="J15" s="1"/>
  <c r="B15"/>
  <c r="M14"/>
  <c r="I14"/>
  <c r="K14" s="1"/>
  <c r="H14"/>
  <c r="J14" s="1"/>
  <c r="B14"/>
  <c r="M13"/>
  <c r="I13"/>
  <c r="K13" s="1"/>
  <c r="H13"/>
  <c r="J13" s="1"/>
  <c r="B13"/>
  <c r="M12"/>
  <c r="I12"/>
  <c r="K12" s="1"/>
  <c r="H12"/>
  <c r="J12" s="1"/>
  <c r="B12"/>
  <c r="M11"/>
  <c r="I11"/>
  <c r="K11" s="1"/>
  <c r="H11"/>
  <c r="J11" s="1"/>
  <c r="B11"/>
  <c r="M10"/>
  <c r="I10"/>
  <c r="K10" s="1"/>
  <c r="H10"/>
  <c r="J10" s="1"/>
  <c r="B10"/>
  <c r="M9"/>
  <c r="I9"/>
  <c r="K9" s="1"/>
  <c r="H9"/>
  <c r="J9" s="1"/>
  <c r="B9"/>
  <c r="M8"/>
  <c r="I8"/>
  <c r="K8" s="1"/>
  <c r="H8"/>
  <c r="J8" s="1"/>
  <c r="B8"/>
  <c r="M7"/>
  <c r="I7"/>
  <c r="K7" s="1"/>
  <c r="H7"/>
  <c r="J7" s="1"/>
  <c r="B7"/>
  <c r="M6"/>
  <c r="I6"/>
  <c r="K6" s="1"/>
  <c r="H6"/>
  <c r="J6" s="1"/>
  <c r="B6"/>
  <c r="M5"/>
  <c r="I5"/>
  <c r="K5" s="1"/>
  <c r="H5"/>
  <c r="J5" s="1"/>
  <c r="B5"/>
  <c r="M4"/>
  <c r="I4"/>
  <c r="K4" s="1"/>
  <c r="H4"/>
  <c r="J4" s="1"/>
  <c r="B4"/>
  <c r="M3"/>
  <c r="I3"/>
  <c r="K3" s="1"/>
  <c r="H3"/>
  <c r="J3" s="1"/>
  <c r="B3"/>
  <c r="A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<sst xmlns="http://schemas.openxmlformats.org/spreadsheetml/2006/main" count="4954" uniqueCount="866">
  <si>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</si>
  <si>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</si>
  <si>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</si>
  <si>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</si>
  <si>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</si>
  <si>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</si>
  <si>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</si>
  <si>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</si>
  <si>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</si>
  <si>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</si>
  <si>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</si>
  <si>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</si>
  <si>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</si>
  <si>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</si>
  <si>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</si>
  <si>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</si>
  <si>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</si>
  <si>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</si>
  <si>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</si>
  <si>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</si>
  <si>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</si>
  <si>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</si>
  <si>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</si>
  <si>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</si>
  <si>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</si>
  <si>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</si>
  <si>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</si>
  <si>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</si>
  <si>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</si>
  <si>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</si>
  <si>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</si>
  <si>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</si>
  <si>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</si>
  <si>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</si>
  <si>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</si>
  <si>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</si>
  <si>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</si>
  <si>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</si>
  <si>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</si>
  <si>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</si>
  <si>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</si>
  <si>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</si>
  <si>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</si>
  <si>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</si>
  <si>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</si>
  <si>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</si>
  <si>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</si>
  <si>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</si>
  <si>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</si>
  <si>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</si>
  <si>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</si>
  <si>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</si>
  <si>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</si>
  <si>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</si>
  <si>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</si>
  <si>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</si>
  <si>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</si>
  <si>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</si>
  <si>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</si>
  <si>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</si>
  <si>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</si>
  <si>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</si>
  <si>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</si>
  <si>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</si>
  <si>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</si>
  <si>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</si>
  <si>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</si>
  <si>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</si>
  <si>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</si>
  <si>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</si>
  <si>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</si>
  <si>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</si>
  <si>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</si>
  <si>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</si>
  <si>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</si>
  <si>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</si>
  <si>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</si>
  <si>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</si>
  <si>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</si>
  <si>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</si>
  <si>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</si>
  <si>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</si>
  <si>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</si>
  <si>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</si>
  <si>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</si>
  <si>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</si>
  <si>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</si>
  <si>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</si>
  <si>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</si>
  <si>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</si>
  <si>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</si>
  <si>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</si>
  <si>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</si>
  <si>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</si>
  <si>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</si>
  <si>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</si>
  <si>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</si>
  <si>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</si>
  <si>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</si>
  <si>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</si>
  <si>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</si>
  <si>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</si>
  <si>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</si>
  <si>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</si>
  <si>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</si>
  <si>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</si>
  <si>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</si>
  <si>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</si>
  <si>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</si>
  <si>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</si>
  <si>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</si>
  <si>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</si>
  <si>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</si>
  <si>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</si>
  <si>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</si>
  <si>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</si>
  <si>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</si>
  <si>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</si>
  <si>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</si>
  <si>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</si>
  <si>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</si>
  <si>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</si>
  <si>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</si>
  <si>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</si>
  <si>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</si>
  <si>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</si>
  <si>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</si>
  <si>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</si>
  <si>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</si>
  <si>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</si>
  <si>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</si>
  <si>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</si>
  <si>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</si>
  <si>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</si>
  <si>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</si>
  <si>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</si>
  <si>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</si>
  <si>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</si>
  <si>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</si>
  <si>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</si>
  <si>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</si>
  <si>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</si>
  <si>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</si>
  <si>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</si>
  <si>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</si>
  <si>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</si>
  <si>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</si>
  <si>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</si>
  <si>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</si>
  <si>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</si>
  <si>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</si>
  <si>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</si>
  <si>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</si>
  <si>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</si>
  <si>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</si>
  <si>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</si>
  <si>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</si>
  <si>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</si>
  <si>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</si>
  <si>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</si>
  <si>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</si>
  <si>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</si>
  <si>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</si>
  <si>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</si>
  <si>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</si>
  <si>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</si>
  <si>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</si>
  <si>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</si>
  <si>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</si>
  <si>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</si>
  <si>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</si>
  <si>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</si>
  <si>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</si>
  <si>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</si>
  <si>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</si>
  <si>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</si>
  <si>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</si>
  <si>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</si>
  <si>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</si>
  <si>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</si>
  <si>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</si>
  <si>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</si>
  <si>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</si>
  <si>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</si>
  <si>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</si>
  <si>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</si>
  <si>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</si>
  <si>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</si>
  <si>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</si>
  <si>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</si>
  <si>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</si>
  <si>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</si>
  <si>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</si>
  <si>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</si>
  <si>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</si>
  <si>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</si>
  <si>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</si>
  <si>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</si>
  <si>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</si>
  <si>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</si>
  <si>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</si>
  <si>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</si>
  <si>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</si>
  <si>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</si>
  <si>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</si>
  <si>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</si>
  <si>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</si>
  <si>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</si>
  <si>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</si>
  <si>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</si>
  <si>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</si>
  <si>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</si>
  <si>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</si>
  <si>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</si>
  <si>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</si>
  <si>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</si>
  <si>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</si>
  <si>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</si>
  <si>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</si>
  <si>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</si>
  <si>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</si>
  <si>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</si>
  <si>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</si>
  <si>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</si>
  <si>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</si>
  <si>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</si>
  <si>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</si>
  <si>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</si>
  <si>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</si>
  <si>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</si>
  <si>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</si>
  <si>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</si>
  <si>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</si>
  <si>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</si>
  <si>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</si>
  <si>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</si>
  <si>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</si>
  <si>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</si>
  <si>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</si>
  <si>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</si>
  <si>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</si>
  <si>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</si>
  <si>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</si>
  <si>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</si>
  <si>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</si>
  <si>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</si>
  <si>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</si>
  <si>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</si>
  <si>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</si>
  <si>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</si>
  <si>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</si>
  <si>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</si>
  <si>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</si>
  <si>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</si>
  <si>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</si>
  <si>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</si>
  <si>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</si>
  <si>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</si>
  <si>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</si>
  <si>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</si>
  <si>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</si>
  <si>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</si>
  <si>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</si>
  <si>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</si>
  <si>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</si>
  <si>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</si>
  <si>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</si>
  <si>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</si>
  <si>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</si>
  <si>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</si>
  <si>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</si>
  <si>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</si>
  <si>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</si>
  <si>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</si>
  <si>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</si>
  <si>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</si>
  <si>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</si>
  <si>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</si>
  <si>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</si>
  <si>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</si>
  <si>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</si>
  <si>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</si>
  <si>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</si>
  <si>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</si>
  <si>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</si>
  <si>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</si>
  <si>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</si>
  <si>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</si>
  <si>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</si>
  <si>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</si>
  <si>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</si>
  <si>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</si>
  <si>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</si>
  <si>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</si>
  <si>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</si>
  <si>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</si>
  <si>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</si>
  <si>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</si>
  <si>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</si>
  <si>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</si>
  <si>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</si>
  <si>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</si>
  <si>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</si>
  <si>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</si>
  <si>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</si>
  <si>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</si>
  <si>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</si>
  <si>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</si>
  <si>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</si>
  <si>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</si>
  <si>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</si>
  <si>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</si>
  <si>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</si>
  <si>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</si>
  <si>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</si>
  <si>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</si>
  <si>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</si>
  <si>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</si>
  <si>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</si>
  <si>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</si>
  <si>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</si>
  <si>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</si>
  <si>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</si>
  <si>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</si>
  <si>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</si>
  <si>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</si>
  <si>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</si>
  <si>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</si>
  <si>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</si>
  <si>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</si>
  <si>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</si>
  <si>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</si>
  <si>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</si>
  <si>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</si>
  <si>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</si>
  <si>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</si>
  <si>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</si>
  <si>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</si>
  <si>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</si>
  <si>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</si>
  <si>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</si>
  <si>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</si>
  <si>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</si>
  <si>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</si>
  <si>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</si>
  <si>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</si>
  <si>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</si>
  <si>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</si>
  <si>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</si>
  <si>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</si>
  <si>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</si>
  <si>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</si>
  <si>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</si>
  <si>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</si>
  <si>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</si>
  <si>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</si>
  <si>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</si>
  <si>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</si>
  <si>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</si>
  <si>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</si>
  <si>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</si>
  <si>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</si>
  <si>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</si>
  <si>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</si>
  <si>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</si>
  <si>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</si>
  <si>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</si>
  <si>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</si>
  <si>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</si>
  <si>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</si>
  <si>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</si>
  <si>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</si>
  <si>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</si>
  <si>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</si>
  <si>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</si>
  <si>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</si>
  <si>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</si>
  <si>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</si>
  <si>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</si>
  <si>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</si>
  <si>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</si>
  <si>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</si>
  <si>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</si>
  <si>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</si>
  <si>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</si>
  <si>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</si>
  <si>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</si>
  <si>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</si>
  <si>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</si>
  <si>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</si>
  <si>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</si>
  <si>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</si>
  <si>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</si>
  <si>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</si>
  <si>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</si>
  <si>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</si>
  <si>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</si>
  <si>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</si>
  <si>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</si>
  <si>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</si>
  <si>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</si>
  <si>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</si>
  <si>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</si>
  <si>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</si>
  <si>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</si>
  <si>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</si>
  <si>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</si>
  <si>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</si>
  <si>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</si>
  <si>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</si>
  <si>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</si>
  <si>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</si>
  <si>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</si>
  <si>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</si>
  <si>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</si>
  <si>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</si>
  <si>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</si>
  <si>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</si>
  <si>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</si>
  <si>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</si>
  <si>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</si>
  <si>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</si>
  <si>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</si>
  <si>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</si>
  <si>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</si>
  <si>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</si>
  <si>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</si>
  <si>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</si>
  <si>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</si>
  <si>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</si>
  <si>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</si>
  <si>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</si>
  <si>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</si>
  <si>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</si>
  <si>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</si>
  <si>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</si>
  <si>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</si>
  <si>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</si>
  <si>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</si>
  <si>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</si>
  <si>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</si>
  <si>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</si>
  <si>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</si>
  <si>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</si>
  <si>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</si>
  <si>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</si>
  <si>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t>ReplaceableTextures\\CommandButtons\\BTNIN03.blp</t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</si>
  <si>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</si>
  <si>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</si>
  <si>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</si>
  <si>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</si>
  <si>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</si>
  <si>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</si>
  <si>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</si>
  <si>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</si>
  <si>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</si>
  <si>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</si>
  <si>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</si>
  <si>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</si>
  <si>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</si>
  <si>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</si>
  <si>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</si>
  <si>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</si>
  <si>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</si>
  <si>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</si>
  <si>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</si>
  <si>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</si>
  <si>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</si>
  <si>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</si>
  <si>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</si>
  <si>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护甲|Cffffd24d+30|r|n金币加成|Cffffd24d+10%|n|r|n击杀1000个敌人后奖励：|n|CffFFD24D7000~12000|r金币|n|CffCC99FF2000-5000|r业力|n|n|Cff00FF7F同时只能携带一个招魂幡|r</t>
  </si>
  <si>
    <t>I012</t>
  </si>
  <si>
    <t>|Cff00FF7F招魂幡Lv2|r</t>
  </si>
  <si>
    <t>护甲|Cffffd24d+80|r|n金币加成|Cffffd24d+15%|r|n|n击杀1000个敌人后奖励：|n|CffFFD24D8000~13000|r金币|n|CffCC99FF3000-6000|r业力|n|n|Cff00FF7F同时只能携带一个招魂幡|r</t>
  </si>
  <si>
    <t>I013</t>
  </si>
  <si>
    <t>|Cff00BFFF招魂幡Lv3|r</t>
  </si>
  <si>
    <t>护甲|Cffffd24d+200|r|n金币加成|Cffffd24d+20%|r|n|n击杀1000个敌人后奖励：|n|CffFFD24D9000~14000|r金币|n|CffCC99FF4000-7000|r业力|n|n|Cff00FF7F同时只能携带一个招魂幡|r</t>
  </si>
  <si>
    <t>I014</t>
  </si>
  <si>
    <t>|CffFFD24D招魂幡Lv4|r</t>
  </si>
  <si>
    <t>护甲|Cffffd24d+500|r|n金币加成|Cffffd24d+25%|r|n|n击杀1000个敌人后奖励：|n|CffFFD24D10000~15000|r金币|n|CffCC99FF5000-8000|r业力|n|n|Cff00FF7F同时只能携带一个招魂幡|r</t>
  </si>
  <si>
    <t>I015</t>
  </si>
  <si>
    <t>|CffFF0000招魂幡Lv5|r</t>
  </si>
  <si>
    <t>护甲|Cffffd24d+500|r|n金币加成|Cffffd24d+30%|n|r|n击杀1000个敌人后奖励：|n|CffFFD24D12000~17000|r金币|n|CffCC99FF6000-9000|r业力|n|n|Cff00FF7F同时只能携带一个招魂幡|r</t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</si>
  <si>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</si>
  <si>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</si>
  <si>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</si>
  <si>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</si>
  <si>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</si>
  <si>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</si>
  <si>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</si>
  <si>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</si>
  <si>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</si>
  <si>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</si>
  <si>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</si>
  <si>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</si>
  <si>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</si>
  <si>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</si>
  <si>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</si>
  <si>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</si>
  <si>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</si>
  <si>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</si>
  <si>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</si>
  <si>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</si>
  <si>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</si>
  <si>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</si>
  <si>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</si>
  <si>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</si>
  <si>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</si>
  <si>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</si>
  <si>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</si>
  <si>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</si>
  <si>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</si>
  <si>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</si>
  <si>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</si>
  <si>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</si>
  <si>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</si>
  <si>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</si>
  <si>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</si>
  <si>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</si>
  <si>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</si>
  <si>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</si>
  <si>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</si>
  <si>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</si>
  <si>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</si>
  <si>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</si>
  <si>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</si>
  <si>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</si>
  <si>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</si>
  <si>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</si>
  <si>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</si>
  <si>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</si>
  <si>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</si>
  <si>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</si>
  <si>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</si>
  <si>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</si>
  <si>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</si>
  <si>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</si>
  <si>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</si>
  <si>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</si>
  <si>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</si>
  <si>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</si>
  <si>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</si>
  <si>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</si>
  <si>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ReplaceableTextures\\CommandButtons\\BTNAM20.blp</t>
  </si>
  <si>
    <t>IN26</t>
  </si>
  <si>
    <t>|CffFFD24D后天道果箱|r</t>
  </si>
  <si>
    <t>ReplaceableTextures\\CommandButtons\\BTNAM21.blp</t>
  </si>
  <si>
    <t>IN27</t>
  </si>
  <si>
    <t>|CffFF0000先天道果箱|r</t>
  </si>
  <si>
    <t>ReplaceableTextures\\CommandButtons\\BTNAM22.blp</t>
  </si>
  <si>
    <t>IN28</t>
  </si>
  <si>
    <t>|CffFFD24D技能宝箱|r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</si>
  <si>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</si>
  <si>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</si>
  <si>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</si>
  <si>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</si>
  <si>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</si>
  <si>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</si>
  <si>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</si>
  <si>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</si>
  <si>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</si>
  <si>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</si>
  <si>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</si>
  <si>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</si>
  <si>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</si>
  <si>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</si>
  <si>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</si>
  <si>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</si>
  <si>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</si>
  <si>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</si>
  <si>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</si>
  <si>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</si>
  <si>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</si>
  <si>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</si>
  <si>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</si>
  <si>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</si>
  <si>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</si>
  <si>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</si>
  <si>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</si>
  <si>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</si>
  <si>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</si>
  <si>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</si>
  <si>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</si>
  <si>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</si>
  <si>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</si>
  <si>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</si>
  <si>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</si>
  <si>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</si>
  <si>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</si>
  <si>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ReplaceableTextures\\CommandButtons\\BTNAM41.blp</t>
  </si>
  <si>
    <t>IP09</t>
  </si>
  <si>
    <t>|Cff00FF7F特级大补丸|r</t>
  </si>
  <si>
    <t>使用后增加|Cffffd24d700点|r境界经验。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</si>
  <si>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</si>
  <si>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</si>
  <si>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</si>
  <si>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</si>
  <si>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</si>
  <si>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</si>
  <si>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</si>
  <si>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</si>
  <si>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</si>
  <si>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</si>
  <si>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</si>
  <si>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</si>
  <si>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</si>
  <si>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</si>
  <si>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</si>
  <si>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</si>
  <si>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</si>
  <si>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</si>
  <si>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</si>
  <si>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</si>
  <si>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</si>
  <si>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</si>
  <si>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</si>
  <si>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</si>
  <si>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</si>
  <si>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</si>
  <si>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</si>
  <si>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</si>
  <si>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</si>
  <si>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</si>
  <si>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</si>
  <si>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</si>
  <si>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</si>
  <si>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</si>
  <si>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</si>
  <si>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</si>
  <si>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</si>
  <si>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</si>
  <si>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</si>
  <si>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</si>
  <si>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</si>
  <si>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</si>
  <si>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</si>
  <si>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</si>
  <si>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学习或重置当前|cffffd24dQ技能|r。|n|cffffcc00抽取消耗：|r2000金币*次数|n|cffffcc00抽取次数：|r0/10|n|n|cff00ff7f单局最多抽取10次|r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</si>
  <si>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</si>
  <si>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</si>
  <si>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</si>
  <si>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</si>
  <si>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</si>
  <si>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</si>
  <si>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学习或重置当前|cffffd24dE技能|r。|n|cffffcc00抽取消耗：|r20000金币*次数|n|cffffcc00抽取次数：|r0/10|n|n|cff00ff7f单局最多抽取10次|r</t>
  </si>
  <si>
    <t>ReplaceableTextures\\CommandButtons\\BTN003.blp</t>
  </si>
  <si>
    <t>IS21</t>
  </si>
  <si>
    <t>Q附魔</t>
  </si>
  <si>
    <t>为|Cffffd24dQ技能|r附魔一条|Cffffd24d随机属性|r。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</si>
  <si>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</si>
  <si>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</si>
  <si>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</si>
  <si>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</si>
  <si>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</si>
  <si>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</si>
  <si>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</si>
  <si>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</si>
  <si>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</si>
  <si>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</si>
  <si>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</si>
  <si>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</si>
  <si>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</si>
  <si>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</si>
  <si>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</si>
  <si>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</si>
  <si>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</si>
  <si>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</si>
  <si>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</si>
  <si>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</si>
  <si>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</si>
  <si>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</si>
  <si>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IS13</t>
  </si>
  <si>
    <t>|cffffd24d强化饰品等级|n|r</t>
  </si>
  <si>
    <t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t>
  </si>
  <si>
    <t>IS14</t>
  </si>
  <si>
    <t>|CffFFD24D强化药品等级|r</t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</si>
  <si>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</si>
  <si>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</si>
  <si>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</si>
  <si>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</si>
  <si>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</si>
  <si>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</si>
  <si>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</si>
  <si>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</si>
  <si>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</si>
  <si>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</si>
  <si>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</si>
  <si>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</si>
  <si>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</si>
  <si>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</si>
  <si>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</si>
  <si>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</si>
  <si>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</si>
  <si>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</si>
  <si>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</si>
  <si>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</si>
  <si>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</si>
  <si>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</si>
  <si>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</si>
  <si>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</si>
  <si>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</si>
  <si>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</si>
  <si>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</si>
  <si>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</si>
  <si>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</si>
  <si>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</si>
  <si>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</si>
  <si>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</si>
  <si>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</si>
  <si>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</si>
  <si>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</si>
  <si>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</si>
  <si>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</si>
  <si>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</si>
  <si>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</si>
  <si>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</si>
  <si>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</si>
  <si>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</si>
  <si>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</si>
  <si>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</si>
  <si>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</si>
  <si>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</si>
  <si>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</si>
  <si>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</si>
  <si>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</si>
  <si>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</si>
  <si>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</si>
  <si>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</si>
  <si>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</si>
  <si>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</si>
  <si>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</si>
  <si>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</si>
  <si>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</si>
  <si>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</si>
  <si>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</si>
  <si>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</si>
  <si>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</si>
  <si>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</si>
  <si>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</si>
  <si>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</si>
  <si>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</si>
  <si>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</si>
  <si>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</si>
  <si>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</si>
  <si>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</si>
  <si>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</si>
  <si>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</si>
  <si>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</si>
  <si>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</si>
  <si>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</si>
  <si>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</si>
  <si>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</si>
  <si>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</si>
  <si>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</si>
  <si>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</si>
  <si>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</si>
  <si>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</si>
  <si>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</si>
  <si>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</si>
  <si>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</si>
  <si>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</si>
  <si>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</si>
  <si>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</si>
  <si>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</si>
  <si>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</si>
  <si>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</si>
  <si>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</si>
  <si>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</si>
  <si>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</si>
  <si>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</si>
  <si>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</si>
  <si>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</si>
  <si>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</si>
  <si>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</si>
  <si>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</si>
  <si>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</si>
  <si>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</si>
  <si>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</si>
  <si>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</si>
  <si>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</si>
  <si>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</si>
  <si>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</si>
  <si>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</si>
  <si>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</si>
  <si>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</si>
  <si>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</si>
  <si>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</si>
  <si>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</si>
  <si>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</si>
  <si>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</si>
  <si>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</si>
  <si>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</si>
  <si>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</si>
  <si>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</si>
  <si>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</si>
  <si>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</si>
  <si>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</si>
  <si>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</si>
  <si>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</si>
  <si>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</si>
  <si>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</si>
  <si>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</si>
  <si>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</si>
  <si>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</si>
  <si>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</si>
  <si>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</si>
  <si>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</si>
  <si>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</si>
  <si>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</si>
  <si>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</si>
  <si>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</si>
  <si>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</si>
  <si>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</si>
  <si>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</si>
  <si>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</si>
  <si>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</si>
  <si>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</si>
  <si>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</si>
  <si>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</si>
  <si>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</si>
  <si>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</si>
  <si>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</si>
  <si>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</si>
  <si>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</si>
  <si>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</si>
  <si>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</si>
  <si>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</si>
  <si>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</si>
  <si>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</si>
  <si>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</si>
  <si>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</si>
  <si>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</si>
  <si>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</si>
  <si>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</si>
  <si>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</si>
  <si>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</si>
  <si>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</si>
  <si>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</si>
  <si>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</si>
  <si>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</si>
  <si>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</si>
  <si>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</si>
  <si>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</si>
  <si>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</si>
  <si>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</si>
  <si>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</si>
  <si>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</si>
  <si>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</si>
  <si>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</si>
  <si>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</si>
  <si>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</si>
  <si>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</si>
  <si>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</si>
  <si>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</si>
  <si>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</si>
  <si>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</si>
  <si>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</si>
  <si>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</si>
  <si>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</si>
  <si>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</si>
  <si>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</si>
  <si>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r>
      <t>|cffffcc00升级消耗：|r150+</t>
    </r>
    <r>
      <rPr>
        <sz val="11"/>
        <color rgb="FF000000"/>
        <rFont val="等线"/>
        <family val="3"/>
        <charset val="134"/>
        <scheme val="minor"/>
      </rPr>
      <t>等级</t>
    </r>
    <r>
      <rPr>
        <sz val="11"/>
        <color rgb="FF000000"/>
        <rFont val="等线"/>
        <charset val="134"/>
        <scheme val="minor"/>
      </rPr>
      <t>*150杀敌数|n|n|cff00ff7f最高升至10级|r</t>
    </r>
    <phoneticPr fontId="27" type="noConversion"/>
  </si>
  <si>
    <r>
      <t>加入《|cff00ffcc全民封神|r》官方QQ群，即可获得入群礼包码！|n|n输入礼包码即可获得：|n|cff00ff7f招魂幡Lv2</t>
    </r>
    <r>
      <rPr>
        <sz val="11"/>
        <color theme="1"/>
        <rFont val="等线"/>
        <family val="3"/>
        <charset val="134"/>
        <scheme val="minor"/>
      </rPr>
      <t>|r</t>
    </r>
    <phoneticPr fontId="27" type="noConversion"/>
  </si>
  <si>
    <t>|cff33ff00购买魔兽重制版可领取该礼包！|n|n|r属性：|n|cffffcc33金币+2000|n每秒攻击+2|n每秒业力+1|r</t>
  </si>
  <si>
    <r>
      <t>加入《|cff00ffcc全民封神|r》官方QQ群，即可获得入群礼包码！|n|n输入礼包码即可获得：</t>
    </r>
    <r>
      <rPr>
        <sz val="11"/>
        <color theme="1"/>
        <rFont val="宋体"/>
        <family val="3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family val="3"/>
        <charset val="134"/>
      </rPr>
      <t>Lv2|r</t>
    </r>
    <phoneticPr fontId="27" type="noConversion"/>
  </si>
  <si>
    <r>
      <t>|cff33ff00购买魔兽重制版可领取该礼包！|n|n|r属性：</t>
    </r>
    <r>
      <rPr>
        <sz val="11"/>
        <color theme="1"/>
        <rFont val="宋体"/>
        <family val="3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family val="3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family val="3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family val="3"/>
        <charset val="134"/>
      </rPr>
      <t>+1|r</t>
    </r>
    <phoneticPr fontId="2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</si>
</sst>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0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999999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22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52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13" fillId="0" borderId="0" xfId="0" applyFont="1"/>
    <xf numFmtId="0" fontId="14" fillId="0" borderId="0" xfId="0" applyFont="1" applyAlignment="1">
      <alignment horizontal="left" vertical="center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0" fillId="10" borderId="0" xfId="0" applyFont="1" applyFill="1" applyAlignment="1">
      <alignment vertical="center"/>
    </xf>
    <xf numFmtId="0" fontId="15" fillId="1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6" fillId="0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19" fillId="0" borderId="0" xfId="0" applyFont="1" applyAlignment="1">
      <alignment wrapText="1"/>
    </xf>
    <xf numFmtId="0" fontId="19" fillId="0" borderId="0" xfId="0" applyFont="1"/>
    <xf numFmtId="0" fontId="4" fillId="5" borderId="0" xfId="1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1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1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2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0" fillId="12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1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left"/>
    </xf>
    <xf numFmtId="0" fontId="0" fillId="12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  <xf numFmtId="0" fontId="25" fillId="0" borderId="0" xfId="0" applyFont="1"/>
    <xf numFmtId="0" fontId="28" fillId="0" borderId="0" xfId="0" applyFont="1" applyAlignment="1">
      <alignment vertical="center"/>
    </xf>
    <xf numFmtId="0" fontId="29" fillId="0" borderId="0" xfId="0" applyFont="1"/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08"/>
  <sheetViews>
    <sheetView workbookViewId="0">
      <pane xSplit="8" ySplit="2" topLeftCell="O159" activePane="bottomRight" state="frozen"/>
      <selection pane="topRight"/>
      <selection pane="bottomLeft"/>
      <selection pane="bottomRight" activeCell="P188" sqref="P188"/>
    </sheetView>
  </sheetViews>
  <sheetFormatPr defaultColWidth="9" defaultRowHeight="14.25"/>
  <cols>
    <col min="1" max="1" width="22.375" style="3" customWidth="1"/>
    <col min="2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18" customWidth="1"/>
    <col min="10" max="10" width="18.625" customWidth="1"/>
    <col min="11" max="11" width="41" customWidth="1"/>
    <col min="12" max="12" width="9" style="3" customWidth="1"/>
    <col min="13" max="13" width="47.375" style="122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18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18"/>
    <col min="41" max="16384" width="9" style="3"/>
  </cols>
  <sheetData>
    <row r="1" spans="1:42" s="118" customFormat="1">
      <c r="A1" s="122"/>
      <c r="B1" s="118" t="s">
        <v>0</v>
      </c>
      <c r="C1" s="118" t="s">
        <v>1</v>
      </c>
      <c r="D1" s="118" t="s">
        <v>2</v>
      </c>
      <c r="E1" s="142" t="s">
        <v>3</v>
      </c>
      <c r="F1" s="118" t="s">
        <v>4</v>
      </c>
      <c r="G1" s="118" t="s">
        <v>5</v>
      </c>
      <c r="H1" s="118" t="s">
        <v>6</v>
      </c>
      <c r="I1" s="118" t="s">
        <v>7</v>
      </c>
      <c r="J1" s="119" t="s">
        <v>8</v>
      </c>
      <c r="K1" s="119" t="s">
        <v>9</v>
      </c>
      <c r="L1" s="118" t="s">
        <v>10</v>
      </c>
      <c r="M1" s="118" t="s">
        <v>11</v>
      </c>
      <c r="N1" s="118" t="s">
        <v>12</v>
      </c>
      <c r="O1" s="118" t="s">
        <v>13</v>
      </c>
      <c r="P1" s="118" t="s">
        <v>14</v>
      </c>
      <c r="Q1" s="118" t="s">
        <v>15</v>
      </c>
      <c r="R1" s="118" t="s">
        <v>16</v>
      </c>
      <c r="S1" s="118" t="s">
        <v>17</v>
      </c>
      <c r="T1" s="118" t="s">
        <v>18</v>
      </c>
      <c r="U1" s="118" t="s">
        <v>19</v>
      </c>
      <c r="V1" s="118" t="s">
        <v>20</v>
      </c>
      <c r="W1" s="118" t="s">
        <v>21</v>
      </c>
      <c r="X1" s="118" t="s">
        <v>22</v>
      </c>
      <c r="Y1" s="118" t="s">
        <v>23</v>
      </c>
      <c r="Z1" s="118" t="s">
        <v>24</v>
      </c>
      <c r="AA1" s="118" t="s">
        <v>25</v>
      </c>
      <c r="AB1" s="118" t="s">
        <v>26</v>
      </c>
      <c r="AC1" s="118" t="s">
        <v>27</v>
      </c>
      <c r="AD1" s="118" t="s">
        <v>28</v>
      </c>
      <c r="AE1" s="118" t="s">
        <v>29</v>
      </c>
      <c r="AF1" s="118" t="s">
        <v>30</v>
      </c>
      <c r="AG1" s="118" t="s">
        <v>31</v>
      </c>
      <c r="AH1" s="118" t="s">
        <v>32</v>
      </c>
      <c r="AI1" s="118" t="s">
        <v>33</v>
      </c>
      <c r="AJ1" s="119" t="s">
        <v>34</v>
      </c>
      <c r="AK1" s="118" t="s">
        <v>35</v>
      </c>
      <c r="AL1" s="118" t="s">
        <v>36</v>
      </c>
      <c r="AM1" s="118" t="s">
        <v>37</v>
      </c>
      <c r="AN1" s="118" t="s">
        <v>38</v>
      </c>
      <c r="AO1" s="118" t="s">
        <v>39</v>
      </c>
      <c r="AP1" s="119" t="s">
        <v>40</v>
      </c>
    </row>
    <row r="2" spans="1:42" s="119" customFormat="1" ht="12.75" customHeight="1">
      <c r="A2" s="123">
        <f>COUNTA(B:B)+1</f>
        <v>249</v>
      </c>
      <c r="C2" s="119" t="s">
        <v>41</v>
      </c>
      <c r="D2" s="119" t="s">
        <v>42</v>
      </c>
      <c r="E2" s="119" t="s">
        <v>43</v>
      </c>
      <c r="F2" s="119" t="s">
        <v>44</v>
      </c>
      <c r="G2" s="119" t="s">
        <v>45</v>
      </c>
      <c r="H2" s="119" t="s">
        <v>46</v>
      </c>
      <c r="I2" s="119" t="s">
        <v>47</v>
      </c>
      <c r="J2" s="119" t="s">
        <v>48</v>
      </c>
      <c r="K2" s="119" t="s">
        <v>49</v>
      </c>
      <c r="L2" s="119" t="s">
        <v>50</v>
      </c>
      <c r="M2" s="119" t="s">
        <v>51</v>
      </c>
      <c r="N2" s="119" t="s">
        <v>52</v>
      </c>
      <c r="O2" s="119" t="s">
        <v>53</v>
      </c>
      <c r="P2" s="119" t="s">
        <v>54</v>
      </c>
      <c r="Q2" s="119" t="s">
        <v>55</v>
      </c>
      <c r="R2" s="119" t="s">
        <v>56</v>
      </c>
      <c r="S2" s="119" t="s">
        <v>57</v>
      </c>
      <c r="T2" s="119" t="s">
        <v>58</v>
      </c>
      <c r="U2" s="119" t="s">
        <v>59</v>
      </c>
      <c r="V2" s="119" t="s">
        <v>60</v>
      </c>
      <c r="W2" s="119" t="s">
        <v>61</v>
      </c>
      <c r="X2" s="119" t="s">
        <v>62</v>
      </c>
      <c r="Y2" s="119" t="s">
        <v>63</v>
      </c>
      <c r="Z2" s="119" t="s">
        <v>64</v>
      </c>
      <c r="AA2" s="119" t="s">
        <v>65</v>
      </c>
      <c r="AB2" s="119" t="s">
        <v>66</v>
      </c>
      <c r="AC2" s="119" t="s">
        <v>67</v>
      </c>
      <c r="AD2" s="119" t="s">
        <v>68</v>
      </c>
      <c r="AE2" s="119" t="s">
        <v>69</v>
      </c>
      <c r="AF2" s="119" t="s">
        <v>70</v>
      </c>
      <c r="AG2" s="119" t="s">
        <v>71</v>
      </c>
      <c r="AH2" s="119" t="s">
        <v>72</v>
      </c>
      <c r="AI2" s="119" t="s">
        <v>73</v>
      </c>
      <c r="AJ2" s="119" t="s">
        <v>74</v>
      </c>
      <c r="AK2" s="119" t="s">
        <v>75</v>
      </c>
      <c r="AL2" s="119" t="s">
        <v>76</v>
      </c>
      <c r="AM2" s="119" t="s">
        <v>77</v>
      </c>
      <c r="AN2" s="119" t="s">
        <v>78</v>
      </c>
      <c r="AO2" s="119" t="s">
        <v>79</v>
      </c>
      <c r="AP2" s="119" t="s">
        <v>80</v>
      </c>
    </row>
    <row r="3" spans="1:42">
      <c r="A3" s="122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24" t="str">
        <f t="shared" ref="J3" si="0">H3</f>
        <v>[武器]古纹剑lv1</v>
      </c>
      <c r="K3" s="124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25" t="str">
        <f>VLOOKUP(LEFT(RIGHT(B3,5),4),物品!B:CU,20,FALSE)</f>
        <v>ReplaceableTextures\\CommandButtons\\BTNZ01.blp</v>
      </c>
      <c r="N3" s="142" t="s">
        <v>83</v>
      </c>
      <c r="O3" s="143" t="s">
        <v>84</v>
      </c>
      <c r="P3" s="8">
        <v>0</v>
      </c>
      <c r="Q3" s="8">
        <v>0</v>
      </c>
      <c r="R3" s="142" t="s">
        <v>83</v>
      </c>
      <c r="S3" s="142" t="s">
        <v>83</v>
      </c>
      <c r="T3" s="142" t="s">
        <v>83</v>
      </c>
      <c r="U3" s="142" t="s">
        <v>83</v>
      </c>
      <c r="V3" s="8">
        <v>1</v>
      </c>
      <c r="W3" s="8" t="s">
        <v>85</v>
      </c>
      <c r="X3" s="8">
        <v>0</v>
      </c>
      <c r="Y3" s="142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2" t="s">
        <v>83</v>
      </c>
      <c r="AF3" s="142" t="s">
        <v>83</v>
      </c>
      <c r="AG3" s="142" t="s">
        <v>83</v>
      </c>
      <c r="AH3" s="142" t="s">
        <v>83</v>
      </c>
      <c r="AI3" s="8"/>
      <c r="AJ3" s="8"/>
      <c r="AK3" s="8">
        <v>0</v>
      </c>
      <c r="AL3" s="8">
        <v>0</v>
      </c>
      <c r="AM3" s="142" t="s">
        <v>83</v>
      </c>
      <c r="AN3" s="8"/>
      <c r="AO3" s="8"/>
      <c r="AP3" s="8">
        <v>1</v>
      </c>
    </row>
    <row r="4" spans="1:42">
      <c r="A4" s="122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24" t="str">
        <f t="shared" ref="J4:J7" si="2">H4</f>
        <v>[武器]古纹剑lv2</v>
      </c>
      <c r="K4" s="124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25" t="str">
        <f>VLOOKUP(LEFT(RIGHT(B4,5),4),物品!B:CU,20,FALSE)</f>
        <v>ReplaceableTextures\\CommandButtons\\BTNZ01.blp</v>
      </c>
      <c r="N4" s="142" t="s">
        <v>83</v>
      </c>
      <c r="O4" s="143" t="s">
        <v>84</v>
      </c>
      <c r="P4" s="8">
        <v>0</v>
      </c>
      <c r="Q4" s="8">
        <v>0</v>
      </c>
      <c r="R4" s="142" t="s">
        <v>83</v>
      </c>
      <c r="S4" s="142" t="s">
        <v>83</v>
      </c>
      <c r="T4" s="142" t="s">
        <v>83</v>
      </c>
      <c r="U4" s="142" t="s">
        <v>83</v>
      </c>
      <c r="V4" s="8">
        <v>1</v>
      </c>
      <c r="W4" s="8" t="s">
        <v>85</v>
      </c>
      <c r="X4" s="8">
        <v>0</v>
      </c>
      <c r="Y4" s="142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2" t="s">
        <v>83</v>
      </c>
      <c r="AF4" s="142" t="s">
        <v>83</v>
      </c>
      <c r="AG4" s="142" t="s">
        <v>83</v>
      </c>
      <c r="AH4" s="142" t="s">
        <v>83</v>
      </c>
      <c r="AI4" s="8"/>
      <c r="AJ4" s="8"/>
      <c r="AK4" s="8">
        <v>0</v>
      </c>
      <c r="AL4" s="8">
        <v>0</v>
      </c>
      <c r="AM4" s="142" t="s">
        <v>83</v>
      </c>
      <c r="AN4" s="8"/>
      <c r="AO4" s="8"/>
      <c r="AP4" s="8">
        <v>1</v>
      </c>
    </row>
    <row r="5" spans="1:42">
      <c r="A5" s="122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24" t="str">
        <f t="shared" si="2"/>
        <v>[武器]古纹剑lv3</v>
      </c>
      <c r="K5" s="124" t="str">
        <f t="shared" si="3"/>
        <v>|Cffbbbbbb属性：|r|n攻击+4000|n|n攻击10%概率附加|cffff4646业力*1|r魔法伤害|n|n|Cff00ff7f点击消耗800金币进行强化|n成功率100%</v>
      </c>
      <c r="L5" s="8"/>
      <c r="M5" s="125" t="str">
        <f>VLOOKUP(LEFT(RIGHT(B5,5),4),物品!B:CU,20,FALSE)</f>
        <v>ReplaceableTextures\\CommandButtons\\BTNZ01.blp</v>
      </c>
      <c r="N5" s="142" t="s">
        <v>83</v>
      </c>
      <c r="O5" s="143" t="s">
        <v>84</v>
      </c>
      <c r="P5" s="8">
        <v>0</v>
      </c>
      <c r="Q5" s="8">
        <v>0</v>
      </c>
      <c r="R5" s="142" t="s">
        <v>83</v>
      </c>
      <c r="S5" s="142" t="s">
        <v>83</v>
      </c>
      <c r="T5" s="142" t="s">
        <v>83</v>
      </c>
      <c r="U5" s="142" t="s">
        <v>83</v>
      </c>
      <c r="V5" s="8">
        <v>1</v>
      </c>
      <c r="W5" s="8" t="s">
        <v>85</v>
      </c>
      <c r="X5" s="8">
        <v>0</v>
      </c>
      <c r="Y5" s="142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2" t="s">
        <v>83</v>
      </c>
      <c r="AF5" s="142" t="s">
        <v>83</v>
      </c>
      <c r="AG5" s="142" t="s">
        <v>83</v>
      </c>
      <c r="AH5" s="142" t="s">
        <v>83</v>
      </c>
      <c r="AI5" s="8"/>
      <c r="AJ5" s="8"/>
      <c r="AK5" s="8">
        <v>0</v>
      </c>
      <c r="AL5" s="8">
        <v>0</v>
      </c>
      <c r="AM5" s="142" t="s">
        <v>83</v>
      </c>
      <c r="AN5" s="8"/>
      <c r="AO5" s="8"/>
      <c r="AP5" s="8">
        <v>1</v>
      </c>
    </row>
    <row r="6" spans="1:42">
      <c r="A6" s="122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24" t="str">
        <f t="shared" si="2"/>
        <v>[武器]古纹剑lv4</v>
      </c>
      <c r="K6" s="124" t="str">
        <f t="shared" si="3"/>
        <v>|Cffbbbbbb属性：|r|n攻击+6000|n|n攻击10%概率附加|cffff4646业力*1|r魔法伤害|n|n|Cff00ff7f点击消耗800金币进行强化|n成功率100%</v>
      </c>
      <c r="L6" s="8"/>
      <c r="M6" s="125" t="str">
        <f>VLOOKUP(LEFT(RIGHT(B6,5),4),物品!B:CU,20,FALSE)</f>
        <v>ReplaceableTextures\\CommandButtons\\BTNZ01.blp</v>
      </c>
      <c r="N6" s="142" t="s">
        <v>83</v>
      </c>
      <c r="O6" s="143" t="s">
        <v>84</v>
      </c>
      <c r="P6" s="8">
        <v>0</v>
      </c>
      <c r="Q6" s="8">
        <v>0</v>
      </c>
      <c r="R6" s="142" t="s">
        <v>83</v>
      </c>
      <c r="S6" s="142" t="s">
        <v>83</v>
      </c>
      <c r="T6" s="142" t="s">
        <v>83</v>
      </c>
      <c r="U6" s="142" t="s">
        <v>83</v>
      </c>
      <c r="V6" s="8">
        <v>1</v>
      </c>
      <c r="W6" s="8" t="s">
        <v>85</v>
      </c>
      <c r="X6" s="8">
        <v>0</v>
      </c>
      <c r="Y6" s="142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2" t="s">
        <v>83</v>
      </c>
      <c r="AF6" s="142" t="s">
        <v>83</v>
      </c>
      <c r="AG6" s="142" t="s">
        <v>83</v>
      </c>
      <c r="AH6" s="142" t="s">
        <v>83</v>
      </c>
      <c r="AI6" s="8"/>
      <c r="AJ6" s="8"/>
      <c r="AK6" s="8">
        <v>0</v>
      </c>
      <c r="AL6" s="8">
        <v>0</v>
      </c>
      <c r="AM6" s="142" t="s">
        <v>83</v>
      </c>
      <c r="AN6" s="8"/>
      <c r="AO6" s="8"/>
      <c r="AP6" s="8">
        <v>1</v>
      </c>
    </row>
    <row r="7" spans="1:42">
      <c r="A7" s="122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24" t="str">
        <f t="shared" si="2"/>
        <v>[武器]古纹剑lv5</v>
      </c>
      <c r="K7" s="124" t="str">
        <f t="shared" si="3"/>
        <v>|Cffbbbbbb属性：|r|n攻击+8000|n|n攻击10%概率附加|cffff4646业力*1|r魔法伤害|n|n|Cff00ff7f点击消耗2500金币进行晋阶挑战</v>
      </c>
      <c r="L7" s="8"/>
      <c r="M7" s="125" t="str">
        <f>VLOOKUP(LEFT(RIGHT(B7,5),4),物品!B:CU,20,FALSE)</f>
        <v>ReplaceableTextures\\CommandButtons\\BTNZ01.blp</v>
      </c>
      <c r="N7" s="142" t="s">
        <v>83</v>
      </c>
      <c r="O7" s="143" t="s">
        <v>84</v>
      </c>
      <c r="P7" s="8">
        <v>0</v>
      </c>
      <c r="Q7" s="8">
        <v>0</v>
      </c>
      <c r="R7" s="142" t="s">
        <v>83</v>
      </c>
      <c r="S7" s="142" t="s">
        <v>83</v>
      </c>
      <c r="T7" s="142" t="s">
        <v>83</v>
      </c>
      <c r="U7" s="142" t="s">
        <v>83</v>
      </c>
      <c r="V7" s="8">
        <v>1</v>
      </c>
      <c r="W7" s="8" t="s">
        <v>85</v>
      </c>
      <c r="X7" s="8">
        <v>0</v>
      </c>
      <c r="Y7" s="142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2" t="s">
        <v>83</v>
      </c>
      <c r="AF7" s="142" t="s">
        <v>83</v>
      </c>
      <c r="AG7" s="142" t="s">
        <v>83</v>
      </c>
      <c r="AH7" s="142" t="s">
        <v>83</v>
      </c>
      <c r="AI7" s="8"/>
      <c r="AJ7" s="8"/>
      <c r="AK7" s="8">
        <v>0</v>
      </c>
      <c r="AL7" s="8">
        <v>0</v>
      </c>
      <c r="AM7" s="142" t="s">
        <v>83</v>
      </c>
      <c r="AN7" s="8"/>
      <c r="AO7" s="8"/>
      <c r="AP7" s="8">
        <v>1</v>
      </c>
    </row>
    <row r="8" spans="1:42">
      <c r="A8" s="122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4" t="str">
        <f t="shared" ref="J8:J18" si="4">H8</f>
        <v>|Cff00FF7F[武器]鱼肠剑lv1|r</v>
      </c>
      <c r="K8" s="124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25" t="str">
        <f>VLOOKUP(LEFT(RIGHT(B8,5),4),物品!B:CU,20,FALSE)</f>
        <v>ReplaceableTextures\\CommandButtons\\BTNZ02.blp</v>
      </c>
      <c r="N8" s="142" t="s">
        <v>83</v>
      </c>
      <c r="O8" s="143" t="s">
        <v>84</v>
      </c>
      <c r="P8" s="8">
        <v>0</v>
      </c>
      <c r="Q8" s="8">
        <v>0</v>
      </c>
      <c r="R8" s="142" t="s">
        <v>83</v>
      </c>
      <c r="S8" s="142" t="s">
        <v>83</v>
      </c>
      <c r="T8" s="142" t="s">
        <v>83</v>
      </c>
      <c r="U8" s="142" t="s">
        <v>83</v>
      </c>
      <c r="V8" s="8">
        <v>1</v>
      </c>
      <c r="W8" s="8" t="s">
        <v>85</v>
      </c>
      <c r="X8" s="8">
        <v>0</v>
      </c>
      <c r="Y8" s="142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2" t="s">
        <v>83</v>
      </c>
      <c r="AF8" s="142" t="s">
        <v>83</v>
      </c>
      <c r="AG8" s="142" t="s">
        <v>83</v>
      </c>
      <c r="AH8" s="142" t="s">
        <v>83</v>
      </c>
      <c r="AI8" s="8"/>
      <c r="AJ8" s="8"/>
      <c r="AK8" s="8">
        <v>0</v>
      </c>
      <c r="AL8" s="8">
        <v>0</v>
      </c>
      <c r="AM8" s="142" t="s">
        <v>83</v>
      </c>
      <c r="AN8" s="8"/>
      <c r="AO8" s="8"/>
      <c r="AP8" s="8">
        <v>1</v>
      </c>
    </row>
    <row r="9" spans="1:42">
      <c r="A9" s="122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4" t="str">
        <f t="shared" si="4"/>
        <v>|Cff00FF7F[武器]鱼肠剑lv2|r</v>
      </c>
      <c r="K9" s="124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25" t="str">
        <f>VLOOKUP(LEFT(RIGHT(B9,5),4),物品!B:CU,20,FALSE)</f>
        <v>ReplaceableTextures\\CommandButtons\\BTNZ02.blp</v>
      </c>
      <c r="N9" s="142" t="s">
        <v>83</v>
      </c>
      <c r="O9" s="143" t="s">
        <v>84</v>
      </c>
      <c r="P9" s="8">
        <v>0</v>
      </c>
      <c r="Q9" s="8">
        <v>0</v>
      </c>
      <c r="R9" s="142" t="s">
        <v>83</v>
      </c>
      <c r="S9" s="142" t="s">
        <v>83</v>
      </c>
      <c r="T9" s="142" t="s">
        <v>83</v>
      </c>
      <c r="U9" s="142" t="s">
        <v>83</v>
      </c>
      <c r="V9" s="8">
        <v>1</v>
      </c>
      <c r="W9" s="8" t="s">
        <v>85</v>
      </c>
      <c r="X9" s="8">
        <v>0</v>
      </c>
      <c r="Y9" s="142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2" t="s">
        <v>83</v>
      </c>
      <c r="AF9" s="142" t="s">
        <v>83</v>
      </c>
      <c r="AG9" s="142" t="s">
        <v>83</v>
      </c>
      <c r="AH9" s="142" t="s">
        <v>83</v>
      </c>
      <c r="AI9" s="8"/>
      <c r="AJ9" s="8"/>
      <c r="AK9" s="8">
        <v>0</v>
      </c>
      <c r="AL9" s="8">
        <v>0</v>
      </c>
      <c r="AM9" s="142" t="s">
        <v>83</v>
      </c>
      <c r="AN9" s="8"/>
      <c r="AO9" s="8"/>
      <c r="AP9" s="8">
        <v>1</v>
      </c>
    </row>
    <row r="10" spans="1:42">
      <c r="A10" s="122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4" t="str">
        <f t="shared" si="4"/>
        <v>|Cff00FF7F[武器]鱼肠剑lv3|r</v>
      </c>
      <c r="K10" s="124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25" t="str">
        <f>VLOOKUP(LEFT(RIGHT(B10,5),4),物品!B:CU,20,FALSE)</f>
        <v>ReplaceableTextures\\CommandButtons\\BTNZ02.blp</v>
      </c>
      <c r="N10" s="142" t="s">
        <v>83</v>
      </c>
      <c r="O10" s="143" t="s">
        <v>84</v>
      </c>
      <c r="P10" s="8">
        <v>0</v>
      </c>
      <c r="Q10" s="8">
        <v>0</v>
      </c>
      <c r="R10" s="142" t="s">
        <v>83</v>
      </c>
      <c r="S10" s="142" t="s">
        <v>83</v>
      </c>
      <c r="T10" s="142" t="s">
        <v>83</v>
      </c>
      <c r="U10" s="142" t="s">
        <v>83</v>
      </c>
      <c r="V10" s="8">
        <v>1</v>
      </c>
      <c r="W10" s="8" t="s">
        <v>85</v>
      </c>
      <c r="X10" s="8">
        <v>0</v>
      </c>
      <c r="Y10" s="142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2" t="s">
        <v>83</v>
      </c>
      <c r="AF10" s="142" t="s">
        <v>83</v>
      </c>
      <c r="AG10" s="142" t="s">
        <v>83</v>
      </c>
      <c r="AH10" s="142" t="s">
        <v>83</v>
      </c>
      <c r="AI10" s="8"/>
      <c r="AJ10" s="8"/>
      <c r="AK10" s="8">
        <v>0</v>
      </c>
      <c r="AL10" s="8">
        <v>0</v>
      </c>
      <c r="AM10" s="142" t="s">
        <v>83</v>
      </c>
      <c r="AN10" s="8"/>
      <c r="AO10" s="8"/>
      <c r="AP10" s="8">
        <v>1</v>
      </c>
    </row>
    <row r="11" spans="1:42">
      <c r="A11" s="122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4" t="str">
        <f t="shared" si="4"/>
        <v>|Cff00FF7F[武器]鱼肠剑lv4|r</v>
      </c>
      <c r="K11" s="124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25" t="str">
        <f>VLOOKUP(LEFT(RIGHT(B11,5),4),物品!B:CU,20,FALSE)</f>
        <v>ReplaceableTextures\\CommandButtons\\BTNZ02.blp</v>
      </c>
      <c r="N11" s="142" t="s">
        <v>83</v>
      </c>
      <c r="O11" s="143" t="s">
        <v>84</v>
      </c>
      <c r="P11" s="8">
        <v>0</v>
      </c>
      <c r="Q11" s="8">
        <v>0</v>
      </c>
      <c r="R11" s="142" t="s">
        <v>83</v>
      </c>
      <c r="S11" s="142" t="s">
        <v>83</v>
      </c>
      <c r="T11" s="142" t="s">
        <v>83</v>
      </c>
      <c r="U11" s="142" t="s">
        <v>83</v>
      </c>
      <c r="V11" s="8">
        <v>1</v>
      </c>
      <c r="W11" s="8" t="s">
        <v>85</v>
      </c>
      <c r="X11" s="8">
        <v>0</v>
      </c>
      <c r="Y11" s="142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2" t="s">
        <v>83</v>
      </c>
      <c r="AF11" s="142" t="s">
        <v>83</v>
      </c>
      <c r="AG11" s="142" t="s">
        <v>83</v>
      </c>
      <c r="AH11" s="142" t="s">
        <v>83</v>
      </c>
      <c r="AI11" s="8"/>
      <c r="AJ11" s="8"/>
      <c r="AK11" s="8">
        <v>0</v>
      </c>
      <c r="AL11" s="8">
        <v>0</v>
      </c>
      <c r="AM11" s="142" t="s">
        <v>83</v>
      </c>
      <c r="AN11" s="8"/>
      <c r="AO11" s="8"/>
      <c r="AP11" s="8">
        <v>1</v>
      </c>
    </row>
    <row r="12" spans="1:42">
      <c r="A12" s="122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4" t="str">
        <f t="shared" si="4"/>
        <v>|Cff00FF7F[武器]鱼肠剑lv5|r</v>
      </c>
      <c r="K12" s="124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25" t="str">
        <f>VLOOKUP(LEFT(RIGHT(B12,5),4),物品!B:CU,20,FALSE)</f>
        <v>ReplaceableTextures\\CommandButtons\\BTNZ02.blp</v>
      </c>
      <c r="N12" s="142" t="s">
        <v>83</v>
      </c>
      <c r="O12" s="143" t="s">
        <v>84</v>
      </c>
      <c r="P12" s="8">
        <v>0</v>
      </c>
      <c r="Q12" s="8">
        <v>0</v>
      </c>
      <c r="R12" s="142" t="s">
        <v>83</v>
      </c>
      <c r="S12" s="142" t="s">
        <v>83</v>
      </c>
      <c r="T12" s="142" t="s">
        <v>83</v>
      </c>
      <c r="U12" s="142" t="s">
        <v>83</v>
      </c>
      <c r="V12" s="8">
        <v>1</v>
      </c>
      <c r="W12" s="8" t="s">
        <v>85</v>
      </c>
      <c r="X12" s="8">
        <v>0</v>
      </c>
      <c r="Y12" s="142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2" t="s">
        <v>83</v>
      </c>
      <c r="AF12" s="142" t="s">
        <v>83</v>
      </c>
      <c r="AG12" s="142" t="s">
        <v>83</v>
      </c>
      <c r="AH12" s="142" t="s">
        <v>83</v>
      </c>
      <c r="AI12" s="8"/>
      <c r="AJ12" s="8"/>
      <c r="AK12" s="8">
        <v>0</v>
      </c>
      <c r="AL12" s="8">
        <v>0</v>
      </c>
      <c r="AM12" s="142" t="s">
        <v>83</v>
      </c>
      <c r="AN12" s="8"/>
      <c r="AO12" s="8"/>
      <c r="AP12" s="8">
        <v>1</v>
      </c>
    </row>
    <row r="13" spans="1:42">
      <c r="A13" s="122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4" t="str">
        <f t="shared" si="4"/>
        <v>|Cff00BFFF[武器]太阿剑lv1|r</v>
      </c>
      <c r="K13" s="124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25" t="str">
        <f>VLOOKUP(LEFT(RIGHT(B13,5),4),物品!B:CU,20,FALSE)</f>
        <v>ReplaceableTextures\\CommandButtons\\BTNZ03.blp</v>
      </c>
      <c r="N13" s="142" t="s">
        <v>83</v>
      </c>
      <c r="O13" s="143" t="s">
        <v>84</v>
      </c>
      <c r="P13" s="8">
        <v>0</v>
      </c>
      <c r="Q13" s="8">
        <v>0</v>
      </c>
      <c r="R13" s="142" t="s">
        <v>83</v>
      </c>
      <c r="S13" s="142" t="s">
        <v>83</v>
      </c>
      <c r="T13" s="142" t="s">
        <v>83</v>
      </c>
      <c r="U13" s="142" t="s">
        <v>83</v>
      </c>
      <c r="V13" s="8">
        <v>1</v>
      </c>
      <c r="W13" s="8" t="s">
        <v>85</v>
      </c>
      <c r="X13" s="8">
        <v>0</v>
      </c>
      <c r="Y13" s="142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2" t="s">
        <v>83</v>
      </c>
      <c r="AF13" s="142" t="s">
        <v>83</v>
      </c>
      <c r="AG13" s="142" t="s">
        <v>83</v>
      </c>
      <c r="AH13" s="142" t="s">
        <v>83</v>
      </c>
      <c r="AI13" s="8"/>
      <c r="AJ13" s="8"/>
      <c r="AK13" s="8">
        <v>0</v>
      </c>
      <c r="AL13" s="8">
        <v>0</v>
      </c>
      <c r="AM13" s="142" t="s">
        <v>83</v>
      </c>
      <c r="AN13" s="8"/>
      <c r="AO13" s="8"/>
      <c r="AP13" s="8">
        <v>1</v>
      </c>
    </row>
    <row r="14" spans="1:42">
      <c r="A14" s="122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4" t="str">
        <f t="shared" si="4"/>
        <v>|Cff00BFFF[武器]太阿剑lv2|r</v>
      </c>
      <c r="K14" s="124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25" t="str">
        <f>VLOOKUP(LEFT(RIGHT(B14,5),4),物品!B:CU,20,FALSE)</f>
        <v>ReplaceableTextures\\CommandButtons\\BTNZ03.blp</v>
      </c>
      <c r="N14" s="142" t="s">
        <v>83</v>
      </c>
      <c r="O14" s="143" t="s">
        <v>84</v>
      </c>
      <c r="P14" s="8">
        <v>0</v>
      </c>
      <c r="Q14" s="8">
        <v>0</v>
      </c>
      <c r="R14" s="142" t="s">
        <v>83</v>
      </c>
      <c r="S14" s="142" t="s">
        <v>83</v>
      </c>
      <c r="T14" s="142" t="s">
        <v>83</v>
      </c>
      <c r="U14" s="142" t="s">
        <v>83</v>
      </c>
      <c r="V14" s="8">
        <v>1</v>
      </c>
      <c r="W14" s="8" t="s">
        <v>85</v>
      </c>
      <c r="X14" s="8">
        <v>0</v>
      </c>
      <c r="Y14" s="142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2" t="s">
        <v>83</v>
      </c>
      <c r="AF14" s="142" t="s">
        <v>83</v>
      </c>
      <c r="AG14" s="142" t="s">
        <v>83</v>
      </c>
      <c r="AH14" s="142" t="s">
        <v>83</v>
      </c>
      <c r="AI14" s="8"/>
      <c r="AJ14" s="8"/>
      <c r="AK14" s="8">
        <v>0</v>
      </c>
      <c r="AL14" s="8">
        <v>0</v>
      </c>
      <c r="AM14" s="142" t="s">
        <v>83</v>
      </c>
      <c r="AN14" s="8"/>
      <c r="AO14" s="8"/>
      <c r="AP14" s="8">
        <v>1</v>
      </c>
    </row>
    <row r="15" spans="1:42">
      <c r="A15" s="122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4" t="str">
        <f t="shared" si="4"/>
        <v>|Cff00BFFF[武器]太阿剑lv3|r</v>
      </c>
      <c r="K15" s="124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25" t="str">
        <f>VLOOKUP(LEFT(RIGHT(B15,5),4),物品!B:CU,20,FALSE)</f>
        <v>ReplaceableTextures\\CommandButtons\\BTNZ03.blp</v>
      </c>
      <c r="N15" s="142" t="s">
        <v>83</v>
      </c>
      <c r="O15" s="143" t="s">
        <v>84</v>
      </c>
      <c r="P15" s="8">
        <v>0</v>
      </c>
      <c r="Q15" s="8">
        <v>0</v>
      </c>
      <c r="R15" s="142" t="s">
        <v>83</v>
      </c>
      <c r="S15" s="142" t="s">
        <v>83</v>
      </c>
      <c r="T15" s="142" t="s">
        <v>83</v>
      </c>
      <c r="U15" s="142" t="s">
        <v>83</v>
      </c>
      <c r="V15" s="8">
        <v>1</v>
      </c>
      <c r="W15" s="8" t="s">
        <v>85</v>
      </c>
      <c r="X15" s="8">
        <v>0</v>
      </c>
      <c r="Y15" s="142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2" t="s">
        <v>83</v>
      </c>
      <c r="AF15" s="142" t="s">
        <v>83</v>
      </c>
      <c r="AG15" s="142" t="s">
        <v>83</v>
      </c>
      <c r="AH15" s="142" t="s">
        <v>83</v>
      </c>
      <c r="AI15" s="8"/>
      <c r="AJ15" s="8"/>
      <c r="AK15" s="8">
        <v>0</v>
      </c>
      <c r="AL15" s="8">
        <v>0</v>
      </c>
      <c r="AM15" s="142" t="s">
        <v>83</v>
      </c>
      <c r="AN15" s="8"/>
      <c r="AO15" s="8"/>
      <c r="AP15" s="8">
        <v>1</v>
      </c>
    </row>
    <row r="16" spans="1:42">
      <c r="A16" s="122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4" t="str">
        <f t="shared" si="4"/>
        <v>|Cff00BFFF[武器]太阿剑lv4|r</v>
      </c>
      <c r="K16" s="124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25" t="str">
        <f>VLOOKUP(LEFT(RIGHT(B16,5),4),物品!B:CU,20,FALSE)</f>
        <v>ReplaceableTextures\\CommandButtons\\BTNZ03.blp</v>
      </c>
      <c r="N16" s="142" t="s">
        <v>83</v>
      </c>
      <c r="O16" s="143" t="s">
        <v>84</v>
      </c>
      <c r="P16" s="8">
        <v>0</v>
      </c>
      <c r="Q16" s="8">
        <v>0</v>
      </c>
      <c r="R16" s="142" t="s">
        <v>83</v>
      </c>
      <c r="S16" s="142" t="s">
        <v>83</v>
      </c>
      <c r="T16" s="142" t="s">
        <v>83</v>
      </c>
      <c r="U16" s="142" t="s">
        <v>83</v>
      </c>
      <c r="V16" s="8">
        <v>1</v>
      </c>
      <c r="W16" s="8" t="s">
        <v>85</v>
      </c>
      <c r="X16" s="8">
        <v>0</v>
      </c>
      <c r="Y16" s="142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2" t="s">
        <v>83</v>
      </c>
      <c r="AF16" s="142" t="s">
        <v>83</v>
      </c>
      <c r="AG16" s="142" t="s">
        <v>83</v>
      </c>
      <c r="AH16" s="142" t="s">
        <v>83</v>
      </c>
      <c r="AI16" s="8"/>
      <c r="AJ16" s="8"/>
      <c r="AK16" s="8">
        <v>0</v>
      </c>
      <c r="AL16" s="8">
        <v>0</v>
      </c>
      <c r="AM16" s="142" t="s">
        <v>83</v>
      </c>
      <c r="AN16" s="8"/>
      <c r="AO16" s="8"/>
      <c r="AP16" s="8">
        <v>1</v>
      </c>
    </row>
    <row r="17" spans="1:42">
      <c r="A17" s="122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4" t="str">
        <f t="shared" si="4"/>
        <v>|Cff00BFFF[武器]太阿剑lv5|r</v>
      </c>
      <c r="K17" s="124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25" t="str">
        <f>VLOOKUP(LEFT(RIGHT(B17,5),4),物品!B:CU,20,FALSE)</f>
        <v>ReplaceableTextures\\CommandButtons\\BTNZ03.blp</v>
      </c>
      <c r="N17" s="142" t="s">
        <v>83</v>
      </c>
      <c r="O17" s="143" t="s">
        <v>84</v>
      </c>
      <c r="P17" s="8">
        <v>0</v>
      </c>
      <c r="Q17" s="8">
        <v>0</v>
      </c>
      <c r="R17" s="142" t="s">
        <v>83</v>
      </c>
      <c r="S17" s="142" t="s">
        <v>83</v>
      </c>
      <c r="T17" s="142" t="s">
        <v>83</v>
      </c>
      <c r="U17" s="142" t="s">
        <v>83</v>
      </c>
      <c r="V17" s="8">
        <v>1</v>
      </c>
      <c r="W17" s="8" t="s">
        <v>85</v>
      </c>
      <c r="X17" s="8">
        <v>0</v>
      </c>
      <c r="Y17" s="142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2" t="s">
        <v>83</v>
      </c>
      <c r="AF17" s="142" t="s">
        <v>83</v>
      </c>
      <c r="AG17" s="142" t="s">
        <v>83</v>
      </c>
      <c r="AH17" s="142" t="s">
        <v>83</v>
      </c>
      <c r="AI17" s="8"/>
      <c r="AJ17" s="8"/>
      <c r="AK17" s="8">
        <v>0</v>
      </c>
      <c r="AL17" s="8">
        <v>0</v>
      </c>
      <c r="AM17" s="142" t="s">
        <v>83</v>
      </c>
      <c r="AN17" s="8"/>
      <c r="AO17" s="8"/>
      <c r="AP17" s="8">
        <v>1</v>
      </c>
    </row>
    <row r="18" spans="1:42">
      <c r="A18" s="122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4" t="str">
        <f t="shared" si="4"/>
        <v>|CffFFC926[武器]轩辕剑lv1|r</v>
      </c>
      <c r="K18" s="124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25" t="str">
        <f>VLOOKUP(LEFT(RIGHT(B18,5),4),物品!B:CU,20,FALSE)</f>
        <v>ReplaceableTextures\\CommandButtons\\BTNZ04.blp</v>
      </c>
      <c r="N18" s="142" t="s">
        <v>83</v>
      </c>
      <c r="O18" s="143" t="s">
        <v>84</v>
      </c>
      <c r="P18" s="8">
        <v>0</v>
      </c>
      <c r="Q18" s="8">
        <v>0</v>
      </c>
      <c r="R18" s="142" t="s">
        <v>83</v>
      </c>
      <c r="S18" s="142" t="s">
        <v>83</v>
      </c>
      <c r="T18" s="142" t="s">
        <v>83</v>
      </c>
      <c r="U18" s="142" t="s">
        <v>83</v>
      </c>
      <c r="V18" s="8">
        <v>1</v>
      </c>
      <c r="W18" s="8" t="s">
        <v>85</v>
      </c>
      <c r="X18" s="8">
        <v>0</v>
      </c>
      <c r="Y18" s="142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2" t="s">
        <v>83</v>
      </c>
      <c r="AF18" s="142" t="s">
        <v>83</v>
      </c>
      <c r="AG18" s="142" t="s">
        <v>83</v>
      </c>
      <c r="AH18" s="142" t="s">
        <v>83</v>
      </c>
      <c r="AI18" s="8"/>
      <c r="AJ18" s="8"/>
      <c r="AK18" s="8">
        <v>0</v>
      </c>
      <c r="AL18" s="8">
        <v>0</v>
      </c>
      <c r="AM18" s="142" t="s">
        <v>83</v>
      </c>
      <c r="AN18" s="8"/>
      <c r="AO18" s="8"/>
      <c r="AP18" s="8">
        <v>1</v>
      </c>
    </row>
    <row r="19" spans="1:42">
      <c r="A19" s="122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4" t="str">
        <f t="shared" ref="J19:J35" si="6">H19</f>
        <v>|CffFFC926[武器]轩辕剑lv2|r</v>
      </c>
      <c r="K19" s="124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25" t="str">
        <f>VLOOKUP(LEFT(RIGHT(B19,5),4),物品!B:CU,20,FALSE)</f>
        <v>ReplaceableTextures\\CommandButtons\\BTNZ04.blp</v>
      </c>
      <c r="N19" s="142" t="s">
        <v>83</v>
      </c>
      <c r="O19" s="143" t="s">
        <v>84</v>
      </c>
      <c r="P19" s="8">
        <v>0</v>
      </c>
      <c r="Q19" s="8">
        <v>0</v>
      </c>
      <c r="R19" s="142" t="s">
        <v>83</v>
      </c>
      <c r="S19" s="142" t="s">
        <v>83</v>
      </c>
      <c r="T19" s="142" t="s">
        <v>83</v>
      </c>
      <c r="U19" s="142" t="s">
        <v>83</v>
      </c>
      <c r="V19" s="8">
        <v>1</v>
      </c>
      <c r="W19" s="8" t="s">
        <v>85</v>
      </c>
      <c r="X19" s="8">
        <v>0</v>
      </c>
      <c r="Y19" s="142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2" t="s">
        <v>83</v>
      </c>
      <c r="AF19" s="142" t="s">
        <v>83</v>
      </c>
      <c r="AG19" s="142" t="s">
        <v>83</v>
      </c>
      <c r="AH19" s="142" t="s">
        <v>83</v>
      </c>
      <c r="AI19" s="8"/>
      <c r="AJ19" s="8"/>
      <c r="AK19" s="8">
        <v>0</v>
      </c>
      <c r="AL19" s="8">
        <v>0</v>
      </c>
      <c r="AM19" s="142" t="s">
        <v>83</v>
      </c>
      <c r="AN19" s="8"/>
      <c r="AO19" s="8"/>
      <c r="AP19" s="8">
        <v>1</v>
      </c>
    </row>
    <row r="20" spans="1:42">
      <c r="A20" s="122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4" t="str">
        <f t="shared" si="6"/>
        <v>|CffFFC926[武器]轩辕剑lv3|r</v>
      </c>
      <c r="K20" s="124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25" t="str">
        <f>VLOOKUP(LEFT(RIGHT(B20,5),4),物品!B:CU,20,FALSE)</f>
        <v>ReplaceableTextures\\CommandButtons\\BTNZ04.blp</v>
      </c>
      <c r="N20" s="142" t="s">
        <v>83</v>
      </c>
      <c r="O20" s="143" t="s">
        <v>84</v>
      </c>
      <c r="P20" s="8">
        <v>0</v>
      </c>
      <c r="Q20" s="8">
        <v>0</v>
      </c>
      <c r="R20" s="142" t="s">
        <v>83</v>
      </c>
      <c r="S20" s="142" t="s">
        <v>83</v>
      </c>
      <c r="T20" s="142" t="s">
        <v>83</v>
      </c>
      <c r="U20" s="142" t="s">
        <v>83</v>
      </c>
      <c r="V20" s="8">
        <v>1</v>
      </c>
      <c r="W20" s="8" t="s">
        <v>85</v>
      </c>
      <c r="X20" s="8">
        <v>0</v>
      </c>
      <c r="Y20" s="142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2" t="s">
        <v>83</v>
      </c>
      <c r="AF20" s="142" t="s">
        <v>83</v>
      </c>
      <c r="AG20" s="142" t="s">
        <v>83</v>
      </c>
      <c r="AH20" s="142" t="s">
        <v>83</v>
      </c>
      <c r="AI20" s="8"/>
      <c r="AJ20" s="8"/>
      <c r="AK20" s="8">
        <v>0</v>
      </c>
      <c r="AL20" s="8">
        <v>0</v>
      </c>
      <c r="AM20" s="142" t="s">
        <v>83</v>
      </c>
      <c r="AN20" s="8"/>
      <c r="AO20" s="8"/>
      <c r="AP20" s="8">
        <v>1</v>
      </c>
    </row>
    <row r="21" spans="1:42">
      <c r="A21" s="122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4" t="str">
        <f t="shared" si="6"/>
        <v>|CffFFC926[武器]轩辕剑lv4|r</v>
      </c>
      <c r="K21" s="124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25" t="str">
        <f>VLOOKUP(LEFT(RIGHT(B21,5),4),物品!B:CU,20,FALSE)</f>
        <v>ReplaceableTextures\\CommandButtons\\BTNZ04.blp</v>
      </c>
      <c r="N21" s="142" t="s">
        <v>83</v>
      </c>
      <c r="O21" s="143" t="s">
        <v>84</v>
      </c>
      <c r="P21" s="8">
        <v>0</v>
      </c>
      <c r="Q21" s="8">
        <v>0</v>
      </c>
      <c r="R21" s="142" t="s">
        <v>83</v>
      </c>
      <c r="S21" s="142" t="s">
        <v>83</v>
      </c>
      <c r="T21" s="142" t="s">
        <v>83</v>
      </c>
      <c r="U21" s="142" t="s">
        <v>83</v>
      </c>
      <c r="V21" s="8">
        <v>1</v>
      </c>
      <c r="W21" s="8" t="s">
        <v>85</v>
      </c>
      <c r="X21" s="8">
        <v>0</v>
      </c>
      <c r="Y21" s="142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2" t="s">
        <v>83</v>
      </c>
      <c r="AF21" s="142" t="s">
        <v>83</v>
      </c>
      <c r="AG21" s="142" t="s">
        <v>83</v>
      </c>
      <c r="AH21" s="142" t="s">
        <v>83</v>
      </c>
      <c r="AI21" s="8"/>
      <c r="AJ21" s="8"/>
      <c r="AK21" s="8">
        <v>0</v>
      </c>
      <c r="AL21" s="8">
        <v>0</v>
      </c>
      <c r="AM21" s="142" t="s">
        <v>83</v>
      </c>
      <c r="AN21" s="8"/>
      <c r="AO21" s="8"/>
      <c r="AP21" s="8">
        <v>1</v>
      </c>
    </row>
    <row r="22" spans="1:42">
      <c r="A22" s="122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4" t="str">
        <f t="shared" si="6"/>
        <v>|CffFFC926[武器]轩辕剑lv5|r</v>
      </c>
      <c r="K22" s="124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25" t="str">
        <f>VLOOKUP(LEFT(RIGHT(B22,5),4),物品!B:CU,20,FALSE)</f>
        <v>ReplaceableTextures\\CommandButtons\\BTNZ04.blp</v>
      </c>
      <c r="N22" s="142" t="s">
        <v>83</v>
      </c>
      <c r="O22" s="143" t="s">
        <v>84</v>
      </c>
      <c r="P22" s="8">
        <v>0</v>
      </c>
      <c r="Q22" s="8">
        <v>0</v>
      </c>
      <c r="R22" s="142" t="s">
        <v>83</v>
      </c>
      <c r="S22" s="142" t="s">
        <v>83</v>
      </c>
      <c r="T22" s="142" t="s">
        <v>83</v>
      </c>
      <c r="U22" s="142" t="s">
        <v>83</v>
      </c>
      <c r="V22" s="8">
        <v>1</v>
      </c>
      <c r="W22" s="8" t="s">
        <v>85</v>
      </c>
      <c r="X22" s="8">
        <v>0</v>
      </c>
      <c r="Y22" s="142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2" t="s">
        <v>83</v>
      </c>
      <c r="AF22" s="142" t="s">
        <v>83</v>
      </c>
      <c r="AG22" s="142" t="s">
        <v>83</v>
      </c>
      <c r="AH22" s="142" t="s">
        <v>83</v>
      </c>
      <c r="AI22" s="8"/>
      <c r="AJ22" s="8"/>
      <c r="AK22" s="8">
        <v>0</v>
      </c>
      <c r="AL22" s="8">
        <v>0</v>
      </c>
      <c r="AM22" s="142" t="s">
        <v>83</v>
      </c>
      <c r="AN22" s="8"/>
      <c r="AO22" s="8"/>
      <c r="AP22" s="8">
        <v>1</v>
      </c>
    </row>
    <row r="23" spans="1:42">
      <c r="A23" s="122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4" t="str">
        <f t="shared" si="6"/>
        <v>|CffFF0000[武器]太极八卦剑lv1|r</v>
      </c>
      <c r="K23" s="124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25" t="str">
        <f>VLOOKUP(LEFT(RIGHT(B23,5),4),物品!B:CU,20,FALSE)</f>
        <v>ReplaceableTextures\\CommandButtons\\BTNZ05.blp</v>
      </c>
      <c r="N23" s="142" t="s">
        <v>83</v>
      </c>
      <c r="O23" s="143" t="s">
        <v>84</v>
      </c>
      <c r="P23" s="8">
        <v>0</v>
      </c>
      <c r="Q23" s="8">
        <v>0</v>
      </c>
      <c r="R23" s="142" t="s">
        <v>83</v>
      </c>
      <c r="S23" s="142" t="s">
        <v>83</v>
      </c>
      <c r="T23" s="142" t="s">
        <v>83</v>
      </c>
      <c r="U23" s="142" t="s">
        <v>83</v>
      </c>
      <c r="V23" s="8">
        <v>1</v>
      </c>
      <c r="W23" s="8" t="s">
        <v>85</v>
      </c>
      <c r="X23" s="8">
        <v>0</v>
      </c>
      <c r="Y23" s="142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2" t="s">
        <v>83</v>
      </c>
      <c r="AF23" s="142" t="s">
        <v>83</v>
      </c>
      <c r="AG23" s="142" t="s">
        <v>83</v>
      </c>
      <c r="AH23" s="142" t="s">
        <v>83</v>
      </c>
      <c r="AI23" s="8"/>
      <c r="AJ23" s="8"/>
      <c r="AK23" s="8">
        <v>0</v>
      </c>
      <c r="AL23" s="8">
        <v>0</v>
      </c>
      <c r="AM23" s="142" t="s">
        <v>83</v>
      </c>
      <c r="AN23" s="8"/>
      <c r="AO23" s="8"/>
      <c r="AP23" s="8">
        <v>1</v>
      </c>
    </row>
    <row r="24" spans="1:42">
      <c r="A24" s="122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4" t="str">
        <f t="shared" si="6"/>
        <v>|CffFF0000[武器]太极八卦剑lv2|r</v>
      </c>
      <c r="K24" s="124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25" t="str">
        <f>VLOOKUP(LEFT(RIGHT(B24,5),4),物品!B:CU,20,FALSE)</f>
        <v>ReplaceableTextures\\CommandButtons\\BTNZ05.blp</v>
      </c>
      <c r="N24" s="142" t="s">
        <v>83</v>
      </c>
      <c r="O24" s="143" t="s">
        <v>84</v>
      </c>
      <c r="P24" s="8">
        <v>0</v>
      </c>
      <c r="Q24" s="8">
        <v>0</v>
      </c>
      <c r="R24" s="142" t="s">
        <v>83</v>
      </c>
      <c r="S24" s="142" t="s">
        <v>83</v>
      </c>
      <c r="T24" s="142" t="s">
        <v>83</v>
      </c>
      <c r="U24" s="142" t="s">
        <v>83</v>
      </c>
      <c r="V24" s="8">
        <v>1</v>
      </c>
      <c r="W24" s="8" t="s">
        <v>85</v>
      </c>
      <c r="X24" s="8">
        <v>0</v>
      </c>
      <c r="Y24" s="142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2" t="s">
        <v>83</v>
      </c>
      <c r="AF24" s="142" t="s">
        <v>83</v>
      </c>
      <c r="AG24" s="142" t="s">
        <v>83</v>
      </c>
      <c r="AH24" s="142" t="s">
        <v>83</v>
      </c>
      <c r="AI24" s="8"/>
      <c r="AJ24" s="8"/>
      <c r="AK24" s="8">
        <v>0</v>
      </c>
      <c r="AL24" s="8">
        <v>0</v>
      </c>
      <c r="AM24" s="142" t="s">
        <v>83</v>
      </c>
      <c r="AN24" s="8"/>
      <c r="AO24" s="8"/>
      <c r="AP24" s="8">
        <v>1</v>
      </c>
    </row>
    <row r="25" spans="1:42">
      <c r="A25" s="122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4" t="str">
        <f t="shared" si="6"/>
        <v>|CffFF0000[武器]太极八卦剑lv3|r</v>
      </c>
      <c r="K25" s="124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25" t="str">
        <f>VLOOKUP(LEFT(RIGHT(B25,5),4),物品!B:CU,20,FALSE)</f>
        <v>ReplaceableTextures\\CommandButtons\\BTNZ05.blp</v>
      </c>
      <c r="N25" s="142" t="s">
        <v>83</v>
      </c>
      <c r="O25" s="143" t="s">
        <v>84</v>
      </c>
      <c r="P25" s="8">
        <v>0</v>
      </c>
      <c r="Q25" s="8">
        <v>0</v>
      </c>
      <c r="R25" s="142" t="s">
        <v>83</v>
      </c>
      <c r="S25" s="142" t="s">
        <v>83</v>
      </c>
      <c r="T25" s="142" t="s">
        <v>83</v>
      </c>
      <c r="U25" s="142" t="s">
        <v>83</v>
      </c>
      <c r="V25" s="8">
        <v>1</v>
      </c>
      <c r="W25" s="8" t="s">
        <v>85</v>
      </c>
      <c r="X25" s="8">
        <v>0</v>
      </c>
      <c r="Y25" s="142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2" t="s">
        <v>83</v>
      </c>
      <c r="AF25" s="142" t="s">
        <v>83</v>
      </c>
      <c r="AG25" s="142" t="s">
        <v>83</v>
      </c>
      <c r="AH25" s="142" t="s">
        <v>83</v>
      </c>
      <c r="AI25" s="8"/>
      <c r="AJ25" s="8"/>
      <c r="AK25" s="8">
        <v>0</v>
      </c>
      <c r="AL25" s="8">
        <v>0</v>
      </c>
      <c r="AM25" s="142" t="s">
        <v>83</v>
      </c>
      <c r="AN25" s="8"/>
      <c r="AO25" s="8"/>
      <c r="AP25" s="8">
        <v>1</v>
      </c>
    </row>
    <row r="26" spans="1:42">
      <c r="A26" s="122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4" t="str">
        <f t="shared" si="6"/>
        <v>|CffFF0000[武器]太极八卦剑lv4|r</v>
      </c>
      <c r="K26" s="124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25" t="str">
        <f>VLOOKUP(LEFT(RIGHT(B26,5),4),物品!B:CU,20,FALSE)</f>
        <v>ReplaceableTextures\\CommandButtons\\BTNZ05.blp</v>
      </c>
      <c r="N26" s="142" t="s">
        <v>83</v>
      </c>
      <c r="O26" s="143" t="s">
        <v>84</v>
      </c>
      <c r="P26" s="8">
        <v>0</v>
      </c>
      <c r="Q26" s="8">
        <v>0</v>
      </c>
      <c r="R26" s="142" t="s">
        <v>83</v>
      </c>
      <c r="S26" s="142" t="s">
        <v>83</v>
      </c>
      <c r="T26" s="142" t="s">
        <v>83</v>
      </c>
      <c r="U26" s="142" t="s">
        <v>83</v>
      </c>
      <c r="V26" s="8">
        <v>1</v>
      </c>
      <c r="W26" s="8" t="s">
        <v>85</v>
      </c>
      <c r="X26" s="8">
        <v>0</v>
      </c>
      <c r="Y26" s="142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2" t="s">
        <v>83</v>
      </c>
      <c r="AF26" s="142" t="s">
        <v>83</v>
      </c>
      <c r="AG26" s="142" t="s">
        <v>83</v>
      </c>
      <c r="AH26" s="142" t="s">
        <v>83</v>
      </c>
      <c r="AI26" s="8"/>
      <c r="AJ26" s="8"/>
      <c r="AK26" s="8">
        <v>0</v>
      </c>
      <c r="AL26" s="8">
        <v>0</v>
      </c>
      <c r="AM26" s="142" t="s">
        <v>83</v>
      </c>
      <c r="AN26" s="8"/>
      <c r="AO26" s="8"/>
      <c r="AP26" s="8">
        <v>1</v>
      </c>
    </row>
    <row r="27" spans="1:42">
      <c r="A27" s="122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4" t="str">
        <f t="shared" si="6"/>
        <v>|CffFF0000[武器]太极八卦剑lv5|r</v>
      </c>
      <c r="K27" s="124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25" t="str">
        <f>VLOOKUP(LEFT(RIGHT(B27,5),4),物品!B:CU,20,FALSE)</f>
        <v>ReplaceableTextures\\CommandButtons\\BTNZ05.blp</v>
      </c>
      <c r="N27" s="142" t="s">
        <v>83</v>
      </c>
      <c r="O27" s="143" t="s">
        <v>84</v>
      </c>
      <c r="P27" s="8">
        <v>0</v>
      </c>
      <c r="Q27" s="8">
        <v>0</v>
      </c>
      <c r="R27" s="142" t="s">
        <v>83</v>
      </c>
      <c r="S27" s="142" t="s">
        <v>83</v>
      </c>
      <c r="T27" s="142" t="s">
        <v>83</v>
      </c>
      <c r="U27" s="142" t="s">
        <v>83</v>
      </c>
      <c r="V27" s="8">
        <v>1</v>
      </c>
      <c r="W27" s="8" t="s">
        <v>85</v>
      </c>
      <c r="X27" s="8">
        <v>0</v>
      </c>
      <c r="Y27" s="142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2" t="s">
        <v>83</v>
      </c>
      <c r="AF27" s="142" t="s">
        <v>83</v>
      </c>
      <c r="AG27" s="142" t="s">
        <v>83</v>
      </c>
      <c r="AH27" s="142" t="s">
        <v>83</v>
      </c>
      <c r="AI27" s="8"/>
      <c r="AJ27" s="8"/>
      <c r="AK27" s="8">
        <v>0</v>
      </c>
      <c r="AL27" s="8">
        <v>0</v>
      </c>
      <c r="AM27" s="142" t="s">
        <v>83</v>
      </c>
      <c r="AN27" s="8"/>
      <c r="AO27" s="8"/>
      <c r="AP27" s="8"/>
    </row>
    <row r="28" spans="1:42">
      <c r="A28" s="122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4" t="str">
        <f t="shared" si="6"/>
        <v>[饰品]青珑挂珠lv1</v>
      </c>
      <c r="K28" s="124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25" t="str">
        <f>VLOOKUP(LEFT(RIGHT(B28,5),4),物品!B:CU,20,FALSE)</f>
        <v>ReplaceableTextures\\CommandButtons\\BTNZ06.blp</v>
      </c>
      <c r="N28" s="142" t="s">
        <v>83</v>
      </c>
      <c r="O28" s="143" t="s">
        <v>84</v>
      </c>
      <c r="P28" s="8">
        <v>0</v>
      </c>
      <c r="Q28" s="8">
        <v>0</v>
      </c>
      <c r="R28" s="142" t="s">
        <v>83</v>
      </c>
      <c r="S28" s="142" t="s">
        <v>83</v>
      </c>
      <c r="T28" s="142" t="s">
        <v>83</v>
      </c>
      <c r="U28" s="142" t="s">
        <v>83</v>
      </c>
      <c r="V28" s="8">
        <v>2</v>
      </c>
      <c r="W28" s="8" t="s">
        <v>85</v>
      </c>
      <c r="X28" s="8">
        <v>0</v>
      </c>
      <c r="Y28" s="142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2" t="s">
        <v>83</v>
      </c>
      <c r="AF28" s="142" t="s">
        <v>83</v>
      </c>
      <c r="AG28" s="142" t="s">
        <v>83</v>
      </c>
      <c r="AH28" s="142" t="s">
        <v>83</v>
      </c>
      <c r="AI28" s="8"/>
      <c r="AJ28" s="8"/>
      <c r="AK28" s="8">
        <v>0</v>
      </c>
      <c r="AL28" s="8">
        <v>0</v>
      </c>
      <c r="AM28" s="142" t="s">
        <v>83</v>
      </c>
      <c r="AN28" s="8">
        <v>150</v>
      </c>
      <c r="AO28" s="8"/>
      <c r="AP28" s="8"/>
    </row>
    <row r="29" spans="1:42">
      <c r="A29" s="122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4" t="str">
        <f t="shared" si="6"/>
        <v>[饰品]青珑挂珠lv2</v>
      </c>
      <c r="K29" s="124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25" t="str">
        <f>VLOOKUP(LEFT(RIGHT(B29,5),4),物品!B:CU,20,FALSE)</f>
        <v>ReplaceableTextures\\CommandButtons\\BTNZ06.blp</v>
      </c>
      <c r="N29" s="142" t="s">
        <v>83</v>
      </c>
      <c r="O29" s="143" t="s">
        <v>84</v>
      </c>
      <c r="P29" s="8">
        <v>0</v>
      </c>
      <c r="Q29" s="8">
        <v>0</v>
      </c>
      <c r="R29" s="142" t="s">
        <v>83</v>
      </c>
      <c r="S29" s="142" t="s">
        <v>83</v>
      </c>
      <c r="T29" s="142" t="s">
        <v>83</v>
      </c>
      <c r="U29" s="142" t="s">
        <v>83</v>
      </c>
      <c r="V29" s="8">
        <v>2</v>
      </c>
      <c r="W29" s="8" t="s">
        <v>85</v>
      </c>
      <c r="X29" s="8">
        <v>0</v>
      </c>
      <c r="Y29" s="142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2" t="s">
        <v>83</v>
      </c>
      <c r="AF29" s="142" t="s">
        <v>83</v>
      </c>
      <c r="AG29" s="142" t="s">
        <v>83</v>
      </c>
      <c r="AH29" s="142" t="s">
        <v>83</v>
      </c>
      <c r="AI29" s="8"/>
      <c r="AJ29" s="8"/>
      <c r="AK29" s="8">
        <v>0</v>
      </c>
      <c r="AL29" s="8">
        <v>0</v>
      </c>
      <c r="AM29" s="142" t="s">
        <v>83</v>
      </c>
      <c r="AN29" s="8">
        <v>150</v>
      </c>
      <c r="AO29" s="8"/>
      <c r="AP29" s="8"/>
    </row>
    <row r="30" spans="1:42">
      <c r="A30" s="122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4" t="str">
        <f t="shared" si="6"/>
        <v>[饰品]青珑挂珠lv3</v>
      </c>
      <c r="K30" s="124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25" t="str">
        <f>VLOOKUP(LEFT(RIGHT(B30,5),4),物品!B:CU,20,FALSE)</f>
        <v>ReplaceableTextures\\CommandButtons\\BTNZ06.blp</v>
      </c>
      <c r="N30" s="142" t="s">
        <v>83</v>
      </c>
      <c r="O30" s="143" t="s">
        <v>84</v>
      </c>
      <c r="P30" s="8">
        <v>0</v>
      </c>
      <c r="Q30" s="8">
        <v>0</v>
      </c>
      <c r="R30" s="142" t="s">
        <v>83</v>
      </c>
      <c r="S30" s="142" t="s">
        <v>83</v>
      </c>
      <c r="T30" s="142" t="s">
        <v>83</v>
      </c>
      <c r="U30" s="142" t="s">
        <v>83</v>
      </c>
      <c r="V30" s="8">
        <v>2</v>
      </c>
      <c r="W30" s="8" t="s">
        <v>85</v>
      </c>
      <c r="X30" s="8">
        <v>0</v>
      </c>
      <c r="Y30" s="142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2" t="s">
        <v>83</v>
      </c>
      <c r="AF30" s="142" t="s">
        <v>83</v>
      </c>
      <c r="AG30" s="142" t="s">
        <v>83</v>
      </c>
      <c r="AH30" s="142" t="s">
        <v>83</v>
      </c>
      <c r="AI30" s="8"/>
      <c r="AJ30" s="8"/>
      <c r="AK30" s="8">
        <v>0</v>
      </c>
      <c r="AL30" s="8">
        <v>0</v>
      </c>
      <c r="AM30" s="142" t="s">
        <v>83</v>
      </c>
      <c r="AN30" s="8">
        <v>150</v>
      </c>
      <c r="AO30" s="8"/>
      <c r="AP30" s="8"/>
    </row>
    <row r="31" spans="1:42">
      <c r="A31" s="122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4" t="str">
        <f t="shared" si="6"/>
        <v>[饰品]青珑挂珠lv4</v>
      </c>
      <c r="K31" s="124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25" t="str">
        <f>VLOOKUP(LEFT(RIGHT(B31,5),4),物品!B:CU,20,FALSE)</f>
        <v>ReplaceableTextures\\CommandButtons\\BTNZ06.blp</v>
      </c>
      <c r="N31" s="142" t="s">
        <v>83</v>
      </c>
      <c r="O31" s="143" t="s">
        <v>84</v>
      </c>
      <c r="P31" s="8">
        <v>0</v>
      </c>
      <c r="Q31" s="8">
        <v>0</v>
      </c>
      <c r="R31" s="142" t="s">
        <v>83</v>
      </c>
      <c r="S31" s="142" t="s">
        <v>83</v>
      </c>
      <c r="T31" s="142" t="s">
        <v>83</v>
      </c>
      <c r="U31" s="142" t="s">
        <v>83</v>
      </c>
      <c r="V31" s="8">
        <v>2</v>
      </c>
      <c r="W31" s="8" t="s">
        <v>85</v>
      </c>
      <c r="X31" s="8">
        <v>0</v>
      </c>
      <c r="Y31" s="142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2" t="s">
        <v>83</v>
      </c>
      <c r="AF31" s="142" t="s">
        <v>83</v>
      </c>
      <c r="AG31" s="142" t="s">
        <v>83</v>
      </c>
      <c r="AH31" s="142" t="s">
        <v>83</v>
      </c>
      <c r="AI31" s="8"/>
      <c r="AJ31" s="8"/>
      <c r="AK31" s="8">
        <v>0</v>
      </c>
      <c r="AL31" s="8">
        <v>0</v>
      </c>
      <c r="AM31" s="142" t="s">
        <v>83</v>
      </c>
      <c r="AN31" s="8">
        <v>150</v>
      </c>
      <c r="AO31" s="8"/>
      <c r="AP31" s="8"/>
    </row>
    <row r="32" spans="1:42">
      <c r="A32" s="122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4" t="str">
        <f t="shared" si="6"/>
        <v>[饰品]青珑挂珠lv5</v>
      </c>
      <c r="K32" s="124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25" t="str">
        <f>VLOOKUP(LEFT(RIGHT(B32,5),4),物品!B:CU,20,FALSE)</f>
        <v>ReplaceableTextures\\CommandButtons\\BTNZ06.blp</v>
      </c>
      <c r="N32" s="142" t="s">
        <v>83</v>
      </c>
      <c r="O32" s="143" t="s">
        <v>84</v>
      </c>
      <c r="P32" s="8">
        <v>0</v>
      </c>
      <c r="Q32" s="8">
        <v>0</v>
      </c>
      <c r="R32" s="142" t="s">
        <v>83</v>
      </c>
      <c r="S32" s="142" t="s">
        <v>83</v>
      </c>
      <c r="T32" s="142" t="s">
        <v>83</v>
      </c>
      <c r="U32" s="142" t="s">
        <v>83</v>
      </c>
      <c r="V32" s="8">
        <v>2</v>
      </c>
      <c r="W32" s="8" t="s">
        <v>85</v>
      </c>
      <c r="X32" s="8">
        <v>0</v>
      </c>
      <c r="Y32" s="142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2" t="s">
        <v>83</v>
      </c>
      <c r="AF32" s="142" t="s">
        <v>83</v>
      </c>
      <c r="AG32" s="142" t="s">
        <v>83</v>
      </c>
      <c r="AH32" s="142" t="s">
        <v>83</v>
      </c>
      <c r="AI32" s="8"/>
      <c r="AJ32" s="8"/>
      <c r="AK32" s="8">
        <v>0</v>
      </c>
      <c r="AL32" s="8">
        <v>0</v>
      </c>
      <c r="AM32" s="142" t="s">
        <v>83</v>
      </c>
      <c r="AN32" s="8">
        <v>150</v>
      </c>
      <c r="AO32" s="8"/>
      <c r="AP32" s="8"/>
    </row>
    <row r="33" spans="1:42">
      <c r="A33" s="122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4" t="str">
        <f t="shared" si="6"/>
        <v>|Cff00FF7F[饰品]紫晶坠子lv1|r</v>
      </c>
      <c r="K33" s="124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25" t="str">
        <f>VLOOKUP(LEFT(RIGHT(B33,5),4),物品!B:CU,20,FALSE)</f>
        <v>ReplaceableTextures\\CommandButtons\\BTNZ07.blp</v>
      </c>
      <c r="N33" s="142" t="s">
        <v>83</v>
      </c>
      <c r="O33" s="143" t="s">
        <v>84</v>
      </c>
      <c r="P33" s="8">
        <v>0</v>
      </c>
      <c r="Q33" s="8">
        <v>0</v>
      </c>
      <c r="R33" s="142" t="s">
        <v>83</v>
      </c>
      <c r="S33" s="142" t="s">
        <v>83</v>
      </c>
      <c r="T33" s="142" t="s">
        <v>83</v>
      </c>
      <c r="U33" s="142" t="s">
        <v>83</v>
      </c>
      <c r="V33" s="8">
        <v>2</v>
      </c>
      <c r="W33" s="8" t="s">
        <v>85</v>
      </c>
      <c r="X33" s="8">
        <v>0</v>
      </c>
      <c r="Y33" s="142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2" t="s">
        <v>83</v>
      </c>
      <c r="AF33" s="142" t="s">
        <v>83</v>
      </c>
      <c r="AG33" s="142" t="s">
        <v>83</v>
      </c>
      <c r="AH33" s="142" t="s">
        <v>83</v>
      </c>
      <c r="AI33" s="8"/>
      <c r="AJ33" s="8"/>
      <c r="AK33" s="8">
        <v>0</v>
      </c>
      <c r="AL33" s="8">
        <v>0</v>
      </c>
      <c r="AM33" s="142" t="s">
        <v>83</v>
      </c>
      <c r="AN33" s="8">
        <v>200</v>
      </c>
      <c r="AO33" s="8"/>
      <c r="AP33" s="8"/>
    </row>
    <row r="34" spans="1:42">
      <c r="A34" s="122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4" t="str">
        <f t="shared" si="6"/>
        <v>|Cff00FF7F[饰品]紫晶坠子lv2|r</v>
      </c>
      <c r="K34" s="124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25" t="str">
        <f>VLOOKUP(LEFT(RIGHT(B34,5),4),物品!B:CU,20,FALSE)</f>
        <v>ReplaceableTextures\\CommandButtons\\BTNZ07.blp</v>
      </c>
      <c r="N34" s="142" t="s">
        <v>83</v>
      </c>
      <c r="O34" s="143" t="s">
        <v>84</v>
      </c>
      <c r="P34" s="8">
        <v>0</v>
      </c>
      <c r="Q34" s="8">
        <v>0</v>
      </c>
      <c r="R34" s="142" t="s">
        <v>83</v>
      </c>
      <c r="S34" s="142" t="s">
        <v>83</v>
      </c>
      <c r="T34" s="142" t="s">
        <v>83</v>
      </c>
      <c r="U34" s="142" t="s">
        <v>83</v>
      </c>
      <c r="V34" s="8">
        <v>2</v>
      </c>
      <c r="W34" s="8" t="s">
        <v>85</v>
      </c>
      <c r="X34" s="8">
        <v>0</v>
      </c>
      <c r="Y34" s="142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2" t="s">
        <v>83</v>
      </c>
      <c r="AF34" s="142" t="s">
        <v>83</v>
      </c>
      <c r="AG34" s="142" t="s">
        <v>83</v>
      </c>
      <c r="AH34" s="142" t="s">
        <v>83</v>
      </c>
      <c r="AI34" s="8"/>
      <c r="AJ34" s="8"/>
      <c r="AK34" s="8">
        <v>0</v>
      </c>
      <c r="AL34" s="8">
        <v>0</v>
      </c>
      <c r="AM34" s="142" t="s">
        <v>83</v>
      </c>
      <c r="AN34" s="8">
        <v>200</v>
      </c>
      <c r="AO34" s="8"/>
      <c r="AP34" s="8"/>
    </row>
    <row r="35" spans="1:42">
      <c r="A35" s="122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4" t="str">
        <f t="shared" si="6"/>
        <v>|Cff00FF7F[饰品]紫晶坠子lv3|r</v>
      </c>
      <c r="K35" s="124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25" t="str">
        <f>VLOOKUP(LEFT(RIGHT(B35,5),4),物品!B:CU,20,FALSE)</f>
        <v>ReplaceableTextures\\CommandButtons\\BTNZ07.blp</v>
      </c>
      <c r="N35" s="142" t="s">
        <v>83</v>
      </c>
      <c r="O35" s="143" t="s">
        <v>84</v>
      </c>
      <c r="P35" s="8">
        <v>0</v>
      </c>
      <c r="Q35" s="8">
        <v>0</v>
      </c>
      <c r="R35" s="142" t="s">
        <v>83</v>
      </c>
      <c r="S35" s="142" t="s">
        <v>83</v>
      </c>
      <c r="T35" s="142" t="s">
        <v>83</v>
      </c>
      <c r="U35" s="142" t="s">
        <v>83</v>
      </c>
      <c r="V35" s="8">
        <v>2</v>
      </c>
      <c r="W35" s="8" t="s">
        <v>85</v>
      </c>
      <c r="X35" s="8">
        <v>0</v>
      </c>
      <c r="Y35" s="142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2" t="s">
        <v>83</v>
      </c>
      <c r="AF35" s="142" t="s">
        <v>83</v>
      </c>
      <c r="AG35" s="142" t="s">
        <v>83</v>
      </c>
      <c r="AH35" s="142" t="s">
        <v>83</v>
      </c>
      <c r="AI35" s="8"/>
      <c r="AJ35" s="8"/>
      <c r="AK35" s="8">
        <v>0</v>
      </c>
      <c r="AL35" s="8">
        <v>0</v>
      </c>
      <c r="AM35" s="142" t="s">
        <v>83</v>
      </c>
      <c r="AN35" s="8">
        <v>200</v>
      </c>
      <c r="AO35" s="8"/>
      <c r="AP35" s="8"/>
    </row>
    <row r="36" spans="1:42">
      <c r="A36" s="122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4" t="str">
        <f t="shared" ref="J36:J53" si="8">H36</f>
        <v>|Cff00FF7F[饰品]紫晶坠子lv4|r</v>
      </c>
      <c r="K36" s="124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25" t="str">
        <f>VLOOKUP(LEFT(RIGHT(B36,5),4),物品!B:CU,20,FALSE)</f>
        <v>ReplaceableTextures\\CommandButtons\\BTNZ07.blp</v>
      </c>
      <c r="N36" s="142" t="s">
        <v>83</v>
      </c>
      <c r="O36" s="143" t="s">
        <v>84</v>
      </c>
      <c r="P36" s="8">
        <v>0</v>
      </c>
      <c r="Q36" s="8">
        <v>0</v>
      </c>
      <c r="R36" s="142" t="s">
        <v>83</v>
      </c>
      <c r="S36" s="142" t="s">
        <v>83</v>
      </c>
      <c r="T36" s="142" t="s">
        <v>83</v>
      </c>
      <c r="U36" s="142" t="s">
        <v>83</v>
      </c>
      <c r="V36" s="8">
        <v>2</v>
      </c>
      <c r="W36" s="8" t="s">
        <v>85</v>
      </c>
      <c r="X36" s="8">
        <v>0</v>
      </c>
      <c r="Y36" s="142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2" t="s">
        <v>83</v>
      </c>
      <c r="AF36" s="142" t="s">
        <v>83</v>
      </c>
      <c r="AG36" s="142" t="s">
        <v>83</v>
      </c>
      <c r="AH36" s="142" t="s">
        <v>83</v>
      </c>
      <c r="AI36" s="8"/>
      <c r="AJ36" s="8"/>
      <c r="AK36" s="8">
        <v>0</v>
      </c>
      <c r="AL36" s="8">
        <v>0</v>
      </c>
      <c r="AM36" s="142" t="s">
        <v>83</v>
      </c>
      <c r="AN36" s="8">
        <v>200</v>
      </c>
      <c r="AO36" s="8"/>
      <c r="AP36" s="8"/>
    </row>
    <row r="37" spans="1:42">
      <c r="A37" s="122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4" t="str">
        <f t="shared" si="8"/>
        <v>|Cff00FF7F[饰品]紫晶坠子lv5|r</v>
      </c>
      <c r="K37" s="124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25" t="str">
        <f>VLOOKUP(LEFT(RIGHT(B37,5),4),物品!B:CU,20,FALSE)</f>
        <v>ReplaceableTextures\\CommandButtons\\BTNZ07.blp</v>
      </c>
      <c r="N37" s="142" t="s">
        <v>83</v>
      </c>
      <c r="O37" s="143" t="s">
        <v>84</v>
      </c>
      <c r="P37" s="8">
        <v>0</v>
      </c>
      <c r="Q37" s="8">
        <v>0</v>
      </c>
      <c r="R37" s="142" t="s">
        <v>83</v>
      </c>
      <c r="S37" s="142" t="s">
        <v>83</v>
      </c>
      <c r="T37" s="142" t="s">
        <v>83</v>
      </c>
      <c r="U37" s="142" t="s">
        <v>83</v>
      </c>
      <c r="V37" s="8">
        <v>2</v>
      </c>
      <c r="W37" s="8" t="s">
        <v>85</v>
      </c>
      <c r="X37" s="8">
        <v>0</v>
      </c>
      <c r="Y37" s="142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2" t="s">
        <v>83</v>
      </c>
      <c r="AF37" s="142" t="s">
        <v>83</v>
      </c>
      <c r="AG37" s="142" t="s">
        <v>83</v>
      </c>
      <c r="AH37" s="142" t="s">
        <v>83</v>
      </c>
      <c r="AI37" s="8"/>
      <c r="AJ37" s="8"/>
      <c r="AK37" s="8">
        <v>0</v>
      </c>
      <c r="AL37" s="8">
        <v>0</v>
      </c>
      <c r="AM37" s="142" t="s">
        <v>83</v>
      </c>
      <c r="AN37" s="8">
        <v>200</v>
      </c>
      <c r="AO37" s="8"/>
      <c r="AP37" s="8"/>
    </row>
    <row r="38" spans="1:42">
      <c r="A38" s="122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4" t="str">
        <f t="shared" si="8"/>
        <v>|Cff00BFFF[饰品]三才项圈lv1|r</v>
      </c>
      <c r="K38" s="124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25" t="str">
        <f>VLOOKUP(LEFT(RIGHT(B38,5),4),物品!B:CU,20,FALSE)</f>
        <v>ReplaceableTextures\\CommandButtons\\BTNZ08.blp</v>
      </c>
      <c r="N38" s="142" t="s">
        <v>83</v>
      </c>
      <c r="O38" s="143" t="s">
        <v>84</v>
      </c>
      <c r="P38" s="8">
        <v>0</v>
      </c>
      <c r="Q38" s="8">
        <v>0</v>
      </c>
      <c r="R38" s="142" t="s">
        <v>83</v>
      </c>
      <c r="S38" s="142" t="s">
        <v>83</v>
      </c>
      <c r="T38" s="142" t="s">
        <v>83</v>
      </c>
      <c r="U38" s="142" t="s">
        <v>83</v>
      </c>
      <c r="V38" s="8">
        <v>2</v>
      </c>
      <c r="W38" s="8" t="s">
        <v>85</v>
      </c>
      <c r="X38" s="8">
        <v>0</v>
      </c>
      <c r="Y38" s="142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2" t="s">
        <v>83</v>
      </c>
      <c r="AF38" s="142" t="s">
        <v>83</v>
      </c>
      <c r="AG38" s="142" t="s">
        <v>83</v>
      </c>
      <c r="AH38" s="142" t="s">
        <v>83</v>
      </c>
      <c r="AI38" s="8"/>
      <c r="AJ38" s="8"/>
      <c r="AK38" s="8">
        <v>0</v>
      </c>
      <c r="AL38" s="8">
        <v>0</v>
      </c>
      <c r="AM38" s="142" t="s">
        <v>83</v>
      </c>
      <c r="AN38" s="8">
        <v>300</v>
      </c>
      <c r="AO38" s="8"/>
      <c r="AP38" s="8"/>
    </row>
    <row r="39" spans="1:42">
      <c r="A39" s="122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4" t="str">
        <f t="shared" si="8"/>
        <v>|Cff00BFFF[饰品]三才项圈lv2|r</v>
      </c>
      <c r="K39" s="124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25" t="str">
        <f>VLOOKUP(LEFT(RIGHT(B39,5),4),物品!B:CU,20,FALSE)</f>
        <v>ReplaceableTextures\\CommandButtons\\BTNZ08.blp</v>
      </c>
      <c r="N39" s="142" t="s">
        <v>83</v>
      </c>
      <c r="O39" s="143" t="s">
        <v>84</v>
      </c>
      <c r="P39" s="8">
        <v>0</v>
      </c>
      <c r="Q39" s="8">
        <v>0</v>
      </c>
      <c r="R39" s="142" t="s">
        <v>83</v>
      </c>
      <c r="S39" s="142" t="s">
        <v>83</v>
      </c>
      <c r="T39" s="142" t="s">
        <v>83</v>
      </c>
      <c r="U39" s="142" t="s">
        <v>83</v>
      </c>
      <c r="V39" s="8">
        <v>2</v>
      </c>
      <c r="W39" s="8" t="s">
        <v>85</v>
      </c>
      <c r="X39" s="8">
        <v>0</v>
      </c>
      <c r="Y39" s="142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2" t="s">
        <v>83</v>
      </c>
      <c r="AF39" s="142" t="s">
        <v>83</v>
      </c>
      <c r="AG39" s="142" t="s">
        <v>83</v>
      </c>
      <c r="AH39" s="142" t="s">
        <v>83</v>
      </c>
      <c r="AI39" s="8"/>
      <c r="AJ39" s="8"/>
      <c r="AK39" s="8">
        <v>0</v>
      </c>
      <c r="AL39" s="8">
        <v>0</v>
      </c>
      <c r="AM39" s="142" t="s">
        <v>83</v>
      </c>
      <c r="AN39" s="8">
        <v>300</v>
      </c>
      <c r="AO39" s="8"/>
      <c r="AP39" s="8"/>
    </row>
    <row r="40" spans="1:42">
      <c r="A40" s="122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4" t="str">
        <f t="shared" si="8"/>
        <v>|Cff00BFFF[饰品]三才项圈lv3|r</v>
      </c>
      <c r="K40" s="124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25" t="str">
        <f>VLOOKUP(LEFT(RIGHT(B40,5),4),物品!B:CU,20,FALSE)</f>
        <v>ReplaceableTextures\\CommandButtons\\BTNZ08.blp</v>
      </c>
      <c r="N40" s="142" t="s">
        <v>83</v>
      </c>
      <c r="O40" s="143" t="s">
        <v>84</v>
      </c>
      <c r="P40" s="8">
        <v>0</v>
      </c>
      <c r="Q40" s="8">
        <v>0</v>
      </c>
      <c r="R40" s="142" t="s">
        <v>83</v>
      </c>
      <c r="S40" s="142" t="s">
        <v>83</v>
      </c>
      <c r="T40" s="142" t="s">
        <v>83</v>
      </c>
      <c r="U40" s="142" t="s">
        <v>83</v>
      </c>
      <c r="V40" s="8">
        <v>2</v>
      </c>
      <c r="W40" s="8" t="s">
        <v>85</v>
      </c>
      <c r="X40" s="8">
        <v>0</v>
      </c>
      <c r="Y40" s="142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2" t="s">
        <v>83</v>
      </c>
      <c r="AF40" s="142" t="s">
        <v>83</v>
      </c>
      <c r="AG40" s="142" t="s">
        <v>83</v>
      </c>
      <c r="AH40" s="142" t="s">
        <v>83</v>
      </c>
      <c r="AI40" s="8"/>
      <c r="AJ40" s="8"/>
      <c r="AK40" s="8">
        <v>0</v>
      </c>
      <c r="AL40" s="8">
        <v>0</v>
      </c>
      <c r="AM40" s="142" t="s">
        <v>83</v>
      </c>
      <c r="AN40" s="8">
        <v>300</v>
      </c>
      <c r="AO40" s="8"/>
      <c r="AP40" s="8"/>
    </row>
    <row r="41" spans="1:42">
      <c r="A41" s="122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4" t="str">
        <f t="shared" si="8"/>
        <v>|Cff00BFFF[饰品]三才项圈lv4|r</v>
      </c>
      <c r="K41" s="124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25" t="str">
        <f>VLOOKUP(LEFT(RIGHT(B41,5),4),物品!B:CU,20,FALSE)</f>
        <v>ReplaceableTextures\\CommandButtons\\BTNZ08.blp</v>
      </c>
      <c r="N41" s="142" t="s">
        <v>83</v>
      </c>
      <c r="O41" s="143" t="s">
        <v>84</v>
      </c>
      <c r="P41" s="8">
        <v>0</v>
      </c>
      <c r="Q41" s="8">
        <v>0</v>
      </c>
      <c r="R41" s="142" t="s">
        <v>83</v>
      </c>
      <c r="S41" s="142" t="s">
        <v>83</v>
      </c>
      <c r="T41" s="142" t="s">
        <v>83</v>
      </c>
      <c r="U41" s="142" t="s">
        <v>83</v>
      </c>
      <c r="V41" s="8">
        <v>2</v>
      </c>
      <c r="W41" s="8" t="s">
        <v>85</v>
      </c>
      <c r="X41" s="8">
        <v>0</v>
      </c>
      <c r="Y41" s="142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2" t="s">
        <v>83</v>
      </c>
      <c r="AF41" s="142" t="s">
        <v>83</v>
      </c>
      <c r="AG41" s="142" t="s">
        <v>83</v>
      </c>
      <c r="AH41" s="142" t="s">
        <v>83</v>
      </c>
      <c r="AI41" s="8"/>
      <c r="AJ41" s="8"/>
      <c r="AK41" s="8">
        <v>0</v>
      </c>
      <c r="AL41" s="8">
        <v>0</v>
      </c>
      <c r="AM41" s="142" t="s">
        <v>83</v>
      </c>
      <c r="AN41" s="8">
        <v>300</v>
      </c>
      <c r="AO41" s="8"/>
      <c r="AP41" s="8"/>
    </row>
    <row r="42" spans="1:42">
      <c r="A42" s="122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4" t="str">
        <f t="shared" si="8"/>
        <v>|Cff00BFFF[饰品]三才项圈lv5|r</v>
      </c>
      <c r="K42" s="124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25" t="str">
        <f>VLOOKUP(LEFT(RIGHT(B42,5),4),物品!B:CU,20,FALSE)</f>
        <v>ReplaceableTextures\\CommandButtons\\BTNZ08.blp</v>
      </c>
      <c r="N42" s="142" t="s">
        <v>83</v>
      </c>
      <c r="O42" s="143" t="s">
        <v>84</v>
      </c>
      <c r="P42" s="8">
        <v>0</v>
      </c>
      <c r="Q42" s="8">
        <v>0</v>
      </c>
      <c r="R42" s="142" t="s">
        <v>83</v>
      </c>
      <c r="S42" s="142" t="s">
        <v>83</v>
      </c>
      <c r="T42" s="142" t="s">
        <v>83</v>
      </c>
      <c r="U42" s="142" t="s">
        <v>83</v>
      </c>
      <c r="V42" s="8">
        <v>2</v>
      </c>
      <c r="W42" s="8" t="s">
        <v>85</v>
      </c>
      <c r="X42" s="8">
        <v>0</v>
      </c>
      <c r="Y42" s="142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2" t="s">
        <v>83</v>
      </c>
      <c r="AF42" s="142" t="s">
        <v>83</v>
      </c>
      <c r="AG42" s="142" t="s">
        <v>83</v>
      </c>
      <c r="AH42" s="142" t="s">
        <v>83</v>
      </c>
      <c r="AI42" s="8"/>
      <c r="AJ42" s="8"/>
      <c r="AK42" s="8">
        <v>0</v>
      </c>
      <c r="AL42" s="8">
        <v>0</v>
      </c>
      <c r="AM42" s="142" t="s">
        <v>83</v>
      </c>
      <c r="AN42" s="8">
        <v>300</v>
      </c>
      <c r="AO42" s="8"/>
      <c r="AP42" s="8"/>
    </row>
    <row r="43" spans="1:42">
      <c r="A43" s="122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4" t="str">
        <f t="shared" si="8"/>
        <v>|CffFFC926[饰品]秘魔灵珠lv1|r</v>
      </c>
      <c r="K43" s="124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25" t="str">
        <f>VLOOKUP(LEFT(RIGHT(B43,5),4),物品!B:CU,20,FALSE)</f>
        <v>ReplaceableTextures\\CommandButtons\\BTNZ09.blp</v>
      </c>
      <c r="N43" s="142" t="s">
        <v>83</v>
      </c>
      <c r="O43" s="143" t="s">
        <v>84</v>
      </c>
      <c r="P43" s="8">
        <v>0</v>
      </c>
      <c r="Q43" s="8">
        <v>0</v>
      </c>
      <c r="R43" s="142" t="s">
        <v>83</v>
      </c>
      <c r="S43" s="142" t="s">
        <v>83</v>
      </c>
      <c r="T43" s="142" t="s">
        <v>83</v>
      </c>
      <c r="U43" s="142" t="s">
        <v>83</v>
      </c>
      <c r="V43" s="8">
        <v>2</v>
      </c>
      <c r="W43" s="8" t="s">
        <v>85</v>
      </c>
      <c r="X43" s="8">
        <v>0</v>
      </c>
      <c r="Y43" s="142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2" t="s">
        <v>83</v>
      </c>
      <c r="AF43" s="142" t="s">
        <v>83</v>
      </c>
      <c r="AG43" s="142" t="s">
        <v>83</v>
      </c>
      <c r="AH43" s="142" t="s">
        <v>83</v>
      </c>
      <c r="AI43" s="8"/>
      <c r="AJ43" s="8"/>
      <c r="AK43" s="8">
        <v>0</v>
      </c>
      <c r="AL43" s="8">
        <v>0</v>
      </c>
      <c r="AM43" s="142" t="s">
        <v>83</v>
      </c>
      <c r="AN43" s="8">
        <v>400</v>
      </c>
      <c r="AO43" s="8"/>
      <c r="AP43" s="8"/>
    </row>
    <row r="44" spans="1:42">
      <c r="A44" s="122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4" t="str">
        <f t="shared" si="8"/>
        <v>|CffFFC926[饰品]秘魔灵珠lv2|r</v>
      </c>
      <c r="K44" s="124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25" t="str">
        <f>VLOOKUP(LEFT(RIGHT(B44,5),4),物品!B:CU,20,FALSE)</f>
        <v>ReplaceableTextures\\CommandButtons\\BTNZ09.blp</v>
      </c>
      <c r="N44" s="142" t="s">
        <v>83</v>
      </c>
      <c r="O44" s="143" t="s">
        <v>84</v>
      </c>
      <c r="P44" s="8">
        <v>0</v>
      </c>
      <c r="Q44" s="8">
        <v>0</v>
      </c>
      <c r="R44" s="142" t="s">
        <v>83</v>
      </c>
      <c r="S44" s="142" t="s">
        <v>83</v>
      </c>
      <c r="T44" s="142" t="s">
        <v>83</v>
      </c>
      <c r="U44" s="142" t="s">
        <v>83</v>
      </c>
      <c r="V44" s="8">
        <v>2</v>
      </c>
      <c r="W44" s="8" t="s">
        <v>85</v>
      </c>
      <c r="X44" s="8">
        <v>0</v>
      </c>
      <c r="Y44" s="142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2" t="s">
        <v>83</v>
      </c>
      <c r="AF44" s="142" t="s">
        <v>83</v>
      </c>
      <c r="AG44" s="142" t="s">
        <v>83</v>
      </c>
      <c r="AH44" s="142" t="s">
        <v>83</v>
      </c>
      <c r="AI44" s="8"/>
      <c r="AJ44" s="8"/>
      <c r="AK44" s="8">
        <v>0</v>
      </c>
      <c r="AL44" s="8">
        <v>0</v>
      </c>
      <c r="AM44" s="142" t="s">
        <v>83</v>
      </c>
      <c r="AN44" s="8">
        <v>400</v>
      </c>
      <c r="AO44" s="8"/>
      <c r="AP44" s="8"/>
    </row>
    <row r="45" spans="1:42">
      <c r="A45" s="122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4" t="str">
        <f t="shared" si="8"/>
        <v>|CffFFC926[饰品]秘魔灵珠lv3|r</v>
      </c>
      <c r="K45" s="124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25" t="str">
        <f>VLOOKUP(LEFT(RIGHT(B45,5),4),物品!B:CU,20,FALSE)</f>
        <v>ReplaceableTextures\\CommandButtons\\BTNZ09.blp</v>
      </c>
      <c r="N45" s="142" t="s">
        <v>83</v>
      </c>
      <c r="O45" s="143" t="s">
        <v>84</v>
      </c>
      <c r="P45" s="8">
        <v>0</v>
      </c>
      <c r="Q45" s="8">
        <v>0</v>
      </c>
      <c r="R45" s="142" t="s">
        <v>83</v>
      </c>
      <c r="S45" s="142" t="s">
        <v>83</v>
      </c>
      <c r="T45" s="142" t="s">
        <v>83</v>
      </c>
      <c r="U45" s="142" t="s">
        <v>83</v>
      </c>
      <c r="V45" s="8">
        <v>2</v>
      </c>
      <c r="W45" s="8" t="s">
        <v>85</v>
      </c>
      <c r="X45" s="8">
        <v>0</v>
      </c>
      <c r="Y45" s="142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2" t="s">
        <v>83</v>
      </c>
      <c r="AF45" s="142" t="s">
        <v>83</v>
      </c>
      <c r="AG45" s="142" t="s">
        <v>83</v>
      </c>
      <c r="AH45" s="142" t="s">
        <v>83</v>
      </c>
      <c r="AI45" s="8"/>
      <c r="AJ45" s="8"/>
      <c r="AK45" s="8">
        <v>0</v>
      </c>
      <c r="AL45" s="8">
        <v>0</v>
      </c>
      <c r="AM45" s="142" t="s">
        <v>83</v>
      </c>
      <c r="AN45" s="8">
        <v>400</v>
      </c>
      <c r="AO45" s="8"/>
      <c r="AP45" s="8"/>
    </row>
    <row r="46" spans="1:42">
      <c r="A46" s="122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4" t="str">
        <f t="shared" si="8"/>
        <v>|CffFFC926[饰品]秘魔灵珠lv4|r</v>
      </c>
      <c r="K46" s="124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25" t="str">
        <f>VLOOKUP(LEFT(RIGHT(B46,5),4),物品!B:CU,20,FALSE)</f>
        <v>ReplaceableTextures\\CommandButtons\\BTNZ09.blp</v>
      </c>
      <c r="N46" s="142" t="s">
        <v>83</v>
      </c>
      <c r="O46" s="143" t="s">
        <v>84</v>
      </c>
      <c r="P46" s="8">
        <v>0</v>
      </c>
      <c r="Q46" s="8">
        <v>0</v>
      </c>
      <c r="R46" s="142" t="s">
        <v>83</v>
      </c>
      <c r="S46" s="142" t="s">
        <v>83</v>
      </c>
      <c r="T46" s="142" t="s">
        <v>83</v>
      </c>
      <c r="U46" s="142" t="s">
        <v>83</v>
      </c>
      <c r="V46" s="8">
        <v>2</v>
      </c>
      <c r="W46" s="8" t="s">
        <v>85</v>
      </c>
      <c r="X46" s="8">
        <v>0</v>
      </c>
      <c r="Y46" s="142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2" t="s">
        <v>83</v>
      </c>
      <c r="AF46" s="142" t="s">
        <v>83</v>
      </c>
      <c r="AG46" s="142" t="s">
        <v>83</v>
      </c>
      <c r="AH46" s="142" t="s">
        <v>83</v>
      </c>
      <c r="AI46" s="8"/>
      <c r="AJ46" s="8"/>
      <c r="AK46" s="8">
        <v>0</v>
      </c>
      <c r="AL46" s="8">
        <v>0</v>
      </c>
      <c r="AM46" s="142" t="s">
        <v>83</v>
      </c>
      <c r="AN46" s="8">
        <v>400</v>
      </c>
      <c r="AO46" s="8"/>
      <c r="AP46" s="8"/>
    </row>
    <row r="47" spans="1:42">
      <c r="A47" s="122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4" t="str">
        <f t="shared" si="8"/>
        <v>|CffFFC926[饰品]秘魔灵珠lv5|r</v>
      </c>
      <c r="K47" s="124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25" t="str">
        <f>VLOOKUP(LEFT(RIGHT(B47,5),4),物品!B:CU,20,FALSE)</f>
        <v>ReplaceableTextures\\CommandButtons\\BTNZ09.blp</v>
      </c>
      <c r="N47" s="142" t="s">
        <v>83</v>
      </c>
      <c r="O47" s="143" t="s">
        <v>84</v>
      </c>
      <c r="P47" s="8">
        <v>0</v>
      </c>
      <c r="Q47" s="8">
        <v>0</v>
      </c>
      <c r="R47" s="142" t="s">
        <v>83</v>
      </c>
      <c r="S47" s="142" t="s">
        <v>83</v>
      </c>
      <c r="T47" s="142" t="s">
        <v>83</v>
      </c>
      <c r="U47" s="142" t="s">
        <v>83</v>
      </c>
      <c r="V47" s="8">
        <v>2</v>
      </c>
      <c r="W47" s="8" t="s">
        <v>85</v>
      </c>
      <c r="X47" s="8">
        <v>0</v>
      </c>
      <c r="Y47" s="142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2" t="s">
        <v>83</v>
      </c>
      <c r="AF47" s="142" t="s">
        <v>83</v>
      </c>
      <c r="AG47" s="142" t="s">
        <v>83</v>
      </c>
      <c r="AH47" s="142" t="s">
        <v>83</v>
      </c>
      <c r="AI47" s="8"/>
      <c r="AJ47" s="8"/>
      <c r="AK47" s="8">
        <v>0</v>
      </c>
      <c r="AL47" s="8">
        <v>0</v>
      </c>
      <c r="AM47" s="142" t="s">
        <v>83</v>
      </c>
      <c r="AN47" s="8">
        <v>400</v>
      </c>
      <c r="AO47" s="8"/>
      <c r="AP47" s="8"/>
    </row>
    <row r="48" spans="1:42">
      <c r="A48" s="122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4" t="str">
        <f t="shared" si="8"/>
        <v>|CffFF0000[饰品]流光绝影lv1|r</v>
      </c>
      <c r="K48" s="124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25" t="str">
        <f>VLOOKUP(LEFT(RIGHT(B48,5),4),物品!B:CU,20,FALSE)</f>
        <v>ReplaceableTextures\\CommandButtons\\BTNZ10.blp</v>
      </c>
      <c r="N48" s="142" t="s">
        <v>83</v>
      </c>
      <c r="O48" s="143" t="s">
        <v>84</v>
      </c>
      <c r="P48" s="8">
        <v>0</v>
      </c>
      <c r="Q48" s="8">
        <v>0</v>
      </c>
      <c r="R48" s="142" t="s">
        <v>83</v>
      </c>
      <c r="S48" s="142" t="s">
        <v>83</v>
      </c>
      <c r="T48" s="142" t="s">
        <v>83</v>
      </c>
      <c r="U48" s="142" t="s">
        <v>83</v>
      </c>
      <c r="V48" s="8">
        <v>2</v>
      </c>
      <c r="W48" s="8" t="s">
        <v>85</v>
      </c>
      <c r="X48" s="8">
        <v>0</v>
      </c>
      <c r="Y48" s="142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2" t="s">
        <v>83</v>
      </c>
      <c r="AF48" s="142" t="s">
        <v>83</v>
      </c>
      <c r="AG48" s="142" t="s">
        <v>83</v>
      </c>
      <c r="AH48" s="142" t="s">
        <v>83</v>
      </c>
      <c r="AI48" s="8"/>
      <c r="AJ48" s="8"/>
      <c r="AK48" s="8">
        <v>0</v>
      </c>
      <c r="AL48" s="8">
        <v>0</v>
      </c>
      <c r="AM48" s="142" t="s">
        <v>83</v>
      </c>
      <c r="AN48" s="8">
        <v>500</v>
      </c>
      <c r="AO48" s="8"/>
      <c r="AP48" s="8"/>
    </row>
    <row r="49" spans="1:42">
      <c r="A49" s="122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4" t="str">
        <f t="shared" si="8"/>
        <v>|CffFF0000[饰品]流光绝影lv2|r</v>
      </c>
      <c r="K49" s="124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25" t="str">
        <f>VLOOKUP(LEFT(RIGHT(B49,5),4),物品!B:CU,20,FALSE)</f>
        <v>ReplaceableTextures\\CommandButtons\\BTNZ10.blp</v>
      </c>
      <c r="N49" s="142" t="s">
        <v>83</v>
      </c>
      <c r="O49" s="143" t="s">
        <v>84</v>
      </c>
      <c r="P49" s="8">
        <v>0</v>
      </c>
      <c r="Q49" s="8">
        <v>0</v>
      </c>
      <c r="R49" s="142" t="s">
        <v>83</v>
      </c>
      <c r="S49" s="142" t="s">
        <v>83</v>
      </c>
      <c r="T49" s="142" t="s">
        <v>83</v>
      </c>
      <c r="U49" s="142" t="s">
        <v>83</v>
      </c>
      <c r="V49" s="8">
        <v>2</v>
      </c>
      <c r="W49" s="8" t="s">
        <v>85</v>
      </c>
      <c r="X49" s="8">
        <v>0</v>
      </c>
      <c r="Y49" s="142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2" t="s">
        <v>83</v>
      </c>
      <c r="AF49" s="142" t="s">
        <v>83</v>
      </c>
      <c r="AG49" s="142" t="s">
        <v>83</v>
      </c>
      <c r="AH49" s="142" t="s">
        <v>83</v>
      </c>
      <c r="AI49" s="8"/>
      <c r="AJ49" s="8"/>
      <c r="AK49" s="8">
        <v>0</v>
      </c>
      <c r="AL49" s="8">
        <v>0</v>
      </c>
      <c r="AM49" s="142" t="s">
        <v>83</v>
      </c>
      <c r="AN49" s="8">
        <v>500</v>
      </c>
      <c r="AO49" s="8"/>
      <c r="AP49" s="8"/>
    </row>
    <row r="50" spans="1:42">
      <c r="A50" s="122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4" t="str">
        <f t="shared" si="8"/>
        <v>|CffFF0000[饰品]流光绝影lv3|r</v>
      </c>
      <c r="K50" s="124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25" t="str">
        <f>VLOOKUP(LEFT(RIGHT(B50,5),4),物品!B:CU,20,FALSE)</f>
        <v>ReplaceableTextures\\CommandButtons\\BTNZ10.blp</v>
      </c>
      <c r="N50" s="142" t="s">
        <v>83</v>
      </c>
      <c r="O50" s="143" t="s">
        <v>84</v>
      </c>
      <c r="P50" s="8">
        <v>0</v>
      </c>
      <c r="Q50" s="8">
        <v>0</v>
      </c>
      <c r="R50" s="142" t="s">
        <v>83</v>
      </c>
      <c r="S50" s="142" t="s">
        <v>83</v>
      </c>
      <c r="T50" s="142" t="s">
        <v>83</v>
      </c>
      <c r="U50" s="142" t="s">
        <v>83</v>
      </c>
      <c r="V50" s="8">
        <v>2</v>
      </c>
      <c r="W50" s="8" t="s">
        <v>85</v>
      </c>
      <c r="X50" s="8">
        <v>0</v>
      </c>
      <c r="Y50" s="142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2" t="s">
        <v>83</v>
      </c>
      <c r="AF50" s="142" t="s">
        <v>83</v>
      </c>
      <c r="AG50" s="142" t="s">
        <v>83</v>
      </c>
      <c r="AH50" s="142" t="s">
        <v>83</v>
      </c>
      <c r="AI50" s="8"/>
      <c r="AJ50" s="8"/>
      <c r="AK50" s="8">
        <v>0</v>
      </c>
      <c r="AL50" s="8">
        <v>0</v>
      </c>
      <c r="AM50" s="142" t="s">
        <v>83</v>
      </c>
      <c r="AN50" s="8">
        <v>500</v>
      </c>
      <c r="AO50" s="8"/>
      <c r="AP50" s="8"/>
    </row>
    <row r="51" spans="1:42">
      <c r="A51" s="122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4" t="str">
        <f t="shared" si="8"/>
        <v>|CffFF0000[饰品]流光绝影lv4|r</v>
      </c>
      <c r="K51" s="124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25" t="str">
        <f>VLOOKUP(LEFT(RIGHT(B51,5),4),物品!B:CU,20,FALSE)</f>
        <v>ReplaceableTextures\\CommandButtons\\BTNZ10.blp</v>
      </c>
      <c r="N51" s="142" t="s">
        <v>83</v>
      </c>
      <c r="O51" s="143" t="s">
        <v>84</v>
      </c>
      <c r="P51" s="8">
        <v>0</v>
      </c>
      <c r="Q51" s="8">
        <v>0</v>
      </c>
      <c r="R51" s="142" t="s">
        <v>83</v>
      </c>
      <c r="S51" s="142" t="s">
        <v>83</v>
      </c>
      <c r="T51" s="142" t="s">
        <v>83</v>
      </c>
      <c r="U51" s="142" t="s">
        <v>83</v>
      </c>
      <c r="V51" s="8">
        <v>2</v>
      </c>
      <c r="W51" s="8" t="s">
        <v>85</v>
      </c>
      <c r="X51" s="8">
        <v>0</v>
      </c>
      <c r="Y51" s="142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2" t="s">
        <v>83</v>
      </c>
      <c r="AF51" s="142" t="s">
        <v>83</v>
      </c>
      <c r="AG51" s="142" t="s">
        <v>83</v>
      </c>
      <c r="AH51" s="142" t="s">
        <v>83</v>
      </c>
      <c r="AI51" s="8"/>
      <c r="AJ51" s="8"/>
      <c r="AK51" s="8">
        <v>0</v>
      </c>
      <c r="AL51" s="8">
        <v>0</v>
      </c>
      <c r="AM51" s="142" t="s">
        <v>83</v>
      </c>
      <c r="AN51" s="8">
        <v>500</v>
      </c>
      <c r="AO51" s="8"/>
      <c r="AP51" s="8"/>
    </row>
    <row r="52" spans="1:42">
      <c r="A52" s="122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4" t="str">
        <f t="shared" si="8"/>
        <v>|CffFF0000[饰品]流光绝影lv5|r</v>
      </c>
      <c r="K52" s="124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25" t="str">
        <f>VLOOKUP(LEFT(RIGHT(B52,5),4),物品!B:CU,20,FALSE)</f>
        <v>ReplaceableTextures\\CommandButtons\\BTNZ10.blp</v>
      </c>
      <c r="N52" s="142" t="s">
        <v>83</v>
      </c>
      <c r="O52" s="143" t="s">
        <v>84</v>
      </c>
      <c r="P52" s="8">
        <v>0</v>
      </c>
      <c r="Q52" s="8">
        <v>0</v>
      </c>
      <c r="R52" s="142" t="s">
        <v>83</v>
      </c>
      <c r="S52" s="142" t="s">
        <v>83</v>
      </c>
      <c r="T52" s="142" t="s">
        <v>83</v>
      </c>
      <c r="U52" s="142" t="s">
        <v>83</v>
      </c>
      <c r="V52" s="8">
        <v>2</v>
      </c>
      <c r="W52" s="8" t="s">
        <v>85</v>
      </c>
      <c r="X52" s="8">
        <v>0</v>
      </c>
      <c r="Y52" s="142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2" t="s">
        <v>83</v>
      </c>
      <c r="AF52" s="142" t="s">
        <v>83</v>
      </c>
      <c r="AG52" s="142" t="s">
        <v>83</v>
      </c>
      <c r="AH52" s="142" t="s">
        <v>83</v>
      </c>
      <c r="AI52" s="8"/>
      <c r="AJ52" s="8"/>
      <c r="AK52" s="8">
        <v>0</v>
      </c>
      <c r="AL52" s="8">
        <v>0</v>
      </c>
      <c r="AM52" s="142" t="s">
        <v>83</v>
      </c>
      <c r="AN52" s="8"/>
      <c r="AO52" s="8"/>
      <c r="AP52" s="8"/>
    </row>
    <row r="53" spans="1:42">
      <c r="A53" s="122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24" t="str">
        <f t="shared" si="8"/>
        <v>[防具]贤者道袍lv1</v>
      </c>
      <c r="K53" s="124" t="str">
        <f t="shared" si="9"/>
        <v>|Cffbbbbbb属性：|r|n护甲+30|n生命值+750|n生命回复+15|n|n|Cff00ff7f点击消耗800金币进行强化|n成功率100%</v>
      </c>
      <c r="L53" s="8"/>
      <c r="M53" s="125" t="str">
        <f>VLOOKUP(LEFT(RIGHT(B53,5),4),物品!B:CU,20,FALSE)</f>
        <v>ReplaceableTextures\\CommandButtons\\BTNZ11.blp</v>
      </c>
      <c r="N53" s="142" t="s">
        <v>83</v>
      </c>
      <c r="O53" s="143" t="s">
        <v>84</v>
      </c>
      <c r="P53" s="8">
        <v>0</v>
      </c>
      <c r="Q53" s="8">
        <v>0</v>
      </c>
      <c r="R53" s="142" t="s">
        <v>83</v>
      </c>
      <c r="S53" s="142" t="s">
        <v>83</v>
      </c>
      <c r="T53" s="142" t="s">
        <v>83</v>
      </c>
      <c r="U53" s="142" t="s">
        <v>83</v>
      </c>
      <c r="V53" s="8">
        <v>3</v>
      </c>
      <c r="W53" s="8" t="s">
        <v>85</v>
      </c>
      <c r="X53" s="8">
        <v>0</v>
      </c>
      <c r="Y53" s="142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2" t="s">
        <v>83</v>
      </c>
      <c r="AF53" s="142" t="s">
        <v>83</v>
      </c>
      <c r="AG53" s="142" t="s">
        <v>83</v>
      </c>
      <c r="AH53" s="142" t="s">
        <v>83</v>
      </c>
      <c r="AI53" s="8"/>
      <c r="AJ53" s="8"/>
      <c r="AK53" s="8">
        <v>0</v>
      </c>
      <c r="AL53" s="8">
        <v>0</v>
      </c>
      <c r="AM53" s="142" t="s">
        <v>83</v>
      </c>
      <c r="AN53" s="8"/>
      <c r="AO53" s="8"/>
      <c r="AP53" s="8">
        <v>1</v>
      </c>
    </row>
    <row r="54" spans="1:42">
      <c r="A54" s="122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24" t="str">
        <f t="shared" ref="J54:J58" si="10">H54</f>
        <v>[防具]贤者道袍lv2</v>
      </c>
      <c r="K54" s="124" t="str">
        <f t="shared" ref="K54:K58" si="11">I54</f>
        <v>|Cffbbbbbb属性：|r|n护甲+60|n生命值+1500|n生命回复+30|n|n|Cff00ff7f点击消耗800金币进行强化|n成功率100%</v>
      </c>
      <c r="L54" s="8"/>
      <c r="M54" s="125" t="str">
        <f>VLOOKUP(LEFT(RIGHT(B54,5),4),物品!B:CU,20,FALSE)</f>
        <v>ReplaceableTextures\\CommandButtons\\BTNZ11.blp</v>
      </c>
      <c r="N54" s="142" t="s">
        <v>83</v>
      </c>
      <c r="O54" s="143" t="s">
        <v>84</v>
      </c>
      <c r="P54" s="8">
        <v>0</v>
      </c>
      <c r="Q54" s="8">
        <v>0</v>
      </c>
      <c r="R54" s="142" t="s">
        <v>83</v>
      </c>
      <c r="S54" s="142" t="s">
        <v>83</v>
      </c>
      <c r="T54" s="142" t="s">
        <v>83</v>
      </c>
      <c r="U54" s="142" t="s">
        <v>83</v>
      </c>
      <c r="V54" s="8">
        <v>3</v>
      </c>
      <c r="W54" s="8" t="s">
        <v>85</v>
      </c>
      <c r="X54" s="8">
        <v>0</v>
      </c>
      <c r="Y54" s="142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2" t="s">
        <v>83</v>
      </c>
      <c r="AF54" s="142" t="s">
        <v>83</v>
      </c>
      <c r="AG54" s="142" t="s">
        <v>83</v>
      </c>
      <c r="AH54" s="142" t="s">
        <v>83</v>
      </c>
      <c r="AI54" s="8"/>
      <c r="AJ54" s="8"/>
      <c r="AK54" s="8">
        <v>0</v>
      </c>
      <c r="AL54" s="8">
        <v>0</v>
      </c>
      <c r="AM54" s="142" t="s">
        <v>83</v>
      </c>
      <c r="AN54" s="8"/>
      <c r="AO54" s="8"/>
      <c r="AP54" s="8">
        <v>1</v>
      </c>
    </row>
    <row r="55" spans="1:42">
      <c r="A55" s="122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24" t="str">
        <f t="shared" si="10"/>
        <v>[防具]贤者道袍lv3</v>
      </c>
      <c r="K55" s="124" t="str">
        <f t="shared" si="11"/>
        <v>|Cffbbbbbb属性：|r|n护甲+90|n生命值+2250|n生命回复+45|n|n|Cff00ff7f点击消耗800金币进行强化|n成功率100%</v>
      </c>
      <c r="L55" s="8"/>
      <c r="M55" s="125" t="str">
        <f>VLOOKUP(LEFT(RIGHT(B55,5),4),物品!B:CU,20,FALSE)</f>
        <v>ReplaceableTextures\\CommandButtons\\BTNZ11.blp</v>
      </c>
      <c r="N55" s="142" t="s">
        <v>83</v>
      </c>
      <c r="O55" s="143" t="s">
        <v>84</v>
      </c>
      <c r="P55" s="8">
        <v>0</v>
      </c>
      <c r="Q55" s="8">
        <v>0</v>
      </c>
      <c r="R55" s="142" t="s">
        <v>83</v>
      </c>
      <c r="S55" s="142" t="s">
        <v>83</v>
      </c>
      <c r="T55" s="142" t="s">
        <v>83</v>
      </c>
      <c r="U55" s="142" t="s">
        <v>83</v>
      </c>
      <c r="V55" s="8">
        <v>3</v>
      </c>
      <c r="W55" s="8" t="s">
        <v>85</v>
      </c>
      <c r="X55" s="8">
        <v>0</v>
      </c>
      <c r="Y55" s="142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2" t="s">
        <v>83</v>
      </c>
      <c r="AF55" s="142" t="s">
        <v>83</v>
      </c>
      <c r="AG55" s="142" t="s">
        <v>83</v>
      </c>
      <c r="AH55" s="142" t="s">
        <v>83</v>
      </c>
      <c r="AI55" s="8"/>
      <c r="AJ55" s="8"/>
      <c r="AK55" s="8">
        <v>0</v>
      </c>
      <c r="AL55" s="8">
        <v>0</v>
      </c>
      <c r="AM55" s="142" t="s">
        <v>83</v>
      </c>
      <c r="AN55" s="8"/>
      <c r="AO55" s="8"/>
      <c r="AP55" s="8">
        <v>1</v>
      </c>
    </row>
    <row r="56" spans="1:42">
      <c r="A56" s="122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24" t="str">
        <f t="shared" si="10"/>
        <v>[防具]贤者道袍lv4</v>
      </c>
      <c r="K56" s="124" t="str">
        <f t="shared" si="11"/>
        <v>|Cffbbbbbb属性：|r|n护甲+120|n生命值+3750|n生命回复+75|n|n|Cff00ff7f点击消耗800金币进行强化|n成功率100%</v>
      </c>
      <c r="L56" s="8"/>
      <c r="M56" s="125" t="str">
        <f>VLOOKUP(LEFT(RIGHT(B56,5),4),物品!B:CU,20,FALSE)</f>
        <v>ReplaceableTextures\\CommandButtons\\BTNZ11.blp</v>
      </c>
      <c r="N56" s="142" t="s">
        <v>83</v>
      </c>
      <c r="O56" s="143" t="s">
        <v>84</v>
      </c>
      <c r="P56" s="8">
        <v>0</v>
      </c>
      <c r="Q56" s="8">
        <v>0</v>
      </c>
      <c r="R56" s="142" t="s">
        <v>83</v>
      </c>
      <c r="S56" s="142" t="s">
        <v>83</v>
      </c>
      <c r="T56" s="142" t="s">
        <v>83</v>
      </c>
      <c r="U56" s="142" t="s">
        <v>83</v>
      </c>
      <c r="V56" s="8">
        <v>3</v>
      </c>
      <c r="W56" s="8" t="s">
        <v>85</v>
      </c>
      <c r="X56" s="8">
        <v>0</v>
      </c>
      <c r="Y56" s="142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2" t="s">
        <v>83</v>
      </c>
      <c r="AF56" s="142" t="s">
        <v>83</v>
      </c>
      <c r="AG56" s="142" t="s">
        <v>83</v>
      </c>
      <c r="AH56" s="142" t="s">
        <v>83</v>
      </c>
      <c r="AI56" s="8"/>
      <c r="AJ56" s="8"/>
      <c r="AK56" s="8">
        <v>0</v>
      </c>
      <c r="AL56" s="8">
        <v>0</v>
      </c>
      <c r="AM56" s="142" t="s">
        <v>83</v>
      </c>
      <c r="AN56" s="8"/>
      <c r="AO56" s="8"/>
      <c r="AP56" s="8">
        <v>1</v>
      </c>
    </row>
    <row r="57" spans="1:42">
      <c r="A57" s="122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24" t="str">
        <f t="shared" si="10"/>
        <v>[防具]贤者道袍lv5</v>
      </c>
      <c r="K57" s="124" t="str">
        <f t="shared" si="11"/>
        <v>|Cffbbbbbb属性：|r|n护甲+150|n生命值+5250|n生命回复+105|n|n|Cff00ff7f点击消耗2500金币进行晋阶挑战</v>
      </c>
      <c r="L57" s="8"/>
      <c r="M57" s="125" t="str">
        <f>VLOOKUP(LEFT(RIGHT(B57,5),4),物品!B:CU,20,FALSE)</f>
        <v>ReplaceableTextures\\CommandButtons\\BTNZ11.blp</v>
      </c>
      <c r="N57" s="142" t="s">
        <v>83</v>
      </c>
      <c r="O57" s="143" t="s">
        <v>84</v>
      </c>
      <c r="P57" s="8">
        <v>0</v>
      </c>
      <c r="Q57" s="8">
        <v>0</v>
      </c>
      <c r="R57" s="142" t="s">
        <v>83</v>
      </c>
      <c r="S57" s="142" t="s">
        <v>83</v>
      </c>
      <c r="T57" s="142" t="s">
        <v>83</v>
      </c>
      <c r="U57" s="142" t="s">
        <v>83</v>
      </c>
      <c r="V57" s="8">
        <v>3</v>
      </c>
      <c r="W57" s="8" t="s">
        <v>85</v>
      </c>
      <c r="X57" s="8">
        <v>0</v>
      </c>
      <c r="Y57" s="142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2" t="s">
        <v>83</v>
      </c>
      <c r="AF57" s="142" t="s">
        <v>83</v>
      </c>
      <c r="AG57" s="142" t="s">
        <v>83</v>
      </c>
      <c r="AH57" s="142" t="s">
        <v>83</v>
      </c>
      <c r="AI57" s="8"/>
      <c r="AJ57" s="8"/>
      <c r="AK57" s="8">
        <v>0</v>
      </c>
      <c r="AL57" s="8">
        <v>0</v>
      </c>
      <c r="AM57" s="142" t="s">
        <v>83</v>
      </c>
      <c r="AN57" s="8"/>
      <c r="AO57" s="8"/>
      <c r="AP57" s="8">
        <v>1</v>
      </c>
    </row>
    <row r="58" spans="1:42">
      <c r="A58" s="122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24" t="str">
        <f t="shared" si="10"/>
        <v>|Cff00FF7F[防具]珊瑚玉衣lv1|r</v>
      </c>
      <c r="K58" s="124" t="str">
        <f t="shared" si="11"/>
        <v>|Cffbbbbbb属性：|r|n护甲+200|n生命值+7500|n生命回复+150|n生命恢复%+1|n|n|Cff00ff7f点击消耗2500金币进行强化|n成功率85%</v>
      </c>
      <c r="L58" s="8"/>
      <c r="M58" s="125" t="str">
        <f>VLOOKUP(LEFT(RIGHT(B58,5),4),物品!B:CU,20,FALSE)</f>
        <v>ReplaceableTextures\\CommandButtons\\BTNZ12.blp</v>
      </c>
      <c r="N58" s="142" t="s">
        <v>83</v>
      </c>
      <c r="O58" s="143" t="s">
        <v>84</v>
      </c>
      <c r="P58" s="8">
        <v>0</v>
      </c>
      <c r="Q58" s="8">
        <v>0</v>
      </c>
      <c r="R58" s="142" t="s">
        <v>83</v>
      </c>
      <c r="S58" s="142" t="s">
        <v>83</v>
      </c>
      <c r="T58" s="142" t="s">
        <v>83</v>
      </c>
      <c r="U58" s="142" t="s">
        <v>83</v>
      </c>
      <c r="V58" s="8">
        <v>3</v>
      </c>
      <c r="W58" s="8" t="s">
        <v>85</v>
      </c>
      <c r="X58" s="8">
        <v>0</v>
      </c>
      <c r="Y58" s="142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2" t="s">
        <v>83</v>
      </c>
      <c r="AF58" s="142" t="s">
        <v>83</v>
      </c>
      <c r="AG58" s="142" t="s">
        <v>83</v>
      </c>
      <c r="AH58" s="142" t="s">
        <v>83</v>
      </c>
      <c r="AI58" s="8"/>
      <c r="AJ58" s="8"/>
      <c r="AK58" s="8">
        <v>0</v>
      </c>
      <c r="AL58" s="8">
        <v>0</v>
      </c>
      <c r="AM58" s="142" t="s">
        <v>83</v>
      </c>
      <c r="AN58" s="8"/>
      <c r="AO58" s="8"/>
      <c r="AP58" s="8">
        <v>1</v>
      </c>
    </row>
    <row r="59" spans="1:42">
      <c r="A59" s="122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24" t="str">
        <f t="shared" ref="J59:J62" si="12">H59</f>
        <v>|Cff00FF7F[防具]珊瑚玉衣lv2|r</v>
      </c>
      <c r="K59" s="124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25" t="str">
        <f>VLOOKUP(LEFT(RIGHT(B59,5),4),物品!B:CU,20,FALSE)</f>
        <v>ReplaceableTextures\\CommandButtons\\BTNZ12.blp</v>
      </c>
      <c r="N59" s="142" t="s">
        <v>83</v>
      </c>
      <c r="O59" s="143" t="s">
        <v>84</v>
      </c>
      <c r="P59" s="8">
        <v>0</v>
      </c>
      <c r="Q59" s="8">
        <v>0</v>
      </c>
      <c r="R59" s="142" t="s">
        <v>83</v>
      </c>
      <c r="S59" s="142" t="s">
        <v>83</v>
      </c>
      <c r="T59" s="142" t="s">
        <v>83</v>
      </c>
      <c r="U59" s="142" t="s">
        <v>83</v>
      </c>
      <c r="V59" s="8">
        <v>3</v>
      </c>
      <c r="W59" s="8" t="s">
        <v>85</v>
      </c>
      <c r="X59" s="8">
        <v>0</v>
      </c>
      <c r="Y59" s="142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2" t="s">
        <v>83</v>
      </c>
      <c r="AF59" s="142" t="s">
        <v>83</v>
      </c>
      <c r="AG59" s="142" t="s">
        <v>83</v>
      </c>
      <c r="AH59" s="142" t="s">
        <v>83</v>
      </c>
      <c r="AI59" s="8"/>
      <c r="AJ59" s="8"/>
      <c r="AK59" s="8">
        <v>0</v>
      </c>
      <c r="AL59" s="8">
        <v>0</v>
      </c>
      <c r="AM59" s="142" t="s">
        <v>83</v>
      </c>
      <c r="AN59" s="8"/>
      <c r="AO59" s="8"/>
      <c r="AP59" s="8">
        <v>1</v>
      </c>
    </row>
    <row r="60" spans="1:42">
      <c r="A60" s="122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24" t="str">
        <f t="shared" si="12"/>
        <v>|Cff00FF7F[防具]珊瑚玉衣lv3|r</v>
      </c>
      <c r="K60" s="124" t="str">
        <f t="shared" si="13"/>
        <v>|Cffbbbbbb属性：|r|n护甲+320|n生命值+16500|n生命回复+330|n生命恢复%+1|n|n|Cff00ff7f点击消耗2500金币进行强化|n成功率85%</v>
      </c>
      <c r="L60" s="8"/>
      <c r="M60" s="125" t="str">
        <f>VLOOKUP(LEFT(RIGHT(B60,5),4),物品!B:CU,20,FALSE)</f>
        <v>ReplaceableTextures\\CommandButtons\\BTNZ12.blp</v>
      </c>
      <c r="N60" s="142" t="s">
        <v>83</v>
      </c>
      <c r="O60" s="143" t="s">
        <v>84</v>
      </c>
      <c r="P60" s="8">
        <v>0</v>
      </c>
      <c r="Q60" s="8">
        <v>0</v>
      </c>
      <c r="R60" s="142" t="s">
        <v>83</v>
      </c>
      <c r="S60" s="142" t="s">
        <v>83</v>
      </c>
      <c r="T60" s="142" t="s">
        <v>83</v>
      </c>
      <c r="U60" s="142" t="s">
        <v>83</v>
      </c>
      <c r="V60" s="8">
        <v>3</v>
      </c>
      <c r="W60" s="8" t="s">
        <v>85</v>
      </c>
      <c r="X60" s="8">
        <v>0</v>
      </c>
      <c r="Y60" s="142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2" t="s">
        <v>83</v>
      </c>
      <c r="AF60" s="142" t="s">
        <v>83</v>
      </c>
      <c r="AG60" s="142" t="s">
        <v>83</v>
      </c>
      <c r="AH60" s="142" t="s">
        <v>83</v>
      </c>
      <c r="AI60" s="8"/>
      <c r="AJ60" s="8"/>
      <c r="AK60" s="8">
        <v>0</v>
      </c>
      <c r="AL60" s="8">
        <v>0</v>
      </c>
      <c r="AM60" s="142" t="s">
        <v>83</v>
      </c>
      <c r="AN60" s="8"/>
      <c r="AO60" s="8"/>
      <c r="AP60" s="8">
        <v>1</v>
      </c>
    </row>
    <row r="61" spans="1:42">
      <c r="A61" s="122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24" t="str">
        <f t="shared" si="12"/>
        <v>|Cff00FF7F[防具]珊瑚玉衣lv4|r</v>
      </c>
      <c r="K61" s="124" t="str">
        <f t="shared" si="13"/>
        <v>|Cffbbbbbb属性：|r|n护甲+380|n生命值+21000|n生命回复+420|n生命恢复%+1|n|n|Cff00ff7f点击消耗2500金币进行强化|n成功率85%</v>
      </c>
      <c r="L61" s="8"/>
      <c r="M61" s="125" t="str">
        <f>VLOOKUP(LEFT(RIGHT(B61,5),4),物品!B:CU,20,FALSE)</f>
        <v>ReplaceableTextures\\CommandButtons\\BTNZ12.blp</v>
      </c>
      <c r="N61" s="142" t="s">
        <v>83</v>
      </c>
      <c r="O61" s="143" t="s">
        <v>84</v>
      </c>
      <c r="P61" s="8">
        <v>0</v>
      </c>
      <c r="Q61" s="8">
        <v>0</v>
      </c>
      <c r="R61" s="142" t="s">
        <v>83</v>
      </c>
      <c r="S61" s="142" t="s">
        <v>83</v>
      </c>
      <c r="T61" s="142" t="s">
        <v>83</v>
      </c>
      <c r="U61" s="142" t="s">
        <v>83</v>
      </c>
      <c r="V61" s="8">
        <v>3</v>
      </c>
      <c r="W61" s="8" t="s">
        <v>85</v>
      </c>
      <c r="X61" s="8">
        <v>0</v>
      </c>
      <c r="Y61" s="142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2" t="s">
        <v>83</v>
      </c>
      <c r="AF61" s="142" t="s">
        <v>83</v>
      </c>
      <c r="AG61" s="142" t="s">
        <v>83</v>
      </c>
      <c r="AH61" s="142" t="s">
        <v>83</v>
      </c>
      <c r="AI61" s="8"/>
      <c r="AJ61" s="8"/>
      <c r="AK61" s="8">
        <v>0</v>
      </c>
      <c r="AL61" s="8">
        <v>0</v>
      </c>
      <c r="AM61" s="142" t="s">
        <v>83</v>
      </c>
      <c r="AN61" s="8"/>
      <c r="AO61" s="8"/>
      <c r="AP61" s="8">
        <v>1</v>
      </c>
    </row>
    <row r="62" spans="1:42">
      <c r="A62" s="122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24" t="str">
        <f t="shared" si="12"/>
        <v>|Cff00FF7F[防具]珊瑚玉衣lv5|r</v>
      </c>
      <c r="K62" s="124" t="str">
        <f t="shared" si="13"/>
        <v>|Cffbbbbbb属性：|r|n护甲+440|n生命值+25500|n生命回复+510|n生命恢复%+1|n|n|Cff00ff7f点击消耗10000金币进行晋阶挑战</v>
      </c>
      <c r="L62" s="8"/>
      <c r="M62" s="125" t="str">
        <f>VLOOKUP(LEFT(RIGHT(B62,5),4),物品!B:CU,20,FALSE)</f>
        <v>ReplaceableTextures\\CommandButtons\\BTNZ12.blp</v>
      </c>
      <c r="N62" s="142" t="s">
        <v>83</v>
      </c>
      <c r="O62" s="143" t="s">
        <v>84</v>
      </c>
      <c r="P62" s="8">
        <v>0</v>
      </c>
      <c r="Q62" s="8">
        <v>0</v>
      </c>
      <c r="R62" s="142" t="s">
        <v>83</v>
      </c>
      <c r="S62" s="142" t="s">
        <v>83</v>
      </c>
      <c r="T62" s="142" t="s">
        <v>83</v>
      </c>
      <c r="U62" s="142" t="s">
        <v>83</v>
      </c>
      <c r="V62" s="8">
        <v>3</v>
      </c>
      <c r="W62" s="8" t="s">
        <v>85</v>
      </c>
      <c r="X62" s="8">
        <v>0</v>
      </c>
      <c r="Y62" s="142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2" t="s">
        <v>83</v>
      </c>
      <c r="AF62" s="142" t="s">
        <v>83</v>
      </c>
      <c r="AG62" s="142" t="s">
        <v>83</v>
      </c>
      <c r="AH62" s="142" t="s">
        <v>83</v>
      </c>
      <c r="AI62" s="8"/>
      <c r="AJ62" s="8"/>
      <c r="AK62" s="8">
        <v>0</v>
      </c>
      <c r="AL62" s="8">
        <v>0</v>
      </c>
      <c r="AM62" s="142" t="s">
        <v>83</v>
      </c>
      <c r="AN62" s="8"/>
      <c r="AO62" s="8"/>
      <c r="AP62" s="8">
        <v>1</v>
      </c>
    </row>
    <row r="63" spans="1:42">
      <c r="A63" s="122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24" t="str">
        <f t="shared" ref="J63:J77" si="14">H63</f>
        <v>|Cff00BFFF[防具]圣谕披风lv1|r</v>
      </c>
      <c r="K63" s="124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25" t="str">
        <f>VLOOKUP(LEFT(RIGHT(B63,5),4),物品!B:CU,20,FALSE)</f>
        <v>ReplaceableTextures\\CommandButtons\\BTNZ13.blp</v>
      </c>
      <c r="N63" s="142" t="s">
        <v>83</v>
      </c>
      <c r="O63" s="143" t="s">
        <v>84</v>
      </c>
      <c r="P63" s="8">
        <v>0</v>
      </c>
      <c r="Q63" s="8">
        <v>0</v>
      </c>
      <c r="R63" s="142" t="s">
        <v>83</v>
      </c>
      <c r="S63" s="142" t="s">
        <v>83</v>
      </c>
      <c r="T63" s="142" t="s">
        <v>83</v>
      </c>
      <c r="U63" s="142" t="s">
        <v>83</v>
      </c>
      <c r="V63" s="8">
        <v>3</v>
      </c>
      <c r="W63" s="8" t="s">
        <v>85</v>
      </c>
      <c r="X63" s="8">
        <v>0</v>
      </c>
      <c r="Y63" s="142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2" t="s">
        <v>83</v>
      </c>
      <c r="AF63" s="142" t="s">
        <v>83</v>
      </c>
      <c r="AG63" s="142" t="s">
        <v>83</v>
      </c>
      <c r="AH63" s="142" t="s">
        <v>83</v>
      </c>
      <c r="AI63" s="8"/>
      <c r="AJ63" s="8"/>
      <c r="AK63" s="8">
        <v>0</v>
      </c>
      <c r="AL63" s="8">
        <v>0</v>
      </c>
      <c r="AM63" s="142" t="s">
        <v>83</v>
      </c>
      <c r="AN63" s="8"/>
      <c r="AO63" s="8"/>
      <c r="AP63" s="8">
        <v>1</v>
      </c>
    </row>
    <row r="64" spans="1:42">
      <c r="A64" s="122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24" t="str">
        <f t="shared" si="14"/>
        <v>|Cff00BFFF[防具]圣谕披风lv2|r</v>
      </c>
      <c r="K64" s="124" t="str">
        <f t="shared" si="15"/>
        <v>|Cffbbbbbb属性：|r|n护甲+580|n生命值+52500|n生命回复+1050|n生命恢复%+1|n|n|Cff00ff7f点击消耗8000金币进行强化|n成功率70%</v>
      </c>
      <c r="L64" s="8"/>
      <c r="M64" s="125" t="str">
        <f>VLOOKUP(LEFT(RIGHT(B64,5),4),物品!B:CU,20,FALSE)</f>
        <v>ReplaceableTextures\\CommandButtons\\BTNZ13.blp</v>
      </c>
      <c r="N64" s="142" t="s">
        <v>83</v>
      </c>
      <c r="O64" s="143" t="s">
        <v>84</v>
      </c>
      <c r="P64" s="8">
        <v>0</v>
      </c>
      <c r="Q64" s="8">
        <v>0</v>
      </c>
      <c r="R64" s="142" t="s">
        <v>83</v>
      </c>
      <c r="S64" s="142" t="s">
        <v>83</v>
      </c>
      <c r="T64" s="142" t="s">
        <v>83</v>
      </c>
      <c r="U64" s="142" t="s">
        <v>83</v>
      </c>
      <c r="V64" s="8">
        <v>3</v>
      </c>
      <c r="W64" s="8" t="s">
        <v>85</v>
      </c>
      <c r="X64" s="8">
        <v>0</v>
      </c>
      <c r="Y64" s="142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2" t="s">
        <v>83</v>
      </c>
      <c r="AF64" s="142" t="s">
        <v>83</v>
      </c>
      <c r="AG64" s="142" t="s">
        <v>83</v>
      </c>
      <c r="AH64" s="142" t="s">
        <v>83</v>
      </c>
      <c r="AI64" s="8"/>
      <c r="AJ64" s="8"/>
      <c r="AK64" s="8">
        <v>0</v>
      </c>
      <c r="AL64" s="8">
        <v>0</v>
      </c>
      <c r="AM64" s="142" t="s">
        <v>83</v>
      </c>
      <c r="AN64" s="8"/>
      <c r="AO64" s="8"/>
      <c r="AP64" s="8">
        <v>1</v>
      </c>
    </row>
    <row r="65" spans="1:42">
      <c r="A65" s="122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24" t="str">
        <f t="shared" si="14"/>
        <v>|Cff00BFFF[防具]圣谕披风lv3|r</v>
      </c>
      <c r="K65" s="124" t="str">
        <f t="shared" si="15"/>
        <v>|Cffbbbbbb属性：|r|n护甲+660|n生命值+67500|n生命回复+1350|n生命恢复%+1|n|n|Cff00ff7f点击消耗8000金币进行强化|n成功率70%</v>
      </c>
      <c r="L65" s="8"/>
      <c r="M65" s="125" t="str">
        <f>VLOOKUP(LEFT(RIGHT(B65,5),4),物品!B:CU,20,FALSE)</f>
        <v>ReplaceableTextures\\CommandButtons\\BTNZ13.blp</v>
      </c>
      <c r="N65" s="142" t="s">
        <v>83</v>
      </c>
      <c r="O65" s="143" t="s">
        <v>84</v>
      </c>
      <c r="P65" s="8">
        <v>0</v>
      </c>
      <c r="Q65" s="8">
        <v>0</v>
      </c>
      <c r="R65" s="142" t="s">
        <v>83</v>
      </c>
      <c r="S65" s="142" t="s">
        <v>83</v>
      </c>
      <c r="T65" s="142" t="s">
        <v>83</v>
      </c>
      <c r="U65" s="142" t="s">
        <v>83</v>
      </c>
      <c r="V65" s="8">
        <v>3</v>
      </c>
      <c r="W65" s="8" t="s">
        <v>85</v>
      </c>
      <c r="X65" s="8">
        <v>0</v>
      </c>
      <c r="Y65" s="142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2" t="s">
        <v>83</v>
      </c>
      <c r="AF65" s="142" t="s">
        <v>83</v>
      </c>
      <c r="AG65" s="142" t="s">
        <v>83</v>
      </c>
      <c r="AH65" s="142" t="s">
        <v>83</v>
      </c>
      <c r="AI65" s="8"/>
      <c r="AJ65" s="8"/>
      <c r="AK65" s="8">
        <v>0</v>
      </c>
      <c r="AL65" s="8">
        <v>0</v>
      </c>
      <c r="AM65" s="142" t="s">
        <v>83</v>
      </c>
      <c r="AN65" s="8"/>
      <c r="AO65" s="8"/>
      <c r="AP65" s="8">
        <v>1</v>
      </c>
    </row>
    <row r="66" spans="1:42">
      <c r="A66" s="122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24" t="str">
        <f t="shared" si="14"/>
        <v>|Cff00BFFF[防具]圣谕披风lv4|r</v>
      </c>
      <c r="K66" s="124" t="str">
        <f t="shared" si="15"/>
        <v>|Cffbbbbbb属性：|r|n护甲+740|n生命值+82500|n生命回复+1650|n生命恢复%+1|n|n|Cff00ff7f点击消耗8000金币进行强化|n成功率70%</v>
      </c>
      <c r="L66" s="8"/>
      <c r="M66" s="125" t="str">
        <f>VLOOKUP(LEFT(RIGHT(B66,5),4),物品!B:CU,20,FALSE)</f>
        <v>ReplaceableTextures\\CommandButtons\\BTNZ13.blp</v>
      </c>
      <c r="N66" s="142" t="s">
        <v>83</v>
      </c>
      <c r="O66" s="143" t="s">
        <v>84</v>
      </c>
      <c r="P66" s="8">
        <v>0</v>
      </c>
      <c r="Q66" s="8">
        <v>0</v>
      </c>
      <c r="R66" s="142" t="s">
        <v>83</v>
      </c>
      <c r="S66" s="142" t="s">
        <v>83</v>
      </c>
      <c r="T66" s="142" t="s">
        <v>83</v>
      </c>
      <c r="U66" s="142" t="s">
        <v>83</v>
      </c>
      <c r="V66" s="8">
        <v>3</v>
      </c>
      <c r="W66" s="8" t="s">
        <v>85</v>
      </c>
      <c r="X66" s="8">
        <v>0</v>
      </c>
      <c r="Y66" s="142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2" t="s">
        <v>83</v>
      </c>
      <c r="AF66" s="142" t="s">
        <v>83</v>
      </c>
      <c r="AG66" s="142" t="s">
        <v>83</v>
      </c>
      <c r="AH66" s="142" t="s">
        <v>83</v>
      </c>
      <c r="AI66" s="8"/>
      <c r="AJ66" s="8"/>
      <c r="AK66" s="8">
        <v>0</v>
      </c>
      <c r="AL66" s="8">
        <v>0</v>
      </c>
      <c r="AM66" s="142" t="s">
        <v>83</v>
      </c>
      <c r="AN66" s="8"/>
      <c r="AO66" s="8"/>
      <c r="AP66" s="8">
        <v>1</v>
      </c>
    </row>
    <row r="67" spans="1:42">
      <c r="A67" s="122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24" t="str">
        <f t="shared" si="14"/>
        <v>|Cff00BFFF[防具]圣谕披风lv5|r</v>
      </c>
      <c r="K67" s="124" t="str">
        <f t="shared" si="15"/>
        <v>|Cffbbbbbb属性：|r|n护甲+820|n生命值+97500|n生命回复+1950|n生命恢复%+1|n|n|Cff00ff7f点击消耗30000金币进行晋阶挑战</v>
      </c>
      <c r="L67" s="8"/>
      <c r="M67" s="125" t="str">
        <f>VLOOKUP(LEFT(RIGHT(B67,5),4),物品!B:CU,20,FALSE)</f>
        <v>ReplaceableTextures\\CommandButtons\\BTNZ13.blp</v>
      </c>
      <c r="N67" s="142" t="s">
        <v>83</v>
      </c>
      <c r="O67" s="143" t="s">
        <v>84</v>
      </c>
      <c r="P67" s="8">
        <v>0</v>
      </c>
      <c r="Q67" s="8">
        <v>0</v>
      </c>
      <c r="R67" s="142" t="s">
        <v>83</v>
      </c>
      <c r="S67" s="142" t="s">
        <v>83</v>
      </c>
      <c r="T67" s="142" t="s">
        <v>83</v>
      </c>
      <c r="U67" s="142" t="s">
        <v>83</v>
      </c>
      <c r="V67" s="8">
        <v>3</v>
      </c>
      <c r="W67" s="8" t="s">
        <v>85</v>
      </c>
      <c r="X67" s="8">
        <v>0</v>
      </c>
      <c r="Y67" s="142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2" t="s">
        <v>83</v>
      </c>
      <c r="AF67" s="142" t="s">
        <v>83</v>
      </c>
      <c r="AG67" s="142" t="s">
        <v>83</v>
      </c>
      <c r="AH67" s="142" t="s">
        <v>83</v>
      </c>
      <c r="AI67" s="8"/>
      <c r="AJ67" s="8"/>
      <c r="AK67" s="8">
        <v>0</v>
      </c>
      <c r="AL67" s="8">
        <v>0</v>
      </c>
      <c r="AM67" s="142" t="s">
        <v>83</v>
      </c>
      <c r="AN67" s="8"/>
      <c r="AO67" s="8"/>
      <c r="AP67" s="8">
        <v>1</v>
      </c>
    </row>
    <row r="68" spans="1:42">
      <c r="A68" s="122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24" t="str">
        <f t="shared" si="14"/>
        <v>|CffFFC926[防具]乾坤护心甲lv1|r</v>
      </c>
      <c r="K68" s="124" t="str">
        <f t="shared" si="15"/>
        <v>|Cffbbbbbb属性：|r|n护甲+1000|n生命值+150000|n生命回复+3000|n生命恢复%+2|n|n|Cff00ff7f点击消耗20000金币进行强化|n成功率60%</v>
      </c>
      <c r="L68" s="8"/>
      <c r="M68" s="125" t="str">
        <f>VLOOKUP(LEFT(RIGHT(B68,5),4),物品!B:CU,20,FALSE)</f>
        <v>ReplaceableTextures\\CommandButtons\\BTNZ14.blp</v>
      </c>
      <c r="N68" s="142" t="s">
        <v>83</v>
      </c>
      <c r="O68" s="143" t="s">
        <v>84</v>
      </c>
      <c r="P68" s="8">
        <v>0</v>
      </c>
      <c r="Q68" s="8">
        <v>0</v>
      </c>
      <c r="R68" s="142" t="s">
        <v>83</v>
      </c>
      <c r="S68" s="142" t="s">
        <v>83</v>
      </c>
      <c r="T68" s="142" t="s">
        <v>83</v>
      </c>
      <c r="U68" s="142" t="s">
        <v>83</v>
      </c>
      <c r="V68" s="8">
        <v>3</v>
      </c>
      <c r="W68" s="8" t="s">
        <v>85</v>
      </c>
      <c r="X68" s="8">
        <v>0</v>
      </c>
      <c r="Y68" s="142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2" t="s">
        <v>83</v>
      </c>
      <c r="AF68" s="142" t="s">
        <v>83</v>
      </c>
      <c r="AG68" s="142" t="s">
        <v>83</v>
      </c>
      <c r="AH68" s="142" t="s">
        <v>83</v>
      </c>
      <c r="AI68" s="8"/>
      <c r="AJ68" s="8"/>
      <c r="AK68" s="8">
        <v>0</v>
      </c>
      <c r="AL68" s="8">
        <v>0</v>
      </c>
      <c r="AM68" s="142" t="s">
        <v>83</v>
      </c>
      <c r="AN68" s="8"/>
      <c r="AO68" s="8"/>
      <c r="AP68" s="8">
        <v>1</v>
      </c>
    </row>
    <row r="69" spans="1:42">
      <c r="A69" s="122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24" t="str">
        <f t="shared" si="14"/>
        <v>|CffFFC926[防具]乾坤护心甲lv2|r</v>
      </c>
      <c r="K69" s="124" t="str">
        <f t="shared" si="15"/>
        <v>|Cffbbbbbb属性：|r|n护甲+1100|n生命值+225000|n生命回复+4500|n生命恢复%+2|n|n|Cff00ff7f点击消耗20000金币进行强化|n成功率60%</v>
      </c>
      <c r="L69" s="8"/>
      <c r="M69" s="125" t="str">
        <f>VLOOKUP(LEFT(RIGHT(B69,5),4),物品!B:CU,20,FALSE)</f>
        <v>ReplaceableTextures\\CommandButtons\\BTNZ14.blp</v>
      </c>
      <c r="N69" s="142" t="s">
        <v>83</v>
      </c>
      <c r="O69" s="143" t="s">
        <v>84</v>
      </c>
      <c r="P69" s="8">
        <v>0</v>
      </c>
      <c r="Q69" s="8">
        <v>0</v>
      </c>
      <c r="R69" s="142" t="s">
        <v>83</v>
      </c>
      <c r="S69" s="142" t="s">
        <v>83</v>
      </c>
      <c r="T69" s="142" t="s">
        <v>83</v>
      </c>
      <c r="U69" s="142" t="s">
        <v>83</v>
      </c>
      <c r="V69" s="8">
        <v>3</v>
      </c>
      <c r="W69" s="8" t="s">
        <v>85</v>
      </c>
      <c r="X69" s="8">
        <v>0</v>
      </c>
      <c r="Y69" s="142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2" t="s">
        <v>83</v>
      </c>
      <c r="AF69" s="142" t="s">
        <v>83</v>
      </c>
      <c r="AG69" s="142" t="s">
        <v>83</v>
      </c>
      <c r="AH69" s="142" t="s">
        <v>83</v>
      </c>
      <c r="AI69" s="8"/>
      <c r="AJ69" s="8"/>
      <c r="AK69" s="8">
        <v>0</v>
      </c>
      <c r="AL69" s="8">
        <v>0</v>
      </c>
      <c r="AM69" s="142" t="s">
        <v>83</v>
      </c>
      <c r="AN69" s="8"/>
      <c r="AO69" s="8"/>
      <c r="AP69" s="8">
        <v>1</v>
      </c>
    </row>
    <row r="70" spans="1:42">
      <c r="A70" s="122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24" t="str">
        <f t="shared" si="14"/>
        <v>|CffFFC926[防具]乾坤护心甲lv3|r</v>
      </c>
      <c r="K70" s="124" t="str">
        <f t="shared" si="15"/>
        <v>|Cffbbbbbb属性：|r|n护甲+1200|n生命值+300000|n生命回复+6000|n生命恢复%+2|n|n|Cff00ff7f点击消耗20000金币进行强化|n成功率60%</v>
      </c>
      <c r="L70" s="8"/>
      <c r="M70" s="125" t="str">
        <f>VLOOKUP(LEFT(RIGHT(B70,5),4),物品!B:CU,20,FALSE)</f>
        <v>ReplaceableTextures\\CommandButtons\\BTNZ14.blp</v>
      </c>
      <c r="N70" s="142" t="s">
        <v>83</v>
      </c>
      <c r="O70" s="143" t="s">
        <v>84</v>
      </c>
      <c r="P70" s="8">
        <v>0</v>
      </c>
      <c r="Q70" s="8">
        <v>0</v>
      </c>
      <c r="R70" s="142" t="s">
        <v>83</v>
      </c>
      <c r="S70" s="142" t="s">
        <v>83</v>
      </c>
      <c r="T70" s="142" t="s">
        <v>83</v>
      </c>
      <c r="U70" s="142" t="s">
        <v>83</v>
      </c>
      <c r="V70" s="8">
        <v>3</v>
      </c>
      <c r="W70" s="8" t="s">
        <v>85</v>
      </c>
      <c r="X70" s="8">
        <v>0</v>
      </c>
      <c r="Y70" s="142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2" t="s">
        <v>83</v>
      </c>
      <c r="AF70" s="142" t="s">
        <v>83</v>
      </c>
      <c r="AG70" s="142" t="s">
        <v>83</v>
      </c>
      <c r="AH70" s="142" t="s">
        <v>83</v>
      </c>
      <c r="AI70" s="8"/>
      <c r="AJ70" s="8"/>
      <c r="AK70" s="8">
        <v>0</v>
      </c>
      <c r="AL70" s="8">
        <v>0</v>
      </c>
      <c r="AM70" s="142" t="s">
        <v>83</v>
      </c>
      <c r="AN70" s="8"/>
      <c r="AO70" s="8"/>
      <c r="AP70" s="8">
        <v>1</v>
      </c>
    </row>
    <row r="71" spans="1:42">
      <c r="A71" s="122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24" t="str">
        <f t="shared" si="14"/>
        <v>|CffFFC926[防具]乾坤护心甲lv4|r</v>
      </c>
      <c r="K71" s="124" t="str">
        <f t="shared" si="15"/>
        <v>|Cffbbbbbb属性：|r|n护甲+1300|n生命值+375000|n生命回复+7500|n生命恢复%+2|n|n|Cff00ff7f点击消耗20000金币进行强化|n成功率60%</v>
      </c>
      <c r="L71" s="8"/>
      <c r="M71" s="125" t="str">
        <f>VLOOKUP(LEFT(RIGHT(B71,5),4),物品!B:CU,20,FALSE)</f>
        <v>ReplaceableTextures\\CommandButtons\\BTNZ14.blp</v>
      </c>
      <c r="N71" s="142" t="s">
        <v>83</v>
      </c>
      <c r="O71" s="143" t="s">
        <v>84</v>
      </c>
      <c r="P71" s="8">
        <v>0</v>
      </c>
      <c r="Q71" s="8">
        <v>0</v>
      </c>
      <c r="R71" s="142" t="s">
        <v>83</v>
      </c>
      <c r="S71" s="142" t="s">
        <v>83</v>
      </c>
      <c r="T71" s="142" t="s">
        <v>83</v>
      </c>
      <c r="U71" s="142" t="s">
        <v>83</v>
      </c>
      <c r="V71" s="8">
        <v>3</v>
      </c>
      <c r="W71" s="8" t="s">
        <v>85</v>
      </c>
      <c r="X71" s="8">
        <v>0</v>
      </c>
      <c r="Y71" s="142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2" t="s">
        <v>83</v>
      </c>
      <c r="AF71" s="142" t="s">
        <v>83</v>
      </c>
      <c r="AG71" s="142" t="s">
        <v>83</v>
      </c>
      <c r="AH71" s="142" t="s">
        <v>83</v>
      </c>
      <c r="AI71" s="8"/>
      <c r="AJ71" s="8"/>
      <c r="AK71" s="8">
        <v>0</v>
      </c>
      <c r="AL71" s="8">
        <v>0</v>
      </c>
      <c r="AM71" s="142" t="s">
        <v>83</v>
      </c>
      <c r="AN71" s="8"/>
      <c r="AO71" s="8"/>
      <c r="AP71" s="8">
        <v>1</v>
      </c>
    </row>
    <row r="72" spans="1:42">
      <c r="A72" s="122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24" t="str">
        <f t="shared" si="14"/>
        <v>|CffFFC926[防具]乾坤护心甲lv5|r</v>
      </c>
      <c r="K72" s="124" t="str">
        <f t="shared" si="15"/>
        <v>|Cffbbbbbb属性：|r|n护甲+1400|n生命值+450000|n生命回复+9000|n生命恢复%+2|n|n|Cff00ff7f点击消耗35000金币进行晋阶挑战</v>
      </c>
      <c r="L72" s="8"/>
      <c r="M72" s="125" t="str">
        <f>VLOOKUP(LEFT(RIGHT(B72,5),4),物品!B:CU,20,FALSE)</f>
        <v>ReplaceableTextures\\CommandButtons\\BTNZ14.blp</v>
      </c>
      <c r="N72" s="142" t="s">
        <v>83</v>
      </c>
      <c r="O72" s="143" t="s">
        <v>84</v>
      </c>
      <c r="P72" s="8">
        <v>0</v>
      </c>
      <c r="Q72" s="8">
        <v>0</v>
      </c>
      <c r="R72" s="142" t="s">
        <v>83</v>
      </c>
      <c r="S72" s="142" t="s">
        <v>83</v>
      </c>
      <c r="T72" s="142" t="s">
        <v>83</v>
      </c>
      <c r="U72" s="142" t="s">
        <v>83</v>
      </c>
      <c r="V72" s="8">
        <v>3</v>
      </c>
      <c r="W72" s="8" t="s">
        <v>85</v>
      </c>
      <c r="X72" s="8">
        <v>0</v>
      </c>
      <c r="Y72" s="142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2" t="s">
        <v>83</v>
      </c>
      <c r="AF72" s="142" t="s">
        <v>83</v>
      </c>
      <c r="AG72" s="142" t="s">
        <v>83</v>
      </c>
      <c r="AH72" s="142" t="s">
        <v>83</v>
      </c>
      <c r="AI72" s="8"/>
      <c r="AJ72" s="8"/>
      <c r="AK72" s="8">
        <v>0</v>
      </c>
      <c r="AL72" s="8">
        <v>0</v>
      </c>
      <c r="AM72" s="142" t="s">
        <v>83</v>
      </c>
      <c r="AN72" s="8"/>
      <c r="AO72" s="8"/>
      <c r="AP72" s="8">
        <v>1</v>
      </c>
    </row>
    <row r="73" spans="1:42">
      <c r="A73" s="122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24" t="str">
        <f t="shared" si="14"/>
        <v>|CffFF0000[防具]九龙黄金甲lv1|r</v>
      </c>
      <c r="K73" s="124" t="str">
        <f t="shared" si="15"/>
        <v>|Cffbbbbbb属性：|r|n护甲+2000|n生命值+750000|n生命回复+15000|n生命恢复%+3|n|n|Cff00ff7f点击消耗35000金币进行强化|n成功率50%</v>
      </c>
      <c r="L73" s="8"/>
      <c r="M73" s="125" t="str">
        <f>VLOOKUP(LEFT(RIGHT(B73,5),4),物品!B:CU,20,FALSE)</f>
        <v>ReplaceableTextures\\CommandButtons\\BTNZ15.blp</v>
      </c>
      <c r="N73" s="142" t="s">
        <v>83</v>
      </c>
      <c r="O73" s="143" t="s">
        <v>84</v>
      </c>
      <c r="P73" s="8">
        <v>0</v>
      </c>
      <c r="Q73" s="8">
        <v>0</v>
      </c>
      <c r="R73" s="142" t="s">
        <v>83</v>
      </c>
      <c r="S73" s="142" t="s">
        <v>83</v>
      </c>
      <c r="T73" s="142" t="s">
        <v>83</v>
      </c>
      <c r="U73" s="142" t="s">
        <v>83</v>
      </c>
      <c r="V73" s="8">
        <v>3</v>
      </c>
      <c r="W73" s="8" t="s">
        <v>85</v>
      </c>
      <c r="X73" s="8">
        <v>0</v>
      </c>
      <c r="Y73" s="142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2" t="s">
        <v>83</v>
      </c>
      <c r="AF73" s="142" t="s">
        <v>83</v>
      </c>
      <c r="AG73" s="142" t="s">
        <v>83</v>
      </c>
      <c r="AH73" s="142" t="s">
        <v>83</v>
      </c>
      <c r="AI73" s="8"/>
      <c r="AJ73" s="8"/>
      <c r="AK73" s="8">
        <v>0</v>
      </c>
      <c r="AL73" s="8">
        <v>0</v>
      </c>
      <c r="AM73" s="142" t="s">
        <v>83</v>
      </c>
      <c r="AN73" s="8"/>
      <c r="AO73" s="8"/>
      <c r="AP73" s="8">
        <v>1</v>
      </c>
    </row>
    <row r="74" spans="1:42">
      <c r="A74" s="122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24" t="str">
        <f t="shared" si="14"/>
        <v>|CffFF0000[防具]九龙黄金甲lv2|r</v>
      </c>
      <c r="K74" s="124" t="str">
        <f t="shared" si="15"/>
        <v>|Cffbbbbbb属性：|r|n护甲+2200|n生命值+1200000|n生命回复+24000|n生命恢复%+3|n|n|Cff00ff7f点击消耗35000金币进行强化|n成功率50%</v>
      </c>
      <c r="L74" s="8"/>
      <c r="M74" s="125" t="str">
        <f>VLOOKUP(LEFT(RIGHT(B74,5),4),物品!B:CU,20,FALSE)</f>
        <v>ReplaceableTextures\\CommandButtons\\BTNZ15.blp</v>
      </c>
      <c r="N74" s="142" t="s">
        <v>83</v>
      </c>
      <c r="O74" s="143" t="s">
        <v>84</v>
      </c>
      <c r="P74" s="8">
        <v>0</v>
      </c>
      <c r="Q74" s="8">
        <v>0</v>
      </c>
      <c r="R74" s="142" t="s">
        <v>83</v>
      </c>
      <c r="S74" s="142" t="s">
        <v>83</v>
      </c>
      <c r="T74" s="142" t="s">
        <v>83</v>
      </c>
      <c r="U74" s="142" t="s">
        <v>83</v>
      </c>
      <c r="V74" s="8">
        <v>3</v>
      </c>
      <c r="W74" s="8" t="s">
        <v>85</v>
      </c>
      <c r="X74" s="8">
        <v>0</v>
      </c>
      <c r="Y74" s="142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2" t="s">
        <v>83</v>
      </c>
      <c r="AF74" s="142" t="s">
        <v>83</v>
      </c>
      <c r="AG74" s="142" t="s">
        <v>83</v>
      </c>
      <c r="AH74" s="142" t="s">
        <v>83</v>
      </c>
      <c r="AI74" s="8"/>
      <c r="AJ74" s="8"/>
      <c r="AK74" s="8">
        <v>0</v>
      </c>
      <c r="AL74" s="8">
        <v>0</v>
      </c>
      <c r="AM74" s="142" t="s">
        <v>83</v>
      </c>
      <c r="AN74" s="8"/>
      <c r="AO74" s="8"/>
      <c r="AP74" s="8">
        <v>1</v>
      </c>
    </row>
    <row r="75" spans="1:42">
      <c r="A75" s="122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24" t="str">
        <f t="shared" si="14"/>
        <v>|CffFF0000[防具]九龙黄金甲lv3|r</v>
      </c>
      <c r="K75" s="124" t="str">
        <f t="shared" si="15"/>
        <v>|Cffbbbbbb属性：|r|n护甲+2400|n生命值+1650000|n生命回复+33000|n生命恢复%+3|n|n|Cff00ff7f点击消耗35000金币进行强化|n成功率50%</v>
      </c>
      <c r="L75" s="8"/>
      <c r="M75" s="125" t="str">
        <f>VLOOKUP(LEFT(RIGHT(B75,5),4),物品!B:CU,20,FALSE)</f>
        <v>ReplaceableTextures\\CommandButtons\\BTNZ15.blp</v>
      </c>
      <c r="N75" s="142" t="s">
        <v>83</v>
      </c>
      <c r="O75" s="143" t="s">
        <v>84</v>
      </c>
      <c r="P75" s="8">
        <v>0</v>
      </c>
      <c r="Q75" s="8">
        <v>0</v>
      </c>
      <c r="R75" s="142" t="s">
        <v>83</v>
      </c>
      <c r="S75" s="142" t="s">
        <v>83</v>
      </c>
      <c r="T75" s="142" t="s">
        <v>83</v>
      </c>
      <c r="U75" s="142" t="s">
        <v>83</v>
      </c>
      <c r="V75" s="8">
        <v>3</v>
      </c>
      <c r="W75" s="8" t="s">
        <v>85</v>
      </c>
      <c r="X75" s="8">
        <v>0</v>
      </c>
      <c r="Y75" s="142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2" t="s">
        <v>83</v>
      </c>
      <c r="AF75" s="142" t="s">
        <v>83</v>
      </c>
      <c r="AG75" s="142" t="s">
        <v>83</v>
      </c>
      <c r="AH75" s="142" t="s">
        <v>83</v>
      </c>
      <c r="AI75" s="8"/>
      <c r="AJ75" s="8"/>
      <c r="AK75" s="8">
        <v>0</v>
      </c>
      <c r="AL75" s="8">
        <v>0</v>
      </c>
      <c r="AM75" s="142" t="s">
        <v>83</v>
      </c>
      <c r="AN75" s="8"/>
      <c r="AO75" s="8"/>
      <c r="AP75" s="8">
        <v>1</v>
      </c>
    </row>
    <row r="76" spans="1:42">
      <c r="A76" s="122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24" t="str">
        <f t="shared" si="14"/>
        <v>|CffFF0000[防具]九龙黄金甲lv4|r</v>
      </c>
      <c r="K76" s="124" t="str">
        <f t="shared" si="15"/>
        <v>|Cffbbbbbb属性：|r|n护甲+2600|n生命值+2100000|n生命回复+42000|n生命恢复%+3|n|n|Cff00ff7f点击消耗35000金币进行强化|n成功率50%</v>
      </c>
      <c r="L76" s="8"/>
      <c r="M76" s="125" t="str">
        <f>VLOOKUP(LEFT(RIGHT(B76,5),4),物品!B:CU,20,FALSE)</f>
        <v>ReplaceableTextures\\CommandButtons\\BTNZ15.blp</v>
      </c>
      <c r="N76" s="142" t="s">
        <v>83</v>
      </c>
      <c r="O76" s="143" t="s">
        <v>84</v>
      </c>
      <c r="P76" s="8">
        <v>0</v>
      </c>
      <c r="Q76" s="8">
        <v>0</v>
      </c>
      <c r="R76" s="142" t="s">
        <v>83</v>
      </c>
      <c r="S76" s="142" t="s">
        <v>83</v>
      </c>
      <c r="T76" s="142" t="s">
        <v>83</v>
      </c>
      <c r="U76" s="142" t="s">
        <v>83</v>
      </c>
      <c r="V76" s="8">
        <v>3</v>
      </c>
      <c r="W76" s="8" t="s">
        <v>85</v>
      </c>
      <c r="X76" s="8">
        <v>0</v>
      </c>
      <c r="Y76" s="142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2" t="s">
        <v>83</v>
      </c>
      <c r="AF76" s="142" t="s">
        <v>83</v>
      </c>
      <c r="AG76" s="142" t="s">
        <v>83</v>
      </c>
      <c r="AH76" s="142" t="s">
        <v>83</v>
      </c>
      <c r="AI76" s="8"/>
      <c r="AJ76" s="8"/>
      <c r="AK76" s="8">
        <v>0</v>
      </c>
      <c r="AL76" s="8">
        <v>0</v>
      </c>
      <c r="AM76" s="142" t="s">
        <v>83</v>
      </c>
      <c r="AN76" s="8"/>
      <c r="AO76" s="8"/>
      <c r="AP76" s="8">
        <v>1</v>
      </c>
    </row>
    <row r="77" spans="1:42">
      <c r="A77" s="122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24" t="str">
        <f t="shared" si="14"/>
        <v>|CffFF0000[防具]九龙黄金甲lv5|r</v>
      </c>
      <c r="K77" s="124" t="str">
        <f t="shared" si="15"/>
        <v>|Cffbbbbbb属性：|r|n护甲+2800|n生命值+3000000|n生命回复+60000|n生命恢复%+5|n|Cff999999装备进化：未开放|r</v>
      </c>
      <c r="L77" s="8"/>
      <c r="M77" s="125" t="str">
        <f>VLOOKUP(LEFT(RIGHT(B77,5),4),物品!B:CU,20,FALSE)</f>
        <v>ReplaceableTextures\\CommandButtons\\BTNZ15.blp</v>
      </c>
      <c r="N77" s="142" t="s">
        <v>83</v>
      </c>
      <c r="O77" s="143" t="s">
        <v>84</v>
      </c>
      <c r="P77" s="8">
        <v>0</v>
      </c>
      <c r="Q77" s="8">
        <v>0</v>
      </c>
      <c r="R77" s="142" t="s">
        <v>83</v>
      </c>
      <c r="S77" s="142" t="s">
        <v>83</v>
      </c>
      <c r="T77" s="142" t="s">
        <v>83</v>
      </c>
      <c r="U77" s="142" t="s">
        <v>83</v>
      </c>
      <c r="V77" s="8">
        <v>3</v>
      </c>
      <c r="W77" s="8" t="s">
        <v>85</v>
      </c>
      <c r="X77" s="8">
        <v>0</v>
      </c>
      <c r="Y77" s="142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2" t="s">
        <v>83</v>
      </c>
      <c r="AF77" s="142" t="s">
        <v>83</v>
      </c>
      <c r="AG77" s="142" t="s">
        <v>83</v>
      </c>
      <c r="AH77" s="142" t="s">
        <v>83</v>
      </c>
      <c r="AI77" s="8"/>
      <c r="AJ77" s="8"/>
      <c r="AK77" s="8">
        <v>0</v>
      </c>
      <c r="AL77" s="8">
        <v>0</v>
      </c>
      <c r="AM77" s="142" t="s">
        <v>83</v>
      </c>
      <c r="AN77" s="8"/>
      <c r="AO77" s="8"/>
      <c r="AP77" s="8"/>
    </row>
    <row r="78" spans="1:42">
      <c r="A78" s="122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低级道果【1】</v>
      </c>
      <c r="I78" s="8" t="str">
        <f>VLOOKUP(B78,物品!B:CV,99,FALSE)</f>
        <v>|Cffbbbbbb属性：|r|n攻击+7500|n生命值+30000|n物理伤害+15%|n法术伤害+15%|n杀敌攻击+8|n杀敌业力+1|n杀敌生命+30|n</v>
      </c>
      <c r="J78" s="124" t="str">
        <f t="shared" ref="J78" si="16">H78</f>
        <v>低级道果【1】</v>
      </c>
      <c r="K78" s="124" t="str">
        <f t="shared" ref="K78" si="17">I78</f>
        <v>|Cffbbbbbb属性：|r|n攻击+7500|n生命值+30000|n物理伤害+15%|n法术伤害+15%|n杀敌攻击+8|n杀敌业力+1|n杀敌生命+30|n</v>
      </c>
      <c r="L78" s="8"/>
      <c r="M78" s="125" t="str">
        <f>VLOOKUP(LEFT(RIGHT(B78,5),4),物品!B:CU,20,FALSE)</f>
        <v>ReplaceableTextures\\CommandButtons\\BTNOrbOfFrost.blp</v>
      </c>
      <c r="N78" s="142" t="s">
        <v>83</v>
      </c>
      <c r="O78" s="143" t="s">
        <v>84</v>
      </c>
      <c r="P78" s="8">
        <v>0</v>
      </c>
      <c r="Q78" s="8">
        <v>0</v>
      </c>
      <c r="R78" s="142" t="s">
        <v>83</v>
      </c>
      <c r="S78" s="142" t="s">
        <v>83</v>
      </c>
      <c r="T78" s="142" t="s">
        <v>83</v>
      </c>
      <c r="U78" s="142" t="s">
        <v>83</v>
      </c>
      <c r="V78" s="8"/>
      <c r="W78" s="8" t="s">
        <v>87</v>
      </c>
      <c r="X78" s="8">
        <v>0</v>
      </c>
      <c r="Y78" s="142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2" t="s">
        <v>83</v>
      </c>
      <c r="AF78" s="142" t="s">
        <v>83</v>
      </c>
      <c r="AG78" s="142" t="s">
        <v>83</v>
      </c>
      <c r="AH78" s="142" t="s">
        <v>83</v>
      </c>
      <c r="AI78" s="8">
        <v>1</v>
      </c>
      <c r="AJ78" s="8"/>
      <c r="AK78" s="8">
        <v>1</v>
      </c>
      <c r="AL78" s="8">
        <v>1</v>
      </c>
      <c r="AM78" s="142" t="s">
        <v>83</v>
      </c>
      <c r="AN78" s="8">
        <v>1</v>
      </c>
      <c r="AO78" s="8">
        <v>1</v>
      </c>
      <c r="AP78" s="8">
        <v>1</v>
      </c>
    </row>
    <row r="79" spans="1:42">
      <c r="A79" s="122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中级道果【2】</v>
      </c>
      <c r="I79" s="8" t="str">
        <f>VLOOKUP(B79,物品!B:CV,99,FALSE)</f>
        <v>|Cffbbbbbb属性：|r|n攻击+18000|n生命值+72000|n物理伤害+15%|n法术伤害+15%|n杀敌攻击+8|n杀敌业力+1|n杀敌生命+30|n</v>
      </c>
      <c r="J79" s="124" t="str">
        <f t="shared" ref="J79:J82" si="18">H79</f>
        <v>中级道果【2】</v>
      </c>
      <c r="K79" s="124" t="str">
        <f t="shared" ref="K79:K82" si="19">I79</f>
        <v>|Cffbbbbbb属性：|r|n攻击+18000|n生命值+72000|n物理伤害+15%|n法术伤害+15%|n杀敌攻击+8|n杀敌业力+1|n杀敌生命+30|n</v>
      </c>
      <c r="L79" s="8"/>
      <c r="M79" s="125" t="str">
        <f>VLOOKUP(LEFT(RIGHT(B79,5),4),物品!B:CU,20,FALSE)</f>
        <v>ReplaceableTextures\\CommandButtons\\BTNOrbOfVenom.blp</v>
      </c>
      <c r="N79" s="142" t="s">
        <v>83</v>
      </c>
      <c r="O79" s="143" t="s">
        <v>84</v>
      </c>
      <c r="P79" s="8">
        <v>0</v>
      </c>
      <c r="Q79" s="8">
        <v>0</v>
      </c>
      <c r="R79" s="142" t="s">
        <v>83</v>
      </c>
      <c r="S79" s="142" t="s">
        <v>83</v>
      </c>
      <c r="T79" s="142" t="s">
        <v>83</v>
      </c>
      <c r="U79" s="142" t="s">
        <v>83</v>
      </c>
      <c r="V79" s="8"/>
      <c r="W79" s="8" t="s">
        <v>87</v>
      </c>
      <c r="X79" s="8">
        <v>0</v>
      </c>
      <c r="Y79" s="142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2" t="s">
        <v>83</v>
      </c>
      <c r="AF79" s="142" t="s">
        <v>83</v>
      </c>
      <c r="AG79" s="142" t="s">
        <v>83</v>
      </c>
      <c r="AH79" s="142" t="s">
        <v>83</v>
      </c>
      <c r="AI79" s="8">
        <v>1</v>
      </c>
      <c r="AJ79" s="8"/>
      <c r="AK79" s="8">
        <v>1</v>
      </c>
      <c r="AL79" s="8">
        <v>1</v>
      </c>
      <c r="AM79" s="142" t="s">
        <v>83</v>
      </c>
      <c r="AN79" s="8">
        <v>1</v>
      </c>
      <c r="AO79" s="8">
        <v>1</v>
      </c>
      <c r="AP79" s="8">
        <v>1</v>
      </c>
    </row>
    <row r="80" spans="1:42">
      <c r="A80" s="122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|Cff00FF7F高级道果【3】|r</v>
      </c>
      <c r="I80" s="8" t="str">
        <f>VLOOKUP(B80,物品!B:CV,99,FALSE)</f>
        <v>|Cffbbbbbb属性：|r|n攻击+37500|n生命值+150000|n物理伤害+15%|n法术伤害+15%|n杀敌攻击+8|n杀敌业力+1|n杀敌生命+30|n</v>
      </c>
      <c r="J80" s="124" t="str">
        <f t="shared" si="18"/>
        <v>|Cff00FF7F高级道果【3】|r</v>
      </c>
      <c r="K80" s="124" t="str">
        <f t="shared" si="19"/>
        <v>|Cffbbbbbb属性：|r|n攻击+37500|n生命值+150000|n物理伤害+15%|n法术伤害+15%|n杀敌攻击+8|n杀敌业力+1|n杀敌生命+30|n</v>
      </c>
      <c r="L80" s="8"/>
      <c r="M80" s="125" t="str">
        <f>VLOOKUP(LEFT(RIGHT(B80,5),4),物品!B:CU,20,FALSE)</f>
        <v>ReplaceableTextures\\CommandButtons\\BTNOrbOfCorruption.blp</v>
      </c>
      <c r="N80" s="142" t="s">
        <v>83</v>
      </c>
      <c r="O80" s="143" t="s">
        <v>84</v>
      </c>
      <c r="P80" s="8">
        <v>0</v>
      </c>
      <c r="Q80" s="8">
        <v>0</v>
      </c>
      <c r="R80" s="142" t="s">
        <v>83</v>
      </c>
      <c r="S80" s="142" t="s">
        <v>83</v>
      </c>
      <c r="T80" s="142" t="s">
        <v>83</v>
      </c>
      <c r="U80" s="142" t="s">
        <v>83</v>
      </c>
      <c r="V80" s="8"/>
      <c r="W80" s="8" t="s">
        <v>87</v>
      </c>
      <c r="X80" s="8">
        <v>0</v>
      </c>
      <c r="Y80" s="142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2" t="s">
        <v>83</v>
      </c>
      <c r="AF80" s="142" t="s">
        <v>83</v>
      </c>
      <c r="AG80" s="142" t="s">
        <v>83</v>
      </c>
      <c r="AH80" s="142" t="s">
        <v>83</v>
      </c>
      <c r="AI80" s="8">
        <v>1</v>
      </c>
      <c r="AJ80" s="8"/>
      <c r="AK80" s="8">
        <v>1</v>
      </c>
      <c r="AL80" s="8">
        <v>1</v>
      </c>
      <c r="AM80" s="142" t="s">
        <v>83</v>
      </c>
      <c r="AN80" s="8">
        <v>1</v>
      </c>
      <c r="AO80" s="8">
        <v>1</v>
      </c>
      <c r="AP80" s="8">
        <v>1</v>
      </c>
    </row>
    <row r="81" spans="1:42">
      <c r="A81" s="122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|Cff00FF7F黄级道果【4】|r</v>
      </c>
      <c r="I81" s="8" t="str">
        <f>VLOOKUP(B81,物品!B:CV,99,FALSE)</f>
        <v>|Cffbbbbbb属性：|r|n攻击+60000|n生命值+240000|n物理伤害+20%|n法术伤害+20%|n杀敌攻击+8|n杀敌业力+1|n杀敌生命+30|n</v>
      </c>
      <c r="J81" s="124" t="str">
        <f t="shared" si="18"/>
        <v>|Cff00FF7F黄级道果【4】|r</v>
      </c>
      <c r="K81" s="124" t="str">
        <f t="shared" si="19"/>
        <v>|Cffbbbbbb属性：|r|n攻击+60000|n生命值+240000|n物理伤害+20%|n法术伤害+20%|n杀敌攻击+8|n杀敌业力+1|n杀敌生命+30|n</v>
      </c>
      <c r="L81" s="8"/>
      <c r="M81" s="125" t="str">
        <f>VLOOKUP(LEFT(RIGHT(B81,5),4),物品!B:CU,20,FALSE)</f>
        <v>ReplaceableTextures\\CommandButtons\\BTNOrbOfFire.blp</v>
      </c>
      <c r="N81" s="142" t="s">
        <v>83</v>
      </c>
      <c r="O81" s="143" t="s">
        <v>84</v>
      </c>
      <c r="P81" s="8">
        <v>0</v>
      </c>
      <c r="Q81" s="8">
        <v>0</v>
      </c>
      <c r="R81" s="142" t="s">
        <v>83</v>
      </c>
      <c r="S81" s="142" t="s">
        <v>83</v>
      </c>
      <c r="T81" s="142" t="s">
        <v>83</v>
      </c>
      <c r="U81" s="142" t="s">
        <v>83</v>
      </c>
      <c r="V81" s="8"/>
      <c r="W81" s="8" t="s">
        <v>87</v>
      </c>
      <c r="X81" s="8">
        <v>0</v>
      </c>
      <c r="Y81" s="142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2" t="s">
        <v>83</v>
      </c>
      <c r="AF81" s="142" t="s">
        <v>83</v>
      </c>
      <c r="AG81" s="142" t="s">
        <v>83</v>
      </c>
      <c r="AH81" s="142" t="s">
        <v>83</v>
      </c>
      <c r="AI81" s="8">
        <v>1</v>
      </c>
      <c r="AJ81" s="8"/>
      <c r="AK81" s="8">
        <v>1</v>
      </c>
      <c r="AL81" s="8">
        <v>1</v>
      </c>
      <c r="AM81" s="142" t="s">
        <v>83</v>
      </c>
      <c r="AN81" s="8">
        <v>1</v>
      </c>
      <c r="AO81" s="8">
        <v>1</v>
      </c>
      <c r="AP81" s="8">
        <v>1</v>
      </c>
    </row>
    <row r="82" spans="1:42">
      <c r="A82" s="122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|Cff00BFFF玄级道果【5】|r</v>
      </c>
      <c r="I82" s="8" t="str">
        <f>VLOOKUP(B82,物品!B:CV,99,FALSE)</f>
        <v>|Cffbbbbbb属性：|r|n攻击+82500|n生命值+330000|n物理伤害+20%|n法术伤害+20%|n杀敌攻击+8|n杀敌业力+1|n杀敌生命+30|n</v>
      </c>
      <c r="J82" s="124" t="str">
        <f t="shared" si="18"/>
        <v>|Cff00BFFF玄级道果【5】|r</v>
      </c>
      <c r="K82" s="124" t="str">
        <f t="shared" si="19"/>
        <v>|Cffbbbbbb属性：|r|n攻击+82500|n生命值+330000|n物理伤害+20%|n法术伤害+20%|n杀敌攻击+8|n杀敌业力+1|n杀敌生命+30|n</v>
      </c>
      <c r="L82" s="8"/>
      <c r="M82" s="125" t="str">
        <f>VLOOKUP(LEFT(RIGHT(B82,5),4),物品!B:CU,20,FALSE)</f>
        <v>ReplaceableTextures\\CommandButtons\\BTNUsedSoulGem.blp</v>
      </c>
      <c r="N82" s="142" t="s">
        <v>83</v>
      </c>
      <c r="O82" s="143" t="s">
        <v>84</v>
      </c>
      <c r="P82" s="8">
        <v>0</v>
      </c>
      <c r="Q82" s="8">
        <v>0</v>
      </c>
      <c r="R82" s="142" t="s">
        <v>83</v>
      </c>
      <c r="S82" s="142" t="s">
        <v>83</v>
      </c>
      <c r="T82" s="142" t="s">
        <v>83</v>
      </c>
      <c r="U82" s="142" t="s">
        <v>83</v>
      </c>
      <c r="V82" s="8"/>
      <c r="W82" s="8" t="s">
        <v>87</v>
      </c>
      <c r="X82" s="8">
        <v>0</v>
      </c>
      <c r="Y82" s="142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2" t="s">
        <v>83</v>
      </c>
      <c r="AF82" s="142" t="s">
        <v>83</v>
      </c>
      <c r="AG82" s="142" t="s">
        <v>83</v>
      </c>
      <c r="AH82" s="142" t="s">
        <v>83</v>
      </c>
      <c r="AI82" s="8">
        <v>1</v>
      </c>
      <c r="AJ82" s="8"/>
      <c r="AK82" s="8">
        <v>1</v>
      </c>
      <c r="AL82" s="8">
        <v>1</v>
      </c>
      <c r="AM82" s="142" t="s">
        <v>83</v>
      </c>
      <c r="AN82" s="8">
        <v>1</v>
      </c>
      <c r="AO82" s="8">
        <v>1</v>
      </c>
      <c r="AP82" s="8">
        <v>1</v>
      </c>
    </row>
    <row r="83" spans="1:42">
      <c r="A83" s="122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|Cff00BFFF地级道果【6】|r</v>
      </c>
      <c r="I83" s="8" t="str">
        <f>VLOOKUP(B83,物品!B:CV,99,FALSE)</f>
        <v>|Cffbbbbbb属性：|r|n攻击+120000|n生命值+480000|n物理伤害+20%|n法术伤害+20%|n杀敌攻击+8|n杀敌业力+1|n杀敌生命+30|n</v>
      </c>
      <c r="J83" s="124" t="str">
        <f t="shared" ref="J83:J108" si="20">H83</f>
        <v>|Cff00BFFF地级道果【6】|r</v>
      </c>
      <c r="K83" s="124" t="str">
        <f t="shared" ref="K83:K108" si="21">I83</f>
        <v>|Cffbbbbbb属性：|r|n攻击+120000|n生命值+480000|n物理伤害+20%|n法术伤害+20%|n杀敌攻击+8|n杀敌业力+1|n杀敌生命+30|n</v>
      </c>
      <c r="L83" s="8"/>
      <c r="M83" s="125" t="str">
        <f>VLOOKUP(LEFT(RIGHT(B83,5),4),物品!B:CU,20,FALSE)</f>
        <v>ReplaceableTextures\\CommandButtons\\BTNOrbofSlowness.blp</v>
      </c>
      <c r="N83" s="142" t="s">
        <v>83</v>
      </c>
      <c r="O83" s="143" t="s">
        <v>84</v>
      </c>
      <c r="P83" s="8">
        <v>0</v>
      </c>
      <c r="Q83" s="8">
        <v>0</v>
      </c>
      <c r="R83" s="142" t="s">
        <v>83</v>
      </c>
      <c r="S83" s="142" t="s">
        <v>83</v>
      </c>
      <c r="T83" s="142" t="s">
        <v>83</v>
      </c>
      <c r="U83" s="142" t="s">
        <v>83</v>
      </c>
      <c r="V83" s="8"/>
      <c r="W83" s="8" t="s">
        <v>87</v>
      </c>
      <c r="X83" s="8">
        <v>0</v>
      </c>
      <c r="Y83" s="142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2" t="s">
        <v>83</v>
      </c>
      <c r="AF83" s="142" t="s">
        <v>83</v>
      </c>
      <c r="AG83" s="142" t="s">
        <v>83</v>
      </c>
      <c r="AH83" s="142" t="s">
        <v>83</v>
      </c>
      <c r="AI83" s="8">
        <v>1</v>
      </c>
      <c r="AJ83" s="8"/>
      <c r="AK83" s="8">
        <v>1</v>
      </c>
      <c r="AL83" s="8">
        <v>1</v>
      </c>
      <c r="AM83" s="142" t="s">
        <v>83</v>
      </c>
      <c r="AN83" s="8">
        <v>1</v>
      </c>
      <c r="AO83" s="8">
        <v>1</v>
      </c>
      <c r="AP83" s="8">
        <v>1</v>
      </c>
    </row>
    <row r="84" spans="1:42">
      <c r="A84" s="122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|CffFFC926天级道果【7】|r</v>
      </c>
      <c r="I84" s="8" t="str">
        <f>VLOOKUP(B84,物品!B:CV,99,FALSE)</f>
        <v>|Cffbbbbbb属性：|r|n攻击+180000|n生命值+720000|n物理伤害+25%|n法术伤害+25%|n杀敌攻击+8|n杀敌业力+1|n杀敌生命+30|n</v>
      </c>
      <c r="J84" s="124" t="str">
        <f t="shared" si="20"/>
        <v>|CffFFC926天级道果【7】|r</v>
      </c>
      <c r="K84" s="124" t="str">
        <f t="shared" si="21"/>
        <v>|Cffbbbbbb属性：|r|n攻击+180000|n生命值+720000|n物理伤害+25%|n法术伤害+25%|n杀敌攻击+8|n杀敌业力+1|n杀敌生命+30|n</v>
      </c>
      <c r="L84" s="8"/>
      <c r="M84" s="125" t="str">
        <f>VLOOKUP(LEFT(RIGHT(B84,5),4),物品!B:CU,20,FALSE)</f>
        <v>ReplaceableTextures\\CommandButtons\\BTNOrbOfLightning.blp</v>
      </c>
      <c r="N84" s="142" t="s">
        <v>83</v>
      </c>
      <c r="O84" s="143" t="s">
        <v>84</v>
      </c>
      <c r="P84" s="8">
        <v>0</v>
      </c>
      <c r="Q84" s="8">
        <v>0</v>
      </c>
      <c r="R84" s="142" t="s">
        <v>83</v>
      </c>
      <c r="S84" s="142" t="s">
        <v>83</v>
      </c>
      <c r="T84" s="142" t="s">
        <v>83</v>
      </c>
      <c r="U84" s="142" t="s">
        <v>83</v>
      </c>
      <c r="V84" s="8"/>
      <c r="W84" s="8" t="s">
        <v>87</v>
      </c>
      <c r="X84" s="8">
        <v>0</v>
      </c>
      <c r="Y84" s="142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2" t="s">
        <v>83</v>
      </c>
      <c r="AF84" s="142" t="s">
        <v>83</v>
      </c>
      <c r="AG84" s="142" t="s">
        <v>83</v>
      </c>
      <c r="AH84" s="142" t="s">
        <v>83</v>
      </c>
      <c r="AI84" s="8">
        <v>1</v>
      </c>
      <c r="AJ84" s="8"/>
      <c r="AK84" s="8">
        <v>1</v>
      </c>
      <c r="AL84" s="8">
        <v>1</v>
      </c>
      <c r="AM84" s="142" t="s">
        <v>83</v>
      </c>
      <c r="AN84" s="8">
        <v>1</v>
      </c>
      <c r="AO84" s="8">
        <v>1</v>
      </c>
      <c r="AP84" s="8">
        <v>1</v>
      </c>
    </row>
    <row r="85" spans="1:42">
      <c r="A85" s="122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|CffFFC926仙品道果【8】|r</v>
      </c>
      <c r="I85" s="8" t="str">
        <f>VLOOKUP(B85,物品!B:CV,99,FALSE)</f>
        <v>|Cffbbbbbb属性：|r|n攻击+300000|n生命值+1200000|n物理伤害+25%|n法术伤害+25%|n杀敌攻击+8|n杀敌业力+1|n杀敌生命+30|n</v>
      </c>
      <c r="J85" s="124" t="str">
        <f t="shared" si="20"/>
        <v>|CffFFC926仙品道果【8】|r</v>
      </c>
      <c r="K85" s="124" t="str">
        <f t="shared" si="21"/>
        <v>|Cffbbbbbb属性：|r|n攻击+300000|n生命值+1200000|n物理伤害+25%|n法术伤害+25%|n杀敌攻击+8|n杀敌业力+1|n杀敌生命+30|n</v>
      </c>
      <c r="L85" s="8"/>
      <c r="M85" s="125" t="str">
        <f>VLOOKUP(LEFT(RIGHT(B85,5),4),物品!B:CU,20,FALSE)</f>
        <v>ReplaceableTextures\\CommandButtons\\BTNHeartOfAszune.blp</v>
      </c>
      <c r="N85" s="142" t="s">
        <v>83</v>
      </c>
      <c r="O85" s="143" t="s">
        <v>84</v>
      </c>
      <c r="P85" s="8">
        <v>0</v>
      </c>
      <c r="Q85" s="8">
        <v>0</v>
      </c>
      <c r="R85" s="142" t="s">
        <v>83</v>
      </c>
      <c r="S85" s="142" t="s">
        <v>83</v>
      </c>
      <c r="T85" s="142" t="s">
        <v>83</v>
      </c>
      <c r="U85" s="142" t="s">
        <v>83</v>
      </c>
      <c r="V85" s="8"/>
      <c r="W85" s="8" t="s">
        <v>87</v>
      </c>
      <c r="X85" s="8">
        <v>0</v>
      </c>
      <c r="Y85" s="142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2" t="s">
        <v>83</v>
      </c>
      <c r="AF85" s="142" t="s">
        <v>83</v>
      </c>
      <c r="AG85" s="142" t="s">
        <v>83</v>
      </c>
      <c r="AH85" s="142" t="s">
        <v>83</v>
      </c>
      <c r="AI85" s="8">
        <v>1</v>
      </c>
      <c r="AJ85" s="8"/>
      <c r="AK85" s="8">
        <v>1</v>
      </c>
      <c r="AL85" s="8">
        <v>1</v>
      </c>
      <c r="AM85" s="142" t="s">
        <v>83</v>
      </c>
      <c r="AN85" s="8">
        <v>1</v>
      </c>
      <c r="AO85" s="8">
        <v>1</v>
      </c>
      <c r="AP85" s="8">
        <v>1</v>
      </c>
    </row>
    <row r="86" spans="1:42">
      <c r="A86" s="122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|CffFF0000至圣道果【9】|r</v>
      </c>
      <c r="I86" s="8" t="str">
        <f>VLOOKUP(B86,物品!B:CV,99,FALSE)</f>
        <v>|Cffbbbbbb属性：|r|n攻击+450000|n生命值+1800000|n物理伤害+25%|n法术伤害+25%|n杀敌攻击+8|n杀敌业力+1|n杀敌生命+30|n</v>
      </c>
      <c r="J86" s="124" t="str">
        <f t="shared" si="20"/>
        <v>|CffFF0000至圣道果【9】|r</v>
      </c>
      <c r="K86" s="124" t="str">
        <f t="shared" si="21"/>
        <v>|Cffbbbbbb属性：|r|n攻击+450000|n生命值+1800000|n物理伤害+25%|n法术伤害+25%|n杀敌攻击+8|n杀敌业力+1|n杀敌生命+30|n</v>
      </c>
      <c r="L86" s="8"/>
      <c r="M86" s="125" t="str">
        <f>VLOOKUP(LEFT(RIGHT(B86,5),4),物品!B:CU,20,FALSE)</f>
        <v>ReplaceableTextures\\CommandButtons\\BTNPhilosophersStone.blp</v>
      </c>
      <c r="N86" s="142" t="s">
        <v>83</v>
      </c>
      <c r="O86" s="143" t="s">
        <v>84</v>
      </c>
      <c r="P86" s="8">
        <v>0</v>
      </c>
      <c r="Q86" s="8">
        <v>0</v>
      </c>
      <c r="R86" s="142" t="s">
        <v>83</v>
      </c>
      <c r="S86" s="142" t="s">
        <v>83</v>
      </c>
      <c r="T86" s="142" t="s">
        <v>83</v>
      </c>
      <c r="U86" s="142" t="s">
        <v>83</v>
      </c>
      <c r="V86" s="8"/>
      <c r="W86" s="8" t="s">
        <v>87</v>
      </c>
      <c r="X86" s="8">
        <v>0</v>
      </c>
      <c r="Y86" s="142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2" t="s">
        <v>83</v>
      </c>
      <c r="AF86" s="142" t="s">
        <v>83</v>
      </c>
      <c r="AG86" s="142" t="s">
        <v>83</v>
      </c>
      <c r="AH86" s="142" t="s">
        <v>83</v>
      </c>
      <c r="AI86" s="8">
        <v>1</v>
      </c>
      <c r="AJ86" s="8"/>
      <c r="AK86" s="8">
        <v>1</v>
      </c>
      <c r="AL86" s="8">
        <v>1</v>
      </c>
      <c r="AM86" s="142" t="s">
        <v>83</v>
      </c>
      <c r="AN86" s="8">
        <v>1</v>
      </c>
      <c r="AO86" s="8">
        <v>1</v>
      </c>
      <c r="AP86" s="8">
        <v>1</v>
      </c>
    </row>
    <row r="87" spans="1:42">
      <c r="A87" s="122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|CffFF0000混沌道果【10】|r</v>
      </c>
      <c r="I87" s="8" t="str">
        <f>VLOOKUP(B87,物品!B:CV,99,FALSE)</f>
        <v>|Cffbbbbbb属性：|r|n攻击+750000|n生命值+3000000|n物理伤害+30%|n法术伤害+30%|n杀敌攻击+8|n杀敌业力+1|n杀敌生命+30|n</v>
      </c>
      <c r="J87" s="124" t="str">
        <f t="shared" si="20"/>
        <v>|CffFF0000混沌道果【10】|r</v>
      </c>
      <c r="K87" s="124" t="str">
        <f t="shared" si="21"/>
        <v>|Cffbbbbbb属性：|r|n攻击+750000|n生命值+3000000|n物理伤害+30%|n法术伤害+30%|n杀敌攻击+8|n杀敌业力+1|n杀敌生命+30|n</v>
      </c>
      <c r="L87" s="8"/>
      <c r="M87" s="125" t="str">
        <f>VLOOKUP(LEFT(RIGHT(B87,5),4),物品!B:CU,20,FALSE)</f>
        <v>ReplaceableTextures\\CommandButtons\\BTNOrbOfDarkness.blp</v>
      </c>
      <c r="N87" s="142" t="s">
        <v>83</v>
      </c>
      <c r="O87" s="143" t="s">
        <v>84</v>
      </c>
      <c r="P87" s="8">
        <v>0</v>
      </c>
      <c r="Q87" s="8">
        <v>0</v>
      </c>
      <c r="R87" s="142" t="s">
        <v>83</v>
      </c>
      <c r="S87" s="142" t="s">
        <v>83</v>
      </c>
      <c r="T87" s="142" t="s">
        <v>83</v>
      </c>
      <c r="U87" s="142" t="s">
        <v>83</v>
      </c>
      <c r="V87" s="8"/>
      <c r="W87" s="8" t="s">
        <v>87</v>
      </c>
      <c r="X87" s="8">
        <v>0</v>
      </c>
      <c r="Y87" s="142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2" t="s">
        <v>83</v>
      </c>
      <c r="AF87" s="142" t="s">
        <v>83</v>
      </c>
      <c r="AG87" s="142" t="s">
        <v>83</v>
      </c>
      <c r="AH87" s="142" t="s">
        <v>83</v>
      </c>
      <c r="AI87" s="8">
        <v>1</v>
      </c>
      <c r="AJ87" s="8"/>
      <c r="AK87" s="8">
        <v>1</v>
      </c>
      <c r="AL87" s="8">
        <v>1</v>
      </c>
      <c r="AM87" s="142" t="s">
        <v>83</v>
      </c>
      <c r="AN87" s="8">
        <v>1</v>
      </c>
      <c r="AO87" s="8">
        <v>1</v>
      </c>
      <c r="AP87" s="8">
        <v>1</v>
      </c>
    </row>
    <row r="88" spans="1:42">
      <c r="A88" s="122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完美的低级道果【1】</v>
      </c>
      <c r="I88" s="8" t="str">
        <f>VLOOKUP(B88,物品!B:CV,99,FALSE)</f>
        <v>|CffCCCCCC道果属性：|r|n攻击+7500|n生命值+30000|n物理伤害+15%|n法术伤害+15%|n杀敌攻击+8|n杀敌业力+1|n杀敌生命+30|n|n|Cff00FF7F点击吸收道果，强行突破境界。|r</v>
      </c>
      <c r="J88" s="124" t="str">
        <f t="shared" ref="J88:J97" si="22">H88</f>
        <v>完美的低级道果【1】</v>
      </c>
      <c r="K88" s="124" t="str">
        <f t="shared" ref="K88:K97" si="23">I88</f>
        <v>|CffCCCCCC道果属性：|r|n攻击+7500|n生命值+30000|n物理伤害+15%|n法术伤害+15%|n杀敌攻击+8|n杀敌业力+1|n杀敌生命+30|n|n|Cff00FF7F点击吸收道果，强行突破境界。|r</v>
      </c>
      <c r="L88" s="8"/>
      <c r="M88" s="125" t="str">
        <f>VLOOKUP(LEFT(RIGHT(B88,5),4),物品!B:CU,20,FALSE)</f>
        <v>ReplaceableTextures\\CommandButtons\\BTNDG11.blp</v>
      </c>
      <c r="N88" s="142" t="s">
        <v>83</v>
      </c>
      <c r="O88" s="125" t="s">
        <v>88</v>
      </c>
      <c r="P88" s="8">
        <v>0</v>
      </c>
      <c r="Q88" s="8">
        <v>0</v>
      </c>
      <c r="R88" s="142" t="s">
        <v>83</v>
      </c>
      <c r="S88" s="142" t="s">
        <v>83</v>
      </c>
      <c r="T88" s="142" t="s">
        <v>83</v>
      </c>
      <c r="U88" s="142" t="s">
        <v>83</v>
      </c>
      <c r="V88" s="8"/>
      <c r="W88" s="8" t="s">
        <v>89</v>
      </c>
      <c r="X88" s="8">
        <v>0</v>
      </c>
      <c r="Y88" s="142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2" t="s">
        <v>83</v>
      </c>
      <c r="AF88" s="142" t="s">
        <v>83</v>
      </c>
      <c r="AG88" s="142" t="s">
        <v>83</v>
      </c>
      <c r="AH88" s="142" t="s">
        <v>83</v>
      </c>
      <c r="AI88" s="8"/>
      <c r="AJ88" s="8"/>
      <c r="AK88" s="8">
        <v>1</v>
      </c>
      <c r="AL88" s="8">
        <v>1</v>
      </c>
      <c r="AM88" s="142" t="s">
        <v>83</v>
      </c>
      <c r="AN88" s="8">
        <v>1</v>
      </c>
      <c r="AO88" s="8">
        <v>1</v>
      </c>
      <c r="AP88" s="8">
        <v>1</v>
      </c>
    </row>
    <row r="89" spans="1:42">
      <c r="A89" s="122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完美的中级道果【2】</v>
      </c>
      <c r="I89" s="8" t="str">
        <f>VLOOKUP(B89,物品!B:CV,99,FALSE)</f>
        <v>|CffCCCCCC道果属性：|r|n攻击+18000|n生命值+72000|n物理伤害+15%|n法术伤害+15%|n杀敌攻击+8|n杀敌业力+1|n杀敌生命+30|n|n|Cff00FF7F点击吸收道果，强行突破境界。|r</v>
      </c>
      <c r="J89" s="124" t="str">
        <f t="shared" si="22"/>
        <v>完美的中级道果【2】</v>
      </c>
      <c r="K89" s="124" t="str">
        <f t="shared" si="23"/>
        <v>|CffCCCCCC道果属性：|r|n攻击+18000|n生命值+72000|n物理伤害+15%|n法术伤害+15%|n杀敌攻击+8|n杀敌业力+1|n杀敌生命+30|n|n|Cff00FF7F点击吸收道果，强行突破境界。|r</v>
      </c>
      <c r="L89" s="8"/>
      <c r="M89" s="125" t="str">
        <f>VLOOKUP(LEFT(RIGHT(B89,5),4),物品!B:CU,20,FALSE)</f>
        <v>ReplaceableTextures\\CommandButtons\\BTNDG12.blp</v>
      </c>
      <c r="N89" s="142" t="s">
        <v>83</v>
      </c>
      <c r="O89" s="125" t="s">
        <v>88</v>
      </c>
      <c r="P89" s="8">
        <v>0</v>
      </c>
      <c r="Q89" s="8">
        <v>0</v>
      </c>
      <c r="R89" s="142" t="s">
        <v>83</v>
      </c>
      <c r="S89" s="142" t="s">
        <v>83</v>
      </c>
      <c r="T89" s="142" t="s">
        <v>83</v>
      </c>
      <c r="U89" s="142" t="s">
        <v>83</v>
      </c>
      <c r="V89" s="8"/>
      <c r="W89" s="8" t="s">
        <v>89</v>
      </c>
      <c r="X89" s="8">
        <v>0</v>
      </c>
      <c r="Y89" s="142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2" t="s">
        <v>83</v>
      </c>
      <c r="AF89" s="142" t="s">
        <v>83</v>
      </c>
      <c r="AG89" s="142" t="s">
        <v>83</v>
      </c>
      <c r="AH89" s="142" t="s">
        <v>83</v>
      </c>
      <c r="AI89" s="8"/>
      <c r="AJ89" s="8"/>
      <c r="AK89" s="8">
        <v>0</v>
      </c>
      <c r="AL89" s="8">
        <v>1</v>
      </c>
      <c r="AM89" s="142" t="s">
        <v>83</v>
      </c>
      <c r="AN89" s="8">
        <v>1</v>
      </c>
      <c r="AO89" s="8">
        <v>1</v>
      </c>
      <c r="AP89" s="8">
        <v>1</v>
      </c>
    </row>
    <row r="90" spans="1:42">
      <c r="A90" s="122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|Cff00FF7F完美的高级道果【3】|r</v>
      </c>
      <c r="I90" s="8" t="str">
        <f>VLOOKUP(B90,物品!B:CV,99,FALSE)</f>
        <v>|CffCCCCCC道果属性：|r|n攻击+37500|n生命值+150000|n物理伤害+15%|n法术伤害+15%|n杀敌攻击+8|n杀敌业力+1|n杀敌生命+30|n|n|Cff00FF7F点击吸收道果，强行突破境界。|r</v>
      </c>
      <c r="J90" s="124" t="str">
        <f t="shared" si="22"/>
        <v>|Cff00FF7F完美的高级道果【3】|r</v>
      </c>
      <c r="K90" s="124" t="str">
        <f t="shared" si="23"/>
        <v>|CffCCCCCC道果属性：|r|n攻击+37500|n生命值+150000|n物理伤害+15%|n法术伤害+15%|n杀敌攻击+8|n杀敌业力+1|n杀敌生命+30|n|n|Cff00FF7F点击吸收道果，强行突破境界。|r</v>
      </c>
      <c r="L90" s="8"/>
      <c r="M90" s="125" t="str">
        <f>VLOOKUP(LEFT(RIGHT(B90,5),4),物品!B:CU,20,FALSE)</f>
        <v>ReplaceableTextures\\CommandButtons\\BTNDG13.blp</v>
      </c>
      <c r="N90" s="142" t="s">
        <v>83</v>
      </c>
      <c r="O90" s="125" t="s">
        <v>88</v>
      </c>
      <c r="P90" s="8">
        <v>0</v>
      </c>
      <c r="Q90" s="8">
        <v>0</v>
      </c>
      <c r="R90" s="142" t="s">
        <v>83</v>
      </c>
      <c r="S90" s="142" t="s">
        <v>83</v>
      </c>
      <c r="T90" s="142" t="s">
        <v>83</v>
      </c>
      <c r="U90" s="142" t="s">
        <v>83</v>
      </c>
      <c r="V90" s="8"/>
      <c r="W90" s="8" t="s">
        <v>89</v>
      </c>
      <c r="X90" s="8">
        <v>0</v>
      </c>
      <c r="Y90" s="142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2" t="s">
        <v>83</v>
      </c>
      <c r="AF90" s="142" t="s">
        <v>83</v>
      </c>
      <c r="AG90" s="142" t="s">
        <v>83</v>
      </c>
      <c r="AH90" s="142" t="s">
        <v>83</v>
      </c>
      <c r="AI90" s="8"/>
      <c r="AJ90" s="8"/>
      <c r="AK90" s="8">
        <v>1</v>
      </c>
      <c r="AL90" s="8">
        <v>1</v>
      </c>
      <c r="AM90" s="142" t="s">
        <v>83</v>
      </c>
      <c r="AN90" s="8">
        <v>1</v>
      </c>
      <c r="AO90" s="8">
        <v>1</v>
      </c>
      <c r="AP90" s="8">
        <v>1</v>
      </c>
    </row>
    <row r="91" spans="1:42">
      <c r="A91" s="122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|Cff00FF7F完美的黄级道果【4】|r</v>
      </c>
      <c r="I91" s="8" t="str">
        <f>VLOOKUP(B91,物品!B:CV,99,FALSE)</f>
        <v>|CffCCCCCC道果属性：|r|n攻击+60000|n生命值+240000|n物理伤害+20%|n法术伤害+20%|n杀敌攻击+8|n杀敌业力+1|n杀敌生命+30|n|n|Cff00FF7F点击吸收道果，强行突破境界。|r</v>
      </c>
      <c r="J91" s="124" t="str">
        <f t="shared" si="22"/>
        <v>|Cff00FF7F完美的黄级道果【4】|r</v>
      </c>
      <c r="K91" s="124" t="str">
        <f t="shared" si="23"/>
        <v>|CffCCCCCC道果属性：|r|n攻击+60000|n生命值+240000|n物理伤害+20%|n法术伤害+20%|n杀敌攻击+8|n杀敌业力+1|n杀敌生命+30|n|n|Cff00FF7F点击吸收道果，强行突破境界。|r</v>
      </c>
      <c r="L91" s="8"/>
      <c r="M91" s="125" t="str">
        <f>VLOOKUP(LEFT(RIGHT(B91,5),4),物品!B:CU,20,FALSE)</f>
        <v>ReplaceableTextures\\CommandButtons\\BTNDG14.blp</v>
      </c>
      <c r="N91" s="142" t="s">
        <v>83</v>
      </c>
      <c r="O91" s="125" t="s">
        <v>88</v>
      </c>
      <c r="P91" s="8">
        <v>0</v>
      </c>
      <c r="Q91" s="8">
        <v>0</v>
      </c>
      <c r="R91" s="142" t="s">
        <v>83</v>
      </c>
      <c r="S91" s="142" t="s">
        <v>83</v>
      </c>
      <c r="T91" s="142" t="s">
        <v>83</v>
      </c>
      <c r="U91" s="142" t="s">
        <v>83</v>
      </c>
      <c r="V91" s="8"/>
      <c r="W91" s="8" t="s">
        <v>89</v>
      </c>
      <c r="X91" s="8">
        <v>0</v>
      </c>
      <c r="Y91" s="142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2" t="s">
        <v>83</v>
      </c>
      <c r="AF91" s="142" t="s">
        <v>83</v>
      </c>
      <c r="AG91" s="142" t="s">
        <v>83</v>
      </c>
      <c r="AH91" s="142" t="s">
        <v>83</v>
      </c>
      <c r="AI91" s="8"/>
      <c r="AJ91" s="8"/>
      <c r="AK91" s="8">
        <v>0</v>
      </c>
      <c r="AL91" s="8">
        <v>1</v>
      </c>
      <c r="AM91" s="142" t="s">
        <v>83</v>
      </c>
      <c r="AN91" s="8">
        <v>1</v>
      </c>
      <c r="AO91" s="8">
        <v>1</v>
      </c>
      <c r="AP91" s="8">
        <v>1</v>
      </c>
    </row>
    <row r="92" spans="1:42">
      <c r="A92" s="122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|Cff00BFFF完美的玄级道果【5】|r</v>
      </c>
      <c r="I92" s="8" t="str">
        <f>VLOOKUP(B92,物品!B:CV,99,FALSE)</f>
        <v>|CffCCCCCC道果属性：|r|n攻击+82500|n生命值+330000|n物理伤害+20%|n法术伤害+20%|n杀敌攻击+8|n杀敌业力+1|n杀敌生命+30|n|n|Cff00FF7F点击吸收道果，强行突破境界。|r</v>
      </c>
      <c r="J92" s="124" t="str">
        <f t="shared" si="22"/>
        <v>|Cff00BFFF完美的玄级道果【5】|r</v>
      </c>
      <c r="K92" s="124" t="str">
        <f t="shared" si="23"/>
        <v>|CffCCCCCC道果属性：|r|n攻击+82500|n生命值+330000|n物理伤害+20%|n法术伤害+20%|n杀敌攻击+8|n杀敌业力+1|n杀敌生命+30|n|n|Cff00FF7F点击吸收道果，强行突破境界。|r</v>
      </c>
      <c r="L92" s="8"/>
      <c r="M92" s="125" t="str">
        <f>VLOOKUP(LEFT(RIGHT(B92,5),4),物品!B:CU,20,FALSE)</f>
        <v>ReplaceableTextures\\CommandButtons\\BTNDG15.blp</v>
      </c>
      <c r="N92" s="142" t="s">
        <v>83</v>
      </c>
      <c r="O92" s="125" t="s">
        <v>88</v>
      </c>
      <c r="P92" s="8">
        <v>0</v>
      </c>
      <c r="Q92" s="8">
        <v>0</v>
      </c>
      <c r="R92" s="142" t="s">
        <v>83</v>
      </c>
      <c r="S92" s="142" t="s">
        <v>83</v>
      </c>
      <c r="T92" s="142" t="s">
        <v>83</v>
      </c>
      <c r="U92" s="142" t="s">
        <v>83</v>
      </c>
      <c r="V92" s="8"/>
      <c r="W92" s="8" t="s">
        <v>89</v>
      </c>
      <c r="X92" s="8">
        <v>0</v>
      </c>
      <c r="Y92" s="142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2" t="s">
        <v>83</v>
      </c>
      <c r="AF92" s="142" t="s">
        <v>83</v>
      </c>
      <c r="AG92" s="142" t="s">
        <v>83</v>
      </c>
      <c r="AH92" s="142" t="s">
        <v>83</v>
      </c>
      <c r="AI92" s="8"/>
      <c r="AJ92" s="8"/>
      <c r="AK92" s="8">
        <v>0</v>
      </c>
      <c r="AL92" s="8">
        <v>1</v>
      </c>
      <c r="AM92" s="142" t="s">
        <v>83</v>
      </c>
      <c r="AN92" s="8">
        <v>1</v>
      </c>
      <c r="AO92" s="8">
        <v>1</v>
      </c>
      <c r="AP92" s="8">
        <v>1</v>
      </c>
    </row>
    <row r="93" spans="1:42">
      <c r="A93" s="122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|Cff00BFFF完美的地级道果【6】|r</v>
      </c>
      <c r="I93" s="8" t="str">
        <f>VLOOKUP(B93,物品!B:CV,99,FALSE)</f>
        <v>|CffCCCCCC道果属性：|r|n攻击+120000|n生命值+480000|n物理伤害+20%|n法术伤害+20%|n杀敌攻击+8|n杀敌业力+1|n杀敌生命+30|n|n|Cff00FF7F点击吸收道果，强行突破境界。|r</v>
      </c>
      <c r="J93" s="124" t="str">
        <f t="shared" si="22"/>
        <v>|Cff00BFFF完美的地级道果【6】|r</v>
      </c>
      <c r="K93" s="124" t="str">
        <f t="shared" si="23"/>
        <v>|CffCCCCCC道果属性：|r|n攻击+120000|n生命值+480000|n物理伤害+20%|n法术伤害+20%|n杀敌攻击+8|n杀敌业力+1|n杀敌生命+30|n|n|Cff00FF7F点击吸收道果，强行突破境界。|r</v>
      </c>
      <c r="L93" s="8"/>
      <c r="M93" s="125" t="str">
        <f>VLOOKUP(LEFT(RIGHT(B93,5),4),物品!B:CU,20,FALSE)</f>
        <v>ReplaceableTextures\\CommandButtons\\BTNDG16.blp</v>
      </c>
      <c r="N93" s="142" t="s">
        <v>83</v>
      </c>
      <c r="O93" s="125" t="s">
        <v>88</v>
      </c>
      <c r="P93" s="8">
        <v>0</v>
      </c>
      <c r="Q93" s="8">
        <v>0</v>
      </c>
      <c r="R93" s="142" t="s">
        <v>83</v>
      </c>
      <c r="S93" s="142" t="s">
        <v>83</v>
      </c>
      <c r="T93" s="142" t="s">
        <v>83</v>
      </c>
      <c r="U93" s="142" t="s">
        <v>83</v>
      </c>
      <c r="V93" s="8"/>
      <c r="W93" s="8" t="s">
        <v>89</v>
      </c>
      <c r="X93" s="8">
        <v>0</v>
      </c>
      <c r="Y93" s="142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2" t="s">
        <v>83</v>
      </c>
      <c r="AF93" s="142" t="s">
        <v>83</v>
      </c>
      <c r="AG93" s="142" t="s">
        <v>83</v>
      </c>
      <c r="AH93" s="142" t="s">
        <v>83</v>
      </c>
      <c r="AI93" s="8"/>
      <c r="AJ93" s="8"/>
      <c r="AK93" s="8">
        <v>0</v>
      </c>
      <c r="AL93" s="8">
        <v>1</v>
      </c>
      <c r="AM93" s="142" t="s">
        <v>83</v>
      </c>
      <c r="AN93" s="8">
        <v>1</v>
      </c>
      <c r="AO93" s="8">
        <v>1</v>
      </c>
      <c r="AP93" s="8">
        <v>1</v>
      </c>
    </row>
    <row r="94" spans="1:42">
      <c r="A94" s="122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|CffFFC926完美的天级道果【7】|r</v>
      </c>
      <c r="I94" s="8" t="str">
        <f>VLOOKUP(B94,物品!B:CV,99,FALSE)</f>
        <v>|CffCCCCCC道果属性：|r|n攻击+180000|n生命值+720000|n物理伤害+25%|n法术伤害+25%|n杀敌攻击+8|n杀敌业力+1|n杀敌生命+30|n|n|Cff00FF7F点击吸收道果，强行突破境界。|r</v>
      </c>
      <c r="J94" s="124" t="str">
        <f t="shared" si="22"/>
        <v>|CffFFC926完美的天级道果【7】|r</v>
      </c>
      <c r="K94" s="124" t="str">
        <f t="shared" si="23"/>
        <v>|CffCCCCCC道果属性：|r|n攻击+180000|n生命值+720000|n物理伤害+25%|n法术伤害+25%|n杀敌攻击+8|n杀敌业力+1|n杀敌生命+30|n|n|Cff00FF7F点击吸收道果，强行突破境界。|r</v>
      </c>
      <c r="L94" s="8"/>
      <c r="M94" s="125" t="str">
        <f>VLOOKUP(LEFT(RIGHT(B94,5),4),物品!B:CU,20,FALSE)</f>
        <v>ReplaceableTextures\\CommandButtons\\BTNDG17.blp</v>
      </c>
      <c r="N94" s="142" t="s">
        <v>83</v>
      </c>
      <c r="O94" s="125" t="s">
        <v>88</v>
      </c>
      <c r="P94" s="8">
        <v>0</v>
      </c>
      <c r="Q94" s="8">
        <v>0</v>
      </c>
      <c r="R94" s="142" t="s">
        <v>83</v>
      </c>
      <c r="S94" s="142" t="s">
        <v>83</v>
      </c>
      <c r="T94" s="142" t="s">
        <v>83</v>
      </c>
      <c r="U94" s="142" t="s">
        <v>83</v>
      </c>
      <c r="V94" s="8"/>
      <c r="W94" s="8" t="s">
        <v>89</v>
      </c>
      <c r="X94" s="8">
        <v>0</v>
      </c>
      <c r="Y94" s="142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2" t="s">
        <v>83</v>
      </c>
      <c r="AF94" s="142" t="s">
        <v>83</v>
      </c>
      <c r="AG94" s="142" t="s">
        <v>83</v>
      </c>
      <c r="AH94" s="142" t="s">
        <v>83</v>
      </c>
      <c r="AI94" s="8"/>
      <c r="AJ94" s="8"/>
      <c r="AK94" s="8">
        <v>1</v>
      </c>
      <c r="AL94" s="8">
        <v>1</v>
      </c>
      <c r="AM94" s="142" t="s">
        <v>83</v>
      </c>
      <c r="AN94" s="8">
        <v>1</v>
      </c>
      <c r="AO94" s="8">
        <v>1</v>
      </c>
      <c r="AP94" s="8">
        <v>1</v>
      </c>
    </row>
    <row r="95" spans="1:42">
      <c r="A95" s="122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|CffFFC926完美的仙品道果【8】|r</v>
      </c>
      <c r="I95" s="8" t="str">
        <f>VLOOKUP(B95,物品!B:CV,99,FALSE)</f>
        <v>|CffCCCCCC道果属性：|r|n攻击+300000|n生命值+1200000|n物理伤害+25%|n法术伤害+25%|n杀敌攻击+8|n杀敌业力+1|n杀敌生命+30|n|n|Cff00FF7F点击吸收道果，强行突破境界。|r</v>
      </c>
      <c r="J95" s="124" t="str">
        <f t="shared" si="22"/>
        <v>|CffFFC926完美的仙品道果【8】|r</v>
      </c>
      <c r="K95" s="124" t="str">
        <f t="shared" si="23"/>
        <v>|CffCCCCCC道果属性：|r|n攻击+300000|n生命值+1200000|n物理伤害+25%|n法术伤害+25%|n杀敌攻击+8|n杀敌业力+1|n杀敌生命+30|n|n|Cff00FF7F点击吸收道果，强行突破境界。|r</v>
      </c>
      <c r="L95" s="8"/>
      <c r="M95" s="125" t="str">
        <f>VLOOKUP(LEFT(RIGHT(B95,5),4),物品!B:CU,20,FALSE)</f>
        <v>ReplaceableTextures\\CommandButtons\\BTNDG18.blp</v>
      </c>
      <c r="N95" s="142" t="s">
        <v>83</v>
      </c>
      <c r="O95" s="125" t="s">
        <v>88</v>
      </c>
      <c r="P95" s="8">
        <v>0</v>
      </c>
      <c r="Q95" s="8">
        <v>0</v>
      </c>
      <c r="R95" s="142" t="s">
        <v>83</v>
      </c>
      <c r="S95" s="142" t="s">
        <v>83</v>
      </c>
      <c r="T95" s="142" t="s">
        <v>83</v>
      </c>
      <c r="U95" s="142" t="s">
        <v>83</v>
      </c>
      <c r="V95" s="8"/>
      <c r="W95" s="8" t="s">
        <v>89</v>
      </c>
      <c r="X95" s="8">
        <v>0</v>
      </c>
      <c r="Y95" s="142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2" t="s">
        <v>83</v>
      </c>
      <c r="AF95" s="142" t="s">
        <v>83</v>
      </c>
      <c r="AG95" s="142" t="s">
        <v>83</v>
      </c>
      <c r="AH95" s="142" t="s">
        <v>83</v>
      </c>
      <c r="AI95" s="8"/>
      <c r="AJ95" s="8"/>
      <c r="AK95" s="8">
        <v>0</v>
      </c>
      <c r="AL95" s="8">
        <v>1</v>
      </c>
      <c r="AM95" s="142" t="s">
        <v>83</v>
      </c>
      <c r="AN95" s="8">
        <v>1</v>
      </c>
      <c r="AO95" s="8">
        <v>1</v>
      </c>
      <c r="AP95" s="8">
        <v>1</v>
      </c>
    </row>
    <row r="96" spans="1:42">
      <c r="A96" s="122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|CffFF0000完美的至圣道果【9】|r</v>
      </c>
      <c r="I96" s="8" t="str">
        <f>VLOOKUP(B96,物品!B:CV,99,FALSE)</f>
        <v>|CffCCCCCC道果属性：|r|n攻击+450000|n生命值+1800000|n物理伤害+25%|n法术伤害+25%|n杀敌攻击+8|n杀敌业力+1|n杀敌生命+30|n|n|Cff00FF7F点击吸收道果，强行突破境界。|r</v>
      </c>
      <c r="J96" s="124" t="str">
        <f t="shared" si="22"/>
        <v>|CffFF0000完美的至圣道果【9】|r</v>
      </c>
      <c r="K96" s="124" t="str">
        <f t="shared" si="23"/>
        <v>|CffCCCCCC道果属性：|r|n攻击+450000|n生命值+1800000|n物理伤害+25%|n法术伤害+25%|n杀敌攻击+8|n杀敌业力+1|n杀敌生命+30|n|n|Cff00FF7F点击吸收道果，强行突破境界。|r</v>
      </c>
      <c r="L96" s="8"/>
      <c r="M96" s="125" t="str">
        <f>VLOOKUP(LEFT(RIGHT(B96,5),4),物品!B:CU,20,FALSE)</f>
        <v>ReplaceableTextures\\CommandButtons\\BTNDG19.blp</v>
      </c>
      <c r="N96" s="142" t="s">
        <v>83</v>
      </c>
      <c r="O96" s="125" t="s">
        <v>88</v>
      </c>
      <c r="P96" s="8">
        <v>0</v>
      </c>
      <c r="Q96" s="8">
        <v>0</v>
      </c>
      <c r="R96" s="142" t="s">
        <v>83</v>
      </c>
      <c r="S96" s="142" t="s">
        <v>83</v>
      </c>
      <c r="T96" s="142" t="s">
        <v>83</v>
      </c>
      <c r="U96" s="142" t="s">
        <v>83</v>
      </c>
      <c r="V96" s="8"/>
      <c r="W96" s="8" t="s">
        <v>89</v>
      </c>
      <c r="X96" s="8">
        <v>0</v>
      </c>
      <c r="Y96" s="142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2" t="s">
        <v>83</v>
      </c>
      <c r="AF96" s="142" t="s">
        <v>83</v>
      </c>
      <c r="AG96" s="142" t="s">
        <v>83</v>
      </c>
      <c r="AH96" s="142" t="s">
        <v>83</v>
      </c>
      <c r="AI96" s="8"/>
      <c r="AJ96" s="8"/>
      <c r="AK96" s="8">
        <v>0</v>
      </c>
      <c r="AL96" s="8">
        <v>1</v>
      </c>
      <c r="AM96" s="142" t="s">
        <v>83</v>
      </c>
      <c r="AN96" s="8">
        <v>1</v>
      </c>
      <c r="AO96" s="8">
        <v>1</v>
      </c>
      <c r="AP96" s="8">
        <v>1</v>
      </c>
    </row>
    <row r="97" spans="1:42">
      <c r="A97" s="122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|CffFF0000完美的混沌道果【10】|r</v>
      </c>
      <c r="I97" s="8" t="str">
        <f>VLOOKUP(B97,物品!B:CV,99,FALSE)</f>
        <v>|CffCCCCCC道果属性：|r|n攻击+750000|n生命值+3000000|n物理伤害+30%|n法术伤害+30%|n杀敌攻击+8|n杀敌业力+1|n杀敌生命+30|n|n|Cff00FF7F点击吸收道果，强行突破境界。|r</v>
      </c>
      <c r="J97" s="124" t="str">
        <f t="shared" si="22"/>
        <v>|CffFF0000完美的混沌道果【10】|r</v>
      </c>
      <c r="K97" s="124" t="str">
        <f t="shared" si="23"/>
        <v>|CffCCCCCC道果属性：|r|n攻击+750000|n生命值+3000000|n物理伤害+30%|n法术伤害+30%|n杀敌攻击+8|n杀敌业力+1|n杀敌生命+30|n|n|Cff00FF7F点击吸收道果，强行突破境界。|r</v>
      </c>
      <c r="L97" s="8"/>
      <c r="M97" s="125" t="str">
        <f>VLOOKUP(LEFT(RIGHT(B97,5),4),物品!B:CU,20,FALSE)</f>
        <v>ReplaceableTextures\\CommandButtons\\BTNDG20.blp</v>
      </c>
      <c r="N97" s="142" t="s">
        <v>83</v>
      </c>
      <c r="O97" s="125" t="s">
        <v>88</v>
      </c>
      <c r="P97" s="8">
        <v>0</v>
      </c>
      <c r="Q97" s="8">
        <v>0</v>
      </c>
      <c r="R97" s="142" t="s">
        <v>83</v>
      </c>
      <c r="S97" s="142" t="s">
        <v>83</v>
      </c>
      <c r="T97" s="142" t="s">
        <v>83</v>
      </c>
      <c r="U97" s="142" t="s">
        <v>83</v>
      </c>
      <c r="V97" s="8"/>
      <c r="W97" s="8" t="s">
        <v>89</v>
      </c>
      <c r="X97" s="8">
        <v>0</v>
      </c>
      <c r="Y97" s="142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2" t="s">
        <v>83</v>
      </c>
      <c r="AF97" s="142" t="s">
        <v>83</v>
      </c>
      <c r="AG97" s="142" t="s">
        <v>83</v>
      </c>
      <c r="AH97" s="142" t="s">
        <v>83</v>
      </c>
      <c r="AI97" s="8"/>
      <c r="AJ97" s="8"/>
      <c r="AK97" s="8">
        <v>0</v>
      </c>
      <c r="AL97" s="8">
        <v>1</v>
      </c>
      <c r="AM97" s="142" t="s">
        <v>83</v>
      </c>
      <c r="AN97" s="8">
        <v>1</v>
      </c>
      <c r="AO97" s="8">
        <v>1</v>
      </c>
      <c r="AP97" s="8">
        <v>1</v>
      </c>
    </row>
    <row r="98" spans="1:42">
      <c r="A98" s="122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残缺的低级道果【1】</v>
      </c>
      <c r="I98" s="8" t="str">
        <f>VLOOKUP(B98,物品!B:CV,99,FALSE)</f>
        <v>|CffCCCCCC道果属性：|r|n攻击+7500|n生命值+30000|n物理伤害+15%|n法术伤害+15%|n杀敌攻击+8|n杀敌业力+1|n杀敌生命+30|n|n|Cff00FF7F点击吸收道果，境界突破一级。|n需境界经验达到圆满。|r</v>
      </c>
      <c r="J98" s="124" t="str">
        <f t="shared" si="20"/>
        <v>残缺的低级道果【1】</v>
      </c>
      <c r="K98" s="124" t="str">
        <f t="shared" si="21"/>
        <v>|CffCCCCCC道果属性：|r|n攻击+7500|n生命值+30000|n物理伤害+15%|n法术伤害+15%|n杀敌攻击+8|n杀敌业力+1|n杀敌生命+30|n|n|Cff00FF7F点击吸收道果，境界突破一级。|n需境界经验达到圆满。|r</v>
      </c>
      <c r="L98" s="8"/>
      <c r="M98" s="125" t="str">
        <f>VLOOKUP(LEFT(RIGHT(B98,5),4),物品!B:CU,20,FALSE)</f>
        <v>ReplaceableTextures\\CommandButtons\\BTNDG01.blp</v>
      </c>
      <c r="N98" s="142" t="s">
        <v>83</v>
      </c>
      <c r="O98" s="125" t="s">
        <v>88</v>
      </c>
      <c r="P98" s="8">
        <v>0</v>
      </c>
      <c r="Q98" s="8">
        <v>0</v>
      </c>
      <c r="R98" s="142" t="s">
        <v>83</v>
      </c>
      <c r="S98" s="142" t="s">
        <v>83</v>
      </c>
      <c r="T98" s="142" t="s">
        <v>83</v>
      </c>
      <c r="U98" s="142" t="s">
        <v>83</v>
      </c>
      <c r="V98" s="8"/>
      <c r="W98" s="8" t="s">
        <v>89</v>
      </c>
      <c r="X98" s="8">
        <v>0</v>
      </c>
      <c r="Y98" s="142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2" t="s">
        <v>83</v>
      </c>
      <c r="AF98" s="142" t="s">
        <v>83</v>
      </c>
      <c r="AG98" s="142" t="s">
        <v>83</v>
      </c>
      <c r="AH98" s="142" t="s">
        <v>83</v>
      </c>
      <c r="AI98" s="8"/>
      <c r="AJ98" s="8"/>
      <c r="AK98" s="8">
        <v>1</v>
      </c>
      <c r="AL98" s="8">
        <v>1</v>
      </c>
      <c r="AM98" s="142" t="s">
        <v>83</v>
      </c>
      <c r="AN98" s="8">
        <v>1</v>
      </c>
      <c r="AO98" s="8">
        <v>1</v>
      </c>
      <c r="AP98" s="8">
        <v>1</v>
      </c>
    </row>
    <row r="99" spans="1:42">
      <c r="A99" s="122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残缺的中级道果【2】</v>
      </c>
      <c r="I99" s="8" t="str">
        <f>VLOOKUP(B99,物品!B:CV,99,FALSE)</f>
        <v>|CffCCCCCC道果属性：|r|n攻击+18000|n生命值+72000|n物理伤害+15%|n法术伤害+15%|n杀敌攻击+8|n杀敌业力+1|n杀敌生命+30|n|n|Cff00FF7F点击吸收道果，境界突破一级。|n需境界经验达到圆满。|r</v>
      </c>
      <c r="J99" s="124" t="str">
        <f t="shared" si="20"/>
        <v>残缺的中级道果【2】</v>
      </c>
      <c r="K99" s="124" t="str">
        <f t="shared" si="21"/>
        <v>|CffCCCCCC道果属性：|r|n攻击+18000|n生命值+72000|n物理伤害+15%|n法术伤害+15%|n杀敌攻击+8|n杀敌业力+1|n杀敌生命+30|n|n|Cff00FF7F点击吸收道果，境界突破一级。|n需境界经验达到圆满。|r</v>
      </c>
      <c r="L99" s="8"/>
      <c r="M99" s="125" t="str">
        <f>VLOOKUP(LEFT(RIGHT(B99,5),4),物品!B:CU,20,FALSE)</f>
        <v>ReplaceableTextures\\CommandButtons\\BTNDG02.blp</v>
      </c>
      <c r="N99" s="142" t="s">
        <v>83</v>
      </c>
      <c r="O99" s="125" t="s">
        <v>88</v>
      </c>
      <c r="P99" s="8">
        <v>0</v>
      </c>
      <c r="Q99" s="8">
        <v>0</v>
      </c>
      <c r="R99" s="142" t="s">
        <v>83</v>
      </c>
      <c r="S99" s="142" t="s">
        <v>83</v>
      </c>
      <c r="T99" s="142" t="s">
        <v>83</v>
      </c>
      <c r="U99" s="142" t="s">
        <v>83</v>
      </c>
      <c r="V99" s="8"/>
      <c r="W99" s="8" t="s">
        <v>89</v>
      </c>
      <c r="X99" s="8">
        <v>0</v>
      </c>
      <c r="Y99" s="142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2" t="s">
        <v>83</v>
      </c>
      <c r="AF99" s="142" t="s">
        <v>83</v>
      </c>
      <c r="AG99" s="142" t="s">
        <v>83</v>
      </c>
      <c r="AH99" s="142" t="s">
        <v>83</v>
      </c>
      <c r="AI99" s="8"/>
      <c r="AJ99" s="8"/>
      <c r="AK99" s="8">
        <v>0</v>
      </c>
      <c r="AL99" s="8">
        <v>1</v>
      </c>
      <c r="AM99" s="142" t="s">
        <v>83</v>
      </c>
      <c r="AN99" s="8">
        <v>1</v>
      </c>
      <c r="AO99" s="8">
        <v>1</v>
      </c>
      <c r="AP99" s="8">
        <v>1</v>
      </c>
    </row>
    <row r="100" spans="1:42">
      <c r="A100" s="122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|Cff00FF7F残缺的高级道果【3】|r</v>
      </c>
      <c r="I100" s="8" t="str">
        <f>VLOOKUP(B100,物品!B:CV,99,FALSE)</f>
        <v>|CffCCCCCC道果属性：|r|n攻击+37500|n生命值+150000|n物理伤害+15%|n法术伤害+15%|n杀敌攻击+8|n杀敌业力+1|n杀敌生命+30|n|n|Cff00FF7F点击吸收道果，境界突破一级。|n需境界经验达到圆满。|r</v>
      </c>
      <c r="J100" s="124" t="str">
        <f t="shared" ref="J100:J103" si="24">H100</f>
        <v>|Cff00FF7F残缺的高级道果【3】|r</v>
      </c>
      <c r="K100" s="124" t="str">
        <f t="shared" ref="K100:K103" si="25">I100</f>
        <v>|CffCCCCCC道果属性：|r|n攻击+37500|n生命值+150000|n物理伤害+15%|n法术伤害+15%|n杀敌攻击+8|n杀敌业力+1|n杀敌生命+30|n|n|Cff00FF7F点击吸收道果，境界突破一级。|n需境界经验达到圆满。|r</v>
      </c>
      <c r="L100" s="8"/>
      <c r="M100" s="125" t="str">
        <f>VLOOKUP(LEFT(RIGHT(B100,5),4),物品!B:CU,20,FALSE)</f>
        <v>ReplaceableTextures\\CommandButtons\\BTNDG03.blp</v>
      </c>
      <c r="N100" s="142" t="s">
        <v>83</v>
      </c>
      <c r="O100" s="125" t="s">
        <v>88</v>
      </c>
      <c r="P100" s="8">
        <v>0</v>
      </c>
      <c r="Q100" s="8">
        <v>0</v>
      </c>
      <c r="R100" s="142" t="s">
        <v>83</v>
      </c>
      <c r="S100" s="142" t="s">
        <v>83</v>
      </c>
      <c r="T100" s="142" t="s">
        <v>83</v>
      </c>
      <c r="U100" s="142" t="s">
        <v>83</v>
      </c>
      <c r="V100" s="8"/>
      <c r="W100" s="8" t="s">
        <v>89</v>
      </c>
      <c r="X100" s="8">
        <v>0</v>
      </c>
      <c r="Y100" s="142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2" t="s">
        <v>83</v>
      </c>
      <c r="AF100" s="142" t="s">
        <v>83</v>
      </c>
      <c r="AG100" s="142" t="s">
        <v>83</v>
      </c>
      <c r="AH100" s="142" t="s">
        <v>83</v>
      </c>
      <c r="AI100" s="8"/>
      <c r="AJ100" s="8"/>
      <c r="AK100" s="8">
        <v>1</v>
      </c>
      <c r="AL100" s="8">
        <v>1</v>
      </c>
      <c r="AM100" s="142" t="s">
        <v>83</v>
      </c>
      <c r="AN100" s="8">
        <v>1</v>
      </c>
      <c r="AO100" s="8">
        <v>1</v>
      </c>
      <c r="AP100" s="8">
        <v>1</v>
      </c>
    </row>
    <row r="101" spans="1:42">
      <c r="A101" s="122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|Cff00FF7F残缺的黄级道果【4】|r</v>
      </c>
      <c r="I101" s="8" t="str">
        <f>VLOOKUP(B101,物品!B:CV,99,FALSE)</f>
        <v>|CffCCCCCC道果属性：|r|n攻击+60000|n生命值+240000|n物理伤害+20%|n法术伤害+20%|n杀敌攻击+8|n杀敌业力+1|n杀敌生命+30|n|n|Cff00FF7F点击吸收道果，境界突破一级。|n需境界经验达到圆满。|r</v>
      </c>
      <c r="J101" s="124" t="str">
        <f t="shared" si="24"/>
        <v>|Cff00FF7F残缺的黄级道果【4】|r</v>
      </c>
      <c r="K101" s="124" t="str">
        <f t="shared" si="25"/>
        <v>|CffCCCCCC道果属性：|r|n攻击+60000|n生命值+240000|n物理伤害+20%|n法术伤害+20%|n杀敌攻击+8|n杀敌业力+1|n杀敌生命+30|n|n|Cff00FF7F点击吸收道果，境界突破一级。|n需境界经验达到圆满。|r</v>
      </c>
      <c r="L101" s="8"/>
      <c r="M101" s="125" t="str">
        <f>VLOOKUP(LEFT(RIGHT(B101,5),4),物品!B:CU,20,FALSE)</f>
        <v>ReplaceableTextures\\CommandButtons\\BTNDG04.blp</v>
      </c>
      <c r="N101" s="142" t="s">
        <v>83</v>
      </c>
      <c r="O101" s="125" t="s">
        <v>88</v>
      </c>
      <c r="P101" s="8">
        <v>0</v>
      </c>
      <c r="Q101" s="8">
        <v>0</v>
      </c>
      <c r="R101" s="142" t="s">
        <v>83</v>
      </c>
      <c r="S101" s="142" t="s">
        <v>83</v>
      </c>
      <c r="T101" s="142" t="s">
        <v>83</v>
      </c>
      <c r="U101" s="142" t="s">
        <v>83</v>
      </c>
      <c r="V101" s="8"/>
      <c r="W101" s="8" t="s">
        <v>89</v>
      </c>
      <c r="X101" s="8">
        <v>0</v>
      </c>
      <c r="Y101" s="142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2" t="s">
        <v>83</v>
      </c>
      <c r="AF101" s="142" t="s">
        <v>83</v>
      </c>
      <c r="AG101" s="142" t="s">
        <v>83</v>
      </c>
      <c r="AH101" s="142" t="s">
        <v>83</v>
      </c>
      <c r="AI101" s="8"/>
      <c r="AJ101" s="8"/>
      <c r="AK101" s="8">
        <v>0</v>
      </c>
      <c r="AL101" s="8">
        <v>1</v>
      </c>
      <c r="AM101" s="142" t="s">
        <v>83</v>
      </c>
      <c r="AN101" s="8">
        <v>1</v>
      </c>
      <c r="AO101" s="8">
        <v>1</v>
      </c>
      <c r="AP101" s="8">
        <v>1</v>
      </c>
    </row>
    <row r="102" spans="1:42">
      <c r="A102" s="122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|Cff00BFFF残缺的玄级道果【5】|r</v>
      </c>
      <c r="I102" s="8" t="str">
        <f>VLOOKUP(B102,物品!B:CV,99,FALSE)</f>
        <v>|CffCCCCCC道果属性：|r|n攻击+82500|n生命值+330000|n物理伤害+20%|n法术伤害+20%|n杀敌攻击+8|n杀敌业力+1|n杀敌生命+30|n|n|Cff00FF7F点击吸收道果，境界突破一级。|n需境界经验达到圆满。|r</v>
      </c>
      <c r="J102" s="124" t="str">
        <f t="shared" si="24"/>
        <v>|Cff00BFFF残缺的玄级道果【5】|r</v>
      </c>
      <c r="K102" s="124" t="str">
        <f t="shared" si="25"/>
        <v>|CffCCCCCC道果属性：|r|n攻击+82500|n生命值+330000|n物理伤害+20%|n法术伤害+20%|n杀敌攻击+8|n杀敌业力+1|n杀敌生命+30|n|n|Cff00FF7F点击吸收道果，境界突破一级。|n需境界经验达到圆满。|r</v>
      </c>
      <c r="L102" s="8"/>
      <c r="M102" s="125" t="str">
        <f>VLOOKUP(LEFT(RIGHT(B102,5),4),物品!B:CU,20,FALSE)</f>
        <v>ReplaceableTextures\\CommandButtons\\BTNDG05.blp</v>
      </c>
      <c r="N102" s="142" t="s">
        <v>83</v>
      </c>
      <c r="O102" s="125" t="s">
        <v>88</v>
      </c>
      <c r="P102" s="8">
        <v>0</v>
      </c>
      <c r="Q102" s="8">
        <v>0</v>
      </c>
      <c r="R102" s="142" t="s">
        <v>83</v>
      </c>
      <c r="S102" s="142" t="s">
        <v>83</v>
      </c>
      <c r="T102" s="142" t="s">
        <v>83</v>
      </c>
      <c r="U102" s="142" t="s">
        <v>83</v>
      </c>
      <c r="V102" s="8"/>
      <c r="W102" s="8" t="s">
        <v>89</v>
      </c>
      <c r="X102" s="8">
        <v>0</v>
      </c>
      <c r="Y102" s="142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2" t="s">
        <v>83</v>
      </c>
      <c r="AF102" s="142" t="s">
        <v>83</v>
      </c>
      <c r="AG102" s="142" t="s">
        <v>83</v>
      </c>
      <c r="AH102" s="142" t="s">
        <v>83</v>
      </c>
      <c r="AI102" s="8"/>
      <c r="AJ102" s="8"/>
      <c r="AK102" s="8">
        <v>0</v>
      </c>
      <c r="AL102" s="8">
        <v>1</v>
      </c>
      <c r="AM102" s="142" t="s">
        <v>83</v>
      </c>
      <c r="AN102" s="8">
        <v>1</v>
      </c>
      <c r="AO102" s="8">
        <v>1</v>
      </c>
      <c r="AP102" s="8">
        <v>1</v>
      </c>
    </row>
    <row r="103" spans="1:42">
      <c r="A103" s="122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|Cff00BFFF残缺的地级道果【6】|r</v>
      </c>
      <c r="I103" s="8" t="str">
        <f>VLOOKUP(B103,物品!B:CV,99,FALSE)</f>
        <v>|CffCCCCCC道果属性：|r|n攻击+120000|n生命值+480000|n物理伤害+20%|n法术伤害+20%|n杀敌攻击+8|n杀敌业力+1|n杀敌生命+30|n|n|Cff00FF7F点击吸收道果，境界突破一级。|n需境界经验达到圆满。|r</v>
      </c>
      <c r="J103" s="124" t="str">
        <f t="shared" si="24"/>
        <v>|Cff00BFFF残缺的地级道果【6】|r</v>
      </c>
      <c r="K103" s="124" t="str">
        <f t="shared" si="25"/>
        <v>|CffCCCCCC道果属性：|r|n攻击+120000|n生命值+480000|n物理伤害+20%|n法术伤害+20%|n杀敌攻击+8|n杀敌业力+1|n杀敌生命+30|n|n|Cff00FF7F点击吸收道果，境界突破一级。|n需境界经验达到圆满。|r</v>
      </c>
      <c r="L103" s="8"/>
      <c r="M103" s="125" t="str">
        <f>VLOOKUP(LEFT(RIGHT(B103,5),4),物品!B:CU,20,FALSE)</f>
        <v>ReplaceableTextures\\CommandButtons\\BTNDG06.blp</v>
      </c>
      <c r="N103" s="142" t="s">
        <v>83</v>
      </c>
      <c r="O103" s="125" t="s">
        <v>88</v>
      </c>
      <c r="P103" s="8">
        <v>0</v>
      </c>
      <c r="Q103" s="8">
        <v>0</v>
      </c>
      <c r="R103" s="142" t="s">
        <v>83</v>
      </c>
      <c r="S103" s="142" t="s">
        <v>83</v>
      </c>
      <c r="T103" s="142" t="s">
        <v>83</v>
      </c>
      <c r="U103" s="142" t="s">
        <v>83</v>
      </c>
      <c r="V103" s="8"/>
      <c r="W103" s="8" t="s">
        <v>89</v>
      </c>
      <c r="X103" s="8">
        <v>0</v>
      </c>
      <c r="Y103" s="142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2" t="s">
        <v>83</v>
      </c>
      <c r="AF103" s="142" t="s">
        <v>83</v>
      </c>
      <c r="AG103" s="142" t="s">
        <v>83</v>
      </c>
      <c r="AH103" s="142" t="s">
        <v>83</v>
      </c>
      <c r="AI103" s="8"/>
      <c r="AJ103" s="8"/>
      <c r="AK103" s="8">
        <v>0</v>
      </c>
      <c r="AL103" s="8">
        <v>1</v>
      </c>
      <c r="AM103" s="142" t="s">
        <v>83</v>
      </c>
      <c r="AN103" s="8">
        <v>1</v>
      </c>
      <c r="AO103" s="8">
        <v>1</v>
      </c>
      <c r="AP103" s="8">
        <v>1</v>
      </c>
    </row>
    <row r="104" spans="1:42">
      <c r="A104" s="122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|CffFFC926残缺的天级道果【7】|r</v>
      </c>
      <c r="I104" s="8" t="str">
        <f>VLOOKUP(B104,物品!B:CV,99,FALSE)</f>
        <v>|CffCCCCCC道果属性：|r|n攻击+180000|n生命值+720000|n物理伤害+25%|n法术伤害+25%|n杀敌攻击+8|n杀敌业力+1|n杀敌生命+30|n|n|Cff00FF7F点击吸收道果，境界突破一级。|n需境界经验达到圆满。|r</v>
      </c>
      <c r="J104" s="124" t="str">
        <f t="shared" si="20"/>
        <v>|CffFFC926残缺的天级道果【7】|r</v>
      </c>
      <c r="K104" s="124" t="str">
        <f t="shared" si="21"/>
        <v>|CffCCCCCC道果属性：|r|n攻击+180000|n生命值+720000|n物理伤害+25%|n法术伤害+25%|n杀敌攻击+8|n杀敌业力+1|n杀敌生命+30|n|n|Cff00FF7F点击吸收道果，境界突破一级。|n需境界经验达到圆满。|r</v>
      </c>
      <c r="L104" s="8"/>
      <c r="M104" s="125" t="str">
        <f>VLOOKUP(LEFT(RIGHT(B104,5),4),物品!B:CU,20,FALSE)</f>
        <v>ReplaceableTextures\\CommandButtons\\BTNDG07.blp</v>
      </c>
      <c r="N104" s="142" t="s">
        <v>83</v>
      </c>
      <c r="O104" s="125" t="s">
        <v>88</v>
      </c>
      <c r="P104" s="8">
        <v>0</v>
      </c>
      <c r="Q104" s="8">
        <v>0</v>
      </c>
      <c r="R104" s="142" t="s">
        <v>83</v>
      </c>
      <c r="S104" s="142" t="s">
        <v>83</v>
      </c>
      <c r="T104" s="142" t="s">
        <v>83</v>
      </c>
      <c r="U104" s="142" t="s">
        <v>83</v>
      </c>
      <c r="V104" s="8"/>
      <c r="W104" s="8" t="s">
        <v>89</v>
      </c>
      <c r="X104" s="8">
        <v>0</v>
      </c>
      <c r="Y104" s="142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2" t="s">
        <v>83</v>
      </c>
      <c r="AF104" s="142" t="s">
        <v>83</v>
      </c>
      <c r="AG104" s="142" t="s">
        <v>83</v>
      </c>
      <c r="AH104" s="142" t="s">
        <v>83</v>
      </c>
      <c r="AI104" s="8"/>
      <c r="AJ104" s="8"/>
      <c r="AK104" s="8">
        <v>1</v>
      </c>
      <c r="AL104" s="8">
        <v>1</v>
      </c>
      <c r="AM104" s="142" t="s">
        <v>83</v>
      </c>
      <c r="AN104" s="8">
        <v>1</v>
      </c>
      <c r="AO104" s="8">
        <v>1</v>
      </c>
      <c r="AP104" s="8">
        <v>1</v>
      </c>
    </row>
    <row r="105" spans="1:42">
      <c r="A105" s="122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|CffFFC926残缺的仙品道果【8】|r</v>
      </c>
      <c r="I105" s="8" t="str">
        <f>VLOOKUP(B105,物品!B:CV,99,FALSE)</f>
        <v>|CffCCCCCC道果属性：|r|n攻击+300000|n生命值+1200000|n物理伤害+25%|n法术伤害+25%|n杀敌攻击+8|n杀敌业力+1|n杀敌生命+30|n|n|Cff00FF7F点击吸收道果，境界突破一级。|n需境界经验达到圆满。|r</v>
      </c>
      <c r="J105" s="124" t="str">
        <f t="shared" si="20"/>
        <v>|CffFFC926残缺的仙品道果【8】|r</v>
      </c>
      <c r="K105" s="124" t="str">
        <f t="shared" si="21"/>
        <v>|CffCCCCCC道果属性：|r|n攻击+300000|n生命值+1200000|n物理伤害+25%|n法术伤害+25%|n杀敌攻击+8|n杀敌业力+1|n杀敌生命+30|n|n|Cff00FF7F点击吸收道果，境界突破一级。|n需境界经验达到圆满。|r</v>
      </c>
      <c r="L105" s="8"/>
      <c r="M105" s="125" t="str">
        <f>VLOOKUP(LEFT(RIGHT(B105,5),4),物品!B:CU,20,FALSE)</f>
        <v>ReplaceableTextures\\CommandButtons\\BTNDG08.blp</v>
      </c>
      <c r="N105" s="142" t="s">
        <v>83</v>
      </c>
      <c r="O105" s="125" t="s">
        <v>88</v>
      </c>
      <c r="P105" s="8">
        <v>0</v>
      </c>
      <c r="Q105" s="8">
        <v>0</v>
      </c>
      <c r="R105" s="142" t="s">
        <v>83</v>
      </c>
      <c r="S105" s="142" t="s">
        <v>83</v>
      </c>
      <c r="T105" s="142" t="s">
        <v>83</v>
      </c>
      <c r="U105" s="142" t="s">
        <v>83</v>
      </c>
      <c r="V105" s="8"/>
      <c r="W105" s="8" t="s">
        <v>89</v>
      </c>
      <c r="X105" s="8">
        <v>0</v>
      </c>
      <c r="Y105" s="142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2" t="s">
        <v>83</v>
      </c>
      <c r="AF105" s="142" t="s">
        <v>83</v>
      </c>
      <c r="AG105" s="142" t="s">
        <v>83</v>
      </c>
      <c r="AH105" s="142" t="s">
        <v>83</v>
      </c>
      <c r="AI105" s="8"/>
      <c r="AJ105" s="8"/>
      <c r="AK105" s="8">
        <v>0</v>
      </c>
      <c r="AL105" s="8">
        <v>1</v>
      </c>
      <c r="AM105" s="142" t="s">
        <v>83</v>
      </c>
      <c r="AN105" s="8">
        <v>1</v>
      </c>
      <c r="AO105" s="8">
        <v>1</v>
      </c>
      <c r="AP105" s="8">
        <v>1</v>
      </c>
    </row>
    <row r="106" spans="1:42">
      <c r="A106" s="122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|CffFF0000残缺的至圣道果【9】|r</v>
      </c>
      <c r="I106" s="8" t="str">
        <f>VLOOKUP(B106,物品!B:CV,99,FALSE)</f>
        <v>|CffCCCCCC道果属性：|r|n攻击+450000|n生命值+1800000|n物理伤害+25%|n法术伤害+25%|n杀敌攻击+8|n杀敌业力+1|n杀敌生命+30|n|n|Cff00FF7F点击吸收道果，境界突破一级。|n需境界经验达到圆满。|r</v>
      </c>
      <c r="J106" s="124" t="str">
        <f t="shared" si="20"/>
        <v>|CffFF0000残缺的至圣道果【9】|r</v>
      </c>
      <c r="K106" s="124" t="str">
        <f t="shared" si="21"/>
        <v>|CffCCCCCC道果属性：|r|n攻击+450000|n生命值+1800000|n物理伤害+25%|n法术伤害+25%|n杀敌攻击+8|n杀敌业力+1|n杀敌生命+30|n|n|Cff00FF7F点击吸收道果，境界突破一级。|n需境界经验达到圆满。|r</v>
      </c>
      <c r="L106" s="8"/>
      <c r="M106" s="125" t="str">
        <f>VLOOKUP(LEFT(RIGHT(B106,5),4),物品!B:CU,20,FALSE)</f>
        <v>ReplaceableTextures\\CommandButtons\\BTNDG09.blp</v>
      </c>
      <c r="N106" s="142" t="s">
        <v>83</v>
      </c>
      <c r="O106" s="125" t="s">
        <v>88</v>
      </c>
      <c r="P106" s="8">
        <v>0</v>
      </c>
      <c r="Q106" s="8">
        <v>0</v>
      </c>
      <c r="R106" s="142" t="s">
        <v>83</v>
      </c>
      <c r="S106" s="142" t="s">
        <v>83</v>
      </c>
      <c r="T106" s="142" t="s">
        <v>83</v>
      </c>
      <c r="U106" s="142" t="s">
        <v>83</v>
      </c>
      <c r="V106" s="8"/>
      <c r="W106" s="8" t="s">
        <v>89</v>
      </c>
      <c r="X106" s="8">
        <v>0</v>
      </c>
      <c r="Y106" s="142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2" t="s">
        <v>83</v>
      </c>
      <c r="AF106" s="142" t="s">
        <v>83</v>
      </c>
      <c r="AG106" s="142" t="s">
        <v>83</v>
      </c>
      <c r="AH106" s="142" t="s">
        <v>83</v>
      </c>
      <c r="AI106" s="8"/>
      <c r="AJ106" s="8"/>
      <c r="AK106" s="8">
        <v>0</v>
      </c>
      <c r="AL106" s="8">
        <v>1</v>
      </c>
      <c r="AM106" s="142" t="s">
        <v>83</v>
      </c>
      <c r="AN106" s="8">
        <v>1</v>
      </c>
      <c r="AO106" s="8">
        <v>1</v>
      </c>
      <c r="AP106" s="8">
        <v>1</v>
      </c>
    </row>
    <row r="107" spans="1:42">
      <c r="A107" s="122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|CffFF0000残缺的混沌道果【10】|r</v>
      </c>
      <c r="I107" s="8" t="str">
        <f>VLOOKUP(B107,物品!B:CV,99,FALSE)</f>
        <v>|CffCCCCCC道果属性：|r|n攻击+750000|n生命值+3000000|n物理伤害+30%|n法术伤害+30%|n杀敌攻击+8|n杀敌业力+1|n杀敌生命+30|n|n|Cff00FF7F点击吸收道果，境界突破一级。|n需境界经验达到圆满。|r</v>
      </c>
      <c r="J107" s="124" t="str">
        <f t="shared" si="20"/>
        <v>|CffFF0000残缺的混沌道果【10】|r</v>
      </c>
      <c r="K107" s="124" t="str">
        <f t="shared" si="21"/>
        <v>|CffCCCCCC道果属性：|r|n攻击+750000|n生命值+3000000|n物理伤害+30%|n法术伤害+30%|n杀敌攻击+8|n杀敌业力+1|n杀敌生命+30|n|n|Cff00FF7F点击吸收道果，境界突破一级。|n需境界经验达到圆满。|r</v>
      </c>
      <c r="L107" s="8"/>
      <c r="M107" s="125" t="str">
        <f>VLOOKUP(LEFT(RIGHT(B107,5),4),物品!B:CU,20,FALSE)</f>
        <v>ReplaceableTextures\\CommandButtons\\BTNDG10.blp</v>
      </c>
      <c r="N107" s="142" t="s">
        <v>83</v>
      </c>
      <c r="O107" s="125" t="s">
        <v>88</v>
      </c>
      <c r="P107" s="8">
        <v>0</v>
      </c>
      <c r="Q107" s="8">
        <v>0</v>
      </c>
      <c r="R107" s="142" t="s">
        <v>83</v>
      </c>
      <c r="S107" s="142" t="s">
        <v>83</v>
      </c>
      <c r="T107" s="142" t="s">
        <v>83</v>
      </c>
      <c r="U107" s="142" t="s">
        <v>83</v>
      </c>
      <c r="V107" s="8"/>
      <c r="W107" s="8" t="s">
        <v>89</v>
      </c>
      <c r="X107" s="8">
        <v>0</v>
      </c>
      <c r="Y107" s="142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2" t="s">
        <v>83</v>
      </c>
      <c r="AF107" s="142" t="s">
        <v>83</v>
      </c>
      <c r="AG107" s="142" t="s">
        <v>83</v>
      </c>
      <c r="AH107" s="142" t="s">
        <v>83</v>
      </c>
      <c r="AI107" s="8"/>
      <c r="AJ107" s="8"/>
      <c r="AK107" s="8">
        <v>0</v>
      </c>
      <c r="AL107" s="8">
        <v>1</v>
      </c>
      <c r="AM107" s="142" t="s">
        <v>83</v>
      </c>
      <c r="AN107" s="8">
        <v>1</v>
      </c>
      <c r="AO107" s="8">
        <v>1</v>
      </c>
      <c r="AP107" s="8">
        <v>1</v>
      </c>
    </row>
    <row r="108" spans="1:42">
      <c r="A108" s="122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Q技能随机卷</v>
      </c>
      <c r="I108" s="8" t="str">
        <f>VLOOKUP(B108,物品!B:CV,99,FALSE)</f>
        <v>随机获得|Cffffd24d1|r个|Cffffd24dQ技能|r</v>
      </c>
      <c r="J108" s="124" t="str">
        <f t="shared" si="20"/>
        <v>Q技能随机卷</v>
      </c>
      <c r="K108" s="124" t="str">
        <f t="shared" si="21"/>
        <v>随机获得|Cffffd24d1|r个|Cffffd24dQ技能|r</v>
      </c>
      <c r="L108" s="8"/>
      <c r="M108" s="125" t="str">
        <f>VLOOKUP(LEFT(RIGHT(B108,5),4),物品!B:CU,20,FALSE)</f>
        <v>ReplaceableTextures\\CommandButtons\\BTN001.blp</v>
      </c>
      <c r="N108" s="142" t="s">
        <v>83</v>
      </c>
      <c r="O108" s="125" t="s">
        <v>88</v>
      </c>
      <c r="P108" s="8">
        <v>0</v>
      </c>
      <c r="Q108" s="8">
        <v>0</v>
      </c>
      <c r="R108" s="142" t="s">
        <v>83</v>
      </c>
      <c r="S108" s="142" t="s">
        <v>83</v>
      </c>
      <c r="T108" s="142" t="s">
        <v>83</v>
      </c>
      <c r="U108" s="142" t="s">
        <v>83</v>
      </c>
      <c r="V108" s="8"/>
      <c r="W108" s="8" t="s">
        <v>89</v>
      </c>
      <c r="X108" s="8">
        <v>0</v>
      </c>
      <c r="Y108" s="142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2" t="s">
        <v>83</v>
      </c>
      <c r="AF108" s="142" t="s">
        <v>83</v>
      </c>
      <c r="AG108" s="142" t="s">
        <v>83</v>
      </c>
      <c r="AH108" s="142" t="s">
        <v>83</v>
      </c>
      <c r="AI108" s="8"/>
      <c r="AJ108" s="8"/>
      <c r="AK108" s="8">
        <v>1</v>
      </c>
      <c r="AL108" s="8">
        <v>1</v>
      </c>
      <c r="AM108" s="142" t="s">
        <v>83</v>
      </c>
      <c r="AN108" s="8">
        <v>1</v>
      </c>
      <c r="AO108" s="8">
        <v>1</v>
      </c>
      <c r="AP108" s="8">
        <v>1</v>
      </c>
    </row>
    <row r="109" spans="1:42">
      <c r="A109" s="122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指定技能|Cffffd24d品质提升一级|r|Cfff0f0f0。|n|n|r|Cff00ff7f最多可提升至A级。|r</v>
      </c>
      <c r="J109" s="124" t="str">
        <f t="shared" ref="J109:J110" si="26">H109</f>
        <v>|Cff00BFFF技能进阶石【完美】|r</v>
      </c>
      <c r="K109" s="124" t="str">
        <f t="shared" ref="K109:K110" si="27">I109</f>
        <v>指定技能|Cffffd24d品质提升一级|r|Cfff0f0f0。|n|n|r|Cff00ff7f最多可提升至A级。|r</v>
      </c>
      <c r="L109" s="8"/>
      <c r="M109" s="125" t="str">
        <f>VLOOKUP(LEFT(RIGHT(B109,5),4),物品!B:CU,20,FALSE)</f>
        <v>ReplaceableTextures\\CommandButtons\\BTNIN05.blp</v>
      </c>
      <c r="N109" s="142" t="s">
        <v>83</v>
      </c>
      <c r="O109" s="125" t="s">
        <v>88</v>
      </c>
      <c r="P109" s="8">
        <v>0</v>
      </c>
      <c r="Q109" s="8">
        <v>0</v>
      </c>
      <c r="R109" s="142" t="s">
        <v>83</v>
      </c>
      <c r="S109" s="142" t="s">
        <v>83</v>
      </c>
      <c r="T109" s="142" t="s">
        <v>83</v>
      </c>
      <c r="U109" s="142" t="s">
        <v>83</v>
      </c>
      <c r="V109" s="8"/>
      <c r="W109" s="8" t="s">
        <v>89</v>
      </c>
      <c r="X109" s="8">
        <v>0</v>
      </c>
      <c r="Y109" s="142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42" t="s">
        <v>83</v>
      </c>
      <c r="AF109" s="142" t="s">
        <v>83</v>
      </c>
      <c r="AG109" s="142" t="s">
        <v>83</v>
      </c>
      <c r="AH109" s="142" t="s">
        <v>83</v>
      </c>
      <c r="AI109" s="8"/>
      <c r="AJ109" s="8"/>
      <c r="AK109" s="8">
        <v>1</v>
      </c>
      <c r="AL109" s="8">
        <v>1</v>
      </c>
      <c r="AM109" s="142" t="s">
        <v>83</v>
      </c>
      <c r="AN109" s="8">
        <v>1</v>
      </c>
      <c r="AO109" s="8">
        <v>1</v>
      </c>
      <c r="AP109" s="8">
        <v>1</v>
      </c>
    </row>
    <row r="110" spans="1:42">
      <c r="A110" s="122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使|Cffffd24dA级技能|r|Cfff0f0f0品质提升|r|Cffff0000S级|r|Cfff0f0f0。|r</v>
      </c>
      <c r="J110" s="124" t="str">
        <f t="shared" si="26"/>
        <v>|CffFF0000技能进化石【完美】|r</v>
      </c>
      <c r="K110" s="124" t="str">
        <f t="shared" si="27"/>
        <v>使|Cffffd24dA级技能|r|Cfff0f0f0品质提升|r|Cffff0000S级|r|Cfff0f0f0。|r</v>
      </c>
      <c r="L110" s="8"/>
      <c r="M110" s="125" t="str">
        <f>VLOOKUP(LEFT(RIGHT(B110,5),4),物品!B:CU,20,FALSE)</f>
        <v>ReplaceableTextures\\CommandButtons\\BTNIN04.blp</v>
      </c>
      <c r="N110" s="142" t="s">
        <v>83</v>
      </c>
      <c r="O110" s="125" t="s">
        <v>88</v>
      </c>
      <c r="P110" s="8">
        <v>0</v>
      </c>
      <c r="Q110" s="8">
        <v>0</v>
      </c>
      <c r="R110" s="142" t="s">
        <v>83</v>
      </c>
      <c r="S110" s="142" t="s">
        <v>83</v>
      </c>
      <c r="T110" s="142" t="s">
        <v>83</v>
      </c>
      <c r="U110" s="142" t="s">
        <v>83</v>
      </c>
      <c r="V110" s="8"/>
      <c r="W110" s="8" t="s">
        <v>89</v>
      </c>
      <c r="X110" s="8">
        <v>0</v>
      </c>
      <c r="Y110" s="142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42" t="s">
        <v>83</v>
      </c>
      <c r="AF110" s="142" t="s">
        <v>83</v>
      </c>
      <c r="AG110" s="142" t="s">
        <v>83</v>
      </c>
      <c r="AH110" s="142" t="s">
        <v>83</v>
      </c>
      <c r="AI110" s="8"/>
      <c r="AJ110" s="8"/>
      <c r="AK110" s="8">
        <v>0</v>
      </c>
      <c r="AL110" s="8">
        <v>1</v>
      </c>
      <c r="AM110" s="142" t="s">
        <v>83</v>
      </c>
      <c r="AN110" s="8">
        <v>1</v>
      </c>
      <c r="AO110" s="8">
        <v>1</v>
      </c>
      <c r="AP110" s="8">
        <v>1</v>
      </c>
    </row>
    <row r="111" spans="1:42">
      <c r="A111" s="122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|CffFFD24D50%|r几率使指定技能|Cffffd24d品质提升一级|r|Cfff0f0f0。|n|n|r|Cff00ff7f最多可提升至A级。|r</v>
      </c>
      <c r="J111" s="124" t="str">
        <f t="shared" ref="J111" si="28">H111</f>
        <v>|Cff00FF7F技能进阶石【残缺】|r</v>
      </c>
      <c r="K111" s="124" t="str">
        <f t="shared" ref="K111" si="29">I111</f>
        <v>|CffFFD24D50%|r几率使指定技能|Cffffd24d品质提升一级|r|Cfff0f0f0。|n|n|r|Cff00ff7f最多可提升至A级。|r</v>
      </c>
      <c r="L111" s="8"/>
      <c r="M111" s="125" t="str">
        <f>VLOOKUP(LEFT(RIGHT(B111,5),4),物品!B:CU,20,FALSE)</f>
        <v>ReplaceableTextures\\CommandButtons\\BTNIN03.blp</v>
      </c>
      <c r="N111" s="142" t="s">
        <v>83</v>
      </c>
      <c r="O111" s="125" t="s">
        <v>88</v>
      </c>
      <c r="P111" s="8">
        <v>0</v>
      </c>
      <c r="Q111" s="8">
        <v>0</v>
      </c>
      <c r="R111" s="142" t="s">
        <v>83</v>
      </c>
      <c r="S111" s="142" t="s">
        <v>83</v>
      </c>
      <c r="T111" s="142" t="s">
        <v>83</v>
      </c>
      <c r="U111" s="142" t="s">
        <v>83</v>
      </c>
      <c r="V111" s="8"/>
      <c r="W111" s="8" t="s">
        <v>89</v>
      </c>
      <c r="X111" s="8">
        <v>0</v>
      </c>
      <c r="Y111" s="142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42" t="s">
        <v>83</v>
      </c>
      <c r="AF111" s="142" t="s">
        <v>83</v>
      </c>
      <c r="AG111" s="142" t="s">
        <v>83</v>
      </c>
      <c r="AH111" s="142" t="s">
        <v>83</v>
      </c>
      <c r="AI111" s="8"/>
      <c r="AJ111" s="8"/>
      <c r="AK111" s="8">
        <v>0</v>
      </c>
      <c r="AL111" s="8">
        <v>1</v>
      </c>
      <c r="AM111" s="142" t="s">
        <v>83</v>
      </c>
      <c r="AN111" s="8">
        <v>1</v>
      </c>
      <c r="AO111" s="8">
        <v>1</v>
      </c>
      <c r="AP111" s="8">
        <v>1</v>
      </c>
    </row>
    <row r="112" spans="1:42">
      <c r="A112" s="122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|CffFFD24D50%|r几率使指定|Cffffd24dA级技能|r|Cfff0f0f0品质提升|r|Cffff0000S级|r|Cfff0f0f0。|r</v>
      </c>
      <c r="J112" s="124" t="str">
        <f t="shared" ref="J112" si="30">H112</f>
        <v>|CffFFD24D技能进化石【残缺】|r</v>
      </c>
      <c r="K112" s="124" t="str">
        <f t="shared" ref="K112" si="31">I112</f>
        <v>|CffFFD24D50%|r几率使指定|Cffffd24dA级技能|r|Cfff0f0f0品质提升|r|Cffff0000S级|r|Cfff0f0f0。|r</v>
      </c>
      <c r="L112" s="8"/>
      <c r="M112" s="125" t="str">
        <f>VLOOKUP(LEFT(RIGHT(B112,5),4),物品!B:CU,20,FALSE)</f>
        <v>ReplaceableTextures\\CommandButtons\\BTNIN04.blp</v>
      </c>
      <c r="N112" s="142" t="s">
        <v>83</v>
      </c>
      <c r="O112" s="125" t="s">
        <v>88</v>
      </c>
      <c r="P112" s="8">
        <v>0</v>
      </c>
      <c r="Q112" s="8">
        <v>0</v>
      </c>
      <c r="R112" s="142" t="s">
        <v>83</v>
      </c>
      <c r="S112" s="142" t="s">
        <v>83</v>
      </c>
      <c r="T112" s="142" t="s">
        <v>83</v>
      </c>
      <c r="U112" s="142" t="s">
        <v>83</v>
      </c>
      <c r="V112" s="8"/>
      <c r="W112" s="8" t="s">
        <v>89</v>
      </c>
      <c r="X112" s="8">
        <v>0</v>
      </c>
      <c r="Y112" s="142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42" t="s">
        <v>83</v>
      </c>
      <c r="AF112" s="142" t="s">
        <v>83</v>
      </c>
      <c r="AG112" s="142" t="s">
        <v>83</v>
      </c>
      <c r="AH112" s="142" t="s">
        <v>83</v>
      </c>
      <c r="AI112" s="8"/>
      <c r="AJ112" s="8"/>
      <c r="AK112" s="8">
        <v>0</v>
      </c>
      <c r="AL112" s="8">
        <v>1</v>
      </c>
      <c r="AM112" s="142" t="s">
        <v>83</v>
      </c>
      <c r="AN112" s="8">
        <v>1</v>
      </c>
      <c r="AO112" s="8">
        <v>1</v>
      </c>
      <c r="AP112" s="8">
        <v>1</v>
      </c>
    </row>
    <row r="113" spans="1:42" ht="15" customHeight="1">
      <c r="A113" s="122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24" t="str">
        <f t="shared" ref="J113" si="32">H113</f>
        <v>随机法宝</v>
      </c>
      <c r="K113" s="124" t="str">
        <f t="shared" ref="K113" si="33">I113</f>
        <v>获得一个随机品质的法宝。|n|n|Cff00ff7f副本难度影响法宝品质稀有度。|r</v>
      </c>
      <c r="L113" s="8"/>
      <c r="M113" s="125" t="str">
        <f>VLOOKUP(LEFT(RIGHT(B113,5),4),物品!B:CU,20,FALSE)</f>
        <v>ReplaceableTextures\\CommandButtons\\BTNCF01.blp</v>
      </c>
      <c r="N113" s="142" t="s">
        <v>83</v>
      </c>
      <c r="O113" s="125" t="s">
        <v>90</v>
      </c>
      <c r="P113" s="8">
        <v>0</v>
      </c>
      <c r="Q113" s="8">
        <v>0</v>
      </c>
      <c r="R113" s="142" t="s">
        <v>83</v>
      </c>
      <c r="S113" s="142" t="s">
        <v>83</v>
      </c>
      <c r="T113" s="142" t="s">
        <v>83</v>
      </c>
      <c r="U113" s="142" t="s">
        <v>83</v>
      </c>
      <c r="V113" s="8"/>
      <c r="W113" s="8" t="s">
        <v>87</v>
      </c>
      <c r="X113" s="8">
        <v>0</v>
      </c>
      <c r="Y113" s="142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2" t="s">
        <v>83</v>
      </c>
      <c r="AF113" s="142" t="s">
        <v>83</v>
      </c>
      <c r="AG113" s="142" t="s">
        <v>83</v>
      </c>
      <c r="AH113" s="142" t="s">
        <v>83</v>
      </c>
      <c r="AI113" s="8">
        <v>1</v>
      </c>
      <c r="AJ113" s="8"/>
      <c r="AK113" s="8">
        <v>1</v>
      </c>
      <c r="AL113" s="8">
        <v>1</v>
      </c>
      <c r="AM113" s="142" t="s">
        <v>83</v>
      </c>
      <c r="AN113" s="8">
        <v>1</v>
      </c>
      <c r="AO113" s="8">
        <v>1</v>
      </c>
      <c r="AP113" s="8">
        <v>1</v>
      </c>
    </row>
    <row r="114" spans="1:42">
      <c r="A114" s="122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24" t="str">
        <f t="shared" ref="J114:J117" si="34">H114</f>
        <v>蛋黄月饼</v>
      </c>
      <c r="K114" s="124" t="str">
        <f t="shared" ref="K114:K117" si="35">I114</f>
        <v>回复|Cffffd24d80%|r生命，|Cff00ff7f解除|r异常状态</v>
      </c>
      <c r="L114" s="8"/>
      <c r="M114" s="125" t="str">
        <f>VLOOKUP(LEFT(RIGHT(B114,5),4),物品!B:CU,20,FALSE)</f>
        <v>ReplaceableTextures\\CommandButtons\\BTNI001.blp</v>
      </c>
      <c r="N114" s="142" t="s">
        <v>83</v>
      </c>
      <c r="O114" s="125" t="s">
        <v>88</v>
      </c>
      <c r="P114" s="8">
        <v>0</v>
      </c>
      <c r="Q114" s="8">
        <v>0</v>
      </c>
      <c r="R114" s="142" t="s">
        <v>83</v>
      </c>
      <c r="S114" s="142" t="s">
        <v>83</v>
      </c>
      <c r="T114" s="142" t="s">
        <v>83</v>
      </c>
      <c r="U114" s="142" t="s">
        <v>83</v>
      </c>
      <c r="V114" s="8"/>
      <c r="W114" s="8" t="s">
        <v>89</v>
      </c>
      <c r="X114" s="8">
        <v>0</v>
      </c>
      <c r="Y114" s="142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2" t="s">
        <v>83</v>
      </c>
      <c r="AF114" s="142" t="s">
        <v>83</v>
      </c>
      <c r="AG114" s="142" t="s">
        <v>83</v>
      </c>
      <c r="AH114" s="142" t="s">
        <v>83</v>
      </c>
      <c r="AI114" s="8"/>
      <c r="AJ114" s="8"/>
      <c r="AK114" s="8">
        <v>1</v>
      </c>
      <c r="AL114" s="8">
        <v>1</v>
      </c>
      <c r="AM114" s="142" t="s">
        <v>83</v>
      </c>
      <c r="AN114" s="8">
        <v>1</v>
      </c>
      <c r="AO114" s="8">
        <v>1</v>
      </c>
      <c r="AP114" s="8">
        <v>1</v>
      </c>
    </row>
    <row r="115" spans="1:42">
      <c r="A115" s="122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暴击|Cffff0000+10%|n|n|r|Cff00ff7f效果持续15秒。|r</v>
      </c>
      <c r="J115" s="124" t="str">
        <f t="shared" si="34"/>
        <v>豆沙月饼</v>
      </c>
      <c r="K115" s="124" t="str">
        <f t="shared" si="35"/>
        <v>暴击|Cffff0000+10%|n|n|r|Cff00ff7f效果持续15秒。|r</v>
      </c>
      <c r="L115" s="8"/>
      <c r="M115" s="125" t="str">
        <f>VLOOKUP(LEFT(RIGHT(B115,5),4),物品!B:CU,20,FALSE)</f>
        <v>ReplaceableTextures\\CommandButtons\\BTNI002.blp</v>
      </c>
      <c r="N115" s="142" t="s">
        <v>83</v>
      </c>
      <c r="O115" s="125" t="s">
        <v>88</v>
      </c>
      <c r="P115" s="8">
        <v>0</v>
      </c>
      <c r="Q115" s="8">
        <v>0</v>
      </c>
      <c r="R115" s="142" t="s">
        <v>83</v>
      </c>
      <c r="S115" s="142" t="s">
        <v>83</v>
      </c>
      <c r="T115" s="142" t="s">
        <v>83</v>
      </c>
      <c r="U115" s="142" t="s">
        <v>83</v>
      </c>
      <c r="V115" s="8"/>
      <c r="W115" s="8" t="s">
        <v>89</v>
      </c>
      <c r="X115" s="8">
        <v>0</v>
      </c>
      <c r="Y115" s="142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2" t="s">
        <v>83</v>
      </c>
      <c r="AF115" s="142" t="s">
        <v>83</v>
      </c>
      <c r="AG115" s="142" t="s">
        <v>83</v>
      </c>
      <c r="AH115" s="142" t="s">
        <v>83</v>
      </c>
      <c r="AI115" s="8"/>
      <c r="AJ115" s="8"/>
      <c r="AK115" s="8">
        <v>1</v>
      </c>
      <c r="AL115" s="8">
        <v>1</v>
      </c>
      <c r="AM115" s="142" t="s">
        <v>83</v>
      </c>
      <c r="AN115" s="8">
        <v>1</v>
      </c>
      <c r="AO115" s="8">
        <v>1</v>
      </c>
      <c r="AP115" s="8">
        <v>1</v>
      </c>
    </row>
    <row r="116" spans="1:42">
      <c r="A116" s="122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攻击速度|Cffffd24d+40%|r。|n|n|Cff00ff7f持续15秒。|r</v>
      </c>
      <c r="J116" s="124" t="str">
        <f t="shared" si="34"/>
        <v>冰皮月饼</v>
      </c>
      <c r="K116" s="124" t="str">
        <f t="shared" si="35"/>
        <v>攻击速度|Cffffd24d+40%|r。|n|n|Cff00ff7f持续15秒。|r</v>
      </c>
      <c r="L116" s="8"/>
      <c r="M116" s="125" t="str">
        <f>VLOOKUP(LEFT(RIGHT(B116,5),4),物品!B:CU,20,FALSE)</f>
        <v>ReplaceableTextures\\CommandButtons\\BTNI003.blp</v>
      </c>
      <c r="N116" s="142" t="s">
        <v>83</v>
      </c>
      <c r="O116" s="125" t="s">
        <v>88</v>
      </c>
      <c r="P116" s="8">
        <v>0</v>
      </c>
      <c r="Q116" s="8">
        <v>0</v>
      </c>
      <c r="R116" s="142" t="s">
        <v>83</v>
      </c>
      <c r="S116" s="142" t="s">
        <v>83</v>
      </c>
      <c r="T116" s="142" t="s">
        <v>83</v>
      </c>
      <c r="U116" s="142" t="s">
        <v>83</v>
      </c>
      <c r="V116" s="8"/>
      <c r="W116" s="8" t="s">
        <v>89</v>
      </c>
      <c r="X116" s="8">
        <v>0</v>
      </c>
      <c r="Y116" s="142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2" t="s">
        <v>83</v>
      </c>
      <c r="AF116" s="142" t="s">
        <v>83</v>
      </c>
      <c r="AG116" s="142" t="s">
        <v>83</v>
      </c>
      <c r="AH116" s="142" t="s">
        <v>83</v>
      </c>
      <c r="AI116" s="8"/>
      <c r="AJ116" s="8"/>
      <c r="AK116" s="8">
        <v>1</v>
      </c>
      <c r="AL116" s="8">
        <v>1</v>
      </c>
      <c r="AM116" s="142" t="s">
        <v>83</v>
      </c>
      <c r="AN116" s="8">
        <v>1</v>
      </c>
      <c r="AO116" s="8">
        <v>1</v>
      </c>
      <c r="AP116" s="8">
        <v>1</v>
      </c>
    </row>
    <row r="117" spans="1:42">
      <c r="A117" s="122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法术伤害提高|Cffffd24d20%|r|Cfff0f0f0。|n|n|r|Cff00ff7f持续15秒。|r</v>
      </c>
      <c r="J117" s="124" t="str">
        <f t="shared" si="34"/>
        <v>果蔬月饼</v>
      </c>
      <c r="K117" s="124" t="str">
        <f t="shared" si="35"/>
        <v>法术伤害提高|Cffffd24d20%|r|Cfff0f0f0。|n|n|r|Cff00ff7f持续15秒。|r</v>
      </c>
      <c r="L117" s="8"/>
      <c r="M117" s="125" t="str">
        <f>VLOOKUP(LEFT(RIGHT(B117,5),4),物品!B:CU,20,FALSE)</f>
        <v>ReplaceableTextures\\CommandButtons\\BTNI004.blp</v>
      </c>
      <c r="N117" s="142" t="s">
        <v>83</v>
      </c>
      <c r="O117" s="125" t="s">
        <v>88</v>
      </c>
      <c r="P117" s="8">
        <v>0</v>
      </c>
      <c r="Q117" s="8">
        <v>0</v>
      </c>
      <c r="R117" s="142" t="s">
        <v>83</v>
      </c>
      <c r="S117" s="142" t="s">
        <v>83</v>
      </c>
      <c r="T117" s="142" t="s">
        <v>83</v>
      </c>
      <c r="U117" s="142" t="s">
        <v>83</v>
      </c>
      <c r="V117" s="8"/>
      <c r="W117" s="8" t="s">
        <v>89</v>
      </c>
      <c r="X117" s="8">
        <v>0</v>
      </c>
      <c r="Y117" s="142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2" t="s">
        <v>83</v>
      </c>
      <c r="AF117" s="142" t="s">
        <v>83</v>
      </c>
      <c r="AG117" s="142" t="s">
        <v>83</v>
      </c>
      <c r="AH117" s="142" t="s">
        <v>83</v>
      </c>
      <c r="AI117" s="8"/>
      <c r="AJ117" s="8"/>
      <c r="AK117" s="8">
        <v>1</v>
      </c>
      <c r="AL117" s="8">
        <v>1</v>
      </c>
      <c r="AM117" s="142" t="s">
        <v>83</v>
      </c>
      <c r="AN117" s="8">
        <v>1</v>
      </c>
      <c r="AO117" s="8">
        <v>1</v>
      </c>
      <c r="AP117" s="8">
        <v>1</v>
      </c>
    </row>
    <row r="118" spans="1:42">
      <c r="A118" s="122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物理伤害提高|Cffffd24d20%|r。|n|n|Cff00ff7f持续15秒。|r</v>
      </c>
      <c r="J118" s="124" t="str">
        <f t="shared" ref="J118:J119" si="36">H118</f>
        <v>鲜肉月饼</v>
      </c>
      <c r="K118" s="124" t="str">
        <f t="shared" ref="K118:K119" si="37">I118</f>
        <v>物理伤害提高|Cffffd24d20%|r。|n|n|Cff00ff7f持续15秒。|r</v>
      </c>
      <c r="L118" s="8"/>
      <c r="M118" s="125" t="str">
        <f>VLOOKUP(LEFT(RIGHT(B118,5),4),物品!B:CU,20,FALSE)</f>
        <v>ReplaceableTextures\\CommandButtons\\BTNI005.blp</v>
      </c>
      <c r="N118" s="142" t="s">
        <v>83</v>
      </c>
      <c r="O118" s="125" t="s">
        <v>88</v>
      </c>
      <c r="P118" s="8">
        <v>0</v>
      </c>
      <c r="Q118" s="8">
        <v>0</v>
      </c>
      <c r="R118" s="142" t="s">
        <v>83</v>
      </c>
      <c r="S118" s="142" t="s">
        <v>83</v>
      </c>
      <c r="T118" s="142" t="s">
        <v>83</v>
      </c>
      <c r="U118" s="142" t="s">
        <v>83</v>
      </c>
      <c r="V118" s="8"/>
      <c r="W118" s="8" t="s">
        <v>89</v>
      </c>
      <c r="X118" s="8">
        <v>0</v>
      </c>
      <c r="Y118" s="142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2" t="s">
        <v>83</v>
      </c>
      <c r="AF118" s="142" t="s">
        <v>83</v>
      </c>
      <c r="AG118" s="142" t="s">
        <v>83</v>
      </c>
      <c r="AH118" s="142" t="s">
        <v>83</v>
      </c>
      <c r="AI118" s="8"/>
      <c r="AJ118" s="8"/>
      <c r="AK118" s="8">
        <v>1</v>
      </c>
      <c r="AL118" s="8">
        <v>1</v>
      </c>
      <c r="AM118" s="142" t="s">
        <v>83</v>
      </c>
      <c r="AN118" s="8">
        <v>1</v>
      </c>
      <c r="AO118" s="8">
        <v>1</v>
      </c>
      <c r="AP118" s="8">
        <v>1</v>
      </c>
    </row>
    <row r="119" spans="1:42">
      <c r="A119" s="122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护甲|Cffffd24d+30|r|n金币加成|Cffffd24d+10%|n|r|n击杀1000个敌人后奖励：|n|CffFFD24D7000~12000|r金币|n|CffCC99FF2000-5000|r业力|n|n|Cff00FF7F同时只能携带一个招魂幡|r</v>
      </c>
      <c r="J119" s="124" t="str">
        <f t="shared" si="36"/>
        <v>招魂幡Lv1</v>
      </c>
      <c r="K119" s="124" t="str">
        <f t="shared" si="37"/>
        <v>护甲|Cffffd24d+30|r|n金币加成|Cffffd24d+10%|n|r|n击杀1000个敌人后奖励：|n|CffFFD24D7000~12000|r金币|n|CffCC99FF2000-5000|r业力|n|n|Cff00FF7F同时只能携带一个招魂幡|r</v>
      </c>
      <c r="L119" s="8"/>
      <c r="M119" s="125" t="str">
        <f>VLOOKUP(LEFT(RIGHT(B119,5),4),物品!B:CU,20,FALSE)</f>
        <v>ReplaceableTextures\\CommandButtons\\BTNI011.blp</v>
      </c>
      <c r="N119" s="8">
        <v>0.5</v>
      </c>
      <c r="O119" s="125" t="s">
        <v>91</v>
      </c>
      <c r="P119" s="8">
        <v>0</v>
      </c>
      <c r="Q119" s="8">
        <v>1</v>
      </c>
      <c r="R119" s="142" t="s">
        <v>83</v>
      </c>
      <c r="S119" s="142" t="s">
        <v>83</v>
      </c>
      <c r="T119" s="142" t="s">
        <v>83</v>
      </c>
      <c r="U119" s="142" t="s">
        <v>83</v>
      </c>
      <c r="V119" s="8">
        <v>4</v>
      </c>
      <c r="W119" s="8" t="s">
        <v>85</v>
      </c>
      <c r="X119" s="8">
        <v>0</v>
      </c>
      <c r="Y119" s="142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2" t="s">
        <v>83</v>
      </c>
      <c r="AF119" s="142" t="s">
        <v>83</v>
      </c>
      <c r="AG119" s="142" t="s">
        <v>83</v>
      </c>
      <c r="AH119" s="142" t="s">
        <v>83</v>
      </c>
      <c r="AI119" s="8"/>
      <c r="AJ119" s="8"/>
      <c r="AK119" s="8">
        <v>1</v>
      </c>
      <c r="AL119" s="8">
        <v>1</v>
      </c>
      <c r="AM119" s="142" t="s">
        <v>83</v>
      </c>
      <c r="AN119" s="8">
        <v>1000</v>
      </c>
      <c r="AO119" s="8"/>
      <c r="AP119" s="8"/>
    </row>
    <row r="120" spans="1:42">
      <c r="A120" s="122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护甲|Cffffd24d+80|r|n金币加成|Cffffd24d+15%|r|n|n击杀1000个敌人后奖励：|n|CffFFD24D8000~13000|r金币|n|CffCC99FF3000-6000|r业力|n|n|Cff00FF7F同时只能携带一个招魂幡|r</v>
      </c>
      <c r="J120" s="124" t="str">
        <f t="shared" ref="J120:J121" si="38">H120</f>
        <v>|Cff00FF7F招魂幡Lv2|r</v>
      </c>
      <c r="K120" s="124" t="str">
        <f t="shared" ref="K120:K121" si="39">I120</f>
        <v>护甲|Cffffd24d+80|r|n金币加成|Cffffd24d+15%|r|n|n击杀1000个敌人后奖励：|n|CffFFD24D8000~13000|r金币|n|CffCC99FF3000-6000|r业力|n|n|Cff00FF7F同时只能携带一个招魂幡|r</v>
      </c>
      <c r="L120" s="8"/>
      <c r="M120" s="125" t="str">
        <f>VLOOKUP(LEFT(RIGHT(B120,5),4),物品!B:CU,20,FALSE)</f>
        <v>ReplaceableTextures\\CommandButtons\\BTNI012.blp</v>
      </c>
      <c r="N120" s="8">
        <v>0.5</v>
      </c>
      <c r="O120" s="125" t="s">
        <v>91</v>
      </c>
      <c r="P120" s="8">
        <v>1</v>
      </c>
      <c r="Q120" s="8">
        <v>1</v>
      </c>
      <c r="R120" s="142" t="s">
        <v>83</v>
      </c>
      <c r="S120" s="142" t="s">
        <v>83</v>
      </c>
      <c r="T120" s="142" t="s">
        <v>83</v>
      </c>
      <c r="U120" s="142" t="s">
        <v>83</v>
      </c>
      <c r="V120" s="8">
        <v>4</v>
      </c>
      <c r="W120" s="8" t="s">
        <v>85</v>
      </c>
      <c r="X120" s="8">
        <v>0</v>
      </c>
      <c r="Y120" s="142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2" t="s">
        <v>83</v>
      </c>
      <c r="AF120" s="142" t="s">
        <v>83</v>
      </c>
      <c r="AG120" s="142" t="s">
        <v>83</v>
      </c>
      <c r="AH120" s="142" t="s">
        <v>83</v>
      </c>
      <c r="AI120" s="8"/>
      <c r="AJ120" s="8"/>
      <c r="AK120" s="8">
        <v>1</v>
      </c>
      <c r="AL120" s="8">
        <v>1</v>
      </c>
      <c r="AM120" s="142" t="s">
        <v>83</v>
      </c>
      <c r="AN120" s="8">
        <v>1000</v>
      </c>
      <c r="AO120" s="8"/>
      <c r="AP120" s="8"/>
    </row>
    <row r="121" spans="1:42">
      <c r="A121" s="122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护甲|Cffffd24d+200|r|n金币加成|Cffffd24d+20%|r|n|n击杀1000个敌人后奖励：|n|CffFFD24D9000~14000|r金币|n|CffCC99FF4000-7000|r业力|n|n|Cff00FF7F同时只能携带一个招魂幡|r</v>
      </c>
      <c r="J121" s="124" t="str">
        <f t="shared" si="38"/>
        <v>|Cff00BFFF招魂幡Lv3|r</v>
      </c>
      <c r="K121" s="124" t="str">
        <f t="shared" si="39"/>
        <v>护甲|Cffffd24d+200|r|n金币加成|Cffffd24d+20%|r|n|n击杀1000个敌人后奖励：|n|CffFFD24D9000~14000|r金币|n|CffCC99FF4000-7000|r业力|n|n|Cff00FF7F同时只能携带一个招魂幡|r</v>
      </c>
      <c r="L121" s="8"/>
      <c r="M121" s="125" t="str">
        <f>VLOOKUP(LEFT(RIGHT(B121,5),4),物品!B:CU,20,FALSE)</f>
        <v>ReplaceableTextures\\CommandButtons\\BTNI013.blp</v>
      </c>
      <c r="N121" s="8">
        <v>0.5</v>
      </c>
      <c r="O121" s="125" t="s">
        <v>91</v>
      </c>
      <c r="P121" s="8">
        <v>2</v>
      </c>
      <c r="Q121" s="8">
        <v>1</v>
      </c>
      <c r="R121" s="142" t="s">
        <v>83</v>
      </c>
      <c r="S121" s="142" t="s">
        <v>83</v>
      </c>
      <c r="T121" s="142" t="s">
        <v>83</v>
      </c>
      <c r="U121" s="142" t="s">
        <v>83</v>
      </c>
      <c r="V121" s="8">
        <v>4</v>
      </c>
      <c r="W121" s="8" t="s">
        <v>85</v>
      </c>
      <c r="X121" s="8">
        <v>0</v>
      </c>
      <c r="Y121" s="142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2" t="s">
        <v>83</v>
      </c>
      <c r="AF121" s="142" t="s">
        <v>83</v>
      </c>
      <c r="AG121" s="142" t="s">
        <v>83</v>
      </c>
      <c r="AH121" s="142" t="s">
        <v>83</v>
      </c>
      <c r="AI121" s="8"/>
      <c r="AJ121" s="8"/>
      <c r="AK121" s="8">
        <v>1</v>
      </c>
      <c r="AL121" s="8">
        <v>1</v>
      </c>
      <c r="AM121" s="142" t="s">
        <v>83</v>
      </c>
      <c r="AN121" s="8">
        <v>1000</v>
      </c>
      <c r="AO121" s="8"/>
      <c r="AP121" s="8"/>
    </row>
    <row r="122" spans="1:42">
      <c r="A122" s="122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护甲|Cffffd24d+500|r|n金币加成|Cffffd24d+25%|r|n|n击杀1000个敌人后奖励：|n|CffFFD24D10000~15000|r金币|n|CffCC99FF5000-8000|r业力|n|n|Cff00FF7F同时只能携带一个招魂幡|r</v>
      </c>
      <c r="J122" s="124" t="str">
        <f t="shared" ref="J122:J124" si="40">H122</f>
        <v>|CffFFD24D招魂幡Lv4|r</v>
      </c>
      <c r="K122" s="124" t="str">
        <f t="shared" ref="K122:K124" si="41">I122</f>
        <v>护甲|Cffffd24d+500|r|n金币加成|Cffffd24d+25%|r|n|n击杀1000个敌人后奖励：|n|CffFFD24D10000~15000|r金币|n|CffCC99FF5000-8000|r业力|n|n|Cff00FF7F同时只能携带一个招魂幡|r</v>
      </c>
      <c r="L122" s="8"/>
      <c r="M122" s="125" t="str">
        <f>VLOOKUP(LEFT(RIGHT(B122,5),4),物品!B:CU,20,FALSE)</f>
        <v>ReplaceableTextures\\CommandButtons\\BTNI014.blp</v>
      </c>
      <c r="N122" s="8">
        <v>0.5</v>
      </c>
      <c r="O122" s="125" t="s">
        <v>91</v>
      </c>
      <c r="P122" s="8">
        <v>3</v>
      </c>
      <c r="Q122" s="8">
        <v>1</v>
      </c>
      <c r="R122" s="142" t="s">
        <v>83</v>
      </c>
      <c r="S122" s="142" t="s">
        <v>83</v>
      </c>
      <c r="T122" s="142" t="s">
        <v>83</v>
      </c>
      <c r="U122" s="142" t="s">
        <v>83</v>
      </c>
      <c r="V122" s="8">
        <v>4</v>
      </c>
      <c r="W122" s="8" t="s">
        <v>85</v>
      </c>
      <c r="X122" s="8">
        <v>0</v>
      </c>
      <c r="Y122" s="142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2" t="s">
        <v>83</v>
      </c>
      <c r="AF122" s="142" t="s">
        <v>83</v>
      </c>
      <c r="AG122" s="142" t="s">
        <v>83</v>
      </c>
      <c r="AH122" s="142" t="s">
        <v>83</v>
      </c>
      <c r="AI122" s="8"/>
      <c r="AJ122" s="8"/>
      <c r="AK122" s="8">
        <v>1</v>
      </c>
      <c r="AL122" s="8">
        <v>1</v>
      </c>
      <c r="AM122" s="142" t="s">
        <v>83</v>
      </c>
      <c r="AN122" s="8">
        <v>1000</v>
      </c>
      <c r="AO122" s="8"/>
      <c r="AP122" s="8"/>
    </row>
    <row r="123" spans="1:42">
      <c r="A123" s="122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护甲|Cffffd24d+500|r|n金币加成|Cffffd24d+30%|n|r|n击杀1000个敌人后奖励：|n|CffFFD24D12000~17000|r金币|n|CffCC99FF6000-9000|r业力|n|n|Cff00FF7F同时只能携带一个招魂幡|r</v>
      </c>
      <c r="J123" s="124" t="str">
        <f t="shared" ref="J123" si="42">H123</f>
        <v>|CffFF0000招魂幡Lv5|r</v>
      </c>
      <c r="K123" s="124" t="str">
        <f t="shared" ref="K123" si="43">I123</f>
        <v>护甲|Cffffd24d+500|r|n金币加成|Cffffd24d+30%|n|r|n击杀1000个敌人后奖励：|n|CffFFD24D12000~17000|r金币|n|CffCC99FF6000-9000|r业力|n|n|Cff00FF7F同时只能携带一个招魂幡|r</v>
      </c>
      <c r="L123" s="8"/>
      <c r="M123" s="125" t="str">
        <f>VLOOKUP(LEFT(RIGHT(B123,5),4),物品!B:CU,20,FALSE)</f>
        <v>ReplaceableTextures\\CommandButtons\\BTNI015.blp</v>
      </c>
      <c r="N123" s="8">
        <v>0.5</v>
      </c>
      <c r="O123" s="125" t="s">
        <v>91</v>
      </c>
      <c r="P123" s="8">
        <v>0</v>
      </c>
      <c r="Q123" s="8">
        <v>0</v>
      </c>
      <c r="R123" s="142" t="s">
        <v>83</v>
      </c>
      <c r="S123" s="142" t="s">
        <v>83</v>
      </c>
      <c r="T123" s="142" t="s">
        <v>83</v>
      </c>
      <c r="U123" s="142" t="s">
        <v>83</v>
      </c>
      <c r="V123" s="8">
        <v>4</v>
      </c>
      <c r="W123" s="8" t="s">
        <v>85</v>
      </c>
      <c r="X123" s="8">
        <v>0</v>
      </c>
      <c r="Y123" s="142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2" t="s">
        <v>83</v>
      </c>
      <c r="AF123" s="142" t="s">
        <v>83</v>
      </c>
      <c r="AG123" s="142" t="s">
        <v>83</v>
      </c>
      <c r="AH123" s="142" t="s">
        <v>83</v>
      </c>
      <c r="AI123" s="8"/>
      <c r="AJ123" s="8"/>
      <c r="AK123" s="8">
        <v>1</v>
      </c>
      <c r="AL123" s="8">
        <v>1</v>
      </c>
      <c r="AM123" s="142" t="s">
        <v>83</v>
      </c>
      <c r="AN123" s="8">
        <v>1000</v>
      </c>
      <c r="AO123" s="8"/>
      <c r="AP123" s="8"/>
    </row>
    <row r="124" spans="1:42">
      <c r="A124" s="122"/>
      <c r="B124" s="8" t="str">
        <f>物品!B124</f>
        <v>IN00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锦囊</v>
      </c>
      <c r="I124" s="8" t="str">
        <f>VLOOKUP(B124,物品!B:CV,99,FALSE)</f>
        <v>开启后获得一个|Cffffd24d随机锦囊|r。</v>
      </c>
      <c r="J124" s="124" t="str">
        <f t="shared" si="40"/>
        <v>锦囊</v>
      </c>
      <c r="K124" s="124" t="str">
        <f t="shared" si="41"/>
        <v>开启后获得一个|Cffffd24d随机锦囊|r。</v>
      </c>
      <c r="L124" s="8"/>
      <c r="M124" s="125" t="str">
        <f>VLOOKUP(LEFT(RIGHT(B124,5),4),物品!B:CU,20,FALSE)</f>
        <v>ReplaceableTextures\\CommandButtons\\BTNIN00.blp</v>
      </c>
      <c r="N124" s="142" t="s">
        <v>83</v>
      </c>
      <c r="O124" s="125" t="s">
        <v>88</v>
      </c>
      <c r="P124" s="8">
        <v>0</v>
      </c>
      <c r="Q124" s="8">
        <v>0</v>
      </c>
      <c r="R124" s="142" t="s">
        <v>83</v>
      </c>
      <c r="S124" s="142" t="s">
        <v>83</v>
      </c>
      <c r="T124" s="142" t="s">
        <v>83</v>
      </c>
      <c r="U124" s="142" t="s">
        <v>83</v>
      </c>
      <c r="V124" s="8"/>
      <c r="W124" s="8" t="s">
        <v>89</v>
      </c>
      <c r="X124" s="8">
        <v>0</v>
      </c>
      <c r="Y124" s="142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2" t="s">
        <v>83</v>
      </c>
      <c r="AF124" s="142" t="s">
        <v>83</v>
      </c>
      <c r="AG124" s="142" t="s">
        <v>83</v>
      </c>
      <c r="AH124" s="142" t="s">
        <v>83</v>
      </c>
      <c r="AI124" s="8"/>
      <c r="AJ124" s="8"/>
      <c r="AK124" s="8">
        <v>1</v>
      </c>
      <c r="AL124" s="8">
        <v>1</v>
      </c>
      <c r="AM124" s="142" t="s">
        <v>83</v>
      </c>
      <c r="AN124" s="8">
        <v>1</v>
      </c>
      <c r="AO124" s="8">
        <v>1</v>
      </c>
      <c r="AP124" s="8">
        <v>1</v>
      </c>
    </row>
    <row r="125" spans="1:42">
      <c r="A125" s="122"/>
      <c r="B125" s="8" t="str">
        <f>物品!B125</f>
        <v>IN07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来份快餐</v>
      </c>
      <c r="I125" s="8" t="str">
        <f>VLOOKUP(B125,物品!B:CV,99,FALSE)</f>
        <v>每秒回复|Cffffd24d10%|r生命值，持续|Cffffd24d10|r秒</v>
      </c>
      <c r="J125" s="124" t="str">
        <f t="shared" ref="J125" si="44">H125</f>
        <v>来份快餐</v>
      </c>
      <c r="K125" s="124" t="str">
        <f t="shared" ref="K125" si="45">I125</f>
        <v>每秒回复|Cffffd24d10%|r生命值，持续|Cffffd24d10|r秒</v>
      </c>
      <c r="L125" s="8"/>
      <c r="M125" s="125" t="str">
        <f>VLOOKUP(LEFT(RIGHT(B125,5),4),物品!B:CU,20,FALSE)</f>
        <v>ReplaceableTextures\\CommandButtons\\BTNIN07.blp</v>
      </c>
      <c r="N125" s="142" t="s">
        <v>83</v>
      </c>
      <c r="O125" s="125" t="s">
        <v>88</v>
      </c>
      <c r="P125" s="8">
        <v>0</v>
      </c>
      <c r="Q125" s="8">
        <v>0</v>
      </c>
      <c r="R125" s="142" t="s">
        <v>83</v>
      </c>
      <c r="S125" s="142" t="s">
        <v>83</v>
      </c>
      <c r="T125" s="142" t="s">
        <v>83</v>
      </c>
      <c r="U125" s="142" t="s">
        <v>83</v>
      </c>
      <c r="V125" s="8"/>
      <c r="W125" s="8" t="s">
        <v>89</v>
      </c>
      <c r="X125" s="8">
        <v>0</v>
      </c>
      <c r="Y125" s="142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2" t="s">
        <v>83</v>
      </c>
      <c r="AF125" s="142" t="s">
        <v>83</v>
      </c>
      <c r="AG125" s="142" t="s">
        <v>83</v>
      </c>
      <c r="AH125" s="142" t="s">
        <v>83</v>
      </c>
      <c r="AI125" s="8"/>
      <c r="AJ125" s="8"/>
      <c r="AK125" s="8">
        <v>1</v>
      </c>
      <c r="AL125" s="8">
        <v>1</v>
      </c>
      <c r="AM125" s="142" t="s">
        <v>83</v>
      </c>
      <c r="AN125" s="8">
        <v>1</v>
      </c>
      <c r="AO125" s="8">
        <v>1</v>
      </c>
      <c r="AP125" s="8">
        <v>1</v>
      </c>
    </row>
    <row r="126" spans="1:42">
      <c r="A126" s="122"/>
      <c r="B126" s="8" t="str">
        <f>物品!B126</f>
        <v>IN08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抬你一手</v>
      </c>
      <c r="I126" s="8" t="str">
        <f>VLOOKUP(B126,物品!B:CV,99,FALSE)</f>
        <v>|CffFFC926击杀|r当前存在的|Cffffc926进攻怪|r和|Cffffc926Boss|r。|n|n|Cff00ff7f无法在大决战时使用|r</v>
      </c>
      <c r="J126" s="124" t="str">
        <f t="shared" ref="J126:J128" si="46">H126</f>
        <v>抬你一手</v>
      </c>
      <c r="K126" s="124" t="str">
        <f t="shared" ref="K126:K128" si="47">I126</f>
        <v>|CffFFC926击杀|r当前存在的|Cffffc926进攻怪|r和|Cffffc926Boss|r。|n|n|Cff00ff7f无法在大决战时使用|r</v>
      </c>
      <c r="L126" s="8"/>
      <c r="M126" s="125" t="str">
        <f>VLOOKUP(LEFT(RIGHT(B126,5),4),物品!B:CU,20,FALSE)</f>
        <v>ReplaceableTextures\\CommandButtons\\BTNIN08.blp</v>
      </c>
      <c r="N126" s="142" t="s">
        <v>83</v>
      </c>
      <c r="O126" s="125" t="s">
        <v>88</v>
      </c>
      <c r="P126" s="8">
        <v>0</v>
      </c>
      <c r="Q126" s="8">
        <v>0</v>
      </c>
      <c r="R126" s="142" t="s">
        <v>83</v>
      </c>
      <c r="S126" s="142" t="s">
        <v>83</v>
      </c>
      <c r="T126" s="142" t="s">
        <v>83</v>
      </c>
      <c r="U126" s="142" t="s">
        <v>83</v>
      </c>
      <c r="V126" s="8"/>
      <c r="W126" s="8" t="s">
        <v>89</v>
      </c>
      <c r="X126" s="8">
        <v>0</v>
      </c>
      <c r="Y126" s="142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2" t="s">
        <v>83</v>
      </c>
      <c r="AF126" s="142" t="s">
        <v>83</v>
      </c>
      <c r="AG126" s="142" t="s">
        <v>83</v>
      </c>
      <c r="AH126" s="142" t="s">
        <v>83</v>
      </c>
      <c r="AI126" s="8"/>
      <c r="AJ126" s="8"/>
      <c r="AK126" s="8">
        <v>1</v>
      </c>
      <c r="AL126" s="8">
        <v>1</v>
      </c>
      <c r="AM126" s="142" t="s">
        <v>83</v>
      </c>
      <c r="AN126" s="8">
        <v>1</v>
      </c>
      <c r="AO126" s="8">
        <v>1</v>
      </c>
      <c r="AP126" s="8">
        <v>1</v>
      </c>
    </row>
    <row r="127" spans="1:42">
      <c r="A127" s="122"/>
      <c r="B127" s="8" t="str">
        <f>物品!B127</f>
        <v>IN09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死者苏生</v>
      </c>
      <c r="I127" s="8" t="str">
        <f>VLOOKUP(B127,物品!B:CV,99,FALSE)</f>
        <v>死亡时复活。</v>
      </c>
      <c r="J127" s="124" t="str">
        <f t="shared" si="46"/>
        <v>死者苏生</v>
      </c>
      <c r="K127" s="124" t="str">
        <f t="shared" si="47"/>
        <v>死亡时复活。</v>
      </c>
      <c r="L127" s="8"/>
      <c r="M127" s="125" t="str">
        <f>VLOOKUP(LEFT(RIGHT(B127,5),4),物品!B:CU,20,FALSE)</f>
        <v>ReplaceableTextures\\CommandButtons\\BTNIN09.blp</v>
      </c>
      <c r="N127" s="142" t="s">
        <v>83</v>
      </c>
      <c r="O127" s="125" t="s">
        <v>88</v>
      </c>
      <c r="P127" s="8">
        <v>0</v>
      </c>
      <c r="Q127" s="8">
        <v>0</v>
      </c>
      <c r="R127" s="142" t="s">
        <v>83</v>
      </c>
      <c r="S127" s="142" t="s">
        <v>83</v>
      </c>
      <c r="T127" s="142" t="s">
        <v>83</v>
      </c>
      <c r="U127" s="142" t="s">
        <v>83</v>
      </c>
      <c r="V127" s="8"/>
      <c r="W127" s="8" t="s">
        <v>89</v>
      </c>
      <c r="X127" s="8">
        <v>0</v>
      </c>
      <c r="Y127" s="142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2" t="s">
        <v>83</v>
      </c>
      <c r="AF127" s="142" t="s">
        <v>83</v>
      </c>
      <c r="AG127" s="142" t="s">
        <v>83</v>
      </c>
      <c r="AH127" s="142" t="s">
        <v>83</v>
      </c>
      <c r="AI127" s="8"/>
      <c r="AJ127" s="8"/>
      <c r="AK127" s="8">
        <v>1</v>
      </c>
      <c r="AL127" s="8">
        <v>1</v>
      </c>
      <c r="AM127" s="142" t="s">
        <v>83</v>
      </c>
      <c r="AN127" s="8">
        <v>1</v>
      </c>
      <c r="AO127" s="8">
        <v>1</v>
      </c>
      <c r="AP127" s="8">
        <v>1</v>
      </c>
    </row>
    <row r="128" spans="1:42">
      <c r="A128" s="122"/>
      <c r="B128" s="8" t="str">
        <f>物品!B128</f>
        <v>IN10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福娃这么可爱..</v>
      </c>
      <c r="I128" s="8" t="str">
        <f>VLOOKUP(B128,物品!B:CV,99,FALSE)</f>
        <v>点金一个|Cffffd24d练功房福娃|r，获得|Cffffd24d100|r倍金币奖励</v>
      </c>
      <c r="J128" s="124" t="str">
        <f t="shared" si="46"/>
        <v>福娃这么可爱..</v>
      </c>
      <c r="K128" s="124" t="str">
        <f t="shared" si="47"/>
        <v>点金一个|Cffffd24d练功房福娃|r，获得|Cffffd24d100|r倍金币奖励</v>
      </c>
      <c r="L128" s="8"/>
      <c r="M128" s="125" t="str">
        <f>VLOOKUP(LEFT(RIGHT(B128,5),4),物品!B:CU,20,FALSE)</f>
        <v>ReplaceableTextures\\CommandButtons\\BTNIN10.blp</v>
      </c>
      <c r="N128" s="142" t="s">
        <v>83</v>
      </c>
      <c r="O128" s="125" t="s">
        <v>88</v>
      </c>
      <c r="P128" s="8">
        <v>0</v>
      </c>
      <c r="Q128" s="8">
        <v>0</v>
      </c>
      <c r="R128" s="142" t="s">
        <v>83</v>
      </c>
      <c r="S128" s="142" t="s">
        <v>83</v>
      </c>
      <c r="T128" s="142" t="s">
        <v>83</v>
      </c>
      <c r="U128" s="142" t="s">
        <v>83</v>
      </c>
      <c r="V128" s="8"/>
      <c r="W128" s="8" t="s">
        <v>89</v>
      </c>
      <c r="X128" s="8">
        <v>0</v>
      </c>
      <c r="Y128" s="142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2" t="s">
        <v>83</v>
      </c>
      <c r="AF128" s="142" t="s">
        <v>83</v>
      </c>
      <c r="AG128" s="142" t="s">
        <v>83</v>
      </c>
      <c r="AH128" s="142" t="s">
        <v>83</v>
      </c>
      <c r="AI128" s="8"/>
      <c r="AJ128" s="8"/>
      <c r="AK128" s="8">
        <v>1</v>
      </c>
      <c r="AL128" s="8">
        <v>1</v>
      </c>
      <c r="AM128" s="142" t="s">
        <v>83</v>
      </c>
      <c r="AN128" s="8">
        <v>1</v>
      </c>
      <c r="AO128" s="8">
        <v>1</v>
      </c>
      <c r="AP128" s="8">
        <v>1</v>
      </c>
    </row>
    <row r="129" spans="1:42">
      <c r="A129" s="122"/>
      <c r="B129" s="8" t="str">
        <f>物品!B129</f>
        <v>IN11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奥里给Lo他</v>
      </c>
      <c r="I129" s="8" t="str">
        <f>VLOOKUP(B129,物品!B:CV,99,FALSE)</f>
        <v>|CffFFD24D5|r秒内提高|Cffffd24d100%|r物理伤害</v>
      </c>
      <c r="J129" s="124" t="str">
        <f t="shared" ref="J129:J135" si="48">H129</f>
        <v>奥里给Lo他</v>
      </c>
      <c r="K129" s="124" t="str">
        <f t="shared" ref="K129:K135" si="49">I129</f>
        <v>|CffFFD24D5|r秒内提高|Cffffd24d100%|r物理伤害</v>
      </c>
      <c r="L129" s="8"/>
      <c r="M129" s="125" t="str">
        <f>VLOOKUP(LEFT(RIGHT(B129,5),4),物品!B:CU,20,FALSE)</f>
        <v>ReplaceableTextures\\CommandButtons\\BTNIN11.blp</v>
      </c>
      <c r="N129" s="142" t="s">
        <v>83</v>
      </c>
      <c r="O129" s="125" t="s">
        <v>88</v>
      </c>
      <c r="P129" s="8">
        <v>0</v>
      </c>
      <c r="Q129" s="8">
        <v>0</v>
      </c>
      <c r="R129" s="142" t="s">
        <v>83</v>
      </c>
      <c r="S129" s="142" t="s">
        <v>83</v>
      </c>
      <c r="T129" s="142" t="s">
        <v>83</v>
      </c>
      <c r="U129" s="142" t="s">
        <v>83</v>
      </c>
      <c r="V129" s="8"/>
      <c r="W129" s="8" t="s">
        <v>89</v>
      </c>
      <c r="X129" s="8">
        <v>0</v>
      </c>
      <c r="Y129" s="142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2" t="s">
        <v>83</v>
      </c>
      <c r="AF129" s="142" t="s">
        <v>83</v>
      </c>
      <c r="AG129" s="142" t="s">
        <v>83</v>
      </c>
      <c r="AH129" s="142" t="s">
        <v>83</v>
      </c>
      <c r="AI129" s="8"/>
      <c r="AJ129" s="8"/>
      <c r="AK129" s="8">
        <v>1</v>
      </c>
      <c r="AL129" s="8">
        <v>1</v>
      </c>
      <c r="AM129" s="142" t="s">
        <v>83</v>
      </c>
      <c r="AN129" s="8">
        <v>1</v>
      </c>
      <c r="AO129" s="8">
        <v>1</v>
      </c>
      <c r="AP129" s="8">
        <v>1</v>
      </c>
    </row>
    <row r="130" spans="1:42">
      <c r="A130" s="122"/>
      <c r="B130" s="8" t="str">
        <f>物品!B130</f>
        <v>IN12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以逸待劳</v>
      </c>
      <c r="I130" s="8" t="str">
        <f>VLOOKUP(B130,物品!B:CV,99,FALSE)</f>
        <v>在|Cffffd24d基地-周文王|r附近召唤|Cffffd24d1|r个|Cffffd24d黑市商店|r，仅存在|Cffffd24d30|r秒。</v>
      </c>
      <c r="J130" s="124" t="str">
        <f t="shared" si="48"/>
        <v>以逸待劳</v>
      </c>
      <c r="K130" s="124" t="str">
        <f t="shared" si="49"/>
        <v>在|Cffffd24d基地-周文王|r附近召唤|Cffffd24d1|r个|Cffffd24d黑市商店|r，仅存在|Cffffd24d30|r秒。</v>
      </c>
      <c r="L130" s="8"/>
      <c r="M130" s="125" t="str">
        <f>VLOOKUP(LEFT(RIGHT(B130,5),4),物品!B:CU,20,FALSE)</f>
        <v>ReplaceableTextures\\CommandButtons\\BTNIN12.blp</v>
      </c>
      <c r="N130" s="142" t="s">
        <v>83</v>
      </c>
      <c r="O130" s="125" t="s">
        <v>88</v>
      </c>
      <c r="P130" s="8">
        <v>0</v>
      </c>
      <c r="Q130" s="8">
        <v>0</v>
      </c>
      <c r="R130" s="142" t="s">
        <v>83</v>
      </c>
      <c r="S130" s="142" t="s">
        <v>83</v>
      </c>
      <c r="T130" s="142" t="s">
        <v>83</v>
      </c>
      <c r="U130" s="142" t="s">
        <v>83</v>
      </c>
      <c r="V130" s="8"/>
      <c r="W130" s="8" t="s">
        <v>89</v>
      </c>
      <c r="X130" s="8">
        <v>0</v>
      </c>
      <c r="Y130" s="142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2" t="s">
        <v>83</v>
      </c>
      <c r="AF130" s="142" t="s">
        <v>83</v>
      </c>
      <c r="AG130" s="142" t="s">
        <v>83</v>
      </c>
      <c r="AH130" s="142" t="s">
        <v>83</v>
      </c>
      <c r="AI130" s="8"/>
      <c r="AJ130" s="8"/>
      <c r="AK130" s="8">
        <v>1</v>
      </c>
      <c r="AL130" s="8">
        <v>1</v>
      </c>
      <c r="AM130" s="142" t="s">
        <v>83</v>
      </c>
      <c r="AN130" s="8">
        <v>1</v>
      </c>
      <c r="AO130" s="8">
        <v>1</v>
      </c>
      <c r="AP130" s="8">
        <v>1</v>
      </c>
    </row>
    <row r="131" spans="1:42">
      <c r="A131" s="122"/>
      <c r="B131" s="8" t="str">
        <f>物品!B131</f>
        <v>IN13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全军出击</v>
      </c>
      <c r="I131" s="8" t="str">
        <f>VLOOKUP(B131,物品!B:CV,99,FALSE)</f>
        <v>场上存活的队友|Cffffd24d10|r秒内提高|Cffffd24d30%|r法术伤害</v>
      </c>
      <c r="J131" s="124" t="str">
        <f t="shared" si="48"/>
        <v>全军出击</v>
      </c>
      <c r="K131" s="124" t="str">
        <f t="shared" si="49"/>
        <v>场上存活的队友|Cffffd24d10|r秒内提高|Cffffd24d30%|r法术伤害</v>
      </c>
      <c r="L131" s="8"/>
      <c r="M131" s="125" t="str">
        <f>VLOOKUP(LEFT(RIGHT(B131,5),4),物品!B:CU,20,FALSE)</f>
        <v>ReplaceableTextures\\CommandButtons\\BTNIN13.blp</v>
      </c>
      <c r="N131" s="142" t="s">
        <v>83</v>
      </c>
      <c r="O131" s="125" t="s">
        <v>88</v>
      </c>
      <c r="P131" s="8">
        <v>0</v>
      </c>
      <c r="Q131" s="8">
        <v>0</v>
      </c>
      <c r="R131" s="142" t="s">
        <v>83</v>
      </c>
      <c r="S131" s="142" t="s">
        <v>83</v>
      </c>
      <c r="T131" s="142" t="s">
        <v>83</v>
      </c>
      <c r="U131" s="142" t="s">
        <v>83</v>
      </c>
      <c r="V131" s="8"/>
      <c r="W131" s="8" t="s">
        <v>89</v>
      </c>
      <c r="X131" s="8">
        <v>0</v>
      </c>
      <c r="Y131" s="142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2" t="s">
        <v>83</v>
      </c>
      <c r="AF131" s="142" t="s">
        <v>83</v>
      </c>
      <c r="AG131" s="142" t="s">
        <v>83</v>
      </c>
      <c r="AH131" s="142" t="s">
        <v>83</v>
      </c>
      <c r="AI131" s="8"/>
      <c r="AJ131" s="8"/>
      <c r="AK131" s="8">
        <v>1</v>
      </c>
      <c r="AL131" s="8">
        <v>1</v>
      </c>
      <c r="AM131" s="142" t="s">
        <v>83</v>
      </c>
      <c r="AN131" s="8">
        <v>1</v>
      </c>
      <c r="AO131" s="8">
        <v>1</v>
      </c>
      <c r="AP131" s="8">
        <v>1</v>
      </c>
    </row>
    <row r="132" spans="1:42">
      <c r="A132" s="122"/>
      <c r="B132" s="8" t="str">
        <f>物品!B132</f>
        <v>IN14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心跳时刻</v>
      </c>
      <c r="I132" s="8" t="str">
        <f>VLOOKUP(B132,物品!B:CV,99,FALSE)</f>
        <v>使用后基地无敌|Cffffd24d5|r秒。</v>
      </c>
      <c r="J132" s="124" t="str">
        <f t="shared" si="48"/>
        <v>心跳时刻</v>
      </c>
      <c r="K132" s="124" t="str">
        <f t="shared" si="49"/>
        <v>使用后基地无敌|Cffffd24d5|r秒。</v>
      </c>
      <c r="L132" s="8"/>
      <c r="M132" s="125" t="str">
        <f>VLOOKUP(LEFT(RIGHT(B132,5),4),物品!B:CU,20,FALSE)</f>
        <v>ReplaceableTextures\\CommandButtons\\BTNIN14.blp</v>
      </c>
      <c r="N132" s="142" t="s">
        <v>83</v>
      </c>
      <c r="O132" s="125" t="s">
        <v>88</v>
      </c>
      <c r="P132" s="8">
        <v>0</v>
      </c>
      <c r="Q132" s="8">
        <v>0</v>
      </c>
      <c r="R132" s="142" t="s">
        <v>83</v>
      </c>
      <c r="S132" s="142" t="s">
        <v>83</v>
      </c>
      <c r="T132" s="142" t="s">
        <v>83</v>
      </c>
      <c r="U132" s="142" t="s">
        <v>83</v>
      </c>
      <c r="V132" s="8"/>
      <c r="W132" s="8" t="s">
        <v>89</v>
      </c>
      <c r="X132" s="8">
        <v>0</v>
      </c>
      <c r="Y132" s="142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2" t="s">
        <v>83</v>
      </c>
      <c r="AF132" s="142" t="s">
        <v>83</v>
      </c>
      <c r="AG132" s="142" t="s">
        <v>83</v>
      </c>
      <c r="AH132" s="142" t="s">
        <v>83</v>
      </c>
      <c r="AI132" s="8"/>
      <c r="AJ132" s="8"/>
      <c r="AK132" s="8">
        <v>1</v>
      </c>
      <c r="AL132" s="8">
        <v>1</v>
      </c>
      <c r="AM132" s="142" t="s">
        <v>83</v>
      </c>
      <c r="AN132" s="8">
        <v>1</v>
      </c>
      <c r="AO132" s="8">
        <v>1</v>
      </c>
      <c r="AP132" s="8">
        <v>1</v>
      </c>
    </row>
    <row r="133" spans="1:42">
      <c r="A133" s="122"/>
      <c r="B133" s="8" t="str">
        <f>物品!B133</f>
        <v>IN15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据守</v>
      </c>
      <c r="I133" s="8" t="str">
        <f>VLOOKUP(B133,物品!B:CV,99,FALSE)</f>
        <v>场上存活的队友|Cffffd24d10|r秒内减少|Cffffd24d20%|r承受伤害</v>
      </c>
      <c r="J133" s="124" t="str">
        <f t="shared" si="48"/>
        <v>据守</v>
      </c>
      <c r="K133" s="124" t="str">
        <f t="shared" si="49"/>
        <v>场上存活的队友|Cffffd24d10|r秒内减少|Cffffd24d20%|r承受伤害</v>
      </c>
      <c r="L133" s="8"/>
      <c r="M133" s="125" t="str">
        <f>VLOOKUP(LEFT(RIGHT(B133,5),4),物品!B:CU,20,FALSE)</f>
        <v>ReplaceableTextures\\CommandButtons\\BTNIN15.blp</v>
      </c>
      <c r="N133" s="142" t="s">
        <v>83</v>
      </c>
      <c r="O133" s="125" t="s">
        <v>88</v>
      </c>
      <c r="P133" s="8">
        <v>0</v>
      </c>
      <c r="Q133" s="8">
        <v>0</v>
      </c>
      <c r="R133" s="142" t="s">
        <v>83</v>
      </c>
      <c r="S133" s="142" t="s">
        <v>83</v>
      </c>
      <c r="T133" s="142" t="s">
        <v>83</v>
      </c>
      <c r="U133" s="142" t="s">
        <v>83</v>
      </c>
      <c r="V133" s="8"/>
      <c r="W133" s="8" t="s">
        <v>89</v>
      </c>
      <c r="X133" s="8">
        <v>0</v>
      </c>
      <c r="Y133" s="142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2" t="s">
        <v>83</v>
      </c>
      <c r="AF133" s="142" t="s">
        <v>83</v>
      </c>
      <c r="AG133" s="142" t="s">
        <v>83</v>
      </c>
      <c r="AH133" s="142" t="s">
        <v>83</v>
      </c>
      <c r="AI133" s="8"/>
      <c r="AJ133" s="8"/>
      <c r="AK133" s="8">
        <v>1</v>
      </c>
      <c r="AL133" s="8">
        <v>1</v>
      </c>
      <c r="AM133" s="142" t="s">
        <v>83</v>
      </c>
      <c r="AN133" s="8">
        <v>1</v>
      </c>
      <c r="AO133" s="8">
        <v>1</v>
      </c>
      <c r="AP133" s="8">
        <v>1</v>
      </c>
    </row>
    <row r="134" spans="1:42">
      <c r="A134" s="122"/>
      <c r="B134" s="8" t="str">
        <f>物品!B134</f>
        <v>IN16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赌输可退</v>
      </c>
      <c r="I134" s="8" t="str">
        <f>VLOOKUP(B134,物品!B:CV,99,FALSE)</f>
        <v>使|Cffffd24d1|r个|Cffffd24d道果品质|r提高|Cffffd24d-1~+2|r。|n|n|Cff00ff7f只能对天级【7】或以下的道果使用|r</v>
      </c>
      <c r="J134" s="124" t="str">
        <f t="shared" si="48"/>
        <v>赌输可退</v>
      </c>
      <c r="K134" s="124" t="str">
        <f t="shared" si="49"/>
        <v>使|Cffffd24d1|r个|Cffffd24d道果品质|r提高|Cffffd24d-1~+2|r。|n|n|Cff00ff7f只能对天级【7】或以下的道果使用|r</v>
      </c>
      <c r="L134" s="8"/>
      <c r="M134" s="125" t="str">
        <f>VLOOKUP(LEFT(RIGHT(B134,5),4),物品!B:CU,20,FALSE)</f>
        <v>ReplaceableTextures\\CommandButtons\\BTNIN16.blp</v>
      </c>
      <c r="N134" s="142" t="s">
        <v>83</v>
      </c>
      <c r="O134" s="125" t="s">
        <v>88</v>
      </c>
      <c r="P134" s="8">
        <v>0</v>
      </c>
      <c r="Q134" s="8">
        <v>0</v>
      </c>
      <c r="R134" s="142" t="s">
        <v>83</v>
      </c>
      <c r="S134" s="142" t="s">
        <v>83</v>
      </c>
      <c r="T134" s="142" t="s">
        <v>83</v>
      </c>
      <c r="U134" s="142" t="s">
        <v>83</v>
      </c>
      <c r="V134" s="8"/>
      <c r="W134" s="8" t="s">
        <v>89</v>
      </c>
      <c r="X134" s="8">
        <v>0</v>
      </c>
      <c r="Y134" s="142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2" t="s">
        <v>83</v>
      </c>
      <c r="AF134" s="142" t="s">
        <v>83</v>
      </c>
      <c r="AG134" s="142" t="s">
        <v>83</v>
      </c>
      <c r="AH134" s="142" t="s">
        <v>83</v>
      </c>
      <c r="AI134" s="8"/>
      <c r="AJ134" s="8"/>
      <c r="AK134" s="8">
        <v>1</v>
      </c>
      <c r="AL134" s="8">
        <v>1</v>
      </c>
      <c r="AM134" s="142" t="s">
        <v>83</v>
      </c>
      <c r="AN134" s="8">
        <v>1</v>
      </c>
      <c r="AO134" s="8">
        <v>1</v>
      </c>
      <c r="AP134" s="8">
        <v>1</v>
      </c>
    </row>
    <row r="135" spans="1:42">
      <c r="A135" s="122"/>
      <c r="B135" s="8" t="str">
        <f>物品!B135</f>
        <v>IN17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来点玄铁</v>
      </c>
      <c r="I135" s="8" t="str">
        <f>VLOOKUP(B135,物品!B:CV,99,FALSE)</f>
        <v>玄铁|Cffffd24d+5~50|r</v>
      </c>
      <c r="J135" s="124" t="str">
        <f t="shared" si="48"/>
        <v>来点玄铁</v>
      </c>
      <c r="K135" s="124" t="str">
        <f t="shared" si="49"/>
        <v>玄铁|Cffffd24d+5~50|r</v>
      </c>
      <c r="L135" s="8"/>
      <c r="M135" s="125" t="str">
        <f>VLOOKUP(LEFT(RIGHT(B135,5),4),物品!B:CU,20,FALSE)</f>
        <v>ReplaceableTextures\\CommandButtons\\BTNIN17.blp</v>
      </c>
      <c r="N135" s="142" t="s">
        <v>83</v>
      </c>
      <c r="O135" s="125" t="s">
        <v>88</v>
      </c>
      <c r="P135" s="8">
        <v>0</v>
      </c>
      <c r="Q135" s="8">
        <v>0</v>
      </c>
      <c r="R135" s="142" t="s">
        <v>83</v>
      </c>
      <c r="S135" s="142" t="s">
        <v>83</v>
      </c>
      <c r="T135" s="142" t="s">
        <v>83</v>
      </c>
      <c r="U135" s="142" t="s">
        <v>83</v>
      </c>
      <c r="V135" s="8"/>
      <c r="W135" s="8" t="s">
        <v>89</v>
      </c>
      <c r="X135" s="8">
        <v>0</v>
      </c>
      <c r="Y135" s="142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2" t="s">
        <v>83</v>
      </c>
      <c r="AF135" s="142" t="s">
        <v>83</v>
      </c>
      <c r="AG135" s="142" t="s">
        <v>83</v>
      </c>
      <c r="AH135" s="142" t="s">
        <v>83</v>
      </c>
      <c r="AI135" s="8"/>
      <c r="AJ135" s="8"/>
      <c r="AK135" s="8">
        <v>1</v>
      </c>
      <c r="AL135" s="8">
        <v>1</v>
      </c>
      <c r="AM135" s="142" t="s">
        <v>83</v>
      </c>
      <c r="AN135" s="8">
        <v>1</v>
      </c>
      <c r="AO135" s="8">
        <v>1</v>
      </c>
      <c r="AP135" s="8">
        <v>1</v>
      </c>
    </row>
    <row r="136" spans="1:42">
      <c r="A136" s="122"/>
      <c r="B136" s="8" t="str">
        <f>物品!B136</f>
        <v>IN18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恭喜发财</v>
      </c>
      <c r="I136" s="8" t="str">
        <f>VLOOKUP(B136,物品!B:CV,99,FALSE)</f>
        <v>|CffFFD24D30|r秒内增加|Cffffd24d30%|r金币加成</v>
      </c>
      <c r="J136" s="124" t="str">
        <f t="shared" ref="J136" si="50">H136</f>
        <v>恭喜发财</v>
      </c>
      <c r="K136" s="124" t="str">
        <f t="shared" ref="K136" si="51">I136</f>
        <v>|CffFFD24D30|r秒内增加|Cffffd24d30%|r金币加成</v>
      </c>
      <c r="L136" s="8"/>
      <c r="M136" s="125" t="str">
        <f>VLOOKUP(LEFT(RIGHT(B136,5),4),物品!B:CU,20,FALSE)</f>
        <v>ReplaceableTextures\\CommandButtons\\BTNIN18.blp</v>
      </c>
      <c r="N136" s="142" t="s">
        <v>83</v>
      </c>
      <c r="O136" s="125" t="s">
        <v>88</v>
      </c>
      <c r="P136" s="8">
        <v>0</v>
      </c>
      <c r="Q136" s="8">
        <v>0</v>
      </c>
      <c r="R136" s="142" t="s">
        <v>83</v>
      </c>
      <c r="S136" s="142" t="s">
        <v>83</v>
      </c>
      <c r="T136" s="142" t="s">
        <v>83</v>
      </c>
      <c r="U136" s="142" t="s">
        <v>83</v>
      </c>
      <c r="V136" s="8"/>
      <c r="W136" s="8" t="s">
        <v>89</v>
      </c>
      <c r="X136" s="8">
        <v>0</v>
      </c>
      <c r="Y136" s="142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2" t="s">
        <v>83</v>
      </c>
      <c r="AF136" s="142" t="s">
        <v>83</v>
      </c>
      <c r="AG136" s="142" t="s">
        <v>83</v>
      </c>
      <c r="AH136" s="142" t="s">
        <v>83</v>
      </c>
      <c r="AI136" s="8"/>
      <c r="AJ136" s="8"/>
      <c r="AK136" s="8">
        <v>1</v>
      </c>
      <c r="AL136" s="8">
        <v>1</v>
      </c>
      <c r="AM136" s="142" t="s">
        <v>83</v>
      </c>
      <c r="AN136" s="8">
        <v>1</v>
      </c>
      <c r="AO136" s="8">
        <v>1</v>
      </c>
      <c r="AP136" s="8">
        <v>1</v>
      </c>
    </row>
    <row r="137" spans="1:42">
      <c r="A137" s="122"/>
      <c r="B137" s="8" t="str">
        <f>物品!B137</f>
        <v>IN19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附魔宝箱</v>
      </c>
      <c r="I137" s="8" t="str">
        <f>VLOOKUP(B137,物品!B:CV,99,FALSE)</f>
        <v>使用后获得|Cffffc926随机类型技能附魔卷|r</v>
      </c>
      <c r="J137" s="124" t="str">
        <f t="shared" ref="J137:J145" si="52">H137</f>
        <v>附魔宝箱</v>
      </c>
      <c r="K137" s="124" t="str">
        <f t="shared" ref="K137:K145" si="53">I137</f>
        <v>使用后获得|Cffffc926随机类型技能附魔卷|r</v>
      </c>
      <c r="L137" s="8"/>
      <c r="M137" s="125" t="str">
        <f>VLOOKUP(LEFT(RIGHT(B137,5),4),物品!B:CU,20,FALSE)</f>
        <v>ReplaceableTextures\\CommandButtons\\BTNIN16.blp</v>
      </c>
      <c r="N137" s="142" t="s">
        <v>83</v>
      </c>
      <c r="O137" s="125" t="s">
        <v>88</v>
      </c>
      <c r="P137" s="8">
        <v>0</v>
      </c>
      <c r="Q137" s="8">
        <v>0</v>
      </c>
      <c r="R137" s="142" t="s">
        <v>83</v>
      </c>
      <c r="S137" s="142" t="s">
        <v>83</v>
      </c>
      <c r="T137" s="142" t="s">
        <v>83</v>
      </c>
      <c r="U137" s="142" t="s">
        <v>83</v>
      </c>
      <c r="V137" s="8"/>
      <c r="W137" s="8" t="s">
        <v>89</v>
      </c>
      <c r="X137" s="8">
        <v>0</v>
      </c>
      <c r="Y137" s="142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2" t="s">
        <v>83</v>
      </c>
      <c r="AF137" s="142" t="s">
        <v>83</v>
      </c>
      <c r="AG137" s="142" t="s">
        <v>83</v>
      </c>
      <c r="AH137" s="142" t="s">
        <v>83</v>
      </c>
      <c r="AI137" s="8"/>
      <c r="AJ137" s="8"/>
      <c r="AK137" s="8">
        <v>1</v>
      </c>
      <c r="AL137" s="8">
        <v>1</v>
      </c>
      <c r="AM137" s="142" t="s">
        <v>83</v>
      </c>
      <c r="AN137" s="8">
        <v>1</v>
      </c>
      <c r="AO137" s="8">
        <v>1</v>
      </c>
      <c r="AP137" s="8">
        <v>1</v>
      </c>
    </row>
    <row r="138" spans="1:42">
      <c r="A138" s="122"/>
      <c r="B138" s="8" t="str">
        <f>物品!B138</f>
        <v>IN20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鼠年大吉</v>
      </c>
      <c r="I138" s="8" t="str">
        <f>VLOOKUP(B138,物品!B:CV,99,FALSE)</f>
        <v>|CffFFD24D30|r秒内杀敌金币|Cffffd24d+10|r</v>
      </c>
      <c r="J138" s="124" t="str">
        <f t="shared" si="52"/>
        <v>鼠年大吉</v>
      </c>
      <c r="K138" s="124" t="str">
        <f t="shared" si="53"/>
        <v>|CffFFD24D30|r秒内杀敌金币|Cffffd24d+10|r</v>
      </c>
      <c r="L138" s="8"/>
      <c r="M138" s="125" t="str">
        <f>VLOOKUP(LEFT(RIGHT(B138,5),4),物品!B:CU,20,FALSE)</f>
        <v>ReplaceableTextures\\CommandButtons\\BTNIN20.blp</v>
      </c>
      <c r="N138" s="142" t="s">
        <v>83</v>
      </c>
      <c r="O138" s="125" t="s">
        <v>88</v>
      </c>
      <c r="P138" s="8">
        <v>0</v>
      </c>
      <c r="Q138" s="8">
        <v>0</v>
      </c>
      <c r="R138" s="142" t="s">
        <v>83</v>
      </c>
      <c r="S138" s="142" t="s">
        <v>83</v>
      </c>
      <c r="T138" s="142" t="s">
        <v>83</v>
      </c>
      <c r="U138" s="142" t="s">
        <v>83</v>
      </c>
      <c r="V138" s="8"/>
      <c r="W138" s="8" t="s">
        <v>89</v>
      </c>
      <c r="X138" s="8">
        <v>0</v>
      </c>
      <c r="Y138" s="142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2" t="s">
        <v>83</v>
      </c>
      <c r="AF138" s="142" t="s">
        <v>83</v>
      </c>
      <c r="AG138" s="142" t="s">
        <v>83</v>
      </c>
      <c r="AH138" s="142" t="s">
        <v>83</v>
      </c>
      <c r="AI138" s="8"/>
      <c r="AJ138" s="8"/>
      <c r="AK138" s="8">
        <v>1</v>
      </c>
      <c r="AL138" s="8">
        <v>1</v>
      </c>
      <c r="AM138" s="142" t="s">
        <v>83</v>
      </c>
      <c r="AN138" s="8">
        <v>1</v>
      </c>
      <c r="AO138" s="8">
        <v>1</v>
      </c>
      <c r="AP138" s="8">
        <v>1</v>
      </c>
    </row>
    <row r="139" spans="1:42">
      <c r="A139" s="122"/>
      <c r="B139" s="8" t="str">
        <f>物品!B139</f>
        <v>IN21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兄弟们拼了</v>
      </c>
      <c r="I139" s="8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24" t="str">
        <f t="shared" si="52"/>
        <v>兄弟们拼了</v>
      </c>
      <c r="K139" s="124" t="str">
        <f t="shared" si="53"/>
        <v>全体队友|Cffffd24d10|r秒内提高|Cffffd24d30%|r生命恢复，|Cffffd24d物理及法术伤害提高50%|r。|n|Cff00ff7f效果结束时，所有队友当前生命值降低至20%|r|r</v>
      </c>
      <c r="L139" s="8"/>
      <c r="M139" s="125" t="str">
        <f>VLOOKUP(LEFT(RIGHT(B139,5),4),物品!B:CU,20,FALSE)</f>
        <v>ReplaceableTextures\\CommandButtons\\BTNIN21.blp</v>
      </c>
      <c r="N139" s="142" t="s">
        <v>83</v>
      </c>
      <c r="O139" s="125" t="s">
        <v>88</v>
      </c>
      <c r="P139" s="8">
        <v>0</v>
      </c>
      <c r="Q139" s="8">
        <v>0</v>
      </c>
      <c r="R139" s="142" t="s">
        <v>83</v>
      </c>
      <c r="S139" s="142" t="s">
        <v>83</v>
      </c>
      <c r="T139" s="142" t="s">
        <v>83</v>
      </c>
      <c r="U139" s="142" t="s">
        <v>83</v>
      </c>
      <c r="V139" s="8"/>
      <c r="W139" s="8" t="s">
        <v>89</v>
      </c>
      <c r="X139" s="8">
        <v>0</v>
      </c>
      <c r="Y139" s="142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2" t="s">
        <v>83</v>
      </c>
      <c r="AF139" s="142" t="s">
        <v>83</v>
      </c>
      <c r="AG139" s="142" t="s">
        <v>83</v>
      </c>
      <c r="AH139" s="142" t="s">
        <v>83</v>
      </c>
      <c r="AI139" s="8"/>
      <c r="AJ139" s="8"/>
      <c r="AK139" s="8">
        <v>1</v>
      </c>
      <c r="AL139" s="8">
        <v>1</v>
      </c>
      <c r="AM139" s="142" t="s">
        <v>83</v>
      </c>
      <c r="AN139" s="8">
        <v>1</v>
      </c>
      <c r="AO139" s="8">
        <v>1</v>
      </c>
      <c r="AP139" s="8">
        <v>1</v>
      </c>
    </row>
    <row r="140" spans="1:42">
      <c r="A140" s="122"/>
      <c r="B140" s="8" t="str">
        <f>物品!B140</f>
        <v>IN22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老铁忍住啊</v>
      </c>
      <c r="I140" s="8" t="str">
        <f>VLOOKUP(B140,物品!B:CV,99,FALSE)</f>
        <v>使用后|Cffffd24d5|r分钟内|Cffffd24d不使用任何主动技能/药水|r，获得|Cffffd24d1|r个|Cffff0000附魔宝箱|r</v>
      </c>
      <c r="J140" s="124" t="str">
        <f t="shared" si="52"/>
        <v>老铁忍住啊</v>
      </c>
      <c r="K140" s="124" t="str">
        <f t="shared" si="53"/>
        <v>使用后|Cffffd24d5|r分钟内|Cffffd24d不使用任何主动技能/药水|r，获得|Cffffd24d1|r个|Cffff0000附魔宝箱|r</v>
      </c>
      <c r="L140" s="8"/>
      <c r="M140" s="125" t="str">
        <f>VLOOKUP(LEFT(RIGHT(B140,5),4),物品!B:CU,20,FALSE)</f>
        <v>ReplaceableTextures\\CommandButtons\\BTNIN22.blp</v>
      </c>
      <c r="N140" s="142" t="s">
        <v>83</v>
      </c>
      <c r="O140" s="125" t="s">
        <v>88</v>
      </c>
      <c r="P140" s="8">
        <v>0</v>
      </c>
      <c r="Q140" s="8">
        <v>0</v>
      </c>
      <c r="R140" s="142" t="s">
        <v>83</v>
      </c>
      <c r="S140" s="142" t="s">
        <v>83</v>
      </c>
      <c r="T140" s="142" t="s">
        <v>83</v>
      </c>
      <c r="U140" s="142" t="s">
        <v>83</v>
      </c>
      <c r="V140" s="8"/>
      <c r="W140" s="8" t="s">
        <v>89</v>
      </c>
      <c r="X140" s="8">
        <v>0</v>
      </c>
      <c r="Y140" s="142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2" t="s">
        <v>83</v>
      </c>
      <c r="AF140" s="142" t="s">
        <v>83</v>
      </c>
      <c r="AG140" s="142" t="s">
        <v>83</v>
      </c>
      <c r="AH140" s="142" t="s">
        <v>83</v>
      </c>
      <c r="AI140" s="8"/>
      <c r="AJ140" s="8"/>
      <c r="AK140" s="8">
        <v>1</v>
      </c>
      <c r="AL140" s="8">
        <v>1</v>
      </c>
      <c r="AM140" s="142" t="s">
        <v>83</v>
      </c>
      <c r="AN140" s="8">
        <v>1</v>
      </c>
      <c r="AO140" s="8">
        <v>1</v>
      </c>
      <c r="AP140" s="8">
        <v>1</v>
      </c>
    </row>
    <row r="141" spans="1:42">
      <c r="A141" s="122"/>
      <c r="B141" s="8" t="str">
        <f>物品!B141</f>
        <v>IN23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老铁忍住呀</v>
      </c>
      <c r="I141" s="8" t="str">
        <f>VLOOKUP(B141,物品!B:CV,99,FALSE)</f>
        <v>使用后|Cffffd24d5|r分钟内|Cffffd24d不进行任何挑战|r，获得|Cffffd24d1|r个|Cffff0000附魔宝箱|r</v>
      </c>
      <c r="J141" s="124" t="str">
        <f t="shared" si="52"/>
        <v>老铁忍住呀</v>
      </c>
      <c r="K141" s="124" t="str">
        <f t="shared" si="53"/>
        <v>使用后|Cffffd24d5|r分钟内|Cffffd24d不进行任何挑战|r，获得|Cffffd24d1|r个|Cffff0000附魔宝箱|r</v>
      </c>
      <c r="L141" s="8"/>
      <c r="M141" s="125" t="str">
        <f>VLOOKUP(LEFT(RIGHT(B141,5),4),物品!B:CU,20,FALSE)</f>
        <v>ReplaceableTextures\\CommandButtons\\BTNIN23.blp</v>
      </c>
      <c r="N141" s="142" t="s">
        <v>83</v>
      </c>
      <c r="O141" s="125" t="s">
        <v>88</v>
      </c>
      <c r="P141" s="8">
        <v>0</v>
      </c>
      <c r="Q141" s="8">
        <v>0</v>
      </c>
      <c r="R141" s="142" t="s">
        <v>83</v>
      </c>
      <c r="S141" s="142" t="s">
        <v>83</v>
      </c>
      <c r="T141" s="142" t="s">
        <v>83</v>
      </c>
      <c r="U141" s="142" t="s">
        <v>83</v>
      </c>
      <c r="V141" s="8"/>
      <c r="W141" s="8" t="s">
        <v>89</v>
      </c>
      <c r="X141" s="8">
        <v>0</v>
      </c>
      <c r="Y141" s="142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2" t="s">
        <v>83</v>
      </c>
      <c r="AF141" s="142" t="s">
        <v>83</v>
      </c>
      <c r="AG141" s="142" t="s">
        <v>83</v>
      </c>
      <c r="AH141" s="142" t="s">
        <v>83</v>
      </c>
      <c r="AI141" s="8"/>
      <c r="AJ141" s="8"/>
      <c r="AK141" s="8">
        <v>1</v>
      </c>
      <c r="AL141" s="8">
        <v>1</v>
      </c>
      <c r="AM141" s="142" t="s">
        <v>83</v>
      </c>
      <c r="AN141" s="8">
        <v>1</v>
      </c>
      <c r="AO141" s="8">
        <v>1</v>
      </c>
      <c r="AP141" s="8">
        <v>1</v>
      </c>
    </row>
    <row r="142" spans="1:42">
      <c r="A142" s="122"/>
      <c r="B142" s="8" t="str">
        <f>物品!B142</f>
        <v>IN24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跳不动了</v>
      </c>
      <c r="I142" s="8" t="str">
        <f>VLOOKUP(B142,物品!B:CV,99,FALSE)</f>
        <v>使用后|Cffffd24d5|r分钟内|Cffffd24d不使用轻功|r，获得|Cffffd24d1|r个|Cffff0000附魔宝箱|r</v>
      </c>
      <c r="J142" s="124" t="str">
        <f t="shared" si="52"/>
        <v>跳不动了</v>
      </c>
      <c r="K142" s="124" t="str">
        <f t="shared" si="53"/>
        <v>使用后|Cffffd24d5|r分钟内|Cffffd24d不使用轻功|r，获得|Cffffd24d1|r个|Cffff0000附魔宝箱|r</v>
      </c>
      <c r="L142" s="8"/>
      <c r="M142" s="125" t="str">
        <f>VLOOKUP(LEFT(RIGHT(B142,5),4),物品!B:CU,20,FALSE)</f>
        <v>ReplaceableTextures\\CommandButtons\\BTNIN24.blp</v>
      </c>
      <c r="N142" s="142" t="s">
        <v>83</v>
      </c>
      <c r="O142" s="125" t="s">
        <v>88</v>
      </c>
      <c r="P142" s="8">
        <v>0</v>
      </c>
      <c r="Q142" s="8">
        <v>0</v>
      </c>
      <c r="R142" s="142" t="s">
        <v>83</v>
      </c>
      <c r="S142" s="142" t="s">
        <v>83</v>
      </c>
      <c r="T142" s="142" t="s">
        <v>83</v>
      </c>
      <c r="U142" s="142" t="s">
        <v>83</v>
      </c>
      <c r="V142" s="8"/>
      <c r="W142" s="8" t="s">
        <v>89</v>
      </c>
      <c r="X142" s="8">
        <v>0</v>
      </c>
      <c r="Y142" s="142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2" t="s">
        <v>83</v>
      </c>
      <c r="AF142" s="142" t="s">
        <v>83</v>
      </c>
      <c r="AG142" s="142" t="s">
        <v>83</v>
      </c>
      <c r="AH142" s="142" t="s">
        <v>83</v>
      </c>
      <c r="AI142" s="8"/>
      <c r="AJ142" s="8"/>
      <c r="AK142" s="8">
        <v>1</v>
      </c>
      <c r="AL142" s="8">
        <v>1</v>
      </c>
      <c r="AM142" s="142" t="s">
        <v>83</v>
      </c>
      <c r="AN142" s="8">
        <v>1</v>
      </c>
      <c r="AO142" s="8">
        <v>1</v>
      </c>
      <c r="AP142" s="8">
        <v>1</v>
      </c>
    </row>
    <row r="143" spans="1:42">
      <c r="A143" s="122"/>
      <c r="B143" s="8" t="str">
        <f>物品!B143</f>
        <v>IN25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|Cff00BFFF入门道果箱|r</v>
      </c>
      <c r="I143" s="8" t="str">
        <f>VLOOKUP(B143,物品!B:CV,99,FALSE)</f>
        <v>|CffFFD24D30|r秒内增加|Cffffd24d30%|r金币加成</v>
      </c>
      <c r="J143" s="124" t="str">
        <f t="shared" si="52"/>
        <v>|Cff00BFFF入门道果箱|r</v>
      </c>
      <c r="K143" s="124" t="str">
        <f t="shared" si="53"/>
        <v>|CffFFD24D30|r秒内增加|Cffffd24d30%|r金币加成</v>
      </c>
      <c r="L143" s="8"/>
      <c r="M143" s="125" t="str">
        <f>VLOOKUP(LEFT(RIGHT(B143,5),4),物品!B:CU,20,FALSE)</f>
        <v>ReplaceableTextures\\CommandButtons\\BTNAM20.blp</v>
      </c>
      <c r="N143" s="142" t="s">
        <v>83</v>
      </c>
      <c r="O143" s="125" t="s">
        <v>88</v>
      </c>
      <c r="P143" s="8">
        <v>0</v>
      </c>
      <c r="Q143" s="8">
        <v>0</v>
      </c>
      <c r="R143" s="142" t="s">
        <v>83</v>
      </c>
      <c r="S143" s="142" t="s">
        <v>83</v>
      </c>
      <c r="T143" s="142" t="s">
        <v>83</v>
      </c>
      <c r="U143" s="142" t="s">
        <v>83</v>
      </c>
      <c r="V143" s="8"/>
      <c r="W143" s="8" t="s">
        <v>89</v>
      </c>
      <c r="X143" s="8">
        <v>0</v>
      </c>
      <c r="Y143" s="142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2" t="s">
        <v>83</v>
      </c>
      <c r="AF143" s="142" t="s">
        <v>83</v>
      </c>
      <c r="AG143" s="142" t="s">
        <v>83</v>
      </c>
      <c r="AH143" s="142" t="s">
        <v>83</v>
      </c>
      <c r="AI143" s="8"/>
      <c r="AJ143" s="8"/>
      <c r="AK143" s="8">
        <v>1</v>
      </c>
      <c r="AL143" s="8">
        <v>1</v>
      </c>
      <c r="AM143" s="142" t="s">
        <v>83</v>
      </c>
      <c r="AN143" s="8">
        <v>1</v>
      </c>
      <c r="AO143" s="8">
        <v>1</v>
      </c>
      <c r="AP143" s="8">
        <v>1</v>
      </c>
    </row>
    <row r="144" spans="1:42">
      <c r="A144" s="122"/>
      <c r="B144" s="8" t="str">
        <f>物品!B144</f>
        <v>IN26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|CffFFD24D后天道果箱|r</v>
      </c>
      <c r="I144" s="8" t="str">
        <f>VLOOKUP(B144,物品!B:CV,99,FALSE)</f>
        <v>使用后获得|Cffffc926随机类型技能附魔卷|r</v>
      </c>
      <c r="J144" s="124" t="str">
        <f t="shared" si="52"/>
        <v>|CffFFD24D后天道果箱|r</v>
      </c>
      <c r="K144" s="124" t="str">
        <f t="shared" si="53"/>
        <v>使用后获得|Cffffc926随机类型技能附魔卷|r</v>
      </c>
      <c r="L144" s="8"/>
      <c r="M144" s="125" t="str">
        <f>VLOOKUP(LEFT(RIGHT(B144,5),4),物品!B:CU,20,FALSE)</f>
        <v>ReplaceableTextures\\CommandButtons\\BTNAM21.blp</v>
      </c>
      <c r="N144" s="142" t="s">
        <v>83</v>
      </c>
      <c r="O144" s="125" t="s">
        <v>88</v>
      </c>
      <c r="P144" s="8">
        <v>0</v>
      </c>
      <c r="Q144" s="8">
        <v>0</v>
      </c>
      <c r="R144" s="142" t="s">
        <v>83</v>
      </c>
      <c r="S144" s="142" t="s">
        <v>83</v>
      </c>
      <c r="T144" s="142" t="s">
        <v>83</v>
      </c>
      <c r="U144" s="142" t="s">
        <v>83</v>
      </c>
      <c r="V144" s="8"/>
      <c r="W144" s="8" t="s">
        <v>89</v>
      </c>
      <c r="X144" s="8">
        <v>0</v>
      </c>
      <c r="Y144" s="142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2" t="s">
        <v>83</v>
      </c>
      <c r="AF144" s="142" t="s">
        <v>83</v>
      </c>
      <c r="AG144" s="142" t="s">
        <v>83</v>
      </c>
      <c r="AH144" s="142" t="s">
        <v>83</v>
      </c>
      <c r="AI144" s="8"/>
      <c r="AJ144" s="8"/>
      <c r="AK144" s="8">
        <v>1</v>
      </c>
      <c r="AL144" s="8">
        <v>1</v>
      </c>
      <c r="AM144" s="142" t="s">
        <v>83</v>
      </c>
      <c r="AN144" s="8">
        <v>1</v>
      </c>
      <c r="AO144" s="8">
        <v>1</v>
      </c>
      <c r="AP144" s="8">
        <v>1</v>
      </c>
    </row>
    <row r="145" spans="1:42">
      <c r="A145" s="122"/>
      <c r="B145" s="8" t="str">
        <f>物品!B145</f>
        <v>IN27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|CffFF0000先天道果箱|r</v>
      </c>
      <c r="I145" s="8" t="str">
        <f>VLOOKUP(B145,物品!B:CV,99,FALSE)</f>
        <v>|CffFFD24D30|r秒内增加|Cffffd24d30%|r金币加成</v>
      </c>
      <c r="J145" s="124" t="str">
        <f t="shared" si="52"/>
        <v>|CffFF0000先天道果箱|r</v>
      </c>
      <c r="K145" s="124" t="str">
        <f t="shared" si="53"/>
        <v>|CffFFD24D30|r秒内增加|Cffffd24d30%|r金币加成</v>
      </c>
      <c r="L145" s="8"/>
      <c r="M145" s="125" t="str">
        <f>VLOOKUP(LEFT(RIGHT(B145,5),4),物品!B:CU,20,FALSE)</f>
        <v>ReplaceableTextures\\CommandButtons\\BTNAM22.blp</v>
      </c>
      <c r="N145" s="142" t="s">
        <v>83</v>
      </c>
      <c r="O145" s="125" t="s">
        <v>88</v>
      </c>
      <c r="P145" s="8">
        <v>0</v>
      </c>
      <c r="Q145" s="8">
        <v>0</v>
      </c>
      <c r="R145" s="142" t="s">
        <v>83</v>
      </c>
      <c r="S145" s="142" t="s">
        <v>83</v>
      </c>
      <c r="T145" s="142" t="s">
        <v>83</v>
      </c>
      <c r="U145" s="142" t="s">
        <v>83</v>
      </c>
      <c r="V145" s="8"/>
      <c r="W145" s="8" t="s">
        <v>89</v>
      </c>
      <c r="X145" s="8">
        <v>0</v>
      </c>
      <c r="Y145" s="142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2" t="s">
        <v>83</v>
      </c>
      <c r="AF145" s="142" t="s">
        <v>83</v>
      </c>
      <c r="AG145" s="142" t="s">
        <v>83</v>
      </c>
      <c r="AH145" s="142" t="s">
        <v>83</v>
      </c>
      <c r="AI145" s="8"/>
      <c r="AJ145" s="8"/>
      <c r="AK145" s="8">
        <v>1</v>
      </c>
      <c r="AL145" s="8">
        <v>1</v>
      </c>
      <c r="AM145" s="142" t="s">
        <v>83</v>
      </c>
      <c r="AN145" s="8">
        <v>1</v>
      </c>
      <c r="AO145" s="8">
        <v>1</v>
      </c>
      <c r="AP145" s="8">
        <v>1</v>
      </c>
    </row>
    <row r="146" spans="1:42">
      <c r="A146" s="122"/>
      <c r="B146" s="8" t="str">
        <f>物品!B146</f>
        <v>IN28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|CffFFD24D技能宝箱|r</v>
      </c>
      <c r="I146" s="8" t="str">
        <f>VLOOKUP(B146,物品!B:CV,99,FALSE)</f>
        <v>使用后获得|Cffffc926随机类型技能附魔卷|r</v>
      </c>
      <c r="J146" s="124" t="str">
        <f t="shared" ref="J146:J147" si="54">H146</f>
        <v>|CffFFD24D技能宝箱|r</v>
      </c>
      <c r="K146" s="124" t="str">
        <f t="shared" ref="K146:K147" si="55">I146</f>
        <v>使用后获得|Cffffc926随机类型技能附魔卷|r</v>
      </c>
      <c r="L146" s="8"/>
      <c r="M146" s="125" t="str">
        <f>VLOOKUP(LEFT(RIGHT(B146,5),4),物品!B:CU,20,FALSE)</f>
        <v>ReplaceableTextures\\CommandButtons\\BTNAM23.blp</v>
      </c>
      <c r="N146" s="142" t="s">
        <v>83</v>
      </c>
      <c r="O146" s="125" t="s">
        <v>88</v>
      </c>
      <c r="P146" s="8">
        <v>0</v>
      </c>
      <c r="Q146" s="8">
        <v>0</v>
      </c>
      <c r="R146" s="142" t="s">
        <v>83</v>
      </c>
      <c r="S146" s="142" t="s">
        <v>83</v>
      </c>
      <c r="T146" s="142" t="s">
        <v>83</v>
      </c>
      <c r="U146" s="142" t="s">
        <v>83</v>
      </c>
      <c r="V146" s="8"/>
      <c r="W146" s="8" t="s">
        <v>89</v>
      </c>
      <c r="X146" s="8">
        <v>0</v>
      </c>
      <c r="Y146" s="142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2" t="s">
        <v>83</v>
      </c>
      <c r="AF146" s="142" t="s">
        <v>83</v>
      </c>
      <c r="AG146" s="142" t="s">
        <v>83</v>
      </c>
      <c r="AH146" s="142" t="s">
        <v>83</v>
      </c>
      <c r="AI146" s="8"/>
      <c r="AJ146" s="8"/>
      <c r="AK146" s="8">
        <v>1</v>
      </c>
      <c r="AL146" s="8">
        <v>1</v>
      </c>
      <c r="AM146" s="142" t="s">
        <v>83</v>
      </c>
      <c r="AN146" s="8">
        <v>1</v>
      </c>
      <c r="AO146" s="8">
        <v>1</v>
      </c>
      <c r="AP146" s="8">
        <v>1</v>
      </c>
    </row>
    <row r="147" spans="1:42">
      <c r="A147" s="122"/>
      <c r="B147" s="8" t="str">
        <f>物品!B147</f>
        <v>IN29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|CffFFD24D附魔宝箱|r</v>
      </c>
      <c r="I147" s="8" t="str">
        <f>VLOOKUP(B147,物品!B:CV,99,FALSE)</f>
        <v>使用后获得|Cffffc926随机类型技能附魔卷|r</v>
      </c>
      <c r="J147" s="124" t="str">
        <f t="shared" si="54"/>
        <v>|CffFFD24D附魔宝箱|r</v>
      </c>
      <c r="K147" s="124" t="str">
        <f t="shared" si="55"/>
        <v>使用后获得|Cffffc926随机类型技能附魔卷|r</v>
      </c>
      <c r="L147" s="8"/>
      <c r="M147" s="125" t="str">
        <f>VLOOKUP(LEFT(RIGHT(B147,5),4),物品!B:CU,20,FALSE)</f>
        <v>ReplaceableTextures\\CommandButtons\\BTNAM24.blp</v>
      </c>
      <c r="N147" s="142" t="s">
        <v>83</v>
      </c>
      <c r="O147" s="125" t="s">
        <v>88</v>
      </c>
      <c r="P147" s="8">
        <v>0</v>
      </c>
      <c r="Q147" s="8">
        <v>0</v>
      </c>
      <c r="R147" s="142" t="s">
        <v>83</v>
      </c>
      <c r="S147" s="142" t="s">
        <v>83</v>
      </c>
      <c r="T147" s="142" t="s">
        <v>83</v>
      </c>
      <c r="U147" s="142" t="s">
        <v>83</v>
      </c>
      <c r="V147" s="8"/>
      <c r="W147" s="8" t="s">
        <v>89</v>
      </c>
      <c r="X147" s="8">
        <v>0</v>
      </c>
      <c r="Y147" s="142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2" t="s">
        <v>83</v>
      </c>
      <c r="AF147" s="142" t="s">
        <v>83</v>
      </c>
      <c r="AG147" s="142" t="s">
        <v>83</v>
      </c>
      <c r="AH147" s="142" t="s">
        <v>83</v>
      </c>
      <c r="AI147" s="8"/>
      <c r="AJ147" s="8"/>
      <c r="AK147" s="8">
        <v>1</v>
      </c>
      <c r="AL147" s="8">
        <v>1</v>
      </c>
      <c r="AM147" s="142" t="s">
        <v>83</v>
      </c>
      <c r="AN147" s="8">
        <v>1</v>
      </c>
      <c r="AO147" s="8">
        <v>1</v>
      </c>
      <c r="AP147" s="8">
        <v>1</v>
      </c>
    </row>
    <row r="148" spans="1:42">
      <c r="A148" s="122"/>
      <c r="B148" s="8" t="str">
        <f>物品!B148</f>
        <v>IN30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幸运星盒</v>
      </c>
      <c r="I148" s="8" t="str">
        <f>VLOOKUP(B148,物品!B:CV,99,FALSE)</f>
        <v>开启后获得|Cff00bfff随机奖励|r。</v>
      </c>
      <c r="J148" s="124" t="str">
        <f t="shared" ref="J148:J149" si="56">H148</f>
        <v>幸运星盒</v>
      </c>
      <c r="K148" s="124" t="str">
        <f t="shared" ref="K148:K149" si="57">I148</f>
        <v>开启后获得|Cff00bfff随机奖励|r。</v>
      </c>
      <c r="L148" s="8"/>
      <c r="M148" s="125" t="str">
        <f>VLOOKUP(LEFT(RIGHT(B148,5),4),物品!B:CU,20,FALSE)</f>
        <v>ReplaceableTextures\\CommandButtons\\BTNI013.blp</v>
      </c>
      <c r="N148" s="142" t="s">
        <v>83</v>
      </c>
      <c r="O148" s="125" t="s">
        <v>88</v>
      </c>
      <c r="P148" s="8">
        <v>0</v>
      </c>
      <c r="Q148" s="8">
        <v>0</v>
      </c>
      <c r="R148" s="142" t="s">
        <v>83</v>
      </c>
      <c r="S148" s="142" t="s">
        <v>83</v>
      </c>
      <c r="T148" s="142" t="s">
        <v>83</v>
      </c>
      <c r="U148" s="142" t="s">
        <v>83</v>
      </c>
      <c r="V148" s="8"/>
      <c r="W148" s="8" t="s">
        <v>89</v>
      </c>
      <c r="X148" s="8">
        <v>0</v>
      </c>
      <c r="Y148" s="142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2" t="s">
        <v>83</v>
      </c>
      <c r="AF148" s="142" t="s">
        <v>83</v>
      </c>
      <c r="AG148" s="142" t="s">
        <v>83</v>
      </c>
      <c r="AH148" s="142" t="s">
        <v>83</v>
      </c>
      <c r="AI148" s="8"/>
      <c r="AJ148" s="8"/>
      <c r="AK148" s="8">
        <v>1</v>
      </c>
      <c r="AL148" s="8">
        <v>1</v>
      </c>
      <c r="AM148" s="142" t="s">
        <v>83</v>
      </c>
      <c r="AN148" s="8">
        <v>1</v>
      </c>
      <c r="AO148" s="8">
        <v>1</v>
      </c>
      <c r="AP148" s="8">
        <v>1</v>
      </c>
    </row>
    <row r="149" spans="1:42">
      <c r="A149" s="122"/>
      <c r="B149" s="8" t="str">
        <f>物品!B149</f>
        <v>IN31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炽星魔盒</v>
      </c>
      <c r="I149" s="8" t="str">
        <f>VLOOKUP(B149,物品!B:CV,99,FALSE)</f>
        <v>开启后获得|Cffffd24d随机奖励|r。</v>
      </c>
      <c r="J149" s="124" t="str">
        <f t="shared" si="56"/>
        <v>炽星魔盒</v>
      </c>
      <c r="K149" s="124" t="str">
        <f t="shared" si="57"/>
        <v>开启后获得|Cffffd24d随机奖励|r。</v>
      </c>
      <c r="L149" s="8"/>
      <c r="M149" s="125" t="str">
        <f>VLOOKUP(LEFT(RIGHT(B149,5),4),物品!B:CU,20,FALSE)</f>
        <v>ReplaceableTextures\\CommandButtons\\BTNI014.blp</v>
      </c>
      <c r="N149" s="142" t="s">
        <v>83</v>
      </c>
      <c r="O149" s="125" t="s">
        <v>88</v>
      </c>
      <c r="P149" s="8">
        <v>0</v>
      </c>
      <c r="Q149" s="8">
        <v>0</v>
      </c>
      <c r="R149" s="142" t="s">
        <v>83</v>
      </c>
      <c r="S149" s="142" t="s">
        <v>83</v>
      </c>
      <c r="T149" s="142" t="s">
        <v>83</v>
      </c>
      <c r="U149" s="142" t="s">
        <v>83</v>
      </c>
      <c r="V149" s="8"/>
      <c r="W149" s="8" t="s">
        <v>89</v>
      </c>
      <c r="X149" s="8">
        <v>0</v>
      </c>
      <c r="Y149" s="142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2" t="s">
        <v>83</v>
      </c>
      <c r="AF149" s="142" t="s">
        <v>83</v>
      </c>
      <c r="AG149" s="142" t="s">
        <v>83</v>
      </c>
      <c r="AH149" s="142" t="s">
        <v>83</v>
      </c>
      <c r="AI149" s="8"/>
      <c r="AJ149" s="8"/>
      <c r="AK149" s="8">
        <v>1</v>
      </c>
      <c r="AL149" s="8">
        <v>1</v>
      </c>
      <c r="AM149" s="142" t="s">
        <v>83</v>
      </c>
      <c r="AN149" s="8">
        <v>1</v>
      </c>
      <c r="AO149" s="8">
        <v>1</v>
      </c>
      <c r="AP149" s="8">
        <v>1</v>
      </c>
    </row>
    <row r="150" spans="1:42">
      <c r="A150" s="122"/>
      <c r="B150" s="8" t="str">
        <f>物品!B150</f>
        <v>IP01</v>
      </c>
      <c r="C150" s="8" t="s">
        <v>41</v>
      </c>
      <c r="D150" s="8" t="s">
        <v>81</v>
      </c>
      <c r="E150" s="8"/>
      <c r="F150" s="8"/>
      <c r="G150" s="8"/>
      <c r="H150" s="8" t="str">
        <f>VLOOKUP(LEFT(RIGHT(B150,5),4),物品!B:CU,2,FALSE)</f>
        <v>|CffFF0000时渊碎片|r</v>
      </c>
      <c r="I150" s="8" t="str">
        <f>VLOOKUP(B150,物品!B:CV,99,FALSE)</f>
        <v>每次|Cffffd24d完成|r时渊副本将消耗|Cffffd24d1|r个|Cffffd24d时渊碎片|r</v>
      </c>
      <c r="J150" s="124" t="str">
        <f t="shared" ref="J150" si="58">H150</f>
        <v>|CffFF0000时渊碎片|r</v>
      </c>
      <c r="K150" s="124" t="str">
        <f t="shared" ref="K150" si="59">I150</f>
        <v>每次|Cffffd24d完成|r时渊副本将消耗|Cffffd24d1|r个|Cffffd24d时渊碎片|r</v>
      </c>
      <c r="L150" s="8"/>
      <c r="M150" s="125" t="str">
        <f>VLOOKUP(LEFT(RIGHT(B150,5),4),物品!B:CU,20,FALSE)</f>
        <v>ReplaceableTextures\\CommandButtons\\BTNIP01.blp</v>
      </c>
      <c r="N150" s="142" t="s">
        <v>83</v>
      </c>
      <c r="O150" s="125" t="s">
        <v>90</v>
      </c>
      <c r="P150" s="8">
        <v>0</v>
      </c>
      <c r="Q150" s="8">
        <v>0</v>
      </c>
      <c r="R150" s="142" t="s">
        <v>83</v>
      </c>
      <c r="S150" s="142" t="s">
        <v>83</v>
      </c>
      <c r="T150" s="142" t="s">
        <v>83</v>
      </c>
      <c r="U150" s="142" t="s">
        <v>83</v>
      </c>
      <c r="V150" s="8"/>
      <c r="W150" s="8" t="s">
        <v>87</v>
      </c>
      <c r="X150" s="8">
        <v>0</v>
      </c>
      <c r="Y150" s="142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2" t="s">
        <v>83</v>
      </c>
      <c r="AF150" s="142" t="s">
        <v>83</v>
      </c>
      <c r="AG150" s="142" t="s">
        <v>83</v>
      </c>
      <c r="AH150" s="142" t="s">
        <v>83</v>
      </c>
      <c r="AI150" s="8">
        <v>1</v>
      </c>
      <c r="AJ150" s="8"/>
      <c r="AK150" s="8">
        <v>1</v>
      </c>
      <c r="AL150" s="8">
        <v>1</v>
      </c>
      <c r="AM150" s="142" t="s">
        <v>83</v>
      </c>
      <c r="AN150" s="8">
        <v>1</v>
      </c>
      <c r="AO150" s="8">
        <v>1</v>
      </c>
      <c r="AP150" s="8">
        <v>1</v>
      </c>
    </row>
    <row r="151" spans="1:42">
      <c r="A151" s="122"/>
      <c r="B151" s="8" t="str">
        <f>物品!B151</f>
        <v>IP02</v>
      </c>
      <c r="C151" s="8" t="s">
        <v>41</v>
      </c>
      <c r="D151" s="8" t="s">
        <v>81</v>
      </c>
      <c r="E151" s="8"/>
      <c r="F151" s="8"/>
      <c r="G151" s="8"/>
      <c r="H151" s="8" t="str">
        <f>VLOOKUP(LEFT(RIGHT(B151,5),4),物品!B:CU,2,FALSE)</f>
        <v>|CffFFD24D补天石|r</v>
      </c>
      <c r="I151" s="8" t="str">
        <f>VLOOKUP(B151,物品!B:CV,99,FALSE)</f>
        <v>点击|Cffffc926选中指定法宝|r后，再点击|Cffffc926重铸|r，可|Cffffc926重置|r指定法宝，|Cffffc926品质不变|r。|n|n|Cff00ff7f每次重铸消耗1个补天石|r</v>
      </c>
      <c r="J151" s="124" t="str">
        <f t="shared" ref="J151:J159" si="60">H151</f>
        <v>|CffFFD24D补天石|r</v>
      </c>
      <c r="K151" s="124" t="str">
        <f t="shared" ref="K151:K159" si="61">I151</f>
        <v>点击|Cffffc926选中指定法宝|r后，再点击|Cffffc926重铸|r，可|Cffffc926重置|r指定法宝，|Cffffc926品质不变|r。|n|n|Cff00ff7f每次重铸消耗1个补天石|r</v>
      </c>
      <c r="L151" s="8"/>
      <c r="M151" s="125" t="str">
        <f>VLOOKUP(LEFT(RIGHT(B151,5),4),物品!B:CU,20,FALSE)</f>
        <v>ReplaceableTextures\\CommandButtons\\BTNIP02.blp</v>
      </c>
      <c r="N151" s="142" t="s">
        <v>83</v>
      </c>
      <c r="O151" s="125" t="s">
        <v>90</v>
      </c>
      <c r="P151" s="8">
        <v>0</v>
      </c>
      <c r="Q151" s="8">
        <v>0</v>
      </c>
      <c r="R151" s="142" t="s">
        <v>83</v>
      </c>
      <c r="S151" s="142" t="s">
        <v>83</v>
      </c>
      <c r="T151" s="142" t="s">
        <v>83</v>
      </c>
      <c r="U151" s="142" t="s">
        <v>83</v>
      </c>
      <c r="V151" s="8"/>
      <c r="W151" s="8" t="s">
        <v>87</v>
      </c>
      <c r="X151" s="8">
        <v>0</v>
      </c>
      <c r="Y151" s="142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2" t="s">
        <v>83</v>
      </c>
      <c r="AF151" s="142" t="s">
        <v>83</v>
      </c>
      <c r="AG151" s="142" t="s">
        <v>83</v>
      </c>
      <c r="AH151" s="142" t="s">
        <v>83</v>
      </c>
      <c r="AI151" s="8">
        <v>1</v>
      </c>
      <c r="AJ151" s="8"/>
      <c r="AK151" s="8">
        <v>1</v>
      </c>
      <c r="AL151" s="8">
        <v>1</v>
      </c>
      <c r="AM151" s="142" t="s">
        <v>83</v>
      </c>
      <c r="AN151" s="8">
        <v>1</v>
      </c>
      <c r="AO151" s="8">
        <v>1</v>
      </c>
      <c r="AP151" s="8">
        <v>1</v>
      </c>
    </row>
    <row r="152" spans="1:42">
      <c r="A152" s="122"/>
      <c r="B152" s="8" t="str">
        <f>物品!B152</f>
        <v>IP03</v>
      </c>
      <c r="C152" s="8" t="s">
        <v>41</v>
      </c>
      <c r="D152" s="8" t="s">
        <v>81</v>
      </c>
      <c r="E152" s="8"/>
      <c r="F152" s="8"/>
      <c r="G152" s="8"/>
      <c r="H152" s="8" t="str">
        <f>VLOOKUP(LEFT(RIGHT(B152,5),4),物品!B:CU,2,FALSE)</f>
        <v>|CffFF0000鸿蒙结晶|r</v>
      </c>
      <c r="I152" s="8" t="str">
        <f>VLOOKUP(B152,物品!B:CV,99,FALSE)</f>
        <v>点击|Cffffc926选中指定法宝|r后，再点击|Cffffc926锻造|r，可|Cffffc926重置|r指定法宝，|Cffffc926品质提升一级|r。|n|n|Cff00ff7f每次重铸消耗1个鸿蒙结晶|r</v>
      </c>
      <c r="J152" s="124" t="str">
        <f t="shared" si="60"/>
        <v>|CffFF0000鸿蒙结晶|r</v>
      </c>
      <c r="K152" s="124" t="str">
        <f t="shared" si="61"/>
        <v>点击|Cffffc926选中指定法宝|r后，再点击|Cffffc926锻造|r，可|Cffffc926重置|r指定法宝，|Cffffc926品质提升一级|r。|n|n|Cff00ff7f每次重铸消耗1个鸿蒙结晶|r</v>
      </c>
      <c r="L152" s="8"/>
      <c r="M152" s="125" t="str">
        <f>VLOOKUP(LEFT(RIGHT(B152,5),4),物品!B:CU,20,FALSE)</f>
        <v>ReplaceableTextures\\CommandButtons\\BTNIP03.blp</v>
      </c>
      <c r="N152" s="142" t="s">
        <v>83</v>
      </c>
      <c r="O152" s="125" t="s">
        <v>90</v>
      </c>
      <c r="P152" s="8">
        <v>0</v>
      </c>
      <c r="Q152" s="8">
        <v>0</v>
      </c>
      <c r="R152" s="142" t="s">
        <v>83</v>
      </c>
      <c r="S152" s="142" t="s">
        <v>83</v>
      </c>
      <c r="T152" s="142" t="s">
        <v>83</v>
      </c>
      <c r="U152" s="142" t="s">
        <v>83</v>
      </c>
      <c r="V152" s="8"/>
      <c r="W152" s="8" t="s">
        <v>87</v>
      </c>
      <c r="X152" s="8">
        <v>0</v>
      </c>
      <c r="Y152" s="142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2" t="s">
        <v>83</v>
      </c>
      <c r="AF152" s="142" t="s">
        <v>83</v>
      </c>
      <c r="AG152" s="142" t="s">
        <v>83</v>
      </c>
      <c r="AH152" s="142" t="s">
        <v>83</v>
      </c>
      <c r="AI152" s="8">
        <v>1</v>
      </c>
      <c r="AJ152" s="8"/>
      <c r="AK152" s="8">
        <v>1</v>
      </c>
      <c r="AL152" s="8">
        <v>1</v>
      </c>
      <c r="AM152" s="142" t="s">
        <v>83</v>
      </c>
      <c r="AN152" s="8">
        <v>1</v>
      </c>
      <c r="AO152" s="8">
        <v>1</v>
      </c>
      <c r="AP152" s="8">
        <v>1</v>
      </c>
    </row>
    <row r="153" spans="1:42">
      <c r="A153" s="122"/>
      <c r="B153" s="8" t="str">
        <f>物品!B153</f>
        <v>IP04</v>
      </c>
      <c r="C153" s="8" t="s">
        <v>41</v>
      </c>
      <c r="D153" s="8" t="s">
        <v>81</v>
      </c>
      <c r="E153" s="8" t="s">
        <v>82</v>
      </c>
      <c r="F153" s="8"/>
      <c r="G153" s="8"/>
      <c r="H153" s="8" t="str">
        <f>VLOOKUP(LEFT(RIGHT(B153,5),4),物品!B:CU,2,FALSE)</f>
        <v>|CffFF0000神兽洗灵石|r</v>
      </c>
      <c r="I153" s="8" t="str">
        <f>VLOOKUP(B153,物品!B:CV,99,FALSE)</f>
        <v>使用后|Cffffd24d重置|r当前|Cffff0000神兽神通【R】|r|Cfff0f0f0。|r</v>
      </c>
      <c r="J153" s="124" t="str">
        <f t="shared" ref="J153:J154" si="62">H153</f>
        <v>|CffFF0000神兽洗灵石|r</v>
      </c>
      <c r="K153" s="124" t="str">
        <f t="shared" ref="K153:K154" si="63">I153</f>
        <v>使用后|Cffffd24d重置|r当前|Cffff0000神兽神通【R】|r|Cfff0f0f0。|r</v>
      </c>
      <c r="L153" s="8"/>
      <c r="M153" s="125" t="str">
        <f>VLOOKUP(LEFT(RIGHT(B153,5),4),物品!B:CU,20,FALSE)</f>
        <v>ReplaceableTextures\\CommandButtons\\BTNIP04.blp</v>
      </c>
      <c r="N153" s="142" t="s">
        <v>83</v>
      </c>
      <c r="O153" s="125" t="s">
        <v>90</v>
      </c>
      <c r="P153" s="8">
        <v>0</v>
      </c>
      <c r="Q153" s="8">
        <v>0</v>
      </c>
      <c r="R153" s="142" t="s">
        <v>83</v>
      </c>
      <c r="S153" s="142" t="s">
        <v>83</v>
      </c>
      <c r="T153" s="142" t="s">
        <v>83</v>
      </c>
      <c r="U153" s="142" t="s">
        <v>83</v>
      </c>
      <c r="V153" s="8"/>
      <c r="W153" s="8" t="s">
        <v>89</v>
      </c>
      <c r="X153" s="8">
        <v>0</v>
      </c>
      <c r="Y153" s="142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2" t="s">
        <v>83</v>
      </c>
      <c r="AF153" s="142" t="s">
        <v>83</v>
      </c>
      <c r="AG153" s="142" t="s">
        <v>83</v>
      </c>
      <c r="AH153" s="142" t="s">
        <v>83</v>
      </c>
      <c r="AI153" s="8"/>
      <c r="AJ153" s="8"/>
      <c r="AK153" s="8">
        <v>1</v>
      </c>
      <c r="AL153" s="8">
        <v>1</v>
      </c>
      <c r="AM153" s="142" t="s">
        <v>83</v>
      </c>
      <c r="AN153" s="8">
        <v>1</v>
      </c>
      <c r="AO153" s="8">
        <v>1</v>
      </c>
      <c r="AP153" s="8">
        <v>1</v>
      </c>
    </row>
    <row r="154" spans="1:42">
      <c r="A154" s="122"/>
      <c r="B154" s="8" t="str">
        <f>物品!B154</f>
        <v>IP05</v>
      </c>
      <c r="C154" s="8" t="s">
        <v>41</v>
      </c>
      <c r="D154" s="8" t="s">
        <v>81</v>
      </c>
      <c r="E154" s="8" t="s">
        <v>82</v>
      </c>
      <c r="F154" s="8"/>
      <c r="G154" s="8"/>
      <c r="H154" s="8" t="str">
        <f>VLOOKUP(LEFT(RIGHT(B154,5),4),物品!B:CU,2,FALSE)</f>
        <v>|CffFF0000虚空圣战卡|r</v>
      </c>
      <c r="I154" s="8" t="str">
        <f>VLOOKUP(B154,物品!B:CV,99,FALSE)</f>
        <v>开启|Cffffd24d结界|r，前往虚空终止|Cffff0000封神圣战|r。</v>
      </c>
      <c r="J154" s="124" t="str">
        <f t="shared" si="62"/>
        <v>|CffFF0000虚空圣战卡|r</v>
      </c>
      <c r="K154" s="124" t="str">
        <f t="shared" si="63"/>
        <v>开启|Cffffd24d结界|r，前往虚空终止|Cffff0000封神圣战|r。</v>
      </c>
      <c r="L154" s="8"/>
      <c r="M154" s="125" t="str">
        <f>VLOOKUP(LEFT(RIGHT(B154,5),4),物品!B:CU,20,FALSE)</f>
        <v>ReplaceableTextures\\CommandButtons\\BTNIP05.blp</v>
      </c>
      <c r="N154" s="142" t="s">
        <v>83</v>
      </c>
      <c r="O154" s="125" t="s">
        <v>90</v>
      </c>
      <c r="P154" s="8">
        <v>0</v>
      </c>
      <c r="Q154" s="8">
        <v>0</v>
      </c>
      <c r="R154" s="142" t="s">
        <v>83</v>
      </c>
      <c r="S154" s="142" t="s">
        <v>83</v>
      </c>
      <c r="T154" s="142" t="s">
        <v>83</v>
      </c>
      <c r="U154" s="142" t="s">
        <v>83</v>
      </c>
      <c r="V154" s="8"/>
      <c r="W154" s="8" t="s">
        <v>89</v>
      </c>
      <c r="X154" s="8">
        <v>0</v>
      </c>
      <c r="Y154" s="142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2" t="s">
        <v>83</v>
      </c>
      <c r="AF154" s="142" t="s">
        <v>83</v>
      </c>
      <c r="AG154" s="142" t="s">
        <v>83</v>
      </c>
      <c r="AH154" s="142" t="s">
        <v>83</v>
      </c>
      <c r="AI154" s="8"/>
      <c r="AJ154" s="8"/>
      <c r="AK154" s="8">
        <v>1</v>
      </c>
      <c r="AL154" s="8">
        <v>1</v>
      </c>
      <c r="AM154" s="142" t="s">
        <v>83</v>
      </c>
      <c r="AN154" s="8">
        <v>1</v>
      </c>
      <c r="AO154" s="8">
        <v>1</v>
      </c>
      <c r="AP154" s="8">
        <v>1</v>
      </c>
    </row>
    <row r="155" spans="1:42">
      <c r="A155" s="122"/>
      <c r="B155" s="8" t="str">
        <f>物品!B155</f>
        <v>IP06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|Cff00FF7F大补丸|r</v>
      </c>
      <c r="I155" s="8" t="str">
        <f>VLOOKUP(B155,物品!B:CV,99,FALSE)</f>
        <v>使用后增加|Cffffd24d300点|r境界经验。</v>
      </c>
      <c r="J155" s="124" t="str">
        <f t="shared" ref="J155:J156" si="64">H155</f>
        <v>|Cff00FF7F大补丸|r</v>
      </c>
      <c r="K155" s="124" t="str">
        <f t="shared" ref="K155:K156" si="65">I155</f>
        <v>使用后增加|Cffffd24d300点|r境界经验。</v>
      </c>
      <c r="L155" s="8"/>
      <c r="M155" s="125" t="str">
        <f>VLOOKUP(LEFT(RIGHT(B155,5),4),物品!B:CU,20,FALSE)</f>
        <v>ReplaceableTextures\\CommandButtons\\BTNAM40.blp</v>
      </c>
      <c r="N155" s="142" t="s">
        <v>83</v>
      </c>
      <c r="O155" s="125" t="s">
        <v>90</v>
      </c>
      <c r="P155" s="8">
        <v>0</v>
      </c>
      <c r="Q155" s="8">
        <v>0</v>
      </c>
      <c r="R155" s="142" t="s">
        <v>83</v>
      </c>
      <c r="S155" s="142" t="s">
        <v>83</v>
      </c>
      <c r="T155" s="142" t="s">
        <v>83</v>
      </c>
      <c r="U155" s="142" t="s">
        <v>83</v>
      </c>
      <c r="V155" s="8"/>
      <c r="W155" s="8" t="s">
        <v>89</v>
      </c>
      <c r="X155" s="8">
        <v>0</v>
      </c>
      <c r="Y155" s="142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2" t="s">
        <v>83</v>
      </c>
      <c r="AF155" s="142" t="s">
        <v>83</v>
      </c>
      <c r="AG155" s="142" t="s">
        <v>83</v>
      </c>
      <c r="AH155" s="142" t="s">
        <v>83</v>
      </c>
      <c r="AI155" s="8"/>
      <c r="AJ155" s="8"/>
      <c r="AK155" s="8">
        <v>1</v>
      </c>
      <c r="AL155" s="8">
        <v>1</v>
      </c>
      <c r="AM155" s="142" t="s">
        <v>83</v>
      </c>
      <c r="AN155" s="8">
        <v>1</v>
      </c>
      <c r="AO155" s="8">
        <v>1</v>
      </c>
      <c r="AP155" s="8">
        <v>1</v>
      </c>
    </row>
    <row r="156" spans="1:42">
      <c r="A156" s="122"/>
      <c r="B156" s="8" t="str">
        <f>物品!B156</f>
        <v>IP07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|Cff00FF7F抽奖抵用券|r</v>
      </c>
      <c r="I156" s="8" t="str">
        <f>VLOOKUP(B156,物品!B:CV,99,FALSE)</f>
        <v>可抵扣|Cffffd24d1|r次抽奖消耗</v>
      </c>
      <c r="J156" s="124" t="str">
        <f t="shared" si="64"/>
        <v>|Cff00FF7F抽奖抵用券|r</v>
      </c>
      <c r="K156" s="124" t="str">
        <f t="shared" si="65"/>
        <v>可抵扣|Cffffd24d1|r次抽奖消耗</v>
      </c>
      <c r="L156" s="8"/>
      <c r="M156" s="125" t="str">
        <f>VLOOKUP(LEFT(RIGHT(B156,5),4),物品!B:CU,20,FALSE)</f>
        <v>ReplaceableTextures\\CommandButtons\\BTNIP07.blp</v>
      </c>
      <c r="N156" s="142" t="s">
        <v>83</v>
      </c>
      <c r="O156" s="125" t="s">
        <v>90</v>
      </c>
      <c r="P156" s="8">
        <v>0</v>
      </c>
      <c r="Q156" s="8">
        <v>0</v>
      </c>
      <c r="R156" s="142" t="s">
        <v>83</v>
      </c>
      <c r="S156" s="142" t="s">
        <v>83</v>
      </c>
      <c r="T156" s="142" t="s">
        <v>83</v>
      </c>
      <c r="U156" s="142" t="s">
        <v>83</v>
      </c>
      <c r="V156" s="8"/>
      <c r="W156" s="8" t="s">
        <v>89</v>
      </c>
      <c r="X156" s="8">
        <v>0</v>
      </c>
      <c r="Y156" s="142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2" t="s">
        <v>83</v>
      </c>
      <c r="AF156" s="142" t="s">
        <v>83</v>
      </c>
      <c r="AG156" s="142" t="s">
        <v>83</v>
      </c>
      <c r="AH156" s="142" t="s">
        <v>83</v>
      </c>
      <c r="AI156" s="8"/>
      <c r="AJ156" s="8"/>
      <c r="AK156" s="8">
        <v>1</v>
      </c>
      <c r="AL156" s="8">
        <v>1</v>
      </c>
      <c r="AM156" s="142" t="s">
        <v>83</v>
      </c>
      <c r="AN156" s="8">
        <v>1</v>
      </c>
      <c r="AO156" s="8">
        <v>1</v>
      </c>
      <c r="AP156" s="8">
        <v>1</v>
      </c>
    </row>
    <row r="157" spans="1:42">
      <c r="A157" s="122"/>
      <c r="B157" s="8" t="str">
        <f>物品!B157</f>
        <v>IP08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|Cff00FF7F超级大补丸|r</v>
      </c>
      <c r="I157" s="8" t="str">
        <f>VLOOKUP(B157,物品!B:CV,99,FALSE)</f>
        <v>使用后增加|Cffffd24d500点|r境界经验。</v>
      </c>
      <c r="J157" s="124" t="str">
        <f t="shared" ref="J157:J158" si="66">H157</f>
        <v>|Cff00FF7F超级大补丸|r</v>
      </c>
      <c r="K157" s="124" t="str">
        <f t="shared" ref="K157:K158" si="67">I157</f>
        <v>使用后增加|Cffffd24d500点|r境界经验。</v>
      </c>
      <c r="L157" s="8"/>
      <c r="M157" s="125" t="str">
        <f>VLOOKUP(LEFT(RIGHT(B157,5),4),物品!B:CU,20,FALSE)</f>
        <v>ReplaceableTextures\\CommandButtons\\BTNAM41.blp</v>
      </c>
      <c r="N157" s="142" t="s">
        <v>83</v>
      </c>
      <c r="O157" s="125" t="s">
        <v>90</v>
      </c>
      <c r="P157" s="8">
        <v>0</v>
      </c>
      <c r="Q157" s="8">
        <v>0</v>
      </c>
      <c r="R157" s="142" t="s">
        <v>83</v>
      </c>
      <c r="S157" s="142" t="s">
        <v>83</v>
      </c>
      <c r="T157" s="142" t="s">
        <v>83</v>
      </c>
      <c r="U157" s="142" t="s">
        <v>83</v>
      </c>
      <c r="V157" s="8"/>
      <c r="W157" s="8" t="s">
        <v>89</v>
      </c>
      <c r="X157" s="8">
        <v>0</v>
      </c>
      <c r="Y157" s="142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2" t="s">
        <v>83</v>
      </c>
      <c r="AF157" s="142" t="s">
        <v>83</v>
      </c>
      <c r="AG157" s="142" t="s">
        <v>83</v>
      </c>
      <c r="AH157" s="142" t="s">
        <v>83</v>
      </c>
      <c r="AI157" s="8"/>
      <c r="AJ157" s="8"/>
      <c r="AK157" s="8">
        <v>1</v>
      </c>
      <c r="AL157" s="8">
        <v>1</v>
      </c>
      <c r="AM157" s="142" t="s">
        <v>83</v>
      </c>
      <c r="AN157" s="8">
        <v>1</v>
      </c>
      <c r="AO157" s="8">
        <v>1</v>
      </c>
      <c r="AP157" s="8">
        <v>1</v>
      </c>
    </row>
    <row r="158" spans="1:42">
      <c r="A158" s="122"/>
      <c r="B158" s="8" t="str">
        <f>物品!B158</f>
        <v>IP09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|Cff00FF7F特级大补丸|r</v>
      </c>
      <c r="I158" s="8" t="str">
        <f>VLOOKUP(B158,物品!B:CV,99,FALSE)</f>
        <v>使用后增加|Cffffd24d700点|r境界经验。</v>
      </c>
      <c r="J158" s="124" t="str">
        <f t="shared" si="66"/>
        <v>|Cff00FF7F特级大补丸|r</v>
      </c>
      <c r="K158" s="124" t="str">
        <f t="shared" si="67"/>
        <v>使用后增加|Cffffd24d700点|r境界经验。</v>
      </c>
      <c r="L158" s="8"/>
      <c r="M158" s="125" t="str">
        <f>VLOOKUP(LEFT(RIGHT(B158,5),4),物品!B:CU,20,FALSE)</f>
        <v>ReplaceableTextures\\CommandButtons\\BTNAM42.blp</v>
      </c>
      <c r="N158" s="142" t="s">
        <v>83</v>
      </c>
      <c r="O158" s="125" t="s">
        <v>90</v>
      </c>
      <c r="P158" s="8">
        <v>0</v>
      </c>
      <c r="Q158" s="8">
        <v>0</v>
      </c>
      <c r="R158" s="142" t="s">
        <v>83</v>
      </c>
      <c r="S158" s="142" t="s">
        <v>83</v>
      </c>
      <c r="T158" s="142" t="s">
        <v>83</v>
      </c>
      <c r="U158" s="142" t="s">
        <v>83</v>
      </c>
      <c r="V158" s="8"/>
      <c r="W158" s="8" t="s">
        <v>89</v>
      </c>
      <c r="X158" s="8">
        <v>0</v>
      </c>
      <c r="Y158" s="142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2" t="s">
        <v>83</v>
      </c>
      <c r="AF158" s="142" t="s">
        <v>83</v>
      </c>
      <c r="AG158" s="142" t="s">
        <v>83</v>
      </c>
      <c r="AH158" s="142" t="s">
        <v>83</v>
      </c>
      <c r="AI158" s="8"/>
      <c r="AJ158" s="8"/>
      <c r="AK158" s="8">
        <v>1</v>
      </c>
      <c r="AL158" s="8">
        <v>1</v>
      </c>
      <c r="AM158" s="142" t="s">
        <v>83</v>
      </c>
      <c r="AN158" s="8">
        <v>1</v>
      </c>
      <c r="AO158" s="8">
        <v>1</v>
      </c>
      <c r="AP158" s="8">
        <v>1</v>
      </c>
    </row>
    <row r="159" spans="1:42">
      <c r="A159" s="122"/>
      <c r="B159" s="8" t="str">
        <f>物品!B159</f>
        <v>IT01</v>
      </c>
      <c r="C159" s="8" t="s">
        <v>41</v>
      </c>
      <c r="D159" s="8" t="s">
        <v>81</v>
      </c>
      <c r="E159" s="8"/>
      <c r="F159" s="8"/>
      <c r="G159" s="8"/>
      <c r="H159" s="8" t="str">
        <f>VLOOKUP(LEFT(RIGHT(B159,5),4),物品!B:CU,2,FALSE)</f>
        <v>噬心劫</v>
      </c>
      <c r="I159" s="8" t="str">
        <f>VLOOKUP(B159,物品!B:CV,99,FALSE)</f>
        <v>渡过该劫后可结成|CffCCCCCC低级道果|r。|n|n|CffCCCCCC低级道果：|r|n攻击+7500|n生命值+30000|n物理伤害+15%|n法术伤害+15%|n杀敌攻击+8|n杀敌业力+1|n杀敌生命+30|n</v>
      </c>
      <c r="J159" s="124" t="str">
        <f t="shared" si="60"/>
        <v>噬心劫</v>
      </c>
      <c r="K159" s="124" t="str">
        <f t="shared" si="61"/>
        <v>渡过该劫后可结成|CffCCCCCC低级道果|r。|n|n|CffCCCCCC低级道果：|r|n攻击+7500|n生命值+30000|n物理伤害+15%|n法术伤害+15%|n杀敌攻击+8|n杀敌业力+1|n杀敌生命+30|n</v>
      </c>
      <c r="L159" s="8"/>
      <c r="M159" s="125" t="str">
        <f>VLOOKUP(LEFT(RIGHT(B159,5),4),物品!B:CU,20,FALSE)</f>
        <v>ReplaceableTextures\\CommandButtons\\BTNIT01.blp</v>
      </c>
      <c r="N159" s="142" t="s">
        <v>83</v>
      </c>
      <c r="O159" s="125" t="s">
        <v>90</v>
      </c>
      <c r="P159" s="8">
        <v>0</v>
      </c>
      <c r="Q159" s="8">
        <v>0</v>
      </c>
      <c r="R159" s="142" t="s">
        <v>83</v>
      </c>
      <c r="S159" s="142" t="s">
        <v>83</v>
      </c>
      <c r="T159" s="142" t="s">
        <v>83</v>
      </c>
      <c r="U159" s="142" t="s">
        <v>83</v>
      </c>
      <c r="V159" s="8"/>
      <c r="W159" s="8" t="s">
        <v>87</v>
      </c>
      <c r="X159" s="8">
        <v>2000</v>
      </c>
      <c r="Y159" s="142" t="s">
        <v>83</v>
      </c>
      <c r="Z159" s="8">
        <v>0</v>
      </c>
      <c r="AA159" s="8">
        <v>0</v>
      </c>
      <c r="AB159" s="124">
        <v>0</v>
      </c>
      <c r="AC159" s="8">
        <v>1</v>
      </c>
      <c r="AD159" s="8">
        <v>1</v>
      </c>
      <c r="AE159" s="142" t="s">
        <v>83</v>
      </c>
      <c r="AF159" s="142" t="s">
        <v>83</v>
      </c>
      <c r="AG159" s="142" t="s">
        <v>83</v>
      </c>
      <c r="AH159" s="142" t="s">
        <v>83</v>
      </c>
      <c r="AI159" s="8">
        <v>1</v>
      </c>
      <c r="AJ159" s="8"/>
      <c r="AK159" s="8">
        <v>1</v>
      </c>
      <c r="AL159" s="8">
        <v>1</v>
      </c>
      <c r="AM159" s="142" t="s">
        <v>83</v>
      </c>
      <c r="AN159" s="8">
        <v>1</v>
      </c>
      <c r="AO159" s="8">
        <v>1</v>
      </c>
      <c r="AP159" s="8">
        <v>1</v>
      </c>
    </row>
    <row r="160" spans="1:42">
      <c r="A160" s="122"/>
      <c r="B160" s="8" t="str">
        <f>物品!B160</f>
        <v>IT02</v>
      </c>
      <c r="C160" s="8" t="s">
        <v>41</v>
      </c>
      <c r="D160" s="8" t="s">
        <v>81</v>
      </c>
      <c r="E160" s="8"/>
      <c r="F160" s="8"/>
      <c r="G160" s="8"/>
      <c r="H160" s="8" t="str">
        <f>VLOOKUP(LEFT(RIGHT(B160,5),4),物品!B:CU,2,FALSE)</f>
        <v>三重轰雷劫</v>
      </c>
      <c r="I160" s="8" t="str">
        <f>VLOOKUP(B160,物品!B:CV,99,FALSE)</f>
        <v>渡过该劫后可结成|CffCCCCCC中级道果|r。|n|n|CffCCCCCC中级道果：|r|n攻击+18000|n生命值+72000|n物理伤害+15%|n法术伤害+15%|n杀敌攻击+8|n杀敌业力+1|n杀敌生命+30|n</v>
      </c>
      <c r="J160" s="124" t="str">
        <f t="shared" ref="J160:J193" si="68">H160</f>
        <v>三重轰雷劫</v>
      </c>
      <c r="K160" s="124" t="str">
        <f t="shared" ref="K160:K193" si="69">I160</f>
        <v>渡过该劫后可结成|CffCCCCCC中级道果|r。|n|n|CffCCCCCC中级道果：|r|n攻击+18000|n生命值+72000|n物理伤害+15%|n法术伤害+15%|n杀敌攻击+8|n杀敌业力+1|n杀敌生命+30|n</v>
      </c>
      <c r="L160" s="8"/>
      <c r="M160" s="125" t="str">
        <f>VLOOKUP(LEFT(RIGHT(B160,5),4),物品!B:CU,20,FALSE)</f>
        <v>ReplaceableTextures\\CommandButtons\\BTNIT02.blp</v>
      </c>
      <c r="N160" s="142" t="s">
        <v>83</v>
      </c>
      <c r="O160" s="125" t="s">
        <v>90</v>
      </c>
      <c r="P160" s="8">
        <v>1</v>
      </c>
      <c r="Q160" s="8">
        <v>0</v>
      </c>
      <c r="R160" s="142" t="s">
        <v>83</v>
      </c>
      <c r="S160" s="142" t="s">
        <v>83</v>
      </c>
      <c r="T160" s="142" t="s">
        <v>83</v>
      </c>
      <c r="U160" s="142" t="s">
        <v>83</v>
      </c>
      <c r="V160" s="8"/>
      <c r="W160" s="8" t="s">
        <v>87</v>
      </c>
      <c r="X160" s="8">
        <v>4000</v>
      </c>
      <c r="Y160" s="142" t="s">
        <v>83</v>
      </c>
      <c r="Z160" s="8">
        <v>0</v>
      </c>
      <c r="AA160" s="8">
        <v>0</v>
      </c>
      <c r="AB160" s="124">
        <v>2</v>
      </c>
      <c r="AC160" s="8">
        <v>1</v>
      </c>
      <c r="AD160" s="8">
        <v>1</v>
      </c>
      <c r="AE160" s="142" t="s">
        <v>83</v>
      </c>
      <c r="AF160" s="142" t="s">
        <v>83</v>
      </c>
      <c r="AG160" s="142" t="s">
        <v>83</v>
      </c>
      <c r="AH160" s="142" t="s">
        <v>83</v>
      </c>
      <c r="AI160" s="8">
        <v>1</v>
      </c>
      <c r="AJ160" s="8"/>
      <c r="AK160" s="8">
        <v>1</v>
      </c>
      <c r="AL160" s="8">
        <v>1</v>
      </c>
      <c r="AM160" s="142" t="s">
        <v>83</v>
      </c>
      <c r="AN160" s="8">
        <v>1</v>
      </c>
      <c r="AO160" s="8">
        <v>1</v>
      </c>
      <c r="AP160" s="8">
        <v>1</v>
      </c>
    </row>
    <row r="161" spans="1:42">
      <c r="A161" s="122"/>
      <c r="B161" s="8" t="str">
        <f>物品!B161</f>
        <v>IT03</v>
      </c>
      <c r="C161" s="8" t="s">
        <v>41</v>
      </c>
      <c r="D161" s="8" t="s">
        <v>81</v>
      </c>
      <c r="E161" s="8"/>
      <c r="F161" s="8"/>
      <c r="G161" s="8"/>
      <c r="H161" s="8" t="str">
        <f>VLOOKUP(LEFT(RIGHT(B161,5),4),物品!B:CU,2,FALSE)</f>
        <v>|Cff00FF7F六重天雷劫|r</v>
      </c>
      <c r="I161" s="8" t="str">
        <f>VLOOKUP(B161,物品!B:CV,99,FALSE)</f>
        <v>渡过该劫后可结成|Cff00ff7f高级道果|r。|n|n|Cff00ff7f高级道果：|r|n攻击+37500|n生命值+150000|n物理伤害+15%|n法术伤害+15%|n杀敌攻击+8|n杀敌业力+1|n杀敌生命+30|n</v>
      </c>
      <c r="J161" s="124" t="str">
        <f t="shared" si="68"/>
        <v>|Cff00FF7F六重天雷劫|r</v>
      </c>
      <c r="K161" s="124" t="str">
        <f t="shared" si="69"/>
        <v>渡过该劫后可结成|Cff00ff7f高级道果|r。|n|n|Cff00ff7f高级道果：|r|n攻击+37500|n生命值+150000|n物理伤害+15%|n法术伤害+15%|n杀敌攻击+8|n杀敌业力+1|n杀敌生命+30|n</v>
      </c>
      <c r="L161" s="8"/>
      <c r="M161" s="125" t="str">
        <f>VLOOKUP(LEFT(RIGHT(B161,5),4),物品!B:CU,20,FALSE)</f>
        <v>ReplaceableTextures\\CommandButtons\\BTNIT03.blp</v>
      </c>
      <c r="N161" s="142" t="s">
        <v>83</v>
      </c>
      <c r="O161" s="125" t="s">
        <v>90</v>
      </c>
      <c r="P161" s="8">
        <v>2</v>
      </c>
      <c r="Q161" s="8">
        <v>0</v>
      </c>
      <c r="R161" s="142" t="s">
        <v>83</v>
      </c>
      <c r="S161" s="142" t="s">
        <v>83</v>
      </c>
      <c r="T161" s="142" t="s">
        <v>83</v>
      </c>
      <c r="U161" s="142" t="s">
        <v>83</v>
      </c>
      <c r="V161" s="8"/>
      <c r="W161" s="8" t="s">
        <v>87</v>
      </c>
      <c r="X161" s="8">
        <v>6000</v>
      </c>
      <c r="Y161" s="142" t="s">
        <v>83</v>
      </c>
      <c r="Z161" s="8">
        <v>0</v>
      </c>
      <c r="AA161" s="8">
        <v>0</v>
      </c>
      <c r="AB161" s="124">
        <v>3</v>
      </c>
      <c r="AC161" s="8">
        <v>1</v>
      </c>
      <c r="AD161" s="8">
        <v>1</v>
      </c>
      <c r="AE161" s="142" t="s">
        <v>83</v>
      </c>
      <c r="AF161" s="142" t="s">
        <v>83</v>
      </c>
      <c r="AG161" s="142" t="s">
        <v>83</v>
      </c>
      <c r="AH161" s="142" t="s">
        <v>83</v>
      </c>
      <c r="AI161" s="8">
        <v>1</v>
      </c>
      <c r="AJ161" s="8"/>
      <c r="AK161" s="8">
        <v>1</v>
      </c>
      <c r="AL161" s="8">
        <v>1</v>
      </c>
      <c r="AM161" s="142" t="s">
        <v>83</v>
      </c>
      <c r="AN161" s="8">
        <v>1</v>
      </c>
      <c r="AO161" s="8">
        <v>1</v>
      </c>
      <c r="AP161" s="8">
        <v>1</v>
      </c>
    </row>
    <row r="162" spans="1:42">
      <c r="A162" s="122"/>
      <c r="B162" s="8" t="str">
        <f>物品!B162</f>
        <v>IT04</v>
      </c>
      <c r="C162" s="8" t="s">
        <v>41</v>
      </c>
      <c r="D162" s="8" t="s">
        <v>81</v>
      </c>
      <c r="E162" s="8"/>
      <c r="F162" s="8"/>
      <c r="G162" s="8"/>
      <c r="H162" s="8" t="str">
        <f>VLOOKUP(LEFT(RIGHT(B162,5),4),物品!B:CU,2,FALSE)</f>
        <v>|Cff00FF7F九重煅神劫|r</v>
      </c>
      <c r="I162" s="8" t="str">
        <f>VLOOKUP(B162,物品!B:CV,99,FALSE)</f>
        <v>渡过该劫后可结成|Cff00ff7f黄级道果|r。|n|n|Cff00ff7f黄级道果：|r|n攻击+60000|n生命值+240000|n物理伤害+20%|n法术伤害+20%|n杀敌攻击+8|n杀敌业力+1|n杀敌生命+30|n</v>
      </c>
      <c r="J162" s="124" t="str">
        <f t="shared" si="68"/>
        <v>|Cff00FF7F九重煅神劫|r</v>
      </c>
      <c r="K162" s="124" t="str">
        <f t="shared" si="69"/>
        <v>渡过该劫后可结成|Cff00ff7f黄级道果|r。|n|n|Cff00ff7f黄级道果：|r|n攻击+60000|n生命值+240000|n物理伤害+20%|n法术伤害+20%|n杀敌攻击+8|n杀敌业力+1|n杀敌生命+30|n</v>
      </c>
      <c r="L162" s="8"/>
      <c r="M162" s="125" t="str">
        <f>VLOOKUP(LEFT(RIGHT(B162,5),4),物品!B:CU,20,FALSE)</f>
        <v>ReplaceableTextures\\CommandButtons\\BTNIT04.blp</v>
      </c>
      <c r="N162" s="142" t="s">
        <v>83</v>
      </c>
      <c r="O162" s="125" t="s">
        <v>90</v>
      </c>
      <c r="P162" s="8">
        <v>3</v>
      </c>
      <c r="Q162" s="8">
        <v>0</v>
      </c>
      <c r="R162" s="142" t="s">
        <v>83</v>
      </c>
      <c r="S162" s="142" t="s">
        <v>83</v>
      </c>
      <c r="T162" s="142" t="s">
        <v>83</v>
      </c>
      <c r="U162" s="142" t="s">
        <v>83</v>
      </c>
      <c r="V162" s="8"/>
      <c r="W162" s="8" t="s">
        <v>87</v>
      </c>
      <c r="X162" s="8">
        <v>10000</v>
      </c>
      <c r="Y162" s="142" t="s">
        <v>83</v>
      </c>
      <c r="Z162" s="8">
        <v>0</v>
      </c>
      <c r="AA162" s="8">
        <v>0</v>
      </c>
      <c r="AB162" s="124">
        <v>4</v>
      </c>
      <c r="AC162" s="8">
        <v>1</v>
      </c>
      <c r="AD162" s="8">
        <v>1</v>
      </c>
      <c r="AE162" s="142" t="s">
        <v>83</v>
      </c>
      <c r="AF162" s="142" t="s">
        <v>83</v>
      </c>
      <c r="AG162" s="142" t="s">
        <v>83</v>
      </c>
      <c r="AH162" s="142" t="s">
        <v>83</v>
      </c>
      <c r="AI162" s="8">
        <v>1</v>
      </c>
      <c r="AJ162" s="8"/>
      <c r="AK162" s="8">
        <v>1</v>
      </c>
      <c r="AL162" s="8">
        <v>1</v>
      </c>
      <c r="AM162" s="142" t="s">
        <v>83</v>
      </c>
      <c r="AN162" s="8">
        <v>1</v>
      </c>
      <c r="AO162" s="8">
        <v>1</v>
      </c>
      <c r="AP162" s="8">
        <v>1</v>
      </c>
    </row>
    <row r="163" spans="1:42">
      <c r="A163" s="122"/>
      <c r="B163" s="8" t="str">
        <f>物品!B163</f>
        <v>IT05</v>
      </c>
      <c r="C163" s="8" t="s">
        <v>41</v>
      </c>
      <c r="D163" s="8" t="s">
        <v>81</v>
      </c>
      <c r="E163" s="8"/>
      <c r="F163" s="8"/>
      <c r="G163" s="8"/>
      <c r="H163" s="8" t="str">
        <f>VLOOKUP(LEFT(RIGHT(B163,5),4),物品!B:CU,2,FALSE)</f>
        <v>|Cff00BFFF灭魄血煞劫|r</v>
      </c>
      <c r="I163" s="8" t="str">
        <f>VLOOKUP(B163,物品!B:CV,99,FALSE)</f>
        <v>渡过该劫后可结成|Cff00bfff玄级道果|r。|n|n|Cff00bfff玄级道果：|r|n攻击+82500|n生命值+330000|n物理伤害+20%|n法术伤害+20%|n杀敌攻击+8|n杀敌业力+1|n杀敌生命+30|n</v>
      </c>
      <c r="J163" s="124" t="str">
        <f t="shared" si="68"/>
        <v>|Cff00BFFF灭魄血煞劫|r</v>
      </c>
      <c r="K163" s="124" t="str">
        <f t="shared" si="69"/>
        <v>渡过该劫后可结成|Cff00bfff玄级道果|r。|n|n|Cff00bfff玄级道果：|r|n攻击+82500|n生命值+330000|n物理伤害+20%|n法术伤害+20%|n杀敌攻击+8|n杀敌业力+1|n杀敌生命+30|n</v>
      </c>
      <c r="L163" s="8"/>
      <c r="M163" s="125" t="str">
        <f>VLOOKUP(LEFT(RIGHT(B163,5),4),物品!B:CU,20,FALSE)</f>
        <v>ReplaceableTextures\\CommandButtons\\BTNIT05.blp</v>
      </c>
      <c r="N163" s="142" t="s">
        <v>83</v>
      </c>
      <c r="O163" s="125" t="s">
        <v>90</v>
      </c>
      <c r="P163" s="8">
        <v>0</v>
      </c>
      <c r="Q163" s="8">
        <v>1</v>
      </c>
      <c r="R163" s="142" t="s">
        <v>83</v>
      </c>
      <c r="S163" s="142" t="s">
        <v>83</v>
      </c>
      <c r="T163" s="142" t="s">
        <v>83</v>
      </c>
      <c r="U163" s="142" t="s">
        <v>83</v>
      </c>
      <c r="V163" s="8"/>
      <c r="W163" s="8" t="s">
        <v>87</v>
      </c>
      <c r="X163" s="8">
        <v>15000</v>
      </c>
      <c r="Y163" s="142" t="s">
        <v>83</v>
      </c>
      <c r="Z163" s="8">
        <v>0</v>
      </c>
      <c r="AA163" s="8">
        <v>0</v>
      </c>
      <c r="AB163" s="124">
        <v>5</v>
      </c>
      <c r="AC163" s="8">
        <v>1</v>
      </c>
      <c r="AD163" s="8">
        <v>1</v>
      </c>
      <c r="AE163" s="142" t="s">
        <v>83</v>
      </c>
      <c r="AF163" s="142" t="s">
        <v>83</v>
      </c>
      <c r="AG163" s="142" t="s">
        <v>83</v>
      </c>
      <c r="AH163" s="142" t="s">
        <v>83</v>
      </c>
      <c r="AI163" s="8">
        <v>1</v>
      </c>
      <c r="AJ163" s="8"/>
      <c r="AK163" s="8">
        <v>1</v>
      </c>
      <c r="AL163" s="8">
        <v>1</v>
      </c>
      <c r="AM163" s="142" t="s">
        <v>83</v>
      </c>
      <c r="AN163" s="8">
        <v>1</v>
      </c>
      <c r="AO163" s="8">
        <v>1</v>
      </c>
      <c r="AP163" s="8">
        <v>1</v>
      </c>
    </row>
    <row r="164" spans="1:42">
      <c r="A164" s="122"/>
      <c r="B164" s="8" t="str">
        <f>物品!B164</f>
        <v>IT06</v>
      </c>
      <c r="C164" s="8" t="s">
        <v>41</v>
      </c>
      <c r="D164" s="8" t="s">
        <v>81</v>
      </c>
      <c r="E164" s="8"/>
      <c r="F164" s="8"/>
      <c r="G164" s="8"/>
      <c r="H164" s="8" t="str">
        <f>VLOOKUP(LEFT(RIGHT(B164,5),4),物品!B:CU,2,FALSE)</f>
        <v>|Cff00BFFF入微洞虚劫|r</v>
      </c>
      <c r="I164" s="8" t="str">
        <f>VLOOKUP(B164,物品!B:CV,99,FALSE)</f>
        <v>渡过该劫后可结成|Cff00bfff地级道果|r。|n|n|Cff00bfff地级道果：|r|n攻击+120000|n生命值+480000|n物理伤害+20%|n法术伤害+20%|n杀敌攻击+8|n杀敌业力+1|n杀敌生命+30|n</v>
      </c>
      <c r="J164" s="124" t="str">
        <f t="shared" si="68"/>
        <v>|Cff00BFFF入微洞虚劫|r</v>
      </c>
      <c r="K164" s="124" t="str">
        <f t="shared" si="69"/>
        <v>渡过该劫后可结成|Cff00bfff地级道果|r。|n|n|Cff00bfff地级道果：|r|n攻击+120000|n生命值+480000|n物理伤害+20%|n法术伤害+20%|n杀敌攻击+8|n杀敌业力+1|n杀敌生命+30|n</v>
      </c>
      <c r="L164" s="8"/>
      <c r="M164" s="125" t="str">
        <f>VLOOKUP(LEFT(RIGHT(B164,5),4),物品!B:CU,20,FALSE)</f>
        <v>ReplaceableTextures\\CommandButtons\\BTNIT06.blp</v>
      </c>
      <c r="N164" s="142" t="s">
        <v>83</v>
      </c>
      <c r="O164" s="125" t="s">
        <v>90</v>
      </c>
      <c r="P164" s="8">
        <v>1</v>
      </c>
      <c r="Q164" s="8">
        <v>1</v>
      </c>
      <c r="R164" s="142" t="s">
        <v>83</v>
      </c>
      <c r="S164" s="142" t="s">
        <v>83</v>
      </c>
      <c r="T164" s="142" t="s">
        <v>83</v>
      </c>
      <c r="U164" s="142" t="s">
        <v>83</v>
      </c>
      <c r="V164" s="8"/>
      <c r="W164" s="8" t="s">
        <v>87</v>
      </c>
      <c r="X164" s="8">
        <v>20000</v>
      </c>
      <c r="Y164" s="142" t="s">
        <v>83</v>
      </c>
      <c r="Z164" s="8">
        <v>0</v>
      </c>
      <c r="AA164" s="8">
        <v>0</v>
      </c>
      <c r="AB164" s="124">
        <v>6</v>
      </c>
      <c r="AC164" s="8">
        <v>1</v>
      </c>
      <c r="AD164" s="8">
        <v>1</v>
      </c>
      <c r="AE164" s="142" t="s">
        <v>83</v>
      </c>
      <c r="AF164" s="142" t="s">
        <v>83</v>
      </c>
      <c r="AG164" s="142" t="s">
        <v>83</v>
      </c>
      <c r="AH164" s="142" t="s">
        <v>83</v>
      </c>
      <c r="AI164" s="8">
        <v>1</v>
      </c>
      <c r="AJ164" s="8"/>
      <c r="AK164" s="8">
        <v>1</v>
      </c>
      <c r="AL164" s="8">
        <v>1</v>
      </c>
      <c r="AM164" s="142" t="s">
        <v>83</v>
      </c>
      <c r="AN164" s="8">
        <v>1</v>
      </c>
      <c r="AO164" s="8">
        <v>1</v>
      </c>
      <c r="AP164" s="8">
        <v>1</v>
      </c>
    </row>
    <row r="165" spans="1:42">
      <c r="A165" s="122"/>
      <c r="B165" s="8" t="str">
        <f>物品!B165</f>
        <v>IT07</v>
      </c>
      <c r="C165" s="8" t="s">
        <v>41</v>
      </c>
      <c r="D165" s="8" t="s">
        <v>81</v>
      </c>
      <c r="E165" s="8"/>
      <c r="F165" s="8"/>
      <c r="G165" s="8"/>
      <c r="H165" s="8" t="str">
        <f>VLOOKUP(LEFT(RIGHT(B165,5),4),物品!B:CU,2,FALSE)</f>
        <v>|CffFFD24D因果厄难劫|r</v>
      </c>
      <c r="I165" s="8" t="str">
        <f>VLOOKUP(B165,物品!B:CV,99,FALSE)</f>
        <v>渡过该劫后可结成|Cffffc926天级道果|r。|n|n|Cffffc926天级道果：|r|n攻击+180000|n生命值+720000|n物理伤害+25%|n法术伤害+25%|n杀敌攻击+8|n杀敌业力+1|n杀敌生命+30|n</v>
      </c>
      <c r="J165" s="124" t="str">
        <f t="shared" si="68"/>
        <v>|CffFFD24D因果厄难劫|r</v>
      </c>
      <c r="K165" s="124" t="str">
        <f t="shared" si="69"/>
        <v>渡过该劫后可结成|Cffffc926天级道果|r。|n|n|Cffffc926天级道果：|r|n攻击+180000|n生命值+720000|n物理伤害+25%|n法术伤害+25%|n杀敌攻击+8|n杀敌业力+1|n杀敌生命+30|n</v>
      </c>
      <c r="L165" s="8"/>
      <c r="M165" s="125" t="str">
        <f>VLOOKUP(LEFT(RIGHT(B165,5),4),物品!B:CU,20,FALSE)</f>
        <v>ReplaceableTextures\\CommandButtons\\BTNIT07.blp</v>
      </c>
      <c r="N165" s="142" t="s">
        <v>83</v>
      </c>
      <c r="O165" s="125" t="s">
        <v>90</v>
      </c>
      <c r="P165" s="8">
        <v>2</v>
      </c>
      <c r="Q165" s="8">
        <v>1</v>
      </c>
      <c r="R165" s="142" t="s">
        <v>83</v>
      </c>
      <c r="S165" s="142" t="s">
        <v>83</v>
      </c>
      <c r="T165" s="142" t="s">
        <v>83</v>
      </c>
      <c r="U165" s="142" t="s">
        <v>83</v>
      </c>
      <c r="V165" s="8"/>
      <c r="W165" s="8" t="s">
        <v>87</v>
      </c>
      <c r="X165" s="8">
        <v>30000</v>
      </c>
      <c r="Y165" s="142" t="s">
        <v>83</v>
      </c>
      <c r="Z165" s="8">
        <v>0</v>
      </c>
      <c r="AA165" s="8">
        <v>0</v>
      </c>
      <c r="AB165" s="124">
        <v>7</v>
      </c>
      <c r="AC165" s="8">
        <v>1</v>
      </c>
      <c r="AD165" s="8">
        <v>1</v>
      </c>
      <c r="AE165" s="142" t="s">
        <v>83</v>
      </c>
      <c r="AF165" s="142" t="s">
        <v>83</v>
      </c>
      <c r="AG165" s="142" t="s">
        <v>83</v>
      </c>
      <c r="AH165" s="142" t="s">
        <v>83</v>
      </c>
      <c r="AI165" s="8">
        <v>1</v>
      </c>
      <c r="AJ165" s="8"/>
      <c r="AK165" s="8">
        <v>1</v>
      </c>
      <c r="AL165" s="8">
        <v>1</v>
      </c>
      <c r="AM165" s="142" t="s">
        <v>83</v>
      </c>
      <c r="AN165" s="8">
        <v>1</v>
      </c>
      <c r="AO165" s="8">
        <v>1</v>
      </c>
      <c r="AP165" s="8">
        <v>1</v>
      </c>
    </row>
    <row r="166" spans="1:42">
      <c r="A166" s="122"/>
      <c r="B166" s="8" t="str">
        <f>物品!B166</f>
        <v>IT08</v>
      </c>
      <c r="C166" s="8" t="s">
        <v>41</v>
      </c>
      <c r="D166" s="8" t="s">
        <v>81</v>
      </c>
      <c r="E166" s="8"/>
      <c r="F166" s="8"/>
      <c r="G166" s="8"/>
      <c r="H166" s="8" t="str">
        <f>VLOOKUP(LEFT(RIGHT(B166,5),4),物品!B:CU,2,FALSE)</f>
        <v>|CffFFD24D迷魂幻世劫|r</v>
      </c>
      <c r="I166" s="8" t="str">
        <f>VLOOKUP(B166,物品!B:CV,99,FALSE)</f>
        <v>渡过该劫后可结成|Cffffc926仙品道果|r。|n|n|Cffffc926仙品道果：|r|n攻击+300000|n生命值+1200000|n物理伤害+25%|n法术伤害+25%|n杀敌攻击+8|n杀敌业力+1|n杀敌生命+30|n</v>
      </c>
      <c r="J166" s="124" t="str">
        <f t="shared" si="68"/>
        <v>|CffFFD24D迷魂幻世劫|r</v>
      </c>
      <c r="K166" s="124" t="str">
        <f t="shared" si="69"/>
        <v>渡过该劫后可结成|Cffffc926仙品道果|r。|n|n|Cffffc926仙品道果：|r|n攻击+300000|n生命值+1200000|n物理伤害+25%|n法术伤害+25%|n杀敌攻击+8|n杀敌业力+1|n杀敌生命+30|n</v>
      </c>
      <c r="L166" s="8"/>
      <c r="M166" s="125" t="str">
        <f>VLOOKUP(LEFT(RIGHT(B166,5),4),物品!B:CU,20,FALSE)</f>
        <v>ReplaceableTextures\\CommandButtons\\BTNIT08.blp</v>
      </c>
      <c r="N166" s="142" t="s">
        <v>83</v>
      </c>
      <c r="O166" s="125" t="s">
        <v>90</v>
      </c>
      <c r="P166" s="8">
        <v>3</v>
      </c>
      <c r="Q166" s="8">
        <v>1</v>
      </c>
      <c r="R166" s="142" t="s">
        <v>83</v>
      </c>
      <c r="S166" s="142" t="s">
        <v>83</v>
      </c>
      <c r="T166" s="142" t="s">
        <v>83</v>
      </c>
      <c r="U166" s="142" t="s">
        <v>83</v>
      </c>
      <c r="V166" s="8"/>
      <c r="W166" s="8" t="s">
        <v>87</v>
      </c>
      <c r="X166" s="8">
        <v>40000</v>
      </c>
      <c r="Y166" s="142" t="s">
        <v>83</v>
      </c>
      <c r="Z166" s="8">
        <v>0</v>
      </c>
      <c r="AA166" s="8">
        <v>0</v>
      </c>
      <c r="AB166" s="124">
        <v>8</v>
      </c>
      <c r="AC166" s="8">
        <v>1</v>
      </c>
      <c r="AD166" s="8">
        <v>1</v>
      </c>
      <c r="AE166" s="142" t="s">
        <v>83</v>
      </c>
      <c r="AF166" s="142" t="s">
        <v>83</v>
      </c>
      <c r="AG166" s="142" t="s">
        <v>83</v>
      </c>
      <c r="AH166" s="142" t="s">
        <v>83</v>
      </c>
      <c r="AI166" s="8">
        <v>1</v>
      </c>
      <c r="AJ166" s="8"/>
      <c r="AK166" s="8">
        <v>1</v>
      </c>
      <c r="AL166" s="8">
        <v>1</v>
      </c>
      <c r="AM166" s="142" t="s">
        <v>83</v>
      </c>
      <c r="AN166" s="8">
        <v>1</v>
      </c>
      <c r="AO166" s="8">
        <v>1</v>
      </c>
      <c r="AP166" s="8">
        <v>1</v>
      </c>
    </row>
    <row r="167" spans="1:42">
      <c r="A167" s="122"/>
      <c r="B167" s="8" t="str">
        <f>物品!B167</f>
        <v>IT09</v>
      </c>
      <c r="C167" s="8" t="s">
        <v>41</v>
      </c>
      <c r="D167" s="8" t="s">
        <v>81</v>
      </c>
      <c r="E167" s="8"/>
      <c r="F167" s="8"/>
      <c r="G167" s="8"/>
      <c r="H167" s="8" t="str">
        <f>VLOOKUP(LEFT(RIGHT(B167,5),4),物品!B:CU,2,FALSE)</f>
        <v>|CffFF0000天人五衰劫|r</v>
      </c>
      <c r="I167" s="8" t="str">
        <f>VLOOKUP(B167,物品!B:CV,99,FALSE)</f>
        <v>渡过该劫后可结成|Cffff0000至圣道果|r。|n|n|Cffff0000至圣道果：|r|n攻击+450000|n生命值+1800000|n物理伤害+25%|n法术伤害+25%|n杀敌攻击+8|n杀敌业力+1|n杀敌生命+30|n</v>
      </c>
      <c r="J167" s="124" t="str">
        <f t="shared" si="68"/>
        <v>|CffFF0000天人五衰劫|r</v>
      </c>
      <c r="K167" s="124" t="str">
        <f t="shared" si="69"/>
        <v>渡过该劫后可结成|Cffff0000至圣道果|r。|n|n|Cffff0000至圣道果：|r|n攻击+450000|n生命值+1800000|n物理伤害+25%|n法术伤害+25%|n杀敌攻击+8|n杀敌业力+1|n杀敌生命+30|n</v>
      </c>
      <c r="L167" s="8"/>
      <c r="M167" s="125" t="str">
        <f>VLOOKUP(LEFT(RIGHT(B167,5),4),物品!B:CU,20,FALSE)</f>
        <v>ReplaceableTextures\\CommandButtons\\BTNIT09.blp</v>
      </c>
      <c r="N167" s="142" t="s">
        <v>83</v>
      </c>
      <c r="O167" s="125" t="s">
        <v>90</v>
      </c>
      <c r="P167" s="8">
        <v>0</v>
      </c>
      <c r="Q167" s="8">
        <v>2</v>
      </c>
      <c r="R167" s="142" t="s">
        <v>83</v>
      </c>
      <c r="S167" s="142" t="s">
        <v>83</v>
      </c>
      <c r="T167" s="142" t="s">
        <v>83</v>
      </c>
      <c r="U167" s="142" t="s">
        <v>83</v>
      </c>
      <c r="V167" s="8"/>
      <c r="W167" s="8" t="s">
        <v>87</v>
      </c>
      <c r="X167" s="8">
        <v>50000</v>
      </c>
      <c r="Y167" s="142" t="s">
        <v>83</v>
      </c>
      <c r="Z167" s="8">
        <v>0</v>
      </c>
      <c r="AA167" s="8">
        <v>0</v>
      </c>
      <c r="AB167" s="124">
        <v>9</v>
      </c>
      <c r="AC167" s="8">
        <v>1</v>
      </c>
      <c r="AD167" s="8">
        <v>1</v>
      </c>
      <c r="AE167" s="142" t="s">
        <v>83</v>
      </c>
      <c r="AF167" s="142" t="s">
        <v>83</v>
      </c>
      <c r="AG167" s="142" t="s">
        <v>83</v>
      </c>
      <c r="AH167" s="142" t="s">
        <v>83</v>
      </c>
      <c r="AI167" s="8">
        <v>1</v>
      </c>
      <c r="AJ167" s="8"/>
      <c r="AK167" s="8">
        <v>1</v>
      </c>
      <c r="AL167" s="8">
        <v>1</v>
      </c>
      <c r="AM167" s="142" t="s">
        <v>83</v>
      </c>
      <c r="AN167" s="8">
        <v>1</v>
      </c>
      <c r="AO167" s="8">
        <v>1</v>
      </c>
      <c r="AP167" s="8">
        <v>1</v>
      </c>
    </row>
    <row r="168" spans="1:42">
      <c r="A168" s="122"/>
      <c r="B168" s="8" t="str">
        <f>物品!B168</f>
        <v>IT10</v>
      </c>
      <c r="C168" s="8" t="s">
        <v>41</v>
      </c>
      <c r="D168" s="8" t="s">
        <v>81</v>
      </c>
      <c r="E168" s="8"/>
      <c r="F168" s="8"/>
      <c r="G168" s="8"/>
      <c r="H168" s="8" t="str">
        <f>VLOOKUP(LEFT(RIGHT(B168,5),4),物品!B:CU,2,FALSE)</f>
        <v>|CffFF0000混元灭世劫|r</v>
      </c>
      <c r="I168" s="8" t="str">
        <f>VLOOKUP(B168,物品!B:CV,99,FALSE)</f>
        <v>渡过该劫后可结成|Cffff0000混沌道果|r。|n|n|Cffff0000混沌道果：|r|n攻击+750000|n生命值+3000000|n物理伤害+30%|n法术伤害+30%|n杀敌攻击+8|n杀敌业力+1|n杀敌生命+30|n</v>
      </c>
      <c r="J168" s="124" t="str">
        <f t="shared" si="68"/>
        <v>|CffFF0000混元灭世劫|r</v>
      </c>
      <c r="K168" s="124" t="str">
        <f t="shared" si="69"/>
        <v>渡过该劫后可结成|Cffff0000混沌道果|r。|n|n|Cffff0000混沌道果：|r|n攻击+750000|n生命值+3000000|n物理伤害+30%|n法术伤害+30%|n杀敌攻击+8|n杀敌业力+1|n杀敌生命+30|n</v>
      </c>
      <c r="L168" s="8"/>
      <c r="M168" s="125" t="str">
        <f>VLOOKUP(LEFT(RIGHT(B168,5),4),物品!B:CU,20,FALSE)</f>
        <v>ReplaceableTextures\\CommandButtons\\BTNIT10.blp</v>
      </c>
      <c r="N168" s="142" t="s">
        <v>83</v>
      </c>
      <c r="O168" s="125" t="s">
        <v>90</v>
      </c>
      <c r="P168" s="8">
        <v>1</v>
      </c>
      <c r="Q168" s="8">
        <v>2</v>
      </c>
      <c r="R168" s="142" t="s">
        <v>83</v>
      </c>
      <c r="S168" s="142" t="s">
        <v>83</v>
      </c>
      <c r="T168" s="142" t="s">
        <v>83</v>
      </c>
      <c r="U168" s="142" t="s">
        <v>83</v>
      </c>
      <c r="V168" s="8"/>
      <c r="W168" s="8" t="s">
        <v>87</v>
      </c>
      <c r="X168" s="8">
        <v>80000</v>
      </c>
      <c r="Y168" s="142" t="s">
        <v>83</v>
      </c>
      <c r="Z168" s="8">
        <v>0</v>
      </c>
      <c r="AA168" s="8">
        <v>0</v>
      </c>
      <c r="AB168" s="124">
        <v>10</v>
      </c>
      <c r="AC168" s="8">
        <v>1</v>
      </c>
      <c r="AD168" s="8">
        <v>1</v>
      </c>
      <c r="AE168" s="142" t="s">
        <v>83</v>
      </c>
      <c r="AF168" s="142" t="s">
        <v>83</v>
      </c>
      <c r="AG168" s="142" t="s">
        <v>83</v>
      </c>
      <c r="AH168" s="142" t="s">
        <v>83</v>
      </c>
      <c r="AI168" s="8">
        <v>1</v>
      </c>
      <c r="AJ168" s="8"/>
      <c r="AK168" s="8">
        <v>1</v>
      </c>
      <c r="AL168" s="8">
        <v>1</v>
      </c>
      <c r="AM168" s="142" t="s">
        <v>83</v>
      </c>
      <c r="AN168" s="8">
        <v>1</v>
      </c>
      <c r="AO168" s="8">
        <v>1</v>
      </c>
      <c r="AP168" s="8">
        <v>1</v>
      </c>
    </row>
    <row r="169" spans="1:42">
      <c r="A169" s="122"/>
      <c r="B169" s="8" t="str">
        <f>物品!B169</f>
        <v>IT11</v>
      </c>
      <c r="C169" s="8" t="s">
        <v>41</v>
      </c>
      <c r="D169" s="8" t="s">
        <v>81</v>
      </c>
      <c r="E169" s="8"/>
      <c r="F169" s="8"/>
      <c r="G169" s="8"/>
      <c r="H169" s="8" t="str">
        <f>VLOOKUP(LEFT(RIGHT(B169,5),4),物品!B:CU,2,FALSE)</f>
        <v>斩三尸</v>
      </c>
      <c r="I169" s="8" t="str">
        <f>VLOOKUP(B169,物品!B:CV,99,FALSE)</f>
        <v>境界挑战11</v>
      </c>
      <c r="J169" s="124" t="str">
        <f t="shared" ref="J169:J176" si="70">H169</f>
        <v>斩三尸</v>
      </c>
      <c r="K169" s="124" t="str">
        <f t="shared" ref="K169:K176" si="71">I169</f>
        <v>境界挑战11</v>
      </c>
      <c r="L169" s="8"/>
      <c r="M169" s="125" t="str">
        <f>VLOOKUP(LEFT(RIGHT(B169,5),4),物品!B:CU,20,FALSE)</f>
        <v>ReplaceableTextures\\CommandButtons\\BTNIT11.blp</v>
      </c>
      <c r="N169" s="142" t="s">
        <v>83</v>
      </c>
      <c r="O169" s="125" t="s">
        <v>90</v>
      </c>
      <c r="P169" s="8">
        <v>2</v>
      </c>
      <c r="Q169" s="8">
        <v>1</v>
      </c>
      <c r="R169" s="142" t="s">
        <v>83</v>
      </c>
      <c r="S169" s="142" t="s">
        <v>83</v>
      </c>
      <c r="T169" s="142" t="s">
        <v>83</v>
      </c>
      <c r="U169" s="142" t="s">
        <v>83</v>
      </c>
      <c r="V169" s="8"/>
      <c r="W169" s="8" t="s">
        <v>87</v>
      </c>
      <c r="X169" s="8">
        <v>0</v>
      </c>
      <c r="Y169" s="142" t="s">
        <v>83</v>
      </c>
      <c r="Z169" s="8">
        <v>0</v>
      </c>
      <c r="AA169" s="8">
        <v>0</v>
      </c>
      <c r="AB169" s="8">
        <v>0</v>
      </c>
      <c r="AC169" s="8">
        <v>1</v>
      </c>
      <c r="AD169" s="8">
        <v>1</v>
      </c>
      <c r="AE169" s="142" t="s">
        <v>83</v>
      </c>
      <c r="AF169" s="142" t="s">
        <v>83</v>
      </c>
      <c r="AG169" s="142" t="s">
        <v>83</v>
      </c>
      <c r="AH169" s="142" t="s">
        <v>83</v>
      </c>
      <c r="AI169" s="8">
        <v>1</v>
      </c>
      <c r="AJ169" s="8"/>
      <c r="AK169" s="8">
        <v>1</v>
      </c>
      <c r="AL169" s="8">
        <v>1</v>
      </c>
      <c r="AM169" s="142" t="s">
        <v>83</v>
      </c>
      <c r="AN169" s="8">
        <v>1</v>
      </c>
      <c r="AO169" s="8">
        <v>1</v>
      </c>
      <c r="AP169" s="8">
        <v>1</v>
      </c>
    </row>
    <row r="170" spans="1:42">
      <c r="A170" s="122"/>
      <c r="B170" s="8" t="str">
        <f>物品!B170</f>
        <v>IT12</v>
      </c>
      <c r="C170" s="8" t="s">
        <v>41</v>
      </c>
      <c r="D170" s="8" t="s">
        <v>81</v>
      </c>
      <c r="E170" s="8"/>
      <c r="F170" s="8"/>
      <c r="G170" s="8"/>
      <c r="H170" s="8" t="str">
        <f>VLOOKUP(LEFT(RIGHT(B170,5),4),物品!B:CU,2,FALSE)</f>
        <v>无量量劫</v>
      </c>
      <c r="I170" s="8" t="str">
        <f>VLOOKUP(B170,物品!B:CV,99,FALSE)</f>
        <v>境界挑战12</v>
      </c>
      <c r="J170" s="124" t="str">
        <f t="shared" si="70"/>
        <v>无量量劫</v>
      </c>
      <c r="K170" s="124" t="str">
        <f t="shared" si="71"/>
        <v>境界挑战12</v>
      </c>
      <c r="L170" s="8"/>
      <c r="M170" s="125" t="str">
        <f>VLOOKUP(LEFT(RIGHT(B170,5),4),物品!B:CU,20,FALSE)</f>
        <v>ReplaceableTextures\\CommandButtons\\BTNIT12.blp</v>
      </c>
      <c r="N170" s="142" t="s">
        <v>83</v>
      </c>
      <c r="O170" s="125" t="s">
        <v>90</v>
      </c>
      <c r="P170" s="8">
        <v>3</v>
      </c>
      <c r="Q170" s="8">
        <v>1</v>
      </c>
      <c r="R170" s="142" t="s">
        <v>83</v>
      </c>
      <c r="S170" s="142" t="s">
        <v>83</v>
      </c>
      <c r="T170" s="142" t="s">
        <v>83</v>
      </c>
      <c r="U170" s="142" t="s">
        <v>83</v>
      </c>
      <c r="V170" s="8"/>
      <c r="W170" s="8" t="s">
        <v>87</v>
      </c>
      <c r="X170" s="8">
        <v>0</v>
      </c>
      <c r="Y170" s="142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2" t="s">
        <v>83</v>
      </c>
      <c r="AF170" s="142" t="s">
        <v>83</v>
      </c>
      <c r="AG170" s="142" t="s">
        <v>83</v>
      </c>
      <c r="AH170" s="142" t="s">
        <v>83</v>
      </c>
      <c r="AI170" s="8">
        <v>1</v>
      </c>
      <c r="AJ170" s="8"/>
      <c r="AK170" s="8">
        <v>1</v>
      </c>
      <c r="AL170" s="8">
        <v>1</v>
      </c>
      <c r="AM170" s="142" t="s">
        <v>83</v>
      </c>
      <c r="AN170" s="8">
        <v>1</v>
      </c>
      <c r="AO170" s="8">
        <v>1</v>
      </c>
      <c r="AP170" s="8">
        <v>1</v>
      </c>
    </row>
    <row r="171" spans="1:42">
      <c r="A171" s="122"/>
      <c r="B171" s="8" t="str">
        <f>物品!B171</f>
        <v>IT13</v>
      </c>
      <c r="C171" s="8" t="s">
        <v>41</v>
      </c>
      <c r="D171" s="8" t="s">
        <v>81</v>
      </c>
      <c r="E171" s="8"/>
      <c r="F171" s="8"/>
      <c r="G171" s="8"/>
      <c r="H171" s="8" t="str">
        <f>VLOOKUP(LEFT(RIGHT(B171,5),4),物品!B:CU,2,FALSE)</f>
        <v>鸿钧对练</v>
      </c>
      <c r="I171" s="8" t="str">
        <f>VLOOKUP(B171,物品!B:CV,99,FALSE)</f>
        <v>境界挑战13</v>
      </c>
      <c r="J171" s="124" t="str">
        <f t="shared" si="70"/>
        <v>鸿钧对练</v>
      </c>
      <c r="K171" s="124" t="str">
        <f t="shared" si="71"/>
        <v>境界挑战13</v>
      </c>
      <c r="L171" s="8"/>
      <c r="M171" s="125" t="str">
        <f>VLOOKUP(LEFT(RIGHT(B171,5),4),物品!B:CU,20,FALSE)</f>
        <v>ReplaceableTextures\\CommandButtons\\BTNIT13.blp</v>
      </c>
      <c r="N171" s="142" t="s">
        <v>83</v>
      </c>
      <c r="O171" s="125" t="s">
        <v>90</v>
      </c>
      <c r="P171" s="8">
        <v>0</v>
      </c>
      <c r="Q171" s="8">
        <v>2</v>
      </c>
      <c r="R171" s="142" t="s">
        <v>83</v>
      </c>
      <c r="S171" s="142" t="s">
        <v>83</v>
      </c>
      <c r="T171" s="142" t="s">
        <v>83</v>
      </c>
      <c r="U171" s="142" t="s">
        <v>83</v>
      </c>
      <c r="V171" s="8"/>
      <c r="W171" s="8" t="s">
        <v>87</v>
      </c>
      <c r="X171" s="8">
        <v>0</v>
      </c>
      <c r="Y171" s="142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2" t="s">
        <v>83</v>
      </c>
      <c r="AF171" s="142" t="s">
        <v>83</v>
      </c>
      <c r="AG171" s="142" t="s">
        <v>83</v>
      </c>
      <c r="AH171" s="142" t="s">
        <v>83</v>
      </c>
      <c r="AI171" s="8">
        <v>1</v>
      </c>
      <c r="AJ171" s="8"/>
      <c r="AK171" s="8">
        <v>1</v>
      </c>
      <c r="AL171" s="8">
        <v>1</v>
      </c>
      <c r="AM171" s="142" t="s">
        <v>83</v>
      </c>
      <c r="AN171" s="8">
        <v>1</v>
      </c>
      <c r="AO171" s="8">
        <v>1</v>
      </c>
      <c r="AP171" s="8">
        <v>1</v>
      </c>
    </row>
    <row r="172" spans="1:42">
      <c r="A172" s="122"/>
      <c r="B172" s="8" t="str">
        <f>物品!B172</f>
        <v>IT14</v>
      </c>
      <c r="C172" s="8" t="s">
        <v>41</v>
      </c>
      <c r="D172" s="8" t="s">
        <v>81</v>
      </c>
      <c r="E172" s="8"/>
      <c r="F172" s="8"/>
      <c r="G172" s="8"/>
      <c r="H172" s="8" t="str">
        <f>VLOOKUP(LEFT(RIGHT(B172,5),4),物品!B:CU,2,FALSE)</f>
        <v>境界挑战14</v>
      </c>
      <c r="I172" s="8" t="str">
        <f>VLOOKUP(B172,物品!B:CV,99,FALSE)</f>
        <v>境界挑战14</v>
      </c>
      <c r="J172" s="124" t="str">
        <f t="shared" si="70"/>
        <v>境界挑战14</v>
      </c>
      <c r="K172" s="124" t="str">
        <f t="shared" si="71"/>
        <v>境界挑战14</v>
      </c>
      <c r="L172" s="8"/>
      <c r="M172" s="125" t="str">
        <f>VLOOKUP(LEFT(RIGHT(B172,5),4),物品!B:CU,20,FALSE)</f>
        <v>ReplaceableTextures\\CommandButtons\\BTNIT14.blp</v>
      </c>
      <c r="N172" s="142" t="s">
        <v>83</v>
      </c>
      <c r="O172" s="125" t="s">
        <v>90</v>
      </c>
      <c r="P172" s="8">
        <v>1</v>
      </c>
      <c r="Q172" s="8">
        <v>2</v>
      </c>
      <c r="R172" s="142" t="s">
        <v>83</v>
      </c>
      <c r="S172" s="142" t="s">
        <v>83</v>
      </c>
      <c r="T172" s="142" t="s">
        <v>83</v>
      </c>
      <c r="U172" s="142" t="s">
        <v>83</v>
      </c>
      <c r="V172" s="8"/>
      <c r="W172" s="8" t="s">
        <v>87</v>
      </c>
      <c r="X172" s="8">
        <v>0</v>
      </c>
      <c r="Y172" s="142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2" t="s">
        <v>83</v>
      </c>
      <c r="AF172" s="142" t="s">
        <v>83</v>
      </c>
      <c r="AG172" s="142" t="s">
        <v>83</v>
      </c>
      <c r="AH172" s="142" t="s">
        <v>83</v>
      </c>
      <c r="AI172" s="8">
        <v>1</v>
      </c>
      <c r="AJ172" s="8"/>
      <c r="AK172" s="8">
        <v>1</v>
      </c>
      <c r="AL172" s="8">
        <v>1</v>
      </c>
      <c r="AM172" s="142" t="s">
        <v>83</v>
      </c>
      <c r="AN172" s="8">
        <v>1</v>
      </c>
      <c r="AO172" s="8">
        <v>1</v>
      </c>
      <c r="AP172" s="8">
        <v>1</v>
      </c>
    </row>
    <row r="173" spans="1:42">
      <c r="A173" s="122"/>
      <c r="B173" s="8" t="str">
        <f>物品!B173</f>
        <v>IZ0A</v>
      </c>
      <c r="C173" s="8" t="s">
        <v>41</v>
      </c>
      <c r="D173" s="8" t="s">
        <v>81</v>
      </c>
      <c r="E173" s="8"/>
      <c r="F173" s="8"/>
      <c r="G173" s="8"/>
      <c r="H173" s="8" t="str">
        <f>VLOOKUP(LEFT(RIGHT(B173,5),4),物品!B:CU,2,FALSE)</f>
        <v>暂停进攻</v>
      </c>
      <c r="I173" s="8" t="str">
        <f>VLOOKUP(B173,物品!B:CV,99,FALSE)</f>
        <v>延缓敌军2分钟进攻时间。|n|n|Cff999999狗策划一直不想做这个功能，你们就省着点用吧~（逃|r</v>
      </c>
      <c r="J173" s="124" t="str">
        <f t="shared" si="70"/>
        <v>暂停进攻</v>
      </c>
      <c r="K173" s="124" t="str">
        <f t="shared" si="71"/>
        <v>延缓敌军2分钟进攻时间。|n|n|Cff999999狗策划一直不想做这个功能，你们就省着点用吧~（逃|r</v>
      </c>
      <c r="L173" s="8"/>
      <c r="M173" s="125" t="str">
        <f>VLOOKUP(LEFT(RIGHT(B173,5),4),物品!B:CU,20,FALSE)</f>
        <v>ReplaceableTextures\\CommandButtons\\BTNIZ0A.blp</v>
      </c>
      <c r="N173" s="142" t="s">
        <v>83</v>
      </c>
      <c r="O173" s="125" t="s">
        <v>90</v>
      </c>
      <c r="P173" s="8">
        <v>1</v>
      </c>
      <c r="Q173" s="8">
        <v>2</v>
      </c>
      <c r="R173" s="142" t="s">
        <v>83</v>
      </c>
      <c r="S173" s="142" t="s">
        <v>83</v>
      </c>
      <c r="T173" s="142" t="s">
        <v>83</v>
      </c>
      <c r="U173" s="142" t="s">
        <v>83</v>
      </c>
      <c r="V173" s="8"/>
      <c r="W173" s="8" t="s">
        <v>87</v>
      </c>
      <c r="X173" s="8">
        <v>10000</v>
      </c>
      <c r="Y173" s="142" t="s">
        <v>83</v>
      </c>
      <c r="Z173" s="8">
        <v>120</v>
      </c>
      <c r="AA173" s="8">
        <v>300</v>
      </c>
      <c r="AB173" s="8">
        <v>0</v>
      </c>
      <c r="AC173" s="8">
        <v>1</v>
      </c>
      <c r="AD173" s="8">
        <v>1</v>
      </c>
      <c r="AE173" s="142" t="s">
        <v>83</v>
      </c>
      <c r="AF173" s="142" t="s">
        <v>83</v>
      </c>
      <c r="AG173" s="142" t="s">
        <v>83</v>
      </c>
      <c r="AH173" s="142" t="s">
        <v>83</v>
      </c>
      <c r="AI173" s="8">
        <v>1</v>
      </c>
      <c r="AJ173" s="8"/>
      <c r="AK173" s="8">
        <v>1</v>
      </c>
      <c r="AL173" s="8">
        <v>1</v>
      </c>
      <c r="AM173" s="142" t="s">
        <v>83</v>
      </c>
      <c r="AN173" s="8">
        <v>1</v>
      </c>
      <c r="AO173" s="8">
        <v>1</v>
      </c>
      <c r="AP173" s="8">
        <v>1</v>
      </c>
    </row>
    <row r="174" spans="1:42">
      <c r="A174" s="122"/>
      <c r="B174" s="8" t="str">
        <f>物品!B174</f>
        <v>IZ0B</v>
      </c>
      <c r="C174" s="8" t="s">
        <v>41</v>
      </c>
      <c r="D174" s="8" t="s">
        <v>81</v>
      </c>
      <c r="E174" s="8"/>
      <c r="F174" s="8"/>
      <c r="G174" s="8"/>
      <c r="H174" s="8" t="str">
        <f>VLOOKUP(LEFT(RIGHT(B174,5),4),物品!B:CU,2,FALSE)</f>
        <v>奇经八脉</v>
      </c>
      <c r="I174" s="8" t="str">
        <f>VLOOKUP(B174,物品!B:CV,99,FALSE)</f>
        <v>击杀|Cffff0000脉灵法相|r，|Cffffd24d随机突破1级|r奇经八脉。|n|n|Cff00ff7f难2及以上开放，奖励永久存档。|r|n|n|Cff999999经脉乃诸法之本，突破奇经八脉，将天地灵气转化为自身的真气，以获得永久提升。|r</v>
      </c>
      <c r="J174" s="124" t="str">
        <f t="shared" ref="J174" si="72">H174</f>
        <v>奇经八脉</v>
      </c>
      <c r="K174" s="124" t="str">
        <f t="shared" ref="K174" si="73">I174</f>
        <v>击杀|Cffff0000脉灵法相|r，|Cffffd24d随机突破1级|r奇经八脉。|n|n|Cff00ff7f难2及以上开放，奖励永久存档。|r|n|n|Cff999999经脉乃诸法之本，突破奇经八脉，将天地灵气转化为自身的真气，以获得永久提升。|r</v>
      </c>
      <c r="L174" s="8"/>
      <c r="M174" s="125" t="str">
        <f>VLOOKUP(LEFT(RIGHT(B174,5),4),物品!B:CU,20,FALSE)</f>
        <v>ReplaceableTextures\\CommandButtons\\BTNIZ0B.blp</v>
      </c>
      <c r="N174" s="142" t="s">
        <v>83</v>
      </c>
      <c r="O174" s="125" t="s">
        <v>90</v>
      </c>
      <c r="P174" s="8">
        <v>2</v>
      </c>
      <c r="Q174" s="8">
        <v>2</v>
      </c>
      <c r="R174" s="142" t="s">
        <v>83</v>
      </c>
      <c r="S174" s="142" t="s">
        <v>83</v>
      </c>
      <c r="T174" s="142" t="s">
        <v>83</v>
      </c>
      <c r="U174" s="142" t="s">
        <v>83</v>
      </c>
      <c r="V174" s="8"/>
      <c r="W174" s="8" t="s">
        <v>87</v>
      </c>
      <c r="X174" s="8">
        <v>0</v>
      </c>
      <c r="Y174" s="142" t="s">
        <v>83</v>
      </c>
      <c r="Z174" s="8">
        <v>0</v>
      </c>
      <c r="AA174" s="8">
        <v>600</v>
      </c>
      <c r="AB174" s="8">
        <v>0</v>
      </c>
      <c r="AC174" s="8">
        <v>1</v>
      </c>
      <c r="AD174" s="8">
        <v>1</v>
      </c>
      <c r="AE174" s="142" t="s">
        <v>83</v>
      </c>
      <c r="AF174" s="142" t="s">
        <v>83</v>
      </c>
      <c r="AG174" s="142" t="s">
        <v>83</v>
      </c>
      <c r="AH174" s="142" t="s">
        <v>83</v>
      </c>
      <c r="AI174" s="8">
        <v>1</v>
      </c>
      <c r="AJ174" s="8"/>
      <c r="AK174" s="8">
        <v>1</v>
      </c>
      <c r="AL174" s="8">
        <v>1</v>
      </c>
      <c r="AM174" s="142" t="s">
        <v>83</v>
      </c>
      <c r="AN174" s="8">
        <v>1</v>
      </c>
      <c r="AO174" s="8">
        <v>1</v>
      </c>
      <c r="AP174" s="8">
        <v>1</v>
      </c>
    </row>
    <row r="175" spans="1:42">
      <c r="A175" s="122"/>
      <c r="B175" s="8" t="str">
        <f>物品!B175</f>
        <v>IZ01</v>
      </c>
      <c r="C175" s="8" t="s">
        <v>41</v>
      </c>
      <c r="D175" s="8" t="s">
        <v>81</v>
      </c>
      <c r="E175" s="8"/>
      <c r="F175" s="8"/>
      <c r="G175" s="8"/>
      <c r="H175" s="8" t="str">
        <f>VLOOKUP(LEFT(RIGHT(B175,5),4),物品!B:CU,2,FALSE)</f>
        <v>|CffFF0000团队副本-万仙阵|r</v>
      </c>
      <c r="I175" s="8" t="str">
        <f>VLOOKUP(B175,物品!B:CV,99,FALSE)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5" s="124" t="str">
        <f t="shared" ref="J175" si="74">H175</f>
        <v>|CffFF0000团队副本-万仙阵|r</v>
      </c>
      <c r="K175" s="124" t="str">
        <f t="shared" ref="K175" si="75">I175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5" s="8"/>
      <c r="M175" s="125" t="str">
        <f>VLOOKUP(LEFT(RIGHT(B175,5),4),物品!B:CU,20,FALSE)</f>
        <v>ReplaceableTextures\\CommandButtons\\BTNIZ01.blp</v>
      </c>
      <c r="N175" s="142" t="s">
        <v>83</v>
      </c>
      <c r="O175" s="125" t="s">
        <v>90</v>
      </c>
      <c r="P175" s="8">
        <v>1</v>
      </c>
      <c r="Q175" s="8">
        <v>2</v>
      </c>
      <c r="R175" s="142" t="s">
        <v>83</v>
      </c>
      <c r="S175" s="142" t="s">
        <v>83</v>
      </c>
      <c r="T175" s="142" t="s">
        <v>83</v>
      </c>
      <c r="U175" s="142" t="s">
        <v>83</v>
      </c>
      <c r="V175" s="8"/>
      <c r="W175" s="8" t="s">
        <v>87</v>
      </c>
      <c r="X175" s="8">
        <v>0</v>
      </c>
      <c r="Y175" s="142" t="s">
        <v>83</v>
      </c>
      <c r="Z175" s="8">
        <v>0</v>
      </c>
      <c r="AA175" s="8">
        <v>0</v>
      </c>
      <c r="AB175" s="8">
        <v>0</v>
      </c>
      <c r="AC175" s="8">
        <v>1</v>
      </c>
      <c r="AD175" s="8">
        <v>1</v>
      </c>
      <c r="AE175" s="142" t="s">
        <v>83</v>
      </c>
      <c r="AF175" s="142" t="s">
        <v>83</v>
      </c>
      <c r="AG175" s="142" t="s">
        <v>83</v>
      </c>
      <c r="AH175" s="142" t="s">
        <v>83</v>
      </c>
      <c r="AI175" s="8">
        <v>1</v>
      </c>
      <c r="AJ175" s="8"/>
      <c r="AK175" s="8">
        <v>1</v>
      </c>
      <c r="AL175" s="8">
        <v>1</v>
      </c>
      <c r="AM175" s="142" t="s">
        <v>83</v>
      </c>
      <c r="AN175" s="8">
        <v>1</v>
      </c>
      <c r="AO175" s="8">
        <v>1</v>
      </c>
      <c r="AP175" s="8">
        <v>1</v>
      </c>
    </row>
    <row r="176" spans="1:42">
      <c r="A176" s="122"/>
      <c r="B176" s="8" t="str">
        <f>物品!B176</f>
        <v>IS01</v>
      </c>
      <c r="C176" s="8" t="s">
        <v>41</v>
      </c>
      <c r="D176" s="8" t="s">
        <v>81</v>
      </c>
      <c r="E176" s="8"/>
      <c r="F176" s="8"/>
      <c r="G176" s="8"/>
      <c r="H176" s="8" t="str">
        <f>VLOOKUP(LEFT(RIGHT(B176,5),4),物品!B:CU,2,FALSE)</f>
        <v>学习Q技能</v>
      </c>
      <c r="I176" s="8" t="str">
        <f>VLOOKUP(B176,物品!B:CV,99,FALSE)</f>
        <v>学习或重置当前|cffffd24dQ技能|r。|n|cffffcc00抽取消耗：|r2000金币*次数|n|cffffcc00抽取次数：|r0/10|n|n|cff00ff7f单局最多抽取10次|r</v>
      </c>
      <c r="J176" s="124" t="str">
        <f t="shared" si="70"/>
        <v>学习Q技能</v>
      </c>
      <c r="K176" s="124" t="str">
        <f t="shared" si="71"/>
        <v>学习或重置当前|cffffd24dQ技能|r。|n|cffffcc00抽取消耗：|r2000金币*次数|n|cffffcc00抽取次数：|r0/10|n|n|cff00ff7f单局最多抽取10次|r</v>
      </c>
      <c r="L176" s="8"/>
      <c r="M176" s="125" t="str">
        <f>VLOOKUP(LEFT(RIGHT(B176,5),4),物品!B:CU,20,FALSE)</f>
        <v>ReplaceableTextures\\CommandButtons\\BTN001.blp</v>
      </c>
      <c r="N176" s="142" t="s">
        <v>83</v>
      </c>
      <c r="O176" s="125" t="s">
        <v>90</v>
      </c>
      <c r="P176" s="8">
        <v>0</v>
      </c>
      <c r="Q176" s="8">
        <v>0</v>
      </c>
      <c r="R176" s="142" t="s">
        <v>83</v>
      </c>
      <c r="S176" s="142" t="s">
        <v>83</v>
      </c>
      <c r="T176" s="142" t="s">
        <v>83</v>
      </c>
      <c r="U176" s="142" t="s">
        <v>83</v>
      </c>
      <c r="V176" s="8"/>
      <c r="W176" s="8" t="s">
        <v>87</v>
      </c>
      <c r="X176" s="8">
        <v>0</v>
      </c>
      <c r="Y176" s="142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2" t="s">
        <v>83</v>
      </c>
      <c r="AF176" s="142" t="s">
        <v>83</v>
      </c>
      <c r="AG176" s="142" t="s">
        <v>83</v>
      </c>
      <c r="AH176" s="142" t="s">
        <v>83</v>
      </c>
      <c r="AI176" s="8">
        <v>1</v>
      </c>
      <c r="AJ176" s="8"/>
      <c r="AK176" s="8">
        <v>1</v>
      </c>
      <c r="AL176" s="8">
        <v>1</v>
      </c>
      <c r="AM176" s="142" t="s">
        <v>83</v>
      </c>
      <c r="AN176" s="8">
        <v>1</v>
      </c>
      <c r="AO176" s="8">
        <v>1</v>
      </c>
      <c r="AP176" s="8">
        <v>1</v>
      </c>
    </row>
    <row r="177" spans="1:42">
      <c r="A177" s="122"/>
      <c r="B177" s="8" t="str">
        <f>物品!B177</f>
        <v>IS02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学习W技能</v>
      </c>
      <c r="I177" s="8" t="str">
        <f>VLOOKUP(B177,物品!B:CV,99,FALSE)</f>
        <v>学习或重置当前|cffffd24dW技能|r。|n|cffffcc00抽取消耗：|r5000金币*次数|n|cffffcc00抽取次数：|r0/10|n|n|cff00ff7f单局最多抽取10次|r</v>
      </c>
      <c r="J177" s="124" t="str">
        <f t="shared" si="68"/>
        <v>学习W技能</v>
      </c>
      <c r="K177" s="124" t="str">
        <f t="shared" si="69"/>
        <v>学习或重置当前|cffffd24dW技能|r。|n|cffffcc00抽取消耗：|r5000金币*次数|n|cffffcc00抽取次数：|r0/10|n|n|cff00ff7f单局最多抽取10次|r</v>
      </c>
      <c r="L177" s="8"/>
      <c r="M177" s="125" t="str">
        <f>VLOOKUP(LEFT(RIGHT(B177,5),4),物品!B:CU,20,FALSE)</f>
        <v>ReplaceableTextures\\CommandButtons\\BTN002.blp</v>
      </c>
      <c r="N177" s="142" t="s">
        <v>83</v>
      </c>
      <c r="O177" s="125" t="s">
        <v>90</v>
      </c>
      <c r="P177" s="8">
        <v>1</v>
      </c>
      <c r="Q177" s="8">
        <v>0</v>
      </c>
      <c r="R177" s="142" t="s">
        <v>83</v>
      </c>
      <c r="S177" s="142" t="s">
        <v>83</v>
      </c>
      <c r="T177" s="142" t="s">
        <v>83</v>
      </c>
      <c r="U177" s="142" t="s">
        <v>83</v>
      </c>
      <c r="V177" s="8"/>
      <c r="W177" s="8" t="s">
        <v>87</v>
      </c>
      <c r="X177" s="8">
        <v>0</v>
      </c>
      <c r="Y177" s="142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2" t="s">
        <v>83</v>
      </c>
      <c r="AF177" s="142" t="s">
        <v>83</v>
      </c>
      <c r="AG177" s="142" t="s">
        <v>83</v>
      </c>
      <c r="AH177" s="142" t="s">
        <v>83</v>
      </c>
      <c r="AI177" s="8">
        <v>1</v>
      </c>
      <c r="AJ177" s="8"/>
      <c r="AK177" s="8">
        <v>1</v>
      </c>
      <c r="AL177" s="8">
        <v>1</v>
      </c>
      <c r="AM177" s="142" t="s">
        <v>83</v>
      </c>
      <c r="AN177" s="8">
        <v>1</v>
      </c>
      <c r="AO177" s="8">
        <v>1</v>
      </c>
      <c r="AP177" s="8">
        <v>1</v>
      </c>
    </row>
    <row r="178" spans="1:42">
      <c r="A178" s="122"/>
      <c r="B178" s="8" t="str">
        <f>物品!B178</f>
        <v>IS03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学习E技能</v>
      </c>
      <c r="I178" s="8" t="str">
        <f>VLOOKUP(B178,物品!B:CV,99,FALSE)</f>
        <v>学习或重置当前|cffffd24dE技能|r。|n|cffffcc00抽取消耗：|r20000金币*次数|n|cffffcc00抽取次数：|r0/10|n|n|cff00ff7f单局最多抽取10次|r</v>
      </c>
      <c r="J178" s="124" t="str">
        <f t="shared" si="68"/>
        <v>学习E技能</v>
      </c>
      <c r="K178" s="124" t="str">
        <f t="shared" si="69"/>
        <v>学习或重置当前|cffffd24dE技能|r。|n|cffffcc00抽取消耗：|r20000金币*次数|n|cffffcc00抽取次数：|r0/10|n|n|cff00ff7f单局最多抽取10次|r</v>
      </c>
      <c r="L178" s="8"/>
      <c r="M178" s="125" t="str">
        <f>VLOOKUP(LEFT(RIGHT(B178,5),4),物品!B:CU,20,FALSE)</f>
        <v>ReplaceableTextures\\CommandButtons\\BTN003.blp</v>
      </c>
      <c r="N178" s="142" t="s">
        <v>83</v>
      </c>
      <c r="O178" s="125" t="s">
        <v>90</v>
      </c>
      <c r="P178" s="8">
        <v>2</v>
      </c>
      <c r="Q178" s="8">
        <v>0</v>
      </c>
      <c r="R178" s="142" t="s">
        <v>83</v>
      </c>
      <c r="S178" s="142" t="s">
        <v>83</v>
      </c>
      <c r="T178" s="142" t="s">
        <v>83</v>
      </c>
      <c r="U178" s="142" t="s">
        <v>83</v>
      </c>
      <c r="V178" s="8"/>
      <c r="W178" s="8" t="s">
        <v>87</v>
      </c>
      <c r="X178" s="8">
        <v>0</v>
      </c>
      <c r="Y178" s="142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2" t="s">
        <v>83</v>
      </c>
      <c r="AF178" s="142" t="s">
        <v>83</v>
      </c>
      <c r="AG178" s="142" t="s">
        <v>83</v>
      </c>
      <c r="AH178" s="142" t="s">
        <v>83</v>
      </c>
      <c r="AI178" s="8">
        <v>1</v>
      </c>
      <c r="AJ178" s="8"/>
      <c r="AK178" s="8">
        <v>1</v>
      </c>
      <c r="AL178" s="8">
        <v>1</v>
      </c>
      <c r="AM178" s="142" t="s">
        <v>83</v>
      </c>
      <c r="AN178" s="8">
        <v>1</v>
      </c>
      <c r="AO178" s="8">
        <v>1</v>
      </c>
      <c r="AP178" s="8">
        <v>1</v>
      </c>
    </row>
    <row r="179" spans="1:42">
      <c r="A179" s="122"/>
      <c r="B179" s="8" t="str">
        <f>物品!B179</f>
        <v>IS21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Q附魔</v>
      </c>
      <c r="I179" s="8" t="str">
        <f>VLOOKUP(B179,物品!B:CV,99,FALSE)</f>
        <v>为|Cffffd24dQ技能|r附魔一条|Cffffd24d随机属性|r。</v>
      </c>
      <c r="J179" s="124" t="str">
        <f t="shared" si="68"/>
        <v>Q附魔</v>
      </c>
      <c r="K179" s="124" t="str">
        <f t="shared" si="69"/>
        <v>为|Cffffd24dQ技能|r附魔一条|Cffffd24d随机属性|r。</v>
      </c>
      <c r="L179" s="8"/>
      <c r="M179" s="125" t="str">
        <f>VLOOKUP(LEFT(RIGHT(B179,5),4),物品!B:CU,20,FALSE)</f>
        <v>ReplaceableTextures\\CommandButtons\\BTNIN01.blp</v>
      </c>
      <c r="N179" s="142" t="s">
        <v>83</v>
      </c>
      <c r="O179" s="125" t="s">
        <v>90</v>
      </c>
      <c r="P179" s="8">
        <v>0</v>
      </c>
      <c r="Q179" s="8">
        <v>2</v>
      </c>
      <c r="R179" s="142" t="s">
        <v>83</v>
      </c>
      <c r="S179" s="142" t="s">
        <v>83</v>
      </c>
      <c r="T179" s="142" t="s">
        <v>83</v>
      </c>
      <c r="U179" s="142" t="s">
        <v>83</v>
      </c>
      <c r="V179" s="8"/>
      <c r="W179" s="8" t="s">
        <v>87</v>
      </c>
      <c r="X179" s="8">
        <v>0</v>
      </c>
      <c r="Y179" s="142" t="s">
        <v>83</v>
      </c>
      <c r="Z179" s="8">
        <v>360</v>
      </c>
      <c r="AA179" s="8">
        <v>0</v>
      </c>
      <c r="AB179" s="8">
        <v>0</v>
      </c>
      <c r="AC179" s="8">
        <v>1</v>
      </c>
      <c r="AD179" s="8">
        <v>1</v>
      </c>
      <c r="AE179" s="142" t="s">
        <v>83</v>
      </c>
      <c r="AF179" s="142" t="s">
        <v>83</v>
      </c>
      <c r="AG179" s="142" t="s">
        <v>83</v>
      </c>
      <c r="AH179" s="142" t="s">
        <v>83</v>
      </c>
      <c r="AI179" s="8">
        <v>1</v>
      </c>
      <c r="AJ179" s="8"/>
      <c r="AK179" s="8">
        <v>1</v>
      </c>
      <c r="AL179" s="8">
        <v>1</v>
      </c>
      <c r="AM179" s="142" t="s">
        <v>83</v>
      </c>
      <c r="AN179" s="8">
        <v>1</v>
      </c>
      <c r="AO179" s="8">
        <v>1</v>
      </c>
      <c r="AP179" s="8">
        <v>1</v>
      </c>
    </row>
    <row r="180" spans="1:42">
      <c r="A180" s="122"/>
      <c r="B180" s="8" t="str">
        <f>物品!B180</f>
        <v>IS22</v>
      </c>
      <c r="C180" s="8" t="s">
        <v>41</v>
      </c>
      <c r="D180" s="8" t="s">
        <v>81</v>
      </c>
      <c r="E180" s="8"/>
      <c r="F180" s="8"/>
      <c r="G180" s="8"/>
      <c r="H180" s="8" t="str">
        <f>VLOOKUP(LEFT(RIGHT(B180,5),4),物品!B:CU,2,FALSE)</f>
        <v>W附魔</v>
      </c>
      <c r="I180" s="8" t="str">
        <f>VLOOKUP(B180,物品!B:CV,99,FALSE)</f>
        <v>为|Cffffd24dQ技能|r附魔一条|Cffffd24d随机属性|r。</v>
      </c>
      <c r="J180" s="124" t="str">
        <f t="shared" ref="J180:J182" si="76">H180</f>
        <v>W附魔</v>
      </c>
      <c r="K180" s="124" t="str">
        <f t="shared" ref="K180:K182" si="77">I180</f>
        <v>为|Cffffd24dQ技能|r附魔一条|Cffffd24d随机属性|r。</v>
      </c>
      <c r="L180" s="8"/>
      <c r="M180" s="125" t="str">
        <f>VLOOKUP(LEFT(RIGHT(B180,5),4),物品!B:CU,20,FALSE)</f>
        <v>ReplaceableTextures\\CommandButtons\\BTNIN02.blp</v>
      </c>
      <c r="N180" s="142" t="s">
        <v>83</v>
      </c>
      <c r="O180" s="125" t="s">
        <v>90</v>
      </c>
      <c r="P180" s="8">
        <v>1</v>
      </c>
      <c r="Q180" s="8">
        <v>2</v>
      </c>
      <c r="R180" s="142" t="s">
        <v>83</v>
      </c>
      <c r="S180" s="142" t="s">
        <v>83</v>
      </c>
      <c r="T180" s="142" t="s">
        <v>83</v>
      </c>
      <c r="U180" s="142" t="s">
        <v>83</v>
      </c>
      <c r="V180" s="8"/>
      <c r="W180" s="8" t="s">
        <v>87</v>
      </c>
      <c r="X180" s="8">
        <v>0</v>
      </c>
      <c r="Y180" s="142" t="s">
        <v>83</v>
      </c>
      <c r="Z180" s="8">
        <v>360</v>
      </c>
      <c r="AA180" s="8">
        <v>0</v>
      </c>
      <c r="AB180" s="8">
        <v>0</v>
      </c>
      <c r="AC180" s="8">
        <v>1</v>
      </c>
      <c r="AD180" s="8">
        <v>1</v>
      </c>
      <c r="AE180" s="142" t="s">
        <v>83</v>
      </c>
      <c r="AF180" s="142" t="s">
        <v>83</v>
      </c>
      <c r="AG180" s="142" t="s">
        <v>83</v>
      </c>
      <c r="AH180" s="142" t="s">
        <v>83</v>
      </c>
      <c r="AI180" s="8">
        <v>1</v>
      </c>
      <c r="AJ180" s="8"/>
      <c r="AK180" s="8">
        <v>1</v>
      </c>
      <c r="AL180" s="8">
        <v>1</v>
      </c>
      <c r="AM180" s="142" t="s">
        <v>83</v>
      </c>
      <c r="AN180" s="8">
        <v>1</v>
      </c>
      <c r="AO180" s="8">
        <v>1</v>
      </c>
      <c r="AP180" s="8">
        <v>1</v>
      </c>
    </row>
    <row r="181" spans="1:42">
      <c r="A181" s="122"/>
      <c r="B181" s="8" t="str">
        <f>物品!B181</f>
        <v>IS23</v>
      </c>
      <c r="C181" s="8" t="s">
        <v>41</v>
      </c>
      <c r="D181" s="8" t="s">
        <v>81</v>
      </c>
      <c r="E181" s="8"/>
      <c r="F181" s="8"/>
      <c r="G181" s="8"/>
      <c r="H181" s="8" t="str">
        <f>VLOOKUP(LEFT(RIGHT(B181,5),4),物品!B:CU,2,FALSE)</f>
        <v>E附魔</v>
      </c>
      <c r="I181" s="8" t="str">
        <f>VLOOKUP(B181,物品!B:CV,99,FALSE)</f>
        <v>为|Cffffd24dQ技能|r附魔一条|Cffffd24d随机属性|r。</v>
      </c>
      <c r="J181" s="124" t="str">
        <f t="shared" si="76"/>
        <v>E附魔</v>
      </c>
      <c r="K181" s="124" t="str">
        <f t="shared" si="77"/>
        <v>为|Cffffd24dQ技能|r附魔一条|Cffffd24d随机属性|r。</v>
      </c>
      <c r="L181" s="8"/>
      <c r="M181" s="125" t="str">
        <f>VLOOKUP(LEFT(RIGHT(B181,5),4),物品!B:CU,20,FALSE)</f>
        <v>ReplaceableTextures\\CommandButtons\\BTNIN03.blp</v>
      </c>
      <c r="N181" s="142" t="s">
        <v>83</v>
      </c>
      <c r="O181" s="125" t="s">
        <v>90</v>
      </c>
      <c r="P181" s="8">
        <v>2</v>
      </c>
      <c r="Q181" s="8">
        <v>2</v>
      </c>
      <c r="R181" s="142" t="s">
        <v>83</v>
      </c>
      <c r="S181" s="142" t="s">
        <v>83</v>
      </c>
      <c r="T181" s="142" t="s">
        <v>83</v>
      </c>
      <c r="U181" s="142" t="s">
        <v>83</v>
      </c>
      <c r="V181" s="8"/>
      <c r="W181" s="8" t="s">
        <v>87</v>
      </c>
      <c r="X181" s="8">
        <v>0</v>
      </c>
      <c r="Y181" s="142" t="s">
        <v>83</v>
      </c>
      <c r="Z181" s="8">
        <v>360</v>
      </c>
      <c r="AA181" s="8">
        <v>0</v>
      </c>
      <c r="AB181" s="8">
        <v>0</v>
      </c>
      <c r="AC181" s="8">
        <v>1</v>
      </c>
      <c r="AD181" s="8">
        <v>1</v>
      </c>
      <c r="AE181" s="142" t="s">
        <v>83</v>
      </c>
      <c r="AF181" s="142" t="s">
        <v>83</v>
      </c>
      <c r="AG181" s="142" t="s">
        <v>83</v>
      </c>
      <c r="AH181" s="142" t="s">
        <v>83</v>
      </c>
      <c r="AI181" s="8">
        <v>1</v>
      </c>
      <c r="AJ181" s="8"/>
      <c r="AK181" s="8">
        <v>1</v>
      </c>
      <c r="AL181" s="8">
        <v>1</v>
      </c>
      <c r="AM181" s="142" t="s">
        <v>83</v>
      </c>
      <c r="AN181" s="8">
        <v>1</v>
      </c>
      <c r="AO181" s="8">
        <v>1</v>
      </c>
      <c r="AP181" s="8">
        <v>1</v>
      </c>
    </row>
    <row r="182" spans="1:42">
      <c r="A182" s="122"/>
      <c r="B182" s="8" t="str">
        <f>物品!B182</f>
        <v>IS24</v>
      </c>
      <c r="C182" s="8" t="s">
        <v>41</v>
      </c>
      <c r="D182" s="8" t="s">
        <v>81</v>
      </c>
      <c r="E182" s="8"/>
      <c r="F182" s="8"/>
      <c r="G182" s="8"/>
      <c r="H182" s="8" t="str">
        <f>VLOOKUP(LEFT(RIGHT(B182,5),4),物品!B:CU,2,FALSE)</f>
        <v>|CffFFD24DQ强力附魔卷|r</v>
      </c>
      <c r="I182" s="8" t="str">
        <f>VLOOKUP(B182,物品!B:CV,99,FALSE)</f>
        <v>为|Cffffd24dQ技能|r附魔一条|Cffffd24d随机属性|r。</v>
      </c>
      <c r="J182" s="124" t="str">
        <f t="shared" si="76"/>
        <v>|CffFFD24DQ强力附魔卷|r</v>
      </c>
      <c r="K182" s="124" t="str">
        <f t="shared" si="77"/>
        <v>为|Cffffd24dQ技能|r附魔一条|Cffffd24d随机属性|r。</v>
      </c>
      <c r="L182" s="8"/>
      <c r="M182" s="125" t="str">
        <f>VLOOKUP(LEFT(RIGHT(B182,5),4),物品!B:CU,20,FALSE)</f>
        <v>ReplaceableTextures\\CommandButtons\\BTN009.blp</v>
      </c>
      <c r="N182" s="142" t="s">
        <v>83</v>
      </c>
      <c r="O182" s="125" t="s">
        <v>90</v>
      </c>
      <c r="P182" s="8">
        <v>0</v>
      </c>
      <c r="Q182" s="8">
        <v>2</v>
      </c>
      <c r="R182" s="142" t="s">
        <v>83</v>
      </c>
      <c r="S182" s="142" t="s">
        <v>83</v>
      </c>
      <c r="T182" s="142" t="s">
        <v>83</v>
      </c>
      <c r="U182" s="142" t="s">
        <v>83</v>
      </c>
      <c r="V182" s="8"/>
      <c r="W182" s="8" t="s">
        <v>87</v>
      </c>
      <c r="X182" s="8">
        <v>0</v>
      </c>
      <c r="Y182" s="142" t="s">
        <v>83</v>
      </c>
      <c r="Z182" s="8">
        <v>360</v>
      </c>
      <c r="AA182" s="8">
        <v>0</v>
      </c>
      <c r="AB182" s="8">
        <v>0</v>
      </c>
      <c r="AC182" s="8">
        <v>1</v>
      </c>
      <c r="AD182" s="8">
        <v>1</v>
      </c>
      <c r="AE182" s="142" t="s">
        <v>83</v>
      </c>
      <c r="AF182" s="142" t="s">
        <v>83</v>
      </c>
      <c r="AG182" s="142" t="s">
        <v>83</v>
      </c>
      <c r="AH182" s="142" t="s">
        <v>83</v>
      </c>
      <c r="AI182" s="8">
        <v>1</v>
      </c>
      <c r="AJ182" s="8"/>
      <c r="AK182" s="8">
        <v>1</v>
      </c>
      <c r="AL182" s="8">
        <v>1</v>
      </c>
      <c r="AM182" s="142" t="s">
        <v>83</v>
      </c>
      <c r="AN182" s="8">
        <v>1</v>
      </c>
      <c r="AO182" s="8">
        <v>1</v>
      </c>
      <c r="AP182" s="8">
        <v>1</v>
      </c>
    </row>
    <row r="183" spans="1:42">
      <c r="A183" s="122"/>
      <c r="B183" s="8" t="str">
        <f>物品!B183</f>
        <v>IS25</v>
      </c>
      <c r="C183" s="8" t="s">
        <v>41</v>
      </c>
      <c r="D183" s="8" t="s">
        <v>81</v>
      </c>
      <c r="E183" s="8"/>
      <c r="F183" s="8"/>
      <c r="G183" s="8"/>
      <c r="H183" s="8" t="str">
        <f>VLOOKUP(LEFT(RIGHT(B183,5),4),物品!B:CU,2,FALSE)</f>
        <v>|CffFFD24DW强力附魔卷|r</v>
      </c>
      <c r="I183" s="8" t="str">
        <f>VLOOKUP(B183,物品!B:CV,99,FALSE)</f>
        <v>为|Cffffd24dW技能|r附魔一条|Cffffd24d随机属性|r。</v>
      </c>
      <c r="J183" s="124" t="str">
        <f t="shared" ref="J183:J184" si="78">H183</f>
        <v>|CffFFD24DW强力附魔卷|r</v>
      </c>
      <c r="K183" s="124" t="str">
        <f t="shared" ref="K183:K184" si="79">I183</f>
        <v>为|Cffffd24dW技能|r附魔一条|Cffffd24d随机属性|r。</v>
      </c>
      <c r="L183" s="8"/>
      <c r="M183" s="125" t="str">
        <f>VLOOKUP(LEFT(RIGHT(B183,5),4),物品!B:CU,20,FALSE)</f>
        <v>ReplaceableTextures\\CommandButtons\\BTN010.blp</v>
      </c>
      <c r="N183" s="142" t="s">
        <v>83</v>
      </c>
      <c r="O183" s="125" t="s">
        <v>90</v>
      </c>
      <c r="P183" s="8">
        <v>1</v>
      </c>
      <c r="Q183" s="8">
        <v>2</v>
      </c>
      <c r="R183" s="142" t="s">
        <v>83</v>
      </c>
      <c r="S183" s="142" t="s">
        <v>83</v>
      </c>
      <c r="T183" s="142" t="s">
        <v>83</v>
      </c>
      <c r="U183" s="142" t="s">
        <v>83</v>
      </c>
      <c r="V183" s="8"/>
      <c r="W183" s="8" t="s">
        <v>87</v>
      </c>
      <c r="X183" s="8">
        <v>0</v>
      </c>
      <c r="Y183" s="142" t="s">
        <v>83</v>
      </c>
      <c r="Z183" s="8">
        <v>360</v>
      </c>
      <c r="AA183" s="8">
        <v>0</v>
      </c>
      <c r="AB183" s="8">
        <v>0</v>
      </c>
      <c r="AC183" s="8">
        <v>1</v>
      </c>
      <c r="AD183" s="8">
        <v>1</v>
      </c>
      <c r="AE183" s="142" t="s">
        <v>83</v>
      </c>
      <c r="AF183" s="142" t="s">
        <v>83</v>
      </c>
      <c r="AG183" s="142" t="s">
        <v>83</v>
      </c>
      <c r="AH183" s="142" t="s">
        <v>83</v>
      </c>
      <c r="AI183" s="8">
        <v>1</v>
      </c>
      <c r="AJ183" s="8"/>
      <c r="AK183" s="8">
        <v>1</v>
      </c>
      <c r="AL183" s="8">
        <v>1</v>
      </c>
      <c r="AM183" s="142" t="s">
        <v>83</v>
      </c>
      <c r="AN183" s="8">
        <v>1</v>
      </c>
      <c r="AO183" s="8">
        <v>1</v>
      </c>
      <c r="AP183" s="8">
        <v>1</v>
      </c>
    </row>
    <row r="184" spans="1:42">
      <c r="A184" s="122"/>
      <c r="B184" s="8" t="str">
        <f>物品!B184</f>
        <v>IS26</v>
      </c>
      <c r="C184" s="8" t="s">
        <v>41</v>
      </c>
      <c r="D184" s="8" t="s">
        <v>81</v>
      </c>
      <c r="E184" s="8"/>
      <c r="F184" s="8"/>
      <c r="G184" s="8"/>
      <c r="H184" s="8" t="str">
        <f>VLOOKUP(LEFT(RIGHT(B184,5),4),物品!B:CU,2,FALSE)</f>
        <v>|CffFFD24DE强力附魔卷|r</v>
      </c>
      <c r="I184" s="8" t="str">
        <f>VLOOKUP(B184,物品!B:CV,99,FALSE)</f>
        <v>为|Cffffd24dE技能|r附魔一条|Cffffd24d随机属性|r。</v>
      </c>
      <c r="J184" s="124" t="str">
        <f t="shared" si="78"/>
        <v>|CffFFD24DE强力附魔卷|r</v>
      </c>
      <c r="K184" s="124" t="str">
        <f t="shared" si="79"/>
        <v>为|Cffffd24dE技能|r附魔一条|Cffffd24d随机属性|r。</v>
      </c>
      <c r="L184" s="8"/>
      <c r="M184" s="125" t="str">
        <f>VLOOKUP(LEFT(RIGHT(B184,5),4),物品!B:CU,20,FALSE)</f>
        <v>ReplaceableTextures\\CommandButtons\\BTN011.blp</v>
      </c>
      <c r="N184" s="142" t="s">
        <v>83</v>
      </c>
      <c r="O184" s="125" t="s">
        <v>90</v>
      </c>
      <c r="P184" s="8">
        <v>2</v>
      </c>
      <c r="Q184" s="8">
        <v>2</v>
      </c>
      <c r="R184" s="142" t="s">
        <v>83</v>
      </c>
      <c r="S184" s="142" t="s">
        <v>83</v>
      </c>
      <c r="T184" s="142" t="s">
        <v>83</v>
      </c>
      <c r="U184" s="142" t="s">
        <v>83</v>
      </c>
      <c r="V184" s="8"/>
      <c r="W184" s="8" t="s">
        <v>87</v>
      </c>
      <c r="X184" s="8">
        <v>0</v>
      </c>
      <c r="Y184" s="142" t="s">
        <v>83</v>
      </c>
      <c r="Z184" s="8">
        <v>360</v>
      </c>
      <c r="AA184" s="8">
        <v>0</v>
      </c>
      <c r="AB184" s="8">
        <v>0</v>
      </c>
      <c r="AC184" s="8">
        <v>1</v>
      </c>
      <c r="AD184" s="8">
        <v>1</v>
      </c>
      <c r="AE184" s="142" t="s">
        <v>83</v>
      </c>
      <c r="AF184" s="142" t="s">
        <v>83</v>
      </c>
      <c r="AG184" s="142" t="s">
        <v>83</v>
      </c>
      <c r="AH184" s="142" t="s">
        <v>83</v>
      </c>
      <c r="AI184" s="8">
        <v>1</v>
      </c>
      <c r="AJ184" s="8"/>
      <c r="AK184" s="8">
        <v>1</v>
      </c>
      <c r="AL184" s="8">
        <v>1</v>
      </c>
      <c r="AM184" s="142" t="s">
        <v>83</v>
      </c>
      <c r="AN184" s="8">
        <v>1</v>
      </c>
      <c r="AO184" s="8">
        <v>1</v>
      </c>
      <c r="AP184" s="8">
        <v>1</v>
      </c>
    </row>
    <row r="185" spans="1:42">
      <c r="A185" s="122"/>
      <c r="B185" s="8" t="str">
        <f>物品!B185</f>
        <v>IS11</v>
      </c>
      <c r="C185" s="8" t="s">
        <v>41</v>
      </c>
      <c r="D185" s="8" t="s">
        <v>81</v>
      </c>
      <c r="E185" s="8"/>
      <c r="F185" s="8"/>
      <c r="G185" s="8"/>
      <c r="H185" s="8" t="str">
        <f>VLOOKUP(LEFT(RIGHT(B185,5),4),物品!B:CU,2,FALSE)</f>
        <v>|CffFF0000占星|r</v>
      </c>
      <c r="I185" s="8" t="str">
        <f>VLOOKUP(B185,物品!B:CV,99,FALSE)</f>
        <v>|CffFF0000占星|r</v>
      </c>
      <c r="J185" s="124" t="str">
        <f t="shared" ref="J185" si="80">H185</f>
        <v>|CffFF0000占星|r</v>
      </c>
      <c r="K185" s="124" t="str">
        <f t="shared" ref="K185" si="81">I185</f>
        <v>|CffFF0000占星|r</v>
      </c>
      <c r="L185" s="8"/>
      <c r="M185" s="125" t="str">
        <f>VLOOKUP(LEFT(RIGHT(B185,5),4),物品!B:CU,20,FALSE)</f>
        <v>ReplaceableTextures\\CommandButtons\\BTNIS11.blp</v>
      </c>
      <c r="N185" s="142" t="s">
        <v>83</v>
      </c>
      <c r="O185" s="125" t="s">
        <v>90</v>
      </c>
      <c r="P185" s="8">
        <v>0</v>
      </c>
      <c r="Q185" s="8">
        <v>0</v>
      </c>
      <c r="R185" s="142" t="s">
        <v>83</v>
      </c>
      <c r="S185" s="142" t="s">
        <v>83</v>
      </c>
      <c r="T185" s="142" t="s">
        <v>83</v>
      </c>
      <c r="U185" s="142" t="s">
        <v>83</v>
      </c>
      <c r="V185" s="8"/>
      <c r="W185" s="8" t="s">
        <v>87</v>
      </c>
      <c r="X185" s="8">
        <v>0</v>
      </c>
      <c r="Y185" s="142" t="s">
        <v>83</v>
      </c>
      <c r="Z185" s="8">
        <v>0</v>
      </c>
      <c r="AA185" s="8">
        <v>240</v>
      </c>
      <c r="AB185" s="8">
        <v>0</v>
      </c>
      <c r="AC185" s="8">
        <v>1</v>
      </c>
      <c r="AD185" s="8">
        <v>1</v>
      </c>
      <c r="AE185" s="142" t="s">
        <v>83</v>
      </c>
      <c r="AF185" s="142" t="s">
        <v>83</v>
      </c>
      <c r="AG185" s="142" t="s">
        <v>83</v>
      </c>
      <c r="AH185" s="142" t="s">
        <v>83</v>
      </c>
      <c r="AI185" s="8">
        <v>1</v>
      </c>
      <c r="AJ185" s="8"/>
      <c r="AK185" s="8">
        <v>1</v>
      </c>
      <c r="AL185" s="8">
        <v>1</v>
      </c>
      <c r="AM185" s="142" t="s">
        <v>83</v>
      </c>
      <c r="AN185" s="8">
        <v>1</v>
      </c>
      <c r="AO185" s="8">
        <v>1</v>
      </c>
      <c r="AP185" s="8">
        <v>1</v>
      </c>
    </row>
    <row r="186" spans="1:42">
      <c r="A186" s="122"/>
      <c r="B186" s="8" t="str">
        <f>物品!B186</f>
        <v>IS12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|CffFFD24D兽魂抽奖|r</v>
      </c>
      <c r="I186" s="8" t="str">
        <f>VLOOKUP(B186,物品!B:CV,99,FALSE)</f>
        <v>|CffFFD24D兽魂抽奖|r</v>
      </c>
      <c r="J186" s="124" t="str">
        <f t="shared" si="68"/>
        <v>|CffFFD24D兽魂抽奖|r</v>
      </c>
      <c r="K186" s="124" t="str">
        <f t="shared" si="69"/>
        <v>|CffFFD24D兽魂抽奖|r</v>
      </c>
      <c r="L186" s="8"/>
      <c r="M186" s="125" t="str">
        <f>VLOOKUP(LEFT(RIGHT(B186,5),4),物品!B:CU,20,FALSE)</f>
        <v>ReplaceableTextures\\CommandButtons\\BTNIH00.blp</v>
      </c>
      <c r="N186" s="142" t="s">
        <v>83</v>
      </c>
      <c r="O186" s="125" t="s">
        <v>90</v>
      </c>
      <c r="P186" s="8">
        <v>0</v>
      </c>
      <c r="Q186" s="8">
        <v>0</v>
      </c>
      <c r="R186" s="142" t="s">
        <v>83</v>
      </c>
      <c r="S186" s="142" t="s">
        <v>83</v>
      </c>
      <c r="T186" s="142" t="s">
        <v>83</v>
      </c>
      <c r="U186" s="142" t="s">
        <v>83</v>
      </c>
      <c r="V186" s="8"/>
      <c r="W186" s="8" t="s">
        <v>87</v>
      </c>
      <c r="X186" s="8">
        <v>0</v>
      </c>
      <c r="Y186" s="142" t="s">
        <v>83</v>
      </c>
      <c r="Z186" s="8">
        <v>0</v>
      </c>
      <c r="AA186" s="8">
        <v>3</v>
      </c>
      <c r="AB186" s="8">
        <v>0</v>
      </c>
      <c r="AC186" s="8">
        <v>1</v>
      </c>
      <c r="AD186" s="8">
        <v>1</v>
      </c>
      <c r="AE186" s="142" t="s">
        <v>83</v>
      </c>
      <c r="AF186" s="142" t="s">
        <v>83</v>
      </c>
      <c r="AG186" s="142" t="s">
        <v>83</v>
      </c>
      <c r="AH186" s="142" t="s">
        <v>83</v>
      </c>
      <c r="AI186" s="8">
        <v>1</v>
      </c>
      <c r="AJ186" s="8"/>
      <c r="AK186" s="8">
        <v>1</v>
      </c>
      <c r="AL186" s="8">
        <v>1</v>
      </c>
      <c r="AM186" s="142" t="s">
        <v>83</v>
      </c>
      <c r="AN186" s="8">
        <v>1</v>
      </c>
      <c r="AO186" s="8">
        <v>1</v>
      </c>
      <c r="AP186" s="8">
        <v>1</v>
      </c>
    </row>
    <row r="187" spans="1:42">
      <c r="A187" s="122"/>
      <c r="B187" s="8" t="str">
        <f>物品!B187</f>
        <v>IS13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|cffffd24d强化饰品等级|n|r</v>
      </c>
      <c r="I187" s="8" t="str">
        <f>VLOOKUP(B187,物品!B:CV,99,FALSE)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J187" s="124" t="str">
        <f t="shared" si="68"/>
        <v>|cffffd24d强化饰品等级|n|r</v>
      </c>
      <c r="K187" s="124" t="str">
        <f t="shared" si="69"/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L187" s="8"/>
      <c r="M187" s="125" t="str">
        <f>VLOOKUP(LEFT(RIGHT(B187,5),4),物品!B:CU,20,FALSE)</f>
        <v>ReplaceableTextures\\CommandButtons\\BTNIS13.blp</v>
      </c>
      <c r="N187" s="142" t="s">
        <v>83</v>
      </c>
      <c r="O187" s="125" t="s">
        <v>90</v>
      </c>
      <c r="P187" s="8">
        <v>1</v>
      </c>
      <c r="Q187" s="8">
        <v>0</v>
      </c>
      <c r="R187" s="142" t="s">
        <v>83</v>
      </c>
      <c r="S187" s="142" t="s">
        <v>83</v>
      </c>
      <c r="T187" s="142" t="s">
        <v>83</v>
      </c>
      <c r="U187" s="142" t="s">
        <v>83</v>
      </c>
      <c r="V187" s="8"/>
      <c r="W187" s="8" t="s">
        <v>87</v>
      </c>
      <c r="X187" s="8">
        <v>0</v>
      </c>
      <c r="Y187" s="142" t="s">
        <v>83</v>
      </c>
      <c r="Z187" s="8">
        <v>0</v>
      </c>
      <c r="AA187" s="8">
        <v>0</v>
      </c>
      <c r="AB187" s="8">
        <v>0</v>
      </c>
      <c r="AC187" s="8">
        <v>1</v>
      </c>
      <c r="AD187" s="8">
        <v>1</v>
      </c>
      <c r="AE187" s="142" t="s">
        <v>83</v>
      </c>
      <c r="AF187" s="142" t="s">
        <v>83</v>
      </c>
      <c r="AG187" s="142" t="s">
        <v>83</v>
      </c>
      <c r="AH187" s="142" t="s">
        <v>83</v>
      </c>
      <c r="AI187" s="8">
        <v>1</v>
      </c>
      <c r="AJ187" s="8"/>
      <c r="AK187" s="8">
        <v>1</v>
      </c>
      <c r="AL187" s="8">
        <v>1</v>
      </c>
      <c r="AM187" s="142" t="s">
        <v>83</v>
      </c>
      <c r="AN187" s="8">
        <v>1</v>
      </c>
      <c r="AO187" s="8">
        <v>1</v>
      </c>
      <c r="AP187" s="8">
        <v>1</v>
      </c>
    </row>
    <row r="188" spans="1:42">
      <c r="A188" s="122"/>
      <c r="B188" s="8" t="str">
        <f>物品!B188</f>
        <v>IS14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|CffFFD24D强化药品等级|r</v>
      </c>
      <c r="I188" s="8" t="str">
        <f>VLOOKUP(B188,物品!B:CV,99,FALSE)</f>
        <v>|cffffcc00升级消耗：|r150+等级*150杀敌数|n|n|cff00ff7f最高升至10级|r</v>
      </c>
      <c r="J188" s="124" t="str">
        <f t="shared" ref="J188" si="82">H188</f>
        <v>|CffFFD24D强化药品等级|r</v>
      </c>
      <c r="K188" s="124" t="str">
        <f t="shared" ref="K188" si="83">I188</f>
        <v>|cffffcc00升级消耗：|r150+等级*150杀敌数|n|n|cff00ff7f最高升至10级|r</v>
      </c>
      <c r="L188" s="8"/>
      <c r="M188" s="125" t="str">
        <f>VLOOKUP(LEFT(RIGHT(B188,5),4),物品!B:CU,20,FALSE)</f>
        <v>ReplaceableTextures\\CommandButtons\\BTNAG06.blp</v>
      </c>
      <c r="N188" s="142" t="s">
        <v>83</v>
      </c>
      <c r="O188" s="125" t="s">
        <v>90</v>
      </c>
      <c r="P188" s="8">
        <v>0</v>
      </c>
      <c r="Q188" s="8">
        <v>1</v>
      </c>
      <c r="R188" s="142" t="s">
        <v>83</v>
      </c>
      <c r="S188" s="142" t="s">
        <v>83</v>
      </c>
      <c r="T188" s="142" t="s">
        <v>83</v>
      </c>
      <c r="U188" s="142" t="s">
        <v>83</v>
      </c>
      <c r="V188" s="8"/>
      <c r="W188" s="8" t="s">
        <v>87</v>
      </c>
      <c r="X188" s="8">
        <v>0</v>
      </c>
      <c r="Y188" s="142" t="s">
        <v>83</v>
      </c>
      <c r="Z188" s="8">
        <v>0</v>
      </c>
      <c r="AA188" s="8">
        <v>0</v>
      </c>
      <c r="AB188" s="8">
        <v>0</v>
      </c>
      <c r="AC188" s="8">
        <v>1</v>
      </c>
      <c r="AD188" s="8">
        <v>1</v>
      </c>
      <c r="AE188" s="142" t="s">
        <v>83</v>
      </c>
      <c r="AF188" s="142" t="s">
        <v>83</v>
      </c>
      <c r="AG188" s="142" t="s">
        <v>83</v>
      </c>
      <c r="AH188" s="142" t="s">
        <v>83</v>
      </c>
      <c r="AI188" s="8">
        <v>1</v>
      </c>
      <c r="AJ188" s="8"/>
      <c r="AK188" s="8">
        <v>1</v>
      </c>
      <c r="AL188" s="8">
        <v>1</v>
      </c>
      <c r="AM188" s="142" t="s">
        <v>83</v>
      </c>
      <c r="AN188" s="8">
        <v>1</v>
      </c>
      <c r="AO188" s="8">
        <v>1</v>
      </c>
      <c r="AP188" s="8">
        <v>1</v>
      </c>
    </row>
    <row r="189" spans="1:42">
      <c r="A189" s="122"/>
      <c r="B189" s="8" t="str">
        <f>物品!B189</f>
        <v>IB01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公众号礼包</v>
      </c>
      <c r="I189" s="8" t="str">
        <f>VLOOKUP(B189,物品!B:CV,99,FALSE)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89" s="124" t="str">
        <f t="shared" si="68"/>
        <v>公众号礼包</v>
      </c>
      <c r="K189" s="124" t="str">
        <f t="shared" si="69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89" s="8"/>
      <c r="M189" s="125" t="str">
        <f>VLOOKUP(LEFT(RIGHT(B189,5),4),物品!B:CU,20,FALSE)</f>
        <v>ReplaceableTextures\\CommandButtons\\BTNIB01.blp</v>
      </c>
      <c r="N189" s="142" t="s">
        <v>83</v>
      </c>
      <c r="O189" s="125" t="s">
        <v>90</v>
      </c>
      <c r="P189" s="8">
        <v>0</v>
      </c>
      <c r="Q189" s="8">
        <v>0</v>
      </c>
      <c r="R189" s="142" t="s">
        <v>83</v>
      </c>
      <c r="S189" s="142" t="s">
        <v>83</v>
      </c>
      <c r="T189" s="142" t="s">
        <v>83</v>
      </c>
      <c r="U189" s="142" t="s">
        <v>83</v>
      </c>
      <c r="V189" s="8"/>
      <c r="W189" s="8" t="s">
        <v>87</v>
      </c>
      <c r="X189" s="8">
        <v>0</v>
      </c>
      <c r="Y189" s="142" t="s">
        <v>83</v>
      </c>
      <c r="Z189" s="8">
        <v>0</v>
      </c>
      <c r="AA189" s="8">
        <v>0</v>
      </c>
      <c r="AB189" s="8">
        <v>0</v>
      </c>
      <c r="AC189" s="8">
        <v>1</v>
      </c>
      <c r="AD189" s="8">
        <v>1</v>
      </c>
      <c r="AE189" s="142" t="s">
        <v>83</v>
      </c>
      <c r="AF189" s="142" t="s">
        <v>83</v>
      </c>
      <c r="AG189" s="142" t="s">
        <v>83</v>
      </c>
      <c r="AH189" s="142" t="s">
        <v>83</v>
      </c>
      <c r="AI189" s="8">
        <v>1</v>
      </c>
      <c r="AJ189" s="8"/>
      <c r="AK189" s="8">
        <v>1</v>
      </c>
      <c r="AL189" s="8">
        <v>1</v>
      </c>
      <c r="AM189" s="142" t="s">
        <v>83</v>
      </c>
      <c r="AN189" s="8">
        <v>1</v>
      </c>
      <c r="AO189" s="8">
        <v>1</v>
      </c>
      <c r="AP189" s="8">
        <v>1</v>
      </c>
    </row>
    <row r="190" spans="1:42">
      <c r="A190" s="122"/>
      <c r="B190" s="8" t="str">
        <f>物品!B190</f>
        <v>IB02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入群礼包</v>
      </c>
      <c r="I190" s="8" t="str">
        <f>VLOOKUP(B190,物品!B:CV,99,FALSE)</f>
        <v>加入《|cff00ffcc全民封神|r》官方QQ群，即可获得入群礼包码！|n|n输入礼包码即可获得：|n|cff00ff7f招魂幡Lv2|r</v>
      </c>
      <c r="J190" s="124" t="str">
        <f t="shared" si="68"/>
        <v>入群礼包</v>
      </c>
      <c r="K190" s="124" t="str">
        <f t="shared" si="69"/>
        <v>加入《|cff00ffcc全民封神|r》官方QQ群，即可获得入群礼包码！|n|n输入礼包码即可获得：|n|cff00ff7f招魂幡Lv2|r</v>
      </c>
      <c r="L190" s="8"/>
      <c r="M190" s="125" t="str">
        <f>VLOOKUP(LEFT(RIGHT(B190,5),4),物品!B:CU,20,FALSE)</f>
        <v>ReplaceableTextures\\CommandButtons\\BTNIB02.blp</v>
      </c>
      <c r="N190" s="142" t="s">
        <v>83</v>
      </c>
      <c r="O190" s="125" t="s">
        <v>90</v>
      </c>
      <c r="P190" s="8">
        <v>1</v>
      </c>
      <c r="Q190" s="8">
        <v>0</v>
      </c>
      <c r="R190" s="142" t="s">
        <v>83</v>
      </c>
      <c r="S190" s="142" t="s">
        <v>83</v>
      </c>
      <c r="T190" s="142" t="s">
        <v>83</v>
      </c>
      <c r="U190" s="142" t="s">
        <v>83</v>
      </c>
      <c r="V190" s="8"/>
      <c r="W190" s="8" t="s">
        <v>87</v>
      </c>
      <c r="X190" s="8">
        <v>0</v>
      </c>
      <c r="Y190" s="142" t="s">
        <v>83</v>
      </c>
      <c r="Z190" s="8">
        <v>0</v>
      </c>
      <c r="AA190" s="8">
        <v>0</v>
      </c>
      <c r="AB190" s="8">
        <v>0</v>
      </c>
      <c r="AC190" s="8">
        <v>1</v>
      </c>
      <c r="AD190" s="8">
        <v>1</v>
      </c>
      <c r="AE190" s="142" t="s">
        <v>83</v>
      </c>
      <c r="AF190" s="142" t="s">
        <v>83</v>
      </c>
      <c r="AG190" s="142" t="s">
        <v>83</v>
      </c>
      <c r="AH190" s="142" t="s">
        <v>83</v>
      </c>
      <c r="AI190" s="8">
        <v>1</v>
      </c>
      <c r="AJ190" s="8"/>
      <c r="AK190" s="8">
        <v>1</v>
      </c>
      <c r="AL190" s="8">
        <v>1</v>
      </c>
      <c r="AM190" s="142" t="s">
        <v>83</v>
      </c>
      <c r="AN190" s="8">
        <v>1</v>
      </c>
      <c r="AO190" s="8">
        <v>1</v>
      </c>
      <c r="AP190" s="8">
        <v>1</v>
      </c>
    </row>
    <row r="191" spans="1:42">
      <c r="A191" s="122"/>
      <c r="B191" s="8" t="str">
        <f>物品!B191</f>
        <v>IB03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拜年礼包</v>
      </c>
      <c r="I191" s="8" t="str">
        <f>VLOOKUP(B191,物品!B:CV,99,FALSE)</f>
        <v>|cff99ccff给与地图有效评论建议|r即可领取：|n|cffffff00杀敌生命+5+3*通行证等级|n杀敌业力+1|n|n|r|cff808080地图等级达到3级可领取|r</v>
      </c>
      <c r="J191" s="124" t="str">
        <f t="shared" si="68"/>
        <v>拜年礼包</v>
      </c>
      <c r="K191" s="124" t="str">
        <f t="shared" si="69"/>
        <v>|cff99ccff给与地图有效评论建议|r即可领取：|n|cffffff00杀敌生命+5+3*通行证等级|n杀敌业力+1|n|n|r|cff808080地图等级达到3级可领取|r</v>
      </c>
      <c r="L191" s="8"/>
      <c r="M191" s="125" t="str">
        <f>VLOOKUP(LEFT(RIGHT(B191,5),4),物品!B:CU,20,FALSE)</f>
        <v>ReplaceableTextures\\CommandButtons\\BTNIB03.blp</v>
      </c>
      <c r="N191" s="142" t="s">
        <v>83</v>
      </c>
      <c r="O191" s="125" t="s">
        <v>90</v>
      </c>
      <c r="P191" s="8">
        <v>2</v>
      </c>
      <c r="Q191" s="8">
        <v>0</v>
      </c>
      <c r="R191" s="142" t="s">
        <v>83</v>
      </c>
      <c r="S191" s="142" t="s">
        <v>83</v>
      </c>
      <c r="T191" s="142" t="s">
        <v>83</v>
      </c>
      <c r="U191" s="142" t="s">
        <v>83</v>
      </c>
      <c r="V191" s="8"/>
      <c r="W191" s="8" t="s">
        <v>87</v>
      </c>
      <c r="X191" s="8">
        <v>0</v>
      </c>
      <c r="Y191" s="142" t="s">
        <v>83</v>
      </c>
      <c r="Z191" s="8">
        <v>0</v>
      </c>
      <c r="AA191" s="8">
        <v>0</v>
      </c>
      <c r="AB191" s="8">
        <v>0</v>
      </c>
      <c r="AC191" s="8">
        <v>1</v>
      </c>
      <c r="AD191" s="8">
        <v>1</v>
      </c>
      <c r="AE191" s="142" t="s">
        <v>83</v>
      </c>
      <c r="AF191" s="142" t="s">
        <v>83</v>
      </c>
      <c r="AG191" s="142" t="s">
        <v>83</v>
      </c>
      <c r="AH191" s="142" t="s">
        <v>83</v>
      </c>
      <c r="AI191" s="8">
        <v>1</v>
      </c>
      <c r="AJ191" s="8"/>
      <c r="AK191" s="8">
        <v>1</v>
      </c>
      <c r="AL191" s="8">
        <v>1</v>
      </c>
      <c r="AM191" s="142" t="s">
        <v>83</v>
      </c>
      <c r="AN191" s="8">
        <v>1</v>
      </c>
      <c r="AO191" s="8">
        <v>1</v>
      </c>
      <c r="AP191" s="8">
        <v>1</v>
      </c>
    </row>
    <row r="192" spans="1:42">
      <c r="A192" s="122"/>
      <c r="B192" s="8" t="str">
        <f>物品!B192</f>
        <v>IB04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收藏礼包</v>
      </c>
      <c r="I192" s="8" t="str">
        <f>VLOOKUP(B192,物品!B:CV,99,FALSE)</f>
        <v>|cff99ccff房间大厅界面点击右上角《|r|cffcc99ff收藏|r|cff99ccff》后可领取该礼包。|n|n|r属性：|n|cffffcc33物理伤害+5%|n法术伤害+5%|r</v>
      </c>
      <c r="J192" s="124" t="str">
        <f t="shared" si="68"/>
        <v>收藏礼包</v>
      </c>
      <c r="K192" s="124" t="str">
        <f t="shared" si="69"/>
        <v>|cff99ccff房间大厅界面点击右上角《|r|cffcc99ff收藏|r|cff99ccff》后可领取该礼包。|n|n|r属性：|n|cffffcc33物理伤害+5%|n法术伤害+5%|r</v>
      </c>
      <c r="L192" s="8"/>
      <c r="M192" s="125" t="str">
        <f>VLOOKUP(LEFT(RIGHT(B192,5),4),物品!B:CU,20,FALSE)</f>
        <v>ReplaceableTextures\\CommandButtons\\BTNIB04.blp</v>
      </c>
      <c r="N192" s="142" t="s">
        <v>83</v>
      </c>
      <c r="O192" s="125" t="s">
        <v>90</v>
      </c>
      <c r="P192" s="8">
        <v>3</v>
      </c>
      <c r="Q192" s="8">
        <v>0</v>
      </c>
      <c r="R192" s="142" t="s">
        <v>83</v>
      </c>
      <c r="S192" s="142" t="s">
        <v>83</v>
      </c>
      <c r="T192" s="142" t="s">
        <v>83</v>
      </c>
      <c r="U192" s="142" t="s">
        <v>83</v>
      </c>
      <c r="V192" s="8"/>
      <c r="W192" s="8" t="s">
        <v>87</v>
      </c>
      <c r="X192" s="8">
        <v>0</v>
      </c>
      <c r="Y192" s="142" t="s">
        <v>83</v>
      </c>
      <c r="Z192" s="8">
        <v>0</v>
      </c>
      <c r="AA192" s="8">
        <v>0</v>
      </c>
      <c r="AB192" s="8">
        <v>0</v>
      </c>
      <c r="AC192" s="8">
        <v>1</v>
      </c>
      <c r="AD192" s="8">
        <v>1</v>
      </c>
      <c r="AE192" s="142" t="s">
        <v>83</v>
      </c>
      <c r="AF192" s="142" t="s">
        <v>83</v>
      </c>
      <c r="AG192" s="142" t="s">
        <v>83</v>
      </c>
      <c r="AH192" s="142" t="s">
        <v>83</v>
      </c>
      <c r="AI192" s="8">
        <v>1</v>
      </c>
      <c r="AJ192" s="8"/>
      <c r="AK192" s="8">
        <v>1</v>
      </c>
      <c r="AL192" s="8">
        <v>1</v>
      </c>
      <c r="AM192" s="142" t="s">
        <v>83</v>
      </c>
      <c r="AN192" s="8">
        <v>1</v>
      </c>
      <c r="AO192" s="8">
        <v>1</v>
      </c>
      <c r="AP192" s="8">
        <v>1</v>
      </c>
    </row>
    <row r="193" spans="1:42">
      <c r="A193" s="122"/>
      <c r="B193" s="8" t="str">
        <f>物品!B193</f>
        <v>IB05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重置版礼包</v>
      </c>
      <c r="I193" s="8" t="str">
        <f>VLOOKUP(B193,物品!B:CV,99,FALSE)</f>
        <v>|cff33ff00购买魔兽重制版可领取该礼包！|n|n|r属性：|n|cffffcc33金币+2000|n每秒攻击+2|n每秒业力+1|r</v>
      </c>
      <c r="J193" s="124" t="str">
        <f t="shared" si="68"/>
        <v>重置版礼包</v>
      </c>
      <c r="K193" s="124" t="str">
        <f t="shared" si="69"/>
        <v>|cff33ff00购买魔兽重制版可领取该礼包！|n|n|r属性：|n|cffffcc33金币+2000|n每秒攻击+2|n每秒业力+1|r</v>
      </c>
      <c r="L193" s="8"/>
      <c r="M193" s="125" t="str">
        <f>VLOOKUP(LEFT(RIGHT(B193,5),4),物品!B:CU,20,FALSE)</f>
        <v>ReplaceableTextures\\CommandButtons\\BTNIB05.blp</v>
      </c>
      <c r="N193" s="142" t="s">
        <v>83</v>
      </c>
      <c r="O193" s="125" t="s">
        <v>90</v>
      </c>
      <c r="P193" s="8">
        <v>0</v>
      </c>
      <c r="Q193" s="8">
        <v>1</v>
      </c>
      <c r="R193" s="142" t="s">
        <v>83</v>
      </c>
      <c r="S193" s="142" t="s">
        <v>83</v>
      </c>
      <c r="T193" s="142" t="s">
        <v>83</v>
      </c>
      <c r="U193" s="142" t="s">
        <v>83</v>
      </c>
      <c r="V193" s="8"/>
      <c r="W193" s="8" t="s">
        <v>87</v>
      </c>
      <c r="X193" s="8">
        <v>0</v>
      </c>
      <c r="Y193" s="142" t="s">
        <v>83</v>
      </c>
      <c r="Z193" s="8">
        <v>0</v>
      </c>
      <c r="AA193" s="8">
        <v>0</v>
      </c>
      <c r="AB193" s="8">
        <v>0</v>
      </c>
      <c r="AC193" s="8">
        <v>1</v>
      </c>
      <c r="AD193" s="8">
        <v>1</v>
      </c>
      <c r="AE193" s="142" t="s">
        <v>83</v>
      </c>
      <c r="AF193" s="142" t="s">
        <v>83</v>
      </c>
      <c r="AG193" s="142" t="s">
        <v>83</v>
      </c>
      <c r="AH193" s="142" t="s">
        <v>83</v>
      </c>
      <c r="AI193" s="8">
        <v>1</v>
      </c>
      <c r="AJ193" s="8"/>
      <c r="AK193" s="8">
        <v>1</v>
      </c>
      <c r="AL193" s="8">
        <v>1</v>
      </c>
      <c r="AM193" s="142" t="s">
        <v>83</v>
      </c>
      <c r="AN193" s="8">
        <v>1</v>
      </c>
      <c r="AO193" s="8">
        <v>1</v>
      </c>
      <c r="AP193" s="8">
        <v>1</v>
      </c>
    </row>
    <row r="194" spans="1:42">
      <c r="A194" s="122"/>
      <c r="B194" s="8" t="str">
        <f>物品!B194</f>
        <v>IB06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公会福利</v>
      </c>
      <c r="I194" s="8" t="str">
        <f>VLOOKUP(B194,物品!B:CV,99,FALSE)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4" s="124" t="str">
        <f t="shared" ref="J194:J198" si="84">H194</f>
        <v>公会福利</v>
      </c>
      <c r="K194" s="124" t="str">
        <f t="shared" ref="K194:K198" si="85">I194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4" s="8"/>
      <c r="M194" s="125" t="str">
        <f>VLOOKUP(LEFT(RIGHT(B194,5),4),物品!B:CU,20,FALSE)</f>
        <v>ReplaceableTextures\\CommandButtons\\BTNIB06.blp</v>
      </c>
      <c r="N194" s="142" t="s">
        <v>83</v>
      </c>
      <c r="O194" s="125" t="s">
        <v>90</v>
      </c>
      <c r="P194" s="8">
        <v>1</v>
      </c>
      <c r="Q194" s="8">
        <v>1</v>
      </c>
      <c r="R194" s="142" t="s">
        <v>83</v>
      </c>
      <c r="S194" s="142" t="s">
        <v>83</v>
      </c>
      <c r="T194" s="142" t="s">
        <v>83</v>
      </c>
      <c r="U194" s="142" t="s">
        <v>83</v>
      </c>
      <c r="V194" s="8"/>
      <c r="W194" s="8" t="s">
        <v>87</v>
      </c>
      <c r="X194" s="8">
        <v>0</v>
      </c>
      <c r="Y194" s="142" t="s">
        <v>83</v>
      </c>
      <c r="Z194" s="8">
        <v>0</v>
      </c>
      <c r="AA194" s="8">
        <v>0</v>
      </c>
      <c r="AB194" s="8">
        <v>0</v>
      </c>
      <c r="AC194" s="8">
        <v>1</v>
      </c>
      <c r="AD194" s="8">
        <v>1</v>
      </c>
      <c r="AE194" s="142" t="s">
        <v>83</v>
      </c>
      <c r="AF194" s="142" t="s">
        <v>83</v>
      </c>
      <c r="AG194" s="142" t="s">
        <v>83</v>
      </c>
      <c r="AH194" s="142" t="s">
        <v>83</v>
      </c>
      <c r="AI194" s="8">
        <v>1</v>
      </c>
      <c r="AJ194" s="8"/>
      <c r="AK194" s="8">
        <v>1</v>
      </c>
      <c r="AL194" s="8">
        <v>1</v>
      </c>
      <c r="AM194" s="142" t="s">
        <v>83</v>
      </c>
      <c r="AN194" s="8">
        <v>1</v>
      </c>
      <c r="AO194" s="8">
        <v>1</v>
      </c>
      <c r="AP194" s="8">
        <v>1</v>
      </c>
    </row>
    <row r="195" spans="1:42">
      <c r="A195" s="122"/>
      <c r="B195" s="8" t="str">
        <f>物品!B195</f>
        <v>IB07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星耀礼包</v>
      </c>
      <c r="I195" s="8" t="str">
        <f>VLOOKUP(B195,物品!B:CV,99,FALSE)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5" s="124" t="str">
        <f t="shared" si="84"/>
        <v>星耀礼包</v>
      </c>
      <c r="K195" s="124" t="str">
        <f t="shared" si="8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5" s="8"/>
      <c r="M195" s="125" t="str">
        <f>VLOOKUP(LEFT(RIGHT(B195,5),4),物品!B:CU,20,FALSE)</f>
        <v>ReplaceableTextures\\CommandButtons\\BTNIB07.blp</v>
      </c>
      <c r="N195" s="142" t="s">
        <v>83</v>
      </c>
      <c r="O195" s="125" t="s">
        <v>90</v>
      </c>
      <c r="P195" s="8">
        <v>2</v>
      </c>
      <c r="Q195" s="8">
        <v>1</v>
      </c>
      <c r="R195" s="142" t="s">
        <v>83</v>
      </c>
      <c r="S195" s="142" t="s">
        <v>83</v>
      </c>
      <c r="T195" s="142" t="s">
        <v>83</v>
      </c>
      <c r="U195" s="142" t="s">
        <v>83</v>
      </c>
      <c r="V195" s="8"/>
      <c r="W195" s="8" t="s">
        <v>87</v>
      </c>
      <c r="X195" s="8">
        <v>0</v>
      </c>
      <c r="Y195" s="142" t="s">
        <v>83</v>
      </c>
      <c r="Z195" s="8">
        <v>0</v>
      </c>
      <c r="AA195" s="8">
        <v>0</v>
      </c>
      <c r="AB195" s="8">
        <v>0</v>
      </c>
      <c r="AC195" s="8">
        <v>1</v>
      </c>
      <c r="AD195" s="8">
        <v>1</v>
      </c>
      <c r="AE195" s="142" t="s">
        <v>83</v>
      </c>
      <c r="AF195" s="142" t="s">
        <v>83</v>
      </c>
      <c r="AG195" s="142" t="s">
        <v>83</v>
      </c>
      <c r="AH195" s="142" t="s">
        <v>83</v>
      </c>
      <c r="AI195" s="8">
        <v>1</v>
      </c>
      <c r="AJ195" s="8"/>
      <c r="AK195" s="8">
        <v>1</v>
      </c>
      <c r="AL195" s="8">
        <v>1</v>
      </c>
      <c r="AM195" s="142" t="s">
        <v>83</v>
      </c>
      <c r="AN195" s="8">
        <v>1</v>
      </c>
      <c r="AO195" s="8">
        <v>1</v>
      </c>
      <c r="AP195" s="8">
        <v>1</v>
      </c>
    </row>
    <row r="196" spans="1:42">
      <c r="A196" s="122"/>
      <c r="B196" s="8" t="str">
        <f>物品!B196</f>
        <v>IB08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魔芝RPG礼包</v>
      </c>
      <c r="I196" s="8" t="str">
        <f>VLOOKUP(B196,物品!B:CV,99,FALSE)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196" s="124" t="str">
        <f t="shared" si="84"/>
        <v>魔芝RPG礼包</v>
      </c>
      <c r="K196" s="124" t="str">
        <f t="shared" si="8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196" s="8"/>
      <c r="M196" s="125" t="str">
        <f>VLOOKUP(LEFT(RIGHT(B196,5),4),物品!B:CU,20,FALSE)</f>
        <v>ReplaceableTextures\\CommandButtons\\BTNIB08.blp</v>
      </c>
      <c r="N196" s="142" t="s">
        <v>83</v>
      </c>
      <c r="O196" s="125" t="s">
        <v>90</v>
      </c>
      <c r="P196" s="8">
        <v>3</v>
      </c>
      <c r="Q196" s="8">
        <v>1</v>
      </c>
      <c r="R196" s="142" t="s">
        <v>83</v>
      </c>
      <c r="S196" s="142" t="s">
        <v>83</v>
      </c>
      <c r="T196" s="142" t="s">
        <v>83</v>
      </c>
      <c r="U196" s="142" t="s">
        <v>83</v>
      </c>
      <c r="V196" s="8"/>
      <c r="W196" s="8" t="s">
        <v>87</v>
      </c>
      <c r="X196" s="8">
        <v>0</v>
      </c>
      <c r="Y196" s="142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42" t="s">
        <v>83</v>
      </c>
      <c r="AF196" s="142" t="s">
        <v>83</v>
      </c>
      <c r="AG196" s="142" t="s">
        <v>83</v>
      </c>
      <c r="AH196" s="142" t="s">
        <v>83</v>
      </c>
      <c r="AI196" s="8">
        <v>1</v>
      </c>
      <c r="AJ196" s="8"/>
      <c r="AK196" s="8">
        <v>1</v>
      </c>
      <c r="AL196" s="8">
        <v>1</v>
      </c>
      <c r="AM196" s="142" t="s">
        <v>83</v>
      </c>
      <c r="AN196" s="8">
        <v>1</v>
      </c>
      <c r="AO196" s="8">
        <v>1</v>
      </c>
      <c r="AP196" s="8">
        <v>1</v>
      </c>
    </row>
    <row r="197" spans="1:42">
      <c r="A197" s="122"/>
      <c r="B197" s="8" t="str">
        <f>物品!B197</f>
        <v>IB09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老铁礼包</v>
      </c>
      <c r="I197" s="8">
        <f>VLOOKUP(B197,物品!B:CV,99,FALSE)</f>
        <v>0</v>
      </c>
      <c r="J197" s="124" t="str">
        <f t="shared" si="84"/>
        <v>老铁礼包</v>
      </c>
      <c r="K197" s="124">
        <f t="shared" si="85"/>
        <v>0</v>
      </c>
      <c r="L197" s="8"/>
      <c r="M197" s="125" t="str">
        <f>VLOOKUP(LEFT(RIGHT(B197,5),4),物品!B:CU,20,FALSE)</f>
        <v>ReplaceableTextures\\CommandButtons\\BTNIB09.blp</v>
      </c>
      <c r="N197" s="142" t="s">
        <v>83</v>
      </c>
      <c r="O197" s="125" t="s">
        <v>90</v>
      </c>
      <c r="P197" s="8">
        <v>0</v>
      </c>
      <c r="Q197" s="8">
        <v>0</v>
      </c>
      <c r="R197" s="142" t="s">
        <v>83</v>
      </c>
      <c r="S197" s="142" t="s">
        <v>83</v>
      </c>
      <c r="T197" s="142" t="s">
        <v>83</v>
      </c>
      <c r="U197" s="142" t="s">
        <v>83</v>
      </c>
      <c r="V197" s="8"/>
      <c r="W197" s="8" t="s">
        <v>87</v>
      </c>
      <c r="X197" s="8">
        <v>0</v>
      </c>
      <c r="Y197" s="142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2" t="s">
        <v>83</v>
      </c>
      <c r="AF197" s="142" t="s">
        <v>83</v>
      </c>
      <c r="AG197" s="142" t="s">
        <v>83</v>
      </c>
      <c r="AH197" s="142" t="s">
        <v>83</v>
      </c>
      <c r="AI197" s="8">
        <v>1</v>
      </c>
      <c r="AJ197" s="8"/>
      <c r="AK197" s="8">
        <v>1</v>
      </c>
      <c r="AL197" s="8">
        <v>1</v>
      </c>
      <c r="AM197" s="142" t="s">
        <v>83</v>
      </c>
      <c r="AN197" s="8">
        <v>1</v>
      </c>
      <c r="AO197" s="8">
        <v>1</v>
      </c>
      <c r="AP197" s="8">
        <v>1</v>
      </c>
    </row>
    <row r="198" spans="1:42">
      <c r="A198" s="122"/>
      <c r="B198" s="8" t="str">
        <f>物品!B198</f>
        <v>IB51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已领取公众号礼包</v>
      </c>
      <c r="I198" s="8" t="str">
        <f>VLOOKUP(B198,物品!B:CV,99,FALSE)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8" s="124" t="str">
        <f t="shared" si="84"/>
        <v>已领取公众号礼包</v>
      </c>
      <c r="K198" s="124" t="str">
        <f t="shared" si="85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8" s="8"/>
      <c r="M198" s="125" t="str">
        <f>VLOOKUP(LEFT(RIGHT(B198,5),4),物品!B:CU,20,FALSE)</f>
        <v>ReplaceableTextures\\commandButtons\\BTNLBUI01.blp</v>
      </c>
      <c r="N198" s="142" t="s">
        <v>83</v>
      </c>
      <c r="O198" s="125" t="s">
        <v>90</v>
      </c>
      <c r="P198" s="8">
        <v>0</v>
      </c>
      <c r="Q198" s="8">
        <v>0</v>
      </c>
      <c r="R198" s="142" t="s">
        <v>83</v>
      </c>
      <c r="S198" s="142" t="s">
        <v>83</v>
      </c>
      <c r="T198" s="142" t="s">
        <v>83</v>
      </c>
      <c r="U198" s="142" t="s">
        <v>83</v>
      </c>
      <c r="V198" s="8"/>
      <c r="W198" s="8" t="s">
        <v>87</v>
      </c>
      <c r="X198" s="8">
        <v>0</v>
      </c>
      <c r="Y198" s="142" t="s">
        <v>83</v>
      </c>
      <c r="Z198" s="8">
        <v>0</v>
      </c>
      <c r="AA198" s="8">
        <v>0</v>
      </c>
      <c r="AB198" s="8">
        <v>0</v>
      </c>
      <c r="AC198" s="8">
        <v>0</v>
      </c>
      <c r="AD198" s="8">
        <v>1</v>
      </c>
      <c r="AE198" s="142" t="s">
        <v>83</v>
      </c>
      <c r="AF198" s="142" t="s">
        <v>83</v>
      </c>
      <c r="AG198" s="142" t="s">
        <v>83</v>
      </c>
      <c r="AH198" s="142" t="s">
        <v>83</v>
      </c>
      <c r="AI198" s="8">
        <v>1</v>
      </c>
      <c r="AJ198" s="8"/>
      <c r="AK198" s="8">
        <v>1</v>
      </c>
      <c r="AL198" s="8">
        <v>1</v>
      </c>
      <c r="AM198" s="142" t="s">
        <v>83</v>
      </c>
      <c r="AN198" s="8">
        <v>1</v>
      </c>
      <c r="AO198" s="8">
        <v>1</v>
      </c>
      <c r="AP198" s="8">
        <v>1</v>
      </c>
    </row>
    <row r="199" spans="1:42">
      <c r="A199" s="122"/>
      <c r="B199" s="8" t="str">
        <f>物品!B199</f>
        <v>IB52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已领取入群礼包</v>
      </c>
      <c r="I199" s="8" t="str">
        <f>VLOOKUP(B199,物品!B:CV,99,FALSE)</f>
        <v>加入《|cff00ffcc全民封神|r》官方QQ群，即可获得入群礼包码！|n|n输入礼包码即可获得：|n|cff00ff7f招魂幡Lv2|r</v>
      </c>
      <c r="J199" s="124" t="str">
        <f t="shared" ref="J199:J206" si="86">H199</f>
        <v>已领取入群礼包</v>
      </c>
      <c r="K199" s="124" t="str">
        <f t="shared" ref="K199:K206" si="87">I199</f>
        <v>加入《|cff00ffcc全民封神|r》官方QQ群，即可获得入群礼包码！|n|n输入礼包码即可获得：|n|cff00ff7f招魂幡Lv2|r</v>
      </c>
      <c r="L199" s="8"/>
      <c r="M199" s="125" t="str">
        <f>VLOOKUP(LEFT(RIGHT(B199,5),4),物品!B:CU,20,FALSE)</f>
        <v>ReplaceableTextures\\commandButtons\\BTNLBUI01.blp</v>
      </c>
      <c r="N199" s="142" t="s">
        <v>83</v>
      </c>
      <c r="O199" s="125" t="s">
        <v>90</v>
      </c>
      <c r="P199" s="8">
        <v>1</v>
      </c>
      <c r="Q199" s="8">
        <v>0</v>
      </c>
      <c r="R199" s="142" t="s">
        <v>83</v>
      </c>
      <c r="S199" s="142" t="s">
        <v>83</v>
      </c>
      <c r="T199" s="142" t="s">
        <v>83</v>
      </c>
      <c r="U199" s="142" t="s">
        <v>83</v>
      </c>
      <c r="V199" s="8"/>
      <c r="W199" s="8" t="s">
        <v>87</v>
      </c>
      <c r="X199" s="8">
        <v>0</v>
      </c>
      <c r="Y199" s="142" t="s">
        <v>83</v>
      </c>
      <c r="Z199" s="8">
        <v>0</v>
      </c>
      <c r="AA199" s="8">
        <v>0</v>
      </c>
      <c r="AB199" s="8">
        <v>0</v>
      </c>
      <c r="AC199" s="8">
        <v>0</v>
      </c>
      <c r="AD199" s="8">
        <v>1</v>
      </c>
      <c r="AE199" s="142" t="s">
        <v>83</v>
      </c>
      <c r="AF199" s="142" t="s">
        <v>83</v>
      </c>
      <c r="AG199" s="142" t="s">
        <v>83</v>
      </c>
      <c r="AH199" s="142" t="s">
        <v>83</v>
      </c>
      <c r="AI199" s="8">
        <v>1</v>
      </c>
      <c r="AJ199" s="8"/>
      <c r="AK199" s="8">
        <v>1</v>
      </c>
      <c r="AL199" s="8">
        <v>1</v>
      </c>
      <c r="AM199" s="142" t="s">
        <v>83</v>
      </c>
      <c r="AN199" s="8">
        <v>1</v>
      </c>
      <c r="AO199" s="8">
        <v>1</v>
      </c>
      <c r="AP199" s="8">
        <v>1</v>
      </c>
    </row>
    <row r="200" spans="1:42">
      <c r="A200" s="122"/>
      <c r="B200" s="8" t="str">
        <f>物品!B200</f>
        <v>IB53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已领取拜年礼包</v>
      </c>
      <c r="I200" s="8" t="str">
        <f>VLOOKUP(B200,物品!B:CV,99,FALSE)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0" s="124" t="str">
        <f t="shared" si="86"/>
        <v>已领取拜年礼包</v>
      </c>
      <c r="K200" s="124" t="str">
        <f t="shared" si="87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0" s="8"/>
      <c r="M200" s="125" t="str">
        <f>VLOOKUP(LEFT(RIGHT(B200,5),4),物品!B:CU,20,FALSE)</f>
        <v>ReplaceableTextures\\commandButtons\\BTNLBUI01.blp</v>
      </c>
      <c r="N200" s="142" t="s">
        <v>83</v>
      </c>
      <c r="O200" s="125" t="s">
        <v>90</v>
      </c>
      <c r="P200" s="8">
        <v>2</v>
      </c>
      <c r="Q200" s="8">
        <v>0</v>
      </c>
      <c r="R200" s="142" t="s">
        <v>83</v>
      </c>
      <c r="S200" s="142" t="s">
        <v>83</v>
      </c>
      <c r="T200" s="142" t="s">
        <v>83</v>
      </c>
      <c r="U200" s="142" t="s">
        <v>83</v>
      </c>
      <c r="V200" s="8"/>
      <c r="W200" s="8" t="s">
        <v>87</v>
      </c>
      <c r="X200" s="8">
        <v>0</v>
      </c>
      <c r="Y200" s="142" t="s">
        <v>83</v>
      </c>
      <c r="Z200" s="8">
        <v>0</v>
      </c>
      <c r="AA200" s="8">
        <v>0</v>
      </c>
      <c r="AB200" s="8">
        <v>0</v>
      </c>
      <c r="AC200" s="8">
        <v>0</v>
      </c>
      <c r="AD200" s="8">
        <v>1</v>
      </c>
      <c r="AE200" s="142" t="s">
        <v>83</v>
      </c>
      <c r="AF200" s="142" t="s">
        <v>83</v>
      </c>
      <c r="AG200" s="142" t="s">
        <v>83</v>
      </c>
      <c r="AH200" s="142" t="s">
        <v>83</v>
      </c>
      <c r="AI200" s="8">
        <v>1</v>
      </c>
      <c r="AJ200" s="8"/>
      <c r="AK200" s="8">
        <v>1</v>
      </c>
      <c r="AL200" s="8">
        <v>1</v>
      </c>
      <c r="AM200" s="142" t="s">
        <v>83</v>
      </c>
      <c r="AN200" s="8">
        <v>1</v>
      </c>
      <c r="AO200" s="8">
        <v>1</v>
      </c>
      <c r="AP200" s="8">
        <v>1</v>
      </c>
    </row>
    <row r="201" spans="1:42">
      <c r="A201" s="122"/>
      <c r="B201" s="8" t="str">
        <f>物品!B201</f>
        <v>IB54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已领取收藏礼包</v>
      </c>
      <c r="I201" s="8" t="str">
        <f>VLOOKUP(B201,物品!B:CV,99,FALSE)</f>
        <v>|cff99ccff房间大厅界面点击右上角《|r|cffcc99ff收藏|r|cff99ccff》后可领取该礼包。|n|n|r属性：|n|cffffcc33物理伤害+5%|n法术伤害+5%|r</v>
      </c>
      <c r="J201" s="124" t="str">
        <f t="shared" si="86"/>
        <v>已领取收藏礼包</v>
      </c>
      <c r="K201" s="124" t="str">
        <f t="shared" si="87"/>
        <v>|cff99ccff房间大厅界面点击右上角《|r|cffcc99ff收藏|r|cff99ccff》后可领取该礼包。|n|n|r属性：|n|cffffcc33物理伤害+5%|n法术伤害+5%|r</v>
      </c>
      <c r="L201" s="8"/>
      <c r="M201" s="125" t="str">
        <f>VLOOKUP(LEFT(RIGHT(B201,5),4),物品!B:CU,20,FALSE)</f>
        <v>ReplaceableTextures\\commandButtons\\BTNLBUI01.blp</v>
      </c>
      <c r="N201" s="142" t="s">
        <v>83</v>
      </c>
      <c r="O201" s="125" t="s">
        <v>90</v>
      </c>
      <c r="P201" s="8">
        <v>3</v>
      </c>
      <c r="Q201" s="8">
        <v>0</v>
      </c>
      <c r="R201" s="142" t="s">
        <v>83</v>
      </c>
      <c r="S201" s="142" t="s">
        <v>83</v>
      </c>
      <c r="T201" s="142" t="s">
        <v>83</v>
      </c>
      <c r="U201" s="142" t="s">
        <v>83</v>
      </c>
      <c r="V201" s="8"/>
      <c r="W201" s="8" t="s">
        <v>87</v>
      </c>
      <c r="X201" s="8">
        <v>0</v>
      </c>
      <c r="Y201" s="142" t="s">
        <v>83</v>
      </c>
      <c r="Z201" s="8">
        <v>0</v>
      </c>
      <c r="AA201" s="8">
        <v>0</v>
      </c>
      <c r="AB201" s="8">
        <v>0</v>
      </c>
      <c r="AC201" s="8">
        <v>0</v>
      </c>
      <c r="AD201" s="8">
        <v>1</v>
      </c>
      <c r="AE201" s="142" t="s">
        <v>83</v>
      </c>
      <c r="AF201" s="142" t="s">
        <v>83</v>
      </c>
      <c r="AG201" s="142" t="s">
        <v>83</v>
      </c>
      <c r="AH201" s="142" t="s">
        <v>83</v>
      </c>
      <c r="AI201" s="8">
        <v>1</v>
      </c>
      <c r="AJ201" s="8"/>
      <c r="AK201" s="8">
        <v>1</v>
      </c>
      <c r="AL201" s="8">
        <v>1</v>
      </c>
      <c r="AM201" s="142" t="s">
        <v>83</v>
      </c>
      <c r="AN201" s="8">
        <v>1</v>
      </c>
      <c r="AO201" s="8">
        <v>1</v>
      </c>
      <c r="AP201" s="8">
        <v>1</v>
      </c>
    </row>
    <row r="202" spans="1:42">
      <c r="A202" s="122"/>
      <c r="B202" s="8" t="str">
        <f>物品!B202</f>
        <v>IB55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已领取重置版礼包</v>
      </c>
      <c r="I202" s="8" t="str">
        <f>VLOOKUP(B202,物品!B:CV,99,FALSE)</f>
        <v>|cff33ff00购买魔兽重制版可领取该礼包！|n|n|r属性：|n|cffffcc33金币+2000|n每秒攻击+2|n每秒业力+1|r</v>
      </c>
      <c r="J202" s="124" t="str">
        <f t="shared" si="86"/>
        <v>已领取重置版礼包</v>
      </c>
      <c r="K202" s="124" t="str">
        <f t="shared" si="87"/>
        <v>|cff33ff00购买魔兽重制版可领取该礼包！|n|n|r属性：|n|cffffcc33金币+2000|n每秒攻击+2|n每秒业力+1|r</v>
      </c>
      <c r="L202" s="8"/>
      <c r="M202" s="125" t="str">
        <f>VLOOKUP(LEFT(RIGHT(B202,5),4),物品!B:CU,20,FALSE)</f>
        <v>ReplaceableTextures\\commandButtons\\BTNLBUI01.blp</v>
      </c>
      <c r="N202" s="142" t="s">
        <v>83</v>
      </c>
      <c r="O202" s="125" t="s">
        <v>90</v>
      </c>
      <c r="P202" s="8">
        <v>0</v>
      </c>
      <c r="Q202" s="8">
        <v>1</v>
      </c>
      <c r="R202" s="142" t="s">
        <v>83</v>
      </c>
      <c r="S202" s="142" t="s">
        <v>83</v>
      </c>
      <c r="T202" s="142" t="s">
        <v>83</v>
      </c>
      <c r="U202" s="142" t="s">
        <v>83</v>
      </c>
      <c r="V202" s="8"/>
      <c r="W202" s="8" t="s">
        <v>87</v>
      </c>
      <c r="X202" s="8">
        <v>0</v>
      </c>
      <c r="Y202" s="142" t="s">
        <v>83</v>
      </c>
      <c r="Z202" s="8">
        <v>0</v>
      </c>
      <c r="AA202" s="8">
        <v>0</v>
      </c>
      <c r="AB202" s="8">
        <v>0</v>
      </c>
      <c r="AC202" s="8">
        <v>0</v>
      </c>
      <c r="AD202" s="8">
        <v>1</v>
      </c>
      <c r="AE202" s="142" t="s">
        <v>83</v>
      </c>
      <c r="AF202" s="142" t="s">
        <v>83</v>
      </c>
      <c r="AG202" s="142" t="s">
        <v>83</v>
      </c>
      <c r="AH202" s="142" t="s">
        <v>83</v>
      </c>
      <c r="AI202" s="8">
        <v>1</v>
      </c>
      <c r="AJ202" s="8"/>
      <c r="AK202" s="8">
        <v>1</v>
      </c>
      <c r="AL202" s="8">
        <v>1</v>
      </c>
      <c r="AM202" s="142" t="s">
        <v>83</v>
      </c>
      <c r="AN202" s="8">
        <v>1</v>
      </c>
      <c r="AO202" s="8">
        <v>1</v>
      </c>
      <c r="AP202" s="8">
        <v>1</v>
      </c>
    </row>
    <row r="203" spans="1:42">
      <c r="A203" s="122"/>
      <c r="B203" s="8" t="str">
        <f>物品!B203</f>
        <v>IB56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已领取公会福利</v>
      </c>
      <c r="I203" s="8" t="str">
        <f>VLOOKUP(B203,物品!B:CV,99,FALSE)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3" s="124" t="str">
        <f t="shared" si="86"/>
        <v>已领取公会福利</v>
      </c>
      <c r="K203" s="124" t="str">
        <f t="shared" si="8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3" s="8"/>
      <c r="M203" s="125" t="str">
        <f>VLOOKUP(LEFT(RIGHT(B203,5),4),物品!B:CU,20,FALSE)</f>
        <v>ReplaceableTextures\\commandButtons\\BTNLBUI01.blp</v>
      </c>
      <c r="N203" s="142" t="s">
        <v>83</v>
      </c>
      <c r="O203" s="125" t="s">
        <v>90</v>
      </c>
      <c r="P203" s="8">
        <v>1</v>
      </c>
      <c r="Q203" s="8">
        <v>1</v>
      </c>
      <c r="R203" s="142" t="s">
        <v>83</v>
      </c>
      <c r="S203" s="142" t="s">
        <v>83</v>
      </c>
      <c r="T203" s="142" t="s">
        <v>83</v>
      </c>
      <c r="U203" s="142" t="s">
        <v>83</v>
      </c>
      <c r="V203" s="8"/>
      <c r="W203" s="8" t="s">
        <v>87</v>
      </c>
      <c r="X203" s="8">
        <v>0</v>
      </c>
      <c r="Y203" s="142" t="s">
        <v>83</v>
      </c>
      <c r="Z203" s="8">
        <v>0</v>
      </c>
      <c r="AA203" s="8">
        <v>0</v>
      </c>
      <c r="AB203" s="8">
        <v>0</v>
      </c>
      <c r="AC203" s="8">
        <v>0</v>
      </c>
      <c r="AD203" s="8">
        <v>1</v>
      </c>
      <c r="AE203" s="142" t="s">
        <v>83</v>
      </c>
      <c r="AF203" s="142" t="s">
        <v>83</v>
      </c>
      <c r="AG203" s="142" t="s">
        <v>83</v>
      </c>
      <c r="AH203" s="142" t="s">
        <v>83</v>
      </c>
      <c r="AI203" s="8">
        <v>1</v>
      </c>
      <c r="AJ203" s="8"/>
      <c r="AK203" s="8">
        <v>1</v>
      </c>
      <c r="AL203" s="8">
        <v>1</v>
      </c>
      <c r="AM203" s="142" t="s">
        <v>83</v>
      </c>
      <c r="AN203" s="8">
        <v>1</v>
      </c>
      <c r="AO203" s="8">
        <v>1</v>
      </c>
      <c r="AP203" s="8">
        <v>1</v>
      </c>
    </row>
    <row r="204" spans="1:42">
      <c r="A204" s="122"/>
      <c r="B204" s="8" t="str">
        <f>物品!B204</f>
        <v>IB57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已领取星耀礼包</v>
      </c>
      <c r="I204" s="8" t="str">
        <f>VLOOKUP(B204,物品!B:CV,99,FALSE)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4" s="124" t="str">
        <f t="shared" si="86"/>
        <v>已领取星耀礼包</v>
      </c>
      <c r="K204" s="124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4" s="8"/>
      <c r="M204" s="125" t="str">
        <f>VLOOKUP(LEFT(RIGHT(B204,5),4),物品!B:CU,20,FALSE)</f>
        <v>ReplaceableTextures\\commandButtons\\BTNLBUI01.blp</v>
      </c>
      <c r="N204" s="142" t="s">
        <v>83</v>
      </c>
      <c r="O204" s="125" t="s">
        <v>90</v>
      </c>
      <c r="P204" s="8">
        <v>2</v>
      </c>
      <c r="Q204" s="8">
        <v>1</v>
      </c>
      <c r="R204" s="142" t="s">
        <v>83</v>
      </c>
      <c r="S204" s="142" t="s">
        <v>83</v>
      </c>
      <c r="T204" s="142" t="s">
        <v>83</v>
      </c>
      <c r="U204" s="142" t="s">
        <v>83</v>
      </c>
      <c r="V204" s="8"/>
      <c r="W204" s="8" t="s">
        <v>87</v>
      </c>
      <c r="X204" s="8">
        <v>0</v>
      </c>
      <c r="Y204" s="142" t="s">
        <v>83</v>
      </c>
      <c r="Z204" s="8">
        <v>0</v>
      </c>
      <c r="AA204" s="8">
        <v>0</v>
      </c>
      <c r="AB204" s="8">
        <v>0</v>
      </c>
      <c r="AC204" s="8">
        <v>0</v>
      </c>
      <c r="AD204" s="8">
        <v>1</v>
      </c>
      <c r="AE204" s="142" t="s">
        <v>83</v>
      </c>
      <c r="AF204" s="142" t="s">
        <v>83</v>
      </c>
      <c r="AG204" s="142" t="s">
        <v>83</v>
      </c>
      <c r="AH204" s="142" t="s">
        <v>83</v>
      </c>
      <c r="AI204" s="8">
        <v>1</v>
      </c>
      <c r="AJ204" s="8"/>
      <c r="AK204" s="8">
        <v>1</v>
      </c>
      <c r="AL204" s="8">
        <v>1</v>
      </c>
      <c r="AM204" s="142" t="s">
        <v>83</v>
      </c>
      <c r="AN204" s="8">
        <v>1</v>
      </c>
      <c r="AO204" s="8">
        <v>1</v>
      </c>
      <c r="AP204" s="8">
        <v>1</v>
      </c>
    </row>
    <row r="205" spans="1:42">
      <c r="A205" s="122"/>
      <c r="B205" s="8" t="str">
        <f>物品!B205</f>
        <v>IB58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已领取魔芝RPG礼包</v>
      </c>
      <c r="I205" s="8" t="str">
        <f>VLOOKUP(B205,物品!B:CV,99,FALSE)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5" s="124" t="str">
        <f t="shared" si="86"/>
        <v>已领取魔芝RPG礼包</v>
      </c>
      <c r="K205" s="124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5" s="8"/>
      <c r="M205" s="125" t="str">
        <f>VLOOKUP(LEFT(RIGHT(B205,5),4),物品!B:CU,20,FALSE)</f>
        <v>ReplaceableTextures\\commandButtons\\BTNLBUI01.blp</v>
      </c>
      <c r="N205" s="142" t="s">
        <v>83</v>
      </c>
      <c r="O205" s="125" t="s">
        <v>90</v>
      </c>
      <c r="P205" s="8">
        <v>3</v>
      </c>
      <c r="Q205" s="8">
        <v>1</v>
      </c>
      <c r="R205" s="142" t="s">
        <v>83</v>
      </c>
      <c r="S205" s="142" t="s">
        <v>83</v>
      </c>
      <c r="T205" s="142" t="s">
        <v>83</v>
      </c>
      <c r="U205" s="142" t="s">
        <v>83</v>
      </c>
      <c r="V205" s="8"/>
      <c r="W205" s="8" t="s">
        <v>87</v>
      </c>
      <c r="X205" s="8">
        <v>0</v>
      </c>
      <c r="Y205" s="142" t="s">
        <v>83</v>
      </c>
      <c r="Z205" s="8">
        <v>0</v>
      </c>
      <c r="AA205" s="8">
        <v>0</v>
      </c>
      <c r="AB205" s="8">
        <v>0</v>
      </c>
      <c r="AC205" s="8">
        <v>0</v>
      </c>
      <c r="AD205" s="8">
        <v>1</v>
      </c>
      <c r="AE205" s="142" t="s">
        <v>83</v>
      </c>
      <c r="AF205" s="142" t="s">
        <v>83</v>
      </c>
      <c r="AG205" s="142" t="s">
        <v>83</v>
      </c>
      <c r="AH205" s="142" t="s">
        <v>83</v>
      </c>
      <c r="AI205" s="8">
        <v>1</v>
      </c>
      <c r="AJ205" s="8"/>
      <c r="AK205" s="8">
        <v>1</v>
      </c>
      <c r="AL205" s="8">
        <v>1</v>
      </c>
      <c r="AM205" s="142" t="s">
        <v>83</v>
      </c>
      <c r="AN205" s="8">
        <v>1</v>
      </c>
      <c r="AO205" s="8">
        <v>1</v>
      </c>
      <c r="AP205" s="8">
        <v>1</v>
      </c>
    </row>
    <row r="206" spans="1:42">
      <c r="A206" s="122"/>
      <c r="B206" s="8" t="str">
        <f>物品!B206</f>
        <v>IB59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已领取老铁礼包</v>
      </c>
      <c r="I206" s="8" t="str">
        <f>VLOOKUP(B206,物品!B:CV,99,FALSE)</f>
        <v>已领取老铁礼包</v>
      </c>
      <c r="J206" s="124" t="str">
        <f t="shared" si="86"/>
        <v>已领取老铁礼包</v>
      </c>
      <c r="K206" s="124" t="str">
        <f t="shared" si="87"/>
        <v>已领取老铁礼包</v>
      </c>
      <c r="L206" s="8"/>
      <c r="M206" s="125" t="str">
        <f>VLOOKUP(LEFT(RIGHT(B206,5),4),物品!B:CU,20,FALSE)</f>
        <v>ReplaceableTextures\\commandButtons\\BTNLBUI01.blp</v>
      </c>
      <c r="N206" s="142" t="s">
        <v>83</v>
      </c>
      <c r="O206" s="125" t="s">
        <v>90</v>
      </c>
      <c r="P206" s="8">
        <v>0</v>
      </c>
      <c r="Q206" s="8">
        <v>0</v>
      </c>
      <c r="R206" s="142" t="s">
        <v>83</v>
      </c>
      <c r="S206" s="142" t="s">
        <v>83</v>
      </c>
      <c r="T206" s="142" t="s">
        <v>83</v>
      </c>
      <c r="U206" s="142" t="s">
        <v>83</v>
      </c>
      <c r="V206" s="8"/>
      <c r="W206" s="8" t="s">
        <v>87</v>
      </c>
      <c r="X206" s="8">
        <v>0</v>
      </c>
      <c r="Y206" s="142" t="s">
        <v>83</v>
      </c>
      <c r="Z206" s="8">
        <v>0</v>
      </c>
      <c r="AA206" s="8">
        <v>0</v>
      </c>
      <c r="AB206" s="8">
        <v>0</v>
      </c>
      <c r="AC206" s="8">
        <v>0</v>
      </c>
      <c r="AD206" s="8">
        <v>1</v>
      </c>
      <c r="AE206" s="142" t="s">
        <v>83</v>
      </c>
      <c r="AF206" s="142" t="s">
        <v>83</v>
      </c>
      <c r="AG206" s="142" t="s">
        <v>83</v>
      </c>
      <c r="AH206" s="142" t="s">
        <v>83</v>
      </c>
      <c r="AI206" s="8">
        <v>1</v>
      </c>
      <c r="AJ206" s="8"/>
      <c r="AK206" s="8">
        <v>1</v>
      </c>
      <c r="AL206" s="8">
        <v>1</v>
      </c>
      <c r="AM206" s="142" t="s">
        <v>83</v>
      </c>
      <c r="AN206" s="8">
        <v>1</v>
      </c>
      <c r="AO206" s="8">
        <v>1</v>
      </c>
      <c r="AP206" s="8">
        <v>1</v>
      </c>
    </row>
    <row r="207" spans="1:42">
      <c r="A207" s="122"/>
      <c r="B207" s="8" t="str">
        <f>物品!B207</f>
        <v>IF01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附魔</v>
      </c>
      <c r="I207" s="8">
        <f>VLOOKUP(B207,物品!B:CV,99,FALSE)</f>
        <v>0</v>
      </c>
      <c r="J207" s="124" t="str">
        <f t="shared" ref="J207" si="88">H207</f>
        <v>附魔</v>
      </c>
      <c r="K207" s="124">
        <f t="shared" ref="K207" si="89">I207</f>
        <v>0</v>
      </c>
      <c r="L207" s="8"/>
      <c r="M207" s="125">
        <f>VLOOKUP(LEFT(RIGHT(B207,5),4),物品!B:CU,20,FALSE)</f>
        <v>0</v>
      </c>
      <c r="N207" s="142" t="s">
        <v>83</v>
      </c>
      <c r="O207" s="125" t="s">
        <v>90</v>
      </c>
      <c r="P207" s="8">
        <v>0</v>
      </c>
      <c r="Q207" s="8">
        <v>0</v>
      </c>
      <c r="R207" s="142" t="s">
        <v>83</v>
      </c>
      <c r="S207" s="142" t="s">
        <v>83</v>
      </c>
      <c r="T207" s="142" t="s">
        <v>83</v>
      </c>
      <c r="U207" s="142" t="s">
        <v>83</v>
      </c>
      <c r="V207" s="8"/>
      <c r="W207" s="8" t="s">
        <v>87</v>
      </c>
      <c r="X207" s="8">
        <v>0</v>
      </c>
      <c r="Y207" s="142" t="s">
        <v>83</v>
      </c>
      <c r="Z207" s="8">
        <v>0</v>
      </c>
      <c r="AA207" s="8">
        <v>0</v>
      </c>
      <c r="AB207" s="8">
        <v>0</v>
      </c>
      <c r="AC207" s="8">
        <v>1</v>
      </c>
      <c r="AD207" s="8">
        <v>1</v>
      </c>
      <c r="AE207" s="142" t="s">
        <v>83</v>
      </c>
      <c r="AF207" s="142" t="s">
        <v>83</v>
      </c>
      <c r="AG207" s="142" t="s">
        <v>83</v>
      </c>
      <c r="AH207" s="142" t="s">
        <v>83</v>
      </c>
      <c r="AI207" s="8">
        <v>1</v>
      </c>
      <c r="AJ207" s="8"/>
      <c r="AK207" s="8">
        <v>1</v>
      </c>
      <c r="AL207" s="8">
        <v>1</v>
      </c>
      <c r="AM207" s="142" t="s">
        <v>83</v>
      </c>
      <c r="AN207" s="8">
        <v>1</v>
      </c>
      <c r="AO207" s="8">
        <v>1</v>
      </c>
      <c r="AP207" s="8">
        <v>1</v>
      </c>
    </row>
    <row r="208" spans="1:42">
      <c r="A208" s="122"/>
      <c r="B208" s="8" t="str">
        <f>物品!B208</f>
        <v>IF02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附魔</v>
      </c>
      <c r="I208" s="8">
        <f>VLOOKUP(B208,物品!B:CV,99,FALSE)</f>
        <v>0</v>
      </c>
      <c r="J208" s="124" t="str">
        <f t="shared" ref="J208:J233" si="90">H208</f>
        <v>附魔</v>
      </c>
      <c r="K208" s="124">
        <f t="shared" ref="K208:K233" si="91">I208</f>
        <v>0</v>
      </c>
      <c r="L208" s="8"/>
      <c r="M208" s="125">
        <f>VLOOKUP(LEFT(RIGHT(B208,5),4),物品!B:CU,20,FALSE)</f>
        <v>0</v>
      </c>
      <c r="N208" s="142" t="s">
        <v>83</v>
      </c>
      <c r="O208" s="125" t="s">
        <v>90</v>
      </c>
      <c r="P208" s="8">
        <v>0</v>
      </c>
      <c r="Q208" s="8">
        <v>0</v>
      </c>
      <c r="R208" s="142" t="s">
        <v>83</v>
      </c>
      <c r="S208" s="142" t="s">
        <v>83</v>
      </c>
      <c r="T208" s="142" t="s">
        <v>83</v>
      </c>
      <c r="U208" s="142" t="s">
        <v>83</v>
      </c>
      <c r="V208" s="8"/>
      <c r="W208" s="8" t="s">
        <v>87</v>
      </c>
      <c r="X208" s="8">
        <v>0</v>
      </c>
      <c r="Y208" s="142" t="s">
        <v>83</v>
      </c>
      <c r="Z208" s="8">
        <v>0</v>
      </c>
      <c r="AA208" s="8">
        <v>0</v>
      </c>
      <c r="AB208" s="8">
        <v>0</v>
      </c>
      <c r="AC208" s="8">
        <v>1</v>
      </c>
      <c r="AD208" s="8">
        <v>1</v>
      </c>
      <c r="AE208" s="142" t="s">
        <v>83</v>
      </c>
      <c r="AF208" s="142" t="s">
        <v>83</v>
      </c>
      <c r="AG208" s="142" t="s">
        <v>83</v>
      </c>
      <c r="AH208" s="142" t="s">
        <v>83</v>
      </c>
      <c r="AI208" s="8">
        <v>1</v>
      </c>
      <c r="AJ208" s="8"/>
      <c r="AK208" s="8">
        <v>1</v>
      </c>
      <c r="AL208" s="8">
        <v>1</v>
      </c>
      <c r="AM208" s="142" t="s">
        <v>83</v>
      </c>
      <c r="AN208" s="8">
        <v>1</v>
      </c>
      <c r="AO208" s="8">
        <v>1</v>
      </c>
      <c r="AP208" s="8">
        <v>1</v>
      </c>
    </row>
    <row r="209" spans="1:42">
      <c r="A209" s="122"/>
      <c r="B209" s="8" t="str">
        <f>物品!B209</f>
        <v>IF03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附魔</v>
      </c>
      <c r="I209" s="8">
        <f>VLOOKUP(B209,物品!B:CV,99,FALSE)</f>
        <v>0</v>
      </c>
      <c r="J209" s="124" t="str">
        <f t="shared" si="90"/>
        <v>附魔</v>
      </c>
      <c r="K209" s="124">
        <f t="shared" si="91"/>
        <v>0</v>
      </c>
      <c r="L209" s="8"/>
      <c r="M209" s="125">
        <f>VLOOKUP(LEFT(RIGHT(B209,5),4),物品!B:CU,20,FALSE)</f>
        <v>0</v>
      </c>
      <c r="N209" s="142" t="s">
        <v>83</v>
      </c>
      <c r="O209" s="125" t="s">
        <v>90</v>
      </c>
      <c r="P209" s="8">
        <v>0</v>
      </c>
      <c r="Q209" s="8">
        <v>0</v>
      </c>
      <c r="R209" s="142" t="s">
        <v>83</v>
      </c>
      <c r="S209" s="142" t="s">
        <v>83</v>
      </c>
      <c r="T209" s="142" t="s">
        <v>83</v>
      </c>
      <c r="U209" s="142" t="s">
        <v>83</v>
      </c>
      <c r="V209" s="8"/>
      <c r="W209" s="8" t="s">
        <v>87</v>
      </c>
      <c r="X209" s="8">
        <v>0</v>
      </c>
      <c r="Y209" s="142" t="s">
        <v>83</v>
      </c>
      <c r="Z209" s="8">
        <v>0</v>
      </c>
      <c r="AA209" s="8">
        <v>0</v>
      </c>
      <c r="AB209" s="8">
        <v>0</v>
      </c>
      <c r="AC209" s="8">
        <v>1</v>
      </c>
      <c r="AD209" s="8">
        <v>1</v>
      </c>
      <c r="AE209" s="142" t="s">
        <v>83</v>
      </c>
      <c r="AF209" s="142" t="s">
        <v>83</v>
      </c>
      <c r="AG209" s="142" t="s">
        <v>83</v>
      </c>
      <c r="AH209" s="142" t="s">
        <v>83</v>
      </c>
      <c r="AI209" s="8">
        <v>1</v>
      </c>
      <c r="AJ209" s="8"/>
      <c r="AK209" s="8">
        <v>1</v>
      </c>
      <c r="AL209" s="8">
        <v>1</v>
      </c>
      <c r="AM209" s="142" t="s">
        <v>83</v>
      </c>
      <c r="AN209" s="8">
        <v>1</v>
      </c>
      <c r="AO209" s="8">
        <v>1</v>
      </c>
      <c r="AP209" s="8">
        <v>1</v>
      </c>
    </row>
    <row r="210" spans="1:42">
      <c r="A210" s="122"/>
      <c r="B210" s="8" t="str">
        <f>物品!B210</f>
        <v>IF04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附魔</v>
      </c>
      <c r="I210" s="8">
        <f>VLOOKUP(B210,物品!B:CV,99,FALSE)</f>
        <v>0</v>
      </c>
      <c r="J210" s="124" t="str">
        <f t="shared" si="90"/>
        <v>附魔</v>
      </c>
      <c r="K210" s="124">
        <f t="shared" si="91"/>
        <v>0</v>
      </c>
      <c r="L210" s="8"/>
      <c r="M210" s="125">
        <f>VLOOKUP(LEFT(RIGHT(B210,5),4),物品!B:CU,20,FALSE)</f>
        <v>0</v>
      </c>
      <c r="N210" s="142" t="s">
        <v>83</v>
      </c>
      <c r="O210" s="125" t="s">
        <v>90</v>
      </c>
      <c r="P210" s="8">
        <v>0</v>
      </c>
      <c r="Q210" s="8">
        <v>0</v>
      </c>
      <c r="R210" s="142" t="s">
        <v>83</v>
      </c>
      <c r="S210" s="142" t="s">
        <v>83</v>
      </c>
      <c r="T210" s="142" t="s">
        <v>83</v>
      </c>
      <c r="U210" s="142" t="s">
        <v>83</v>
      </c>
      <c r="V210" s="8"/>
      <c r="W210" s="8" t="s">
        <v>87</v>
      </c>
      <c r="X210" s="8">
        <v>0</v>
      </c>
      <c r="Y210" s="142" t="s">
        <v>83</v>
      </c>
      <c r="Z210" s="8">
        <v>0</v>
      </c>
      <c r="AA210" s="8">
        <v>0</v>
      </c>
      <c r="AB210" s="8">
        <v>0</v>
      </c>
      <c r="AC210" s="8">
        <v>1</v>
      </c>
      <c r="AD210" s="8">
        <v>1</v>
      </c>
      <c r="AE210" s="142" t="s">
        <v>83</v>
      </c>
      <c r="AF210" s="142" t="s">
        <v>83</v>
      </c>
      <c r="AG210" s="142" t="s">
        <v>83</v>
      </c>
      <c r="AH210" s="142" t="s">
        <v>83</v>
      </c>
      <c r="AI210" s="8">
        <v>1</v>
      </c>
      <c r="AJ210" s="8"/>
      <c r="AK210" s="8">
        <v>1</v>
      </c>
      <c r="AL210" s="8">
        <v>1</v>
      </c>
      <c r="AM210" s="142" t="s">
        <v>83</v>
      </c>
      <c r="AN210" s="8">
        <v>1</v>
      </c>
      <c r="AO210" s="8">
        <v>1</v>
      </c>
      <c r="AP210" s="8">
        <v>1</v>
      </c>
    </row>
    <row r="211" spans="1:42">
      <c r="A211" s="122"/>
      <c r="B211" s="8" t="str">
        <f>物品!B211</f>
        <v>IF05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附魔</v>
      </c>
      <c r="I211" s="8">
        <f>VLOOKUP(B211,物品!B:CV,99,FALSE)</f>
        <v>0</v>
      </c>
      <c r="J211" s="124" t="str">
        <f t="shared" si="90"/>
        <v>附魔</v>
      </c>
      <c r="K211" s="124">
        <f t="shared" si="91"/>
        <v>0</v>
      </c>
      <c r="L211" s="8"/>
      <c r="M211" s="125">
        <f>VLOOKUP(LEFT(RIGHT(B211,5),4),物品!B:CU,20,FALSE)</f>
        <v>0</v>
      </c>
      <c r="N211" s="142" t="s">
        <v>83</v>
      </c>
      <c r="O211" s="125" t="s">
        <v>90</v>
      </c>
      <c r="P211" s="8">
        <v>0</v>
      </c>
      <c r="Q211" s="8">
        <v>0</v>
      </c>
      <c r="R211" s="142" t="s">
        <v>83</v>
      </c>
      <c r="S211" s="142" t="s">
        <v>83</v>
      </c>
      <c r="T211" s="142" t="s">
        <v>83</v>
      </c>
      <c r="U211" s="142" t="s">
        <v>83</v>
      </c>
      <c r="V211" s="8"/>
      <c r="W211" s="8" t="s">
        <v>87</v>
      </c>
      <c r="X211" s="8">
        <v>0</v>
      </c>
      <c r="Y211" s="142" t="s">
        <v>83</v>
      </c>
      <c r="Z211" s="8">
        <v>0</v>
      </c>
      <c r="AA211" s="8">
        <v>0</v>
      </c>
      <c r="AB211" s="8">
        <v>0</v>
      </c>
      <c r="AC211" s="8">
        <v>1</v>
      </c>
      <c r="AD211" s="8">
        <v>1</v>
      </c>
      <c r="AE211" s="142" t="s">
        <v>83</v>
      </c>
      <c r="AF211" s="142" t="s">
        <v>83</v>
      </c>
      <c r="AG211" s="142" t="s">
        <v>83</v>
      </c>
      <c r="AH211" s="142" t="s">
        <v>83</v>
      </c>
      <c r="AI211" s="8">
        <v>1</v>
      </c>
      <c r="AJ211" s="8"/>
      <c r="AK211" s="8">
        <v>1</v>
      </c>
      <c r="AL211" s="8">
        <v>1</v>
      </c>
      <c r="AM211" s="142" t="s">
        <v>83</v>
      </c>
      <c r="AN211" s="8">
        <v>1</v>
      </c>
      <c r="AO211" s="8">
        <v>1</v>
      </c>
      <c r="AP211" s="8">
        <v>1</v>
      </c>
    </row>
    <row r="212" spans="1:42">
      <c r="A212" s="122"/>
      <c r="B212" s="8" t="str">
        <f>物品!B212</f>
        <v>IF06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附魔</v>
      </c>
      <c r="I212" s="8">
        <f>VLOOKUP(B212,物品!B:CV,99,FALSE)</f>
        <v>0</v>
      </c>
      <c r="J212" s="124" t="str">
        <f t="shared" si="90"/>
        <v>附魔</v>
      </c>
      <c r="K212" s="124">
        <f t="shared" si="91"/>
        <v>0</v>
      </c>
      <c r="L212" s="8"/>
      <c r="M212" s="125">
        <f>VLOOKUP(LEFT(RIGHT(B212,5),4),物品!B:CU,20,FALSE)</f>
        <v>0</v>
      </c>
      <c r="N212" s="142" t="s">
        <v>83</v>
      </c>
      <c r="O212" s="125" t="s">
        <v>90</v>
      </c>
      <c r="P212" s="8">
        <v>0</v>
      </c>
      <c r="Q212" s="8">
        <v>0</v>
      </c>
      <c r="R212" s="142" t="s">
        <v>83</v>
      </c>
      <c r="S212" s="142" t="s">
        <v>83</v>
      </c>
      <c r="T212" s="142" t="s">
        <v>83</v>
      </c>
      <c r="U212" s="142" t="s">
        <v>83</v>
      </c>
      <c r="V212" s="8"/>
      <c r="W212" s="8" t="s">
        <v>87</v>
      </c>
      <c r="X212" s="8">
        <v>0</v>
      </c>
      <c r="Y212" s="142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42" t="s">
        <v>83</v>
      </c>
      <c r="AF212" s="142" t="s">
        <v>83</v>
      </c>
      <c r="AG212" s="142" t="s">
        <v>83</v>
      </c>
      <c r="AH212" s="142" t="s">
        <v>83</v>
      </c>
      <c r="AI212" s="8">
        <v>1</v>
      </c>
      <c r="AJ212" s="8"/>
      <c r="AK212" s="8">
        <v>1</v>
      </c>
      <c r="AL212" s="8">
        <v>1</v>
      </c>
      <c r="AM212" s="142" t="s">
        <v>83</v>
      </c>
      <c r="AN212" s="8">
        <v>1</v>
      </c>
      <c r="AO212" s="8">
        <v>1</v>
      </c>
      <c r="AP212" s="8">
        <v>1</v>
      </c>
    </row>
    <row r="213" spans="1:42">
      <c r="A213" s="122"/>
      <c r="B213" s="8" t="str">
        <f>物品!B213</f>
        <v>IF07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附魔</v>
      </c>
      <c r="I213" s="8">
        <f>VLOOKUP(B213,物品!B:CV,99,FALSE)</f>
        <v>0</v>
      </c>
      <c r="J213" s="124" t="str">
        <f t="shared" si="90"/>
        <v>附魔</v>
      </c>
      <c r="K213" s="124">
        <f t="shared" si="91"/>
        <v>0</v>
      </c>
      <c r="L213" s="8"/>
      <c r="M213" s="125">
        <f>VLOOKUP(LEFT(RIGHT(B213,5),4),物品!B:CU,20,FALSE)</f>
        <v>0</v>
      </c>
      <c r="N213" s="142" t="s">
        <v>83</v>
      </c>
      <c r="O213" s="125" t="s">
        <v>90</v>
      </c>
      <c r="P213" s="8">
        <v>0</v>
      </c>
      <c r="Q213" s="8">
        <v>0</v>
      </c>
      <c r="R213" s="142" t="s">
        <v>83</v>
      </c>
      <c r="S213" s="142" t="s">
        <v>83</v>
      </c>
      <c r="T213" s="142" t="s">
        <v>83</v>
      </c>
      <c r="U213" s="142" t="s">
        <v>83</v>
      </c>
      <c r="V213" s="8"/>
      <c r="W213" s="8" t="s">
        <v>87</v>
      </c>
      <c r="X213" s="8">
        <v>0</v>
      </c>
      <c r="Y213" s="142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42" t="s">
        <v>83</v>
      </c>
      <c r="AF213" s="142" t="s">
        <v>83</v>
      </c>
      <c r="AG213" s="142" t="s">
        <v>83</v>
      </c>
      <c r="AH213" s="142" t="s">
        <v>83</v>
      </c>
      <c r="AI213" s="8">
        <v>1</v>
      </c>
      <c r="AJ213" s="8"/>
      <c r="AK213" s="8">
        <v>1</v>
      </c>
      <c r="AL213" s="8">
        <v>1</v>
      </c>
      <c r="AM213" s="142" t="s">
        <v>83</v>
      </c>
      <c r="AN213" s="8">
        <v>1</v>
      </c>
      <c r="AO213" s="8">
        <v>1</v>
      </c>
      <c r="AP213" s="8">
        <v>1</v>
      </c>
    </row>
    <row r="214" spans="1:42">
      <c r="A214" s="122"/>
      <c r="B214" s="8" t="str">
        <f>物品!B214</f>
        <v>IF08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附魔</v>
      </c>
      <c r="I214" s="8">
        <f>VLOOKUP(B214,物品!B:CV,99,FALSE)</f>
        <v>0</v>
      </c>
      <c r="J214" s="124" t="str">
        <f t="shared" si="90"/>
        <v>附魔</v>
      </c>
      <c r="K214" s="124">
        <f t="shared" si="91"/>
        <v>0</v>
      </c>
      <c r="L214" s="8"/>
      <c r="M214" s="125">
        <f>VLOOKUP(LEFT(RIGHT(B214,5),4),物品!B:CU,20,FALSE)</f>
        <v>0</v>
      </c>
      <c r="N214" s="142" t="s">
        <v>83</v>
      </c>
      <c r="O214" s="125" t="s">
        <v>90</v>
      </c>
      <c r="P214" s="8">
        <v>0</v>
      </c>
      <c r="Q214" s="8">
        <v>0</v>
      </c>
      <c r="R214" s="142" t="s">
        <v>83</v>
      </c>
      <c r="S214" s="142" t="s">
        <v>83</v>
      </c>
      <c r="T214" s="142" t="s">
        <v>83</v>
      </c>
      <c r="U214" s="142" t="s">
        <v>83</v>
      </c>
      <c r="V214" s="8"/>
      <c r="W214" s="8" t="s">
        <v>87</v>
      </c>
      <c r="X214" s="8">
        <v>0</v>
      </c>
      <c r="Y214" s="142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2" t="s">
        <v>83</v>
      </c>
      <c r="AF214" s="142" t="s">
        <v>83</v>
      </c>
      <c r="AG214" s="142" t="s">
        <v>83</v>
      </c>
      <c r="AH214" s="142" t="s">
        <v>83</v>
      </c>
      <c r="AI214" s="8">
        <v>1</v>
      </c>
      <c r="AJ214" s="8"/>
      <c r="AK214" s="8">
        <v>1</v>
      </c>
      <c r="AL214" s="8">
        <v>1</v>
      </c>
      <c r="AM214" s="142" t="s">
        <v>83</v>
      </c>
      <c r="AN214" s="8">
        <v>1</v>
      </c>
      <c r="AO214" s="8">
        <v>1</v>
      </c>
      <c r="AP214" s="8">
        <v>1</v>
      </c>
    </row>
    <row r="215" spans="1:42">
      <c r="A215" s="122"/>
      <c r="B215" s="8" t="str">
        <f>物品!B215</f>
        <v>IF09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附魔</v>
      </c>
      <c r="I215" s="8">
        <f>VLOOKUP(B215,物品!B:CV,99,FALSE)</f>
        <v>0</v>
      </c>
      <c r="J215" s="124" t="str">
        <f t="shared" si="90"/>
        <v>附魔</v>
      </c>
      <c r="K215" s="124">
        <f t="shared" si="91"/>
        <v>0</v>
      </c>
      <c r="L215" s="8"/>
      <c r="M215" s="125">
        <f>VLOOKUP(LEFT(RIGHT(B215,5),4),物品!B:CU,20,FALSE)</f>
        <v>0</v>
      </c>
      <c r="N215" s="142" t="s">
        <v>83</v>
      </c>
      <c r="O215" s="125" t="s">
        <v>90</v>
      </c>
      <c r="P215" s="8">
        <v>0</v>
      </c>
      <c r="Q215" s="8">
        <v>0</v>
      </c>
      <c r="R215" s="142" t="s">
        <v>83</v>
      </c>
      <c r="S215" s="142" t="s">
        <v>83</v>
      </c>
      <c r="T215" s="142" t="s">
        <v>83</v>
      </c>
      <c r="U215" s="142" t="s">
        <v>83</v>
      </c>
      <c r="V215" s="8"/>
      <c r="W215" s="8" t="s">
        <v>87</v>
      </c>
      <c r="X215" s="8">
        <v>0</v>
      </c>
      <c r="Y215" s="142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2" t="s">
        <v>83</v>
      </c>
      <c r="AF215" s="142" t="s">
        <v>83</v>
      </c>
      <c r="AG215" s="142" t="s">
        <v>83</v>
      </c>
      <c r="AH215" s="142" t="s">
        <v>83</v>
      </c>
      <c r="AI215" s="8">
        <v>1</v>
      </c>
      <c r="AJ215" s="8"/>
      <c r="AK215" s="8">
        <v>1</v>
      </c>
      <c r="AL215" s="8">
        <v>1</v>
      </c>
      <c r="AM215" s="142" t="s">
        <v>83</v>
      </c>
      <c r="AN215" s="8">
        <v>1</v>
      </c>
      <c r="AO215" s="8">
        <v>1</v>
      </c>
      <c r="AP215" s="8">
        <v>1</v>
      </c>
    </row>
    <row r="216" spans="1:42">
      <c r="A216" s="122"/>
      <c r="B216" s="8" t="str">
        <f>物品!B216</f>
        <v>IF10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附魔</v>
      </c>
      <c r="I216" s="8">
        <f>VLOOKUP(B216,物品!B:CV,99,FALSE)</f>
        <v>0</v>
      </c>
      <c r="J216" s="124" t="str">
        <f t="shared" si="90"/>
        <v>附魔</v>
      </c>
      <c r="K216" s="124">
        <f t="shared" si="91"/>
        <v>0</v>
      </c>
      <c r="L216" s="8"/>
      <c r="M216" s="125">
        <f>VLOOKUP(LEFT(RIGHT(B216,5),4),物品!B:CU,20,FALSE)</f>
        <v>0</v>
      </c>
      <c r="N216" s="142" t="s">
        <v>83</v>
      </c>
      <c r="O216" s="125" t="s">
        <v>90</v>
      </c>
      <c r="P216" s="8">
        <v>0</v>
      </c>
      <c r="Q216" s="8">
        <v>0</v>
      </c>
      <c r="R216" s="142" t="s">
        <v>83</v>
      </c>
      <c r="S216" s="142" t="s">
        <v>83</v>
      </c>
      <c r="T216" s="142" t="s">
        <v>83</v>
      </c>
      <c r="U216" s="142" t="s">
        <v>83</v>
      </c>
      <c r="V216" s="8"/>
      <c r="W216" s="8" t="s">
        <v>87</v>
      </c>
      <c r="X216" s="8">
        <v>0</v>
      </c>
      <c r="Y216" s="142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2" t="s">
        <v>83</v>
      </c>
      <c r="AF216" s="142" t="s">
        <v>83</v>
      </c>
      <c r="AG216" s="142" t="s">
        <v>83</v>
      </c>
      <c r="AH216" s="142" t="s">
        <v>83</v>
      </c>
      <c r="AI216" s="8">
        <v>1</v>
      </c>
      <c r="AJ216" s="8"/>
      <c r="AK216" s="8">
        <v>1</v>
      </c>
      <c r="AL216" s="8">
        <v>1</v>
      </c>
      <c r="AM216" s="142" t="s">
        <v>83</v>
      </c>
      <c r="AN216" s="8">
        <v>1</v>
      </c>
      <c r="AO216" s="8">
        <v>1</v>
      </c>
      <c r="AP216" s="8">
        <v>1</v>
      </c>
    </row>
    <row r="217" spans="1:42">
      <c r="A217" s="122"/>
      <c r="B217" s="8" t="str">
        <f>物品!B217</f>
        <v>IF11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附魔</v>
      </c>
      <c r="I217" s="8">
        <f>VLOOKUP(B217,物品!B:CV,99,FALSE)</f>
        <v>0</v>
      </c>
      <c r="J217" s="124" t="str">
        <f t="shared" si="90"/>
        <v>附魔</v>
      </c>
      <c r="K217" s="124">
        <f t="shared" si="91"/>
        <v>0</v>
      </c>
      <c r="L217" s="8"/>
      <c r="M217" s="125">
        <f>VLOOKUP(LEFT(RIGHT(B217,5),4),物品!B:CU,20,FALSE)</f>
        <v>0</v>
      </c>
      <c r="N217" s="142" t="s">
        <v>83</v>
      </c>
      <c r="O217" s="125" t="s">
        <v>90</v>
      </c>
      <c r="P217" s="8">
        <v>0</v>
      </c>
      <c r="Q217" s="8">
        <v>0</v>
      </c>
      <c r="R217" s="142" t="s">
        <v>83</v>
      </c>
      <c r="S217" s="142" t="s">
        <v>83</v>
      </c>
      <c r="T217" s="142" t="s">
        <v>83</v>
      </c>
      <c r="U217" s="142" t="s">
        <v>83</v>
      </c>
      <c r="V217" s="8"/>
      <c r="W217" s="8" t="s">
        <v>87</v>
      </c>
      <c r="X217" s="8">
        <v>0</v>
      </c>
      <c r="Y217" s="142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2" t="s">
        <v>83</v>
      </c>
      <c r="AF217" s="142" t="s">
        <v>83</v>
      </c>
      <c r="AG217" s="142" t="s">
        <v>83</v>
      </c>
      <c r="AH217" s="142" t="s">
        <v>83</v>
      </c>
      <c r="AI217" s="8">
        <v>1</v>
      </c>
      <c r="AJ217" s="8"/>
      <c r="AK217" s="8">
        <v>1</v>
      </c>
      <c r="AL217" s="8">
        <v>1</v>
      </c>
      <c r="AM217" s="142" t="s">
        <v>83</v>
      </c>
      <c r="AN217" s="8">
        <v>1</v>
      </c>
      <c r="AO217" s="8">
        <v>1</v>
      </c>
      <c r="AP217" s="8">
        <v>1</v>
      </c>
    </row>
    <row r="218" spans="1:42">
      <c r="A218" s="122"/>
      <c r="B218" s="8" t="str">
        <f>物品!B218</f>
        <v>IF12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附魔</v>
      </c>
      <c r="I218" s="8">
        <f>VLOOKUP(B218,物品!B:CV,99,FALSE)</f>
        <v>0</v>
      </c>
      <c r="J218" s="124" t="str">
        <f t="shared" si="90"/>
        <v>附魔</v>
      </c>
      <c r="K218" s="124">
        <f t="shared" si="91"/>
        <v>0</v>
      </c>
      <c r="L218" s="8"/>
      <c r="M218" s="125">
        <f>VLOOKUP(LEFT(RIGHT(B218,5),4),物品!B:CU,20,FALSE)</f>
        <v>0</v>
      </c>
      <c r="N218" s="142" t="s">
        <v>83</v>
      </c>
      <c r="O218" s="125" t="s">
        <v>90</v>
      </c>
      <c r="P218" s="8">
        <v>0</v>
      </c>
      <c r="Q218" s="8">
        <v>0</v>
      </c>
      <c r="R218" s="142" t="s">
        <v>83</v>
      </c>
      <c r="S218" s="142" t="s">
        <v>83</v>
      </c>
      <c r="T218" s="142" t="s">
        <v>83</v>
      </c>
      <c r="U218" s="142" t="s">
        <v>83</v>
      </c>
      <c r="V218" s="8"/>
      <c r="W218" s="8" t="s">
        <v>87</v>
      </c>
      <c r="X218" s="8">
        <v>0</v>
      </c>
      <c r="Y218" s="142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2" t="s">
        <v>83</v>
      </c>
      <c r="AF218" s="142" t="s">
        <v>83</v>
      </c>
      <c r="AG218" s="142" t="s">
        <v>83</v>
      </c>
      <c r="AH218" s="142" t="s">
        <v>83</v>
      </c>
      <c r="AI218" s="8">
        <v>1</v>
      </c>
      <c r="AJ218" s="8"/>
      <c r="AK218" s="8">
        <v>1</v>
      </c>
      <c r="AL218" s="8">
        <v>1</v>
      </c>
      <c r="AM218" s="142" t="s">
        <v>83</v>
      </c>
      <c r="AN218" s="8">
        <v>1</v>
      </c>
      <c r="AO218" s="8">
        <v>1</v>
      </c>
      <c r="AP218" s="8">
        <v>1</v>
      </c>
    </row>
    <row r="219" spans="1:42">
      <c r="A219" s="122"/>
      <c r="B219" s="8" t="str">
        <f>物品!B219</f>
        <v>IF13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附魔</v>
      </c>
      <c r="I219" s="8">
        <f>VLOOKUP(B219,物品!B:CV,99,FALSE)</f>
        <v>0</v>
      </c>
      <c r="J219" s="124" t="str">
        <f t="shared" si="90"/>
        <v>附魔</v>
      </c>
      <c r="K219" s="124">
        <f t="shared" si="91"/>
        <v>0</v>
      </c>
      <c r="L219" s="8"/>
      <c r="M219" s="125">
        <f>VLOOKUP(LEFT(RIGHT(B219,5),4),物品!B:CU,20,FALSE)</f>
        <v>0</v>
      </c>
      <c r="N219" s="142" t="s">
        <v>83</v>
      </c>
      <c r="O219" s="125" t="s">
        <v>90</v>
      </c>
      <c r="P219" s="8">
        <v>0</v>
      </c>
      <c r="Q219" s="8">
        <v>0</v>
      </c>
      <c r="R219" s="142" t="s">
        <v>83</v>
      </c>
      <c r="S219" s="142" t="s">
        <v>83</v>
      </c>
      <c r="T219" s="142" t="s">
        <v>83</v>
      </c>
      <c r="U219" s="142" t="s">
        <v>83</v>
      </c>
      <c r="V219" s="8"/>
      <c r="W219" s="8" t="s">
        <v>87</v>
      </c>
      <c r="X219" s="8">
        <v>0</v>
      </c>
      <c r="Y219" s="142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2" t="s">
        <v>83</v>
      </c>
      <c r="AF219" s="142" t="s">
        <v>83</v>
      </c>
      <c r="AG219" s="142" t="s">
        <v>83</v>
      </c>
      <c r="AH219" s="142" t="s">
        <v>83</v>
      </c>
      <c r="AI219" s="8">
        <v>1</v>
      </c>
      <c r="AJ219" s="8"/>
      <c r="AK219" s="8">
        <v>1</v>
      </c>
      <c r="AL219" s="8">
        <v>1</v>
      </c>
      <c r="AM219" s="142" t="s">
        <v>83</v>
      </c>
      <c r="AN219" s="8">
        <v>1</v>
      </c>
      <c r="AO219" s="8">
        <v>1</v>
      </c>
      <c r="AP219" s="8">
        <v>1</v>
      </c>
    </row>
    <row r="220" spans="1:42">
      <c r="A220" s="122"/>
      <c r="B220" s="8" t="str">
        <f>物品!B220</f>
        <v>IF14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附魔</v>
      </c>
      <c r="I220" s="8">
        <f>VLOOKUP(B220,物品!B:CV,99,FALSE)</f>
        <v>0</v>
      </c>
      <c r="J220" s="124" t="str">
        <f t="shared" si="90"/>
        <v>附魔</v>
      </c>
      <c r="K220" s="124">
        <f t="shared" si="91"/>
        <v>0</v>
      </c>
      <c r="L220" s="8"/>
      <c r="M220" s="125">
        <f>VLOOKUP(LEFT(RIGHT(B220,5),4),物品!B:CU,20,FALSE)</f>
        <v>0</v>
      </c>
      <c r="N220" s="142" t="s">
        <v>83</v>
      </c>
      <c r="O220" s="125" t="s">
        <v>90</v>
      </c>
      <c r="P220" s="8">
        <v>0</v>
      </c>
      <c r="Q220" s="8">
        <v>0</v>
      </c>
      <c r="R220" s="142" t="s">
        <v>83</v>
      </c>
      <c r="S220" s="142" t="s">
        <v>83</v>
      </c>
      <c r="T220" s="142" t="s">
        <v>83</v>
      </c>
      <c r="U220" s="142" t="s">
        <v>83</v>
      </c>
      <c r="V220" s="8"/>
      <c r="W220" s="8" t="s">
        <v>87</v>
      </c>
      <c r="X220" s="8">
        <v>0</v>
      </c>
      <c r="Y220" s="142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2" t="s">
        <v>83</v>
      </c>
      <c r="AF220" s="142" t="s">
        <v>83</v>
      </c>
      <c r="AG220" s="142" t="s">
        <v>83</v>
      </c>
      <c r="AH220" s="142" t="s">
        <v>83</v>
      </c>
      <c r="AI220" s="8">
        <v>1</v>
      </c>
      <c r="AJ220" s="8"/>
      <c r="AK220" s="8">
        <v>1</v>
      </c>
      <c r="AL220" s="8">
        <v>1</v>
      </c>
      <c r="AM220" s="142" t="s">
        <v>83</v>
      </c>
      <c r="AN220" s="8">
        <v>1</v>
      </c>
      <c r="AO220" s="8">
        <v>1</v>
      </c>
      <c r="AP220" s="8">
        <v>1</v>
      </c>
    </row>
    <row r="221" spans="1:42">
      <c r="A221" s="122"/>
      <c r="B221" s="8" t="str">
        <f>物品!B221</f>
        <v>IF15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附魔</v>
      </c>
      <c r="I221" s="8">
        <f>VLOOKUP(B221,物品!B:CV,99,FALSE)</f>
        <v>0</v>
      </c>
      <c r="J221" s="124" t="str">
        <f t="shared" si="90"/>
        <v>附魔</v>
      </c>
      <c r="K221" s="124">
        <f t="shared" si="91"/>
        <v>0</v>
      </c>
      <c r="L221" s="8"/>
      <c r="M221" s="125">
        <f>VLOOKUP(LEFT(RIGHT(B221,5),4),物品!B:CU,20,FALSE)</f>
        <v>0</v>
      </c>
      <c r="N221" s="142" t="s">
        <v>83</v>
      </c>
      <c r="O221" s="125" t="s">
        <v>90</v>
      </c>
      <c r="P221" s="8">
        <v>0</v>
      </c>
      <c r="Q221" s="8">
        <v>0</v>
      </c>
      <c r="R221" s="142" t="s">
        <v>83</v>
      </c>
      <c r="S221" s="142" t="s">
        <v>83</v>
      </c>
      <c r="T221" s="142" t="s">
        <v>83</v>
      </c>
      <c r="U221" s="142" t="s">
        <v>83</v>
      </c>
      <c r="V221" s="8"/>
      <c r="W221" s="8" t="s">
        <v>87</v>
      </c>
      <c r="X221" s="8">
        <v>0</v>
      </c>
      <c r="Y221" s="142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2" t="s">
        <v>83</v>
      </c>
      <c r="AF221" s="142" t="s">
        <v>83</v>
      </c>
      <c r="AG221" s="142" t="s">
        <v>83</v>
      </c>
      <c r="AH221" s="142" t="s">
        <v>83</v>
      </c>
      <c r="AI221" s="8">
        <v>1</v>
      </c>
      <c r="AJ221" s="8"/>
      <c r="AK221" s="8">
        <v>1</v>
      </c>
      <c r="AL221" s="8">
        <v>1</v>
      </c>
      <c r="AM221" s="142" t="s">
        <v>83</v>
      </c>
      <c r="AN221" s="8">
        <v>1</v>
      </c>
      <c r="AO221" s="8">
        <v>1</v>
      </c>
      <c r="AP221" s="8">
        <v>1</v>
      </c>
    </row>
    <row r="222" spans="1:42">
      <c r="A222" s="122"/>
      <c r="B222" s="8" t="str">
        <f>物品!B222</f>
        <v>IF16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附魔</v>
      </c>
      <c r="I222" s="8">
        <f>VLOOKUP(B222,物品!B:CV,99,FALSE)</f>
        <v>0</v>
      </c>
      <c r="J222" s="124" t="str">
        <f t="shared" si="90"/>
        <v>附魔</v>
      </c>
      <c r="K222" s="124">
        <f t="shared" si="91"/>
        <v>0</v>
      </c>
      <c r="L222" s="8"/>
      <c r="M222" s="125">
        <f>VLOOKUP(LEFT(RIGHT(B222,5),4),物品!B:CU,20,FALSE)</f>
        <v>0</v>
      </c>
      <c r="N222" s="142" t="s">
        <v>83</v>
      </c>
      <c r="O222" s="125" t="s">
        <v>90</v>
      </c>
      <c r="P222" s="8">
        <v>0</v>
      </c>
      <c r="Q222" s="8">
        <v>0</v>
      </c>
      <c r="R222" s="142" t="s">
        <v>83</v>
      </c>
      <c r="S222" s="142" t="s">
        <v>83</v>
      </c>
      <c r="T222" s="142" t="s">
        <v>83</v>
      </c>
      <c r="U222" s="142" t="s">
        <v>83</v>
      </c>
      <c r="V222" s="8"/>
      <c r="W222" s="8" t="s">
        <v>87</v>
      </c>
      <c r="X222" s="8">
        <v>0</v>
      </c>
      <c r="Y222" s="142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42" t="s">
        <v>83</v>
      </c>
      <c r="AF222" s="142" t="s">
        <v>83</v>
      </c>
      <c r="AG222" s="142" t="s">
        <v>83</v>
      </c>
      <c r="AH222" s="142" t="s">
        <v>83</v>
      </c>
      <c r="AI222" s="8">
        <v>1</v>
      </c>
      <c r="AJ222" s="8"/>
      <c r="AK222" s="8">
        <v>1</v>
      </c>
      <c r="AL222" s="8">
        <v>1</v>
      </c>
      <c r="AM222" s="142" t="s">
        <v>83</v>
      </c>
      <c r="AN222" s="8">
        <v>1</v>
      </c>
      <c r="AO222" s="8">
        <v>1</v>
      </c>
      <c r="AP222" s="8">
        <v>1</v>
      </c>
    </row>
    <row r="223" spans="1:42">
      <c r="A223" s="122"/>
      <c r="B223" s="8" t="str">
        <f>物品!B223</f>
        <v>IF17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附魔</v>
      </c>
      <c r="I223" s="8">
        <f>VLOOKUP(B223,物品!B:CV,99,FALSE)</f>
        <v>0</v>
      </c>
      <c r="J223" s="124" t="str">
        <f t="shared" si="90"/>
        <v>附魔</v>
      </c>
      <c r="K223" s="124">
        <f t="shared" si="91"/>
        <v>0</v>
      </c>
      <c r="L223" s="8"/>
      <c r="M223" s="125">
        <f>VLOOKUP(LEFT(RIGHT(B223,5),4),物品!B:CU,20,FALSE)</f>
        <v>0</v>
      </c>
      <c r="N223" s="142" t="s">
        <v>83</v>
      </c>
      <c r="O223" s="125" t="s">
        <v>90</v>
      </c>
      <c r="P223" s="8">
        <v>0</v>
      </c>
      <c r="Q223" s="8">
        <v>0</v>
      </c>
      <c r="R223" s="142" t="s">
        <v>83</v>
      </c>
      <c r="S223" s="142" t="s">
        <v>83</v>
      </c>
      <c r="T223" s="142" t="s">
        <v>83</v>
      </c>
      <c r="U223" s="142" t="s">
        <v>83</v>
      </c>
      <c r="V223" s="8"/>
      <c r="W223" s="8" t="s">
        <v>87</v>
      </c>
      <c r="X223" s="8">
        <v>0</v>
      </c>
      <c r="Y223" s="142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42" t="s">
        <v>83</v>
      </c>
      <c r="AF223" s="142" t="s">
        <v>83</v>
      </c>
      <c r="AG223" s="142" t="s">
        <v>83</v>
      </c>
      <c r="AH223" s="142" t="s">
        <v>83</v>
      </c>
      <c r="AI223" s="8">
        <v>1</v>
      </c>
      <c r="AJ223" s="8"/>
      <c r="AK223" s="8">
        <v>1</v>
      </c>
      <c r="AL223" s="8">
        <v>1</v>
      </c>
      <c r="AM223" s="142" t="s">
        <v>83</v>
      </c>
      <c r="AN223" s="8">
        <v>1</v>
      </c>
      <c r="AO223" s="8">
        <v>1</v>
      </c>
      <c r="AP223" s="8">
        <v>1</v>
      </c>
    </row>
    <row r="224" spans="1:42">
      <c r="A224" s="122"/>
      <c r="B224" s="8" t="str">
        <f>物品!B224</f>
        <v>IF18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附魔</v>
      </c>
      <c r="I224" s="8">
        <f>VLOOKUP(B224,物品!B:CV,99,FALSE)</f>
        <v>0</v>
      </c>
      <c r="J224" s="124" t="str">
        <f t="shared" si="90"/>
        <v>附魔</v>
      </c>
      <c r="K224" s="124">
        <f t="shared" si="91"/>
        <v>0</v>
      </c>
      <c r="L224" s="8"/>
      <c r="M224" s="125">
        <f>VLOOKUP(LEFT(RIGHT(B224,5),4),物品!B:CU,20,FALSE)</f>
        <v>0</v>
      </c>
      <c r="N224" s="142" t="s">
        <v>83</v>
      </c>
      <c r="O224" s="125" t="s">
        <v>90</v>
      </c>
      <c r="P224" s="8">
        <v>0</v>
      </c>
      <c r="Q224" s="8">
        <v>0</v>
      </c>
      <c r="R224" s="142" t="s">
        <v>83</v>
      </c>
      <c r="S224" s="142" t="s">
        <v>83</v>
      </c>
      <c r="T224" s="142" t="s">
        <v>83</v>
      </c>
      <c r="U224" s="142" t="s">
        <v>83</v>
      </c>
      <c r="V224" s="8"/>
      <c r="W224" s="8" t="s">
        <v>87</v>
      </c>
      <c r="X224" s="8">
        <v>0</v>
      </c>
      <c r="Y224" s="142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42" t="s">
        <v>83</v>
      </c>
      <c r="AF224" s="142" t="s">
        <v>83</v>
      </c>
      <c r="AG224" s="142" t="s">
        <v>83</v>
      </c>
      <c r="AH224" s="142" t="s">
        <v>83</v>
      </c>
      <c r="AI224" s="8">
        <v>1</v>
      </c>
      <c r="AJ224" s="8"/>
      <c r="AK224" s="8">
        <v>1</v>
      </c>
      <c r="AL224" s="8">
        <v>1</v>
      </c>
      <c r="AM224" s="142" t="s">
        <v>83</v>
      </c>
      <c r="AN224" s="8">
        <v>1</v>
      </c>
      <c r="AO224" s="8">
        <v>1</v>
      </c>
      <c r="AP224" s="8">
        <v>1</v>
      </c>
    </row>
    <row r="225" spans="1:42">
      <c r="A225" s="122"/>
      <c r="B225" s="8" t="str">
        <f>物品!B225</f>
        <v>IF19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附魔</v>
      </c>
      <c r="I225" s="8">
        <f>VLOOKUP(B225,物品!B:CV,99,FALSE)</f>
        <v>0</v>
      </c>
      <c r="J225" s="124" t="str">
        <f t="shared" si="90"/>
        <v>附魔</v>
      </c>
      <c r="K225" s="124">
        <f t="shared" si="91"/>
        <v>0</v>
      </c>
      <c r="L225" s="8"/>
      <c r="M225" s="125">
        <f>VLOOKUP(LEFT(RIGHT(B225,5),4),物品!B:CU,20,FALSE)</f>
        <v>0</v>
      </c>
      <c r="N225" s="142" t="s">
        <v>83</v>
      </c>
      <c r="O225" s="125" t="s">
        <v>90</v>
      </c>
      <c r="P225" s="8">
        <v>0</v>
      </c>
      <c r="Q225" s="8">
        <v>0</v>
      </c>
      <c r="R225" s="142" t="s">
        <v>83</v>
      </c>
      <c r="S225" s="142" t="s">
        <v>83</v>
      </c>
      <c r="T225" s="142" t="s">
        <v>83</v>
      </c>
      <c r="U225" s="142" t="s">
        <v>83</v>
      </c>
      <c r="V225" s="8"/>
      <c r="W225" s="8" t="s">
        <v>87</v>
      </c>
      <c r="X225" s="8">
        <v>0</v>
      </c>
      <c r="Y225" s="142" t="s">
        <v>83</v>
      </c>
      <c r="Z225" s="8">
        <v>0</v>
      </c>
      <c r="AA225" s="8">
        <v>0</v>
      </c>
      <c r="AB225" s="8">
        <v>0</v>
      </c>
      <c r="AC225" s="8">
        <v>1</v>
      </c>
      <c r="AD225" s="8">
        <v>1</v>
      </c>
      <c r="AE225" s="142" t="s">
        <v>83</v>
      </c>
      <c r="AF225" s="142" t="s">
        <v>83</v>
      </c>
      <c r="AG225" s="142" t="s">
        <v>83</v>
      </c>
      <c r="AH225" s="142" t="s">
        <v>83</v>
      </c>
      <c r="AI225" s="8">
        <v>1</v>
      </c>
      <c r="AJ225" s="8"/>
      <c r="AK225" s="8">
        <v>1</v>
      </c>
      <c r="AL225" s="8">
        <v>1</v>
      </c>
      <c r="AM225" s="142" t="s">
        <v>83</v>
      </c>
      <c r="AN225" s="8">
        <v>1</v>
      </c>
      <c r="AO225" s="8">
        <v>1</v>
      </c>
      <c r="AP225" s="8">
        <v>1</v>
      </c>
    </row>
    <row r="226" spans="1:42">
      <c r="A226" s="122"/>
      <c r="B226" s="8" t="str">
        <f>物品!B226</f>
        <v>IF20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附魔</v>
      </c>
      <c r="I226" s="8">
        <f>VLOOKUP(B226,物品!B:CV,99,FALSE)</f>
        <v>0</v>
      </c>
      <c r="J226" s="124" t="str">
        <f t="shared" si="90"/>
        <v>附魔</v>
      </c>
      <c r="K226" s="124">
        <f t="shared" si="91"/>
        <v>0</v>
      </c>
      <c r="L226" s="8"/>
      <c r="M226" s="125">
        <f>VLOOKUP(LEFT(RIGHT(B226,5),4),物品!B:CU,20,FALSE)</f>
        <v>0</v>
      </c>
      <c r="N226" s="142" t="s">
        <v>83</v>
      </c>
      <c r="O226" s="125" t="s">
        <v>90</v>
      </c>
      <c r="P226" s="8">
        <v>0</v>
      </c>
      <c r="Q226" s="8">
        <v>0</v>
      </c>
      <c r="R226" s="142" t="s">
        <v>83</v>
      </c>
      <c r="S226" s="142" t="s">
        <v>83</v>
      </c>
      <c r="T226" s="142" t="s">
        <v>83</v>
      </c>
      <c r="U226" s="142" t="s">
        <v>83</v>
      </c>
      <c r="V226" s="8"/>
      <c r="W226" s="8" t="s">
        <v>87</v>
      </c>
      <c r="X226" s="8">
        <v>0</v>
      </c>
      <c r="Y226" s="142" t="s">
        <v>83</v>
      </c>
      <c r="Z226" s="8">
        <v>0</v>
      </c>
      <c r="AA226" s="8">
        <v>0</v>
      </c>
      <c r="AB226" s="8">
        <v>0</v>
      </c>
      <c r="AC226" s="8">
        <v>1</v>
      </c>
      <c r="AD226" s="8">
        <v>1</v>
      </c>
      <c r="AE226" s="142" t="s">
        <v>83</v>
      </c>
      <c r="AF226" s="142" t="s">
        <v>83</v>
      </c>
      <c r="AG226" s="142" t="s">
        <v>83</v>
      </c>
      <c r="AH226" s="142" t="s">
        <v>83</v>
      </c>
      <c r="AI226" s="8">
        <v>1</v>
      </c>
      <c r="AJ226" s="8"/>
      <c r="AK226" s="8">
        <v>1</v>
      </c>
      <c r="AL226" s="8">
        <v>1</v>
      </c>
      <c r="AM226" s="142" t="s">
        <v>83</v>
      </c>
      <c r="AN226" s="8">
        <v>1</v>
      </c>
      <c r="AO226" s="8">
        <v>1</v>
      </c>
      <c r="AP226" s="8">
        <v>1</v>
      </c>
    </row>
    <row r="227" spans="1:42">
      <c r="A227" s="122"/>
      <c r="B227" s="8" t="str">
        <f>物品!B227</f>
        <v>IF21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附魔</v>
      </c>
      <c r="I227" s="8">
        <f>VLOOKUP(B227,物品!B:CV,99,FALSE)</f>
        <v>0</v>
      </c>
      <c r="J227" s="124" t="str">
        <f t="shared" si="90"/>
        <v>附魔</v>
      </c>
      <c r="K227" s="124">
        <f t="shared" si="91"/>
        <v>0</v>
      </c>
      <c r="L227" s="8"/>
      <c r="M227" s="125">
        <f>VLOOKUP(LEFT(RIGHT(B227,5),4),物品!B:CU,20,FALSE)</f>
        <v>0</v>
      </c>
      <c r="N227" s="142" t="s">
        <v>83</v>
      </c>
      <c r="O227" s="125" t="s">
        <v>90</v>
      </c>
      <c r="P227" s="8">
        <v>0</v>
      </c>
      <c r="Q227" s="8">
        <v>0</v>
      </c>
      <c r="R227" s="142" t="s">
        <v>83</v>
      </c>
      <c r="S227" s="142" t="s">
        <v>83</v>
      </c>
      <c r="T227" s="142" t="s">
        <v>83</v>
      </c>
      <c r="U227" s="142" t="s">
        <v>83</v>
      </c>
      <c r="V227" s="8"/>
      <c r="W227" s="8" t="s">
        <v>87</v>
      </c>
      <c r="X227" s="8">
        <v>0</v>
      </c>
      <c r="Y227" s="142" t="s">
        <v>83</v>
      </c>
      <c r="Z227" s="8">
        <v>0</v>
      </c>
      <c r="AA227" s="8">
        <v>0</v>
      </c>
      <c r="AB227" s="8">
        <v>0</v>
      </c>
      <c r="AC227" s="8">
        <v>1</v>
      </c>
      <c r="AD227" s="8">
        <v>1</v>
      </c>
      <c r="AE227" s="142" t="s">
        <v>83</v>
      </c>
      <c r="AF227" s="142" t="s">
        <v>83</v>
      </c>
      <c r="AG227" s="142" t="s">
        <v>83</v>
      </c>
      <c r="AH227" s="142" t="s">
        <v>83</v>
      </c>
      <c r="AI227" s="8">
        <v>1</v>
      </c>
      <c r="AJ227" s="8"/>
      <c r="AK227" s="8">
        <v>1</v>
      </c>
      <c r="AL227" s="8">
        <v>1</v>
      </c>
      <c r="AM227" s="142" t="s">
        <v>83</v>
      </c>
      <c r="AN227" s="8">
        <v>1</v>
      </c>
      <c r="AO227" s="8">
        <v>1</v>
      </c>
      <c r="AP227" s="8">
        <v>1</v>
      </c>
    </row>
    <row r="228" spans="1:42">
      <c r="A228" s="122"/>
      <c r="B228" s="8" t="str">
        <f>物品!B228</f>
        <v>IF22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附魔</v>
      </c>
      <c r="I228" s="8">
        <f>VLOOKUP(B228,物品!B:CV,99,FALSE)</f>
        <v>0</v>
      </c>
      <c r="J228" s="124" t="str">
        <f t="shared" si="90"/>
        <v>附魔</v>
      </c>
      <c r="K228" s="124">
        <f t="shared" si="91"/>
        <v>0</v>
      </c>
      <c r="L228" s="8"/>
      <c r="M228" s="125">
        <f>VLOOKUP(LEFT(RIGHT(B228,5),4),物品!B:CU,20,FALSE)</f>
        <v>0</v>
      </c>
      <c r="N228" s="142" t="s">
        <v>83</v>
      </c>
      <c r="O228" s="125" t="s">
        <v>90</v>
      </c>
      <c r="P228" s="8">
        <v>0</v>
      </c>
      <c r="Q228" s="8">
        <v>0</v>
      </c>
      <c r="R228" s="142" t="s">
        <v>83</v>
      </c>
      <c r="S228" s="142" t="s">
        <v>83</v>
      </c>
      <c r="T228" s="142" t="s">
        <v>83</v>
      </c>
      <c r="U228" s="142" t="s">
        <v>83</v>
      </c>
      <c r="V228" s="8"/>
      <c r="W228" s="8" t="s">
        <v>87</v>
      </c>
      <c r="X228" s="8">
        <v>0</v>
      </c>
      <c r="Y228" s="142" t="s">
        <v>83</v>
      </c>
      <c r="Z228" s="8">
        <v>0</v>
      </c>
      <c r="AA228" s="8">
        <v>0</v>
      </c>
      <c r="AB228" s="8">
        <v>0</v>
      </c>
      <c r="AC228" s="8">
        <v>1</v>
      </c>
      <c r="AD228" s="8">
        <v>1</v>
      </c>
      <c r="AE228" s="142" t="s">
        <v>83</v>
      </c>
      <c r="AF228" s="142" t="s">
        <v>83</v>
      </c>
      <c r="AG228" s="142" t="s">
        <v>83</v>
      </c>
      <c r="AH228" s="142" t="s">
        <v>83</v>
      </c>
      <c r="AI228" s="8">
        <v>1</v>
      </c>
      <c r="AJ228" s="8"/>
      <c r="AK228" s="8">
        <v>1</v>
      </c>
      <c r="AL228" s="8">
        <v>1</v>
      </c>
      <c r="AM228" s="142" t="s">
        <v>83</v>
      </c>
      <c r="AN228" s="8">
        <v>1</v>
      </c>
      <c r="AO228" s="8">
        <v>1</v>
      </c>
      <c r="AP228" s="8">
        <v>1</v>
      </c>
    </row>
    <row r="229" spans="1:42">
      <c r="A229" s="122"/>
      <c r="B229" s="8" t="str">
        <f>物品!B229</f>
        <v>IF23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附魔</v>
      </c>
      <c r="I229" s="8">
        <f>VLOOKUP(B229,物品!B:CV,99,FALSE)</f>
        <v>0</v>
      </c>
      <c r="J229" s="124" t="str">
        <f t="shared" si="90"/>
        <v>附魔</v>
      </c>
      <c r="K229" s="124">
        <f t="shared" si="91"/>
        <v>0</v>
      </c>
      <c r="L229" s="8"/>
      <c r="M229" s="125">
        <f>VLOOKUP(LEFT(RIGHT(B229,5),4),物品!B:CU,20,FALSE)</f>
        <v>0</v>
      </c>
      <c r="N229" s="142" t="s">
        <v>83</v>
      </c>
      <c r="O229" s="125" t="s">
        <v>90</v>
      </c>
      <c r="P229" s="8">
        <v>0</v>
      </c>
      <c r="Q229" s="8">
        <v>0</v>
      </c>
      <c r="R229" s="142" t="s">
        <v>83</v>
      </c>
      <c r="S229" s="142" t="s">
        <v>83</v>
      </c>
      <c r="T229" s="142" t="s">
        <v>83</v>
      </c>
      <c r="U229" s="142" t="s">
        <v>83</v>
      </c>
      <c r="V229" s="8"/>
      <c r="W229" s="8" t="s">
        <v>87</v>
      </c>
      <c r="X229" s="8">
        <v>0</v>
      </c>
      <c r="Y229" s="142" t="s">
        <v>83</v>
      </c>
      <c r="Z229" s="8">
        <v>0</v>
      </c>
      <c r="AA229" s="8">
        <v>0</v>
      </c>
      <c r="AB229" s="8">
        <v>0</v>
      </c>
      <c r="AC229" s="8">
        <v>1</v>
      </c>
      <c r="AD229" s="8">
        <v>1</v>
      </c>
      <c r="AE229" s="142" t="s">
        <v>83</v>
      </c>
      <c r="AF229" s="142" t="s">
        <v>83</v>
      </c>
      <c r="AG229" s="142" t="s">
        <v>83</v>
      </c>
      <c r="AH229" s="142" t="s">
        <v>83</v>
      </c>
      <c r="AI229" s="8">
        <v>1</v>
      </c>
      <c r="AJ229" s="8"/>
      <c r="AK229" s="8">
        <v>1</v>
      </c>
      <c r="AL229" s="8">
        <v>1</v>
      </c>
      <c r="AM229" s="142" t="s">
        <v>83</v>
      </c>
      <c r="AN229" s="8">
        <v>1</v>
      </c>
      <c r="AO229" s="8">
        <v>1</v>
      </c>
      <c r="AP229" s="8">
        <v>1</v>
      </c>
    </row>
    <row r="230" spans="1:42">
      <c r="A230" s="122"/>
      <c r="B230" s="8" t="str">
        <f>物品!B230</f>
        <v>IF24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附魔</v>
      </c>
      <c r="I230" s="8">
        <f>VLOOKUP(B230,物品!B:CV,99,FALSE)</f>
        <v>0</v>
      </c>
      <c r="J230" s="124" t="str">
        <f t="shared" si="90"/>
        <v>附魔</v>
      </c>
      <c r="K230" s="124">
        <f t="shared" si="91"/>
        <v>0</v>
      </c>
      <c r="L230" s="8"/>
      <c r="M230" s="125">
        <f>VLOOKUP(LEFT(RIGHT(B230,5),4),物品!B:CU,20,FALSE)</f>
        <v>0</v>
      </c>
      <c r="N230" s="142" t="s">
        <v>83</v>
      </c>
      <c r="O230" s="125" t="s">
        <v>90</v>
      </c>
      <c r="P230" s="8">
        <v>0</v>
      </c>
      <c r="Q230" s="8">
        <v>0</v>
      </c>
      <c r="R230" s="142" t="s">
        <v>83</v>
      </c>
      <c r="S230" s="142" t="s">
        <v>83</v>
      </c>
      <c r="T230" s="142" t="s">
        <v>83</v>
      </c>
      <c r="U230" s="142" t="s">
        <v>83</v>
      </c>
      <c r="V230" s="8"/>
      <c r="W230" s="8" t="s">
        <v>87</v>
      </c>
      <c r="X230" s="8">
        <v>0</v>
      </c>
      <c r="Y230" s="142" t="s">
        <v>83</v>
      </c>
      <c r="Z230" s="8">
        <v>0</v>
      </c>
      <c r="AA230" s="8">
        <v>0</v>
      </c>
      <c r="AB230" s="8">
        <v>0</v>
      </c>
      <c r="AC230" s="8">
        <v>1</v>
      </c>
      <c r="AD230" s="8">
        <v>1</v>
      </c>
      <c r="AE230" s="142" t="s">
        <v>83</v>
      </c>
      <c r="AF230" s="142" t="s">
        <v>83</v>
      </c>
      <c r="AG230" s="142" t="s">
        <v>83</v>
      </c>
      <c r="AH230" s="142" t="s">
        <v>83</v>
      </c>
      <c r="AI230" s="8">
        <v>1</v>
      </c>
      <c r="AJ230" s="8"/>
      <c r="AK230" s="8">
        <v>1</v>
      </c>
      <c r="AL230" s="8">
        <v>1</v>
      </c>
      <c r="AM230" s="142" t="s">
        <v>83</v>
      </c>
      <c r="AN230" s="8">
        <v>1</v>
      </c>
      <c r="AO230" s="8">
        <v>1</v>
      </c>
      <c r="AP230" s="8">
        <v>1</v>
      </c>
    </row>
    <row r="231" spans="1:42">
      <c r="A231" s="122"/>
      <c r="B231" s="8" t="str">
        <f>物品!B231</f>
        <v>IF25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附魔</v>
      </c>
      <c r="I231" s="8">
        <f>VLOOKUP(B231,物品!B:CV,99,FALSE)</f>
        <v>0</v>
      </c>
      <c r="J231" s="124" t="str">
        <f t="shared" si="90"/>
        <v>附魔</v>
      </c>
      <c r="K231" s="124">
        <f t="shared" si="91"/>
        <v>0</v>
      </c>
      <c r="L231" s="8"/>
      <c r="M231" s="125">
        <f>VLOOKUP(LEFT(RIGHT(B231,5),4),物品!B:CU,20,FALSE)</f>
        <v>0</v>
      </c>
      <c r="N231" s="142" t="s">
        <v>83</v>
      </c>
      <c r="O231" s="125" t="s">
        <v>90</v>
      </c>
      <c r="P231" s="8">
        <v>0</v>
      </c>
      <c r="Q231" s="8">
        <v>0</v>
      </c>
      <c r="R231" s="142" t="s">
        <v>83</v>
      </c>
      <c r="S231" s="142" t="s">
        <v>83</v>
      </c>
      <c r="T231" s="142" t="s">
        <v>83</v>
      </c>
      <c r="U231" s="142" t="s">
        <v>83</v>
      </c>
      <c r="V231" s="8"/>
      <c r="W231" s="8" t="s">
        <v>87</v>
      </c>
      <c r="X231" s="8">
        <v>0</v>
      </c>
      <c r="Y231" s="142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42" t="s">
        <v>83</v>
      </c>
      <c r="AF231" s="142" t="s">
        <v>83</v>
      </c>
      <c r="AG231" s="142" t="s">
        <v>83</v>
      </c>
      <c r="AH231" s="142" t="s">
        <v>83</v>
      </c>
      <c r="AI231" s="8">
        <v>1</v>
      </c>
      <c r="AJ231" s="8"/>
      <c r="AK231" s="8">
        <v>1</v>
      </c>
      <c r="AL231" s="8">
        <v>1</v>
      </c>
      <c r="AM231" s="142" t="s">
        <v>83</v>
      </c>
      <c r="AN231" s="8">
        <v>1</v>
      </c>
      <c r="AO231" s="8">
        <v>1</v>
      </c>
      <c r="AP231" s="8">
        <v>1</v>
      </c>
    </row>
    <row r="232" spans="1:42">
      <c r="A232" s="122"/>
      <c r="B232" s="8" t="str">
        <f>物品!B232</f>
        <v>IF26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附魔</v>
      </c>
      <c r="I232" s="8">
        <f>VLOOKUP(B232,物品!B:CV,99,FALSE)</f>
        <v>0</v>
      </c>
      <c r="J232" s="124" t="str">
        <f t="shared" si="90"/>
        <v>附魔</v>
      </c>
      <c r="K232" s="124">
        <f t="shared" si="91"/>
        <v>0</v>
      </c>
      <c r="L232" s="8"/>
      <c r="M232" s="125">
        <f>VLOOKUP(LEFT(RIGHT(B232,5),4),物品!B:CU,20,FALSE)</f>
        <v>0</v>
      </c>
      <c r="N232" s="142" t="s">
        <v>83</v>
      </c>
      <c r="O232" s="125" t="s">
        <v>90</v>
      </c>
      <c r="P232" s="8">
        <v>0</v>
      </c>
      <c r="Q232" s="8">
        <v>0</v>
      </c>
      <c r="R232" s="142" t="s">
        <v>83</v>
      </c>
      <c r="S232" s="142" t="s">
        <v>83</v>
      </c>
      <c r="T232" s="142" t="s">
        <v>83</v>
      </c>
      <c r="U232" s="142" t="s">
        <v>83</v>
      </c>
      <c r="V232" s="8"/>
      <c r="W232" s="8" t="s">
        <v>87</v>
      </c>
      <c r="X232" s="8">
        <v>0</v>
      </c>
      <c r="Y232" s="142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42" t="s">
        <v>83</v>
      </c>
      <c r="AF232" s="142" t="s">
        <v>83</v>
      </c>
      <c r="AG232" s="142" t="s">
        <v>83</v>
      </c>
      <c r="AH232" s="142" t="s">
        <v>83</v>
      </c>
      <c r="AI232" s="8">
        <v>1</v>
      </c>
      <c r="AJ232" s="8"/>
      <c r="AK232" s="8">
        <v>1</v>
      </c>
      <c r="AL232" s="8">
        <v>1</v>
      </c>
      <c r="AM232" s="142" t="s">
        <v>83</v>
      </c>
      <c r="AN232" s="8">
        <v>1</v>
      </c>
      <c r="AO232" s="8">
        <v>1</v>
      </c>
      <c r="AP232" s="8">
        <v>1</v>
      </c>
    </row>
    <row r="233" spans="1:42">
      <c r="A233" s="122"/>
      <c r="B233" s="8" t="str">
        <f>物品!B233</f>
        <v>IF27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附魔</v>
      </c>
      <c r="I233" s="8">
        <f>VLOOKUP(B233,物品!B:CV,99,FALSE)</f>
        <v>0</v>
      </c>
      <c r="J233" s="124" t="str">
        <f t="shared" si="90"/>
        <v>附魔</v>
      </c>
      <c r="K233" s="124">
        <f t="shared" si="91"/>
        <v>0</v>
      </c>
      <c r="L233" s="8"/>
      <c r="M233" s="125">
        <f>VLOOKUP(LEFT(RIGHT(B233,5),4),物品!B:CU,20,FALSE)</f>
        <v>0</v>
      </c>
      <c r="N233" s="142" t="s">
        <v>83</v>
      </c>
      <c r="O233" s="125" t="s">
        <v>90</v>
      </c>
      <c r="P233" s="8">
        <v>0</v>
      </c>
      <c r="Q233" s="8">
        <v>0</v>
      </c>
      <c r="R233" s="142" t="s">
        <v>83</v>
      </c>
      <c r="S233" s="142" t="s">
        <v>83</v>
      </c>
      <c r="T233" s="142" t="s">
        <v>83</v>
      </c>
      <c r="U233" s="142" t="s">
        <v>83</v>
      </c>
      <c r="V233" s="8"/>
      <c r="W233" s="8" t="s">
        <v>87</v>
      </c>
      <c r="X233" s="8">
        <v>0</v>
      </c>
      <c r="Y233" s="142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42" t="s">
        <v>83</v>
      </c>
      <c r="AF233" s="142" t="s">
        <v>83</v>
      </c>
      <c r="AG233" s="142" t="s">
        <v>83</v>
      </c>
      <c r="AH233" s="142" t="s">
        <v>83</v>
      </c>
      <c r="AI233" s="8">
        <v>1</v>
      </c>
      <c r="AJ233" s="8"/>
      <c r="AK233" s="8">
        <v>1</v>
      </c>
      <c r="AL233" s="8">
        <v>1</v>
      </c>
      <c r="AM233" s="142" t="s">
        <v>83</v>
      </c>
      <c r="AN233" s="8">
        <v>1</v>
      </c>
      <c r="AO233" s="8">
        <v>1</v>
      </c>
      <c r="AP233" s="8">
        <v>1</v>
      </c>
    </row>
    <row r="234" spans="1:42">
      <c r="A234" s="122"/>
      <c r="B234" s="8" t="str">
        <f>物品!B234</f>
        <v>IF28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附魔</v>
      </c>
      <c r="I234" s="8">
        <f>VLOOKUP(B234,物品!B:CV,99,FALSE)</f>
        <v>0</v>
      </c>
      <c r="J234" s="124" t="str">
        <f t="shared" ref="J234:J236" si="92">H234</f>
        <v>附魔</v>
      </c>
      <c r="K234" s="124">
        <f t="shared" ref="K234:K236" si="93">I234</f>
        <v>0</v>
      </c>
      <c r="L234" s="8"/>
      <c r="M234" s="125">
        <f>VLOOKUP(LEFT(RIGHT(B234,5),4),物品!B:CU,20,FALSE)</f>
        <v>0</v>
      </c>
      <c r="N234" s="142" t="s">
        <v>83</v>
      </c>
      <c r="O234" s="125" t="s">
        <v>90</v>
      </c>
      <c r="P234" s="8">
        <v>0</v>
      </c>
      <c r="Q234" s="8">
        <v>0</v>
      </c>
      <c r="R234" s="142" t="s">
        <v>83</v>
      </c>
      <c r="S234" s="142" t="s">
        <v>83</v>
      </c>
      <c r="T234" s="142" t="s">
        <v>83</v>
      </c>
      <c r="U234" s="142" t="s">
        <v>83</v>
      </c>
      <c r="V234" s="8"/>
      <c r="W234" s="8" t="s">
        <v>87</v>
      </c>
      <c r="X234" s="8">
        <v>0</v>
      </c>
      <c r="Y234" s="142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2" t="s">
        <v>83</v>
      </c>
      <c r="AF234" s="142" t="s">
        <v>83</v>
      </c>
      <c r="AG234" s="142" t="s">
        <v>83</v>
      </c>
      <c r="AH234" s="142" t="s">
        <v>83</v>
      </c>
      <c r="AI234" s="8">
        <v>1</v>
      </c>
      <c r="AJ234" s="8"/>
      <c r="AK234" s="8">
        <v>1</v>
      </c>
      <c r="AL234" s="8">
        <v>1</v>
      </c>
      <c r="AM234" s="142" t="s">
        <v>83</v>
      </c>
      <c r="AN234" s="8">
        <v>1</v>
      </c>
      <c r="AO234" s="8">
        <v>1</v>
      </c>
      <c r="AP234" s="8">
        <v>1</v>
      </c>
    </row>
    <row r="235" spans="1:42">
      <c r="A235" s="122"/>
      <c r="B235" s="8" t="str">
        <f>物品!B235</f>
        <v>IF29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附魔</v>
      </c>
      <c r="I235" s="8">
        <f>VLOOKUP(B235,物品!B:CV,99,FALSE)</f>
        <v>0</v>
      </c>
      <c r="J235" s="124" t="str">
        <f t="shared" si="92"/>
        <v>附魔</v>
      </c>
      <c r="K235" s="124">
        <f t="shared" si="93"/>
        <v>0</v>
      </c>
      <c r="L235" s="8"/>
      <c r="M235" s="125">
        <f>VLOOKUP(LEFT(RIGHT(B235,5),4),物品!B:CU,20,FALSE)</f>
        <v>0</v>
      </c>
      <c r="N235" s="142" t="s">
        <v>83</v>
      </c>
      <c r="O235" s="125" t="s">
        <v>90</v>
      </c>
      <c r="P235" s="8">
        <v>0</v>
      </c>
      <c r="Q235" s="8">
        <v>0</v>
      </c>
      <c r="R235" s="142" t="s">
        <v>83</v>
      </c>
      <c r="S235" s="142" t="s">
        <v>83</v>
      </c>
      <c r="T235" s="142" t="s">
        <v>83</v>
      </c>
      <c r="U235" s="142" t="s">
        <v>83</v>
      </c>
      <c r="V235" s="8"/>
      <c r="W235" s="8" t="s">
        <v>87</v>
      </c>
      <c r="X235" s="8">
        <v>0</v>
      </c>
      <c r="Y235" s="142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2" t="s">
        <v>83</v>
      </c>
      <c r="AF235" s="142" t="s">
        <v>83</v>
      </c>
      <c r="AG235" s="142" t="s">
        <v>83</v>
      </c>
      <c r="AH235" s="142" t="s">
        <v>83</v>
      </c>
      <c r="AI235" s="8">
        <v>1</v>
      </c>
      <c r="AJ235" s="8"/>
      <c r="AK235" s="8">
        <v>1</v>
      </c>
      <c r="AL235" s="8">
        <v>1</v>
      </c>
      <c r="AM235" s="142" t="s">
        <v>83</v>
      </c>
      <c r="AN235" s="8">
        <v>1</v>
      </c>
      <c r="AO235" s="8">
        <v>1</v>
      </c>
      <c r="AP235" s="8">
        <v>1</v>
      </c>
    </row>
    <row r="236" spans="1:42">
      <c r="A236" s="122"/>
      <c r="B236" s="8" t="str">
        <f>物品!B236</f>
        <v>IF30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附魔</v>
      </c>
      <c r="I236" s="8">
        <f>VLOOKUP(B236,物品!B:CV,99,FALSE)</f>
        <v>0</v>
      </c>
      <c r="J236" s="124" t="str">
        <f t="shared" si="92"/>
        <v>附魔</v>
      </c>
      <c r="K236" s="124">
        <f t="shared" si="93"/>
        <v>0</v>
      </c>
      <c r="L236" s="8"/>
      <c r="M236" s="125">
        <f>VLOOKUP(LEFT(RIGHT(B236,5),4),物品!B:CU,20,FALSE)</f>
        <v>0</v>
      </c>
      <c r="N236" s="142" t="s">
        <v>83</v>
      </c>
      <c r="O236" s="125" t="s">
        <v>90</v>
      </c>
      <c r="P236" s="8">
        <v>0</v>
      </c>
      <c r="Q236" s="8">
        <v>0</v>
      </c>
      <c r="R236" s="142" t="s">
        <v>83</v>
      </c>
      <c r="S236" s="142" t="s">
        <v>83</v>
      </c>
      <c r="T236" s="142" t="s">
        <v>83</v>
      </c>
      <c r="U236" s="142" t="s">
        <v>83</v>
      </c>
      <c r="V236" s="8"/>
      <c r="W236" s="8" t="s">
        <v>87</v>
      </c>
      <c r="X236" s="8">
        <v>0</v>
      </c>
      <c r="Y236" s="142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2" t="s">
        <v>83</v>
      </c>
      <c r="AF236" s="142" t="s">
        <v>83</v>
      </c>
      <c r="AG236" s="142" t="s">
        <v>83</v>
      </c>
      <c r="AH236" s="142" t="s">
        <v>83</v>
      </c>
      <c r="AI236" s="8">
        <v>1</v>
      </c>
      <c r="AJ236" s="8"/>
      <c r="AK236" s="8">
        <v>1</v>
      </c>
      <c r="AL236" s="8">
        <v>1</v>
      </c>
      <c r="AM236" s="142" t="s">
        <v>83</v>
      </c>
      <c r="AN236" s="8">
        <v>1</v>
      </c>
      <c r="AO236" s="8">
        <v>1</v>
      </c>
      <c r="AP236" s="8">
        <v>1</v>
      </c>
    </row>
    <row r="237" spans="1:42">
      <c r="A237" s="122"/>
      <c r="B237" s="8" t="str">
        <f>物品!B237</f>
        <v>IF31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附魔</v>
      </c>
      <c r="I237" s="8">
        <f>VLOOKUP(B237,物品!B:CV,99,FALSE)</f>
        <v>0</v>
      </c>
      <c r="J237" s="124" t="str">
        <f t="shared" ref="J237:J249" si="94">H237</f>
        <v>附魔</v>
      </c>
      <c r="K237" s="124">
        <f t="shared" ref="K237:K249" si="95">I237</f>
        <v>0</v>
      </c>
      <c r="L237" s="8"/>
      <c r="M237" s="125">
        <f>VLOOKUP(LEFT(RIGHT(B237,5),4),物品!B:CU,20,FALSE)</f>
        <v>0</v>
      </c>
      <c r="N237" s="142" t="s">
        <v>83</v>
      </c>
      <c r="O237" s="125" t="s">
        <v>90</v>
      </c>
      <c r="P237" s="8">
        <v>0</v>
      </c>
      <c r="Q237" s="8">
        <v>0</v>
      </c>
      <c r="R237" s="142" t="s">
        <v>83</v>
      </c>
      <c r="S237" s="142" t="s">
        <v>83</v>
      </c>
      <c r="T237" s="142" t="s">
        <v>83</v>
      </c>
      <c r="U237" s="142" t="s">
        <v>83</v>
      </c>
      <c r="V237" s="8"/>
      <c r="W237" s="8" t="s">
        <v>87</v>
      </c>
      <c r="X237" s="8">
        <v>0</v>
      </c>
      <c r="Y237" s="142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2" t="s">
        <v>83</v>
      </c>
      <c r="AF237" s="142" t="s">
        <v>83</v>
      </c>
      <c r="AG237" s="142" t="s">
        <v>83</v>
      </c>
      <c r="AH237" s="142" t="s">
        <v>83</v>
      </c>
      <c r="AI237" s="8">
        <v>1</v>
      </c>
      <c r="AJ237" s="8"/>
      <c r="AK237" s="8">
        <v>1</v>
      </c>
      <c r="AL237" s="8">
        <v>1</v>
      </c>
      <c r="AM237" s="142" t="s">
        <v>83</v>
      </c>
      <c r="AN237" s="8">
        <v>1</v>
      </c>
      <c r="AO237" s="8">
        <v>1</v>
      </c>
      <c r="AP237" s="8">
        <v>1</v>
      </c>
    </row>
    <row r="238" spans="1:42">
      <c r="A238" s="122"/>
      <c r="B238" s="8" t="str">
        <f>物品!B238</f>
        <v>IC00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没抽到任何东西</v>
      </c>
      <c r="I238" s="8">
        <f>VLOOKUP(B238,物品!B:CV,99,FALSE)</f>
        <v>0</v>
      </c>
      <c r="J238" s="124" t="str">
        <f t="shared" ref="J238" si="96">H238</f>
        <v>没抽到任何东西</v>
      </c>
      <c r="K238" s="124">
        <f t="shared" ref="K238" si="97">I238</f>
        <v>0</v>
      </c>
      <c r="L238" s="8"/>
      <c r="M238" s="125">
        <f>VLOOKUP(LEFT(RIGHT(B238,5),4),物品!B:CU,20,FALSE)</f>
        <v>0</v>
      </c>
      <c r="N238" s="142" t="s">
        <v>83</v>
      </c>
      <c r="O238" s="125" t="s">
        <v>90</v>
      </c>
      <c r="P238" s="8">
        <v>0</v>
      </c>
      <c r="Q238" s="8">
        <v>0</v>
      </c>
      <c r="R238" s="142" t="s">
        <v>83</v>
      </c>
      <c r="S238" s="142" t="s">
        <v>83</v>
      </c>
      <c r="T238" s="142" t="s">
        <v>83</v>
      </c>
      <c r="U238" s="142" t="s">
        <v>83</v>
      </c>
      <c r="V238" s="8"/>
      <c r="W238" s="8" t="s">
        <v>87</v>
      </c>
      <c r="X238" s="8">
        <v>0</v>
      </c>
      <c r="Y238" s="142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2" t="s">
        <v>83</v>
      </c>
      <c r="AF238" s="142" t="s">
        <v>83</v>
      </c>
      <c r="AG238" s="142" t="s">
        <v>83</v>
      </c>
      <c r="AH238" s="142" t="s">
        <v>83</v>
      </c>
      <c r="AI238" s="8">
        <v>1</v>
      </c>
      <c r="AJ238" s="8"/>
      <c r="AK238" s="8">
        <v>1</v>
      </c>
      <c r="AL238" s="8">
        <v>1</v>
      </c>
      <c r="AM238" s="142" t="s">
        <v>83</v>
      </c>
      <c r="AN238" s="8">
        <v>1</v>
      </c>
      <c r="AO238" s="8">
        <v>1</v>
      </c>
      <c r="AP238" s="8">
        <v>1</v>
      </c>
    </row>
    <row r="239" spans="1:42">
      <c r="A239" s="122"/>
      <c r="B239" s="8" t="str">
        <f>物品!B239</f>
        <v>IC01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玄铁</v>
      </c>
      <c r="I239" s="8">
        <f>VLOOKUP(B239,物品!B:CV,99,FALSE)</f>
        <v>0</v>
      </c>
      <c r="J239" s="124" t="str">
        <f t="shared" si="94"/>
        <v>玄铁</v>
      </c>
      <c r="K239" s="124">
        <f t="shared" si="95"/>
        <v>0</v>
      </c>
      <c r="L239" s="8"/>
      <c r="M239" s="125">
        <f>VLOOKUP(LEFT(RIGHT(B239,5),4),物品!B:CU,20,FALSE)</f>
        <v>0</v>
      </c>
      <c r="N239" s="142" t="s">
        <v>83</v>
      </c>
      <c r="O239" s="125" t="s">
        <v>90</v>
      </c>
      <c r="P239" s="8">
        <v>0</v>
      </c>
      <c r="Q239" s="8">
        <v>0</v>
      </c>
      <c r="R239" s="142" t="s">
        <v>83</v>
      </c>
      <c r="S239" s="142" t="s">
        <v>83</v>
      </c>
      <c r="T239" s="142" t="s">
        <v>83</v>
      </c>
      <c r="U239" s="142" t="s">
        <v>83</v>
      </c>
      <c r="V239" s="8"/>
      <c r="W239" s="8" t="s">
        <v>87</v>
      </c>
      <c r="X239" s="8">
        <v>0</v>
      </c>
      <c r="Y239" s="142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2" t="s">
        <v>83</v>
      </c>
      <c r="AF239" s="142" t="s">
        <v>83</v>
      </c>
      <c r="AG239" s="142" t="s">
        <v>83</v>
      </c>
      <c r="AH239" s="142" t="s">
        <v>83</v>
      </c>
      <c r="AI239" s="8">
        <v>1</v>
      </c>
      <c r="AJ239" s="8"/>
      <c r="AK239" s="8">
        <v>1</v>
      </c>
      <c r="AL239" s="8">
        <v>1</v>
      </c>
      <c r="AM239" s="142" t="s">
        <v>83</v>
      </c>
      <c r="AN239" s="8">
        <v>1</v>
      </c>
      <c r="AO239" s="8">
        <v>1</v>
      </c>
      <c r="AP239" s="8">
        <v>1</v>
      </c>
    </row>
    <row r="240" spans="1:42">
      <c r="A240" s="122"/>
      <c r="B240" s="8" t="str">
        <f>物品!B240</f>
        <v>IC02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杀敌数</v>
      </c>
      <c r="I240" s="8">
        <f>VLOOKUP(B240,物品!B:CV,99,FALSE)</f>
        <v>0</v>
      </c>
      <c r="J240" s="124" t="str">
        <f t="shared" si="94"/>
        <v>杀敌数</v>
      </c>
      <c r="K240" s="124">
        <f t="shared" si="95"/>
        <v>0</v>
      </c>
      <c r="L240" s="8"/>
      <c r="M240" s="125">
        <f>VLOOKUP(LEFT(RIGHT(B240,5),4),物品!B:CU,20,FALSE)</f>
        <v>0</v>
      </c>
      <c r="N240" s="142" t="s">
        <v>83</v>
      </c>
      <c r="O240" s="125" t="s">
        <v>90</v>
      </c>
      <c r="P240" s="8">
        <v>0</v>
      </c>
      <c r="Q240" s="8">
        <v>0</v>
      </c>
      <c r="R240" s="142" t="s">
        <v>83</v>
      </c>
      <c r="S240" s="142" t="s">
        <v>83</v>
      </c>
      <c r="T240" s="142" t="s">
        <v>83</v>
      </c>
      <c r="U240" s="142" t="s">
        <v>83</v>
      </c>
      <c r="V240" s="8"/>
      <c r="W240" s="8" t="s">
        <v>87</v>
      </c>
      <c r="X240" s="8">
        <v>0</v>
      </c>
      <c r="Y240" s="142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2" t="s">
        <v>83</v>
      </c>
      <c r="AF240" s="142" t="s">
        <v>83</v>
      </c>
      <c r="AG240" s="142" t="s">
        <v>83</v>
      </c>
      <c r="AH240" s="142" t="s">
        <v>83</v>
      </c>
      <c r="AI240" s="8">
        <v>1</v>
      </c>
      <c r="AJ240" s="8"/>
      <c r="AK240" s="8">
        <v>1</v>
      </c>
      <c r="AL240" s="8">
        <v>1</v>
      </c>
      <c r="AM240" s="142" t="s">
        <v>83</v>
      </c>
      <c r="AN240" s="8">
        <v>1</v>
      </c>
      <c r="AO240" s="8">
        <v>1</v>
      </c>
      <c r="AP240" s="8">
        <v>1</v>
      </c>
    </row>
    <row r="241" spans="1:42">
      <c r="A241" s="122"/>
      <c r="B241" s="8" t="str">
        <f>物品!B241</f>
        <v>IC03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攻击力低</v>
      </c>
      <c r="I241" s="8">
        <f>VLOOKUP(B241,物品!B:CV,99,FALSE)</f>
        <v>0</v>
      </c>
      <c r="J241" s="124" t="str">
        <f t="shared" si="94"/>
        <v>攻击力低</v>
      </c>
      <c r="K241" s="124">
        <f t="shared" si="95"/>
        <v>0</v>
      </c>
      <c r="L241" s="8"/>
      <c r="M241" s="125">
        <f>VLOOKUP(LEFT(RIGHT(B241,5),4),物品!B:CU,20,FALSE)</f>
        <v>0</v>
      </c>
      <c r="N241" s="142" t="s">
        <v>83</v>
      </c>
      <c r="O241" s="125" t="s">
        <v>90</v>
      </c>
      <c r="P241" s="8">
        <v>0</v>
      </c>
      <c r="Q241" s="8">
        <v>0</v>
      </c>
      <c r="R241" s="142" t="s">
        <v>83</v>
      </c>
      <c r="S241" s="142" t="s">
        <v>83</v>
      </c>
      <c r="T241" s="142" t="s">
        <v>83</v>
      </c>
      <c r="U241" s="142" t="s">
        <v>83</v>
      </c>
      <c r="V241" s="8"/>
      <c r="W241" s="8" t="s">
        <v>87</v>
      </c>
      <c r="X241" s="8">
        <v>0</v>
      </c>
      <c r="Y241" s="142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2" t="s">
        <v>83</v>
      </c>
      <c r="AF241" s="142" t="s">
        <v>83</v>
      </c>
      <c r="AG241" s="142" t="s">
        <v>83</v>
      </c>
      <c r="AH241" s="142" t="s">
        <v>83</v>
      </c>
      <c r="AI241" s="8">
        <v>1</v>
      </c>
      <c r="AJ241" s="8"/>
      <c r="AK241" s="8">
        <v>1</v>
      </c>
      <c r="AL241" s="8">
        <v>1</v>
      </c>
      <c r="AM241" s="142" t="s">
        <v>83</v>
      </c>
      <c r="AN241" s="8">
        <v>1</v>
      </c>
      <c r="AO241" s="8">
        <v>1</v>
      </c>
      <c r="AP241" s="8">
        <v>1</v>
      </c>
    </row>
    <row r="242" spans="1:42">
      <c r="A242" s="122"/>
      <c r="B242" s="8" t="str">
        <f>物品!B242</f>
        <v>IC04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攻击力中</v>
      </c>
      <c r="I242" s="8">
        <f>VLOOKUP(B242,物品!B:CV,99,FALSE)</f>
        <v>0</v>
      </c>
      <c r="J242" s="124" t="str">
        <f t="shared" si="94"/>
        <v>攻击力中</v>
      </c>
      <c r="K242" s="124">
        <f t="shared" si="95"/>
        <v>0</v>
      </c>
      <c r="L242" s="8"/>
      <c r="M242" s="125">
        <f>VLOOKUP(LEFT(RIGHT(B242,5),4),物品!B:CU,20,FALSE)</f>
        <v>0</v>
      </c>
      <c r="N242" s="142" t="s">
        <v>83</v>
      </c>
      <c r="O242" s="125" t="s">
        <v>90</v>
      </c>
      <c r="P242" s="8">
        <v>0</v>
      </c>
      <c r="Q242" s="8">
        <v>0</v>
      </c>
      <c r="R242" s="142" t="s">
        <v>83</v>
      </c>
      <c r="S242" s="142" t="s">
        <v>83</v>
      </c>
      <c r="T242" s="142" t="s">
        <v>83</v>
      </c>
      <c r="U242" s="142" t="s">
        <v>83</v>
      </c>
      <c r="V242" s="8"/>
      <c r="W242" s="8" t="s">
        <v>87</v>
      </c>
      <c r="X242" s="8">
        <v>0</v>
      </c>
      <c r="Y242" s="142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2" t="s">
        <v>83</v>
      </c>
      <c r="AF242" s="142" t="s">
        <v>83</v>
      </c>
      <c r="AG242" s="142" t="s">
        <v>83</v>
      </c>
      <c r="AH242" s="142" t="s">
        <v>83</v>
      </c>
      <c r="AI242" s="8">
        <v>1</v>
      </c>
      <c r="AJ242" s="8"/>
      <c r="AK242" s="8">
        <v>1</v>
      </c>
      <c r="AL242" s="8">
        <v>1</v>
      </c>
      <c r="AM242" s="142" t="s">
        <v>83</v>
      </c>
      <c r="AN242" s="8">
        <v>1</v>
      </c>
      <c r="AO242" s="8">
        <v>1</v>
      </c>
      <c r="AP242" s="8">
        <v>1</v>
      </c>
    </row>
    <row r="243" spans="1:42">
      <c r="A243" s="122"/>
      <c r="B243" s="8" t="str">
        <f>物品!B243</f>
        <v>IC05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攻击力高</v>
      </c>
      <c r="I243" s="8">
        <f>VLOOKUP(B243,物品!B:CV,99,FALSE)</f>
        <v>0</v>
      </c>
      <c r="J243" s="124" t="str">
        <f t="shared" si="94"/>
        <v>攻击力高</v>
      </c>
      <c r="K243" s="124">
        <f t="shared" si="95"/>
        <v>0</v>
      </c>
      <c r="L243" s="8"/>
      <c r="M243" s="125">
        <f>VLOOKUP(LEFT(RIGHT(B243,5),4),物品!B:CU,20,FALSE)</f>
        <v>0</v>
      </c>
      <c r="N243" s="142" t="s">
        <v>83</v>
      </c>
      <c r="O243" s="125" t="s">
        <v>90</v>
      </c>
      <c r="P243" s="8">
        <v>0</v>
      </c>
      <c r="Q243" s="8">
        <v>0</v>
      </c>
      <c r="R243" s="142" t="s">
        <v>83</v>
      </c>
      <c r="S243" s="142" t="s">
        <v>83</v>
      </c>
      <c r="T243" s="142" t="s">
        <v>83</v>
      </c>
      <c r="U243" s="142" t="s">
        <v>83</v>
      </c>
      <c r="V243" s="8"/>
      <c r="W243" s="8" t="s">
        <v>87</v>
      </c>
      <c r="X243" s="8">
        <v>0</v>
      </c>
      <c r="Y243" s="142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2" t="s">
        <v>83</v>
      </c>
      <c r="AF243" s="142" t="s">
        <v>83</v>
      </c>
      <c r="AG243" s="142" t="s">
        <v>83</v>
      </c>
      <c r="AH243" s="142" t="s">
        <v>83</v>
      </c>
      <c r="AI243" s="8">
        <v>1</v>
      </c>
      <c r="AJ243" s="8"/>
      <c r="AK243" s="8">
        <v>1</v>
      </c>
      <c r="AL243" s="8">
        <v>1</v>
      </c>
      <c r="AM243" s="142" t="s">
        <v>83</v>
      </c>
      <c r="AN243" s="8">
        <v>1</v>
      </c>
      <c r="AO243" s="8">
        <v>1</v>
      </c>
      <c r="AP243" s="8">
        <v>1</v>
      </c>
    </row>
    <row r="244" spans="1:42">
      <c r="A244" s="122"/>
      <c r="B244" s="8" t="str">
        <f>物品!B244</f>
        <v>IC06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生命值低</v>
      </c>
      <c r="I244" s="8">
        <f>VLOOKUP(B244,物品!B:CV,99,FALSE)</f>
        <v>0</v>
      </c>
      <c r="J244" s="124" t="str">
        <f t="shared" si="94"/>
        <v>生命值低</v>
      </c>
      <c r="K244" s="124">
        <f t="shared" si="95"/>
        <v>0</v>
      </c>
      <c r="L244" s="8"/>
      <c r="M244" s="125">
        <f>VLOOKUP(LEFT(RIGHT(B244,5),4),物品!B:CU,20,FALSE)</f>
        <v>0</v>
      </c>
      <c r="N244" s="142" t="s">
        <v>83</v>
      </c>
      <c r="O244" s="125" t="s">
        <v>90</v>
      </c>
      <c r="P244" s="8">
        <v>0</v>
      </c>
      <c r="Q244" s="8">
        <v>0</v>
      </c>
      <c r="R244" s="142" t="s">
        <v>83</v>
      </c>
      <c r="S244" s="142" t="s">
        <v>83</v>
      </c>
      <c r="T244" s="142" t="s">
        <v>83</v>
      </c>
      <c r="U244" s="142" t="s">
        <v>83</v>
      </c>
      <c r="V244" s="8"/>
      <c r="W244" s="8" t="s">
        <v>87</v>
      </c>
      <c r="X244" s="8">
        <v>0</v>
      </c>
      <c r="Y244" s="142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2" t="s">
        <v>83</v>
      </c>
      <c r="AF244" s="142" t="s">
        <v>83</v>
      </c>
      <c r="AG244" s="142" t="s">
        <v>83</v>
      </c>
      <c r="AH244" s="142" t="s">
        <v>83</v>
      </c>
      <c r="AI244" s="8">
        <v>1</v>
      </c>
      <c r="AJ244" s="8"/>
      <c r="AK244" s="8">
        <v>1</v>
      </c>
      <c r="AL244" s="8">
        <v>1</v>
      </c>
      <c r="AM244" s="142" t="s">
        <v>83</v>
      </c>
      <c r="AN244" s="8">
        <v>1</v>
      </c>
      <c r="AO244" s="8">
        <v>1</v>
      </c>
      <c r="AP244" s="8">
        <v>1</v>
      </c>
    </row>
    <row r="245" spans="1:42">
      <c r="A245" s="122"/>
      <c r="B245" s="8" t="str">
        <f>物品!B245</f>
        <v>IC07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生命值中</v>
      </c>
      <c r="I245" s="8">
        <f>VLOOKUP(B245,物品!B:CV,99,FALSE)</f>
        <v>0</v>
      </c>
      <c r="J245" s="124" t="str">
        <f t="shared" si="94"/>
        <v>生命值中</v>
      </c>
      <c r="K245" s="124">
        <f t="shared" si="95"/>
        <v>0</v>
      </c>
      <c r="L245" s="8"/>
      <c r="M245" s="125">
        <f>VLOOKUP(LEFT(RIGHT(B245,5),4),物品!B:CU,20,FALSE)</f>
        <v>0</v>
      </c>
      <c r="N245" s="142" t="s">
        <v>83</v>
      </c>
      <c r="O245" s="125" t="s">
        <v>90</v>
      </c>
      <c r="P245" s="8">
        <v>0</v>
      </c>
      <c r="Q245" s="8">
        <v>0</v>
      </c>
      <c r="R245" s="142" t="s">
        <v>83</v>
      </c>
      <c r="S245" s="142" t="s">
        <v>83</v>
      </c>
      <c r="T245" s="142" t="s">
        <v>83</v>
      </c>
      <c r="U245" s="142" t="s">
        <v>83</v>
      </c>
      <c r="V245" s="8"/>
      <c r="W245" s="8" t="s">
        <v>87</v>
      </c>
      <c r="X245" s="8">
        <v>0</v>
      </c>
      <c r="Y245" s="142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2" t="s">
        <v>83</v>
      </c>
      <c r="AF245" s="142" t="s">
        <v>83</v>
      </c>
      <c r="AG245" s="142" t="s">
        <v>83</v>
      </c>
      <c r="AH245" s="142" t="s">
        <v>83</v>
      </c>
      <c r="AI245" s="8">
        <v>1</v>
      </c>
      <c r="AJ245" s="8"/>
      <c r="AK245" s="8">
        <v>1</v>
      </c>
      <c r="AL245" s="8">
        <v>1</v>
      </c>
      <c r="AM245" s="142" t="s">
        <v>83</v>
      </c>
      <c r="AN245" s="8">
        <v>1</v>
      </c>
      <c r="AO245" s="8">
        <v>1</v>
      </c>
      <c r="AP245" s="8">
        <v>1</v>
      </c>
    </row>
    <row r="246" spans="1:42">
      <c r="A246" s="122"/>
      <c r="B246" s="8" t="str">
        <f>物品!B246</f>
        <v>IC08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生命值高</v>
      </c>
      <c r="I246" s="8">
        <f>VLOOKUP(B246,物品!B:CV,99,FALSE)</f>
        <v>0</v>
      </c>
      <c r="J246" s="124" t="str">
        <f t="shared" si="94"/>
        <v>生命值高</v>
      </c>
      <c r="K246" s="124">
        <f t="shared" si="95"/>
        <v>0</v>
      </c>
      <c r="L246" s="8"/>
      <c r="M246" s="125">
        <f>VLOOKUP(LEFT(RIGHT(B246,5),4),物品!B:CU,20,FALSE)</f>
        <v>0</v>
      </c>
      <c r="N246" s="142" t="s">
        <v>83</v>
      </c>
      <c r="O246" s="125" t="s">
        <v>90</v>
      </c>
      <c r="P246" s="8">
        <v>0</v>
      </c>
      <c r="Q246" s="8">
        <v>0</v>
      </c>
      <c r="R246" s="142" t="s">
        <v>83</v>
      </c>
      <c r="S246" s="142" t="s">
        <v>83</v>
      </c>
      <c r="T246" s="142" t="s">
        <v>83</v>
      </c>
      <c r="U246" s="142" t="s">
        <v>83</v>
      </c>
      <c r="V246" s="8"/>
      <c r="W246" s="8" t="s">
        <v>87</v>
      </c>
      <c r="X246" s="8">
        <v>0</v>
      </c>
      <c r="Y246" s="142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2" t="s">
        <v>83</v>
      </c>
      <c r="AF246" s="142" t="s">
        <v>83</v>
      </c>
      <c r="AG246" s="142" t="s">
        <v>83</v>
      </c>
      <c r="AH246" s="142" t="s">
        <v>83</v>
      </c>
      <c r="AI246" s="8">
        <v>1</v>
      </c>
      <c r="AJ246" s="8"/>
      <c r="AK246" s="8">
        <v>1</v>
      </c>
      <c r="AL246" s="8">
        <v>1</v>
      </c>
      <c r="AM246" s="142" t="s">
        <v>83</v>
      </c>
      <c r="AN246" s="8">
        <v>1</v>
      </c>
      <c r="AO246" s="8">
        <v>1</v>
      </c>
      <c r="AP246" s="8">
        <v>1</v>
      </c>
    </row>
    <row r="247" spans="1:42">
      <c r="A247" s="122"/>
      <c r="B247" s="8" t="str">
        <f>物品!B247</f>
        <v>IC09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业力低</v>
      </c>
      <c r="I247" s="8">
        <f>VLOOKUP(B247,物品!B:CV,99,FALSE)</f>
        <v>0</v>
      </c>
      <c r="J247" s="124" t="str">
        <f t="shared" si="94"/>
        <v>业力低</v>
      </c>
      <c r="K247" s="124">
        <f t="shared" si="95"/>
        <v>0</v>
      </c>
      <c r="L247" s="8"/>
      <c r="M247" s="125">
        <f>VLOOKUP(LEFT(RIGHT(B247,5),4),物品!B:CU,20,FALSE)</f>
        <v>0</v>
      </c>
      <c r="N247" s="142" t="s">
        <v>83</v>
      </c>
      <c r="O247" s="125" t="s">
        <v>90</v>
      </c>
      <c r="P247" s="8">
        <v>0</v>
      </c>
      <c r="Q247" s="8">
        <v>0</v>
      </c>
      <c r="R247" s="142" t="s">
        <v>83</v>
      </c>
      <c r="S247" s="142" t="s">
        <v>83</v>
      </c>
      <c r="T247" s="142" t="s">
        <v>83</v>
      </c>
      <c r="U247" s="142" t="s">
        <v>83</v>
      </c>
      <c r="V247" s="8"/>
      <c r="W247" s="8" t="s">
        <v>87</v>
      </c>
      <c r="X247" s="8">
        <v>0</v>
      </c>
      <c r="Y247" s="142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2" t="s">
        <v>83</v>
      </c>
      <c r="AF247" s="142" t="s">
        <v>83</v>
      </c>
      <c r="AG247" s="142" t="s">
        <v>83</v>
      </c>
      <c r="AH247" s="142" t="s">
        <v>83</v>
      </c>
      <c r="AI247" s="8">
        <v>1</v>
      </c>
      <c r="AJ247" s="8"/>
      <c r="AK247" s="8">
        <v>1</v>
      </c>
      <c r="AL247" s="8">
        <v>1</v>
      </c>
      <c r="AM247" s="142" t="s">
        <v>83</v>
      </c>
      <c r="AN247" s="8">
        <v>1</v>
      </c>
      <c r="AO247" s="8">
        <v>1</v>
      </c>
      <c r="AP247" s="8">
        <v>1</v>
      </c>
    </row>
    <row r="248" spans="1:42">
      <c r="A248" s="122"/>
      <c r="B248" s="8" t="str">
        <f>物品!B248</f>
        <v>IC10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业力中</v>
      </c>
      <c r="I248" s="8">
        <f>VLOOKUP(B248,物品!B:CV,99,FALSE)</f>
        <v>0</v>
      </c>
      <c r="J248" s="124" t="str">
        <f t="shared" si="94"/>
        <v>业力中</v>
      </c>
      <c r="K248" s="124">
        <f t="shared" si="95"/>
        <v>0</v>
      </c>
      <c r="L248" s="8"/>
      <c r="M248" s="125">
        <f>VLOOKUP(LEFT(RIGHT(B248,5),4),物品!B:CU,20,FALSE)</f>
        <v>0</v>
      </c>
      <c r="N248" s="142" t="s">
        <v>83</v>
      </c>
      <c r="O248" s="125" t="s">
        <v>90</v>
      </c>
      <c r="P248" s="8">
        <v>0</v>
      </c>
      <c r="Q248" s="8">
        <v>0</v>
      </c>
      <c r="R248" s="142" t="s">
        <v>83</v>
      </c>
      <c r="S248" s="142" t="s">
        <v>83</v>
      </c>
      <c r="T248" s="142" t="s">
        <v>83</v>
      </c>
      <c r="U248" s="142" t="s">
        <v>83</v>
      </c>
      <c r="V248" s="8"/>
      <c r="W248" s="8" t="s">
        <v>87</v>
      </c>
      <c r="X248" s="8">
        <v>0</v>
      </c>
      <c r="Y248" s="142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2" t="s">
        <v>83</v>
      </c>
      <c r="AF248" s="142" t="s">
        <v>83</v>
      </c>
      <c r="AG248" s="142" t="s">
        <v>83</v>
      </c>
      <c r="AH248" s="142" t="s">
        <v>83</v>
      </c>
      <c r="AI248" s="8">
        <v>1</v>
      </c>
      <c r="AJ248" s="8"/>
      <c r="AK248" s="8">
        <v>1</v>
      </c>
      <c r="AL248" s="8">
        <v>1</v>
      </c>
      <c r="AM248" s="142" t="s">
        <v>83</v>
      </c>
      <c r="AN248" s="8">
        <v>1</v>
      </c>
      <c r="AO248" s="8">
        <v>1</v>
      </c>
      <c r="AP248" s="8">
        <v>1</v>
      </c>
    </row>
    <row r="249" spans="1:42">
      <c r="A249" s="122"/>
      <c r="B249" s="8" t="str">
        <f>物品!B249</f>
        <v>IC11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业力高</v>
      </c>
      <c r="I249" s="8">
        <f>VLOOKUP(B249,物品!B:CV,99,FALSE)</f>
        <v>0</v>
      </c>
      <c r="J249" s="124" t="str">
        <f t="shared" si="94"/>
        <v>业力高</v>
      </c>
      <c r="K249" s="124">
        <f t="shared" si="95"/>
        <v>0</v>
      </c>
      <c r="L249" s="8"/>
      <c r="M249" s="125">
        <f>VLOOKUP(LEFT(RIGHT(B249,5),4),物品!B:CU,20,FALSE)</f>
        <v>0</v>
      </c>
      <c r="N249" s="142" t="s">
        <v>83</v>
      </c>
      <c r="O249" s="125" t="s">
        <v>90</v>
      </c>
      <c r="P249" s="8">
        <v>0</v>
      </c>
      <c r="Q249" s="8">
        <v>0</v>
      </c>
      <c r="R249" s="142" t="s">
        <v>83</v>
      </c>
      <c r="S249" s="142" t="s">
        <v>83</v>
      </c>
      <c r="T249" s="142" t="s">
        <v>83</v>
      </c>
      <c r="U249" s="142" t="s">
        <v>83</v>
      </c>
      <c r="V249" s="8"/>
      <c r="W249" s="8" t="s">
        <v>87</v>
      </c>
      <c r="X249" s="8">
        <v>0</v>
      </c>
      <c r="Y249" s="142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2" t="s">
        <v>83</v>
      </c>
      <c r="AF249" s="142" t="s">
        <v>83</v>
      </c>
      <c r="AG249" s="142" t="s">
        <v>83</v>
      </c>
      <c r="AH249" s="142" t="s">
        <v>83</v>
      </c>
      <c r="AI249" s="8">
        <v>1</v>
      </c>
      <c r="AJ249" s="8"/>
      <c r="AK249" s="8">
        <v>1</v>
      </c>
      <c r="AL249" s="8">
        <v>1</v>
      </c>
      <c r="AM249" s="142" t="s">
        <v>83</v>
      </c>
      <c r="AN249" s="8">
        <v>1</v>
      </c>
      <c r="AO249" s="8">
        <v>1</v>
      </c>
      <c r="AP249" s="8">
        <v>1</v>
      </c>
    </row>
    <row r="250" spans="1:42">
      <c r="A250" s="122"/>
      <c r="B250" s="8"/>
      <c r="C250" s="8"/>
      <c r="D250" s="8"/>
      <c r="E250" s="8"/>
      <c r="F250" s="8"/>
      <c r="G250" s="8"/>
      <c r="H250" s="8"/>
      <c r="I250" s="8"/>
      <c r="J250" s="124"/>
      <c r="K250" s="124"/>
      <c r="L250" s="8"/>
      <c r="M250" s="125"/>
      <c r="N250" s="8"/>
      <c r="O250" s="125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</row>
    <row r="251" spans="1:42">
      <c r="A251" s="122"/>
      <c r="B251" s="8"/>
      <c r="C251" s="8"/>
      <c r="D251" s="8"/>
      <c r="E251" s="8"/>
      <c r="F251" s="8"/>
      <c r="G251" s="8"/>
      <c r="H251" s="8"/>
      <c r="I251" s="8"/>
      <c r="J251" s="124"/>
      <c r="K251" s="124"/>
      <c r="L251" s="8"/>
      <c r="M251" s="125"/>
      <c r="N251" s="8"/>
      <c r="O251" s="125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</row>
    <row r="252" spans="1:42">
      <c r="A252" s="122"/>
      <c r="B252" s="8"/>
      <c r="C252" s="8"/>
      <c r="D252" s="8"/>
      <c r="E252" s="8"/>
      <c r="F252" s="8"/>
      <c r="G252" s="8"/>
      <c r="H252" s="8"/>
      <c r="I252" s="8"/>
      <c r="J252" s="124"/>
      <c r="K252" s="124"/>
      <c r="L252" s="8"/>
      <c r="M252" s="125"/>
      <c r="N252" s="8"/>
      <c r="O252" s="125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</row>
    <row r="253" spans="1:42">
      <c r="A253" s="122"/>
      <c r="B253" s="8"/>
      <c r="C253" s="8"/>
      <c r="D253" s="8"/>
      <c r="E253" s="8"/>
      <c r="F253" s="8"/>
      <c r="G253" s="8"/>
      <c r="H253" s="8"/>
      <c r="I253" s="8"/>
      <c r="J253" s="124"/>
      <c r="K253" s="124"/>
      <c r="L253" s="8"/>
      <c r="M253" s="125"/>
      <c r="N253" s="8"/>
      <c r="O253" s="125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</row>
    <row r="254" spans="1:42">
      <c r="A254" s="122"/>
      <c r="B254" s="8"/>
      <c r="C254" s="8"/>
      <c r="D254" s="8"/>
      <c r="E254" s="8"/>
      <c r="F254" s="8"/>
      <c r="G254" s="8"/>
      <c r="H254" s="8"/>
      <c r="I254" s="8"/>
      <c r="J254" s="124"/>
      <c r="K254" s="124"/>
      <c r="L254" s="8"/>
      <c r="M254" s="125"/>
      <c r="N254" s="8"/>
      <c r="O254" s="125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</row>
    <row r="255" spans="1:42">
      <c r="A255" s="122"/>
      <c r="B255" s="8"/>
      <c r="C255" s="8"/>
      <c r="D255" s="8"/>
      <c r="E255" s="8"/>
      <c r="F255" s="8"/>
      <c r="G255" s="8"/>
      <c r="H255" s="8"/>
      <c r="I255" s="8"/>
      <c r="J255" s="124"/>
      <c r="K255" s="124"/>
      <c r="L255" s="8"/>
      <c r="M255" s="125"/>
      <c r="N255" s="8"/>
      <c r="O255" s="125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</row>
    <row r="256" spans="1:42">
      <c r="A256" s="122"/>
      <c r="B256" s="8"/>
      <c r="C256" s="8"/>
      <c r="D256" s="8"/>
      <c r="E256" s="8"/>
      <c r="F256" s="8"/>
      <c r="G256" s="8"/>
      <c r="H256" s="8"/>
      <c r="I256" s="8"/>
      <c r="J256" s="124"/>
      <c r="K256" s="124"/>
      <c r="L256" s="8"/>
      <c r="M256" s="125"/>
      <c r="N256" s="8"/>
      <c r="O256" s="125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</row>
    <row r="257" spans="1:42">
      <c r="A257" s="122"/>
      <c r="B257" s="8"/>
      <c r="C257" s="8"/>
      <c r="D257" s="8"/>
      <c r="E257" s="8"/>
      <c r="F257" s="8"/>
      <c r="G257" s="8"/>
      <c r="H257" s="8"/>
      <c r="I257" s="8"/>
      <c r="J257" s="124"/>
      <c r="K257" s="124"/>
      <c r="L257" s="8"/>
      <c r="M257" s="125"/>
      <c r="N257" s="8"/>
      <c r="O257" s="125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</row>
    <row r="258" spans="1:42">
      <c r="A258" s="122"/>
      <c r="B258" s="8"/>
      <c r="C258" s="8"/>
      <c r="D258" s="8"/>
      <c r="E258" s="8"/>
      <c r="F258" s="8"/>
      <c r="G258" s="8"/>
      <c r="H258" s="8"/>
      <c r="I258" s="8"/>
      <c r="J258" s="124"/>
      <c r="K258" s="124"/>
      <c r="L258" s="8"/>
      <c r="M258" s="125"/>
      <c r="N258" s="8"/>
      <c r="O258" s="125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22"/>
      <c r="B259" s="8"/>
      <c r="C259" s="8"/>
      <c r="D259" s="8"/>
      <c r="E259" s="8"/>
      <c r="F259" s="8"/>
      <c r="G259" s="8"/>
      <c r="H259" s="8"/>
      <c r="I259" s="8"/>
      <c r="J259" s="124"/>
      <c r="K259" s="124"/>
      <c r="L259" s="8"/>
      <c r="M259" s="125"/>
      <c r="N259" s="8"/>
      <c r="O259" s="125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22"/>
      <c r="B260" s="8"/>
      <c r="C260" s="8"/>
      <c r="D260" s="8"/>
      <c r="E260" s="8"/>
      <c r="F260" s="8"/>
      <c r="G260" s="8"/>
      <c r="H260" s="8"/>
      <c r="I260" s="8"/>
      <c r="J260" s="124"/>
      <c r="K260" s="124"/>
      <c r="L260" s="8"/>
      <c r="M260" s="125"/>
      <c r="N260" s="8"/>
      <c r="O260" s="125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22"/>
      <c r="B261" s="8"/>
      <c r="C261" s="8"/>
      <c r="D261" s="8"/>
      <c r="E261" s="8"/>
      <c r="F261" s="8"/>
      <c r="G261" s="8"/>
      <c r="H261" s="8"/>
      <c r="I261" s="8"/>
      <c r="J261" s="124"/>
      <c r="K261" s="124"/>
      <c r="L261" s="8"/>
      <c r="M261" s="125"/>
      <c r="N261" s="8"/>
      <c r="O261" s="125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2"/>
      <c r="B262" s="8"/>
      <c r="C262" s="8"/>
      <c r="D262" s="8"/>
      <c r="E262" s="8"/>
      <c r="F262" s="8"/>
      <c r="G262" s="8"/>
      <c r="H262" s="8"/>
      <c r="I262" s="8"/>
      <c r="J262" s="124"/>
      <c r="K262" s="124"/>
      <c r="L262" s="8"/>
      <c r="M262" s="125"/>
      <c r="N262" s="8"/>
      <c r="O262" s="125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2"/>
      <c r="B263" s="8"/>
      <c r="C263" s="8"/>
      <c r="D263" s="8"/>
      <c r="E263" s="8"/>
      <c r="F263" s="8"/>
      <c r="G263" s="8"/>
      <c r="H263" s="8"/>
      <c r="I263" s="8"/>
      <c r="J263" s="124"/>
      <c r="K263" s="124"/>
      <c r="L263" s="8"/>
      <c r="M263" s="125"/>
      <c r="N263" s="8"/>
      <c r="O263" s="125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2"/>
      <c r="B264" s="8"/>
      <c r="C264" s="8"/>
      <c r="D264" s="8"/>
      <c r="E264" s="8"/>
      <c r="F264" s="8"/>
      <c r="G264" s="8"/>
      <c r="H264" s="8"/>
      <c r="I264" s="8"/>
      <c r="J264" s="124"/>
      <c r="K264" s="124"/>
      <c r="L264" s="8"/>
      <c r="M264" s="125"/>
      <c r="N264" s="8"/>
      <c r="O264" s="125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2"/>
      <c r="B265" s="8"/>
      <c r="C265" s="8"/>
      <c r="D265" s="8"/>
      <c r="E265" s="8"/>
      <c r="F265" s="8"/>
      <c r="G265" s="8"/>
      <c r="H265" s="8"/>
      <c r="I265" s="8"/>
      <c r="J265" s="124"/>
      <c r="K265" s="124"/>
      <c r="L265" s="8"/>
      <c r="M265" s="125"/>
      <c r="N265" s="8"/>
      <c r="O265" s="125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2"/>
      <c r="B266" s="8"/>
      <c r="C266" s="8"/>
      <c r="D266" s="8"/>
      <c r="E266" s="8"/>
      <c r="F266" s="8"/>
      <c r="G266" s="8"/>
      <c r="H266" s="8"/>
      <c r="I266" s="8"/>
      <c r="J266" s="124"/>
      <c r="K266" s="124"/>
      <c r="L266" s="8"/>
      <c r="M266" s="125"/>
      <c r="N266" s="8"/>
      <c r="O266" s="125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2"/>
      <c r="B267" s="8"/>
      <c r="C267" s="8"/>
      <c r="D267" s="8"/>
      <c r="E267" s="8"/>
      <c r="F267" s="8"/>
      <c r="G267" s="8"/>
      <c r="H267" s="8"/>
      <c r="I267" s="8"/>
      <c r="J267" s="124"/>
      <c r="K267" s="124"/>
      <c r="L267" s="8"/>
      <c r="M267" s="125"/>
      <c r="N267" s="8"/>
      <c r="O267" s="125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2"/>
      <c r="B268" s="8"/>
      <c r="C268" s="8"/>
      <c r="D268" s="8"/>
      <c r="E268" s="8"/>
      <c r="F268" s="8"/>
      <c r="G268" s="8"/>
      <c r="H268" s="8"/>
      <c r="I268" s="8"/>
      <c r="J268" s="124"/>
      <c r="K268" s="124"/>
      <c r="L268" s="8"/>
      <c r="M268" s="125"/>
      <c r="N268" s="8"/>
      <c r="O268" s="125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2"/>
      <c r="B269" s="8"/>
      <c r="C269" s="8"/>
      <c r="D269" s="8"/>
      <c r="E269" s="8"/>
      <c r="F269" s="8"/>
      <c r="G269" s="8"/>
      <c r="H269" s="8"/>
      <c r="I269" s="8"/>
      <c r="J269" s="124"/>
      <c r="K269" s="124"/>
      <c r="L269" s="8"/>
      <c r="M269" s="125"/>
      <c r="N269" s="8"/>
      <c r="O269" s="125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2"/>
      <c r="B270" s="8"/>
      <c r="C270" s="8"/>
      <c r="D270" s="8"/>
      <c r="E270" s="8"/>
      <c r="F270" s="8"/>
      <c r="G270" s="8"/>
      <c r="H270" s="8"/>
      <c r="I270" s="8"/>
      <c r="J270" s="124"/>
      <c r="K270" s="124"/>
      <c r="L270" s="8"/>
      <c r="M270" s="125"/>
      <c r="N270" s="8"/>
      <c r="O270" s="125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2"/>
      <c r="B271" s="8"/>
      <c r="C271" s="8"/>
      <c r="D271" s="8"/>
      <c r="E271" s="8"/>
      <c r="F271" s="8"/>
      <c r="G271" s="8"/>
      <c r="H271" s="8"/>
      <c r="I271" s="8"/>
      <c r="J271" s="124"/>
      <c r="K271" s="124"/>
      <c r="L271" s="8"/>
      <c r="M271" s="125"/>
      <c r="N271" s="8"/>
      <c r="O271" s="125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2"/>
      <c r="B272" s="8"/>
      <c r="C272" s="8"/>
      <c r="D272" s="8"/>
      <c r="E272" s="8"/>
      <c r="F272" s="8"/>
      <c r="G272" s="8"/>
      <c r="H272" s="8"/>
      <c r="I272" s="8"/>
      <c r="J272" s="124"/>
      <c r="K272" s="124"/>
      <c r="L272" s="8"/>
      <c r="M272" s="125"/>
      <c r="N272" s="8"/>
      <c r="O272" s="125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2"/>
      <c r="B273" s="8"/>
      <c r="C273" s="8"/>
      <c r="D273" s="8"/>
      <c r="E273" s="8"/>
      <c r="F273" s="8"/>
      <c r="G273" s="8"/>
      <c r="H273" s="8"/>
      <c r="I273" s="8"/>
      <c r="J273" s="124"/>
      <c r="K273" s="124"/>
      <c r="L273" s="8"/>
      <c r="M273" s="125"/>
      <c r="N273" s="8"/>
      <c r="O273" s="125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2"/>
      <c r="B274" s="8"/>
      <c r="C274" s="8"/>
      <c r="D274" s="8"/>
      <c r="E274" s="8"/>
      <c r="F274" s="8"/>
      <c r="G274" s="8"/>
      <c r="H274" s="8"/>
      <c r="I274" s="8"/>
      <c r="J274" s="124"/>
      <c r="K274" s="124"/>
      <c r="L274" s="8"/>
      <c r="M274" s="125"/>
      <c r="N274" s="8"/>
      <c r="O274" s="125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2"/>
      <c r="B275" s="8"/>
      <c r="C275" s="8"/>
      <c r="D275" s="8"/>
      <c r="E275" s="8"/>
      <c r="F275" s="8"/>
      <c r="G275" s="8"/>
      <c r="H275" s="8"/>
      <c r="I275" s="8"/>
      <c r="J275" s="124"/>
      <c r="K275" s="124"/>
      <c r="L275" s="8"/>
      <c r="M275" s="125"/>
      <c r="N275" s="8"/>
      <c r="O275" s="125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2"/>
      <c r="B276" s="8"/>
      <c r="C276" s="8"/>
      <c r="D276" s="8"/>
      <c r="E276" s="8"/>
      <c r="F276" s="8"/>
      <c r="G276" s="8"/>
      <c r="H276" s="8"/>
      <c r="I276" s="8"/>
      <c r="J276" s="124"/>
      <c r="K276" s="124"/>
      <c r="L276" s="8"/>
      <c r="M276" s="125"/>
      <c r="N276" s="8"/>
      <c r="O276" s="125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2"/>
      <c r="B277" s="8"/>
      <c r="C277" s="8"/>
      <c r="D277" s="8"/>
      <c r="E277" s="8"/>
      <c r="F277" s="8"/>
      <c r="G277" s="8"/>
      <c r="H277" s="8"/>
      <c r="I277" s="8"/>
      <c r="J277" s="124"/>
      <c r="K277" s="124"/>
      <c r="L277" s="8"/>
      <c r="M277" s="125"/>
      <c r="N277" s="8"/>
      <c r="O277" s="125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2"/>
      <c r="B278" s="8"/>
      <c r="C278" s="8"/>
      <c r="D278" s="8"/>
      <c r="E278" s="8"/>
      <c r="F278" s="8"/>
      <c r="G278" s="8"/>
      <c r="H278" s="8"/>
      <c r="I278" s="8"/>
      <c r="J278" s="124"/>
      <c r="K278" s="124"/>
      <c r="L278" s="8"/>
      <c r="M278" s="125"/>
      <c r="N278" s="8"/>
      <c r="O278" s="125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2"/>
      <c r="B279" s="8"/>
      <c r="C279" s="8"/>
      <c r="D279" s="8"/>
      <c r="E279" s="8"/>
      <c r="F279" s="8"/>
      <c r="G279" s="8"/>
      <c r="H279" s="8"/>
      <c r="I279" s="8"/>
      <c r="J279" s="124"/>
      <c r="K279" s="124"/>
      <c r="L279" s="8"/>
      <c r="M279" s="125"/>
      <c r="N279" s="8"/>
      <c r="O279" s="125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2"/>
      <c r="B280" s="8"/>
      <c r="C280" s="8"/>
      <c r="D280" s="8"/>
      <c r="E280" s="8"/>
      <c r="F280" s="8"/>
      <c r="G280" s="8"/>
      <c r="H280" s="8"/>
      <c r="I280" s="8"/>
      <c r="J280" s="124"/>
      <c r="K280" s="124"/>
      <c r="L280" s="8"/>
      <c r="M280" s="125"/>
      <c r="N280" s="8"/>
      <c r="O280" s="125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2"/>
      <c r="B281" s="8"/>
      <c r="C281" s="8"/>
      <c r="D281" s="8"/>
      <c r="E281" s="8"/>
      <c r="F281" s="8"/>
      <c r="G281" s="8"/>
      <c r="H281" s="8"/>
      <c r="I281" s="8"/>
      <c r="J281" s="124"/>
      <c r="K281" s="124"/>
      <c r="L281" s="8"/>
      <c r="M281" s="125"/>
      <c r="N281" s="8"/>
      <c r="O281" s="125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2"/>
      <c r="B282" s="8"/>
      <c r="C282" s="8"/>
      <c r="D282" s="8"/>
      <c r="E282" s="8"/>
      <c r="F282" s="8"/>
      <c r="G282" s="8"/>
      <c r="H282" s="8"/>
      <c r="I282" s="8"/>
      <c r="J282" s="124"/>
      <c r="K282" s="124"/>
      <c r="L282" s="8"/>
      <c r="M282" s="125"/>
      <c r="N282" s="8"/>
      <c r="O282" s="125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2"/>
      <c r="B283" s="8"/>
      <c r="C283" s="8"/>
      <c r="D283" s="8"/>
      <c r="E283" s="8"/>
      <c r="F283" s="8"/>
      <c r="G283" s="8"/>
      <c r="H283" s="8"/>
      <c r="I283" s="8"/>
      <c r="J283" s="124"/>
      <c r="K283" s="124"/>
      <c r="L283" s="8"/>
      <c r="M283" s="125"/>
      <c r="N283" s="8"/>
      <c r="O283" s="125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2"/>
      <c r="B284" s="8"/>
      <c r="C284" s="8"/>
      <c r="D284" s="8"/>
      <c r="E284" s="8"/>
      <c r="F284" s="8"/>
      <c r="G284" s="8"/>
      <c r="H284" s="8"/>
      <c r="I284" s="8"/>
      <c r="J284" s="124"/>
      <c r="K284" s="124"/>
      <c r="L284" s="8"/>
      <c r="M284" s="125"/>
      <c r="N284" s="8"/>
      <c r="O284" s="125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2"/>
      <c r="B285" s="8"/>
      <c r="C285" s="8"/>
      <c r="D285" s="8"/>
      <c r="E285" s="8"/>
      <c r="F285" s="8"/>
      <c r="G285" s="8"/>
      <c r="H285" s="8"/>
      <c r="I285" s="8"/>
      <c r="J285" s="124"/>
      <c r="K285" s="124"/>
      <c r="L285" s="8"/>
      <c r="M285" s="125"/>
      <c r="N285" s="8"/>
      <c r="O285" s="125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2"/>
      <c r="B286" s="8"/>
      <c r="C286" s="8"/>
      <c r="D286" s="8"/>
      <c r="E286" s="8"/>
      <c r="F286" s="8"/>
      <c r="G286" s="8"/>
      <c r="H286" s="8"/>
      <c r="I286" s="8"/>
      <c r="J286" s="124"/>
      <c r="K286" s="124"/>
      <c r="L286" s="8"/>
      <c r="M286" s="125"/>
      <c r="N286" s="8"/>
      <c r="O286" s="125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2"/>
      <c r="B287" s="8"/>
      <c r="C287" s="8"/>
      <c r="D287" s="8"/>
      <c r="E287" s="8"/>
      <c r="F287" s="8"/>
      <c r="G287" s="8"/>
      <c r="H287" s="8"/>
      <c r="I287" s="8"/>
      <c r="J287" s="124"/>
      <c r="K287" s="124"/>
      <c r="L287" s="8"/>
      <c r="M287" s="125"/>
      <c r="N287" s="8"/>
      <c r="O287" s="125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2"/>
      <c r="B288" s="8"/>
      <c r="C288" s="8"/>
      <c r="D288" s="8"/>
      <c r="E288" s="8"/>
      <c r="F288" s="8"/>
      <c r="G288" s="8"/>
      <c r="H288" s="8"/>
      <c r="I288" s="8"/>
      <c r="J288" s="124"/>
      <c r="K288" s="124"/>
      <c r="L288" s="8"/>
      <c r="M288" s="125"/>
      <c r="N288" s="8"/>
      <c r="O288" s="125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2"/>
      <c r="B289" s="8"/>
      <c r="C289" s="8"/>
      <c r="D289" s="8"/>
      <c r="E289" s="8"/>
      <c r="F289" s="8"/>
      <c r="G289" s="8"/>
      <c r="H289" s="8"/>
      <c r="I289" s="8"/>
      <c r="J289" s="124"/>
      <c r="K289" s="124"/>
      <c r="L289" s="8"/>
      <c r="M289" s="125"/>
      <c r="N289" s="8"/>
      <c r="O289" s="125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2"/>
      <c r="B290" s="8"/>
      <c r="C290" s="8"/>
      <c r="D290" s="8"/>
      <c r="E290" s="8"/>
      <c r="F290" s="8"/>
      <c r="G290" s="8"/>
      <c r="H290" s="8"/>
      <c r="I290" s="8"/>
      <c r="J290" s="124"/>
      <c r="K290" s="124"/>
      <c r="L290" s="8"/>
      <c r="M290" s="125"/>
      <c r="N290" s="8"/>
      <c r="O290" s="125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2"/>
      <c r="B291" s="8"/>
      <c r="C291" s="8"/>
      <c r="D291" s="8"/>
      <c r="E291" s="8"/>
      <c r="F291" s="8"/>
      <c r="G291" s="8"/>
      <c r="H291" s="8"/>
      <c r="I291" s="8"/>
      <c r="J291" s="124"/>
      <c r="K291" s="124"/>
      <c r="L291" s="8"/>
      <c r="M291" s="125"/>
      <c r="N291" s="8"/>
      <c r="O291" s="125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2"/>
      <c r="B292" s="8"/>
      <c r="C292" s="8"/>
      <c r="D292" s="8"/>
      <c r="E292" s="8"/>
      <c r="F292" s="8"/>
      <c r="G292" s="8"/>
      <c r="H292" s="8"/>
      <c r="I292" s="8"/>
      <c r="J292" s="124"/>
      <c r="K292" s="124"/>
      <c r="L292" s="8"/>
      <c r="M292" s="125"/>
      <c r="N292" s="8"/>
      <c r="O292" s="125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2"/>
      <c r="B293" s="8"/>
      <c r="C293" s="8"/>
      <c r="D293" s="8"/>
      <c r="E293" s="8"/>
      <c r="F293" s="8"/>
      <c r="G293" s="8"/>
      <c r="H293" s="8"/>
      <c r="I293" s="8"/>
      <c r="J293" s="124"/>
      <c r="K293" s="124"/>
      <c r="L293" s="8"/>
      <c r="M293" s="125"/>
      <c r="N293" s="8"/>
      <c r="O293" s="125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2"/>
      <c r="B294" s="8"/>
      <c r="C294" s="8"/>
      <c r="D294" s="8"/>
      <c r="E294" s="8"/>
      <c r="F294" s="8"/>
      <c r="G294" s="8"/>
      <c r="H294" s="8"/>
      <c r="I294" s="8"/>
      <c r="J294" s="124"/>
      <c r="K294" s="124"/>
      <c r="L294" s="8"/>
      <c r="M294" s="125"/>
      <c r="N294" s="8"/>
      <c r="O294" s="125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2"/>
      <c r="B295" s="8"/>
      <c r="C295" s="8"/>
      <c r="D295" s="8"/>
      <c r="E295" s="8"/>
      <c r="F295" s="8"/>
      <c r="G295" s="8"/>
      <c r="H295" s="8"/>
      <c r="I295" s="8"/>
      <c r="J295" s="124"/>
      <c r="K295" s="124"/>
      <c r="L295" s="8"/>
      <c r="M295" s="125"/>
      <c r="N295" s="8"/>
      <c r="O295" s="125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2"/>
      <c r="B296" s="8"/>
      <c r="C296" s="8"/>
      <c r="D296" s="8"/>
      <c r="E296" s="8"/>
      <c r="F296" s="8"/>
      <c r="G296" s="8"/>
      <c r="H296" s="8"/>
      <c r="I296" s="8"/>
      <c r="J296" s="124"/>
      <c r="K296" s="124"/>
      <c r="L296" s="8"/>
      <c r="M296" s="125"/>
      <c r="N296" s="8"/>
      <c r="O296" s="125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2"/>
      <c r="B297" s="8"/>
      <c r="C297" s="8"/>
      <c r="D297" s="8"/>
      <c r="E297" s="8"/>
      <c r="F297" s="8"/>
      <c r="G297" s="8"/>
      <c r="H297" s="8"/>
      <c r="I297" s="8"/>
      <c r="J297" s="124"/>
      <c r="K297" s="124"/>
      <c r="L297" s="8"/>
      <c r="M297" s="125"/>
      <c r="N297" s="8"/>
      <c r="O297" s="125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B298" s="126"/>
      <c r="C298" s="8"/>
      <c r="D298" s="8"/>
      <c r="E298" s="8"/>
      <c r="H298" s="8"/>
      <c r="J298" s="124"/>
      <c r="K298" s="8"/>
      <c r="L298" s="8"/>
      <c r="O298" s="125"/>
      <c r="P298" s="8"/>
      <c r="Q298" s="8"/>
      <c r="W298" s="118"/>
      <c r="X298" s="118"/>
      <c r="Z298" s="8"/>
      <c r="AA298" s="8"/>
      <c r="AC298" s="8"/>
      <c r="AD298" s="8"/>
      <c r="AI298" s="8"/>
      <c r="AJ298" s="8"/>
      <c r="AK298" s="8"/>
      <c r="AO298" s="8"/>
      <c r="AP298" s="8"/>
    </row>
    <row r="299" spans="1:42">
      <c r="B299" s="126"/>
      <c r="C299" s="8"/>
      <c r="D299" s="8"/>
      <c r="E299" s="8"/>
      <c r="H299" s="8"/>
      <c r="J299" s="124"/>
      <c r="K299" s="8"/>
      <c r="L299" s="8"/>
      <c r="O299" s="125"/>
      <c r="P299" s="8"/>
      <c r="Q299" s="8"/>
      <c r="W299" s="118"/>
      <c r="X299" s="118"/>
      <c r="Z299" s="8"/>
      <c r="AA299" s="8"/>
      <c r="AC299" s="8"/>
      <c r="AD299" s="8"/>
      <c r="AI299" s="8"/>
      <c r="AJ299" s="8"/>
      <c r="AK299" s="8"/>
      <c r="AO299" s="8"/>
      <c r="AP299" s="8"/>
    </row>
    <row r="300" spans="1:42">
      <c r="B300" s="126"/>
      <c r="C300" s="8"/>
      <c r="D300" s="8"/>
      <c r="E300" s="8"/>
      <c r="H300" s="8"/>
      <c r="J300" s="124"/>
      <c r="K300" s="8"/>
      <c r="L300" s="8"/>
      <c r="O300" s="125"/>
      <c r="P300" s="8"/>
      <c r="Q300" s="8"/>
      <c r="W300" s="118"/>
      <c r="X300" s="118"/>
      <c r="Z300" s="8"/>
      <c r="AA300" s="8"/>
      <c r="AC300" s="8"/>
      <c r="AD300" s="8"/>
      <c r="AI300" s="8"/>
      <c r="AJ300" s="8"/>
      <c r="AK300" s="8"/>
      <c r="AO300" s="8"/>
      <c r="AP300" s="8"/>
    </row>
    <row r="301" spans="1:42">
      <c r="B301" s="126"/>
      <c r="C301" s="8"/>
      <c r="D301" s="8"/>
      <c r="E301" s="8"/>
      <c r="H301" s="8"/>
      <c r="J301" s="124"/>
      <c r="K301" s="8"/>
      <c r="L301" s="8"/>
      <c r="O301" s="125"/>
      <c r="P301" s="8"/>
      <c r="Q301" s="8"/>
      <c r="W301" s="118"/>
      <c r="X301" s="118"/>
      <c r="Z301" s="8"/>
      <c r="AA301" s="8"/>
      <c r="AC301" s="8"/>
      <c r="AD301" s="8"/>
      <c r="AI301" s="8"/>
      <c r="AJ301" s="8"/>
      <c r="AK301" s="8"/>
      <c r="AO301" s="8"/>
      <c r="AP301" s="8"/>
    </row>
    <row r="302" spans="1:42">
      <c r="B302" s="126"/>
      <c r="C302" s="8"/>
      <c r="D302" s="8"/>
      <c r="E302" s="8"/>
      <c r="H302" s="8"/>
      <c r="J302" s="124"/>
      <c r="K302" s="8"/>
      <c r="L302" s="8"/>
      <c r="O302" s="125"/>
      <c r="P302" s="8"/>
      <c r="Q302" s="8"/>
      <c r="W302" s="118"/>
      <c r="X302" s="118"/>
      <c r="Z302" s="8"/>
      <c r="AA302" s="8"/>
      <c r="AC302" s="8"/>
      <c r="AD302" s="8"/>
      <c r="AI302" s="8"/>
      <c r="AJ302" s="8"/>
      <c r="AK302" s="8"/>
      <c r="AO302" s="8"/>
      <c r="AP302" s="8"/>
    </row>
    <row r="303" spans="1:42">
      <c r="B303" s="126"/>
      <c r="C303" s="8"/>
      <c r="D303" s="8"/>
      <c r="E303" s="8"/>
      <c r="H303" s="8"/>
      <c r="J303" s="124"/>
      <c r="K303" s="8"/>
      <c r="L303" s="8"/>
      <c r="O303" s="125"/>
      <c r="P303" s="8"/>
      <c r="Q303" s="8"/>
      <c r="W303" s="118"/>
      <c r="X303" s="118"/>
      <c r="Z303" s="8"/>
      <c r="AA303" s="8"/>
      <c r="AC303" s="8"/>
      <c r="AD303" s="8"/>
      <c r="AI303" s="8"/>
      <c r="AJ303" s="8"/>
      <c r="AK303" s="8"/>
      <c r="AO303" s="8"/>
      <c r="AP303" s="8"/>
    </row>
    <row r="304" spans="1:42">
      <c r="B304" s="126"/>
      <c r="C304" s="8"/>
      <c r="D304" s="8"/>
      <c r="E304" s="8"/>
      <c r="H304" s="8"/>
      <c r="J304" s="124"/>
      <c r="K304" s="8"/>
      <c r="L304" s="8"/>
      <c r="O304" s="125"/>
      <c r="P304" s="8"/>
      <c r="Q304" s="8"/>
      <c r="W304" s="118"/>
      <c r="X304" s="118"/>
      <c r="Z304" s="8"/>
      <c r="AA304" s="8"/>
      <c r="AC304" s="8"/>
      <c r="AD304" s="8"/>
      <c r="AI304" s="8"/>
      <c r="AJ304" s="8"/>
      <c r="AK304" s="8"/>
      <c r="AO304" s="8"/>
      <c r="AP304" s="8"/>
    </row>
    <row r="305" spans="2:42">
      <c r="B305" s="126"/>
      <c r="C305" s="8"/>
      <c r="D305" s="8"/>
      <c r="E305" s="8"/>
      <c r="H305" s="8"/>
      <c r="J305" s="124"/>
      <c r="K305" s="8"/>
      <c r="L305" s="8"/>
      <c r="O305" s="125"/>
      <c r="P305" s="8"/>
      <c r="Q305" s="8"/>
      <c r="W305" s="118"/>
      <c r="X305" s="118"/>
      <c r="Z305" s="8"/>
      <c r="AA305" s="8"/>
      <c r="AC305" s="8"/>
      <c r="AD305" s="8"/>
      <c r="AI305" s="8"/>
      <c r="AJ305" s="8"/>
      <c r="AK305" s="8"/>
      <c r="AO305" s="8"/>
      <c r="AP305" s="8"/>
    </row>
    <row r="306" spans="2:42">
      <c r="B306" s="126"/>
      <c r="C306" s="8"/>
      <c r="D306" s="8"/>
      <c r="E306" s="8"/>
      <c r="H306" s="8"/>
      <c r="J306" s="124"/>
      <c r="K306" s="8"/>
      <c r="L306" s="8"/>
      <c r="O306" s="125"/>
      <c r="P306" s="8"/>
      <c r="Q306" s="8"/>
      <c r="W306" s="118"/>
      <c r="X306" s="118"/>
      <c r="Z306" s="8"/>
      <c r="AA306" s="8"/>
      <c r="AC306" s="8"/>
      <c r="AD306" s="8"/>
      <c r="AI306" s="8"/>
      <c r="AJ306" s="8"/>
      <c r="AK306" s="8"/>
      <c r="AO306" s="8"/>
      <c r="AP306" s="8"/>
    </row>
    <row r="307" spans="2:42">
      <c r="B307" s="126"/>
      <c r="C307" s="8"/>
      <c r="D307" s="8"/>
      <c r="E307" s="8"/>
      <c r="H307" s="8"/>
      <c r="J307" s="124"/>
      <c r="K307" s="8"/>
      <c r="L307" s="8"/>
      <c r="O307" s="125"/>
      <c r="P307" s="8"/>
      <c r="Q307" s="8"/>
      <c r="W307" s="118"/>
      <c r="X307" s="118"/>
      <c r="Z307" s="8"/>
      <c r="AA307" s="8"/>
      <c r="AC307" s="8"/>
      <c r="AD307" s="8"/>
      <c r="AI307" s="8"/>
      <c r="AJ307" s="8"/>
      <c r="AK307" s="8"/>
      <c r="AO307" s="8"/>
      <c r="AP307" s="8"/>
    </row>
    <row r="308" spans="2:42">
      <c r="B308" s="126"/>
      <c r="C308" s="8"/>
      <c r="D308" s="8"/>
      <c r="E308" s="8"/>
      <c r="H308" s="8"/>
      <c r="J308" s="124"/>
      <c r="K308" s="8"/>
      <c r="L308" s="8"/>
      <c r="O308" s="125"/>
      <c r="P308" s="8"/>
      <c r="Q308" s="8"/>
      <c r="W308" s="118"/>
      <c r="X308" s="118"/>
      <c r="Z308" s="8"/>
      <c r="AA308" s="8"/>
      <c r="AC308" s="8"/>
      <c r="AD308" s="8"/>
      <c r="AI308" s="8"/>
      <c r="AJ308" s="8"/>
      <c r="AK308" s="8"/>
      <c r="AO308" s="8"/>
      <c r="AP308" s="8"/>
    </row>
    <row r="309" spans="2:42">
      <c r="B309" s="126"/>
      <c r="C309" s="8"/>
      <c r="D309" s="8"/>
      <c r="E309" s="8"/>
      <c r="H309" s="8"/>
      <c r="J309" s="124"/>
      <c r="K309" s="8"/>
      <c r="L309" s="8"/>
      <c r="O309" s="125"/>
      <c r="P309" s="8"/>
      <c r="Q309" s="8"/>
      <c r="W309" s="118"/>
      <c r="X309" s="118"/>
      <c r="Z309" s="8"/>
      <c r="AA309" s="8"/>
      <c r="AC309" s="8"/>
      <c r="AD309" s="8"/>
      <c r="AI309" s="8"/>
      <c r="AJ309" s="8"/>
      <c r="AK309" s="8"/>
      <c r="AO309" s="8"/>
      <c r="AP309" s="8"/>
    </row>
    <row r="310" spans="2:42">
      <c r="B310" s="126"/>
      <c r="C310" s="8"/>
      <c r="D310" s="8"/>
      <c r="E310" s="8"/>
      <c r="H310" s="8"/>
      <c r="J310" s="124"/>
      <c r="K310" s="8"/>
      <c r="L310" s="8"/>
      <c r="O310" s="125"/>
      <c r="P310" s="8"/>
      <c r="Q310" s="8"/>
      <c r="W310" s="118"/>
      <c r="X310" s="118"/>
      <c r="Z310" s="8"/>
      <c r="AA310" s="8"/>
      <c r="AC310" s="8"/>
      <c r="AD310" s="8"/>
      <c r="AI310" s="8"/>
      <c r="AJ310" s="8"/>
      <c r="AK310" s="8"/>
      <c r="AO310" s="8"/>
      <c r="AP310" s="8"/>
    </row>
    <row r="311" spans="2:42">
      <c r="B311" s="126"/>
      <c r="C311" s="8"/>
      <c r="D311" s="8"/>
      <c r="E311" s="8"/>
      <c r="H311" s="8"/>
      <c r="J311" s="124"/>
      <c r="K311" s="8"/>
      <c r="L311" s="8"/>
      <c r="O311" s="125"/>
      <c r="P311" s="8"/>
      <c r="Q311" s="8"/>
      <c r="W311" s="118"/>
      <c r="X311" s="118"/>
      <c r="Z311" s="8"/>
      <c r="AA311" s="8"/>
      <c r="AC311" s="8"/>
      <c r="AD311" s="8"/>
      <c r="AI311" s="8"/>
      <c r="AJ311" s="8"/>
      <c r="AK311" s="8"/>
      <c r="AO311" s="8"/>
      <c r="AP311" s="8"/>
    </row>
    <row r="312" spans="2:42">
      <c r="B312" s="126"/>
      <c r="C312" s="8"/>
      <c r="D312" s="8"/>
      <c r="E312" s="8"/>
      <c r="H312" s="8"/>
      <c r="J312" s="124"/>
      <c r="K312" s="8"/>
      <c r="L312" s="8"/>
      <c r="O312" s="125"/>
      <c r="P312" s="8"/>
      <c r="Q312" s="8"/>
      <c r="W312" s="118"/>
      <c r="X312" s="118"/>
      <c r="Z312" s="8"/>
      <c r="AA312" s="8"/>
      <c r="AC312" s="8"/>
      <c r="AD312" s="8"/>
      <c r="AI312" s="8"/>
      <c r="AJ312" s="8"/>
      <c r="AK312" s="8"/>
      <c r="AO312" s="8"/>
      <c r="AP312" s="8"/>
    </row>
    <row r="313" spans="2:42">
      <c r="B313" s="126"/>
      <c r="C313" s="8"/>
      <c r="D313" s="8"/>
      <c r="E313" s="8"/>
      <c r="H313" s="8"/>
      <c r="J313" s="124"/>
      <c r="K313" s="8"/>
      <c r="L313" s="8"/>
      <c r="O313" s="125"/>
      <c r="P313" s="8"/>
      <c r="Q313" s="8"/>
      <c r="W313" s="118"/>
      <c r="X313" s="118"/>
      <c r="Z313" s="8"/>
      <c r="AA313" s="8"/>
      <c r="AC313" s="8"/>
      <c r="AD313" s="8"/>
      <c r="AI313" s="8"/>
      <c r="AJ313" s="8"/>
      <c r="AK313" s="8"/>
      <c r="AO313" s="8"/>
      <c r="AP313" s="8"/>
    </row>
    <row r="314" spans="2:42">
      <c r="B314" s="126"/>
      <c r="C314" s="8"/>
      <c r="D314" s="8"/>
      <c r="E314" s="8"/>
      <c r="H314" s="8"/>
      <c r="J314" s="124"/>
      <c r="K314" s="8"/>
      <c r="L314" s="8"/>
      <c r="O314" s="125"/>
      <c r="P314" s="8"/>
      <c r="Q314" s="8"/>
      <c r="W314" s="118"/>
      <c r="X314" s="118"/>
      <c r="Z314" s="8"/>
      <c r="AA314" s="8"/>
      <c r="AC314" s="8"/>
      <c r="AD314" s="8"/>
      <c r="AI314" s="8"/>
      <c r="AJ314" s="8"/>
      <c r="AK314" s="8"/>
      <c r="AO314" s="8"/>
      <c r="AP314" s="8"/>
    </row>
    <row r="315" spans="2:42">
      <c r="B315" s="126"/>
      <c r="C315" s="8"/>
      <c r="D315" s="8"/>
      <c r="E315" s="8"/>
      <c r="H315" s="8"/>
      <c r="J315" s="124"/>
      <c r="K315" s="8"/>
      <c r="L315" s="8"/>
      <c r="O315" s="125"/>
      <c r="P315" s="8"/>
      <c r="Q315" s="8"/>
      <c r="W315" s="118"/>
      <c r="X315" s="118"/>
      <c r="Z315" s="8"/>
      <c r="AA315" s="8"/>
      <c r="AC315" s="8"/>
      <c r="AD315" s="8"/>
      <c r="AI315" s="8"/>
      <c r="AJ315" s="8"/>
      <c r="AK315" s="8"/>
      <c r="AO315" s="8"/>
      <c r="AP315" s="8"/>
    </row>
    <row r="316" spans="2:42">
      <c r="B316" s="126"/>
      <c r="C316" s="8"/>
      <c r="D316" s="8"/>
      <c r="E316" s="8"/>
      <c r="H316" s="8"/>
      <c r="J316" s="124"/>
      <c r="K316" s="8"/>
      <c r="L316" s="8"/>
      <c r="O316" s="125"/>
      <c r="P316" s="8"/>
      <c r="Q316" s="8"/>
      <c r="W316" s="118"/>
      <c r="X316" s="118"/>
      <c r="Z316" s="8"/>
      <c r="AA316" s="8"/>
      <c r="AC316" s="8"/>
      <c r="AD316" s="8"/>
      <c r="AI316" s="8"/>
      <c r="AJ316" s="8"/>
      <c r="AK316" s="8"/>
      <c r="AO316" s="8"/>
      <c r="AP316" s="8"/>
    </row>
    <row r="317" spans="2:42">
      <c r="B317" s="126"/>
      <c r="C317" s="8"/>
      <c r="D317" s="8"/>
      <c r="E317" s="8"/>
      <c r="H317" s="8"/>
      <c r="J317" s="124"/>
      <c r="K317" s="8"/>
      <c r="L317" s="8"/>
      <c r="O317" s="125"/>
      <c r="P317" s="8"/>
      <c r="Q317" s="8"/>
      <c r="W317" s="118"/>
      <c r="X317" s="118"/>
      <c r="Z317" s="8"/>
      <c r="AA317" s="8"/>
      <c r="AC317" s="8"/>
      <c r="AD317" s="8"/>
      <c r="AI317" s="8"/>
      <c r="AJ317" s="8"/>
      <c r="AK317" s="8"/>
      <c r="AO317" s="8"/>
      <c r="AP317" s="8"/>
    </row>
    <row r="318" spans="2:42">
      <c r="B318" s="126"/>
      <c r="C318" s="8"/>
      <c r="D318" s="8"/>
      <c r="E318" s="8"/>
      <c r="H318" s="8"/>
      <c r="J318" s="124"/>
      <c r="K318" s="8"/>
      <c r="L318" s="8"/>
      <c r="O318" s="125"/>
      <c r="P318" s="8"/>
      <c r="Q318" s="8"/>
      <c r="W318" s="118"/>
      <c r="X318" s="118"/>
      <c r="Z318" s="8"/>
      <c r="AA318" s="8"/>
      <c r="AC318" s="8"/>
      <c r="AD318" s="8"/>
      <c r="AI318" s="8"/>
      <c r="AJ318" s="8"/>
      <c r="AK318" s="8"/>
      <c r="AO318" s="8"/>
      <c r="AP318" s="8"/>
    </row>
    <row r="319" spans="2:42">
      <c r="B319" s="126"/>
      <c r="C319" s="8"/>
      <c r="D319" s="8"/>
      <c r="E319" s="8"/>
      <c r="H319" s="8"/>
      <c r="J319" s="124"/>
      <c r="K319" s="8"/>
      <c r="L319" s="8"/>
      <c r="O319" s="125"/>
      <c r="P319" s="8"/>
      <c r="Q319" s="8"/>
      <c r="W319" s="118"/>
      <c r="X319" s="118"/>
      <c r="Z319" s="8"/>
      <c r="AA319" s="8"/>
      <c r="AC319" s="8"/>
      <c r="AD319" s="8"/>
      <c r="AI319" s="8"/>
      <c r="AJ319" s="8"/>
      <c r="AK319" s="8"/>
      <c r="AO319" s="8"/>
      <c r="AP319" s="8"/>
    </row>
    <row r="320" spans="2:42">
      <c r="B320" s="126"/>
      <c r="C320" s="8"/>
      <c r="D320" s="8"/>
      <c r="E320" s="8"/>
      <c r="H320" s="8"/>
      <c r="J320" s="124"/>
      <c r="K320" s="8"/>
      <c r="L320" s="8"/>
      <c r="O320" s="125"/>
      <c r="P320" s="8"/>
      <c r="Q320" s="8"/>
      <c r="W320" s="118"/>
      <c r="X320" s="118"/>
      <c r="Z320" s="8"/>
      <c r="AA320" s="8"/>
      <c r="AC320" s="8"/>
      <c r="AD320" s="8"/>
      <c r="AI320" s="8"/>
      <c r="AJ320" s="8"/>
      <c r="AK320" s="8"/>
      <c r="AO320" s="8"/>
      <c r="AP320" s="8"/>
    </row>
    <row r="321" spans="2:42">
      <c r="B321" s="126"/>
      <c r="C321" s="8"/>
      <c r="D321" s="8"/>
      <c r="E321" s="8"/>
      <c r="H321" s="8"/>
      <c r="J321" s="124"/>
      <c r="K321" s="8"/>
      <c r="L321" s="8"/>
      <c r="O321" s="125"/>
      <c r="P321" s="8"/>
      <c r="Q321" s="8"/>
      <c r="W321" s="118"/>
      <c r="X321" s="118"/>
      <c r="Z321" s="8"/>
      <c r="AA321" s="8"/>
      <c r="AC321" s="8"/>
      <c r="AD321" s="8"/>
      <c r="AI321" s="8"/>
      <c r="AJ321" s="8"/>
      <c r="AK321" s="8"/>
      <c r="AO321" s="8"/>
      <c r="AP321" s="8"/>
    </row>
    <row r="322" spans="2:42">
      <c r="B322" s="126"/>
      <c r="C322" s="8"/>
      <c r="D322" s="8"/>
      <c r="E322" s="8"/>
      <c r="H322" s="8"/>
      <c r="J322" s="124"/>
      <c r="K322" s="8"/>
      <c r="L322" s="8"/>
      <c r="O322" s="125"/>
      <c r="P322" s="8"/>
      <c r="Q322" s="8"/>
      <c r="W322" s="118"/>
      <c r="X322" s="118"/>
      <c r="Z322" s="8"/>
      <c r="AA322" s="8"/>
      <c r="AC322" s="8"/>
      <c r="AD322" s="8"/>
      <c r="AI322" s="8"/>
      <c r="AJ322" s="8"/>
      <c r="AK322" s="8"/>
      <c r="AO322" s="8"/>
      <c r="AP322" s="8"/>
    </row>
    <row r="323" spans="2:42">
      <c r="B323" s="126"/>
      <c r="C323" s="8"/>
      <c r="D323" s="8"/>
      <c r="E323" s="8"/>
      <c r="H323" s="8"/>
      <c r="J323" s="124"/>
      <c r="K323" s="8"/>
      <c r="L323" s="8"/>
      <c r="O323" s="125"/>
      <c r="P323" s="8"/>
      <c r="Q323" s="8"/>
      <c r="W323" s="118"/>
      <c r="X323" s="118"/>
      <c r="Z323" s="8"/>
      <c r="AA323" s="8"/>
      <c r="AC323" s="8"/>
      <c r="AD323" s="8"/>
      <c r="AI323" s="8"/>
      <c r="AJ323" s="8"/>
      <c r="AK323" s="8"/>
      <c r="AO323" s="8"/>
      <c r="AP323" s="8"/>
    </row>
    <row r="324" spans="2:42">
      <c r="B324" s="126"/>
      <c r="C324" s="8"/>
      <c r="D324" s="8"/>
      <c r="E324" s="8"/>
      <c r="H324" s="8"/>
      <c r="J324" s="124"/>
      <c r="K324" s="8"/>
      <c r="L324" s="8"/>
      <c r="O324" s="125"/>
      <c r="P324" s="8"/>
      <c r="Q324" s="8"/>
      <c r="W324" s="118"/>
      <c r="X324" s="118"/>
      <c r="Z324" s="8"/>
      <c r="AA324" s="8"/>
      <c r="AC324" s="8"/>
      <c r="AD324" s="8"/>
      <c r="AI324" s="8"/>
      <c r="AJ324" s="8"/>
      <c r="AK324" s="8"/>
      <c r="AO324" s="8"/>
      <c r="AP324" s="8"/>
    </row>
    <row r="325" spans="2:42">
      <c r="B325" s="126"/>
      <c r="C325" s="8"/>
      <c r="D325" s="8"/>
      <c r="E325" s="8"/>
      <c r="H325" s="8"/>
      <c r="J325" s="124"/>
      <c r="K325" s="8"/>
      <c r="L325" s="8"/>
      <c r="O325" s="125"/>
      <c r="P325" s="8"/>
      <c r="Q325" s="8"/>
      <c r="W325" s="118"/>
      <c r="X325" s="118"/>
      <c r="Z325" s="8"/>
      <c r="AA325" s="8"/>
      <c r="AC325" s="8"/>
      <c r="AD325" s="8"/>
      <c r="AI325" s="8"/>
      <c r="AJ325" s="8"/>
      <c r="AK325" s="8"/>
      <c r="AO325" s="8"/>
      <c r="AP325" s="8"/>
    </row>
    <row r="326" spans="2:42">
      <c r="B326" s="126"/>
      <c r="C326" s="8"/>
      <c r="D326" s="8"/>
      <c r="E326" s="8"/>
      <c r="H326" s="8"/>
      <c r="J326" s="124"/>
      <c r="K326" s="8"/>
      <c r="L326" s="8"/>
      <c r="O326" s="125"/>
      <c r="P326" s="8"/>
      <c r="Q326" s="8"/>
      <c r="W326" s="118"/>
      <c r="X326" s="118"/>
      <c r="Z326" s="8"/>
      <c r="AA326" s="8"/>
      <c r="AC326" s="8"/>
      <c r="AD326" s="8"/>
      <c r="AI326" s="8"/>
      <c r="AJ326" s="8"/>
      <c r="AK326" s="8"/>
      <c r="AO326" s="8"/>
      <c r="AP326" s="8"/>
    </row>
    <row r="327" spans="2:42">
      <c r="B327" s="126"/>
      <c r="C327" s="8"/>
      <c r="D327" s="8"/>
      <c r="E327" s="8"/>
      <c r="H327" s="8"/>
      <c r="J327" s="124"/>
      <c r="K327" s="8"/>
      <c r="L327" s="8"/>
      <c r="O327" s="125"/>
      <c r="P327" s="8"/>
      <c r="Q327" s="8"/>
      <c r="W327" s="118"/>
      <c r="X327" s="118"/>
      <c r="Z327" s="8"/>
      <c r="AA327" s="8"/>
      <c r="AC327" s="8"/>
      <c r="AD327" s="8"/>
      <c r="AI327" s="8"/>
      <c r="AJ327" s="8"/>
      <c r="AK327" s="8"/>
      <c r="AO327" s="8"/>
      <c r="AP327" s="8"/>
    </row>
    <row r="328" spans="2:42">
      <c r="B328" s="126"/>
      <c r="C328" s="8"/>
      <c r="D328" s="8"/>
      <c r="E328" s="8"/>
      <c r="H328" s="8"/>
      <c r="J328" s="124"/>
      <c r="K328" s="8"/>
      <c r="L328" s="8"/>
      <c r="O328" s="125"/>
      <c r="P328" s="8"/>
      <c r="Q328" s="8"/>
      <c r="W328" s="118"/>
      <c r="X328" s="118"/>
      <c r="Z328" s="8"/>
      <c r="AA328" s="8"/>
      <c r="AC328" s="8"/>
      <c r="AD328" s="8"/>
      <c r="AI328" s="8"/>
      <c r="AJ328" s="8"/>
      <c r="AK328" s="8"/>
      <c r="AO328" s="8"/>
      <c r="AP328" s="8"/>
    </row>
    <row r="329" spans="2:42">
      <c r="B329" s="126"/>
      <c r="C329" s="8"/>
      <c r="D329" s="8"/>
      <c r="E329" s="8"/>
      <c r="H329" s="8"/>
      <c r="J329" s="124"/>
      <c r="K329" s="8"/>
      <c r="L329" s="8"/>
      <c r="O329" s="125"/>
      <c r="P329" s="8"/>
      <c r="Q329" s="8"/>
      <c r="W329" s="118"/>
      <c r="X329" s="118"/>
      <c r="Z329" s="8"/>
      <c r="AA329" s="8"/>
      <c r="AC329" s="8"/>
      <c r="AD329" s="8"/>
      <c r="AI329" s="8"/>
      <c r="AJ329" s="8"/>
      <c r="AK329" s="8"/>
      <c r="AO329" s="8"/>
      <c r="AP329" s="8"/>
    </row>
    <row r="330" spans="2:42">
      <c r="B330" s="126"/>
      <c r="C330" s="8"/>
      <c r="D330" s="8"/>
      <c r="E330" s="8"/>
      <c r="H330" s="8"/>
      <c r="J330" s="124"/>
      <c r="K330" s="8"/>
      <c r="L330" s="8"/>
      <c r="O330" s="125"/>
      <c r="P330" s="8"/>
      <c r="Q330" s="8"/>
      <c r="W330" s="118"/>
      <c r="X330" s="118"/>
      <c r="Z330" s="8"/>
      <c r="AA330" s="8"/>
      <c r="AC330" s="8"/>
      <c r="AD330" s="8"/>
      <c r="AI330" s="8"/>
      <c r="AJ330" s="8"/>
      <c r="AK330" s="8"/>
      <c r="AO330" s="8"/>
      <c r="AP330" s="8"/>
    </row>
    <row r="331" spans="2:42">
      <c r="B331" s="126"/>
      <c r="C331" s="8"/>
      <c r="D331" s="8"/>
      <c r="E331" s="8"/>
      <c r="H331" s="8"/>
      <c r="J331" s="124"/>
      <c r="K331" s="8"/>
      <c r="L331" s="8"/>
      <c r="O331" s="125"/>
      <c r="P331" s="8"/>
      <c r="Q331" s="8"/>
      <c r="W331" s="118"/>
      <c r="X331" s="118"/>
      <c r="Z331" s="8"/>
      <c r="AA331" s="8"/>
      <c r="AC331" s="8"/>
      <c r="AD331" s="8"/>
      <c r="AI331" s="8"/>
      <c r="AJ331" s="8"/>
      <c r="AK331" s="8"/>
      <c r="AO331" s="8"/>
      <c r="AP331" s="8"/>
    </row>
    <row r="332" spans="2:42">
      <c r="B332" s="126"/>
      <c r="C332" s="8"/>
      <c r="D332" s="8"/>
      <c r="E332" s="8"/>
      <c r="H332" s="8"/>
      <c r="J332" s="124"/>
      <c r="K332" s="8"/>
      <c r="L332" s="8"/>
      <c r="O332" s="125"/>
      <c r="P332" s="8"/>
      <c r="Q332" s="8"/>
      <c r="W332" s="118"/>
      <c r="X332" s="118"/>
      <c r="Z332" s="8"/>
      <c r="AA332" s="8"/>
      <c r="AC332" s="8"/>
      <c r="AD332" s="8"/>
      <c r="AI332" s="8"/>
      <c r="AJ332" s="8"/>
      <c r="AK332" s="8"/>
      <c r="AO332" s="8"/>
      <c r="AP332" s="8"/>
    </row>
    <row r="333" spans="2:42">
      <c r="B333" s="126"/>
      <c r="C333" s="8"/>
      <c r="D333" s="8"/>
      <c r="E333" s="8"/>
      <c r="H333" s="8"/>
      <c r="J333" s="124"/>
      <c r="K333" s="8"/>
      <c r="L333" s="8"/>
      <c r="O333" s="125"/>
      <c r="P333" s="8"/>
      <c r="Q333" s="8"/>
      <c r="W333" s="118"/>
      <c r="X333" s="118"/>
      <c r="Z333" s="8"/>
      <c r="AA333" s="8"/>
      <c r="AC333" s="8"/>
      <c r="AD333" s="8"/>
      <c r="AI333" s="8"/>
      <c r="AJ333" s="8"/>
      <c r="AK333" s="8"/>
      <c r="AO333" s="8"/>
      <c r="AP333" s="8"/>
    </row>
    <row r="334" spans="2:42">
      <c r="B334" s="126"/>
      <c r="C334" s="8"/>
      <c r="D334" s="8"/>
      <c r="E334" s="8"/>
      <c r="H334" s="8"/>
      <c r="J334" s="124"/>
      <c r="K334" s="8"/>
      <c r="L334" s="8"/>
      <c r="O334" s="125"/>
      <c r="P334" s="8"/>
      <c r="Q334" s="8"/>
      <c r="W334" s="118"/>
      <c r="X334" s="118"/>
      <c r="Z334" s="8"/>
      <c r="AA334" s="8"/>
      <c r="AC334" s="8"/>
      <c r="AD334" s="8"/>
      <c r="AI334" s="8"/>
      <c r="AJ334" s="8"/>
      <c r="AK334" s="8"/>
      <c r="AO334" s="8"/>
      <c r="AP334" s="8"/>
    </row>
    <row r="335" spans="2:42">
      <c r="B335" s="126"/>
      <c r="C335" s="8"/>
      <c r="D335" s="8"/>
      <c r="E335" s="8"/>
      <c r="H335" s="8"/>
      <c r="J335" s="124"/>
      <c r="K335" s="8"/>
      <c r="L335" s="8"/>
      <c r="O335" s="125"/>
      <c r="P335" s="8"/>
      <c r="Q335" s="8"/>
      <c r="W335" s="118"/>
      <c r="X335" s="118"/>
      <c r="Z335" s="8"/>
      <c r="AA335" s="8"/>
      <c r="AC335" s="8"/>
      <c r="AD335" s="8"/>
      <c r="AI335" s="8"/>
      <c r="AJ335" s="8"/>
      <c r="AK335" s="8"/>
      <c r="AO335" s="8"/>
      <c r="AP335" s="8"/>
    </row>
    <row r="336" spans="2:42">
      <c r="B336" s="126"/>
      <c r="C336" s="8"/>
      <c r="D336" s="8"/>
      <c r="E336" s="8"/>
      <c r="H336" s="8"/>
      <c r="J336" s="124"/>
      <c r="K336" s="8"/>
      <c r="L336" s="8"/>
      <c r="O336" s="125"/>
      <c r="P336" s="8"/>
      <c r="Q336" s="8"/>
      <c r="W336" s="118"/>
      <c r="X336" s="118"/>
      <c r="Z336" s="8"/>
      <c r="AA336" s="8"/>
      <c r="AC336" s="8"/>
      <c r="AD336" s="8"/>
      <c r="AI336" s="8"/>
      <c r="AJ336" s="8"/>
      <c r="AK336" s="8"/>
      <c r="AO336" s="8"/>
      <c r="AP336" s="8"/>
    </row>
    <row r="337" spans="2:42">
      <c r="B337" s="126"/>
      <c r="C337" s="8"/>
      <c r="D337" s="8"/>
      <c r="E337" s="8"/>
      <c r="H337" s="8"/>
      <c r="J337" s="124"/>
      <c r="K337" s="8"/>
      <c r="L337" s="8"/>
      <c r="O337" s="125"/>
      <c r="P337" s="8"/>
      <c r="Q337" s="8"/>
      <c r="W337" s="118"/>
      <c r="X337" s="118"/>
      <c r="Z337" s="8"/>
      <c r="AA337" s="8"/>
      <c r="AC337" s="8"/>
      <c r="AD337" s="8"/>
      <c r="AI337" s="8"/>
      <c r="AJ337" s="8"/>
      <c r="AK337" s="8"/>
      <c r="AO337" s="8"/>
      <c r="AP337" s="8"/>
    </row>
    <row r="338" spans="2:42">
      <c r="B338" s="126"/>
      <c r="C338" s="8"/>
      <c r="D338" s="8"/>
      <c r="E338" s="8"/>
      <c r="H338" s="8"/>
      <c r="J338" s="124"/>
      <c r="K338" s="8"/>
      <c r="L338" s="8"/>
      <c r="O338" s="125"/>
      <c r="P338" s="8"/>
      <c r="Q338" s="8"/>
      <c r="W338" s="118"/>
      <c r="X338" s="118"/>
      <c r="Z338" s="8"/>
      <c r="AA338" s="8"/>
      <c r="AC338" s="8"/>
      <c r="AD338" s="8"/>
      <c r="AI338" s="8"/>
      <c r="AJ338" s="8"/>
      <c r="AK338" s="8"/>
      <c r="AO338" s="8"/>
      <c r="AP338" s="8"/>
    </row>
    <row r="339" spans="2:42">
      <c r="B339" s="126"/>
      <c r="C339" s="8"/>
      <c r="D339" s="8"/>
      <c r="E339" s="8"/>
      <c r="H339" s="8"/>
      <c r="J339" s="124"/>
      <c r="K339" s="8"/>
      <c r="L339" s="8"/>
      <c r="O339" s="125"/>
      <c r="P339" s="8"/>
      <c r="Q339" s="8"/>
      <c r="W339" s="118"/>
      <c r="X339" s="118"/>
      <c r="Z339" s="8"/>
      <c r="AA339" s="8"/>
      <c r="AC339" s="8"/>
      <c r="AD339" s="8"/>
      <c r="AI339" s="8"/>
      <c r="AJ339" s="8"/>
      <c r="AK339" s="8"/>
      <c r="AO339" s="8"/>
      <c r="AP339" s="8"/>
    </row>
    <row r="340" spans="2:42">
      <c r="B340" s="126"/>
      <c r="C340" s="8"/>
      <c r="D340" s="8"/>
      <c r="E340" s="8"/>
      <c r="H340" s="8"/>
      <c r="J340" s="124"/>
      <c r="K340" s="8"/>
      <c r="L340" s="8"/>
      <c r="O340" s="125"/>
      <c r="P340" s="8"/>
      <c r="Q340" s="8"/>
      <c r="W340" s="118"/>
      <c r="X340" s="118"/>
      <c r="Z340" s="8"/>
      <c r="AA340" s="8"/>
      <c r="AC340" s="8"/>
      <c r="AD340" s="8"/>
      <c r="AI340" s="8"/>
      <c r="AJ340" s="8"/>
      <c r="AK340" s="8"/>
      <c r="AO340" s="8"/>
      <c r="AP340" s="8"/>
    </row>
    <row r="341" spans="2:42">
      <c r="B341" s="126"/>
      <c r="C341" s="8"/>
      <c r="D341" s="8"/>
      <c r="E341" s="8"/>
      <c r="H341" s="8"/>
      <c r="J341" s="124"/>
      <c r="K341" s="8"/>
      <c r="L341" s="8"/>
      <c r="O341" s="125"/>
      <c r="P341" s="8"/>
      <c r="Q341" s="8"/>
      <c r="W341" s="118"/>
      <c r="X341" s="118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26"/>
      <c r="C342" s="8"/>
      <c r="D342" s="8"/>
      <c r="E342" s="8"/>
      <c r="H342" s="8"/>
      <c r="J342" s="124"/>
      <c r="K342" s="8"/>
      <c r="L342" s="8"/>
      <c r="O342" s="125"/>
      <c r="P342" s="8"/>
      <c r="Q342" s="8"/>
      <c r="W342" s="118"/>
      <c r="X342" s="118"/>
      <c r="Z342" s="8"/>
      <c r="AA342" s="8"/>
      <c r="AC342" s="8"/>
      <c r="AD342" s="8"/>
      <c r="AI342" s="8"/>
      <c r="AJ342" s="8"/>
      <c r="AK342" s="8"/>
      <c r="AO342" s="8"/>
      <c r="AP342" s="8"/>
    </row>
    <row r="343" spans="2:42">
      <c r="B343" s="126"/>
      <c r="C343" s="8"/>
      <c r="D343" s="8"/>
      <c r="E343" s="8"/>
      <c r="H343" s="8"/>
      <c r="J343" s="124"/>
      <c r="K343" s="8"/>
      <c r="L343" s="8"/>
      <c r="O343" s="125"/>
      <c r="P343" s="8"/>
      <c r="Q343" s="8"/>
      <c r="W343" s="118"/>
      <c r="X343" s="118"/>
      <c r="Z343" s="8"/>
      <c r="AA343" s="8"/>
      <c r="AC343" s="8"/>
      <c r="AD343" s="8"/>
      <c r="AI343" s="8"/>
      <c r="AJ343" s="8"/>
      <c r="AK343" s="8"/>
      <c r="AO343" s="8"/>
      <c r="AP343" s="8"/>
    </row>
    <row r="344" spans="2:42">
      <c r="B344" s="126"/>
      <c r="C344" s="8"/>
      <c r="D344" s="8"/>
      <c r="E344" s="8"/>
      <c r="H344" s="8"/>
      <c r="J344" s="124"/>
      <c r="K344" s="8"/>
      <c r="L344" s="8"/>
      <c r="O344" s="125"/>
      <c r="P344" s="8"/>
      <c r="Q344" s="8"/>
      <c r="W344" s="118"/>
      <c r="X344" s="118"/>
      <c r="Z344" s="8"/>
      <c r="AA344" s="8"/>
      <c r="AC344" s="8"/>
      <c r="AD344" s="8"/>
      <c r="AI344" s="8"/>
      <c r="AJ344" s="8"/>
      <c r="AK344" s="8"/>
      <c r="AO344" s="8"/>
      <c r="AP344" s="8"/>
    </row>
    <row r="345" spans="2:42">
      <c r="B345" s="126"/>
      <c r="C345" s="8"/>
      <c r="D345" s="8"/>
      <c r="E345" s="8"/>
      <c r="H345" s="8"/>
      <c r="J345" s="124"/>
      <c r="K345" s="8"/>
      <c r="L345" s="8"/>
      <c r="O345" s="125"/>
      <c r="P345" s="8"/>
      <c r="Q345" s="8"/>
      <c r="W345" s="118"/>
      <c r="X345" s="118"/>
      <c r="Z345" s="8"/>
      <c r="AA345" s="8"/>
      <c r="AC345" s="8"/>
      <c r="AD345" s="8"/>
      <c r="AI345" s="8"/>
      <c r="AJ345" s="8"/>
      <c r="AK345" s="8"/>
      <c r="AO345" s="8"/>
      <c r="AP345" s="8"/>
    </row>
    <row r="346" spans="2:42">
      <c r="B346" s="126"/>
      <c r="C346" s="8"/>
      <c r="D346" s="8"/>
      <c r="E346" s="8"/>
      <c r="H346" s="8"/>
      <c r="J346" s="124"/>
      <c r="K346" s="8"/>
      <c r="L346" s="8"/>
      <c r="O346" s="125"/>
      <c r="P346" s="8"/>
      <c r="Q346" s="8"/>
      <c r="W346" s="118"/>
      <c r="X346" s="118"/>
      <c r="Z346" s="8"/>
      <c r="AA346" s="8"/>
      <c r="AC346" s="8"/>
      <c r="AD346" s="8"/>
      <c r="AI346" s="8"/>
      <c r="AJ346" s="8"/>
      <c r="AK346" s="8"/>
      <c r="AO346" s="8"/>
      <c r="AP346" s="8"/>
    </row>
    <row r="347" spans="2:42">
      <c r="B347" s="126"/>
      <c r="C347" s="8"/>
      <c r="D347" s="8"/>
      <c r="E347" s="8"/>
      <c r="H347" s="8"/>
      <c r="J347" s="124"/>
      <c r="K347" s="8"/>
      <c r="L347" s="8"/>
      <c r="O347" s="125"/>
      <c r="P347" s="8"/>
      <c r="Q347" s="8"/>
      <c r="W347" s="118"/>
      <c r="X347" s="118"/>
      <c r="Z347" s="8"/>
      <c r="AA347" s="8"/>
      <c r="AC347" s="8"/>
      <c r="AD347" s="8"/>
      <c r="AI347" s="8"/>
      <c r="AJ347" s="8"/>
      <c r="AK347" s="8"/>
      <c r="AO347" s="8"/>
      <c r="AP347" s="8"/>
    </row>
    <row r="348" spans="2:42">
      <c r="B348" s="126"/>
      <c r="C348" s="8"/>
      <c r="D348" s="8"/>
      <c r="E348" s="8"/>
      <c r="H348" s="8"/>
      <c r="J348" s="124"/>
      <c r="K348" s="8"/>
      <c r="L348" s="8"/>
      <c r="O348" s="125"/>
      <c r="P348" s="8"/>
      <c r="Q348" s="8"/>
      <c r="W348" s="118"/>
      <c r="X348" s="118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26"/>
      <c r="C349" s="8"/>
      <c r="D349" s="8"/>
      <c r="E349" s="8"/>
      <c r="H349" s="8"/>
      <c r="J349" s="124"/>
      <c r="K349" s="8"/>
      <c r="L349" s="8"/>
      <c r="O349" s="125"/>
      <c r="P349" s="8"/>
      <c r="Q349" s="8"/>
      <c r="W349" s="118"/>
      <c r="X349" s="118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26"/>
      <c r="C350" s="8"/>
      <c r="D350" s="8"/>
      <c r="E350" s="8"/>
      <c r="H350" s="8"/>
      <c r="J350" s="124"/>
      <c r="K350" s="8"/>
      <c r="L350" s="8"/>
      <c r="O350" s="125"/>
      <c r="P350" s="8"/>
      <c r="Q350" s="8"/>
      <c r="W350" s="118"/>
      <c r="X350" s="118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18"/>
      <c r="C351" s="8"/>
      <c r="D351" s="8"/>
      <c r="E351" s="8"/>
      <c r="H351" s="8"/>
      <c r="J351" s="124"/>
      <c r="K351" s="8"/>
      <c r="L351" s="8"/>
      <c r="M351" s="127"/>
      <c r="O351" s="125"/>
      <c r="P351" s="8"/>
      <c r="Q351" s="8"/>
      <c r="W351" s="8"/>
      <c r="X351" s="8"/>
      <c r="Z351" s="8"/>
      <c r="AA351" s="8"/>
      <c r="AC351" s="8"/>
      <c r="AD351" s="8"/>
      <c r="AJ351" s="8"/>
      <c r="AK351" s="8"/>
      <c r="AO351" s="8"/>
      <c r="AP351" s="8"/>
    </row>
    <row r="352" spans="2:42">
      <c r="B352" s="118"/>
      <c r="C352" s="8"/>
      <c r="D352" s="8"/>
      <c r="E352" s="8"/>
      <c r="H352" s="8"/>
      <c r="J352" s="124"/>
      <c r="K352" s="8"/>
      <c r="L352" s="8"/>
      <c r="M352" s="127"/>
      <c r="O352" s="125"/>
      <c r="P352" s="8"/>
      <c r="Q352" s="8"/>
      <c r="W352" s="8"/>
      <c r="X352" s="8"/>
      <c r="Z352" s="8"/>
      <c r="AA352" s="8"/>
      <c r="AC352" s="8"/>
      <c r="AD352" s="8"/>
      <c r="AJ352" s="8"/>
      <c r="AK352" s="8"/>
      <c r="AO352" s="8"/>
      <c r="AP352" s="8"/>
    </row>
    <row r="353" spans="2:42">
      <c r="B353" s="118"/>
      <c r="C353" s="8"/>
      <c r="D353" s="8"/>
      <c r="E353" s="8"/>
      <c r="H353" s="8"/>
      <c r="J353" s="124"/>
      <c r="K353" s="8"/>
      <c r="L353" s="8"/>
      <c r="M353" s="127"/>
      <c r="O353" s="125"/>
      <c r="P353" s="8"/>
      <c r="Q353" s="8"/>
      <c r="W353" s="8"/>
      <c r="X353" s="8"/>
      <c r="Z353" s="8"/>
      <c r="AA353" s="8"/>
      <c r="AC353" s="8"/>
      <c r="AD353" s="8"/>
      <c r="AJ353" s="8"/>
      <c r="AK353" s="8"/>
      <c r="AO353" s="8"/>
      <c r="AP353" s="8"/>
    </row>
    <row r="354" spans="2:42">
      <c r="B354" s="118"/>
      <c r="C354" s="8"/>
      <c r="D354" s="8"/>
      <c r="E354" s="8"/>
      <c r="H354" s="8"/>
      <c r="J354" s="124"/>
      <c r="K354" s="8"/>
      <c r="L354" s="8"/>
      <c r="M354" s="127"/>
      <c r="O354" s="125"/>
      <c r="P354" s="8"/>
      <c r="Q354" s="8"/>
      <c r="W354" s="8"/>
      <c r="X354" s="8"/>
      <c r="Z354" s="8"/>
      <c r="AA354" s="8"/>
      <c r="AC354" s="8"/>
      <c r="AD354" s="8"/>
      <c r="AJ354" s="8"/>
      <c r="AK354" s="8"/>
      <c r="AO354" s="8"/>
      <c r="AP354" s="8"/>
    </row>
    <row r="355" spans="2:42">
      <c r="B355" s="118"/>
      <c r="C355" s="8"/>
      <c r="D355" s="8"/>
      <c r="E355" s="8"/>
      <c r="H355" s="8"/>
      <c r="J355" s="124"/>
      <c r="K355" s="8"/>
      <c r="L355" s="8"/>
      <c r="M355" s="127"/>
      <c r="O355" s="125"/>
      <c r="P355" s="8"/>
      <c r="Q355" s="8"/>
      <c r="W355" s="8"/>
      <c r="X355" s="8"/>
      <c r="Z355" s="8"/>
      <c r="AA355" s="8"/>
      <c r="AC355" s="8"/>
      <c r="AD355" s="8"/>
      <c r="AJ355" s="8"/>
      <c r="AK355" s="8"/>
      <c r="AO355" s="8"/>
      <c r="AP355" s="8"/>
    </row>
    <row r="356" spans="2:42">
      <c r="B356" s="118"/>
      <c r="C356" s="8"/>
      <c r="D356" s="8"/>
      <c r="E356" s="8"/>
      <c r="H356" s="8"/>
      <c r="J356" s="124"/>
      <c r="K356" s="8"/>
      <c r="L356" s="8"/>
      <c r="M356" s="127"/>
      <c r="O356" s="125"/>
      <c r="P356" s="8"/>
      <c r="Q356" s="8"/>
      <c r="W356" s="8"/>
      <c r="X356" s="8"/>
      <c r="Z356" s="8"/>
      <c r="AA356" s="8"/>
      <c r="AC356" s="8"/>
      <c r="AD356" s="8"/>
      <c r="AJ356" s="8"/>
      <c r="AK356" s="8"/>
      <c r="AO356" s="8"/>
      <c r="AP356" s="8"/>
    </row>
    <row r="357" spans="2:42">
      <c r="B357" s="118"/>
      <c r="C357" s="8"/>
      <c r="D357" s="8"/>
      <c r="E357" s="8"/>
      <c r="H357" s="8"/>
      <c r="J357" s="124"/>
      <c r="K357" s="8"/>
      <c r="L357" s="8"/>
      <c r="M357" s="127"/>
      <c r="P357" s="8"/>
      <c r="Q357" s="8"/>
      <c r="W357" s="8"/>
      <c r="X357" s="8"/>
      <c r="Z357" s="8"/>
      <c r="AA357" s="8"/>
      <c r="AC357" s="8"/>
      <c r="AD357" s="8"/>
      <c r="AI357" s="8"/>
      <c r="AJ357" s="8"/>
      <c r="AK357" s="8"/>
      <c r="AO357" s="8"/>
      <c r="AP357" s="8"/>
    </row>
    <row r="358" spans="2:42">
      <c r="B358" s="118"/>
      <c r="C358" s="8"/>
      <c r="D358" s="8"/>
      <c r="E358" s="8"/>
      <c r="H358" s="8"/>
      <c r="J358" s="124"/>
      <c r="K358" s="8"/>
      <c r="L358" s="8"/>
      <c r="M358" s="127"/>
      <c r="P358" s="8"/>
      <c r="Q358" s="8"/>
      <c r="W358" s="8"/>
      <c r="X358" s="8"/>
      <c r="Z358" s="8"/>
      <c r="AA358" s="8"/>
      <c r="AC358" s="8"/>
      <c r="AD358" s="8"/>
      <c r="AI358" s="8"/>
      <c r="AJ358" s="8"/>
      <c r="AK358" s="8"/>
      <c r="AO358" s="8"/>
      <c r="AP358" s="8"/>
    </row>
    <row r="359" spans="2:42">
      <c r="B359" s="118"/>
      <c r="C359" s="8"/>
      <c r="D359" s="8"/>
      <c r="E359" s="8"/>
      <c r="H359" s="8"/>
      <c r="J359" s="124"/>
      <c r="K359" s="8"/>
      <c r="L359" s="8"/>
      <c r="M359" s="127"/>
      <c r="P359" s="8"/>
      <c r="Q359" s="8"/>
      <c r="W359" s="8"/>
      <c r="X359" s="8"/>
      <c r="Z359" s="8"/>
      <c r="AA359" s="8"/>
      <c r="AC359" s="8"/>
      <c r="AD359" s="8"/>
      <c r="AI359" s="8"/>
      <c r="AJ359" s="8"/>
      <c r="AK359" s="8"/>
      <c r="AO359" s="8"/>
      <c r="AP359" s="8"/>
    </row>
    <row r="360" spans="2:42">
      <c r="B360" s="118"/>
      <c r="C360" s="8"/>
      <c r="D360" s="8"/>
      <c r="E360" s="8"/>
      <c r="H360" s="8"/>
      <c r="J360" s="124"/>
      <c r="K360" s="8"/>
      <c r="L360" s="8"/>
      <c r="M360" s="127"/>
      <c r="P360" s="8"/>
      <c r="Q360" s="8"/>
      <c r="W360" s="8"/>
      <c r="X360" s="8"/>
      <c r="Z360" s="8"/>
      <c r="AA360" s="8"/>
      <c r="AC360" s="8"/>
      <c r="AD360" s="8"/>
      <c r="AI360" s="8"/>
      <c r="AJ360" s="8"/>
      <c r="AK360" s="8"/>
      <c r="AO360" s="8"/>
      <c r="AP360" s="8"/>
    </row>
    <row r="361" spans="2:42">
      <c r="B361" s="118"/>
      <c r="C361" s="8"/>
      <c r="D361" s="8"/>
      <c r="E361" s="8"/>
      <c r="H361" s="8"/>
      <c r="J361" s="124"/>
      <c r="K361" s="8"/>
      <c r="L361" s="8"/>
      <c r="M361" s="127"/>
      <c r="P361" s="8"/>
      <c r="Q361" s="8"/>
      <c r="W361" s="8"/>
      <c r="X361" s="8"/>
      <c r="Z361" s="8"/>
      <c r="AA361" s="8"/>
      <c r="AC361" s="8"/>
      <c r="AD361" s="8"/>
      <c r="AI361" s="8"/>
      <c r="AJ361" s="8"/>
      <c r="AK361" s="8"/>
      <c r="AO361" s="8"/>
      <c r="AP361" s="8"/>
    </row>
    <row r="362" spans="2:42">
      <c r="B362" s="118"/>
      <c r="C362" s="8"/>
      <c r="D362" s="8"/>
      <c r="E362" s="8"/>
      <c r="H362" s="8"/>
      <c r="J362" s="128"/>
      <c r="K362" s="118"/>
      <c r="L362" s="8"/>
      <c r="M362" s="127"/>
      <c r="O362" s="125"/>
      <c r="P362" s="8"/>
      <c r="Q362" s="8"/>
      <c r="W362" s="118"/>
      <c r="X362" s="8"/>
      <c r="Z362" s="8"/>
      <c r="AA362" s="8"/>
      <c r="AB362" s="8"/>
      <c r="AC362" s="8"/>
      <c r="AD362" s="8"/>
      <c r="AI362" s="8"/>
      <c r="AJ362" s="8"/>
      <c r="AK362" s="8"/>
      <c r="AO362" s="8"/>
      <c r="AP362" s="8"/>
    </row>
    <row r="363" spans="2:42">
      <c r="B363" s="118"/>
      <c r="C363" s="8"/>
      <c r="D363" s="8"/>
      <c r="E363" s="8"/>
      <c r="H363" s="8"/>
      <c r="J363" s="128"/>
      <c r="K363" s="118"/>
      <c r="L363" s="8"/>
      <c r="M363" s="127"/>
      <c r="O363" s="125"/>
      <c r="P363" s="8"/>
      <c r="Q363" s="8"/>
      <c r="W363" s="118"/>
      <c r="X363" s="8"/>
      <c r="Z363" s="8"/>
      <c r="AA363" s="8"/>
      <c r="AB363" s="8"/>
      <c r="AC363" s="8"/>
      <c r="AD363" s="8"/>
      <c r="AI363" s="8"/>
      <c r="AJ363" s="8"/>
      <c r="AK363" s="8"/>
      <c r="AO363" s="8"/>
      <c r="AP363" s="8"/>
    </row>
    <row r="364" spans="2:42">
      <c r="B364" s="118"/>
      <c r="C364" s="8"/>
      <c r="D364" s="8"/>
      <c r="E364" s="8"/>
      <c r="H364" s="8"/>
      <c r="J364" s="128"/>
      <c r="K364" s="118"/>
      <c r="L364" s="8"/>
      <c r="M364" s="127"/>
      <c r="O364" s="125"/>
      <c r="P364" s="8"/>
      <c r="Q364" s="8"/>
      <c r="W364" s="118"/>
      <c r="X364" s="8"/>
      <c r="Z364" s="8"/>
      <c r="AA364" s="8"/>
      <c r="AB364" s="8"/>
      <c r="AC364" s="8"/>
      <c r="AD364" s="8"/>
      <c r="AI364" s="8"/>
      <c r="AJ364" s="8"/>
      <c r="AK364" s="8"/>
      <c r="AO364" s="8"/>
      <c r="AP364" s="8"/>
    </row>
    <row r="365" spans="2:42">
      <c r="B365" s="118"/>
      <c r="C365" s="8"/>
      <c r="D365" s="8"/>
      <c r="E365" s="8"/>
      <c r="H365" s="8"/>
      <c r="J365" s="128"/>
      <c r="K365" s="118"/>
      <c r="L365" s="8"/>
      <c r="M365" s="127"/>
      <c r="O365" s="125"/>
      <c r="P365" s="8"/>
      <c r="Q365" s="8"/>
      <c r="W365" s="118"/>
      <c r="X365" s="8"/>
      <c r="Z365" s="8"/>
      <c r="AA365" s="8"/>
      <c r="AB365" s="8"/>
      <c r="AC365" s="8"/>
      <c r="AD365" s="8"/>
      <c r="AI365" s="8"/>
      <c r="AJ365" s="8"/>
      <c r="AK365" s="8"/>
      <c r="AO365" s="8"/>
      <c r="AP365" s="8"/>
    </row>
    <row r="366" spans="2:42">
      <c r="B366" s="118"/>
      <c r="C366" s="8"/>
      <c r="D366" s="8"/>
      <c r="E366" s="8"/>
      <c r="H366" s="8"/>
      <c r="J366" s="128"/>
      <c r="K366" s="118"/>
      <c r="L366" s="8"/>
      <c r="M366" s="127"/>
      <c r="O366" s="125"/>
      <c r="P366" s="8"/>
      <c r="Q366" s="8"/>
      <c r="R366" s="118"/>
      <c r="S366" s="118"/>
      <c r="T366" s="118"/>
      <c r="W366" s="118"/>
      <c r="X366" s="8"/>
      <c r="Z366" s="8"/>
      <c r="AA366" s="8"/>
      <c r="AB366" s="8"/>
      <c r="AC366" s="8"/>
      <c r="AD366" s="8"/>
      <c r="AI366" s="8"/>
      <c r="AJ366" s="8"/>
      <c r="AK366" s="8"/>
      <c r="AO366" s="8"/>
      <c r="AP366" s="8"/>
    </row>
    <row r="367" spans="2:42">
      <c r="B367" s="118"/>
      <c r="C367" s="8"/>
      <c r="D367" s="8"/>
      <c r="E367" s="8"/>
      <c r="H367" s="8"/>
      <c r="J367" s="128"/>
      <c r="K367" s="118"/>
      <c r="L367" s="8"/>
      <c r="M367" s="127"/>
      <c r="O367" s="125"/>
      <c r="P367" s="8"/>
      <c r="Q367" s="8"/>
      <c r="R367" s="118"/>
      <c r="S367" s="118"/>
      <c r="T367" s="118"/>
      <c r="W367" s="118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18"/>
      <c r="C368" s="8"/>
      <c r="D368" s="8"/>
      <c r="E368" s="8"/>
      <c r="H368" s="8"/>
      <c r="J368" s="128"/>
      <c r="K368" s="118"/>
      <c r="L368" s="8"/>
      <c r="M368" s="127"/>
      <c r="O368" s="125"/>
      <c r="P368" s="8"/>
      <c r="Q368" s="8"/>
      <c r="R368" s="118"/>
      <c r="S368" s="118"/>
      <c r="T368" s="118"/>
      <c r="W368" s="118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18"/>
      <c r="C369" s="8"/>
      <c r="D369" s="8"/>
      <c r="E369" s="8"/>
      <c r="H369" s="8"/>
      <c r="J369" s="128"/>
      <c r="K369" s="118"/>
      <c r="L369" s="8"/>
      <c r="M369" s="127"/>
      <c r="O369" s="125"/>
      <c r="P369" s="8"/>
      <c r="Q369" s="8"/>
      <c r="R369" s="118"/>
      <c r="S369" s="118"/>
      <c r="T369" s="118"/>
      <c r="W369" s="118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18"/>
      <c r="C370" s="8"/>
      <c r="D370" s="8"/>
      <c r="E370" s="8"/>
      <c r="H370" s="8"/>
      <c r="J370" s="128"/>
      <c r="K370" s="118"/>
      <c r="L370" s="8"/>
      <c r="M370" s="127"/>
      <c r="O370" s="125"/>
      <c r="P370" s="8"/>
      <c r="Q370" s="8"/>
      <c r="R370" s="118"/>
      <c r="S370" s="118"/>
      <c r="T370" s="118"/>
      <c r="W370" s="118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18"/>
      <c r="C371" s="8"/>
      <c r="D371" s="8"/>
      <c r="E371" s="8"/>
      <c r="H371" s="8"/>
      <c r="J371" s="128"/>
      <c r="K371" s="118"/>
      <c r="L371" s="8"/>
      <c r="M371" s="127"/>
      <c r="O371" s="125"/>
      <c r="P371" s="8"/>
      <c r="Q371" s="8"/>
      <c r="R371" s="118"/>
      <c r="S371" s="118"/>
      <c r="T371" s="118"/>
      <c r="W371" s="118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18"/>
      <c r="C372" s="8"/>
      <c r="D372" s="8"/>
      <c r="E372" s="8"/>
      <c r="H372" s="8"/>
      <c r="J372" s="128"/>
      <c r="K372" s="118"/>
      <c r="L372" s="8"/>
      <c r="M372" s="127"/>
      <c r="O372" s="125"/>
      <c r="P372" s="8"/>
      <c r="Q372" s="8"/>
      <c r="R372" s="118"/>
      <c r="S372" s="118"/>
      <c r="T372" s="118"/>
      <c r="W372" s="118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18"/>
      <c r="C373" s="8"/>
      <c r="D373" s="8"/>
      <c r="E373" s="8"/>
      <c r="H373" s="8"/>
      <c r="J373" s="128"/>
      <c r="K373" s="118"/>
      <c r="L373" s="8"/>
      <c r="M373" s="127"/>
      <c r="O373" s="125"/>
      <c r="P373" s="8"/>
      <c r="Q373" s="8"/>
      <c r="R373" s="118"/>
      <c r="S373" s="118"/>
      <c r="T373" s="118"/>
      <c r="W373" s="118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18"/>
      <c r="C374" s="8"/>
      <c r="D374" s="8"/>
      <c r="E374" s="8"/>
      <c r="H374" s="8"/>
      <c r="J374" s="128"/>
      <c r="K374" s="118"/>
      <c r="L374" s="8"/>
      <c r="M374" s="127"/>
      <c r="O374" s="125"/>
      <c r="P374" s="8"/>
      <c r="Q374" s="8"/>
      <c r="R374" s="118"/>
      <c r="S374" s="118"/>
      <c r="T374" s="118"/>
      <c r="W374" s="118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18"/>
      <c r="C375" s="8"/>
      <c r="D375" s="8"/>
      <c r="E375" s="8"/>
      <c r="H375" s="8"/>
      <c r="J375" s="128"/>
      <c r="K375" s="118"/>
      <c r="L375" s="8"/>
      <c r="M375" s="127"/>
      <c r="O375" s="125"/>
      <c r="P375" s="8"/>
      <c r="Q375" s="8"/>
      <c r="R375" s="118"/>
      <c r="S375" s="118"/>
      <c r="T375" s="118"/>
      <c r="W375" s="118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18"/>
      <c r="C376" s="8"/>
      <c r="D376" s="8"/>
      <c r="E376" s="8"/>
      <c r="H376" s="8"/>
      <c r="J376" s="128"/>
      <c r="K376" s="118"/>
      <c r="L376" s="8"/>
      <c r="M376" s="127"/>
      <c r="O376" s="125"/>
      <c r="P376" s="8"/>
      <c r="Q376" s="8"/>
      <c r="R376" s="118"/>
      <c r="S376" s="118"/>
      <c r="T376" s="118"/>
      <c r="W376" s="118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18"/>
      <c r="C377" s="8"/>
      <c r="D377" s="8"/>
      <c r="E377" s="8"/>
      <c r="H377" s="8"/>
      <c r="J377" s="128"/>
      <c r="K377" s="118"/>
      <c r="L377" s="8"/>
      <c r="M377" s="127"/>
      <c r="O377" s="125"/>
      <c r="P377" s="8"/>
      <c r="Q377" s="8"/>
      <c r="R377" s="118"/>
      <c r="S377" s="118"/>
      <c r="T377" s="118"/>
      <c r="W377" s="118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18"/>
      <c r="C378" s="8"/>
      <c r="D378" s="8"/>
      <c r="E378" s="8"/>
      <c r="H378" s="8"/>
      <c r="J378" s="128"/>
      <c r="K378" s="118"/>
      <c r="L378" s="8"/>
      <c r="M378" s="127"/>
      <c r="O378" s="125"/>
      <c r="P378" s="8"/>
      <c r="Q378" s="8"/>
      <c r="R378" s="8"/>
      <c r="S378" s="8"/>
      <c r="T378" s="8"/>
      <c r="W378" s="118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18"/>
      <c r="C379" s="8"/>
      <c r="D379" s="8"/>
      <c r="E379" s="8"/>
      <c r="H379" s="8"/>
      <c r="J379" s="128"/>
      <c r="K379" s="118"/>
      <c r="L379" s="8"/>
      <c r="M379" s="127"/>
      <c r="O379" s="125"/>
      <c r="P379" s="8"/>
      <c r="Q379" s="8"/>
      <c r="R379" s="8"/>
      <c r="S379" s="8"/>
      <c r="T379" s="8"/>
      <c r="W379" s="118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 s="119" customFormat="1">
      <c r="E380" s="8"/>
      <c r="H380" s="8"/>
      <c r="J380" s="124"/>
      <c r="AB380" s="8"/>
    </row>
    <row r="381" spans="2:42" s="119" customFormat="1">
      <c r="E381" s="8"/>
      <c r="H381" s="8"/>
      <c r="J381" s="124"/>
      <c r="AB381" s="8"/>
    </row>
    <row r="382" spans="2:42" s="119" customFormat="1">
      <c r="E382" s="8"/>
      <c r="H382" s="8"/>
      <c r="J382" s="124"/>
      <c r="AB382" s="8"/>
    </row>
    <row r="383" spans="2:42" s="119" customFormat="1">
      <c r="E383" s="8"/>
      <c r="H383" s="8"/>
      <c r="J383" s="124"/>
      <c r="AB383" s="8"/>
    </row>
    <row r="384" spans="2:42" s="119" customFormat="1">
      <c r="E384" s="8"/>
      <c r="H384" s="8"/>
      <c r="J384" s="124"/>
      <c r="AB384" s="8"/>
    </row>
    <row r="385" spans="2:42" s="119" customFormat="1">
      <c r="E385" s="8"/>
      <c r="H385" s="8"/>
      <c r="J385" s="124"/>
      <c r="AB385" s="8"/>
    </row>
    <row r="386" spans="2:42" s="119" customFormat="1">
      <c r="E386" s="8"/>
      <c r="H386" s="8"/>
      <c r="J386" s="124"/>
      <c r="AB386" s="8"/>
    </row>
    <row r="387" spans="2:42" s="119" customFormat="1">
      <c r="E387" s="8"/>
      <c r="H387" s="8"/>
      <c r="J387" s="124"/>
      <c r="AB387" s="8"/>
    </row>
    <row r="388" spans="2:42" s="119" customFormat="1">
      <c r="E388" s="8"/>
      <c r="H388" s="8"/>
      <c r="J388" s="124"/>
      <c r="AB388" s="8"/>
    </row>
    <row r="389" spans="2:42" s="119" customFormat="1">
      <c r="E389" s="8"/>
      <c r="H389" s="8"/>
      <c r="J389" s="124"/>
      <c r="AB389" s="8"/>
    </row>
    <row r="390" spans="2:42" s="119" customFormat="1">
      <c r="E390" s="8"/>
      <c r="H390" s="8"/>
      <c r="J390" s="124"/>
      <c r="AB390" s="8"/>
    </row>
    <row r="391" spans="2:42" s="119" customFormat="1">
      <c r="E391" s="8"/>
      <c r="H391" s="8"/>
      <c r="J391" s="124"/>
      <c r="AB391" s="8"/>
    </row>
    <row r="392" spans="2:42" s="119" customFormat="1">
      <c r="E392" s="8"/>
      <c r="H392" s="8"/>
      <c r="J392" s="124"/>
      <c r="AB392" s="8"/>
    </row>
    <row r="393" spans="2:42" s="119" customFormat="1">
      <c r="E393" s="8"/>
      <c r="H393" s="8"/>
      <c r="J393" s="124"/>
      <c r="AB393" s="8"/>
    </row>
    <row r="394" spans="2:42" s="119" customFormat="1">
      <c r="E394" s="8"/>
      <c r="H394" s="8"/>
      <c r="J394" s="124"/>
      <c r="AB394" s="8"/>
    </row>
    <row r="395" spans="2:42" s="119" customFormat="1">
      <c r="E395" s="8"/>
      <c r="H395" s="8"/>
      <c r="J395" s="124"/>
      <c r="AB395" s="8"/>
    </row>
    <row r="396" spans="2:42" s="119" customFormat="1">
      <c r="E396" s="8"/>
      <c r="H396" s="8"/>
      <c r="J396" s="124"/>
      <c r="AB396" s="8"/>
    </row>
    <row r="397" spans="2:42" s="119" customFormat="1">
      <c r="E397" s="8"/>
      <c r="H397" s="8"/>
      <c r="J397" s="124"/>
      <c r="AB397" s="8"/>
    </row>
    <row r="398" spans="2:42">
      <c r="B398" s="118"/>
      <c r="C398" s="8"/>
      <c r="D398" s="8"/>
      <c r="E398" s="8"/>
      <c r="H398" s="8"/>
      <c r="J398" s="124"/>
      <c r="K398" s="8"/>
      <c r="L398" s="8"/>
      <c r="O398" s="125"/>
      <c r="P398" s="8"/>
      <c r="Q398" s="8"/>
      <c r="W398" s="8"/>
      <c r="X398" s="8"/>
      <c r="Z398" s="8"/>
      <c r="AA398" s="8"/>
      <c r="AC398" s="8"/>
      <c r="AD398" s="8"/>
      <c r="AI398" s="8"/>
      <c r="AJ398" s="8"/>
      <c r="AK398" s="8"/>
      <c r="AO398" s="8"/>
      <c r="AP398" s="8"/>
    </row>
    <row r="399" spans="2:42">
      <c r="B399" s="118"/>
      <c r="C399" s="8"/>
      <c r="D399" s="8"/>
      <c r="E399" s="8"/>
      <c r="H399" s="8"/>
      <c r="I399" s="119"/>
      <c r="J399" s="124"/>
      <c r="K399" s="8"/>
      <c r="L399" s="8"/>
      <c r="M399" s="119"/>
      <c r="O399" s="125"/>
      <c r="P399" s="8"/>
      <c r="Q399" s="8"/>
      <c r="W399" s="8"/>
      <c r="X399" s="8"/>
      <c r="Z399" s="8"/>
      <c r="AA399" s="8"/>
      <c r="AC399" s="8"/>
      <c r="AD399" s="8"/>
      <c r="AI399" s="8"/>
      <c r="AJ399" s="8"/>
      <c r="AK399" s="8"/>
      <c r="AO399" s="8"/>
      <c r="AP399" s="8"/>
    </row>
    <row r="400" spans="2:42">
      <c r="B400" s="118"/>
      <c r="C400" s="8"/>
      <c r="D400" s="8"/>
      <c r="E400" s="8"/>
      <c r="H400" s="8"/>
      <c r="I400" s="119"/>
      <c r="J400" s="124"/>
      <c r="K400" s="8"/>
      <c r="L400" s="8"/>
      <c r="M400" s="119"/>
      <c r="O400" s="125"/>
      <c r="P400" s="8"/>
      <c r="Q400" s="8"/>
      <c r="W400" s="8"/>
      <c r="X400" s="8"/>
      <c r="Z400" s="8"/>
      <c r="AA400" s="8"/>
      <c r="AC400" s="8"/>
      <c r="AD400" s="8"/>
      <c r="AI400" s="8"/>
      <c r="AJ400" s="8"/>
      <c r="AK400" s="8"/>
      <c r="AO400" s="8"/>
      <c r="AP400" s="8"/>
    </row>
    <row r="401" spans="2:42">
      <c r="B401" s="118"/>
      <c r="C401" s="8"/>
      <c r="D401" s="8"/>
      <c r="E401" s="8"/>
      <c r="H401" s="8"/>
      <c r="I401" s="119"/>
      <c r="J401" s="124"/>
      <c r="K401" s="8"/>
      <c r="L401" s="8"/>
      <c r="M401" s="119"/>
      <c r="O401" s="125"/>
      <c r="P401" s="8"/>
      <c r="Q401" s="8"/>
      <c r="W401" s="8"/>
      <c r="X401" s="8"/>
      <c r="Z401" s="8"/>
      <c r="AA401" s="8"/>
      <c r="AC401" s="8"/>
      <c r="AD401" s="8"/>
      <c r="AI401" s="8"/>
      <c r="AJ401" s="8"/>
      <c r="AK401" s="8"/>
      <c r="AO401" s="8"/>
      <c r="AP401" s="8"/>
    </row>
    <row r="402" spans="2:42">
      <c r="B402" s="118"/>
      <c r="C402" s="8"/>
      <c r="D402" s="8"/>
      <c r="E402" s="8"/>
      <c r="H402" s="8"/>
      <c r="I402" s="119"/>
      <c r="J402" s="119"/>
      <c r="K402" s="8"/>
      <c r="L402" s="8"/>
      <c r="M402" s="119"/>
      <c r="O402" s="125"/>
      <c r="P402" s="8"/>
      <c r="Q402" s="8"/>
      <c r="W402" s="8"/>
      <c r="X402" s="8"/>
      <c r="Z402" s="8"/>
      <c r="AA402" s="8"/>
      <c r="AC402" s="8"/>
      <c r="AD402" s="8"/>
      <c r="AI402" s="8"/>
      <c r="AJ402" s="8"/>
      <c r="AK402" s="8"/>
      <c r="AO402" s="8"/>
      <c r="AP402" s="8"/>
    </row>
    <row r="403" spans="2:42">
      <c r="B403" s="118"/>
      <c r="C403" s="8"/>
      <c r="D403" s="8"/>
      <c r="E403" s="8"/>
      <c r="H403" s="8"/>
      <c r="I403" s="119"/>
      <c r="J403" s="119"/>
      <c r="K403" s="8"/>
      <c r="L403" s="8"/>
      <c r="M403" s="119"/>
      <c r="O403" s="125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18"/>
      <c r="C404" s="8"/>
      <c r="D404" s="8"/>
      <c r="E404" s="8"/>
      <c r="H404" s="8"/>
      <c r="I404" s="119"/>
      <c r="J404" s="119"/>
      <c r="K404" s="8"/>
      <c r="L404" s="8"/>
      <c r="M404" s="119"/>
      <c r="O404" s="125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18"/>
      <c r="C405" s="8"/>
      <c r="D405" s="8"/>
      <c r="E405" s="8"/>
      <c r="H405" s="8"/>
      <c r="I405" s="119"/>
      <c r="J405" s="118"/>
      <c r="K405" s="8"/>
      <c r="L405" s="8"/>
      <c r="M405" s="119"/>
      <c r="O405" s="125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18"/>
      <c r="C406" s="8"/>
      <c r="D406" s="8"/>
      <c r="E406" s="8"/>
      <c r="H406" s="8"/>
      <c r="I406" s="119"/>
      <c r="J406" s="118"/>
      <c r="K406" s="8"/>
      <c r="L406" s="8"/>
      <c r="M406" s="119"/>
      <c r="O406" s="125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18"/>
      <c r="C407" s="8"/>
      <c r="D407" s="8"/>
      <c r="E407" s="8"/>
      <c r="H407" s="8"/>
      <c r="J407" s="124"/>
      <c r="K407" s="8"/>
      <c r="L407" s="8"/>
      <c r="M407" s="127"/>
      <c r="O407" s="125"/>
      <c r="P407" s="8"/>
      <c r="Q407" s="8"/>
      <c r="W407" s="11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18"/>
      <c r="C408" s="8"/>
      <c r="D408" s="8"/>
      <c r="E408" s="8"/>
      <c r="H408" s="8"/>
      <c r="J408" s="124"/>
      <c r="K408" s="8"/>
      <c r="L408" s="8"/>
      <c r="M408" s="127"/>
      <c r="O408" s="125"/>
      <c r="P408" s="8"/>
      <c r="Q408" s="8"/>
      <c r="W408" s="118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18"/>
      <c r="C409" s="8"/>
      <c r="D409" s="8"/>
      <c r="E409" s="8"/>
      <c r="H409" s="8"/>
      <c r="J409" s="124"/>
      <c r="K409" s="8"/>
      <c r="L409" s="8"/>
      <c r="M409" s="127"/>
      <c r="O409" s="125"/>
      <c r="P409" s="8"/>
      <c r="Q409" s="8"/>
      <c r="W409" s="118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18"/>
      <c r="C410" s="8"/>
      <c r="D410" s="8"/>
      <c r="E410" s="8"/>
      <c r="H410" s="8"/>
      <c r="J410" s="124"/>
      <c r="K410" s="8"/>
      <c r="L410" s="8"/>
      <c r="M410" s="127"/>
      <c r="O410" s="125"/>
      <c r="P410" s="8"/>
      <c r="Q410" s="8"/>
      <c r="W410" s="118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18"/>
      <c r="C411" s="8"/>
      <c r="D411" s="8"/>
      <c r="E411" s="8"/>
      <c r="H411" s="8"/>
      <c r="J411" s="124"/>
      <c r="K411" s="8"/>
      <c r="L411" s="8"/>
      <c r="M411" s="129"/>
      <c r="O411" s="125"/>
      <c r="P411" s="8"/>
      <c r="Q411" s="8"/>
      <c r="W411" s="8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18"/>
      <c r="C412" s="8"/>
      <c r="D412" s="8"/>
      <c r="E412" s="8"/>
      <c r="H412" s="8"/>
      <c r="J412" s="124"/>
      <c r="K412" s="8"/>
      <c r="L412" s="8"/>
      <c r="M412" s="129"/>
      <c r="O412" s="125"/>
      <c r="P412" s="8"/>
      <c r="Q412" s="8"/>
      <c r="W412" s="8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18"/>
      <c r="C413" s="8"/>
      <c r="D413" s="8"/>
      <c r="E413" s="8"/>
      <c r="H413" s="8"/>
      <c r="J413" s="124"/>
      <c r="K413" s="8"/>
      <c r="L413" s="8"/>
      <c r="M413" s="129"/>
      <c r="O413" s="125"/>
      <c r="P413" s="8"/>
      <c r="Q413" s="8"/>
      <c r="W413" s="8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18"/>
      <c r="C414" s="8"/>
      <c r="D414" s="8"/>
      <c r="E414" s="8"/>
      <c r="H414" s="8"/>
      <c r="J414" s="124"/>
      <c r="K414" s="8"/>
      <c r="L414" s="8"/>
      <c r="M414" s="129"/>
      <c r="O414" s="125"/>
      <c r="P414" s="8"/>
      <c r="Q414" s="8"/>
      <c r="W414" s="8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18"/>
      <c r="C415" s="8"/>
      <c r="D415" s="8"/>
      <c r="E415" s="8"/>
      <c r="H415" s="8"/>
      <c r="J415" s="124"/>
      <c r="K415" s="8"/>
      <c r="L415" s="8"/>
      <c r="M415" s="129"/>
      <c r="O415" s="125"/>
      <c r="P415" s="8"/>
      <c r="Q415" s="8"/>
      <c r="W415" s="8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18"/>
      <c r="C416" s="8"/>
      <c r="D416" s="8"/>
      <c r="E416" s="8"/>
      <c r="H416" s="8"/>
      <c r="J416" s="124"/>
      <c r="K416" s="8"/>
      <c r="L416" s="8"/>
      <c r="M416" s="129"/>
      <c r="O416" s="125"/>
      <c r="P416" s="8"/>
      <c r="Q416" s="8"/>
      <c r="W416" s="8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18"/>
      <c r="C417" s="8"/>
      <c r="D417" s="8"/>
      <c r="E417" s="8"/>
      <c r="H417" s="8"/>
      <c r="J417" s="124"/>
      <c r="K417" s="8"/>
      <c r="L417" s="8"/>
      <c r="M417" s="129"/>
      <c r="O417" s="125"/>
      <c r="P417" s="8"/>
      <c r="Q417" s="8"/>
      <c r="W417" s="8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18"/>
      <c r="C418" s="8"/>
      <c r="D418" s="8"/>
      <c r="E418" s="8"/>
      <c r="H418" s="8"/>
      <c r="J418" s="124"/>
      <c r="K418" s="8"/>
      <c r="L418" s="8"/>
      <c r="M418" s="129"/>
      <c r="O418" s="125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19"/>
      <c r="C419" s="8"/>
      <c r="D419" s="8"/>
      <c r="E419" s="8"/>
      <c r="H419" s="8"/>
      <c r="J419" s="124"/>
      <c r="K419" s="8"/>
      <c r="L419" s="8"/>
      <c r="M419" s="129"/>
      <c r="O419" s="125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19"/>
      <c r="C420" s="8"/>
      <c r="D420" s="8"/>
      <c r="E420" s="8"/>
      <c r="H420" s="8"/>
      <c r="J420" s="124"/>
      <c r="K420" s="8"/>
      <c r="L420" s="8"/>
      <c r="M420" s="129"/>
      <c r="O420" s="125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19"/>
      <c r="C421" s="8"/>
      <c r="D421" s="8"/>
      <c r="E421" s="8"/>
      <c r="H421" s="8"/>
      <c r="J421" s="124"/>
      <c r="K421" s="8"/>
      <c r="L421" s="8"/>
      <c r="M421" s="129"/>
      <c r="O421" s="125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18"/>
      <c r="C422" s="8"/>
      <c r="D422" s="8"/>
      <c r="E422" s="8"/>
      <c r="H422" s="8"/>
      <c r="I422" s="119"/>
      <c r="J422" s="124"/>
      <c r="K422" s="8"/>
      <c r="L422" s="8"/>
      <c r="M422" s="127"/>
      <c r="O422" s="125"/>
      <c r="P422" s="8"/>
      <c r="Q422" s="8"/>
      <c r="W422" s="118"/>
      <c r="X422" s="8"/>
      <c r="Z422" s="8"/>
      <c r="AA422" s="8"/>
      <c r="AC422" s="8"/>
      <c r="AD422" s="8"/>
      <c r="AJ422" s="8"/>
      <c r="AK422" s="8"/>
    </row>
    <row r="423" spans="2:42">
      <c r="B423" s="118"/>
      <c r="C423" s="8"/>
      <c r="D423" s="8"/>
      <c r="E423" s="8"/>
      <c r="H423" s="8"/>
      <c r="J423" s="124"/>
      <c r="K423" s="8"/>
      <c r="L423" s="8"/>
      <c r="M423" s="127"/>
      <c r="O423" s="125"/>
      <c r="P423" s="8"/>
      <c r="Q423" s="8"/>
      <c r="W423" s="118"/>
      <c r="X423" s="8"/>
      <c r="Z423" s="8"/>
      <c r="AA423" s="8"/>
      <c r="AC423" s="8"/>
      <c r="AD423" s="8"/>
      <c r="AJ423" s="8"/>
      <c r="AK423" s="8"/>
    </row>
    <row r="424" spans="2:42">
      <c r="B424" s="118"/>
      <c r="C424" s="8"/>
      <c r="D424" s="8"/>
      <c r="E424" s="8"/>
      <c r="H424" s="8"/>
      <c r="J424" s="124"/>
      <c r="K424" s="8"/>
      <c r="L424" s="8"/>
      <c r="M424" s="127"/>
      <c r="O424" s="125"/>
      <c r="P424" s="8"/>
      <c r="Q424" s="8"/>
      <c r="W424" s="118"/>
      <c r="X424" s="8"/>
      <c r="Z424" s="8"/>
      <c r="AA424" s="8"/>
      <c r="AC424" s="8"/>
      <c r="AD424" s="8"/>
      <c r="AJ424" s="8"/>
      <c r="AK424" s="8"/>
    </row>
    <row r="425" spans="2:42">
      <c r="B425" s="118"/>
      <c r="C425" s="8"/>
      <c r="D425" s="8"/>
      <c r="E425" s="8"/>
      <c r="H425" s="8"/>
      <c r="J425" s="124"/>
      <c r="K425" s="8"/>
      <c r="L425" s="8"/>
      <c r="M425" s="127"/>
      <c r="O425" s="125"/>
      <c r="P425" s="8"/>
      <c r="Q425" s="8"/>
      <c r="W425" s="118"/>
      <c r="X425" s="8"/>
      <c r="Z425" s="8"/>
      <c r="AA425" s="8"/>
      <c r="AC425" s="8"/>
      <c r="AD425" s="8"/>
      <c r="AJ425" s="8"/>
      <c r="AK425" s="8"/>
    </row>
    <row r="426" spans="2:42">
      <c r="B426" s="118"/>
      <c r="C426" s="8"/>
      <c r="D426" s="8"/>
      <c r="E426" s="8"/>
      <c r="H426" s="8"/>
      <c r="J426" s="124"/>
      <c r="K426" s="8"/>
      <c r="L426" s="8"/>
      <c r="P426" s="8"/>
      <c r="Q426" s="8"/>
      <c r="W426" s="118"/>
      <c r="X426" s="8"/>
      <c r="Z426" s="8"/>
      <c r="AA426" s="8"/>
      <c r="AC426" s="8"/>
      <c r="AD426" s="8"/>
      <c r="AJ426" s="8"/>
      <c r="AK426" s="8"/>
      <c r="AO426" s="8"/>
      <c r="AP426" s="8"/>
    </row>
    <row r="427" spans="2:42">
      <c r="B427" s="118"/>
      <c r="C427" s="8"/>
      <c r="D427" s="8"/>
      <c r="E427" s="8"/>
      <c r="H427" s="8"/>
      <c r="J427" s="124"/>
      <c r="K427" s="8"/>
      <c r="L427" s="8"/>
      <c r="P427" s="8"/>
      <c r="Q427" s="8"/>
      <c r="W427" s="8"/>
      <c r="X427" s="8"/>
      <c r="Z427" s="8"/>
      <c r="AA427" s="8"/>
      <c r="AC427" s="8"/>
      <c r="AD427" s="8"/>
      <c r="AI427" s="8"/>
      <c r="AJ427" s="8"/>
      <c r="AK427" s="8"/>
      <c r="AO427" s="8"/>
      <c r="AP427" s="8"/>
    </row>
    <row r="428" spans="2:42">
      <c r="B428" s="118"/>
      <c r="C428" s="8"/>
      <c r="D428" s="8"/>
      <c r="E428" s="8"/>
      <c r="H428" s="8"/>
      <c r="J428" s="124"/>
      <c r="K428" s="8"/>
      <c r="L428" s="8"/>
      <c r="P428" s="8"/>
      <c r="Q428" s="8"/>
      <c r="W428" s="8"/>
      <c r="X428" s="8"/>
      <c r="Z428" s="8"/>
      <c r="AA428" s="8"/>
      <c r="AC428" s="8"/>
      <c r="AD428" s="8"/>
      <c r="AI428" s="8"/>
      <c r="AJ428" s="8"/>
      <c r="AK428" s="8"/>
      <c r="AO428" s="8"/>
      <c r="AP428" s="8"/>
    </row>
    <row r="429" spans="2:42">
      <c r="B429" s="118"/>
      <c r="C429" s="8"/>
      <c r="D429" s="8"/>
      <c r="E429" s="8"/>
      <c r="H429" s="8"/>
      <c r="J429" s="124"/>
      <c r="K429" s="8"/>
      <c r="L429" s="8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42">
      <c r="B430" s="118"/>
      <c r="C430" s="8"/>
      <c r="D430" s="8"/>
      <c r="E430" s="8"/>
      <c r="H430" s="8"/>
      <c r="J430" s="124"/>
      <c r="K430" s="8"/>
      <c r="L430" s="8"/>
      <c r="P430" s="8"/>
      <c r="Q430" s="8"/>
      <c r="W430" s="8"/>
      <c r="X430" s="8"/>
      <c r="Z430" s="8"/>
      <c r="AA430" s="8"/>
      <c r="AC430" s="8"/>
      <c r="AD430" s="8"/>
      <c r="AI430" s="8"/>
      <c r="AJ430" s="8"/>
      <c r="AK430" s="8"/>
      <c r="AO430" s="8"/>
      <c r="AP430" s="8"/>
    </row>
    <row r="431" spans="2:42">
      <c r="B431" s="118"/>
      <c r="C431" s="8"/>
      <c r="D431" s="8"/>
      <c r="E431" s="8"/>
      <c r="H431" s="8"/>
      <c r="J431" s="124"/>
      <c r="K431" s="8"/>
      <c r="L431" s="8"/>
      <c r="P431" s="8"/>
      <c r="Q431" s="8"/>
      <c r="W431" s="8"/>
      <c r="X431" s="8"/>
      <c r="Z431" s="8"/>
      <c r="AA431" s="8"/>
      <c r="AC431" s="8"/>
      <c r="AD431" s="8"/>
      <c r="AI431" s="8"/>
      <c r="AJ431" s="8"/>
      <c r="AK431" s="8"/>
      <c r="AO431" s="8"/>
      <c r="AP431" s="8"/>
    </row>
    <row r="432" spans="2:42">
      <c r="B432" s="118"/>
      <c r="C432" s="8"/>
      <c r="D432" s="8"/>
      <c r="E432" s="8"/>
      <c r="H432" s="8"/>
      <c r="J432" s="124"/>
      <c r="K432" s="8"/>
      <c r="L432" s="8"/>
      <c r="P432" s="8"/>
      <c r="Q432" s="8"/>
      <c r="W432" s="8"/>
      <c r="X432" s="8"/>
      <c r="Z432" s="8"/>
      <c r="AA432" s="8"/>
      <c r="AC432" s="8"/>
      <c r="AD432" s="8"/>
      <c r="AI432" s="8"/>
      <c r="AJ432" s="8"/>
      <c r="AK432" s="8"/>
      <c r="AO432" s="8"/>
      <c r="AP432" s="8"/>
    </row>
    <row r="433" spans="2:42">
      <c r="B433" s="118"/>
      <c r="C433" s="8"/>
      <c r="D433" s="8"/>
      <c r="E433" s="8"/>
      <c r="H433" s="8"/>
      <c r="J433" s="124"/>
      <c r="K433" s="8"/>
      <c r="L433" s="8"/>
      <c r="P433" s="8"/>
      <c r="Q433" s="8"/>
      <c r="W433" s="8"/>
      <c r="X433" s="8"/>
      <c r="Z433" s="8"/>
      <c r="AA433" s="8"/>
      <c r="AC433" s="8"/>
      <c r="AD433" s="8"/>
      <c r="AI433" s="8"/>
      <c r="AJ433" s="8"/>
      <c r="AK433" s="8"/>
      <c r="AO433" s="8"/>
      <c r="AP433" s="8"/>
    </row>
    <row r="434" spans="2:42">
      <c r="B434" s="118"/>
      <c r="C434" s="8"/>
      <c r="D434" s="8"/>
      <c r="E434" s="8"/>
      <c r="H434" s="8"/>
      <c r="J434" s="124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18"/>
      <c r="C435" s="8"/>
      <c r="D435" s="8"/>
      <c r="E435" s="8"/>
      <c r="H435" s="8"/>
      <c r="J435" s="124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18"/>
      <c r="C436" s="8"/>
      <c r="D436" s="8"/>
      <c r="E436" s="8"/>
      <c r="H436" s="8"/>
      <c r="J436" s="124"/>
      <c r="K436" s="8"/>
      <c r="L436" s="8"/>
      <c r="O436" s="125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18"/>
      <c r="C437" s="8"/>
      <c r="D437" s="8"/>
      <c r="E437" s="8"/>
      <c r="H437" s="8"/>
      <c r="J437" s="124"/>
      <c r="K437" s="8"/>
      <c r="L437" s="8"/>
      <c r="O437" s="125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18"/>
      <c r="C438" s="8"/>
      <c r="D438" s="8"/>
      <c r="E438" s="8"/>
      <c r="H438" s="8"/>
      <c r="J438" s="124"/>
      <c r="K438" s="8"/>
      <c r="L438" s="8"/>
      <c r="O438" s="125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18"/>
      <c r="C439" s="8"/>
      <c r="D439" s="8"/>
      <c r="E439" s="8"/>
      <c r="H439" s="8"/>
      <c r="J439" s="124"/>
      <c r="K439" s="8"/>
      <c r="L439" s="8"/>
      <c r="M439"/>
      <c r="O439" s="125"/>
      <c r="P439" s="8"/>
      <c r="Q439" s="8"/>
      <c r="W439" s="8"/>
      <c r="X439" s="8"/>
      <c r="Z439" s="8"/>
      <c r="AA439" s="8"/>
      <c r="AB439" s="8"/>
      <c r="AC439" s="8"/>
      <c r="AD439" s="8"/>
      <c r="AI439" s="8"/>
      <c r="AJ439" s="8"/>
      <c r="AK439" s="8"/>
      <c r="AO439" s="8"/>
      <c r="AP439" s="8"/>
    </row>
    <row r="440" spans="2:42">
      <c r="B440" s="118"/>
      <c r="C440" s="8"/>
      <c r="D440" s="8"/>
      <c r="E440" s="8"/>
      <c r="H440" s="8"/>
      <c r="J440" s="124"/>
      <c r="K440" s="8"/>
      <c r="L440" s="8"/>
      <c r="M440"/>
      <c r="O440" s="125"/>
      <c r="P440" s="8"/>
      <c r="Q440" s="8"/>
      <c r="W440" s="8"/>
      <c r="X440" s="8"/>
      <c r="Z440" s="8"/>
      <c r="AA440" s="8"/>
      <c r="AB440" s="8"/>
      <c r="AC440" s="8"/>
      <c r="AD440" s="8"/>
      <c r="AI440" s="8"/>
      <c r="AJ440" s="8"/>
      <c r="AK440" s="8"/>
      <c r="AO440" s="8"/>
      <c r="AP440" s="8"/>
    </row>
    <row r="441" spans="2:42">
      <c r="B441" s="118"/>
      <c r="C441" s="8"/>
      <c r="D441" s="8"/>
      <c r="E441" s="8"/>
      <c r="H441" s="8"/>
      <c r="J441" s="124"/>
      <c r="K441" s="8"/>
      <c r="L441" s="8"/>
      <c r="M441"/>
      <c r="O441" s="125"/>
      <c r="P441" s="8"/>
      <c r="Q441" s="8"/>
      <c r="W441" s="8"/>
      <c r="X441" s="8"/>
      <c r="Z441" s="8"/>
      <c r="AA441" s="8"/>
      <c r="AB441" s="8"/>
      <c r="AC441" s="8"/>
      <c r="AD441" s="8"/>
      <c r="AI441" s="8"/>
      <c r="AJ441" s="8"/>
      <c r="AK441" s="8"/>
      <c r="AO441" s="8"/>
      <c r="AP441" s="8"/>
    </row>
    <row r="442" spans="2:42">
      <c r="B442" s="118"/>
      <c r="C442" s="8"/>
      <c r="D442" s="8"/>
      <c r="E442" s="8"/>
      <c r="H442" s="8"/>
      <c r="J442" s="124"/>
      <c r="K442" s="8"/>
      <c r="L442" s="8"/>
      <c r="M442"/>
      <c r="O442" s="125"/>
      <c r="P442" s="8"/>
      <c r="Q442" s="8"/>
      <c r="W442" s="8"/>
      <c r="X442" s="8"/>
      <c r="Z442" s="8"/>
      <c r="AA442" s="8"/>
      <c r="AB442" s="8"/>
      <c r="AC442" s="8"/>
      <c r="AD442" s="8"/>
      <c r="AI442" s="8"/>
      <c r="AJ442" s="8"/>
      <c r="AK442" s="8"/>
      <c r="AO442" s="8"/>
      <c r="AP442" s="8"/>
    </row>
    <row r="443" spans="2:42">
      <c r="B443" s="118"/>
      <c r="C443" s="8"/>
      <c r="D443" s="8"/>
      <c r="E443" s="8"/>
      <c r="H443" s="8"/>
      <c r="J443" s="124"/>
      <c r="K443" s="8"/>
      <c r="L443" s="8"/>
      <c r="M443"/>
      <c r="O443" s="125"/>
      <c r="P443" s="8"/>
      <c r="Q443" s="8"/>
      <c r="W443" s="8"/>
      <c r="X443" s="8"/>
      <c r="Z443" s="8"/>
      <c r="AA443" s="8"/>
      <c r="AB443" s="8"/>
      <c r="AC443" s="8"/>
      <c r="AD443" s="8"/>
      <c r="AI443" s="8"/>
      <c r="AJ443" s="8"/>
      <c r="AK443" s="8"/>
      <c r="AO443" s="8"/>
      <c r="AP443" s="8"/>
    </row>
    <row r="444" spans="2:42">
      <c r="B444" s="118"/>
      <c r="C444" s="8"/>
      <c r="D444" s="8"/>
      <c r="E444" s="8"/>
      <c r="H444" s="8"/>
      <c r="J444" s="124"/>
      <c r="K444" s="8"/>
      <c r="L444" s="8"/>
      <c r="M444"/>
      <c r="O444" s="125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18"/>
      <c r="C445" s="8"/>
      <c r="D445" s="8"/>
      <c r="E445" s="8"/>
      <c r="H445" s="8"/>
      <c r="J445" s="124"/>
      <c r="K445" s="8"/>
      <c r="L445" s="8"/>
      <c r="M445"/>
      <c r="O445" s="125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18"/>
      <c r="C446" s="8"/>
      <c r="D446" s="8"/>
      <c r="E446" s="8"/>
      <c r="H446" s="8"/>
      <c r="J446" s="124"/>
      <c r="K446" s="8"/>
      <c r="L446" s="8"/>
      <c r="M446"/>
      <c r="O446" s="125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18"/>
      <c r="C447" s="8"/>
      <c r="D447" s="8"/>
      <c r="E447" s="8"/>
      <c r="H447" s="8"/>
      <c r="J447" s="124"/>
      <c r="K447" s="8"/>
      <c r="L447" s="8"/>
      <c r="M447"/>
      <c r="O447" s="125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18"/>
      <c r="C448" s="8"/>
      <c r="D448" s="8"/>
      <c r="E448" s="8"/>
      <c r="H448" s="8"/>
      <c r="J448" s="124"/>
      <c r="K448" s="8"/>
      <c r="L448" s="8"/>
      <c r="M448"/>
      <c r="O448" s="125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18"/>
      <c r="C449" s="8"/>
      <c r="D449" s="8"/>
      <c r="E449" s="8"/>
      <c r="H449" s="8"/>
      <c r="J449" s="124"/>
      <c r="K449" s="8"/>
      <c r="L449" s="8"/>
      <c r="M449"/>
      <c r="O449" s="125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18"/>
      <c r="C450" s="8"/>
      <c r="D450" s="8"/>
      <c r="E450" s="8"/>
      <c r="H450" s="8"/>
      <c r="J450" s="124"/>
      <c r="K450" s="8"/>
      <c r="L450" s="8"/>
      <c r="M450"/>
      <c r="O450" s="125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18"/>
      <c r="C451" s="8"/>
      <c r="D451" s="8"/>
      <c r="E451" s="8"/>
      <c r="H451" s="8"/>
      <c r="J451" s="124"/>
      <c r="K451" s="8"/>
      <c r="L451" s="8"/>
      <c r="M451"/>
      <c r="O451" s="125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18"/>
      <c r="C452" s="8"/>
      <c r="D452" s="8"/>
      <c r="E452" s="8"/>
      <c r="H452" s="8"/>
      <c r="J452" s="124"/>
      <c r="K452" s="8"/>
      <c r="L452" s="8"/>
      <c r="M452"/>
      <c r="O452" s="125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18"/>
      <c r="C453" s="8"/>
      <c r="D453" s="8"/>
      <c r="E453" s="8"/>
      <c r="H453" s="8"/>
      <c r="J453" s="124"/>
      <c r="K453" s="8"/>
      <c r="L453" s="8"/>
      <c r="M453"/>
      <c r="O453" s="125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18"/>
      <c r="C454" s="8"/>
      <c r="D454" s="8"/>
      <c r="E454" s="8"/>
      <c r="H454" s="8"/>
      <c r="J454" s="124"/>
      <c r="K454" s="8"/>
      <c r="L454" s="8"/>
      <c r="M454"/>
      <c r="O454" s="125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18"/>
      <c r="C455" s="8"/>
      <c r="D455" s="8"/>
      <c r="E455" s="8"/>
      <c r="H455" s="8"/>
      <c r="J455" s="124"/>
      <c r="K455" s="8"/>
      <c r="L455" s="8"/>
      <c r="M455"/>
      <c r="O455" s="125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18"/>
      <c r="C456" s="8"/>
      <c r="D456" s="8"/>
      <c r="E456" s="8"/>
      <c r="H456" s="8"/>
      <c r="J456" s="124"/>
      <c r="K456" s="8"/>
      <c r="L456" s="8"/>
      <c r="M456"/>
      <c r="O456" s="125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18"/>
      <c r="C457" s="8"/>
      <c r="D457" s="8"/>
      <c r="E457" s="8"/>
      <c r="H457" s="8"/>
      <c r="J457" s="124"/>
      <c r="K457" s="8"/>
      <c r="L457" s="8"/>
      <c r="M457"/>
      <c r="O457" s="125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18"/>
      <c r="C458" s="8"/>
      <c r="D458" s="8"/>
      <c r="E458" s="8"/>
      <c r="H458" s="8"/>
      <c r="J458" s="124"/>
      <c r="K458" s="8"/>
      <c r="L458" s="8"/>
      <c r="M458"/>
      <c r="O458" s="125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18"/>
      <c r="C459" s="8"/>
      <c r="D459" s="8"/>
      <c r="E459" s="8"/>
      <c r="H459" s="8"/>
      <c r="J459" s="124"/>
      <c r="K459" s="8"/>
      <c r="L459" s="8"/>
      <c r="M459"/>
      <c r="O459" s="125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18"/>
      <c r="C460" s="8"/>
      <c r="D460" s="8"/>
      <c r="E460" s="8"/>
      <c r="H460" s="8"/>
      <c r="J460" s="124"/>
      <c r="K460" s="8"/>
      <c r="L460" s="8"/>
      <c r="M460"/>
      <c r="O460" s="125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18"/>
      <c r="C461" s="8"/>
      <c r="D461" s="8"/>
      <c r="E461" s="8"/>
      <c r="H461" s="8"/>
      <c r="J461" s="124"/>
      <c r="K461" s="8"/>
      <c r="L461" s="8"/>
      <c r="M461"/>
      <c r="O461" s="125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18"/>
      <c r="C462" s="8"/>
      <c r="D462" s="8"/>
      <c r="E462" s="8"/>
      <c r="H462" s="8"/>
      <c r="J462" s="124"/>
      <c r="K462" s="8"/>
      <c r="L462" s="8"/>
      <c r="M462"/>
      <c r="O462" s="125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18"/>
      <c r="C463" s="8"/>
      <c r="D463" s="8"/>
      <c r="E463" s="8"/>
      <c r="H463" s="8"/>
      <c r="J463" s="124"/>
      <c r="K463" s="8"/>
      <c r="M463" s="130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18"/>
      <c r="C464" s="8"/>
      <c r="D464" s="8"/>
      <c r="E464" s="8"/>
      <c r="H464" s="8"/>
      <c r="J464" s="124"/>
      <c r="K464" s="8"/>
      <c r="M464" s="130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18"/>
      <c r="C465" s="8"/>
      <c r="D465" s="8"/>
      <c r="E465" s="8"/>
      <c r="H465" s="8"/>
      <c r="J465" s="124"/>
      <c r="K465" s="8"/>
      <c r="M465" s="130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18"/>
      <c r="C466" s="8"/>
      <c r="D466" s="8"/>
      <c r="E466" s="8"/>
      <c r="H466" s="8"/>
      <c r="J466" s="124"/>
      <c r="K466" s="8"/>
      <c r="M466" s="130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18"/>
      <c r="C467" s="8"/>
      <c r="D467" s="8"/>
      <c r="E467" s="8"/>
      <c r="H467" s="8"/>
      <c r="J467" s="124"/>
      <c r="K467" s="8"/>
      <c r="M467" s="130"/>
      <c r="P467" s="8"/>
      <c r="Q467" s="8"/>
      <c r="W467" s="118"/>
      <c r="X467" s="8"/>
      <c r="Z467" s="8"/>
      <c r="AA467" s="8"/>
      <c r="AC467" s="8"/>
      <c r="AD467" s="8"/>
      <c r="AI467" s="8"/>
      <c r="AJ467" s="8"/>
      <c r="AK467" s="8"/>
      <c r="AO467" s="8"/>
      <c r="AP467" s="8"/>
    </row>
    <row r="468" spans="2:42">
      <c r="B468" s="118"/>
      <c r="C468" s="8"/>
      <c r="D468" s="8"/>
      <c r="E468" s="8"/>
      <c r="H468" s="8"/>
      <c r="J468" s="124"/>
      <c r="K468" s="8"/>
      <c r="M468" s="130"/>
      <c r="P468" s="8"/>
      <c r="Q468" s="8"/>
      <c r="W468" s="118"/>
      <c r="X468" s="8"/>
      <c r="Z468" s="8"/>
      <c r="AA468" s="8"/>
      <c r="AC468" s="8"/>
      <c r="AD468" s="8"/>
      <c r="AI468" s="8"/>
      <c r="AJ468" s="8"/>
      <c r="AK468" s="8"/>
      <c r="AO468" s="8"/>
      <c r="AP468" s="8"/>
    </row>
    <row r="469" spans="2:42">
      <c r="B469" s="118"/>
      <c r="C469" s="8"/>
      <c r="D469" s="8"/>
      <c r="E469" s="8"/>
      <c r="H469" s="8"/>
      <c r="J469" s="124"/>
      <c r="K469" s="8"/>
      <c r="M469" s="130"/>
      <c r="P469" s="8"/>
      <c r="Q469" s="8"/>
      <c r="W469" s="118"/>
      <c r="X469" s="8"/>
      <c r="Z469" s="8"/>
      <c r="AA469" s="8"/>
      <c r="AC469" s="8"/>
      <c r="AD469" s="8"/>
      <c r="AI469" s="8"/>
      <c r="AJ469" s="8"/>
      <c r="AK469" s="8"/>
      <c r="AO469" s="8"/>
      <c r="AP469" s="8"/>
    </row>
    <row r="470" spans="2:42">
      <c r="B470" s="118"/>
      <c r="C470" s="8"/>
      <c r="D470" s="8"/>
      <c r="E470" s="8"/>
      <c r="H470" s="8"/>
      <c r="J470" s="124"/>
      <c r="K470" s="8"/>
      <c r="M470" s="130"/>
      <c r="P470" s="8"/>
      <c r="Q470" s="8"/>
      <c r="W470" s="8"/>
      <c r="X470" s="8"/>
      <c r="Z470" s="8"/>
      <c r="AA470" s="8"/>
      <c r="AC470" s="8"/>
      <c r="AD470" s="8"/>
      <c r="AI470" s="8"/>
      <c r="AJ470" s="8"/>
      <c r="AK470" s="8"/>
      <c r="AO470" s="8"/>
      <c r="AP470" s="8"/>
    </row>
    <row r="471" spans="2:42">
      <c r="B471" s="118"/>
      <c r="C471" s="8"/>
      <c r="D471" s="8"/>
      <c r="E471" s="8"/>
      <c r="H471" s="8"/>
      <c r="J471" s="124"/>
      <c r="K471" s="8"/>
      <c r="M471" s="130"/>
      <c r="P471" s="8"/>
      <c r="Q471" s="8"/>
      <c r="W471" s="8"/>
      <c r="X471" s="8"/>
      <c r="Z471" s="8"/>
      <c r="AA471" s="8"/>
      <c r="AC471" s="8"/>
      <c r="AD471" s="8"/>
      <c r="AI471" s="8"/>
      <c r="AJ471" s="8"/>
      <c r="AK471" s="8"/>
      <c r="AO471" s="8"/>
      <c r="AP471" s="8"/>
    </row>
    <row r="472" spans="2:42">
      <c r="B472" s="118"/>
      <c r="C472" s="8"/>
      <c r="D472" s="8"/>
      <c r="E472" s="8"/>
      <c r="H472" s="8"/>
      <c r="J472" s="124"/>
      <c r="K472" s="8"/>
      <c r="M472" s="130"/>
      <c r="P472" s="8"/>
      <c r="Q472" s="8"/>
      <c r="W472" s="8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18"/>
      <c r="C473" s="8"/>
      <c r="D473" s="8"/>
      <c r="E473" s="8"/>
      <c r="H473" s="8"/>
      <c r="J473" s="124"/>
      <c r="K473" s="8"/>
      <c r="M473" s="130"/>
      <c r="P473" s="8"/>
      <c r="Q473" s="8"/>
      <c r="W473" s="8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18"/>
      <c r="C474" s="8"/>
      <c r="D474" s="8"/>
      <c r="E474" s="8"/>
      <c r="H474" s="8"/>
      <c r="J474" s="124"/>
      <c r="K474" s="8"/>
      <c r="M474" s="130"/>
      <c r="P474" s="8"/>
      <c r="Q474" s="8"/>
      <c r="W474" s="8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18"/>
      <c r="C475" s="8"/>
      <c r="D475" s="8"/>
      <c r="E475" s="8"/>
      <c r="H475" s="8"/>
      <c r="J475" s="124"/>
      <c r="K475" s="8"/>
      <c r="M475" s="130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18"/>
      <c r="C476" s="8"/>
      <c r="D476" s="8"/>
      <c r="E476" s="8"/>
      <c r="H476" s="8"/>
      <c r="J476" s="124"/>
      <c r="K476" s="8"/>
      <c r="M476" s="130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18"/>
      <c r="C477" s="8"/>
      <c r="D477" s="8"/>
      <c r="E477" s="8"/>
      <c r="H477" s="8"/>
      <c r="J477" s="124"/>
      <c r="K477" s="8"/>
      <c r="M477" s="130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18"/>
      <c r="C478" s="8"/>
      <c r="D478" s="8"/>
      <c r="E478" s="8"/>
      <c r="H478" s="8"/>
      <c r="J478" s="124"/>
      <c r="K478" s="8"/>
      <c r="M478" s="130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18"/>
      <c r="C479" s="8"/>
      <c r="D479" s="8"/>
      <c r="E479" s="8"/>
      <c r="H479" s="8"/>
      <c r="J479" s="124"/>
      <c r="K479" s="8"/>
      <c r="M479" s="130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18"/>
      <c r="C480" s="8"/>
      <c r="D480" s="8"/>
      <c r="E480" s="8"/>
      <c r="H480" s="8"/>
      <c r="J480" s="124"/>
      <c r="K480" s="8"/>
      <c r="M480" s="130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18"/>
      <c r="C481" s="8"/>
      <c r="D481" s="8"/>
      <c r="E481" s="8"/>
      <c r="H481" s="8"/>
      <c r="J481" s="124"/>
      <c r="K481" s="8"/>
      <c r="M481" s="130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18"/>
      <c r="C482" s="8"/>
      <c r="D482" s="8"/>
      <c r="E482" s="8"/>
      <c r="H482" s="8"/>
      <c r="J482" s="124"/>
      <c r="K482" s="8"/>
      <c r="M482" s="130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19"/>
      <c r="C483" s="8"/>
      <c r="D483" s="8"/>
      <c r="E483" s="8"/>
      <c r="H483" s="8"/>
      <c r="I483" s="119"/>
      <c r="J483" s="124"/>
      <c r="K483" s="8"/>
      <c r="L483" s="8"/>
      <c r="M483" s="130"/>
      <c r="O483" s="125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19"/>
      <c r="C484" s="8"/>
      <c r="D484" s="8"/>
      <c r="E484" s="8"/>
      <c r="H484" s="8"/>
      <c r="I484" s="119"/>
      <c r="J484" s="124"/>
      <c r="K484" s="8"/>
      <c r="L484" s="8"/>
      <c r="M484" s="130"/>
      <c r="O484" s="125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19"/>
      <c r="C485" s="8"/>
      <c r="D485" s="8"/>
      <c r="E485" s="8"/>
      <c r="H485" s="8"/>
      <c r="I485" s="119"/>
      <c r="J485" s="124"/>
      <c r="K485" s="8"/>
      <c r="L485" s="8"/>
      <c r="M485" s="130"/>
      <c r="O485" s="125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19"/>
      <c r="C486" s="8"/>
      <c r="D486" s="8"/>
      <c r="E486" s="8"/>
      <c r="H486" s="8"/>
      <c r="I486" s="119"/>
      <c r="J486" s="124"/>
      <c r="K486" s="8"/>
      <c r="L486" s="8"/>
      <c r="M486" s="130"/>
      <c r="O486" s="125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19"/>
      <c r="C487" s="8"/>
      <c r="D487" s="8"/>
      <c r="E487" s="8"/>
      <c r="H487" s="8"/>
      <c r="I487" s="119"/>
      <c r="J487" s="124"/>
      <c r="K487" s="8"/>
      <c r="L487" s="8"/>
      <c r="M487" s="130"/>
      <c r="O487" s="125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19"/>
      <c r="C488" s="8"/>
      <c r="D488" s="8"/>
      <c r="E488" s="8"/>
      <c r="H488" s="8"/>
      <c r="I488" s="119"/>
      <c r="J488" s="124"/>
      <c r="K488" s="8"/>
      <c r="L488" s="8"/>
      <c r="M488" s="130"/>
      <c r="O488" s="125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19"/>
      <c r="C489" s="8"/>
      <c r="D489" s="8"/>
      <c r="E489" s="8"/>
      <c r="H489" s="8"/>
      <c r="I489" s="119"/>
      <c r="J489" s="124"/>
      <c r="K489" s="8"/>
      <c r="L489" s="8"/>
      <c r="M489" s="130"/>
      <c r="O489" s="125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19"/>
      <c r="C490" s="8"/>
      <c r="D490" s="8"/>
      <c r="E490" s="8"/>
      <c r="H490" s="8"/>
      <c r="I490" s="119"/>
      <c r="J490" s="124"/>
      <c r="K490" s="8"/>
      <c r="L490" s="8"/>
      <c r="M490" s="130"/>
      <c r="O490" s="125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19"/>
      <c r="C491" s="8"/>
      <c r="D491" s="8"/>
      <c r="E491" s="8"/>
      <c r="H491" s="8"/>
      <c r="I491" s="119"/>
      <c r="J491" s="124"/>
      <c r="K491" s="8"/>
      <c r="L491" s="8"/>
      <c r="M491" s="130"/>
      <c r="O491" s="125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19"/>
      <c r="C492" s="8"/>
      <c r="D492" s="8"/>
      <c r="E492" s="8"/>
      <c r="H492" s="8"/>
      <c r="I492" s="119"/>
      <c r="J492" s="124"/>
      <c r="K492" s="8"/>
      <c r="L492" s="8"/>
      <c r="M492" s="130"/>
      <c r="O492" s="125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19"/>
      <c r="C493" s="8"/>
      <c r="D493" s="8"/>
      <c r="E493" s="8"/>
      <c r="H493" s="8"/>
      <c r="I493" s="119"/>
      <c r="J493" s="124"/>
      <c r="K493" s="8"/>
      <c r="L493" s="8"/>
      <c r="M493" s="130"/>
      <c r="O493" s="125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19"/>
      <c r="C494" s="8"/>
      <c r="D494" s="8"/>
      <c r="E494" s="8"/>
      <c r="H494" s="8"/>
      <c r="I494" s="119"/>
      <c r="J494" s="124"/>
      <c r="K494" s="8"/>
      <c r="L494" s="8"/>
      <c r="M494" s="130"/>
      <c r="O494" s="125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19"/>
      <c r="C495" s="8"/>
      <c r="D495" s="8"/>
      <c r="E495" s="8"/>
      <c r="H495" s="8"/>
      <c r="I495" s="119"/>
      <c r="J495" s="124"/>
      <c r="K495" s="8"/>
      <c r="L495" s="8"/>
      <c r="M495" s="130"/>
      <c r="O495" s="125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19"/>
      <c r="C496" s="8"/>
      <c r="D496" s="8"/>
      <c r="E496" s="8"/>
      <c r="H496" s="8"/>
      <c r="I496" s="119"/>
      <c r="J496" s="124"/>
      <c r="K496" s="8"/>
      <c r="L496" s="8"/>
      <c r="M496" s="130"/>
      <c r="O496" s="125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19"/>
      <c r="C497" s="8"/>
      <c r="D497" s="8"/>
      <c r="E497" s="8"/>
      <c r="H497" s="8"/>
      <c r="I497" s="119"/>
      <c r="J497" s="124"/>
      <c r="K497" s="8"/>
      <c r="L497" s="8"/>
      <c r="M497" s="130"/>
      <c r="O497" s="125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19"/>
      <c r="C498" s="8"/>
      <c r="D498" s="8"/>
      <c r="E498" s="8"/>
      <c r="H498" s="8"/>
      <c r="I498" s="119"/>
      <c r="J498" s="124"/>
      <c r="K498" s="8"/>
      <c r="L498" s="8"/>
      <c r="M498" s="130"/>
      <c r="O498" s="125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19"/>
      <c r="C499" s="8"/>
      <c r="D499" s="8"/>
      <c r="E499" s="8"/>
      <c r="H499" s="8"/>
      <c r="I499" s="119"/>
      <c r="J499" s="124"/>
      <c r="K499" s="8"/>
      <c r="L499" s="8"/>
      <c r="M499" s="130"/>
      <c r="O499" s="125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19"/>
      <c r="C500" s="8"/>
      <c r="D500" s="8"/>
      <c r="E500" s="8"/>
      <c r="H500" s="8"/>
      <c r="I500" s="119"/>
      <c r="J500" s="124"/>
      <c r="K500" s="8"/>
      <c r="L500" s="8"/>
      <c r="M500" s="130"/>
      <c r="O500" s="125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19"/>
      <c r="C501" s="8"/>
      <c r="D501" s="8"/>
      <c r="E501" s="8"/>
      <c r="H501" s="8"/>
      <c r="I501" s="119"/>
      <c r="J501" s="124"/>
      <c r="K501" s="8"/>
      <c r="L501" s="8"/>
      <c r="M501" s="130"/>
      <c r="O501" s="125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18"/>
      <c r="C502" s="8"/>
      <c r="D502" s="8"/>
      <c r="E502" s="8"/>
      <c r="H502" s="8"/>
      <c r="J502" s="124"/>
      <c r="K502" s="8"/>
      <c r="L502" s="8"/>
      <c r="O502" s="125"/>
      <c r="P502" s="8"/>
      <c r="Q502" s="8"/>
      <c r="W502" s="118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18"/>
      <c r="C503" s="8"/>
      <c r="D503" s="8"/>
      <c r="E503" s="8"/>
      <c r="H503" s="8"/>
      <c r="J503" s="124"/>
      <c r="K503" s="8"/>
      <c r="L503" s="8"/>
      <c r="O503" s="125"/>
      <c r="P503" s="8"/>
      <c r="Q503" s="8"/>
      <c r="W503" s="118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18"/>
      <c r="C504" s="8"/>
      <c r="D504" s="8"/>
      <c r="E504" s="8"/>
      <c r="H504" s="8"/>
      <c r="J504" s="124"/>
      <c r="K504" s="8"/>
      <c r="L504" s="8"/>
      <c r="O504" s="125"/>
      <c r="P504" s="8"/>
      <c r="Q504" s="8"/>
      <c r="W504" s="118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18"/>
      <c r="C505" s="8"/>
      <c r="D505" s="8"/>
      <c r="E505" s="8"/>
      <c r="H505" s="8"/>
      <c r="J505" s="124"/>
      <c r="K505" s="8"/>
      <c r="L505" s="8"/>
      <c r="O505" s="125"/>
      <c r="P505" s="8"/>
      <c r="Q505" s="8"/>
      <c r="W505" s="118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18"/>
      <c r="C506" s="8"/>
      <c r="D506" s="8"/>
      <c r="E506" s="8"/>
      <c r="H506" s="8"/>
      <c r="J506" s="124"/>
      <c r="K506" s="8"/>
      <c r="L506" s="8"/>
      <c r="O506" s="125"/>
      <c r="P506" s="8"/>
      <c r="Q506" s="8"/>
      <c r="W506" s="118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18"/>
      <c r="C507" s="8"/>
      <c r="D507" s="8"/>
      <c r="E507" s="8"/>
      <c r="H507" s="8"/>
      <c r="J507" s="124"/>
      <c r="K507" s="8"/>
      <c r="L507" s="8"/>
      <c r="O507" s="125"/>
      <c r="P507" s="8"/>
      <c r="Q507" s="8"/>
      <c r="W507" s="118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18"/>
      <c r="C508" s="8"/>
      <c r="D508" s="8"/>
      <c r="E508" s="8"/>
      <c r="H508" s="8"/>
      <c r="J508" s="124"/>
      <c r="K508" s="8"/>
      <c r="L508" s="8"/>
      <c r="O508" s="125"/>
      <c r="P508" s="8"/>
      <c r="Q508" s="8"/>
      <c r="W508" s="118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18"/>
      <c r="C509" s="8"/>
      <c r="D509" s="8"/>
      <c r="E509" s="8"/>
      <c r="H509" s="8"/>
      <c r="J509" s="124"/>
      <c r="K509" s="8"/>
      <c r="L509" s="8"/>
      <c r="O509" s="125"/>
      <c r="P509" s="8"/>
      <c r="Q509" s="8"/>
      <c r="W509" s="118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18"/>
      <c r="C510" s="8"/>
      <c r="D510" s="8"/>
      <c r="E510" s="8"/>
      <c r="H510" s="8"/>
      <c r="J510" s="124"/>
      <c r="K510" s="8"/>
      <c r="L510" s="8"/>
      <c r="O510" s="125"/>
      <c r="P510" s="8"/>
      <c r="Q510" s="8"/>
      <c r="W510" s="118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18"/>
      <c r="C511" s="8"/>
      <c r="D511" s="8"/>
      <c r="E511" s="8"/>
      <c r="H511" s="8"/>
      <c r="J511" s="124"/>
      <c r="K511" s="8"/>
      <c r="L511" s="8"/>
      <c r="O511" s="125"/>
      <c r="P511" s="8"/>
      <c r="Q511" s="8"/>
      <c r="W511" s="118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18"/>
      <c r="C512" s="8"/>
      <c r="D512" s="8"/>
      <c r="E512" s="8"/>
      <c r="H512" s="8"/>
      <c r="J512" s="124"/>
      <c r="K512" s="8"/>
      <c r="L512" s="8"/>
      <c r="O512" s="125"/>
      <c r="P512" s="8"/>
      <c r="Q512" s="8"/>
      <c r="W512" s="118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18"/>
      <c r="C513" s="8"/>
      <c r="D513" s="8"/>
      <c r="E513" s="8"/>
      <c r="H513" s="8"/>
      <c r="I513" s="8"/>
      <c r="J513" s="124"/>
      <c r="K513" s="8"/>
      <c r="L513" s="8"/>
      <c r="N513" s="118"/>
      <c r="O513" s="125"/>
      <c r="P513" s="8"/>
      <c r="Q513" s="8"/>
      <c r="W513" s="8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18"/>
      <c r="C514" s="8"/>
      <c r="D514" s="8"/>
      <c r="E514" s="8"/>
      <c r="H514" s="8"/>
      <c r="I514" s="8"/>
      <c r="J514" s="124"/>
      <c r="K514" s="8"/>
      <c r="L514" s="8"/>
      <c r="N514" s="118"/>
      <c r="O514" s="125"/>
      <c r="P514" s="8"/>
      <c r="Q514" s="8"/>
      <c r="W514" s="8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18"/>
      <c r="C515" s="8"/>
      <c r="D515" s="8"/>
      <c r="E515" s="8"/>
      <c r="H515" s="8"/>
      <c r="I515" s="8"/>
      <c r="J515" s="124"/>
      <c r="K515" s="8"/>
      <c r="L515" s="8"/>
      <c r="N515" s="118"/>
      <c r="O515" s="125"/>
      <c r="P515" s="8"/>
      <c r="Q515" s="8"/>
      <c r="W515" s="8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18"/>
      <c r="C516" s="8"/>
      <c r="D516" s="8"/>
      <c r="E516" s="8"/>
      <c r="H516" s="8"/>
      <c r="I516" s="8"/>
      <c r="J516" s="124"/>
      <c r="K516" s="8"/>
      <c r="L516" s="8"/>
      <c r="N516" s="118"/>
      <c r="O516" s="125"/>
      <c r="P516" s="8"/>
      <c r="Q516" s="8"/>
      <c r="W516" s="8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 s="120" customFormat="1">
      <c r="B517" s="131"/>
      <c r="C517" s="132"/>
      <c r="D517" s="132"/>
      <c r="E517" s="8"/>
      <c r="H517" s="8"/>
      <c r="I517" s="132"/>
      <c r="J517" s="133"/>
      <c r="K517" s="132"/>
      <c r="L517" s="132"/>
      <c r="M517" s="127"/>
      <c r="P517" s="132"/>
      <c r="Q517" s="132"/>
      <c r="W517" s="132"/>
      <c r="X517" s="132"/>
      <c r="Z517" s="132"/>
      <c r="AA517" s="8"/>
      <c r="AB517" s="131"/>
      <c r="AC517" s="132"/>
      <c r="AD517" s="132"/>
      <c r="AI517" s="132"/>
      <c r="AJ517" s="132"/>
      <c r="AK517" s="132"/>
      <c r="AN517" s="131"/>
      <c r="AO517" s="132"/>
      <c r="AP517" s="132"/>
    </row>
    <row r="518" spans="2:42" s="120" customFormat="1">
      <c r="B518" s="131"/>
      <c r="C518" s="132"/>
      <c r="D518" s="132"/>
      <c r="E518" s="8"/>
      <c r="H518" s="8"/>
      <c r="I518" s="132"/>
      <c r="J518" s="133"/>
      <c r="K518" s="132"/>
      <c r="L518" s="132"/>
      <c r="M518" s="127"/>
      <c r="P518" s="132"/>
      <c r="Q518" s="132"/>
      <c r="W518" s="132"/>
      <c r="X518" s="132"/>
      <c r="Z518" s="132"/>
      <c r="AA518" s="8"/>
      <c r="AB518" s="131"/>
      <c r="AC518" s="132"/>
      <c r="AD518" s="132"/>
      <c r="AI518" s="132"/>
      <c r="AJ518" s="132"/>
      <c r="AK518" s="132"/>
      <c r="AN518" s="131"/>
      <c r="AO518" s="132"/>
      <c r="AP518" s="132"/>
    </row>
    <row r="519" spans="2:42">
      <c r="B519" s="118"/>
      <c r="C519" s="8"/>
      <c r="D519" s="8"/>
      <c r="E519" s="8"/>
      <c r="H519" s="8"/>
      <c r="I519" s="8"/>
      <c r="J519" s="124"/>
      <c r="K519" s="8"/>
      <c r="L519" s="8"/>
      <c r="P519" s="8"/>
      <c r="Q519" s="8"/>
      <c r="W519" s="8"/>
      <c r="X519" s="8"/>
      <c r="Z519" s="8"/>
      <c r="AA519" s="8"/>
      <c r="AC519" s="8"/>
      <c r="AD519" s="8"/>
      <c r="AI519" s="8"/>
      <c r="AJ519" s="8"/>
      <c r="AK519" s="8"/>
      <c r="AO519" s="8"/>
      <c r="AP519" s="8"/>
    </row>
    <row r="520" spans="2:42">
      <c r="B520" s="118"/>
      <c r="C520" s="8"/>
      <c r="D520" s="8"/>
      <c r="E520" s="8"/>
      <c r="H520" s="8"/>
      <c r="I520" s="8"/>
      <c r="J520" s="124"/>
      <c r="K520" s="8"/>
      <c r="L520" s="8"/>
      <c r="P520" s="8"/>
      <c r="Q520" s="8"/>
      <c r="W520" s="8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18"/>
      <c r="C521" s="8"/>
      <c r="D521" s="8"/>
      <c r="E521" s="8"/>
      <c r="H521" s="8"/>
      <c r="I521" s="8"/>
      <c r="J521" s="124"/>
      <c r="K521" s="8"/>
      <c r="L521" s="8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18"/>
      <c r="C522" s="8"/>
      <c r="D522" s="8"/>
      <c r="E522" s="8"/>
      <c r="H522" s="8"/>
      <c r="I522" s="8"/>
      <c r="J522" s="124"/>
      <c r="K522" s="8"/>
      <c r="L522" s="8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18"/>
      <c r="C523" s="8"/>
      <c r="D523" s="8"/>
      <c r="E523" s="8"/>
      <c r="H523" s="8"/>
      <c r="I523" s="8"/>
      <c r="J523" s="124"/>
      <c r="K523" s="8"/>
      <c r="L523" s="8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18"/>
      <c r="C524" s="8"/>
      <c r="D524" s="8"/>
      <c r="E524" s="8"/>
      <c r="H524" s="8"/>
      <c r="I524" s="8"/>
      <c r="J524" s="124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18"/>
      <c r="C525" s="8"/>
      <c r="D525" s="8"/>
      <c r="E525" s="8"/>
      <c r="H525" s="8"/>
      <c r="I525" s="8"/>
      <c r="J525" s="124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18"/>
      <c r="C526" s="8"/>
      <c r="D526" s="8"/>
      <c r="E526" s="8"/>
      <c r="H526" s="8"/>
      <c r="I526" s="8"/>
      <c r="J526" s="124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18"/>
      <c r="C527" s="8"/>
      <c r="D527" s="8"/>
      <c r="E527" s="8"/>
      <c r="H527" s="8"/>
      <c r="I527" s="8"/>
      <c r="J527" s="124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18"/>
      <c r="C528" s="8"/>
      <c r="D528" s="8"/>
      <c r="E528" s="8"/>
      <c r="H528" s="8"/>
      <c r="I528" s="8"/>
      <c r="J528" s="124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18"/>
      <c r="C529" s="8"/>
      <c r="D529" s="8"/>
      <c r="E529" s="8"/>
      <c r="H529" s="8"/>
      <c r="I529" s="8"/>
      <c r="J529" s="124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18"/>
      <c r="C530" s="8"/>
      <c r="D530" s="8"/>
      <c r="E530" s="8"/>
      <c r="H530" s="8"/>
      <c r="I530" s="8"/>
      <c r="J530" s="124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18"/>
      <c r="C531" s="8"/>
      <c r="D531" s="8"/>
      <c r="E531" s="8"/>
      <c r="H531" s="8"/>
      <c r="I531" s="8"/>
      <c r="J531" s="124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18"/>
      <c r="C532" s="8"/>
      <c r="D532" s="8"/>
      <c r="E532" s="8"/>
      <c r="H532" s="8"/>
      <c r="I532" s="8"/>
      <c r="J532" s="124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18"/>
      <c r="C533" s="8"/>
      <c r="D533" s="8"/>
      <c r="E533" s="8"/>
      <c r="H533" s="8"/>
      <c r="I533" s="8"/>
      <c r="J533" s="124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18"/>
      <c r="C534" s="8"/>
      <c r="D534" s="8"/>
      <c r="E534" s="8"/>
      <c r="H534" s="8"/>
      <c r="I534" s="8"/>
      <c r="J534" s="124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18"/>
      <c r="C535" s="8"/>
      <c r="D535" s="8"/>
      <c r="E535" s="8"/>
      <c r="H535" s="8"/>
      <c r="I535" s="8"/>
      <c r="J535" s="124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18"/>
      <c r="C536" s="8"/>
      <c r="D536" s="8"/>
      <c r="E536" s="8"/>
      <c r="H536" s="8"/>
      <c r="I536" s="8"/>
      <c r="J536" s="124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18"/>
      <c r="C537" s="8"/>
      <c r="D537" s="8"/>
      <c r="E537" s="8"/>
      <c r="H537" s="8"/>
      <c r="I537" s="8"/>
      <c r="J537" s="124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18"/>
      <c r="C538" s="8"/>
      <c r="D538" s="8"/>
      <c r="E538" s="8"/>
      <c r="H538" s="8"/>
      <c r="I538" s="119"/>
      <c r="J538" s="124"/>
      <c r="K538" s="8"/>
      <c r="L538" s="8"/>
      <c r="P538" s="8"/>
      <c r="Q538" s="8"/>
      <c r="V538" s="8"/>
      <c r="W538" s="118"/>
      <c r="X538" s="8"/>
      <c r="Z538" s="8"/>
      <c r="AA538" s="8"/>
      <c r="AB538" s="8"/>
      <c r="AC538" s="8"/>
      <c r="AD538" s="8"/>
      <c r="AI538" s="8"/>
      <c r="AJ538" s="8"/>
      <c r="AK538" s="8"/>
      <c r="AO538" s="8"/>
      <c r="AP538" s="8"/>
    </row>
    <row r="539" spans="2:42">
      <c r="B539" s="118"/>
      <c r="C539" s="8"/>
      <c r="D539" s="8"/>
      <c r="E539" s="8"/>
      <c r="H539" s="8"/>
      <c r="I539" s="124"/>
      <c r="J539" s="124"/>
      <c r="K539" s="8"/>
      <c r="L539" s="8"/>
      <c r="P539" s="8"/>
      <c r="Q539" s="8"/>
      <c r="V539" s="8"/>
      <c r="W539" s="118"/>
      <c r="X539" s="8"/>
      <c r="Z539" s="8"/>
      <c r="AA539" s="8"/>
      <c r="AB539" s="8"/>
      <c r="AC539" s="8"/>
      <c r="AD539" s="8"/>
      <c r="AI539" s="8"/>
      <c r="AJ539" s="8"/>
      <c r="AK539" s="8"/>
      <c r="AO539" s="8"/>
      <c r="AP539" s="8"/>
    </row>
    <row r="540" spans="2:42">
      <c r="B540" s="118"/>
      <c r="C540" s="8"/>
      <c r="D540" s="8"/>
      <c r="E540" s="8"/>
      <c r="H540" s="8"/>
      <c r="I540" s="124"/>
      <c r="J540" s="124"/>
      <c r="K540" s="8"/>
      <c r="L540" s="8"/>
      <c r="P540" s="8"/>
      <c r="Q540" s="8"/>
      <c r="V540" s="8"/>
      <c r="W540" s="118"/>
      <c r="X540" s="8"/>
      <c r="Z540" s="8"/>
      <c r="AA540" s="8"/>
      <c r="AB540" s="8"/>
      <c r="AC540" s="8"/>
      <c r="AD540" s="8"/>
      <c r="AI540" s="8"/>
      <c r="AJ540" s="8"/>
      <c r="AK540" s="8"/>
      <c r="AO540" s="8"/>
      <c r="AP540" s="8"/>
    </row>
    <row r="541" spans="2:42">
      <c r="B541" s="118"/>
      <c r="C541" s="8"/>
      <c r="D541" s="8"/>
      <c r="E541" s="8"/>
      <c r="H541" s="8"/>
      <c r="I541" s="124"/>
      <c r="J541" s="124"/>
      <c r="K541" s="8"/>
      <c r="L541" s="8"/>
      <c r="P541" s="8"/>
      <c r="Q541" s="8"/>
      <c r="V541" s="8"/>
      <c r="W541" s="118"/>
      <c r="X541" s="8"/>
      <c r="Z541" s="8"/>
      <c r="AA541" s="8"/>
      <c r="AB541" s="8"/>
      <c r="AC541" s="8"/>
      <c r="AD541" s="8"/>
      <c r="AI541" s="8"/>
      <c r="AJ541" s="8"/>
      <c r="AK541" s="8"/>
      <c r="AO541" s="8"/>
      <c r="AP541" s="8"/>
    </row>
    <row r="542" spans="2:42">
      <c r="B542" s="118"/>
      <c r="C542" s="8"/>
      <c r="D542" s="8"/>
      <c r="E542" s="8"/>
      <c r="H542" s="8"/>
      <c r="I542" s="124"/>
      <c r="J542" s="124"/>
      <c r="K542" s="8"/>
      <c r="L542" s="8"/>
      <c r="P542" s="8"/>
      <c r="Q542" s="8"/>
      <c r="V542" s="8"/>
      <c r="W542" s="118"/>
      <c r="X542" s="8"/>
      <c r="Z542" s="8"/>
      <c r="AA542" s="8"/>
      <c r="AB542" s="8"/>
      <c r="AC542" s="8"/>
      <c r="AD542" s="8"/>
      <c r="AI542" s="8"/>
      <c r="AJ542" s="8"/>
      <c r="AK542" s="8"/>
      <c r="AO542" s="8"/>
      <c r="AP542" s="8"/>
    </row>
    <row r="543" spans="2:42">
      <c r="B543" s="118"/>
      <c r="C543" s="8"/>
      <c r="D543" s="8"/>
      <c r="E543" s="8"/>
      <c r="H543" s="8"/>
      <c r="I543" s="124"/>
      <c r="J543" s="124"/>
      <c r="K543" s="8"/>
      <c r="L543" s="8"/>
      <c r="P543" s="8"/>
      <c r="Q543" s="8"/>
      <c r="V543" s="8"/>
      <c r="W543" s="118"/>
      <c r="X543" s="8"/>
      <c r="Z543" s="8"/>
      <c r="AA543" s="8"/>
      <c r="AB543" s="8"/>
      <c r="AC543" s="8"/>
      <c r="AD543" s="8"/>
      <c r="AI543" s="8"/>
      <c r="AJ543" s="8"/>
      <c r="AK543" s="8"/>
      <c r="AO543" s="8"/>
      <c r="AP543" s="8"/>
    </row>
    <row r="544" spans="2:42">
      <c r="B544" s="118"/>
      <c r="C544" s="8"/>
      <c r="D544" s="8"/>
      <c r="E544" s="8"/>
      <c r="H544" s="8"/>
      <c r="I544" s="124"/>
      <c r="J544" s="124"/>
      <c r="K544" s="8"/>
      <c r="L544" s="8"/>
      <c r="P544" s="8"/>
      <c r="Q544" s="8"/>
      <c r="V544" s="8"/>
      <c r="W544" s="118"/>
      <c r="X544" s="8"/>
      <c r="Z544" s="8"/>
      <c r="AA544" s="8"/>
      <c r="AB544" s="8"/>
      <c r="AC544" s="8"/>
      <c r="AD544" s="8"/>
      <c r="AI544" s="8"/>
      <c r="AJ544" s="8"/>
      <c r="AK544" s="8"/>
      <c r="AO544" s="8"/>
      <c r="AP544" s="8"/>
    </row>
    <row r="545" spans="2:42">
      <c r="B545" s="118"/>
      <c r="C545" s="8"/>
      <c r="D545" s="8"/>
      <c r="E545" s="8"/>
      <c r="H545" s="8"/>
      <c r="I545" s="124"/>
      <c r="J545" s="124"/>
      <c r="K545" s="8"/>
      <c r="L545" s="8"/>
      <c r="P545" s="8"/>
      <c r="Q545" s="8"/>
      <c r="V545" s="8"/>
      <c r="W545" s="118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18"/>
      <c r="C546" s="8"/>
      <c r="D546" s="8"/>
      <c r="E546" s="8"/>
      <c r="H546" s="8"/>
      <c r="I546" s="124"/>
      <c r="J546" s="124"/>
      <c r="K546" s="8"/>
      <c r="L546" s="8"/>
      <c r="P546" s="8"/>
      <c r="Q546" s="8"/>
      <c r="V546" s="8"/>
      <c r="W546" s="118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8"/>
      <c r="C547" s="8"/>
      <c r="D547" s="8"/>
      <c r="E547" s="8"/>
      <c r="F547" s="8"/>
      <c r="G547" s="8"/>
      <c r="H547" s="8"/>
      <c r="I547" s="8"/>
      <c r="J547" s="124"/>
      <c r="K547" s="124"/>
      <c r="L547" s="8"/>
      <c r="M547" s="125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</row>
    <row r="548" spans="2:42">
      <c r="B548" s="8"/>
      <c r="C548" s="8"/>
      <c r="D548" s="8"/>
      <c r="E548" s="8"/>
      <c r="F548" s="8"/>
      <c r="G548" s="8"/>
      <c r="H548" s="8"/>
      <c r="I548" s="8"/>
      <c r="J548" s="124"/>
      <c r="K548" s="124"/>
      <c r="L548" s="8"/>
      <c r="M548" s="125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</row>
    <row r="549" spans="2:42">
      <c r="B549" s="8"/>
      <c r="C549" s="8"/>
      <c r="D549" s="8"/>
      <c r="E549" s="8"/>
      <c r="F549" s="8"/>
      <c r="G549" s="8"/>
      <c r="H549" s="8"/>
      <c r="I549" s="8"/>
      <c r="J549" s="124"/>
      <c r="K549" s="124"/>
      <c r="L549" s="8"/>
      <c r="M549" s="125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</row>
    <row r="550" spans="2:42">
      <c r="B550" s="8"/>
      <c r="C550" s="8"/>
      <c r="D550" s="8"/>
      <c r="E550" s="8"/>
      <c r="F550" s="8"/>
      <c r="G550" s="8"/>
      <c r="H550" s="8"/>
      <c r="I550" s="8"/>
      <c r="J550" s="124"/>
      <c r="K550" s="124"/>
      <c r="L550" s="8"/>
      <c r="M550" s="125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</row>
    <row r="551" spans="2:42">
      <c r="B551" s="8"/>
      <c r="C551" s="8"/>
      <c r="D551" s="8"/>
      <c r="E551" s="8"/>
      <c r="F551" s="8"/>
      <c r="G551" s="8"/>
      <c r="H551" s="8"/>
      <c r="I551" s="8"/>
      <c r="J551" s="124"/>
      <c r="K551" s="124"/>
      <c r="L551" s="8"/>
      <c r="M551" s="125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</row>
    <row r="552" spans="2:42">
      <c r="B552" s="8"/>
      <c r="C552" s="8"/>
      <c r="D552" s="8"/>
      <c r="E552" s="8"/>
      <c r="F552" s="8"/>
      <c r="G552" s="8"/>
      <c r="H552" s="8"/>
      <c r="I552" s="8"/>
      <c r="J552" s="124"/>
      <c r="K552" s="124"/>
      <c r="L552" s="8"/>
      <c r="M552" s="125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>
      <c r="B553" s="8"/>
      <c r="C553" s="8"/>
      <c r="D553" s="8"/>
      <c r="E553" s="8"/>
      <c r="F553" s="8"/>
      <c r="G553" s="8"/>
      <c r="H553" s="8"/>
      <c r="I553" s="8"/>
      <c r="J553" s="124"/>
      <c r="K553" s="124"/>
      <c r="L553" s="8"/>
      <c r="M553" s="125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>
      <c r="B554" s="8"/>
      <c r="C554" s="8"/>
      <c r="D554" s="8"/>
      <c r="E554" s="8"/>
      <c r="H554" s="8"/>
      <c r="I554" s="124"/>
      <c r="J554" s="124"/>
      <c r="K554" s="8"/>
      <c r="L554" s="8"/>
      <c r="M554" s="134"/>
      <c r="O554" s="8"/>
      <c r="P554" s="8"/>
      <c r="Q554" s="8"/>
      <c r="W554" s="8"/>
      <c r="X554" s="8"/>
      <c r="Z554" s="8"/>
      <c r="AA554" s="8"/>
      <c r="AC554" s="8"/>
      <c r="AD554" s="8"/>
      <c r="AI554" s="8"/>
      <c r="AJ554" s="8"/>
      <c r="AK554" s="8"/>
      <c r="AO554" s="8"/>
      <c r="AP554" s="8"/>
    </row>
    <row r="555" spans="2:42">
      <c r="B555" s="8"/>
      <c r="C555" s="8"/>
      <c r="D555" s="8"/>
      <c r="E555" s="8"/>
      <c r="H555" s="8"/>
      <c r="I555" s="124"/>
      <c r="J555" s="124"/>
      <c r="K555" s="8"/>
      <c r="L555" s="8"/>
      <c r="M555" s="134"/>
      <c r="O555" s="8"/>
      <c r="P555" s="8"/>
      <c r="Q555" s="8"/>
      <c r="W555" s="8"/>
      <c r="X555" s="8"/>
      <c r="Z555" s="8"/>
      <c r="AA555" s="8"/>
      <c r="AC555" s="8"/>
      <c r="AD555" s="8"/>
      <c r="AI555" s="8"/>
      <c r="AJ555" s="8"/>
      <c r="AK555" s="8"/>
      <c r="AO555" s="8"/>
      <c r="AP555" s="8"/>
    </row>
    <row r="556" spans="2:42">
      <c r="B556" s="8"/>
      <c r="C556" s="8"/>
      <c r="D556" s="8"/>
      <c r="E556" s="8"/>
      <c r="H556" s="8"/>
      <c r="I556" s="124"/>
      <c r="J556" s="124"/>
      <c r="K556" s="8"/>
      <c r="L556" s="8"/>
      <c r="M556" s="135"/>
      <c r="O556" s="8"/>
      <c r="P556" s="8"/>
      <c r="Q556" s="8"/>
      <c r="W556" s="8"/>
      <c r="X556" s="8"/>
      <c r="Z556" s="8"/>
      <c r="AA556" s="8"/>
      <c r="AC556" s="8"/>
      <c r="AD556" s="8"/>
      <c r="AI556" s="118"/>
      <c r="AJ556" s="8"/>
      <c r="AK556" s="8"/>
      <c r="AO556" s="8"/>
      <c r="AP556" s="8"/>
    </row>
    <row r="557" spans="2:42">
      <c r="B557" s="8"/>
      <c r="C557" s="8"/>
      <c r="D557" s="8"/>
      <c r="E557" s="8"/>
      <c r="H557" s="8"/>
      <c r="I557" s="124"/>
      <c r="J557" s="124"/>
      <c r="K557" s="8"/>
      <c r="L557" s="8"/>
      <c r="M557" s="134"/>
      <c r="O557" s="8"/>
      <c r="P557" s="8"/>
      <c r="Q557" s="8"/>
      <c r="W557" s="8"/>
      <c r="X557" s="8"/>
      <c r="Z557" s="8"/>
      <c r="AA557" s="8"/>
      <c r="AC557" s="8"/>
      <c r="AD557" s="8"/>
      <c r="AI557" s="118"/>
      <c r="AJ557" s="8"/>
      <c r="AK557" s="8"/>
      <c r="AO557" s="8"/>
      <c r="AP557" s="8"/>
    </row>
    <row r="558" spans="2:42">
      <c r="B558" s="8"/>
      <c r="C558" s="8"/>
      <c r="D558" s="8"/>
      <c r="E558" s="8"/>
      <c r="H558" s="8"/>
      <c r="I558" s="124"/>
      <c r="J558" s="124"/>
      <c r="K558" s="8"/>
      <c r="L558" s="8"/>
      <c r="M558" s="134"/>
      <c r="O558" s="8"/>
      <c r="P558" s="8"/>
      <c r="Q558" s="8"/>
      <c r="W558" s="8"/>
      <c r="X558" s="8"/>
      <c r="Z558" s="8"/>
      <c r="AA558" s="8"/>
      <c r="AC558" s="8"/>
      <c r="AD558" s="8"/>
      <c r="AI558" s="8"/>
      <c r="AJ558" s="8"/>
      <c r="AK558" s="8"/>
      <c r="AO558" s="8"/>
      <c r="AP558" s="8"/>
    </row>
    <row r="559" spans="2:42">
      <c r="B559" s="8"/>
      <c r="C559" s="8"/>
      <c r="D559" s="8"/>
      <c r="E559" s="8"/>
      <c r="H559" s="8"/>
      <c r="I559" s="8"/>
      <c r="J559" s="124"/>
      <c r="K559" s="8"/>
      <c r="L559" s="8"/>
      <c r="M559" s="134"/>
      <c r="N559" s="118"/>
      <c r="O559" s="136"/>
      <c r="P559" s="8"/>
      <c r="Q559" s="8"/>
      <c r="W559" s="8"/>
      <c r="X559" s="8"/>
      <c r="Z559" s="8"/>
      <c r="AA559" s="8"/>
      <c r="AB559" s="8"/>
      <c r="AC559" s="8"/>
      <c r="AD559" s="8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8"/>
      <c r="J560" s="124"/>
      <c r="K560" s="8"/>
      <c r="L560" s="8"/>
      <c r="M560" s="134"/>
      <c r="N560" s="118"/>
      <c r="O560" s="136"/>
      <c r="P560" s="8"/>
      <c r="Q560" s="8"/>
      <c r="W560" s="8"/>
      <c r="X560" s="8"/>
      <c r="Z560" s="8"/>
      <c r="AA560" s="8"/>
      <c r="AB560" s="8"/>
      <c r="AC560" s="8"/>
      <c r="AD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8"/>
      <c r="J561" s="124"/>
      <c r="K561" s="8"/>
      <c r="L561" s="8"/>
      <c r="M561" s="134"/>
      <c r="N561" s="118"/>
      <c r="O561" s="136"/>
      <c r="P561" s="8"/>
      <c r="Q561" s="8"/>
      <c r="W561" s="8"/>
      <c r="X561" s="8"/>
      <c r="Z561" s="8"/>
      <c r="AA561" s="8"/>
      <c r="AB561" s="8"/>
      <c r="AC561" s="8"/>
      <c r="AD561" s="8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8"/>
      <c r="J562" s="124"/>
      <c r="K562" s="8"/>
      <c r="L562" s="8"/>
      <c r="M562" s="134"/>
      <c r="N562" s="118"/>
      <c r="O562" s="136"/>
      <c r="P562" s="8"/>
      <c r="Q562" s="8"/>
      <c r="W562" s="8"/>
      <c r="X562" s="8"/>
      <c r="Z562" s="8"/>
      <c r="AA562" s="8"/>
      <c r="AB562" s="8"/>
      <c r="AC562" s="8"/>
      <c r="AD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8"/>
      <c r="J563" s="124"/>
      <c r="K563" s="8"/>
      <c r="L563" s="8"/>
      <c r="M563" s="134"/>
      <c r="N563" s="118"/>
      <c r="O563" s="136"/>
      <c r="P563" s="8"/>
      <c r="Q563" s="8"/>
      <c r="W563" s="8"/>
      <c r="X563" s="8"/>
      <c r="Z563" s="8"/>
      <c r="AA563" s="8"/>
      <c r="AB563" s="8"/>
      <c r="AC563" s="8"/>
      <c r="AD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24"/>
      <c r="K564" s="8"/>
      <c r="L564" s="8"/>
      <c r="M564" s="134"/>
      <c r="N564" s="118"/>
      <c r="O564" s="136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24"/>
      <c r="K565" s="8"/>
      <c r="L565" s="8"/>
      <c r="M565" s="134"/>
      <c r="N565" s="118"/>
      <c r="O565" s="136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24"/>
      <c r="K566" s="8"/>
      <c r="L566" s="8"/>
      <c r="M566" s="134"/>
      <c r="N566" s="118"/>
      <c r="O566" s="136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24"/>
      <c r="K567" s="8"/>
      <c r="L567" s="8"/>
      <c r="M567" s="134"/>
      <c r="N567" s="118"/>
      <c r="O567" s="136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24"/>
      <c r="K568" s="8"/>
      <c r="L568" s="8"/>
      <c r="M568" s="134"/>
      <c r="N568" s="118"/>
      <c r="O568" s="136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24"/>
      <c r="K569" s="8"/>
      <c r="L569" s="8"/>
      <c r="M569" s="134"/>
      <c r="N569" s="118"/>
      <c r="O569" s="136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24"/>
      <c r="K570" s="8"/>
      <c r="L570" s="8"/>
      <c r="M570" s="134"/>
      <c r="N570" s="118"/>
      <c r="O570" s="136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24"/>
      <c r="K571" s="8"/>
      <c r="L571" s="8"/>
      <c r="M571" s="134"/>
      <c r="N571" s="118"/>
      <c r="O571" s="136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24"/>
      <c r="K572" s="8"/>
      <c r="L572" s="8"/>
      <c r="M572" s="134"/>
      <c r="N572" s="118"/>
      <c r="O572" s="136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24"/>
      <c r="K573" s="8"/>
      <c r="L573" s="8"/>
      <c r="M573" s="134"/>
      <c r="N573" s="118"/>
      <c r="O573" s="136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24"/>
      <c r="K574" s="8"/>
      <c r="L574" s="8"/>
      <c r="M574" s="134"/>
      <c r="N574" s="118"/>
      <c r="O574" s="136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24"/>
      <c r="K575" s="8"/>
      <c r="L575" s="8"/>
      <c r="M575" s="134"/>
      <c r="N575" s="118"/>
      <c r="O575" s="136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24"/>
      <c r="K576" s="8"/>
      <c r="L576" s="8"/>
      <c r="M576" s="134"/>
      <c r="N576" s="118"/>
      <c r="O576" s="136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24"/>
      <c r="K577" s="8"/>
      <c r="L577" s="8"/>
      <c r="M577" s="134"/>
      <c r="N577" s="118"/>
      <c r="O577" s="136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24"/>
      <c r="K578" s="8"/>
      <c r="L578" s="8"/>
      <c r="M578" s="134"/>
      <c r="N578" s="118"/>
      <c r="O578" s="136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24"/>
      <c r="K579" s="8"/>
      <c r="L579" s="8"/>
      <c r="M579" s="135"/>
      <c r="N579" s="118"/>
      <c r="O579" s="136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24"/>
      <c r="K580" s="8"/>
      <c r="L580" s="8"/>
      <c r="M580" s="135"/>
      <c r="N580" s="118"/>
      <c r="O580" s="136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24"/>
      <c r="K581" s="8"/>
      <c r="L581" s="8"/>
      <c r="M581" s="135"/>
      <c r="N581" s="118"/>
      <c r="O581" s="136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24"/>
      <c r="K582" s="8"/>
      <c r="L582" s="8"/>
      <c r="M582" s="135"/>
      <c r="N582" s="118"/>
      <c r="O582" s="136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24"/>
      <c r="K583" s="8"/>
      <c r="L583" s="8"/>
      <c r="M583" s="135"/>
      <c r="N583" s="118"/>
      <c r="O583" s="136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24"/>
      <c r="K584" s="8"/>
      <c r="L584" s="8"/>
      <c r="M584" s="135"/>
      <c r="N584" s="118"/>
      <c r="O584" s="136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24"/>
      <c r="K585" s="8"/>
      <c r="L585" s="8"/>
      <c r="M585" s="135"/>
      <c r="N585" s="118"/>
      <c r="O585" s="136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24"/>
      <c r="K586" s="8"/>
      <c r="L586" s="8"/>
      <c r="M586" s="135"/>
      <c r="N586" s="118"/>
      <c r="O586" s="136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24"/>
      <c r="K587" s="8"/>
      <c r="L587" s="8"/>
      <c r="M587" s="135"/>
      <c r="N587" s="118"/>
      <c r="O587" s="136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24"/>
      <c r="K588" s="8"/>
      <c r="L588" s="8"/>
      <c r="M588" s="135"/>
      <c r="N588" s="118"/>
      <c r="O588" s="136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24"/>
      <c r="K589" s="8"/>
      <c r="L589" s="8"/>
      <c r="M589" s="134"/>
      <c r="N589" s="118"/>
      <c r="O589" s="136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24"/>
      <c r="K590" s="8"/>
      <c r="L590" s="8"/>
      <c r="M590" s="134"/>
      <c r="N590" s="118"/>
      <c r="O590" s="136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24"/>
      <c r="K591" s="8"/>
      <c r="L591" s="8"/>
      <c r="M591" s="134"/>
      <c r="N591" s="118"/>
      <c r="O591" s="136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24"/>
      <c r="K592" s="8"/>
      <c r="L592" s="8"/>
      <c r="M592" s="134"/>
      <c r="N592" s="118"/>
      <c r="O592" s="136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24"/>
      <c r="K593" s="8"/>
      <c r="L593" s="8"/>
      <c r="M593" s="134"/>
      <c r="N593" s="118"/>
      <c r="O593" s="136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24"/>
      <c r="K594" s="8"/>
      <c r="L594" s="8"/>
      <c r="M594" s="134"/>
      <c r="N594" s="118"/>
      <c r="O594" s="136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24"/>
      <c r="K595" s="8"/>
      <c r="L595" s="8"/>
      <c r="M595" s="134"/>
      <c r="N595" s="118"/>
      <c r="O595" s="136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24"/>
      <c r="K596" s="8"/>
      <c r="L596" s="8"/>
      <c r="M596" s="134"/>
      <c r="N596" s="118"/>
      <c r="O596" s="136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24"/>
      <c r="K597" s="8"/>
      <c r="L597" s="8"/>
      <c r="M597" s="134"/>
      <c r="N597" s="118"/>
      <c r="O597" s="136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24"/>
      <c r="K598" s="8"/>
      <c r="L598" s="8"/>
      <c r="M598" s="134"/>
      <c r="N598" s="118"/>
      <c r="O598" s="136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24"/>
      <c r="K599" s="8"/>
      <c r="M599" s="134"/>
      <c r="N599" s="118"/>
      <c r="O599" s="136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24"/>
      <c r="K600" s="8"/>
      <c r="M600" s="134"/>
      <c r="N600" s="118"/>
      <c r="O600" s="136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24"/>
      <c r="K601" s="8"/>
      <c r="M601" s="134"/>
      <c r="N601" s="118"/>
      <c r="O601" s="136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24"/>
      <c r="K602" s="8"/>
      <c r="M602" s="134"/>
      <c r="N602" s="118"/>
      <c r="O602" s="136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24"/>
      <c r="K603" s="8"/>
      <c r="M603" s="134"/>
      <c r="N603" s="118"/>
      <c r="O603" s="136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24"/>
      <c r="K604" s="8"/>
      <c r="M604" s="134"/>
      <c r="N604" s="118"/>
      <c r="O604" s="136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24"/>
      <c r="K605" s="8"/>
      <c r="M605" s="134"/>
      <c r="N605" s="118"/>
      <c r="O605" s="136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24"/>
      <c r="K606" s="8"/>
      <c r="M606" s="134"/>
      <c r="N606" s="118"/>
      <c r="O606" s="136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24"/>
      <c r="K607" s="8"/>
      <c r="M607" s="134"/>
      <c r="N607" s="118"/>
      <c r="O607" s="136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24"/>
      <c r="K608" s="8"/>
      <c r="M608" s="134"/>
      <c r="N608" s="118"/>
      <c r="O608" s="136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24"/>
      <c r="K609" s="8"/>
      <c r="L609" s="8"/>
      <c r="M609" s="136"/>
      <c r="O609" s="122"/>
      <c r="P609" s="8"/>
      <c r="Q609" s="8"/>
      <c r="V609" s="8"/>
      <c r="W609" s="118"/>
      <c r="X609" s="8"/>
      <c r="Z609" s="8"/>
      <c r="AA609" s="8"/>
      <c r="AC609" s="8"/>
      <c r="AD609" s="8"/>
      <c r="AJ609" s="8"/>
      <c r="AK609" s="8"/>
    </row>
    <row r="610" spans="2:42">
      <c r="B610" s="8"/>
      <c r="C610" s="8"/>
      <c r="D610" s="8"/>
      <c r="E610" s="8"/>
      <c r="H610" s="8"/>
      <c r="I610" s="8"/>
      <c r="J610" s="124"/>
      <c r="K610" s="8"/>
      <c r="L610" s="8"/>
      <c r="M610" s="136"/>
      <c r="O610" s="122"/>
      <c r="P610" s="8"/>
      <c r="Q610" s="8"/>
      <c r="V610" s="8"/>
      <c r="W610" s="118"/>
      <c r="X610" s="8"/>
      <c r="Z610" s="8"/>
      <c r="AA610" s="8"/>
      <c r="AB610" s="8"/>
      <c r="AC610" s="8"/>
      <c r="AD610" s="8"/>
      <c r="AJ610" s="8"/>
      <c r="AK610" s="8"/>
    </row>
    <row r="611" spans="2:42">
      <c r="B611" s="8"/>
      <c r="C611" s="8"/>
      <c r="D611" s="8"/>
      <c r="E611" s="8"/>
      <c r="H611" s="8"/>
      <c r="I611" s="8"/>
      <c r="J611" s="124"/>
      <c r="K611" s="8"/>
      <c r="L611" s="8"/>
      <c r="M611" s="136"/>
      <c r="O611" s="122"/>
      <c r="P611" s="8"/>
      <c r="Q611" s="8"/>
      <c r="V611" s="8"/>
      <c r="W611" s="118"/>
      <c r="X611" s="8"/>
      <c r="Z611" s="8"/>
      <c r="AA611" s="8"/>
      <c r="AB611" s="8"/>
      <c r="AC611" s="8"/>
      <c r="AD611" s="8"/>
      <c r="AJ611" s="8"/>
      <c r="AK611" s="8"/>
    </row>
    <row r="612" spans="2:42">
      <c r="B612" s="8"/>
      <c r="C612" s="8"/>
      <c r="D612" s="8"/>
      <c r="E612" s="8"/>
      <c r="H612" s="8"/>
      <c r="I612" s="8"/>
      <c r="J612" s="124"/>
      <c r="K612" s="8"/>
      <c r="L612" s="8"/>
      <c r="M612" s="136"/>
      <c r="O612" s="122"/>
      <c r="P612" s="8"/>
      <c r="Q612" s="8"/>
      <c r="V612" s="8"/>
      <c r="W612" s="118"/>
      <c r="X612" s="8"/>
      <c r="Z612" s="8"/>
      <c r="AA612" s="8"/>
      <c r="AB612" s="8"/>
      <c r="AC612" s="8"/>
      <c r="AD612" s="8"/>
      <c r="AJ612" s="8"/>
      <c r="AK612" s="8"/>
    </row>
    <row r="613" spans="2:42" s="121" customFormat="1">
      <c r="B613" s="137"/>
      <c r="C613" s="137"/>
      <c r="D613" s="137"/>
      <c r="E613" s="8"/>
      <c r="H613" s="8"/>
      <c r="I613" s="137"/>
      <c r="J613" s="138"/>
      <c r="K613" s="137"/>
      <c r="L613" s="137"/>
      <c r="M613" s="139"/>
      <c r="O613" s="140"/>
      <c r="P613" s="137"/>
      <c r="Q613" s="137"/>
      <c r="V613" s="137"/>
      <c r="W613" s="141"/>
      <c r="X613" s="137"/>
      <c r="Z613" s="137"/>
      <c r="AA613" s="137"/>
      <c r="AB613" s="141"/>
      <c r="AC613" s="137"/>
      <c r="AD613" s="137"/>
      <c r="AJ613" s="137"/>
      <c r="AK613" s="137"/>
      <c r="AN613" s="141"/>
    </row>
    <row r="614" spans="2:42" s="121" customFormat="1">
      <c r="B614" s="137"/>
      <c r="C614" s="137"/>
      <c r="D614" s="137"/>
      <c r="E614" s="8"/>
      <c r="H614" s="8"/>
      <c r="I614" s="137"/>
      <c r="J614" s="138"/>
      <c r="K614" s="137"/>
      <c r="L614" s="137"/>
      <c r="M614" s="139"/>
      <c r="O614" s="140"/>
      <c r="P614" s="137"/>
      <c r="Q614" s="137"/>
      <c r="V614" s="137"/>
      <c r="W614" s="141"/>
      <c r="X614" s="137"/>
      <c r="Z614" s="137"/>
      <c r="AA614" s="137"/>
      <c r="AB614" s="141"/>
      <c r="AC614" s="137"/>
      <c r="AD614" s="137"/>
      <c r="AJ614" s="137"/>
      <c r="AK614" s="137"/>
      <c r="AN614" s="141"/>
    </row>
    <row r="615" spans="2:42" s="121" customFormat="1">
      <c r="B615" s="137"/>
      <c r="C615" s="137"/>
      <c r="D615" s="137"/>
      <c r="E615" s="8"/>
      <c r="H615" s="8"/>
      <c r="I615" s="137"/>
      <c r="J615" s="138"/>
      <c r="K615" s="137"/>
      <c r="L615" s="137"/>
      <c r="M615" s="139"/>
      <c r="O615" s="140"/>
      <c r="P615" s="137"/>
      <c r="Q615" s="137"/>
      <c r="V615" s="137"/>
      <c r="W615" s="141"/>
      <c r="X615" s="137"/>
      <c r="Z615" s="137"/>
      <c r="AA615" s="137"/>
      <c r="AB615" s="141"/>
      <c r="AC615" s="137"/>
      <c r="AD615" s="137"/>
      <c r="AJ615" s="137"/>
      <c r="AK615" s="137"/>
      <c r="AN615" s="141"/>
    </row>
    <row r="616" spans="2:42" s="121" customFormat="1">
      <c r="B616" s="137"/>
      <c r="C616" s="137"/>
      <c r="D616" s="137"/>
      <c r="E616" s="8"/>
      <c r="H616" s="8"/>
      <c r="I616" s="137"/>
      <c r="J616" s="138"/>
      <c r="K616" s="137"/>
      <c r="L616" s="137"/>
      <c r="M616" s="139"/>
      <c r="O616" s="140"/>
      <c r="P616" s="137"/>
      <c r="Q616" s="137"/>
      <c r="V616" s="137"/>
      <c r="W616" s="141"/>
      <c r="X616" s="137"/>
      <c r="Z616" s="137"/>
      <c r="AA616" s="137"/>
      <c r="AB616" s="141"/>
      <c r="AC616" s="137"/>
      <c r="AD616" s="137"/>
      <c r="AJ616" s="137"/>
      <c r="AK616" s="137"/>
      <c r="AN616" s="141"/>
    </row>
    <row r="617" spans="2:42">
      <c r="B617" s="8"/>
      <c r="C617" s="8"/>
      <c r="D617" s="8"/>
      <c r="E617" s="8"/>
      <c r="H617" s="8"/>
      <c r="I617" s="8"/>
      <c r="J617" s="124"/>
      <c r="K617" s="8"/>
      <c r="L617" s="8"/>
      <c r="M617" s="136"/>
      <c r="O617" s="122"/>
      <c r="P617" s="8"/>
      <c r="Q617" s="8"/>
      <c r="W617" s="8"/>
      <c r="X617" s="8"/>
      <c r="Z617" s="8"/>
      <c r="AA617" s="8"/>
      <c r="AC617" s="8"/>
      <c r="AD617" s="8"/>
      <c r="AJ617" s="8"/>
      <c r="AK617" s="8"/>
      <c r="AO617" s="8"/>
      <c r="AP617" s="8"/>
    </row>
    <row r="618" spans="2:42">
      <c r="B618" s="8"/>
      <c r="C618" s="8"/>
      <c r="D618" s="8"/>
      <c r="E618" s="8"/>
      <c r="H618" s="8"/>
      <c r="I618" s="8"/>
      <c r="J618" s="124"/>
      <c r="K618" s="8"/>
      <c r="L618" s="8"/>
      <c r="M618" s="136"/>
      <c r="O618" s="122"/>
      <c r="P618" s="8"/>
      <c r="Q618" s="8"/>
      <c r="W618" s="8"/>
      <c r="X618" s="8"/>
      <c r="Z618" s="8"/>
      <c r="AA618" s="8"/>
      <c r="AB618" s="8"/>
      <c r="AC618" s="8"/>
      <c r="AD618" s="8"/>
      <c r="AJ618" s="8"/>
      <c r="AK618" s="8"/>
      <c r="AO618" s="8"/>
      <c r="AP618" s="8"/>
    </row>
    <row r="619" spans="2:42">
      <c r="B619" s="8"/>
      <c r="C619" s="8"/>
      <c r="D619" s="8"/>
      <c r="E619" s="8"/>
      <c r="H619" s="8"/>
      <c r="I619" s="8"/>
      <c r="J619" s="124"/>
      <c r="K619" s="8"/>
      <c r="L619" s="8"/>
      <c r="M619" s="136"/>
      <c r="O619" s="122"/>
      <c r="P619" s="8"/>
      <c r="Q619" s="8"/>
      <c r="W619" s="8"/>
      <c r="X619" s="8"/>
      <c r="Z619" s="8"/>
      <c r="AA619" s="8"/>
      <c r="AB619" s="8"/>
      <c r="AC619" s="8"/>
      <c r="AD619" s="8"/>
      <c r="AJ619" s="8"/>
      <c r="AK619" s="8"/>
      <c r="AO619" s="8"/>
      <c r="AP619" s="8"/>
    </row>
    <row r="620" spans="2:42">
      <c r="B620" s="8"/>
      <c r="C620" s="8"/>
      <c r="D620" s="8"/>
      <c r="E620" s="8"/>
      <c r="H620" s="8"/>
      <c r="I620" s="8"/>
      <c r="J620" s="124"/>
      <c r="K620" s="8"/>
      <c r="L620" s="8"/>
      <c r="M620" s="136"/>
      <c r="O620" s="122"/>
      <c r="P620" s="8"/>
      <c r="Q620" s="8"/>
      <c r="W620" s="8"/>
      <c r="X620" s="8"/>
      <c r="Z620" s="8"/>
      <c r="AA620" s="8"/>
      <c r="AB620" s="8"/>
      <c r="AC620" s="8"/>
      <c r="AD620" s="8"/>
      <c r="AJ620" s="8"/>
      <c r="AK620" s="8"/>
      <c r="AO620" s="8"/>
      <c r="AP620" s="8"/>
    </row>
    <row r="621" spans="2:42" s="121" customFormat="1">
      <c r="B621" s="137"/>
      <c r="C621" s="137"/>
      <c r="D621" s="137"/>
      <c r="E621" s="8"/>
      <c r="H621" s="8"/>
      <c r="I621" s="137"/>
      <c r="J621" s="138"/>
      <c r="K621" s="137"/>
      <c r="L621" s="137"/>
      <c r="M621" s="139"/>
      <c r="O621" s="140"/>
      <c r="P621" s="137"/>
      <c r="Q621" s="137"/>
      <c r="W621" s="137"/>
      <c r="X621" s="137"/>
      <c r="Z621" s="137"/>
      <c r="AA621" s="137"/>
      <c r="AB621" s="141"/>
      <c r="AC621" s="137"/>
      <c r="AD621" s="137"/>
      <c r="AJ621" s="137"/>
      <c r="AK621" s="137"/>
      <c r="AN621" s="141"/>
      <c r="AO621" s="137"/>
      <c r="AP621" s="137"/>
    </row>
    <row r="622" spans="2:42" s="121" customFormat="1">
      <c r="B622" s="137"/>
      <c r="C622" s="137"/>
      <c r="D622" s="137"/>
      <c r="E622" s="8"/>
      <c r="H622" s="8"/>
      <c r="I622" s="137"/>
      <c r="J622" s="138"/>
      <c r="K622" s="137"/>
      <c r="L622" s="137"/>
      <c r="M622" s="139"/>
      <c r="O622" s="140"/>
      <c r="P622" s="137"/>
      <c r="Q622" s="137"/>
      <c r="W622" s="137"/>
      <c r="X622" s="137"/>
      <c r="Z622" s="137"/>
      <c r="AA622" s="137"/>
      <c r="AB622" s="141"/>
      <c r="AC622" s="137"/>
      <c r="AD622" s="137"/>
      <c r="AJ622" s="137"/>
      <c r="AK622" s="137"/>
      <c r="AN622" s="141"/>
      <c r="AO622" s="137"/>
      <c r="AP622" s="137"/>
    </row>
    <row r="623" spans="2:42" s="121" customFormat="1">
      <c r="B623" s="137"/>
      <c r="C623" s="137"/>
      <c r="D623" s="137"/>
      <c r="E623" s="8"/>
      <c r="H623" s="8"/>
      <c r="I623" s="137"/>
      <c r="J623" s="138"/>
      <c r="K623" s="137"/>
      <c r="L623" s="137"/>
      <c r="M623" s="139"/>
      <c r="O623" s="140"/>
      <c r="P623" s="137"/>
      <c r="Q623" s="137"/>
      <c r="W623" s="137"/>
      <c r="X623" s="137"/>
      <c r="Z623" s="137"/>
      <c r="AA623" s="137"/>
      <c r="AB623" s="141"/>
      <c r="AC623" s="137"/>
      <c r="AD623" s="137"/>
      <c r="AJ623" s="137"/>
      <c r="AK623" s="137"/>
      <c r="AN623" s="141"/>
      <c r="AO623" s="137"/>
      <c r="AP623" s="137"/>
    </row>
    <row r="624" spans="2:42" s="121" customFormat="1">
      <c r="B624" s="137"/>
      <c r="C624" s="137"/>
      <c r="D624" s="137"/>
      <c r="E624" s="8"/>
      <c r="H624" s="8"/>
      <c r="I624" s="137"/>
      <c r="J624" s="138"/>
      <c r="K624" s="137"/>
      <c r="L624" s="137"/>
      <c r="M624" s="139"/>
      <c r="O624" s="140"/>
      <c r="P624" s="137"/>
      <c r="Q624" s="137"/>
      <c r="W624" s="137"/>
      <c r="X624" s="137"/>
      <c r="Z624" s="137"/>
      <c r="AA624" s="137"/>
      <c r="AB624" s="141"/>
      <c r="AC624" s="137"/>
      <c r="AD624" s="137"/>
      <c r="AJ624" s="137"/>
      <c r="AK624" s="137"/>
      <c r="AN624" s="141"/>
      <c r="AO624" s="137"/>
      <c r="AP624" s="137"/>
    </row>
    <row r="625" spans="2:42">
      <c r="B625" s="8"/>
      <c r="C625" s="8"/>
      <c r="D625" s="8"/>
      <c r="E625" s="8"/>
      <c r="H625" s="8"/>
      <c r="I625" s="8"/>
      <c r="J625" s="124"/>
      <c r="K625" s="8"/>
      <c r="L625" s="8"/>
      <c r="M625" s="125"/>
      <c r="O625" s="8"/>
      <c r="P625" s="8"/>
      <c r="Q625" s="8"/>
      <c r="W625" s="8"/>
      <c r="X625" s="8"/>
      <c r="Z625" s="8"/>
      <c r="AA625" s="8"/>
      <c r="AC625" s="8"/>
      <c r="AD625" s="8"/>
      <c r="AI625" s="8"/>
      <c r="AJ625" s="8"/>
      <c r="AK625" s="8"/>
      <c r="AO625" s="8"/>
      <c r="AP625" s="8"/>
    </row>
    <row r="626" spans="2:42">
      <c r="B626" s="8"/>
      <c r="C626" s="8"/>
      <c r="D626" s="8"/>
      <c r="E626" s="8"/>
      <c r="H626" s="8"/>
      <c r="I626" s="8"/>
      <c r="J626" s="124"/>
      <c r="K626" s="8"/>
      <c r="L626" s="8"/>
      <c r="M626" s="125"/>
      <c r="O626" s="8"/>
      <c r="P626" s="8"/>
      <c r="Q626" s="8"/>
      <c r="W626" s="8"/>
      <c r="X626" s="8"/>
      <c r="Z626" s="8"/>
      <c r="AA626" s="8"/>
      <c r="AC626" s="8"/>
      <c r="AD626" s="8"/>
      <c r="AI626" s="8"/>
      <c r="AJ626" s="8"/>
      <c r="AK626" s="8"/>
      <c r="AO626" s="8"/>
      <c r="AP626" s="8"/>
    </row>
    <row r="627" spans="2:42">
      <c r="B627" s="8"/>
      <c r="C627" s="8"/>
      <c r="D627" s="8"/>
      <c r="E627" s="8"/>
      <c r="H627" s="8"/>
      <c r="I627" s="8"/>
      <c r="J627" s="124"/>
      <c r="K627" s="8"/>
      <c r="L627" s="8"/>
      <c r="M627" s="125"/>
      <c r="O627" s="8"/>
      <c r="P627" s="8"/>
      <c r="Q627" s="8"/>
      <c r="W627" s="8"/>
      <c r="X627" s="8"/>
      <c r="Z627" s="8"/>
      <c r="AA627" s="8"/>
      <c r="AC627" s="8"/>
      <c r="AD627" s="8"/>
      <c r="AI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24"/>
      <c r="K628" s="8"/>
      <c r="L628" s="8"/>
      <c r="M628" s="125"/>
      <c r="O628" s="8"/>
      <c r="P628" s="8"/>
      <c r="Q628" s="8"/>
      <c r="W628" s="8"/>
      <c r="X628" s="8"/>
      <c r="Z628" s="8"/>
      <c r="AA628" s="8"/>
      <c r="AC628" s="8"/>
      <c r="AD628" s="8"/>
      <c r="AI628" s="8"/>
      <c r="AJ628" s="8"/>
      <c r="AK628" s="8"/>
      <c r="AO628" s="8"/>
      <c r="AP628" s="8"/>
    </row>
    <row r="629" spans="2:42">
      <c r="B629" s="8"/>
      <c r="C629" s="8"/>
      <c r="D629" s="8"/>
      <c r="E629" s="8"/>
      <c r="H629" s="8"/>
      <c r="I629" s="8"/>
      <c r="J629" s="124"/>
      <c r="K629" s="8"/>
      <c r="L629" s="8"/>
      <c r="M629" s="125"/>
      <c r="O629" s="8"/>
      <c r="P629" s="8"/>
      <c r="Q629" s="8"/>
      <c r="W629" s="8"/>
      <c r="X629" s="8"/>
      <c r="Z629" s="8"/>
      <c r="AA629" s="8"/>
      <c r="AC629" s="8"/>
      <c r="AD629" s="8"/>
      <c r="AI629" s="8"/>
      <c r="AJ629" s="8"/>
      <c r="AK629" s="8"/>
      <c r="AO629" s="8"/>
      <c r="AP629" s="8"/>
    </row>
    <row r="630" spans="2:42">
      <c r="B630" s="8"/>
      <c r="C630" s="8"/>
      <c r="D630" s="8"/>
      <c r="E630" s="8"/>
      <c r="H630" s="8"/>
      <c r="I630" s="8"/>
      <c r="J630" s="124"/>
      <c r="K630" s="8"/>
      <c r="L630" s="8"/>
      <c r="M630" s="125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24"/>
      <c r="K631" s="8"/>
      <c r="L631" s="8"/>
      <c r="M631" s="125"/>
      <c r="O631" s="8"/>
      <c r="P631" s="8"/>
      <c r="Q631" s="8"/>
      <c r="W631" s="8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24"/>
      <c r="K632" s="8"/>
      <c r="L632" s="8"/>
      <c r="M632" s="125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24"/>
      <c r="K633" s="8"/>
      <c r="L633" s="8"/>
      <c r="M633" s="125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24"/>
      <c r="K634" s="8"/>
      <c r="L634" s="8"/>
      <c r="M634" s="125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24"/>
      <c r="K635" s="8"/>
      <c r="L635" s="8"/>
      <c r="M635" s="125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24"/>
      <c r="K636" s="8"/>
      <c r="L636" s="8"/>
      <c r="M636" s="125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24"/>
      <c r="K637" s="8"/>
      <c r="L637" s="8"/>
      <c r="M637" s="125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24"/>
      <c r="K638" s="8"/>
      <c r="L638" s="8"/>
      <c r="M638" s="125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124"/>
      <c r="C639" s="8"/>
      <c r="D639" s="8"/>
      <c r="E639" s="8"/>
      <c r="H639" s="8"/>
      <c r="I639" s="124"/>
      <c r="J639" s="124"/>
      <c r="K639" s="8"/>
      <c r="L639" s="8"/>
      <c r="M639" s="125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24"/>
      <c r="K640" s="8"/>
      <c r="L640" s="8"/>
      <c r="O640" s="122"/>
      <c r="P640" s="8"/>
      <c r="Q640" s="8"/>
      <c r="V640" s="8"/>
      <c r="W640" s="118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8"/>
      <c r="C641" s="8"/>
      <c r="D641" s="8"/>
      <c r="E641" s="8"/>
      <c r="H641" s="8"/>
      <c r="I641" s="8"/>
      <c r="J641" s="124"/>
      <c r="K641" s="8"/>
      <c r="L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24"/>
      <c r="K642" s="8"/>
      <c r="L642" s="8"/>
      <c r="P642" s="8"/>
      <c r="Q642" s="8"/>
      <c r="W642" s="8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24"/>
      <c r="K643" s="8"/>
      <c r="L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8"/>
      <c r="C644" s="8"/>
      <c r="D644" s="8"/>
      <c r="E644" s="8"/>
      <c r="H644" s="8"/>
      <c r="I644" s="8"/>
      <c r="J644" s="124"/>
      <c r="K644" s="8"/>
      <c r="L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24"/>
      <c r="K645" s="8"/>
      <c r="L645" s="8"/>
      <c r="P645" s="8"/>
      <c r="Q645" s="8"/>
      <c r="W645" s="8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24"/>
      <c r="K646" s="8"/>
      <c r="L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24"/>
      <c r="K647" s="8"/>
      <c r="L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24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24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</row>
    <row r="650" spans="2:42">
      <c r="B650" s="8"/>
      <c r="C650" s="8"/>
      <c r="D650" s="8"/>
      <c r="E650" s="8"/>
      <c r="H650" s="8"/>
      <c r="I650" s="8"/>
      <c r="J650" s="124"/>
      <c r="K650" s="8"/>
      <c r="L650" s="8"/>
      <c r="P650" s="8"/>
      <c r="Q650" s="8"/>
      <c r="R650" s="118"/>
      <c r="S650" s="118"/>
      <c r="T650" s="118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24"/>
      <c r="K651" s="8"/>
      <c r="L651" s="8"/>
      <c r="P651" s="8"/>
      <c r="Q651" s="8"/>
      <c r="R651" s="118"/>
      <c r="S651" s="118"/>
      <c r="T651" s="118"/>
      <c r="W651" s="8"/>
      <c r="X651" s="8"/>
      <c r="Z651" s="8"/>
      <c r="AA651" s="8"/>
      <c r="AC651" s="8"/>
      <c r="AD651" s="8"/>
      <c r="AJ651" s="8"/>
      <c r="AK651" s="8"/>
      <c r="AO651" s="8"/>
      <c r="AP651" s="8"/>
    </row>
    <row r="652" spans="2:42">
      <c r="B652" s="8"/>
      <c r="C652" s="8"/>
      <c r="D652" s="8"/>
      <c r="E652" s="8"/>
      <c r="H652" s="8"/>
      <c r="I652" s="8"/>
      <c r="J652" s="124"/>
      <c r="K652" s="8"/>
      <c r="L652" s="8"/>
      <c r="P652" s="8"/>
      <c r="Q652" s="8"/>
      <c r="R652" s="118"/>
      <c r="S652" s="118"/>
      <c r="T652" s="118"/>
      <c r="W652" s="8"/>
      <c r="X652" s="8"/>
      <c r="Z652" s="8"/>
      <c r="AA652" s="8"/>
      <c r="AC652" s="8"/>
      <c r="AD652" s="8"/>
      <c r="AJ652" s="8"/>
      <c r="AK652" s="8"/>
    </row>
    <row r="653" spans="2:42">
      <c r="B653" s="8"/>
      <c r="C653" s="8"/>
      <c r="D653" s="8"/>
      <c r="E653" s="8"/>
      <c r="H653" s="8"/>
      <c r="I653" s="8"/>
      <c r="J653" s="124"/>
      <c r="K653" s="8"/>
      <c r="L653" s="8"/>
      <c r="P653" s="8"/>
      <c r="Q653" s="8"/>
      <c r="R653" s="118"/>
      <c r="S653" s="118"/>
      <c r="T653" s="118"/>
      <c r="W653" s="8"/>
      <c r="X653" s="8"/>
      <c r="Z653" s="8"/>
      <c r="AA653" s="8"/>
      <c r="AC653" s="8"/>
      <c r="AD653" s="8"/>
      <c r="AJ653" s="8"/>
      <c r="AK653" s="8"/>
    </row>
    <row r="654" spans="2:42">
      <c r="B654" s="8"/>
      <c r="C654" s="8"/>
      <c r="D654" s="8"/>
      <c r="E654" s="8"/>
      <c r="H654" s="8"/>
      <c r="I654" s="8"/>
      <c r="J654" s="124"/>
      <c r="K654" s="8"/>
      <c r="L654" s="8"/>
      <c r="P654" s="8"/>
      <c r="Q654" s="8"/>
      <c r="R654" s="118"/>
      <c r="S654" s="118"/>
      <c r="T654" s="118"/>
      <c r="W654" s="8"/>
      <c r="X654" s="8"/>
      <c r="Z654" s="8"/>
      <c r="AA654" s="8"/>
      <c r="AC654" s="8"/>
      <c r="AD654" s="8"/>
      <c r="AJ654" s="8"/>
      <c r="AK654" s="8"/>
    </row>
    <row r="655" spans="2:42">
      <c r="B655" s="8"/>
      <c r="C655" s="8"/>
      <c r="D655" s="8"/>
      <c r="E655" s="8"/>
      <c r="H655" s="8"/>
      <c r="I655" s="8"/>
      <c r="J655" s="124"/>
      <c r="K655" s="8"/>
      <c r="L655" s="8"/>
      <c r="P655" s="8"/>
      <c r="Q655" s="8"/>
      <c r="R655" s="118"/>
      <c r="S655" s="118"/>
      <c r="T655" s="118"/>
      <c r="W655" s="8"/>
      <c r="X655" s="8"/>
      <c r="Z655" s="8"/>
      <c r="AA655" s="8"/>
      <c r="AC655" s="8"/>
      <c r="AD655" s="8"/>
      <c r="AJ655" s="8"/>
      <c r="AK655" s="8"/>
    </row>
    <row r="656" spans="2:42">
      <c r="B656" s="8"/>
      <c r="C656" s="8"/>
      <c r="D656" s="8"/>
      <c r="E656" s="8"/>
      <c r="H656" s="8"/>
      <c r="I656" s="8"/>
      <c r="J656" s="124"/>
      <c r="K656" s="8"/>
      <c r="L656" s="8"/>
      <c r="P656" s="8"/>
      <c r="Q656" s="8"/>
      <c r="R656" s="118"/>
      <c r="S656" s="118"/>
      <c r="T656" s="118"/>
      <c r="W656" s="8"/>
      <c r="X656" s="8"/>
      <c r="Z656" s="8"/>
      <c r="AA656" s="8"/>
      <c r="AC656" s="8"/>
      <c r="AD656" s="8"/>
      <c r="AJ656" s="8"/>
      <c r="AK656" s="8"/>
    </row>
    <row r="657" spans="2:41">
      <c r="B657" s="8"/>
      <c r="C657" s="8"/>
      <c r="D657" s="8"/>
      <c r="E657" s="8"/>
      <c r="H657" s="8"/>
      <c r="I657" s="8"/>
      <c r="J657" s="124"/>
      <c r="K657" s="8"/>
      <c r="L657" s="8"/>
      <c r="P657" s="8"/>
      <c r="Q657" s="8"/>
      <c r="R657" s="118"/>
      <c r="S657" s="118"/>
      <c r="T657" s="118"/>
      <c r="W657" s="8"/>
      <c r="X657" s="8"/>
      <c r="Z657" s="8"/>
      <c r="AA657" s="8"/>
      <c r="AC657" s="8"/>
      <c r="AD657" s="8"/>
      <c r="AJ657" s="8"/>
      <c r="AK657" s="8"/>
    </row>
    <row r="658" spans="2:41">
      <c r="B658" s="8"/>
      <c r="C658" s="8"/>
      <c r="D658" s="8"/>
      <c r="E658" s="8"/>
      <c r="H658" s="8"/>
      <c r="I658" s="8"/>
      <c r="J658" s="124"/>
      <c r="K658" s="8"/>
      <c r="L658" s="8"/>
      <c r="P658" s="8"/>
      <c r="Q658" s="8"/>
      <c r="R658" s="118"/>
      <c r="S658" s="118"/>
      <c r="T658" s="118"/>
      <c r="W658" s="8"/>
      <c r="X658" s="8"/>
      <c r="Z658" s="8"/>
      <c r="AA658" s="8"/>
      <c r="AC658" s="8"/>
      <c r="AD658" s="8"/>
      <c r="AJ658" s="8"/>
      <c r="AK658" s="8"/>
    </row>
    <row r="659" spans="2:41">
      <c r="B659" s="8"/>
      <c r="C659" s="8"/>
      <c r="D659" s="8"/>
      <c r="E659" s="8"/>
      <c r="H659" s="8"/>
      <c r="I659" s="122"/>
      <c r="J659" s="124"/>
      <c r="K659" s="8"/>
      <c r="M659" s="130"/>
      <c r="W659" s="8"/>
      <c r="Z659" s="8"/>
      <c r="AA659" s="8"/>
      <c r="AC659" s="8"/>
      <c r="AD659" s="8"/>
      <c r="AI659" s="8"/>
      <c r="AO659" s="8"/>
    </row>
    <row r="660" spans="2:41">
      <c r="B660" s="8"/>
      <c r="C660" s="8"/>
      <c r="D660" s="8"/>
      <c r="E660" s="8"/>
      <c r="H660" s="8"/>
      <c r="I660" s="122"/>
      <c r="J660" s="124"/>
      <c r="K660" s="8"/>
      <c r="M660" s="130"/>
      <c r="W660" s="8"/>
      <c r="Z660" s="8"/>
      <c r="AA660" s="8"/>
      <c r="AC660" s="8"/>
      <c r="AD660" s="8"/>
      <c r="AI660" s="8"/>
      <c r="AO660" s="8"/>
    </row>
    <row r="661" spans="2:41">
      <c r="B661" s="8"/>
      <c r="C661" s="8"/>
      <c r="D661" s="8"/>
      <c r="E661" s="8"/>
      <c r="H661" s="8"/>
      <c r="I661" s="122"/>
      <c r="J661" s="124"/>
      <c r="K661" s="8"/>
      <c r="M661" s="130"/>
      <c r="W661" s="8"/>
      <c r="Z661" s="8"/>
      <c r="AA661" s="8"/>
      <c r="AC661" s="8"/>
      <c r="AD661" s="8"/>
      <c r="AI661" s="8"/>
      <c r="AO661" s="8"/>
    </row>
    <row r="662" spans="2:41">
      <c r="B662" s="8"/>
      <c r="C662" s="8"/>
      <c r="D662" s="8"/>
      <c r="E662" s="8"/>
      <c r="H662" s="8"/>
      <c r="I662" s="122"/>
      <c r="J662" s="124"/>
      <c r="K662" s="8"/>
      <c r="M662" s="130"/>
      <c r="W662" s="8"/>
      <c r="Z662" s="8"/>
      <c r="AA662" s="8"/>
      <c r="AC662" s="8"/>
      <c r="AD662" s="8"/>
      <c r="AI662" s="8"/>
      <c r="AO662" s="8"/>
    </row>
    <row r="663" spans="2:41">
      <c r="B663" s="8"/>
      <c r="C663" s="8"/>
      <c r="D663" s="8"/>
      <c r="E663" s="8"/>
      <c r="H663" s="8"/>
      <c r="I663" s="122"/>
      <c r="J663" s="124"/>
      <c r="K663" s="8"/>
      <c r="M663" s="130"/>
      <c r="W663" s="8"/>
      <c r="Z663" s="8"/>
      <c r="AA663" s="8"/>
      <c r="AC663" s="8"/>
      <c r="AD663" s="8"/>
      <c r="AI663" s="8"/>
      <c r="AO663" s="8"/>
    </row>
    <row r="664" spans="2:41">
      <c r="B664" s="8"/>
      <c r="C664" s="8"/>
      <c r="D664" s="8"/>
      <c r="E664" s="8"/>
      <c r="H664" s="8"/>
      <c r="I664" s="122"/>
      <c r="J664" s="124"/>
      <c r="K664" s="8"/>
      <c r="M664" s="130"/>
      <c r="W664" s="8"/>
      <c r="Z664" s="8"/>
      <c r="AA664" s="8"/>
      <c r="AC664" s="8"/>
      <c r="AD664" s="8"/>
      <c r="AI664" s="8"/>
      <c r="AO664" s="8"/>
    </row>
    <row r="665" spans="2:41">
      <c r="B665" s="8"/>
      <c r="C665" s="8"/>
      <c r="D665" s="8"/>
      <c r="E665" s="8"/>
      <c r="H665" s="8"/>
      <c r="I665" s="122"/>
      <c r="J665" s="124"/>
      <c r="K665" s="8"/>
      <c r="M665" s="130"/>
      <c r="W665" s="8"/>
      <c r="Z665" s="8"/>
      <c r="AA665" s="8"/>
      <c r="AC665" s="8"/>
      <c r="AD665" s="8"/>
      <c r="AI665" s="8"/>
      <c r="AO665" s="8"/>
    </row>
    <row r="666" spans="2:41">
      <c r="B666" s="8"/>
      <c r="C666" s="8"/>
      <c r="D666" s="8"/>
      <c r="E666" s="8"/>
      <c r="H666" s="8"/>
      <c r="I666" s="122"/>
      <c r="J666" s="124"/>
      <c r="K666" s="8"/>
      <c r="M666" s="130"/>
      <c r="W666" s="8"/>
      <c r="Z666" s="8"/>
      <c r="AA666" s="8"/>
      <c r="AC666" s="8"/>
      <c r="AD666" s="8"/>
      <c r="AI666" s="8"/>
      <c r="AO666" s="8"/>
    </row>
    <row r="667" spans="2:41">
      <c r="B667" s="8"/>
      <c r="C667" s="8"/>
      <c r="D667" s="8"/>
      <c r="E667" s="8"/>
      <c r="H667" s="8"/>
      <c r="J667" s="124"/>
      <c r="K667" s="8"/>
    </row>
    <row r="668" spans="2:41">
      <c r="B668" s="8"/>
      <c r="C668" s="8"/>
      <c r="D668" s="8"/>
      <c r="E668" s="8"/>
      <c r="H668" s="8"/>
      <c r="J668" s="124"/>
      <c r="K668" s="118"/>
    </row>
    <row r="669" spans="2:41">
      <c r="E669" s="8"/>
      <c r="J669" s="124"/>
    </row>
    <row r="670" spans="2:41">
      <c r="E670" s="8"/>
      <c r="J670" s="124"/>
    </row>
    <row r="671" spans="2:41">
      <c r="E671" s="8"/>
      <c r="J671" s="124"/>
    </row>
    <row r="672" spans="2:41">
      <c r="E672" s="8"/>
      <c r="J672" s="124"/>
    </row>
    <row r="673" spans="5:10">
      <c r="E673" s="8"/>
      <c r="J673" s="124"/>
    </row>
    <row r="674" spans="5:10">
      <c r="E674" s="8"/>
      <c r="J674" s="124"/>
    </row>
    <row r="675" spans="5:10">
      <c r="E675" s="8"/>
      <c r="J675" s="124"/>
    </row>
    <row r="676" spans="5:10">
      <c r="E676" s="8"/>
      <c r="J676" s="124"/>
    </row>
    <row r="677" spans="5:10">
      <c r="E677" s="8"/>
      <c r="J677" s="124"/>
    </row>
    <row r="678" spans="5:10">
      <c r="E678" s="8"/>
      <c r="J678" s="124"/>
    </row>
    <row r="679" spans="5:10">
      <c r="E679" s="8"/>
      <c r="J679" s="124"/>
    </row>
    <row r="680" spans="5:10">
      <c r="E680" s="8"/>
      <c r="J680" s="124"/>
    </row>
    <row r="681" spans="5:10">
      <c r="E681" s="8"/>
      <c r="J681" s="124"/>
    </row>
    <row r="682" spans="5:10">
      <c r="E682" s="8"/>
      <c r="J682" s="124"/>
    </row>
    <row r="683" spans="5:10">
      <c r="E683" s="8"/>
      <c r="J683" s="124"/>
    </row>
    <row r="684" spans="5:10">
      <c r="E684" s="8"/>
      <c r="J684" s="124"/>
    </row>
    <row r="685" spans="5:10">
      <c r="E685" s="8"/>
      <c r="J685" s="124"/>
    </row>
    <row r="686" spans="5:10">
      <c r="E686" s="8"/>
      <c r="J686" s="124"/>
    </row>
    <row r="687" spans="5:10">
      <c r="E687" s="8"/>
      <c r="J687" s="124"/>
    </row>
    <row r="688" spans="5:10">
      <c r="E688" s="8"/>
      <c r="J688" s="124"/>
    </row>
    <row r="689" spans="5:10">
      <c r="E689" s="8"/>
      <c r="J689" s="124"/>
    </row>
    <row r="690" spans="5:10">
      <c r="E690" s="8"/>
      <c r="J690" s="124"/>
    </row>
    <row r="691" spans="5:10">
      <c r="E691" s="8"/>
      <c r="J691" s="124"/>
    </row>
    <row r="692" spans="5:10">
      <c r="E692" s="8"/>
      <c r="J692" s="124"/>
    </row>
    <row r="693" spans="5:10">
      <c r="E693" s="8"/>
      <c r="J693" s="124"/>
    </row>
    <row r="694" spans="5:10">
      <c r="E694" s="8"/>
      <c r="J694" s="124"/>
    </row>
    <row r="695" spans="5:10">
      <c r="E695" s="8"/>
      <c r="J695" s="124"/>
    </row>
    <row r="696" spans="5:10">
      <c r="E696" s="8"/>
      <c r="J696" s="124"/>
    </row>
    <row r="697" spans="5:10">
      <c r="E697" s="8"/>
      <c r="J697" s="124"/>
    </row>
    <row r="698" spans="5:10">
      <c r="E698" s="8"/>
      <c r="J698" s="124"/>
    </row>
    <row r="699" spans="5:10">
      <c r="E699" s="8"/>
      <c r="J699" s="124"/>
    </row>
    <row r="700" spans="5:10">
      <c r="E700" s="8"/>
      <c r="J700" s="124"/>
    </row>
    <row r="701" spans="5:10">
      <c r="E701" s="8"/>
      <c r="J701" s="124"/>
    </row>
    <row r="702" spans="5:10">
      <c r="E702" s="8"/>
      <c r="J702" s="124"/>
    </row>
    <row r="703" spans="5:10">
      <c r="E703" s="8"/>
      <c r="J703" s="124"/>
    </row>
    <row r="704" spans="5:10">
      <c r="E704" s="8"/>
      <c r="J704" s="124"/>
    </row>
    <row r="705" spans="5:10">
      <c r="E705" s="8"/>
      <c r="J705" s="124"/>
    </row>
    <row r="706" spans="5:10">
      <c r="E706" s="8"/>
      <c r="J706" s="124"/>
    </row>
    <row r="707" spans="5:10">
      <c r="E707" s="8"/>
    </row>
    <row r="708" spans="5:10">
      <c r="E708" s="8"/>
    </row>
  </sheetData>
  <autoFilter ref="A1:AP706"/>
  <phoneticPr fontId="2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28"/>
  <sheetViews>
    <sheetView tabSelected="1" workbookViewId="0">
      <pane xSplit="5" ySplit="2" topLeftCell="F180" activePane="bottomRight" state="frozen"/>
      <selection pane="topRight"/>
      <selection pane="bottomLeft"/>
      <selection pane="bottomRight" activeCell="T202" sqref="T202"/>
    </sheetView>
  </sheetViews>
  <sheetFormatPr defaultColWidth="9" defaultRowHeight="14.25"/>
  <cols>
    <col min="1" max="1" width="2.125" style="14" customWidth="1"/>
    <col min="2" max="2" width="5.125" style="14" customWidth="1"/>
    <col min="3" max="3" width="27.125" style="14" customWidth="1"/>
    <col min="4" max="5" width="4.25" style="14" customWidth="1"/>
    <col min="6" max="6" width="8.125" style="15" customWidth="1"/>
    <col min="7" max="8" width="6.125" style="15" customWidth="1"/>
    <col min="9" max="9" width="6.625" style="15" customWidth="1"/>
    <col min="10" max="10" width="4.875" style="15" customWidth="1"/>
    <col min="11" max="11" width="5.125" style="15" customWidth="1"/>
    <col min="12" max="12" width="4.625" style="15" customWidth="1"/>
    <col min="13" max="13" width="5.25" style="15" customWidth="1"/>
    <col min="14" max="15" width="4.375" style="15" customWidth="1"/>
    <col min="16" max="19" width="5" style="38" customWidth="1"/>
    <col min="20" max="20" width="37.625" style="39" customWidth="1"/>
    <col min="21" max="21" width="50.375" style="40" customWidth="1"/>
    <col min="22" max="22" width="8.625" style="41" customWidth="1"/>
    <col min="23" max="43" width="8.625" style="42" customWidth="1"/>
    <col min="44" max="45" width="8.625" style="43" customWidth="1"/>
    <col min="46" max="91" width="8.625" style="42" customWidth="1"/>
    <col min="92" max="92" width="9.625" style="13" hidden="1" customWidth="1"/>
    <col min="93" max="93" width="14.5" style="13" hidden="1" customWidth="1"/>
    <col min="94" max="94" width="12" style="13" hidden="1" customWidth="1"/>
    <col min="95" max="95" width="13.125" style="13" hidden="1" customWidth="1"/>
    <col min="96" max="98" width="15.375" style="13" hidden="1" customWidth="1"/>
    <col min="99" max="99" width="46" style="6" customWidth="1"/>
    <col min="100" max="104" width="9" style="6"/>
    <col min="105" max="105" width="63" style="6" customWidth="1"/>
    <col min="106" max="119" width="3.625" style="44" customWidth="1"/>
    <col min="120" max="120" width="14.875" style="44" customWidth="1"/>
    <col min="121" max="131" width="3.625" style="44" customWidth="1"/>
    <col min="132" max="132" width="19.875" style="44" customWidth="1"/>
    <col min="133" max="133" width="9" style="44" customWidth="1"/>
    <col min="134" max="146" width="3.625" style="44" customWidth="1"/>
    <col min="147" max="147" width="4" style="6" customWidth="1"/>
    <col min="148" max="175" width="3.625" style="6" customWidth="1"/>
    <col min="176" max="16384" width="9" style="6"/>
  </cols>
  <sheetData>
    <row r="1" spans="1:175">
      <c r="F1" s="144" t="s">
        <v>92</v>
      </c>
      <c r="G1" s="144"/>
      <c r="H1" s="144"/>
      <c r="I1" s="144"/>
      <c r="J1" s="144"/>
      <c r="K1" s="144"/>
      <c r="L1" s="144"/>
      <c r="M1" s="144"/>
      <c r="N1" s="144"/>
      <c r="O1" s="144"/>
      <c r="P1" s="145" t="s">
        <v>93</v>
      </c>
      <c r="Q1" s="146"/>
      <c r="R1" s="146"/>
      <c r="S1" s="147"/>
      <c r="T1" s="148" t="s">
        <v>7</v>
      </c>
      <c r="U1" s="14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2">
        <v>23</v>
      </c>
      <c r="AS1" s="62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94</v>
      </c>
      <c r="CR1" s="65" t="s">
        <v>94</v>
      </c>
      <c r="CS1" s="67"/>
      <c r="CT1" s="67"/>
      <c r="DB1"/>
      <c r="DC1"/>
      <c r="DD1"/>
      <c r="DE1"/>
      <c r="DF1"/>
      <c r="DG1"/>
      <c r="DH1"/>
      <c r="DI1"/>
      <c r="DJ1" t="s">
        <v>95</v>
      </c>
      <c r="DK1" t="s">
        <v>95</v>
      </c>
      <c r="DL1" t="s">
        <v>95</v>
      </c>
      <c r="DM1" t="s">
        <v>95</v>
      </c>
      <c r="DN1" t="s">
        <v>95</v>
      </c>
      <c r="DO1" t="s">
        <v>95</v>
      </c>
      <c r="DP1" t="s">
        <v>95</v>
      </c>
      <c r="DQ1" t="s">
        <v>95</v>
      </c>
      <c r="DR1" t="s">
        <v>95</v>
      </c>
      <c r="DS1" t="s">
        <v>95</v>
      </c>
      <c r="DT1" t="s">
        <v>95</v>
      </c>
      <c r="DU1" t="s">
        <v>95</v>
      </c>
      <c r="DV1" t="s">
        <v>95</v>
      </c>
      <c r="DW1" t="s">
        <v>95</v>
      </c>
      <c r="DX1" t="s">
        <v>95</v>
      </c>
      <c r="DY1" t="s">
        <v>95</v>
      </c>
      <c r="DZ1" t="s">
        <v>95</v>
      </c>
      <c r="EA1"/>
      <c r="EB1"/>
      <c r="EC1"/>
      <c r="ED1"/>
      <c r="EE1"/>
      <c r="EF1" t="s">
        <v>95</v>
      </c>
      <c r="EG1" t="s">
        <v>95</v>
      </c>
      <c r="EH1" t="s">
        <v>95</v>
      </c>
      <c r="FJ1" s="37" t="s">
        <v>95</v>
      </c>
      <c r="FK1" s="37" t="s">
        <v>95</v>
      </c>
      <c r="FL1" s="37" t="s">
        <v>95</v>
      </c>
      <c r="FM1" s="37" t="s">
        <v>95</v>
      </c>
      <c r="FN1" s="37" t="s">
        <v>95</v>
      </c>
      <c r="FO1" s="37" t="s">
        <v>95</v>
      </c>
      <c r="FP1" s="37" t="s">
        <v>95</v>
      </c>
      <c r="FQ1" s="37" t="s">
        <v>95</v>
      </c>
      <c r="FR1" s="37" t="s">
        <v>95</v>
      </c>
    </row>
    <row r="2" spans="1:175">
      <c r="B2" s="14" t="s">
        <v>96</v>
      </c>
      <c r="D2" s="14" t="s">
        <v>97</v>
      </c>
      <c r="E2" s="14" t="s">
        <v>98</v>
      </c>
      <c r="F2" s="15" t="s">
        <v>99</v>
      </c>
      <c r="G2" s="15" t="s">
        <v>100</v>
      </c>
      <c r="H2" s="15" t="s">
        <v>101</v>
      </c>
      <c r="I2" s="15" t="s">
        <v>102</v>
      </c>
      <c r="J2" s="15" t="s">
        <v>103</v>
      </c>
      <c r="K2" s="15" t="s">
        <v>104</v>
      </c>
      <c r="L2" s="15" t="s">
        <v>105</v>
      </c>
      <c r="M2" s="15" t="s">
        <v>106</v>
      </c>
      <c r="N2" s="15" t="s">
        <v>107</v>
      </c>
      <c r="O2" s="15" t="s">
        <v>108</v>
      </c>
      <c r="P2" s="51" t="s">
        <v>99</v>
      </c>
      <c r="Q2" s="51" t="s">
        <v>109</v>
      </c>
      <c r="R2" s="51" t="s">
        <v>110</v>
      </c>
      <c r="S2" s="51" t="s">
        <v>111</v>
      </c>
      <c r="T2" s="54" t="s">
        <v>112</v>
      </c>
      <c r="U2" s="40" t="s">
        <v>113</v>
      </c>
      <c r="V2" t="s">
        <v>114</v>
      </c>
      <c r="W2" s="3" t="s">
        <v>115</v>
      </c>
      <c r="X2" t="s">
        <v>116</v>
      </c>
      <c r="Y2" t="s">
        <v>117</v>
      </c>
      <c r="Z2" t="s">
        <v>23</v>
      </c>
      <c r="AA2" t="s">
        <v>118</v>
      </c>
      <c r="AB2" t="s">
        <v>119</v>
      </c>
      <c r="AC2" t="s">
        <v>120</v>
      </c>
      <c r="AD2" t="s">
        <v>121</v>
      </c>
      <c r="AE2" t="s">
        <v>122</v>
      </c>
      <c r="AF2" t="s">
        <v>123</v>
      </c>
      <c r="AG2" t="s">
        <v>124</v>
      </c>
      <c r="AH2" t="s">
        <v>125</v>
      </c>
      <c r="AI2" t="s">
        <v>126</v>
      </c>
      <c r="AJ2" t="s">
        <v>127</v>
      </c>
      <c r="AK2" t="s">
        <v>128</v>
      </c>
      <c r="AL2" t="s">
        <v>129</v>
      </c>
      <c r="AM2" t="s">
        <v>130</v>
      </c>
      <c r="AN2" t="s">
        <v>131</v>
      </c>
      <c r="AO2" t="s">
        <v>132</v>
      </c>
      <c r="AP2" t="s">
        <v>133</v>
      </c>
      <c r="AQ2" t="s">
        <v>134</v>
      </c>
      <c r="AR2" s="62" t="s">
        <v>135</v>
      </c>
      <c r="AS2" s="62" t="s">
        <v>136</v>
      </c>
      <c r="AT2" t="s">
        <v>137</v>
      </c>
      <c r="AU2" t="s">
        <v>138</v>
      </c>
      <c r="AV2" s="3" t="s">
        <v>139</v>
      </c>
      <c r="AW2" s="3" t="s">
        <v>140</v>
      </c>
      <c r="AX2" s="3" t="s">
        <v>141</v>
      </c>
      <c r="AY2"/>
      <c r="AZ2" s="3" t="s">
        <v>142</v>
      </c>
      <c r="BA2" s="3" t="s">
        <v>143</v>
      </c>
      <c r="BB2" s="3" t="s">
        <v>144</v>
      </c>
      <c r="BC2" s="3" t="s">
        <v>145</v>
      </c>
      <c r="BD2" s="3" t="s">
        <v>146</v>
      </c>
      <c r="BE2" s="3"/>
      <c r="BF2" s="3"/>
      <c r="BG2" s="3"/>
      <c r="BH2" s="3"/>
      <c r="BI2" s="3" t="s">
        <v>147</v>
      </c>
      <c r="BJ2" s="3" t="s">
        <v>148</v>
      </c>
      <c r="BK2"/>
      <c r="BL2" s="64" t="s">
        <v>149</v>
      </c>
      <c r="BM2" s="64" t="s">
        <v>150</v>
      </c>
      <c r="BN2" s="64" t="s">
        <v>151</v>
      </c>
      <c r="BO2" s="64" t="s">
        <v>152</v>
      </c>
      <c r="BP2" s="64" t="s">
        <v>153</v>
      </c>
      <c r="BQ2" s="64" t="s">
        <v>154</v>
      </c>
      <c r="BR2" s="64" t="s">
        <v>155</v>
      </c>
      <c r="BS2" s="64" t="s">
        <v>156</v>
      </c>
      <c r="BT2" s="3" t="s">
        <v>157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158</v>
      </c>
      <c r="CO2" s="13" t="s">
        <v>159</v>
      </c>
      <c r="CP2" s="13" t="s">
        <v>160</v>
      </c>
      <c r="CQ2" s="13" t="s">
        <v>161</v>
      </c>
      <c r="CR2" s="13" t="s">
        <v>162</v>
      </c>
      <c r="CS2" s="13" t="s">
        <v>163</v>
      </c>
      <c r="CT2" s="13" t="s">
        <v>164</v>
      </c>
      <c r="DB2" s="69" t="str">
        <f>V2</f>
        <v>攻击</v>
      </c>
      <c r="DC2" s="69" t="str">
        <f t="shared" ref="DC2:FN2" si="0">W2</f>
        <v>业力</v>
      </c>
      <c r="DD2" s="69" t="str">
        <f t="shared" si="0"/>
        <v>护甲</v>
      </c>
      <c r="DE2" s="69" t="str">
        <f t="shared" si="0"/>
        <v>法抗</v>
      </c>
      <c r="DF2" s="69" t="str">
        <f t="shared" si="0"/>
        <v>生命值</v>
      </c>
      <c r="DG2" s="69" t="str">
        <f t="shared" si="0"/>
        <v>魔法值</v>
      </c>
      <c r="DH2" s="69" t="str">
        <f t="shared" si="0"/>
        <v>生命回复</v>
      </c>
      <c r="DI2" s="69" t="str">
        <f t="shared" si="0"/>
        <v>魔法回复</v>
      </c>
      <c r="DJ2" s="69" t="str">
        <f t="shared" si="0"/>
        <v>攻速</v>
      </c>
      <c r="DK2" s="69" t="str">
        <f t="shared" si="0"/>
        <v>闪避</v>
      </c>
      <c r="DL2" s="69" t="str">
        <f t="shared" si="0"/>
        <v>免伤</v>
      </c>
      <c r="DM2" s="69" t="str">
        <f t="shared" si="0"/>
        <v>普攻伤害</v>
      </c>
      <c r="DN2" s="69" t="str">
        <f t="shared" si="0"/>
        <v>物理穿透</v>
      </c>
      <c r="DO2" s="69" t="str">
        <f t="shared" si="0"/>
        <v>法术穿透</v>
      </c>
      <c r="DP2" s="69" t="str">
        <f t="shared" si="0"/>
        <v>物理伤害</v>
      </c>
      <c r="DQ2" s="69" t="str">
        <f t="shared" si="0"/>
        <v>法术伤害</v>
      </c>
      <c r="DR2" s="69" t="str">
        <f t="shared" si="0"/>
        <v>伤害加成</v>
      </c>
      <c r="DS2" s="69" t="str">
        <f t="shared" si="0"/>
        <v>伤害减免</v>
      </c>
      <c r="DT2" s="69" t="str">
        <f t="shared" si="0"/>
        <v>暴击</v>
      </c>
      <c r="DU2" s="69" t="str">
        <f t="shared" si="0"/>
        <v>暴伤</v>
      </c>
      <c r="DV2" s="69" t="str">
        <f t="shared" si="0"/>
        <v>伤害吸取</v>
      </c>
      <c r="DW2" s="69" t="str">
        <f t="shared" si="0"/>
        <v>分裂</v>
      </c>
      <c r="DX2" s="69" t="str">
        <f t="shared" si="0"/>
        <v>致命概率</v>
      </c>
      <c r="DY2" s="69" t="str">
        <f t="shared" si="0"/>
        <v>致命倍率</v>
      </c>
      <c r="DZ2" s="69" t="str">
        <f t="shared" si="0"/>
        <v>冷却缩减</v>
      </c>
      <c r="EA2" s="69" t="str">
        <f t="shared" si="0"/>
        <v>冷却降低</v>
      </c>
      <c r="EB2" s="69" t="str">
        <f t="shared" si="0"/>
        <v>触发概率</v>
      </c>
      <c r="EC2" s="69" t="str">
        <f t="shared" si="0"/>
        <v>生命恢复%</v>
      </c>
      <c r="ED2" s="69" t="str">
        <f t="shared" si="0"/>
        <v>魔法恢复%</v>
      </c>
      <c r="EE2" s="69">
        <f t="shared" si="0"/>
        <v>0</v>
      </c>
      <c r="EF2" s="69" t="str">
        <f t="shared" si="0"/>
        <v>生命%</v>
      </c>
      <c r="EG2" s="69" t="str">
        <f t="shared" si="0"/>
        <v>攻击%</v>
      </c>
      <c r="EH2" s="69" t="str">
        <f t="shared" si="0"/>
        <v>法强%</v>
      </c>
      <c r="EI2" s="69" t="str">
        <f t="shared" si="0"/>
        <v>攻速-%</v>
      </c>
      <c r="EJ2" s="69" t="str">
        <f t="shared" si="0"/>
        <v>冷却-%</v>
      </c>
      <c r="EK2" s="69">
        <f t="shared" si="0"/>
        <v>0</v>
      </c>
      <c r="EL2" s="69">
        <f t="shared" si="0"/>
        <v>0</v>
      </c>
      <c r="EM2" s="69">
        <f t="shared" si="0"/>
        <v>0</v>
      </c>
      <c r="EN2" s="69">
        <f t="shared" si="0"/>
        <v>0</v>
      </c>
      <c r="EO2" s="69" t="str">
        <f t="shared" si="0"/>
        <v>元神力</v>
      </c>
      <c r="EP2" s="69" t="str">
        <f t="shared" si="0"/>
        <v>金币加成</v>
      </c>
      <c r="EQ2" s="69">
        <f t="shared" si="0"/>
        <v>0</v>
      </c>
      <c r="ER2" s="69" t="str">
        <f t="shared" si="0"/>
        <v>杀敌攻击</v>
      </c>
      <c r="ES2" s="69" t="str">
        <f t="shared" si="0"/>
        <v>杀敌业力</v>
      </c>
      <c r="ET2" s="69" t="str">
        <f t="shared" si="0"/>
        <v>杀敌生命</v>
      </c>
      <c r="EU2" s="69" t="str">
        <f t="shared" si="0"/>
        <v>杀敌金币</v>
      </c>
      <c r="EV2" s="69" t="str">
        <f t="shared" si="0"/>
        <v>每秒攻击</v>
      </c>
      <c r="EW2" s="69" t="str">
        <f t="shared" si="0"/>
        <v>每秒业力</v>
      </c>
      <c r="EX2" s="69" t="str">
        <f t="shared" si="0"/>
        <v>每秒生命</v>
      </c>
      <c r="EY2" s="69" t="str">
        <f t="shared" si="0"/>
        <v>每秒金币</v>
      </c>
      <c r="EZ2" s="69" t="str">
        <f t="shared" si="0"/>
        <v>攻击距离</v>
      </c>
      <c r="FA2" s="69">
        <f t="shared" si="0"/>
        <v>0</v>
      </c>
      <c r="FB2" s="69">
        <f t="shared" si="0"/>
        <v>0</v>
      </c>
      <c r="FC2" s="69">
        <f t="shared" si="0"/>
        <v>0</v>
      </c>
      <c r="FD2" s="69">
        <f t="shared" si="0"/>
        <v>0</v>
      </c>
      <c r="FE2" s="69">
        <f t="shared" si="0"/>
        <v>0</v>
      </c>
      <c r="FF2" s="69">
        <f t="shared" si="0"/>
        <v>0</v>
      </c>
      <c r="FG2" s="69">
        <f t="shared" si="0"/>
        <v>0</v>
      </c>
      <c r="FH2" s="69">
        <f t="shared" si="0"/>
        <v>0</v>
      </c>
      <c r="FI2" s="69">
        <f t="shared" si="0"/>
        <v>0</v>
      </c>
      <c r="FJ2" s="69">
        <f t="shared" si="0"/>
        <v>0</v>
      </c>
      <c r="FK2" s="69">
        <f t="shared" si="0"/>
        <v>0</v>
      </c>
      <c r="FL2" s="69">
        <f t="shared" si="0"/>
        <v>0</v>
      </c>
      <c r="FM2" s="69">
        <f t="shared" si="0"/>
        <v>0</v>
      </c>
      <c r="FN2" s="69">
        <f t="shared" si="0"/>
        <v>0</v>
      </c>
      <c r="FO2" s="69">
        <f t="shared" ref="FO2:FS2" si="1">CI2</f>
        <v>0</v>
      </c>
      <c r="FP2" s="69">
        <f t="shared" si="1"/>
        <v>0</v>
      </c>
      <c r="FQ2" s="69">
        <f t="shared" si="1"/>
        <v>0</v>
      </c>
      <c r="FR2" s="69">
        <f t="shared" si="1"/>
        <v>0</v>
      </c>
      <c r="FS2" s="69">
        <f t="shared" si="1"/>
        <v>0</v>
      </c>
    </row>
    <row r="3" spans="1:175" s="7" customFormat="1" ht="16.5">
      <c r="A3" s="11"/>
      <c r="B3" s="45" t="s">
        <v>165</v>
      </c>
      <c r="C3" s="11" t="s">
        <v>166</v>
      </c>
      <c r="D3" s="46"/>
      <c r="E3" s="47"/>
      <c r="F3" s="48">
        <v>800</v>
      </c>
      <c r="G3" s="49">
        <v>100</v>
      </c>
      <c r="H3" s="49"/>
      <c r="I3" s="49" t="str">
        <f>B4</f>
        <v>E002</v>
      </c>
      <c r="J3" s="49"/>
      <c r="K3" s="49"/>
      <c r="L3" s="49"/>
      <c r="M3" s="49"/>
      <c r="N3" s="49"/>
      <c r="O3" s="49"/>
      <c r="P3" s="52"/>
      <c r="Q3" s="52"/>
      <c r="R3" s="52"/>
      <c r="S3" s="52"/>
      <c r="T3" s="55" t="s">
        <v>167</v>
      </c>
      <c r="U3" s="56" t="s">
        <v>168</v>
      </c>
      <c r="V3" s="57">
        <v>1000</v>
      </c>
      <c r="W3" s="57"/>
      <c r="X3" s="57"/>
      <c r="Y3" s="57"/>
      <c r="Z3" s="57"/>
      <c r="AA3" s="57"/>
      <c r="AB3" s="57"/>
      <c r="AC3" s="57"/>
      <c r="AD3" s="60"/>
      <c r="AE3" s="57"/>
      <c r="AF3" s="57"/>
      <c r="AG3" s="61"/>
      <c r="AH3" s="57"/>
      <c r="AI3" s="57"/>
      <c r="AJ3" s="57"/>
      <c r="AK3" s="57"/>
      <c r="AL3" s="61"/>
      <c r="AM3" s="57"/>
      <c r="AN3" s="57"/>
      <c r="AO3" s="57"/>
      <c r="AP3" s="57"/>
      <c r="AQ3" s="57"/>
      <c r="AR3" s="63"/>
      <c r="AS3" s="63"/>
      <c r="AT3" s="57"/>
      <c r="AU3" s="57"/>
      <c r="AV3" s="57"/>
      <c r="AW3" s="57"/>
      <c r="AX3" s="57"/>
      <c r="AY3" s="57"/>
      <c r="AZ3" s="57"/>
      <c r="BA3" s="57"/>
      <c r="BB3" s="57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7"/>
      <c r="CF3" s="57"/>
      <c r="CG3" s="57"/>
      <c r="CH3" s="57"/>
      <c r="CI3" s="57"/>
      <c r="CJ3" s="57"/>
      <c r="CK3" s="57"/>
      <c r="CL3" s="57"/>
      <c r="CM3" s="57"/>
      <c r="CN3" s="6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6"/>
      <c r="CT3" s="66"/>
      <c r="CU3" s="6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pans="1:175" s="7" customFormat="1" ht="16.5">
      <c r="A4" s="11"/>
      <c r="B4" s="45" t="s">
        <v>169</v>
      </c>
      <c r="C4" s="11" t="s">
        <v>170</v>
      </c>
      <c r="D4" s="46"/>
      <c r="E4" s="47"/>
      <c r="F4" s="48">
        <v>800</v>
      </c>
      <c r="G4" s="49">
        <v>100</v>
      </c>
      <c r="H4" s="49"/>
      <c r="I4" s="49" t="str">
        <f t="shared" ref="I4:I26" si="77">B5</f>
        <v>E003</v>
      </c>
      <c r="J4" s="49"/>
      <c r="K4" s="49"/>
      <c r="L4" s="49"/>
      <c r="M4" s="49"/>
      <c r="N4" s="49"/>
      <c r="O4" s="49"/>
      <c r="P4" s="52"/>
      <c r="Q4" s="52"/>
      <c r="R4" s="52"/>
      <c r="S4" s="52"/>
      <c r="T4" s="55" t="s">
        <v>167</v>
      </c>
      <c r="U4" s="56" t="s">
        <v>168</v>
      </c>
      <c r="V4" s="57">
        <v>2500</v>
      </c>
      <c r="W4" s="57"/>
      <c r="X4" s="57"/>
      <c r="Y4" s="57"/>
      <c r="Z4" s="57"/>
      <c r="AA4" s="57"/>
      <c r="AB4" s="57"/>
      <c r="AC4" s="57"/>
      <c r="AD4" s="60"/>
      <c r="AE4" s="57"/>
      <c r="AF4" s="57"/>
      <c r="AG4" s="61"/>
      <c r="AH4" s="57"/>
      <c r="AI4" s="57"/>
      <c r="AJ4" s="57"/>
      <c r="AK4" s="57"/>
      <c r="AL4" s="61"/>
      <c r="AM4" s="57"/>
      <c r="AN4" s="57"/>
      <c r="AO4" s="57"/>
      <c r="AP4" s="57"/>
      <c r="AQ4" s="57"/>
      <c r="AR4" s="63"/>
      <c r="AS4" s="63"/>
      <c r="AT4" s="57"/>
      <c r="AU4" s="57"/>
      <c r="AV4" s="57"/>
      <c r="AW4" s="57"/>
      <c r="AX4" s="57"/>
      <c r="AY4" s="57"/>
      <c r="AZ4" s="57"/>
      <c r="BA4" s="57"/>
      <c r="BB4" s="57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7"/>
      <c r="CF4" s="57"/>
      <c r="CG4" s="57"/>
      <c r="CH4" s="57"/>
      <c r="CI4" s="57"/>
      <c r="CJ4" s="57"/>
      <c r="CK4" s="57"/>
      <c r="CL4" s="57"/>
      <c r="CM4" s="57"/>
      <c r="CN4" s="66" t="str">
        <f t="shared" si="2"/>
        <v>InitUnitState('E002',2500,,,,,,,,,)</v>
      </c>
      <c r="CO4" s="66" t="str">
        <f t="shared" si="3"/>
        <v>InitUnitNormal('E002',,,,,,,,,,)</v>
      </c>
      <c r="CP4" s="66" t="str">
        <f t="shared" si="4"/>
        <v>InitUnitMagic('E002',,,,,,,,,,)</v>
      </c>
      <c r="CQ4" s="66" t="str">
        <f t="shared" si="5"/>
        <v>InitUnitAdd('E002',,,,,,,,,,)</v>
      </c>
      <c r="CR4" s="66" t="str">
        <f t="shared" si="6"/>
        <v>InitEquipData('E002',,"",,E003,800,100,'','','','','','',"ReplaceableTextures\\CommandButtons\\BTNZ01.blp")</v>
      </c>
      <c r="CS4" s="66"/>
      <c r="CT4" s="66"/>
      <c r="CU4" s="6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pans="1:175" s="7" customFormat="1" ht="16.5">
      <c r="A5" s="11"/>
      <c r="B5" s="45" t="s">
        <v>171</v>
      </c>
      <c r="C5" s="11" t="s">
        <v>172</v>
      </c>
      <c r="D5" s="46"/>
      <c r="E5" s="47"/>
      <c r="F5" s="48">
        <v>800</v>
      </c>
      <c r="G5" s="49">
        <v>100</v>
      </c>
      <c r="H5" s="49"/>
      <c r="I5" s="49" t="str">
        <f t="shared" si="77"/>
        <v>E004</v>
      </c>
      <c r="J5" s="49"/>
      <c r="K5" s="49"/>
      <c r="L5" s="49"/>
      <c r="M5" s="49"/>
      <c r="N5" s="49"/>
      <c r="O5" s="49"/>
      <c r="P5" s="52"/>
      <c r="Q5" s="52"/>
      <c r="R5" s="52"/>
      <c r="S5" s="52"/>
      <c r="T5" s="55" t="s">
        <v>167</v>
      </c>
      <c r="U5" s="56" t="s">
        <v>168</v>
      </c>
      <c r="V5" s="57">
        <v>4000</v>
      </c>
      <c r="W5" s="57"/>
      <c r="X5" s="57"/>
      <c r="Y5" s="57"/>
      <c r="Z5" s="57"/>
      <c r="AA5" s="57"/>
      <c r="AB5" s="57"/>
      <c r="AC5" s="57"/>
      <c r="AD5" s="60"/>
      <c r="AE5" s="57"/>
      <c r="AF5" s="57"/>
      <c r="AG5" s="61"/>
      <c r="AH5" s="57"/>
      <c r="AI5" s="57"/>
      <c r="AJ5" s="57"/>
      <c r="AK5" s="57"/>
      <c r="AL5" s="61"/>
      <c r="AM5" s="57"/>
      <c r="AN5" s="57"/>
      <c r="AO5" s="57"/>
      <c r="AP5" s="57"/>
      <c r="AQ5" s="57"/>
      <c r="AR5" s="63"/>
      <c r="AS5" s="63"/>
      <c r="AT5" s="57"/>
      <c r="AU5" s="57"/>
      <c r="AV5" s="57"/>
      <c r="AW5" s="57"/>
      <c r="AX5" s="57"/>
      <c r="AY5" s="57"/>
      <c r="AZ5" s="57"/>
      <c r="BA5" s="57"/>
      <c r="BB5" s="57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7"/>
      <c r="CF5" s="57"/>
      <c r="CG5" s="57"/>
      <c r="CH5" s="57"/>
      <c r="CI5" s="57"/>
      <c r="CJ5" s="57"/>
      <c r="CK5" s="57"/>
      <c r="CL5" s="57"/>
      <c r="CM5" s="57"/>
      <c r="CN5" s="66" t="str">
        <f t="shared" si="2"/>
        <v>InitUnitState('E003',4000,,,,,,,,,)</v>
      </c>
      <c r="CO5" s="66" t="str">
        <f t="shared" si="3"/>
        <v>InitUnitNormal('E003',,,,,,,,,,)</v>
      </c>
      <c r="CP5" s="66" t="str">
        <f t="shared" si="4"/>
        <v>InitUnitMagic('E003',,,,,,,,,,)</v>
      </c>
      <c r="CQ5" s="66" t="str">
        <f t="shared" si="5"/>
        <v>InitUnitAdd('E003',,,,,,,,,,)</v>
      </c>
      <c r="CR5" s="66" t="str">
        <f t="shared" si="6"/>
        <v>InitEquipData('E003',,"",,E004,800,100,'','','','','','',"ReplaceableTextures\\CommandButtons\\BTNZ01.blp")</v>
      </c>
      <c r="CS5" s="66"/>
      <c r="CT5" s="66"/>
      <c r="CU5" s="68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pans="1:175" s="7" customFormat="1" ht="16.5">
      <c r="A6" s="11"/>
      <c r="B6" s="45" t="s">
        <v>173</v>
      </c>
      <c r="C6" s="11" t="s">
        <v>174</v>
      </c>
      <c r="D6" s="46"/>
      <c r="E6" s="47"/>
      <c r="F6" s="48">
        <v>800</v>
      </c>
      <c r="G6" s="49">
        <v>100</v>
      </c>
      <c r="H6" s="49"/>
      <c r="I6" s="49" t="str">
        <f t="shared" si="77"/>
        <v>E005</v>
      </c>
      <c r="J6" s="49"/>
      <c r="K6" s="49"/>
      <c r="L6" s="49"/>
      <c r="M6" s="49"/>
      <c r="N6" s="49"/>
      <c r="O6" s="49"/>
      <c r="P6" s="52"/>
      <c r="Q6" s="52"/>
      <c r="R6" s="52"/>
      <c r="S6" s="52"/>
      <c r="T6" s="55" t="s">
        <v>167</v>
      </c>
      <c r="U6" s="56" t="s">
        <v>168</v>
      </c>
      <c r="V6" s="57">
        <v>6000</v>
      </c>
      <c r="W6" s="57"/>
      <c r="X6" s="57"/>
      <c r="Y6" s="57"/>
      <c r="Z6" s="57"/>
      <c r="AA6" s="57"/>
      <c r="AB6" s="57"/>
      <c r="AC6" s="57"/>
      <c r="AD6" s="60"/>
      <c r="AE6" s="57"/>
      <c r="AF6" s="57"/>
      <c r="AG6" s="61"/>
      <c r="AH6" s="57"/>
      <c r="AI6" s="57"/>
      <c r="AJ6" s="57"/>
      <c r="AK6" s="57"/>
      <c r="AL6" s="61"/>
      <c r="AM6" s="57"/>
      <c r="AN6" s="57"/>
      <c r="AO6" s="57"/>
      <c r="AP6" s="57"/>
      <c r="AQ6" s="57"/>
      <c r="AR6" s="63"/>
      <c r="AS6" s="63"/>
      <c r="AT6" s="57"/>
      <c r="AU6" s="57"/>
      <c r="AV6" s="57"/>
      <c r="AW6" s="57"/>
      <c r="AX6" s="57"/>
      <c r="AY6" s="57"/>
      <c r="AZ6" s="57"/>
      <c r="BA6" s="57"/>
      <c r="BB6" s="57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7"/>
      <c r="CF6" s="57"/>
      <c r="CG6" s="57"/>
      <c r="CH6" s="57"/>
      <c r="CI6" s="57"/>
      <c r="CJ6" s="57"/>
      <c r="CK6" s="57"/>
      <c r="CL6" s="57"/>
      <c r="CM6" s="57"/>
      <c r="CN6" s="66" t="str">
        <f t="shared" si="2"/>
        <v>InitUnitState('E004',6000,,,,,,,,,)</v>
      </c>
      <c r="CO6" s="66" t="str">
        <f t="shared" si="3"/>
        <v>InitUnitNormal('E004',,,,,,,,,,)</v>
      </c>
      <c r="CP6" s="66" t="str">
        <f t="shared" si="4"/>
        <v>InitUnitMagic('E004',,,,,,,,,,)</v>
      </c>
      <c r="CQ6" s="66" t="str">
        <f t="shared" si="5"/>
        <v>InitUnitAdd('E004',,,,,,,,,,)</v>
      </c>
      <c r="CR6" s="66" t="str">
        <f t="shared" si="6"/>
        <v>InitEquipData('E004',,"",,E005,800,100,'','','','','','',"ReplaceableTextures\\CommandButtons\\BTNZ01.blp")</v>
      </c>
      <c r="CS6" s="66"/>
      <c r="CT6" s="66"/>
      <c r="CU6" s="68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pans="1:175" s="7" customFormat="1" ht="16.5">
      <c r="A7" s="11"/>
      <c r="B7" s="45" t="s">
        <v>175</v>
      </c>
      <c r="C7" s="11" t="s">
        <v>176</v>
      </c>
      <c r="D7" s="46"/>
      <c r="E7" s="47"/>
      <c r="F7" s="48">
        <v>2500</v>
      </c>
      <c r="G7" s="49">
        <v>100</v>
      </c>
      <c r="H7" s="50" t="s">
        <v>177</v>
      </c>
      <c r="I7" s="49" t="str">
        <f t="shared" si="77"/>
        <v>E006</v>
      </c>
      <c r="J7" s="49"/>
      <c r="K7" s="49"/>
      <c r="L7" s="49"/>
      <c r="M7" s="49"/>
      <c r="N7" s="49"/>
      <c r="O7" s="49"/>
      <c r="P7" s="52"/>
      <c r="Q7" s="52"/>
      <c r="R7" s="52"/>
      <c r="S7" s="52"/>
      <c r="T7" s="55" t="s">
        <v>167</v>
      </c>
      <c r="U7" s="56" t="s">
        <v>168</v>
      </c>
      <c r="V7" s="57">
        <v>8000</v>
      </c>
      <c r="W7" s="57"/>
      <c r="X7" s="57"/>
      <c r="Y7" s="57"/>
      <c r="Z7" s="57"/>
      <c r="AA7" s="57"/>
      <c r="AB7" s="57"/>
      <c r="AC7" s="57"/>
      <c r="AD7" s="60"/>
      <c r="AE7" s="57"/>
      <c r="AF7" s="57"/>
      <c r="AG7" s="61"/>
      <c r="AH7" s="57"/>
      <c r="AI7" s="57"/>
      <c r="AJ7" s="57"/>
      <c r="AK7" s="57"/>
      <c r="AL7" s="61"/>
      <c r="AM7" s="57"/>
      <c r="AN7" s="57"/>
      <c r="AO7" s="57"/>
      <c r="AP7" s="57"/>
      <c r="AQ7" s="57"/>
      <c r="AR7" s="63"/>
      <c r="AS7" s="63"/>
      <c r="AT7" s="57"/>
      <c r="AU7" s="57"/>
      <c r="AV7" s="57"/>
      <c r="AW7" s="57"/>
      <c r="AX7" s="57"/>
      <c r="AY7" s="57"/>
      <c r="AZ7" s="57"/>
      <c r="BA7" s="57"/>
      <c r="BB7" s="5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7"/>
      <c r="CF7" s="57"/>
      <c r="CG7" s="57"/>
      <c r="CH7" s="57"/>
      <c r="CI7" s="57"/>
      <c r="CJ7" s="57"/>
      <c r="CK7" s="57"/>
      <c r="CL7" s="57"/>
      <c r="CM7" s="57"/>
      <c r="CN7" s="66" t="str">
        <f t="shared" si="2"/>
        <v>InitUnitState('E005',8000,,,,,,,,,)</v>
      </c>
      <c r="CO7" s="66" t="str">
        <f t="shared" si="3"/>
        <v>InitUnitNormal('E005',,,,,,,,,,)</v>
      </c>
      <c r="CP7" s="66" t="str">
        <f t="shared" si="4"/>
        <v>InitUnitMagic('E005',,,,,,,,,,)</v>
      </c>
      <c r="CQ7" s="66" t="str">
        <f t="shared" si="5"/>
        <v>InitUnitAdd('E005',,,,,,,,,,)</v>
      </c>
      <c r="CR7" s="66" t="str">
        <f t="shared" si="6"/>
        <v>InitEquipData('E005',,"",,E006,2500,100,'','','','','','',"ReplaceableTextures\\CommandButtons\\BTNZ02.blp")</v>
      </c>
      <c r="CS7" s="66"/>
      <c r="CT7" s="66"/>
      <c r="CU7" s="68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pans="1:175" s="7" customFormat="1" ht="16.5">
      <c r="A8" s="11"/>
      <c r="B8" s="45" t="s">
        <v>178</v>
      </c>
      <c r="C8" s="11" t="s">
        <v>179</v>
      </c>
      <c r="D8" s="46"/>
      <c r="E8" s="47"/>
      <c r="F8" s="48">
        <v>2500</v>
      </c>
      <c r="G8" s="49">
        <v>85</v>
      </c>
      <c r="H8" s="49"/>
      <c r="I8" s="49" t="str">
        <f t="shared" si="77"/>
        <v>E007</v>
      </c>
      <c r="J8" s="49"/>
      <c r="K8" s="49"/>
      <c r="L8" s="49"/>
      <c r="M8" s="49"/>
      <c r="N8" s="49"/>
      <c r="O8" s="49"/>
      <c r="P8" s="52"/>
      <c r="Q8" s="52"/>
      <c r="R8" s="52"/>
      <c r="S8" s="52"/>
      <c r="T8" s="55" t="s">
        <v>167</v>
      </c>
      <c r="U8" s="56" t="s">
        <v>180</v>
      </c>
      <c r="V8" s="57">
        <v>12000</v>
      </c>
      <c r="W8" s="57">
        <f>V8-V7</f>
        <v>4000</v>
      </c>
      <c r="X8" s="57"/>
      <c r="Y8" s="57"/>
      <c r="Z8" s="57"/>
      <c r="AA8" s="57"/>
      <c r="AB8" s="57"/>
      <c r="AC8" s="57"/>
      <c r="AD8" s="60"/>
      <c r="AE8" s="57"/>
      <c r="AF8" s="57"/>
      <c r="AG8" s="61"/>
      <c r="AH8" s="57"/>
      <c r="AI8" s="57"/>
      <c r="AJ8" s="57"/>
      <c r="AK8" s="57"/>
      <c r="AL8" s="61"/>
      <c r="AM8" s="57"/>
      <c r="AN8" s="57">
        <v>5</v>
      </c>
      <c r="AO8" s="57">
        <v>100</v>
      </c>
      <c r="AP8" s="57">
        <v>1</v>
      </c>
      <c r="AQ8" s="57"/>
      <c r="AR8" s="63"/>
      <c r="AS8" s="63"/>
      <c r="AT8" s="57"/>
      <c r="AU8" s="57"/>
      <c r="AV8" s="57"/>
      <c r="AW8" s="57"/>
      <c r="AX8" s="57"/>
      <c r="AY8" s="57"/>
      <c r="AZ8" s="57"/>
      <c r="BA8" s="57"/>
      <c r="BB8" s="57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7"/>
      <c r="CF8" s="57"/>
      <c r="CG8" s="57"/>
      <c r="CH8" s="57"/>
      <c r="CI8" s="57"/>
      <c r="CJ8" s="57"/>
      <c r="CK8" s="57"/>
      <c r="CL8" s="57"/>
      <c r="CM8" s="57"/>
      <c r="CN8" s="66" t="str">
        <f t="shared" si="2"/>
        <v>InitUnitState('E006',12000,4000,,,,,,,,)</v>
      </c>
      <c r="CO8" s="66" t="str">
        <f t="shared" si="3"/>
        <v>InitUnitNormal('E006',,,,,,,,,5,100)</v>
      </c>
      <c r="CP8" s="66" t="str">
        <f t="shared" si="4"/>
        <v>InitUnitMagic('E006',1,,,,,,,,,)</v>
      </c>
      <c r="CQ8" s="66" t="str">
        <f t="shared" si="5"/>
        <v>InitUnitAdd('E006',,,,,,,,,,)</v>
      </c>
      <c r="CR8" s="66" t="str">
        <f t="shared" si="6"/>
        <v>InitEquipData('E006',,"",,E007,2500,85,'','','','','','',"ReplaceableTextures\\CommandButtons\\BTNZ02.blp")</v>
      </c>
      <c r="CS8" s="66"/>
      <c r="CT8" s="66"/>
      <c r="CU8" s="68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pans="1:175" s="7" customFormat="1" ht="16.5">
      <c r="A9" s="11"/>
      <c r="B9" s="45" t="s">
        <v>181</v>
      </c>
      <c r="C9" s="11" t="s">
        <v>182</v>
      </c>
      <c r="D9" s="46"/>
      <c r="E9" s="47"/>
      <c r="F9" s="48">
        <v>2500</v>
      </c>
      <c r="G9" s="49">
        <v>85</v>
      </c>
      <c r="H9" s="49"/>
      <c r="I9" s="49" t="str">
        <f t="shared" si="77"/>
        <v>E008</v>
      </c>
      <c r="J9" s="49"/>
      <c r="K9" s="49"/>
      <c r="L9" s="49"/>
      <c r="M9" s="49"/>
      <c r="N9" s="49"/>
      <c r="O9" s="49"/>
      <c r="P9" s="52"/>
      <c r="Q9" s="52"/>
      <c r="R9" s="52"/>
      <c r="S9" s="52"/>
      <c r="T9" s="55" t="s">
        <v>167</v>
      </c>
      <c r="U9" s="56" t="s">
        <v>180</v>
      </c>
      <c r="V9" s="57">
        <v>16000</v>
      </c>
      <c r="W9" s="57"/>
      <c r="X9" s="57"/>
      <c r="Y9" s="57"/>
      <c r="Z9" s="57"/>
      <c r="AA9" s="57"/>
      <c r="AB9" s="57"/>
      <c r="AC9" s="57"/>
      <c r="AD9" s="60"/>
      <c r="AE9" s="57"/>
      <c r="AF9" s="57"/>
      <c r="AG9" s="61"/>
      <c r="AH9" s="57"/>
      <c r="AI9" s="57"/>
      <c r="AJ9" s="57"/>
      <c r="AK9" s="57"/>
      <c r="AL9" s="61"/>
      <c r="AM9" s="57"/>
      <c r="AN9" s="57">
        <v>5</v>
      </c>
      <c r="AO9" s="57">
        <v>100</v>
      </c>
      <c r="AP9" s="57">
        <v>1</v>
      </c>
      <c r="AQ9" s="57"/>
      <c r="AR9" s="63"/>
      <c r="AS9" s="63"/>
      <c r="AT9" s="57"/>
      <c r="AU9" s="57"/>
      <c r="AV9" s="57"/>
      <c r="AW9" s="57"/>
      <c r="AX9" s="57"/>
      <c r="AY9" s="57"/>
      <c r="AZ9" s="57"/>
      <c r="BA9" s="57"/>
      <c r="BB9" s="57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7"/>
      <c r="CF9" s="57"/>
      <c r="CG9" s="57"/>
      <c r="CH9" s="57"/>
      <c r="CI9" s="57"/>
      <c r="CJ9" s="57"/>
      <c r="CK9" s="57"/>
      <c r="CL9" s="57"/>
      <c r="CM9" s="57"/>
      <c r="CN9" s="66" t="str">
        <f t="shared" si="2"/>
        <v>InitUnitState('E007',16000,,,,,,,,,)</v>
      </c>
      <c r="CO9" s="66" t="str">
        <f t="shared" si="3"/>
        <v>InitUnitNormal('E007',,,,,,,,,5,100)</v>
      </c>
      <c r="CP9" s="66" t="str">
        <f t="shared" si="4"/>
        <v>InitUnitMagic('E007',1,,,,,,,,,)</v>
      </c>
      <c r="CQ9" s="66" t="str">
        <f t="shared" si="5"/>
        <v>InitUnitAdd('E007',,,,,,,,,,)</v>
      </c>
      <c r="CR9" s="66" t="str">
        <f t="shared" si="6"/>
        <v>InitEquipData('E007',,"",,E008,2500,85,'','','','','','',"ReplaceableTextures\\CommandButtons\\BTNZ02.blp")</v>
      </c>
      <c r="CS9" s="66"/>
      <c r="CT9" s="66"/>
      <c r="CU9" s="68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pans="1:175" s="7" customFormat="1" ht="16.5">
      <c r="A10" s="11"/>
      <c r="B10" s="45" t="s">
        <v>183</v>
      </c>
      <c r="C10" s="11" t="s">
        <v>184</v>
      </c>
      <c r="D10" s="46"/>
      <c r="E10" s="47"/>
      <c r="F10" s="48">
        <v>2500</v>
      </c>
      <c r="G10" s="49">
        <v>85</v>
      </c>
      <c r="H10" s="49"/>
      <c r="I10" s="49" t="str">
        <f t="shared" si="77"/>
        <v>E009</v>
      </c>
      <c r="J10" s="49"/>
      <c r="K10" s="49"/>
      <c r="L10" s="49"/>
      <c r="M10" s="49"/>
      <c r="N10" s="49"/>
      <c r="O10" s="49"/>
      <c r="P10" s="52"/>
      <c r="Q10" s="52"/>
      <c r="R10" s="52"/>
      <c r="S10" s="52"/>
      <c r="T10" s="55" t="s">
        <v>167</v>
      </c>
      <c r="U10" s="56" t="s">
        <v>180</v>
      </c>
      <c r="V10" s="57">
        <v>20000</v>
      </c>
      <c r="W10" s="57"/>
      <c r="X10" s="57"/>
      <c r="Y10" s="57"/>
      <c r="Z10" s="57"/>
      <c r="AA10" s="57"/>
      <c r="AB10" s="57"/>
      <c r="AC10" s="57"/>
      <c r="AD10" s="60"/>
      <c r="AE10" s="57"/>
      <c r="AF10" s="57"/>
      <c r="AG10" s="61"/>
      <c r="AH10" s="57"/>
      <c r="AI10" s="57"/>
      <c r="AJ10" s="57"/>
      <c r="AK10" s="57"/>
      <c r="AL10" s="61"/>
      <c r="AM10" s="57"/>
      <c r="AN10" s="57">
        <v>5</v>
      </c>
      <c r="AO10" s="57">
        <v>100</v>
      </c>
      <c r="AP10" s="57">
        <v>2</v>
      </c>
      <c r="AQ10" s="57"/>
      <c r="AR10" s="63"/>
      <c r="AS10" s="63"/>
      <c r="AT10" s="57"/>
      <c r="AU10" s="57"/>
      <c r="AV10" s="57"/>
      <c r="AW10" s="57"/>
      <c r="AX10" s="57"/>
      <c r="AY10" s="57"/>
      <c r="AZ10" s="57"/>
      <c r="BA10" s="57"/>
      <c r="BB10" s="57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7"/>
      <c r="CF10" s="57"/>
      <c r="CG10" s="57"/>
      <c r="CH10" s="57"/>
      <c r="CI10" s="57"/>
      <c r="CJ10" s="57"/>
      <c r="CK10" s="57"/>
      <c r="CL10" s="57"/>
      <c r="CM10" s="57"/>
      <c r="CN10" s="66" t="str">
        <f t="shared" si="2"/>
        <v>InitUnitState('E008',20000,,,,,,,,,)</v>
      </c>
      <c r="CO10" s="66" t="str">
        <f t="shared" si="3"/>
        <v>InitUnitNormal('E008',,,,,,,,,5,100)</v>
      </c>
      <c r="CP10" s="66" t="str">
        <f t="shared" si="4"/>
        <v>InitUnitMagic('E008',2,,,,,,,,,)</v>
      </c>
      <c r="CQ10" s="66" t="str">
        <f t="shared" si="5"/>
        <v>InitUnitAdd('E008',,,,,,,,,,)</v>
      </c>
      <c r="CR10" s="66" t="str">
        <f t="shared" si="6"/>
        <v>InitEquipData('E008',,"",,E009,2500,85,'','','','','','',"ReplaceableTextures\\CommandButtons\\BTNZ02.blp")</v>
      </c>
      <c r="CS10" s="66"/>
      <c r="CT10" s="66"/>
      <c r="CU10" s="68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pans="1:175" s="7" customFormat="1" ht="16.5">
      <c r="A11" s="11"/>
      <c r="B11" s="45" t="s">
        <v>185</v>
      </c>
      <c r="C11" s="11" t="s">
        <v>186</v>
      </c>
      <c r="D11" s="46"/>
      <c r="E11" s="47"/>
      <c r="F11" s="48">
        <v>2500</v>
      </c>
      <c r="G11" s="49">
        <v>85</v>
      </c>
      <c r="H11" s="49"/>
      <c r="I11" s="49" t="str">
        <f t="shared" si="77"/>
        <v>E010</v>
      </c>
      <c r="J11" s="49"/>
      <c r="K11" s="49"/>
      <c r="L11" s="49"/>
      <c r="M11" s="49"/>
      <c r="N11" s="49"/>
      <c r="O11" s="49"/>
      <c r="P11" s="52"/>
      <c r="Q11" s="52"/>
      <c r="R11" s="52"/>
      <c r="S11" s="52"/>
      <c r="T11" s="55" t="s">
        <v>167</v>
      </c>
      <c r="U11" s="56" t="s">
        <v>180</v>
      </c>
      <c r="V11" s="57">
        <v>24000</v>
      </c>
      <c r="W11" s="57"/>
      <c r="X11" s="57"/>
      <c r="Y11" s="57"/>
      <c r="Z11" s="57"/>
      <c r="AA11" s="57"/>
      <c r="AB11" s="57"/>
      <c r="AC11" s="57"/>
      <c r="AD11" s="60"/>
      <c r="AE11" s="57"/>
      <c r="AF11" s="57"/>
      <c r="AG11" s="61"/>
      <c r="AH11" s="57"/>
      <c r="AI11" s="57"/>
      <c r="AJ11" s="57"/>
      <c r="AK11" s="57"/>
      <c r="AL11" s="61"/>
      <c r="AM11" s="57"/>
      <c r="AN11" s="57">
        <v>5</v>
      </c>
      <c r="AO11" s="57">
        <v>100</v>
      </c>
      <c r="AP11" s="57">
        <v>2</v>
      </c>
      <c r="AQ11" s="57"/>
      <c r="AR11" s="63"/>
      <c r="AS11" s="63"/>
      <c r="AT11" s="57"/>
      <c r="AU11" s="57"/>
      <c r="AV11" s="57"/>
      <c r="AW11" s="57"/>
      <c r="AX11" s="57"/>
      <c r="AY11" s="57"/>
      <c r="AZ11" s="57"/>
      <c r="BA11" s="57"/>
      <c r="BB11" s="57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7"/>
      <c r="CF11" s="57"/>
      <c r="CG11" s="57"/>
      <c r="CH11" s="57"/>
      <c r="CI11" s="57"/>
      <c r="CJ11" s="57"/>
      <c r="CK11" s="57"/>
      <c r="CL11" s="57"/>
      <c r="CM11" s="57"/>
      <c r="CN11" s="66" t="str">
        <f t="shared" si="2"/>
        <v>InitUnitState('E009',24000,,,,,,,,,)</v>
      </c>
      <c r="CO11" s="66" t="str">
        <f t="shared" si="3"/>
        <v>InitUnitNormal('E009',,,,,,,,,5,100)</v>
      </c>
      <c r="CP11" s="66" t="str">
        <f t="shared" si="4"/>
        <v>InitUnitMagic('E009',2,,,,,,,,,)</v>
      </c>
      <c r="CQ11" s="66" t="str">
        <f t="shared" si="5"/>
        <v>InitUnitAdd('E009',,,,,,,,,,)</v>
      </c>
      <c r="CR11" s="66" t="str">
        <f t="shared" si="6"/>
        <v>InitEquipData('E009',,"",,E010,2500,85,'','','','','','',"ReplaceableTextures\\CommandButtons\\BTNZ02.blp")</v>
      </c>
      <c r="CS11" s="66"/>
      <c r="CT11" s="66"/>
      <c r="CU11" s="68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pans="1:175" s="7" customFormat="1" ht="16.5">
      <c r="A12" s="11"/>
      <c r="B12" s="45" t="s">
        <v>187</v>
      </c>
      <c r="C12" s="11" t="s">
        <v>188</v>
      </c>
      <c r="D12" s="46"/>
      <c r="E12" s="47"/>
      <c r="F12" s="48">
        <v>10000</v>
      </c>
      <c r="G12" s="49">
        <v>100</v>
      </c>
      <c r="H12" s="50" t="s">
        <v>189</v>
      </c>
      <c r="I12" s="49" t="str">
        <f t="shared" si="77"/>
        <v>E011</v>
      </c>
      <c r="J12" s="49"/>
      <c r="K12" s="49"/>
      <c r="L12" s="49"/>
      <c r="M12" s="49"/>
      <c r="N12" s="49"/>
      <c r="O12" s="49"/>
      <c r="P12" s="52"/>
      <c r="Q12" s="52"/>
      <c r="R12" s="52"/>
      <c r="S12" s="52"/>
      <c r="T12" s="55" t="s">
        <v>167</v>
      </c>
      <c r="U12" s="56" t="s">
        <v>180</v>
      </c>
      <c r="V12" s="57">
        <v>28000</v>
      </c>
      <c r="W12" s="57"/>
      <c r="X12" s="57"/>
      <c r="Y12" s="57"/>
      <c r="Z12" s="57"/>
      <c r="AA12" s="57"/>
      <c r="AB12" s="57"/>
      <c r="AC12" s="57"/>
      <c r="AD12" s="60"/>
      <c r="AE12" s="57"/>
      <c r="AF12" s="57"/>
      <c r="AG12" s="61"/>
      <c r="AH12" s="57"/>
      <c r="AI12" s="57"/>
      <c r="AJ12" s="57"/>
      <c r="AK12" s="57"/>
      <c r="AL12" s="61"/>
      <c r="AM12" s="57"/>
      <c r="AN12" s="57">
        <v>5</v>
      </c>
      <c r="AO12" s="57">
        <v>100</v>
      </c>
      <c r="AP12" s="57">
        <v>2</v>
      </c>
      <c r="AQ12" s="57"/>
      <c r="AR12" s="63"/>
      <c r="AS12" s="63"/>
      <c r="AT12" s="57"/>
      <c r="AU12" s="57"/>
      <c r="AV12" s="57"/>
      <c r="AW12" s="57"/>
      <c r="AX12" s="57"/>
      <c r="AY12" s="57"/>
      <c r="AZ12" s="57"/>
      <c r="BA12" s="57"/>
      <c r="BB12" s="57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7"/>
      <c r="CF12" s="57"/>
      <c r="CG12" s="57"/>
      <c r="CH12" s="57"/>
      <c r="CI12" s="57"/>
      <c r="CJ12" s="57"/>
      <c r="CK12" s="57"/>
      <c r="CL12" s="57"/>
      <c r="CM12" s="57"/>
      <c r="CN12" s="66" t="str">
        <f t="shared" si="2"/>
        <v>InitUnitState('E010',28000,,,,,,,,,)</v>
      </c>
      <c r="CO12" s="66" t="str">
        <f t="shared" si="3"/>
        <v>InitUnitNormal('E010',,,,,,,,,5,100)</v>
      </c>
      <c r="CP12" s="66" t="str">
        <f t="shared" si="4"/>
        <v>InitUnitMagic('E010',2,,,,,,,,,)</v>
      </c>
      <c r="CQ12" s="66" t="str">
        <f t="shared" si="5"/>
        <v>InitUnitAdd('E010',,,,,,,,,,)</v>
      </c>
      <c r="CR12" s="66" t="str">
        <f t="shared" si="6"/>
        <v>InitEquipData('E010',,"",,E011,10000,100,'','','','','','',"ReplaceableTextures\\CommandButtons\\BTNZ03.blp")</v>
      </c>
      <c r="CS12" s="66"/>
      <c r="CT12" s="66"/>
      <c r="CU12" s="68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pans="1:175" s="7" customFormat="1" ht="16.5">
      <c r="A13" s="11"/>
      <c r="B13" s="45" t="s">
        <v>190</v>
      </c>
      <c r="C13" s="11" t="s">
        <v>191</v>
      </c>
      <c r="D13" s="46"/>
      <c r="E13" s="47"/>
      <c r="F13" s="48">
        <v>8000</v>
      </c>
      <c r="G13" s="49">
        <v>70</v>
      </c>
      <c r="H13" s="49"/>
      <c r="I13" s="49" t="str">
        <f t="shared" si="77"/>
        <v>E012</v>
      </c>
      <c r="J13" s="49"/>
      <c r="K13" s="49"/>
      <c r="L13" s="49"/>
      <c r="M13" s="49"/>
      <c r="N13" s="49"/>
      <c r="O13" s="49"/>
      <c r="P13" s="52"/>
      <c r="Q13" s="52"/>
      <c r="R13" s="52"/>
      <c r="S13" s="52"/>
      <c r="T13" s="55" t="s">
        <v>167</v>
      </c>
      <c r="U13" s="56" t="s">
        <v>192</v>
      </c>
      <c r="V13" s="57">
        <v>60000</v>
      </c>
      <c r="W13" s="57">
        <f>V13-V12</f>
        <v>32000</v>
      </c>
      <c r="X13" s="57"/>
      <c r="Y13" s="57"/>
      <c r="Z13" s="57"/>
      <c r="AA13" s="57"/>
      <c r="AB13" s="57"/>
      <c r="AC13" s="57"/>
      <c r="AD13" s="60"/>
      <c r="AE13" s="57"/>
      <c r="AF13" s="57"/>
      <c r="AG13" s="61"/>
      <c r="AH13" s="57"/>
      <c r="AI13" s="57"/>
      <c r="AJ13" s="57"/>
      <c r="AK13" s="57"/>
      <c r="AL13" s="61"/>
      <c r="AM13" s="57"/>
      <c r="AN13" s="57">
        <v>6</v>
      </c>
      <c r="AO13" s="57">
        <f t="shared" ref="AO13:AO27" si="219">AO8+100</f>
        <v>200</v>
      </c>
      <c r="AP13" s="57">
        <v>3</v>
      </c>
      <c r="AQ13" s="57"/>
      <c r="AR13" s="63"/>
      <c r="AS13" s="63"/>
      <c r="AT13" s="57"/>
      <c r="AU13" s="57"/>
      <c r="AV13" s="57"/>
      <c r="AW13" s="57"/>
      <c r="AX13" s="57"/>
      <c r="AY13" s="57"/>
      <c r="AZ13" s="57"/>
      <c r="BA13" s="57"/>
      <c r="BB13" s="57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7"/>
      <c r="CF13" s="57"/>
      <c r="CG13" s="57"/>
      <c r="CH13" s="57"/>
      <c r="CI13" s="57"/>
      <c r="CJ13" s="57"/>
      <c r="CK13" s="57"/>
      <c r="CL13" s="57"/>
      <c r="CM13" s="57"/>
      <c r="CN13" s="66" t="str">
        <f t="shared" si="2"/>
        <v>InitUnitState('E011',60000,32000,,,,,,,,)</v>
      </c>
      <c r="CO13" s="66" t="str">
        <f t="shared" si="3"/>
        <v>InitUnitNormal('E011',,,,,,,,,6,200)</v>
      </c>
      <c r="CP13" s="66" t="str">
        <f t="shared" si="4"/>
        <v>InitUnitMagic('E011',3,,,,,,,,,)</v>
      </c>
      <c r="CQ13" s="66" t="str">
        <f t="shared" si="5"/>
        <v>InitUnitAdd('E011',,,,,,,,,,)</v>
      </c>
      <c r="CR13" s="66" t="str">
        <f t="shared" si="6"/>
        <v>InitEquipData('E011',,"",,E012,8000,70,'','','','','','',"ReplaceableTextures\\CommandButtons\\BTNZ03.blp")</v>
      </c>
      <c r="CS13" s="66"/>
      <c r="CT13" s="66"/>
      <c r="CU13" s="68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pans="1:175" s="7" customFormat="1" ht="16.5">
      <c r="A14" s="11"/>
      <c r="B14" s="45" t="s">
        <v>193</v>
      </c>
      <c r="C14" s="11" t="s">
        <v>194</v>
      </c>
      <c r="D14" s="46"/>
      <c r="E14" s="47"/>
      <c r="F14" s="48">
        <v>8000</v>
      </c>
      <c r="G14" s="49">
        <v>70</v>
      </c>
      <c r="H14" s="49"/>
      <c r="I14" s="49" t="str">
        <f t="shared" si="77"/>
        <v>E013</v>
      </c>
      <c r="J14" s="49"/>
      <c r="K14" s="49"/>
      <c r="L14" s="49"/>
      <c r="M14" s="49"/>
      <c r="N14" s="49"/>
      <c r="O14" s="49"/>
      <c r="P14" s="52"/>
      <c r="Q14" s="52"/>
      <c r="R14" s="52"/>
      <c r="S14" s="52"/>
      <c r="T14" s="55" t="s">
        <v>167</v>
      </c>
      <c r="U14" s="56" t="s">
        <v>192</v>
      </c>
      <c r="V14" s="57">
        <v>80000</v>
      </c>
      <c r="W14" s="57"/>
      <c r="X14" s="57"/>
      <c r="Y14" s="57"/>
      <c r="Z14" s="57"/>
      <c r="AA14" s="57"/>
      <c r="AB14" s="57"/>
      <c r="AC14" s="57"/>
      <c r="AD14" s="60"/>
      <c r="AE14" s="57"/>
      <c r="AF14" s="57"/>
      <c r="AG14" s="61"/>
      <c r="AH14" s="57"/>
      <c r="AI14" s="57"/>
      <c r="AJ14" s="57"/>
      <c r="AK14" s="57"/>
      <c r="AL14" s="61"/>
      <c r="AM14" s="57"/>
      <c r="AN14" s="57">
        <v>6</v>
      </c>
      <c r="AO14" s="57">
        <f t="shared" si="219"/>
        <v>200</v>
      </c>
      <c r="AP14" s="57">
        <v>3</v>
      </c>
      <c r="AQ14" s="57"/>
      <c r="AR14" s="63"/>
      <c r="AS14" s="63"/>
      <c r="AT14" s="57"/>
      <c r="AU14" s="57"/>
      <c r="AV14" s="57"/>
      <c r="AW14" s="57"/>
      <c r="AX14" s="57"/>
      <c r="AY14" s="57"/>
      <c r="AZ14" s="57"/>
      <c r="BA14" s="57"/>
      <c r="BB14" s="57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7"/>
      <c r="CF14" s="57"/>
      <c r="CG14" s="57"/>
      <c r="CH14" s="57"/>
      <c r="CI14" s="57"/>
      <c r="CJ14" s="57"/>
      <c r="CK14" s="57"/>
      <c r="CL14" s="57"/>
      <c r="CM14" s="57"/>
      <c r="CN14" s="66" t="str">
        <f t="shared" si="2"/>
        <v>InitUnitState('E012',80000,,,,,,,,,)</v>
      </c>
      <c r="CO14" s="66" t="str">
        <f t="shared" si="3"/>
        <v>InitUnitNormal('E012',,,,,,,,,6,200)</v>
      </c>
      <c r="CP14" s="66" t="str">
        <f t="shared" si="4"/>
        <v>InitUnitMagic('E012',3,,,,,,,,,)</v>
      </c>
      <c r="CQ14" s="66" t="str">
        <f t="shared" si="5"/>
        <v>InitUnitAdd('E012',,,,,,,,,,)</v>
      </c>
      <c r="CR14" s="66" t="str">
        <f t="shared" si="6"/>
        <v>InitEquipData('E012',,"",,E013,8000,70,'','','','','','',"ReplaceableTextures\\CommandButtons\\BTNZ03.blp")</v>
      </c>
      <c r="CS14" s="66"/>
      <c r="CT14" s="66"/>
      <c r="CU14" s="68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pans="1:175" s="7" customFormat="1" ht="16.5">
      <c r="A15" s="11"/>
      <c r="B15" s="45" t="s">
        <v>195</v>
      </c>
      <c r="C15" s="11" t="s">
        <v>196</v>
      </c>
      <c r="D15" s="46"/>
      <c r="E15" s="47"/>
      <c r="F15" s="48">
        <v>8000</v>
      </c>
      <c r="G15" s="49">
        <v>70</v>
      </c>
      <c r="H15" s="49"/>
      <c r="I15" s="49" t="str">
        <f t="shared" si="77"/>
        <v>E014</v>
      </c>
      <c r="J15" s="49"/>
      <c r="K15" s="49"/>
      <c r="L15" s="49"/>
      <c r="M15" s="49"/>
      <c r="N15" s="49"/>
      <c r="O15" s="49"/>
      <c r="P15" s="52"/>
      <c r="Q15" s="52"/>
      <c r="R15" s="52"/>
      <c r="S15" s="52"/>
      <c r="T15" s="55" t="s">
        <v>167</v>
      </c>
      <c r="U15" s="56" t="s">
        <v>192</v>
      </c>
      <c r="V15" s="57">
        <v>100000</v>
      </c>
      <c r="W15" s="57"/>
      <c r="X15" s="57"/>
      <c r="Y15" s="57"/>
      <c r="Z15" s="57"/>
      <c r="AA15" s="57"/>
      <c r="AB15" s="57"/>
      <c r="AC15" s="57"/>
      <c r="AD15" s="60"/>
      <c r="AE15" s="57"/>
      <c r="AF15" s="57"/>
      <c r="AG15" s="61"/>
      <c r="AH15" s="57"/>
      <c r="AI15" s="57"/>
      <c r="AJ15" s="57"/>
      <c r="AK15" s="57"/>
      <c r="AL15" s="61"/>
      <c r="AM15" s="57"/>
      <c r="AN15" s="57">
        <v>6</v>
      </c>
      <c r="AO15" s="57">
        <f t="shared" si="219"/>
        <v>200</v>
      </c>
      <c r="AP15" s="57">
        <v>3</v>
      </c>
      <c r="AQ15" s="57"/>
      <c r="AR15" s="63"/>
      <c r="AS15" s="63"/>
      <c r="AT15" s="57"/>
      <c r="AU15" s="57"/>
      <c r="AV15" s="57"/>
      <c r="AW15" s="57"/>
      <c r="AX15" s="57"/>
      <c r="AY15" s="57"/>
      <c r="AZ15" s="57"/>
      <c r="BA15" s="57"/>
      <c r="BB15" s="57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7"/>
      <c r="CF15" s="57"/>
      <c r="CG15" s="57"/>
      <c r="CH15" s="57"/>
      <c r="CI15" s="57"/>
      <c r="CJ15" s="57"/>
      <c r="CK15" s="57"/>
      <c r="CL15" s="57"/>
      <c r="CM15" s="57"/>
      <c r="CN15" s="66" t="str">
        <f t="shared" si="2"/>
        <v>InitUnitState('E013',100000,,,,,,,,,)</v>
      </c>
      <c r="CO15" s="66" t="str">
        <f t="shared" si="3"/>
        <v>InitUnitNormal('E013',,,,,,,,,6,200)</v>
      </c>
      <c r="CP15" s="66" t="str">
        <f t="shared" si="4"/>
        <v>InitUnitMagic('E013',3,,,,,,,,,)</v>
      </c>
      <c r="CQ15" s="66" t="str">
        <f t="shared" si="5"/>
        <v>InitUnitAdd('E013',,,,,,,,,,)</v>
      </c>
      <c r="CR15" s="66" t="str">
        <f t="shared" si="6"/>
        <v>InitEquipData('E013',,"",,E014,8000,70,'','','','','','',"ReplaceableTextures\\CommandButtons\\BTNZ03.blp")</v>
      </c>
      <c r="CS15" s="66"/>
      <c r="CT15" s="66"/>
      <c r="CU15" s="68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pans="1:175" s="7" customFormat="1" ht="16.5">
      <c r="A16" s="11"/>
      <c r="B16" s="45" t="s">
        <v>197</v>
      </c>
      <c r="C16" s="11" t="s">
        <v>198</v>
      </c>
      <c r="D16" s="46"/>
      <c r="E16" s="47"/>
      <c r="F16" s="48">
        <v>8000</v>
      </c>
      <c r="G16" s="49">
        <v>70</v>
      </c>
      <c r="H16" s="49"/>
      <c r="I16" s="49" t="str">
        <f t="shared" si="77"/>
        <v>E015</v>
      </c>
      <c r="J16" s="49"/>
      <c r="K16" s="49"/>
      <c r="L16" s="49"/>
      <c r="M16" s="49"/>
      <c r="N16" s="49"/>
      <c r="O16" s="49"/>
      <c r="P16" s="52"/>
      <c r="Q16" s="52"/>
      <c r="R16" s="52"/>
      <c r="S16" s="52"/>
      <c r="T16" s="55" t="s">
        <v>167</v>
      </c>
      <c r="U16" s="56" t="s">
        <v>192</v>
      </c>
      <c r="V16" s="57">
        <v>120000</v>
      </c>
      <c r="W16" s="57"/>
      <c r="X16" s="57"/>
      <c r="Y16" s="57"/>
      <c r="Z16" s="57"/>
      <c r="AA16" s="57"/>
      <c r="AB16" s="57"/>
      <c r="AC16" s="57"/>
      <c r="AD16" s="60"/>
      <c r="AE16" s="57"/>
      <c r="AF16" s="57"/>
      <c r="AG16" s="61"/>
      <c r="AH16" s="57"/>
      <c r="AI16" s="57"/>
      <c r="AJ16" s="57"/>
      <c r="AK16" s="57"/>
      <c r="AL16" s="61"/>
      <c r="AM16" s="57"/>
      <c r="AN16" s="57">
        <v>6</v>
      </c>
      <c r="AO16" s="57">
        <f t="shared" si="219"/>
        <v>200</v>
      </c>
      <c r="AP16" s="57">
        <v>3</v>
      </c>
      <c r="AQ16" s="57"/>
      <c r="AR16" s="63"/>
      <c r="AS16" s="63"/>
      <c r="AT16" s="57"/>
      <c r="AU16" s="57"/>
      <c r="AV16" s="57"/>
      <c r="AW16" s="57"/>
      <c r="AX16" s="57"/>
      <c r="AY16" s="57"/>
      <c r="AZ16" s="57"/>
      <c r="BA16" s="57"/>
      <c r="BB16" s="57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7"/>
      <c r="CF16" s="57"/>
      <c r="CG16" s="57"/>
      <c r="CH16" s="57"/>
      <c r="CI16" s="57"/>
      <c r="CJ16" s="57"/>
      <c r="CK16" s="57"/>
      <c r="CL16" s="57"/>
      <c r="CM16" s="57"/>
      <c r="CN16" s="66" t="str">
        <f t="shared" si="2"/>
        <v>InitUnitState('E014',120000,,,,,,,,,)</v>
      </c>
      <c r="CO16" s="66" t="str">
        <f t="shared" si="3"/>
        <v>InitUnitNormal('E014',,,,,,,,,6,200)</v>
      </c>
      <c r="CP16" s="66" t="str">
        <f t="shared" si="4"/>
        <v>InitUnitMagic('E014',3,,,,,,,,,)</v>
      </c>
      <c r="CQ16" s="66" t="str">
        <f t="shared" si="5"/>
        <v>InitUnitAdd('E014',,,,,,,,,,)</v>
      </c>
      <c r="CR16" s="66" t="str">
        <f t="shared" si="6"/>
        <v>InitEquipData('E014',,"",,E015,8000,70,'','','','','','',"ReplaceableTextures\\CommandButtons\\BTNZ03.blp")</v>
      </c>
      <c r="CS16" s="66"/>
      <c r="CT16" s="66"/>
      <c r="CU16" s="68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pans="1:175" s="7" customFormat="1" ht="16.5">
      <c r="A17" s="11"/>
      <c r="B17" s="45" t="s">
        <v>199</v>
      </c>
      <c r="C17" s="11" t="s">
        <v>200</v>
      </c>
      <c r="D17" s="46"/>
      <c r="E17" s="47"/>
      <c r="F17" s="48">
        <v>30000</v>
      </c>
      <c r="G17" s="49">
        <v>100</v>
      </c>
      <c r="H17" s="50" t="s">
        <v>201</v>
      </c>
      <c r="I17" s="49" t="str">
        <f t="shared" si="77"/>
        <v>E016</v>
      </c>
      <c r="J17" s="49"/>
      <c r="K17" s="49"/>
      <c r="L17" s="49"/>
      <c r="M17" s="49"/>
      <c r="N17" s="49"/>
      <c r="O17" s="49"/>
      <c r="P17" s="52"/>
      <c r="Q17" s="52"/>
      <c r="R17" s="52"/>
      <c r="S17" s="52"/>
      <c r="T17" s="55" t="s">
        <v>167</v>
      </c>
      <c r="U17" s="56" t="s">
        <v>192</v>
      </c>
      <c r="V17" s="57">
        <v>140000</v>
      </c>
      <c r="W17" s="57"/>
      <c r="X17" s="57"/>
      <c r="Y17" s="57"/>
      <c r="Z17" s="57"/>
      <c r="AA17" s="57"/>
      <c r="AB17" s="57"/>
      <c r="AC17" s="57"/>
      <c r="AD17" s="60"/>
      <c r="AE17" s="57"/>
      <c r="AF17" s="57"/>
      <c r="AG17" s="61"/>
      <c r="AH17" s="57"/>
      <c r="AI17" s="57"/>
      <c r="AJ17" s="57"/>
      <c r="AK17" s="57"/>
      <c r="AL17" s="61"/>
      <c r="AM17" s="57"/>
      <c r="AN17" s="57">
        <v>6</v>
      </c>
      <c r="AO17" s="57">
        <f t="shared" si="219"/>
        <v>200</v>
      </c>
      <c r="AP17" s="57">
        <v>3</v>
      </c>
      <c r="AQ17" s="57"/>
      <c r="AR17" s="63"/>
      <c r="AS17" s="63"/>
      <c r="AT17" s="57"/>
      <c r="AU17" s="57"/>
      <c r="AV17" s="57"/>
      <c r="AW17" s="57"/>
      <c r="AX17" s="57"/>
      <c r="AY17" s="57"/>
      <c r="AZ17" s="57"/>
      <c r="BA17" s="57"/>
      <c r="BB17" s="5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7"/>
      <c r="CF17" s="57"/>
      <c r="CG17" s="57"/>
      <c r="CH17" s="57"/>
      <c r="CI17" s="57"/>
      <c r="CJ17" s="57"/>
      <c r="CK17" s="57"/>
      <c r="CL17" s="57"/>
      <c r="CM17" s="57"/>
      <c r="CN17" s="66" t="str">
        <f t="shared" si="2"/>
        <v>InitUnitState('E015',140000,,,,,,,,,)</v>
      </c>
      <c r="CO17" s="66" t="str">
        <f t="shared" si="3"/>
        <v>InitUnitNormal('E015',,,,,,,,,6,200)</v>
      </c>
      <c r="CP17" s="66" t="str">
        <f t="shared" si="4"/>
        <v>InitUnitMagic('E015',3,,,,,,,,,)</v>
      </c>
      <c r="CQ17" s="66" t="str">
        <f t="shared" si="5"/>
        <v>InitUnitAdd('E015',,,,,,,,,,)</v>
      </c>
      <c r="CR17" s="66" t="str">
        <f t="shared" si="6"/>
        <v>InitEquipData('E015',,"",,E016,30000,100,'','','','','','',"ReplaceableTextures\\CommandButtons\\BTNZ04.blp")</v>
      </c>
      <c r="CS17" s="66"/>
      <c r="CT17" s="66"/>
      <c r="CU17" s="68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pans="1:175" s="7" customFormat="1" ht="16.5">
      <c r="A18" s="11"/>
      <c r="B18" s="45" t="s">
        <v>202</v>
      </c>
      <c r="C18" s="11" t="s">
        <v>203</v>
      </c>
      <c r="D18" s="46"/>
      <c r="E18" s="47"/>
      <c r="F18" s="48">
        <v>20000</v>
      </c>
      <c r="G18" s="49">
        <v>60</v>
      </c>
      <c r="H18" s="49"/>
      <c r="I18" s="49" t="str">
        <f t="shared" si="77"/>
        <v>E017</v>
      </c>
      <c r="J18" s="49"/>
      <c r="K18" s="49"/>
      <c r="L18" s="49"/>
      <c r="M18" s="49"/>
      <c r="N18" s="49"/>
      <c r="O18" s="49"/>
      <c r="P18" s="52"/>
      <c r="Q18" s="52"/>
      <c r="R18" s="52"/>
      <c r="S18" s="52"/>
      <c r="T18" s="55" t="s">
        <v>167</v>
      </c>
      <c r="U18" s="56" t="s">
        <v>204</v>
      </c>
      <c r="V18" s="57">
        <v>300000</v>
      </c>
      <c r="W18" s="57">
        <f>V18-V17</f>
        <v>160000</v>
      </c>
      <c r="X18" s="57"/>
      <c r="Y18" s="57"/>
      <c r="Z18" s="57"/>
      <c r="AA18" s="57"/>
      <c r="AB18" s="57"/>
      <c r="AC18" s="57"/>
      <c r="AD18" s="60"/>
      <c r="AE18" s="57"/>
      <c r="AF18" s="57"/>
      <c r="AG18" s="61"/>
      <c r="AH18" s="57"/>
      <c r="AI18" s="57"/>
      <c r="AJ18" s="57"/>
      <c r="AK18" s="57"/>
      <c r="AL18" s="61"/>
      <c r="AM18" s="57"/>
      <c r="AN18" s="57">
        <v>7</v>
      </c>
      <c r="AO18" s="57">
        <f t="shared" si="219"/>
        <v>300</v>
      </c>
      <c r="AP18" s="57">
        <v>4</v>
      </c>
      <c r="AQ18" s="57"/>
      <c r="AR18" s="63"/>
      <c r="AS18" s="63"/>
      <c r="AT18" s="57"/>
      <c r="AU18" s="57"/>
      <c r="AV18" s="57"/>
      <c r="AW18" s="57"/>
      <c r="AX18" s="57"/>
      <c r="AY18" s="57"/>
      <c r="AZ18" s="57"/>
      <c r="BA18" s="57"/>
      <c r="BB18" s="57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7"/>
      <c r="CF18" s="57"/>
      <c r="CG18" s="57"/>
      <c r="CH18" s="57"/>
      <c r="CI18" s="57"/>
      <c r="CJ18" s="57"/>
      <c r="CK18" s="57"/>
      <c r="CL18" s="57"/>
      <c r="CM18" s="57"/>
      <c r="CN18" s="66" t="str">
        <f t="shared" si="2"/>
        <v>InitUnitState('E016',300000,160000,,,,,,,,)</v>
      </c>
      <c r="CO18" s="66" t="str">
        <f t="shared" si="3"/>
        <v>InitUnitNormal('E016',,,,,,,,,7,300)</v>
      </c>
      <c r="CP18" s="66" t="str">
        <f t="shared" si="4"/>
        <v>InitUnitMagic('E016',4,,,,,,,,,)</v>
      </c>
      <c r="CQ18" s="66" t="str">
        <f t="shared" si="5"/>
        <v>InitUnitAdd('E016',,,,,,,,,,)</v>
      </c>
      <c r="CR18" s="66" t="str">
        <f t="shared" si="6"/>
        <v>InitEquipData('E016',,"",,E017,20000,60,'','','','','','',"ReplaceableTextures\\CommandButtons\\BTNZ04.blp")</v>
      </c>
      <c r="CS18" s="66"/>
      <c r="CT18" s="66"/>
      <c r="CU18" s="68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pans="1:175" s="7" customFormat="1" ht="16.5">
      <c r="A19" s="11"/>
      <c r="B19" s="45" t="s">
        <v>205</v>
      </c>
      <c r="C19" s="11" t="s">
        <v>206</v>
      </c>
      <c r="D19" s="46"/>
      <c r="E19" s="47"/>
      <c r="F19" s="48">
        <v>20000</v>
      </c>
      <c r="G19" s="49">
        <v>60</v>
      </c>
      <c r="H19" s="49"/>
      <c r="I19" s="49" t="str">
        <f t="shared" si="77"/>
        <v>E018</v>
      </c>
      <c r="J19" s="49"/>
      <c r="K19" s="49"/>
      <c r="L19" s="49"/>
      <c r="M19" s="49"/>
      <c r="N19" s="49"/>
      <c r="O19" s="49"/>
      <c r="P19" s="52"/>
      <c r="Q19" s="52"/>
      <c r="R19" s="52"/>
      <c r="S19" s="52"/>
      <c r="T19" s="55" t="s">
        <v>167</v>
      </c>
      <c r="U19" s="56" t="s">
        <v>204</v>
      </c>
      <c r="V19" s="57">
        <v>350000</v>
      </c>
      <c r="W19" s="57"/>
      <c r="X19" s="57"/>
      <c r="Y19" s="57"/>
      <c r="Z19" s="57"/>
      <c r="AA19" s="57"/>
      <c r="AB19" s="57"/>
      <c r="AC19" s="57"/>
      <c r="AD19" s="60"/>
      <c r="AE19" s="57"/>
      <c r="AF19" s="57"/>
      <c r="AG19" s="61"/>
      <c r="AH19" s="57"/>
      <c r="AI19" s="57"/>
      <c r="AJ19" s="57"/>
      <c r="AK19" s="57"/>
      <c r="AL19" s="61"/>
      <c r="AM19" s="57"/>
      <c r="AN19" s="57">
        <v>7</v>
      </c>
      <c r="AO19" s="57">
        <f t="shared" si="219"/>
        <v>300</v>
      </c>
      <c r="AP19" s="57">
        <v>4</v>
      </c>
      <c r="AQ19" s="57"/>
      <c r="AR19" s="63"/>
      <c r="AS19" s="63"/>
      <c r="AT19" s="57"/>
      <c r="AU19" s="57"/>
      <c r="AV19" s="57"/>
      <c r="AW19" s="57"/>
      <c r="AX19" s="57"/>
      <c r="AY19" s="57"/>
      <c r="AZ19" s="57"/>
      <c r="BA19" s="57"/>
      <c r="BB19" s="57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7"/>
      <c r="CF19" s="57"/>
      <c r="CG19" s="57"/>
      <c r="CH19" s="57"/>
      <c r="CI19" s="57"/>
      <c r="CJ19" s="57"/>
      <c r="CK19" s="57"/>
      <c r="CL19" s="57"/>
      <c r="CM19" s="57"/>
      <c r="CN19" s="66" t="str">
        <f t="shared" si="2"/>
        <v>InitUnitState('E017',350000,,,,,,,,,)</v>
      </c>
      <c r="CO19" s="66" t="str">
        <f t="shared" si="3"/>
        <v>InitUnitNormal('E017',,,,,,,,,7,300)</v>
      </c>
      <c r="CP19" s="66" t="str">
        <f t="shared" si="4"/>
        <v>InitUnitMagic('E017',4,,,,,,,,,)</v>
      </c>
      <c r="CQ19" s="66" t="str">
        <f t="shared" si="5"/>
        <v>InitUnitAdd('E017',,,,,,,,,,)</v>
      </c>
      <c r="CR19" s="66" t="str">
        <f t="shared" si="6"/>
        <v>InitEquipData('E017',,"",,E018,20000,60,'','','','','','',"ReplaceableTextures\\CommandButtons\\BTNZ04.blp")</v>
      </c>
      <c r="CS19" s="66"/>
      <c r="CT19" s="66"/>
      <c r="CU19" s="68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pans="1:175" s="7" customFormat="1" ht="16.5">
      <c r="A20" s="11"/>
      <c r="B20" s="45" t="s">
        <v>207</v>
      </c>
      <c r="C20" s="11" t="s">
        <v>208</v>
      </c>
      <c r="D20" s="46"/>
      <c r="E20" s="47"/>
      <c r="F20" s="48">
        <v>20000</v>
      </c>
      <c r="G20" s="49">
        <v>60</v>
      </c>
      <c r="H20" s="49"/>
      <c r="I20" s="49" t="str">
        <f t="shared" si="77"/>
        <v>E019</v>
      </c>
      <c r="J20" s="49"/>
      <c r="K20" s="49"/>
      <c r="L20" s="49"/>
      <c r="M20" s="49"/>
      <c r="N20" s="49"/>
      <c r="O20" s="49"/>
      <c r="P20" s="52"/>
      <c r="Q20" s="52"/>
      <c r="R20" s="52"/>
      <c r="S20" s="52"/>
      <c r="T20" s="55" t="s">
        <v>167</v>
      </c>
      <c r="U20" s="56" t="s">
        <v>204</v>
      </c>
      <c r="V20" s="57">
        <v>400000</v>
      </c>
      <c r="W20" s="57"/>
      <c r="X20" s="57"/>
      <c r="Y20" s="57"/>
      <c r="Z20" s="57"/>
      <c r="AA20" s="57"/>
      <c r="AB20" s="57"/>
      <c r="AC20" s="57"/>
      <c r="AD20" s="60"/>
      <c r="AE20" s="57"/>
      <c r="AF20" s="57"/>
      <c r="AG20" s="61"/>
      <c r="AH20" s="57"/>
      <c r="AI20" s="57"/>
      <c r="AJ20" s="57"/>
      <c r="AK20" s="57"/>
      <c r="AL20" s="61"/>
      <c r="AM20" s="57"/>
      <c r="AN20" s="57">
        <v>7</v>
      </c>
      <c r="AO20" s="57">
        <f t="shared" si="219"/>
        <v>300</v>
      </c>
      <c r="AP20" s="57">
        <v>4</v>
      </c>
      <c r="AQ20" s="57"/>
      <c r="AR20" s="63"/>
      <c r="AS20" s="63"/>
      <c r="AT20" s="57"/>
      <c r="AU20" s="57"/>
      <c r="AV20" s="57"/>
      <c r="AW20" s="57"/>
      <c r="AX20" s="57"/>
      <c r="AY20" s="57"/>
      <c r="AZ20" s="57"/>
      <c r="BA20" s="57"/>
      <c r="BB20" s="57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7"/>
      <c r="CF20" s="57"/>
      <c r="CG20" s="57"/>
      <c r="CH20" s="57"/>
      <c r="CI20" s="57"/>
      <c r="CJ20" s="57"/>
      <c r="CK20" s="57"/>
      <c r="CL20" s="57"/>
      <c r="CM20" s="57"/>
      <c r="CN20" s="66" t="str">
        <f t="shared" si="2"/>
        <v>InitUnitState('E018',400000,,,,,,,,,)</v>
      </c>
      <c r="CO20" s="66" t="str">
        <f t="shared" si="3"/>
        <v>InitUnitNormal('E018',,,,,,,,,7,300)</v>
      </c>
      <c r="CP20" s="66" t="str">
        <f t="shared" si="4"/>
        <v>InitUnitMagic('E018',4,,,,,,,,,)</v>
      </c>
      <c r="CQ20" s="66" t="str">
        <f t="shared" si="5"/>
        <v>InitUnitAdd('E018',,,,,,,,,,)</v>
      </c>
      <c r="CR20" s="66" t="str">
        <f t="shared" si="6"/>
        <v>InitEquipData('E018',,"",,E019,20000,60,'','','','','','',"ReplaceableTextures\\CommandButtons\\BTNZ04.blp")</v>
      </c>
      <c r="CS20" s="66"/>
      <c r="CT20" s="66"/>
      <c r="CU20" s="68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pans="1:175" s="7" customFormat="1" ht="16.5">
      <c r="A21" s="11"/>
      <c r="B21" s="45" t="s">
        <v>209</v>
      </c>
      <c r="C21" s="11" t="s">
        <v>210</v>
      </c>
      <c r="D21" s="46"/>
      <c r="E21" s="47"/>
      <c r="F21" s="48">
        <v>20000</v>
      </c>
      <c r="G21" s="49">
        <v>60</v>
      </c>
      <c r="H21" s="49"/>
      <c r="I21" s="49" t="str">
        <f t="shared" si="77"/>
        <v>E020</v>
      </c>
      <c r="J21" s="49"/>
      <c r="K21" s="49"/>
      <c r="L21" s="49"/>
      <c r="M21" s="49"/>
      <c r="N21" s="49"/>
      <c r="O21" s="49"/>
      <c r="P21" s="52"/>
      <c r="Q21" s="52"/>
      <c r="R21" s="52"/>
      <c r="S21" s="52"/>
      <c r="T21" s="55" t="s">
        <v>167</v>
      </c>
      <c r="U21" s="56" t="s">
        <v>204</v>
      </c>
      <c r="V21" s="57">
        <v>450000</v>
      </c>
      <c r="W21" s="57"/>
      <c r="X21" s="57"/>
      <c r="Y21" s="57"/>
      <c r="Z21" s="57"/>
      <c r="AA21" s="57"/>
      <c r="AB21" s="57"/>
      <c r="AC21" s="57"/>
      <c r="AD21" s="60"/>
      <c r="AE21" s="57"/>
      <c r="AF21" s="57"/>
      <c r="AG21" s="61"/>
      <c r="AH21" s="57"/>
      <c r="AI21" s="57"/>
      <c r="AJ21" s="57"/>
      <c r="AK21" s="57"/>
      <c r="AL21" s="61"/>
      <c r="AM21" s="57"/>
      <c r="AN21" s="57">
        <v>7</v>
      </c>
      <c r="AO21" s="57">
        <f t="shared" si="219"/>
        <v>300</v>
      </c>
      <c r="AP21" s="57">
        <v>4</v>
      </c>
      <c r="AQ21" s="57"/>
      <c r="AR21" s="63"/>
      <c r="AS21" s="63"/>
      <c r="AT21" s="57"/>
      <c r="AU21" s="57"/>
      <c r="AV21" s="57"/>
      <c r="AW21" s="57"/>
      <c r="AX21" s="57"/>
      <c r="AY21" s="57"/>
      <c r="AZ21" s="57"/>
      <c r="BA21" s="57"/>
      <c r="BB21" s="57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7"/>
      <c r="CF21" s="57"/>
      <c r="CG21" s="57"/>
      <c r="CH21" s="57"/>
      <c r="CI21" s="57"/>
      <c r="CJ21" s="57"/>
      <c r="CK21" s="57"/>
      <c r="CL21" s="57"/>
      <c r="CM21" s="57"/>
      <c r="CN21" s="66" t="str">
        <f t="shared" si="2"/>
        <v>InitUnitState('E019',450000,,,,,,,,,)</v>
      </c>
      <c r="CO21" s="66" t="str">
        <f t="shared" si="3"/>
        <v>InitUnitNormal('E019',,,,,,,,,7,300)</v>
      </c>
      <c r="CP21" s="66" t="str">
        <f t="shared" si="4"/>
        <v>InitUnitMagic('E019',4,,,,,,,,,)</v>
      </c>
      <c r="CQ21" s="66" t="str">
        <f t="shared" si="5"/>
        <v>InitUnitAdd('E019',,,,,,,,,,)</v>
      </c>
      <c r="CR21" s="66" t="str">
        <f t="shared" si="6"/>
        <v>InitEquipData('E019',,"",,E020,20000,60,'','','','','','',"ReplaceableTextures\\CommandButtons\\BTNZ04.blp")</v>
      </c>
      <c r="CS21" s="66"/>
      <c r="CT21" s="66"/>
      <c r="CU21" s="68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pans="1:175" s="7" customFormat="1" ht="16.5">
      <c r="A22" s="11"/>
      <c r="B22" s="45" t="s">
        <v>211</v>
      </c>
      <c r="C22" s="11" t="s">
        <v>212</v>
      </c>
      <c r="D22" s="46"/>
      <c r="E22" s="47"/>
      <c r="F22" s="48">
        <v>35000</v>
      </c>
      <c r="G22" s="49">
        <v>100</v>
      </c>
      <c r="H22" s="50" t="s">
        <v>213</v>
      </c>
      <c r="I22" s="49" t="str">
        <f t="shared" si="77"/>
        <v>E021</v>
      </c>
      <c r="J22" s="49"/>
      <c r="K22" s="49"/>
      <c r="L22" s="49"/>
      <c r="M22" s="49"/>
      <c r="N22" s="49"/>
      <c r="O22" s="49"/>
      <c r="P22" s="52"/>
      <c r="Q22" s="52"/>
      <c r="R22" s="52"/>
      <c r="S22" s="52"/>
      <c r="T22" s="55" t="s">
        <v>167</v>
      </c>
      <c r="U22" s="56" t="s">
        <v>204</v>
      </c>
      <c r="V22" s="57">
        <v>550000</v>
      </c>
      <c r="W22" s="57"/>
      <c r="X22" s="57"/>
      <c r="Y22" s="57"/>
      <c r="Z22" s="57"/>
      <c r="AA22" s="57"/>
      <c r="AB22" s="57"/>
      <c r="AC22" s="57"/>
      <c r="AD22" s="60"/>
      <c r="AE22" s="57"/>
      <c r="AF22" s="57"/>
      <c r="AG22" s="61"/>
      <c r="AH22" s="57"/>
      <c r="AI22" s="57"/>
      <c r="AJ22" s="57"/>
      <c r="AK22" s="57"/>
      <c r="AL22" s="61"/>
      <c r="AM22" s="57"/>
      <c r="AN22" s="57">
        <v>7</v>
      </c>
      <c r="AO22" s="57">
        <f t="shared" si="219"/>
        <v>300</v>
      </c>
      <c r="AP22" s="57">
        <v>4</v>
      </c>
      <c r="AQ22" s="57"/>
      <c r="AR22" s="63"/>
      <c r="AS22" s="63"/>
      <c r="AT22" s="57"/>
      <c r="AU22" s="57"/>
      <c r="AV22" s="57"/>
      <c r="AW22" s="57"/>
      <c r="AX22" s="57"/>
      <c r="AY22" s="57"/>
      <c r="AZ22" s="57"/>
      <c r="BA22" s="57"/>
      <c r="BB22" s="57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7"/>
      <c r="CF22" s="57"/>
      <c r="CG22" s="57"/>
      <c r="CH22" s="57"/>
      <c r="CI22" s="57"/>
      <c r="CJ22" s="57"/>
      <c r="CK22" s="57"/>
      <c r="CL22" s="57"/>
      <c r="CM22" s="57"/>
      <c r="CN22" s="66" t="str">
        <f t="shared" si="2"/>
        <v>InitUnitState('E020',550000,,,,,,,,,)</v>
      </c>
      <c r="CO22" s="66" t="str">
        <f t="shared" si="3"/>
        <v>InitUnitNormal('E020',,,,,,,,,7,300)</v>
      </c>
      <c r="CP22" s="66" t="str">
        <f t="shared" si="4"/>
        <v>InitUnitMagic('E020',4,,,,,,,,,)</v>
      </c>
      <c r="CQ22" s="66" t="str">
        <f t="shared" si="5"/>
        <v>InitUnitAdd('E020',,,,,,,,,,)</v>
      </c>
      <c r="CR22" s="66" t="str">
        <f t="shared" si="6"/>
        <v>InitEquipData('E020',,"",,E021,35000,100,'','','','','','',"ReplaceableTextures\\CommandButtons\\BTNZ05.blp")</v>
      </c>
      <c r="CS22" s="66"/>
      <c r="CT22" s="66"/>
      <c r="CU22" s="68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pans="1:175" s="7" customFormat="1" ht="16.5">
      <c r="A23" s="11"/>
      <c r="B23" s="45" t="s">
        <v>214</v>
      </c>
      <c r="C23" s="11" t="s">
        <v>215</v>
      </c>
      <c r="D23" s="46"/>
      <c r="E23" s="47"/>
      <c r="F23" s="48">
        <v>35000</v>
      </c>
      <c r="G23" s="49">
        <v>50</v>
      </c>
      <c r="H23" s="49"/>
      <c r="I23" s="49" t="str">
        <f t="shared" si="77"/>
        <v>E022</v>
      </c>
      <c r="J23" s="49"/>
      <c r="K23" s="49"/>
      <c r="L23" s="49"/>
      <c r="M23" s="49"/>
      <c r="N23" s="49"/>
      <c r="O23" s="49"/>
      <c r="P23" s="52"/>
      <c r="Q23" s="52"/>
      <c r="R23" s="52"/>
      <c r="S23" s="52"/>
      <c r="T23" s="55" t="s">
        <v>167</v>
      </c>
      <c r="U23" s="56" t="s">
        <v>216</v>
      </c>
      <c r="V23" s="57">
        <v>800000</v>
      </c>
      <c r="W23" s="57">
        <f>V23-V22</f>
        <v>250000</v>
      </c>
      <c r="X23" s="57"/>
      <c r="Y23" s="57"/>
      <c r="Z23" s="57"/>
      <c r="AA23" s="57"/>
      <c r="AB23" s="57"/>
      <c r="AC23" s="57"/>
      <c r="AD23" s="60"/>
      <c r="AE23" s="57"/>
      <c r="AF23" s="57"/>
      <c r="AG23" s="61"/>
      <c r="AH23" s="57"/>
      <c r="AI23" s="57"/>
      <c r="AJ23" s="57"/>
      <c r="AK23" s="57"/>
      <c r="AL23" s="61"/>
      <c r="AM23" s="57"/>
      <c r="AN23" s="57">
        <v>8</v>
      </c>
      <c r="AO23" s="57">
        <f t="shared" si="219"/>
        <v>400</v>
      </c>
      <c r="AP23" s="57">
        <v>5</v>
      </c>
      <c r="AQ23" s="57"/>
      <c r="AR23" s="63"/>
      <c r="AS23" s="63"/>
      <c r="AT23" s="57"/>
      <c r="AU23" s="57"/>
      <c r="AV23" s="57"/>
      <c r="AW23" s="57"/>
      <c r="AX23" s="57"/>
      <c r="AY23" s="57"/>
      <c r="AZ23" s="57"/>
      <c r="BA23" s="57"/>
      <c r="BB23" s="57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7"/>
      <c r="CF23" s="57"/>
      <c r="CG23" s="57"/>
      <c r="CH23" s="57"/>
      <c r="CI23" s="57"/>
      <c r="CJ23" s="57"/>
      <c r="CK23" s="57"/>
      <c r="CL23" s="57"/>
      <c r="CM23" s="57"/>
      <c r="CN23" s="66" t="str">
        <f t="shared" si="2"/>
        <v>InitUnitState('E021',800000,250000,,,,,,,,)</v>
      </c>
      <c r="CO23" s="66" t="str">
        <f t="shared" si="3"/>
        <v>InitUnitNormal('E021',,,,,,,,,8,400)</v>
      </c>
      <c r="CP23" s="66" t="str">
        <f t="shared" si="4"/>
        <v>InitUnitMagic('E021',5,,,,,,,,,)</v>
      </c>
      <c r="CQ23" s="66" t="str">
        <f t="shared" si="5"/>
        <v>InitUnitAdd('E021',,,,,,,,,,)</v>
      </c>
      <c r="CR23" s="66" t="str">
        <f t="shared" si="6"/>
        <v>InitEquipData('E021',,"",,E022,35000,50,'','','','','','',"ReplaceableTextures\\CommandButtons\\BTNZ05.blp")</v>
      </c>
      <c r="CS23" s="66"/>
      <c r="CT23" s="66"/>
      <c r="CU23" s="68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pans="1:175" s="7" customFormat="1" ht="16.5">
      <c r="A24" s="11"/>
      <c r="B24" s="45" t="s">
        <v>217</v>
      </c>
      <c r="C24" s="11" t="s">
        <v>218</v>
      </c>
      <c r="D24" s="46"/>
      <c r="E24" s="47"/>
      <c r="F24" s="48">
        <v>35000</v>
      </c>
      <c r="G24" s="49">
        <v>50</v>
      </c>
      <c r="H24" s="49"/>
      <c r="I24" s="49" t="str">
        <f t="shared" si="77"/>
        <v>E023</v>
      </c>
      <c r="J24" s="49"/>
      <c r="K24" s="49"/>
      <c r="L24" s="49"/>
      <c r="M24" s="49"/>
      <c r="N24" s="49"/>
      <c r="O24" s="49"/>
      <c r="P24" s="52"/>
      <c r="Q24" s="52"/>
      <c r="R24" s="52"/>
      <c r="S24" s="52"/>
      <c r="T24" s="55" t="s">
        <v>167</v>
      </c>
      <c r="U24" s="56" t="s">
        <v>216</v>
      </c>
      <c r="V24" s="57">
        <v>1000000</v>
      </c>
      <c r="W24" s="57"/>
      <c r="X24" s="57"/>
      <c r="Y24" s="57"/>
      <c r="Z24" s="57"/>
      <c r="AA24" s="57"/>
      <c r="AB24" s="57"/>
      <c r="AC24" s="57"/>
      <c r="AD24" s="60"/>
      <c r="AE24" s="57"/>
      <c r="AF24" s="57"/>
      <c r="AG24" s="61"/>
      <c r="AH24" s="57"/>
      <c r="AI24" s="57"/>
      <c r="AJ24" s="57"/>
      <c r="AK24" s="57"/>
      <c r="AL24" s="61"/>
      <c r="AM24" s="57"/>
      <c r="AN24" s="57">
        <v>8</v>
      </c>
      <c r="AO24" s="57">
        <f t="shared" si="219"/>
        <v>400</v>
      </c>
      <c r="AP24" s="57">
        <v>5</v>
      </c>
      <c r="AQ24" s="57"/>
      <c r="AR24" s="63"/>
      <c r="AS24" s="63"/>
      <c r="AT24" s="57"/>
      <c r="AU24" s="57"/>
      <c r="AV24" s="57"/>
      <c r="AW24" s="57"/>
      <c r="AX24" s="57"/>
      <c r="AY24" s="57"/>
      <c r="AZ24" s="57"/>
      <c r="BA24" s="57"/>
      <c r="BB24" s="57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7"/>
      <c r="CF24" s="57"/>
      <c r="CG24" s="57"/>
      <c r="CH24" s="57"/>
      <c r="CI24" s="57"/>
      <c r="CJ24" s="57"/>
      <c r="CK24" s="57"/>
      <c r="CL24" s="57"/>
      <c r="CM24" s="57"/>
      <c r="CN24" s="66" t="str">
        <f t="shared" si="2"/>
        <v>InitUnitState('E022',1000000,,,,,,,,,)</v>
      </c>
      <c r="CO24" s="66" t="str">
        <f t="shared" si="3"/>
        <v>InitUnitNormal('E022',,,,,,,,,8,400)</v>
      </c>
      <c r="CP24" s="66" t="str">
        <f t="shared" si="4"/>
        <v>InitUnitMagic('E022',5,,,,,,,,,)</v>
      </c>
      <c r="CQ24" s="66" t="str">
        <f t="shared" si="5"/>
        <v>InitUnitAdd('E022',,,,,,,,,,)</v>
      </c>
      <c r="CR24" s="66" t="str">
        <f t="shared" si="6"/>
        <v>InitEquipData('E022',,"",,E023,35000,50,'','','','','','',"ReplaceableTextures\\CommandButtons\\BTNZ05.blp")</v>
      </c>
      <c r="CS24" s="66"/>
      <c r="CT24" s="66"/>
      <c r="CU24" s="68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pans="1:175" s="7" customFormat="1" ht="16.5">
      <c r="A25" s="11"/>
      <c r="B25" s="45" t="s">
        <v>219</v>
      </c>
      <c r="C25" s="11" t="s">
        <v>220</v>
      </c>
      <c r="D25" s="46"/>
      <c r="E25" s="47"/>
      <c r="F25" s="48">
        <v>35000</v>
      </c>
      <c r="G25" s="49">
        <v>50</v>
      </c>
      <c r="H25" s="49"/>
      <c r="I25" s="49" t="str">
        <f t="shared" si="77"/>
        <v>E024</v>
      </c>
      <c r="J25" s="49"/>
      <c r="K25" s="49"/>
      <c r="L25" s="49"/>
      <c r="M25" s="49"/>
      <c r="N25" s="49"/>
      <c r="O25" s="49"/>
      <c r="P25" s="52"/>
      <c r="Q25" s="52"/>
      <c r="R25" s="52"/>
      <c r="S25" s="52"/>
      <c r="T25" s="55" t="s">
        <v>167</v>
      </c>
      <c r="U25" s="56" t="s">
        <v>216</v>
      </c>
      <c r="V25" s="57">
        <v>1200000</v>
      </c>
      <c r="W25" s="57"/>
      <c r="X25" s="57"/>
      <c r="Y25" s="57"/>
      <c r="Z25" s="57"/>
      <c r="AA25" s="57"/>
      <c r="AB25" s="57"/>
      <c r="AC25" s="57"/>
      <c r="AD25" s="60"/>
      <c r="AE25" s="57"/>
      <c r="AF25" s="57"/>
      <c r="AG25" s="61"/>
      <c r="AH25" s="57"/>
      <c r="AI25" s="57"/>
      <c r="AJ25" s="57"/>
      <c r="AK25" s="57"/>
      <c r="AL25" s="61"/>
      <c r="AM25" s="57"/>
      <c r="AN25" s="57">
        <v>8</v>
      </c>
      <c r="AO25" s="57">
        <f t="shared" si="219"/>
        <v>400</v>
      </c>
      <c r="AP25" s="57">
        <v>5</v>
      </c>
      <c r="AQ25" s="57"/>
      <c r="AR25" s="63"/>
      <c r="AS25" s="63"/>
      <c r="AT25" s="57"/>
      <c r="AU25" s="57"/>
      <c r="AV25" s="57"/>
      <c r="AW25" s="57"/>
      <c r="AX25" s="57"/>
      <c r="AY25" s="57"/>
      <c r="AZ25" s="57"/>
      <c r="BA25" s="57"/>
      <c r="BB25" s="57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7"/>
      <c r="CF25" s="57"/>
      <c r="CG25" s="57"/>
      <c r="CH25" s="57"/>
      <c r="CI25" s="57"/>
      <c r="CJ25" s="57"/>
      <c r="CK25" s="57"/>
      <c r="CL25" s="57"/>
      <c r="CM25" s="57"/>
      <c r="CN25" s="66" t="str">
        <f t="shared" si="2"/>
        <v>InitUnitState('E023',1200000,,,,,,,,,)</v>
      </c>
      <c r="CO25" s="66" t="str">
        <f t="shared" si="3"/>
        <v>InitUnitNormal('E023',,,,,,,,,8,400)</v>
      </c>
      <c r="CP25" s="66" t="str">
        <f t="shared" si="4"/>
        <v>InitUnitMagic('E023',5,,,,,,,,,)</v>
      </c>
      <c r="CQ25" s="66" t="str">
        <f t="shared" si="5"/>
        <v>InitUnitAdd('E023',,,,,,,,,,)</v>
      </c>
      <c r="CR25" s="66" t="str">
        <f t="shared" si="6"/>
        <v>InitEquipData('E023',,"",,E024,35000,50,'','','','','','',"ReplaceableTextures\\CommandButtons\\BTNZ05.blp")</v>
      </c>
      <c r="CS25" s="66"/>
      <c r="CT25" s="66"/>
      <c r="CU25" s="68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pans="1:175" s="7" customFormat="1" ht="16.5">
      <c r="A26" s="11"/>
      <c r="B26" s="45" t="s">
        <v>221</v>
      </c>
      <c r="C26" s="11" t="s">
        <v>222</v>
      </c>
      <c r="D26" s="46"/>
      <c r="E26" s="47"/>
      <c r="F26" s="48">
        <v>35000</v>
      </c>
      <c r="G26" s="49">
        <v>50</v>
      </c>
      <c r="H26" s="49"/>
      <c r="I26" s="49" t="str">
        <f t="shared" si="77"/>
        <v>E025</v>
      </c>
      <c r="J26" s="49"/>
      <c r="K26" s="49"/>
      <c r="L26" s="49"/>
      <c r="M26" s="49"/>
      <c r="N26" s="49"/>
      <c r="O26" s="49"/>
      <c r="P26" s="52"/>
      <c r="Q26" s="52"/>
      <c r="R26" s="52"/>
      <c r="S26" s="52"/>
      <c r="T26" s="55" t="s">
        <v>167</v>
      </c>
      <c r="U26" s="56" t="s">
        <v>216</v>
      </c>
      <c r="V26" s="57">
        <v>1400000</v>
      </c>
      <c r="W26" s="57"/>
      <c r="X26" s="57"/>
      <c r="Y26" s="57"/>
      <c r="Z26" s="57"/>
      <c r="AA26" s="57"/>
      <c r="AB26" s="57"/>
      <c r="AC26" s="57"/>
      <c r="AD26" s="60"/>
      <c r="AE26" s="57"/>
      <c r="AF26" s="57"/>
      <c r="AG26" s="61"/>
      <c r="AH26" s="57"/>
      <c r="AI26" s="57"/>
      <c r="AJ26" s="57"/>
      <c r="AK26" s="57"/>
      <c r="AL26" s="61"/>
      <c r="AM26" s="57"/>
      <c r="AN26" s="57">
        <v>8</v>
      </c>
      <c r="AO26" s="57">
        <f t="shared" si="219"/>
        <v>400</v>
      </c>
      <c r="AP26" s="57">
        <v>5</v>
      </c>
      <c r="AQ26" s="57"/>
      <c r="AR26" s="63"/>
      <c r="AS26" s="63"/>
      <c r="AT26" s="57"/>
      <c r="AU26" s="57"/>
      <c r="AV26" s="57"/>
      <c r="AW26" s="57"/>
      <c r="AX26" s="57"/>
      <c r="AY26" s="57"/>
      <c r="AZ26" s="57"/>
      <c r="BA26" s="57"/>
      <c r="BB26" s="57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7"/>
      <c r="CF26" s="57"/>
      <c r="CG26" s="57"/>
      <c r="CH26" s="57"/>
      <c r="CI26" s="57"/>
      <c r="CJ26" s="57"/>
      <c r="CK26" s="57"/>
      <c r="CL26" s="57"/>
      <c r="CM26" s="57"/>
      <c r="CN26" s="66" t="str">
        <f t="shared" si="2"/>
        <v>InitUnitState('E024',1400000,,,,,,,,,)</v>
      </c>
      <c r="CO26" s="66" t="str">
        <f t="shared" si="3"/>
        <v>InitUnitNormal('E024',,,,,,,,,8,400)</v>
      </c>
      <c r="CP26" s="66" t="str">
        <f t="shared" si="4"/>
        <v>InitUnitMagic('E024',5,,,,,,,,,)</v>
      </c>
      <c r="CQ26" s="66" t="str">
        <f t="shared" si="5"/>
        <v>InitUnitAdd('E024',,,,,,,,,,)</v>
      </c>
      <c r="CR26" s="66" t="str">
        <f t="shared" si="6"/>
        <v>InitEquipData('E024',,"",,E025,35000,50,'','','','','','',"ReplaceableTextures\\CommandButtons\\BTNZ05.blp")</v>
      </c>
      <c r="CS26" s="66"/>
      <c r="CT26" s="66"/>
      <c r="CU26" s="68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pans="1:175" s="7" customFormat="1" ht="16.5">
      <c r="A27" s="11"/>
      <c r="B27" s="45" t="s">
        <v>223</v>
      </c>
      <c r="C27" s="11" t="s">
        <v>224</v>
      </c>
      <c r="D27" s="46"/>
      <c r="E27" s="47"/>
      <c r="F27" s="48"/>
      <c r="G27" s="49"/>
      <c r="H27" s="49"/>
      <c r="I27" s="49"/>
      <c r="J27" s="49"/>
      <c r="K27" s="49"/>
      <c r="L27" s="49"/>
      <c r="M27" s="49"/>
      <c r="N27" s="49"/>
      <c r="O27" s="49"/>
      <c r="P27" s="52"/>
      <c r="Q27" s="52"/>
      <c r="R27" s="52"/>
      <c r="S27" s="52"/>
      <c r="T27" s="55" t="s">
        <v>225</v>
      </c>
      <c r="U27" s="56" t="s">
        <v>216</v>
      </c>
      <c r="V27" s="57">
        <v>1600000</v>
      </c>
      <c r="W27" s="57"/>
      <c r="X27" s="57"/>
      <c r="Y27" s="57"/>
      <c r="Z27" s="57"/>
      <c r="AA27" s="57"/>
      <c r="AB27" s="57"/>
      <c r="AC27" s="57"/>
      <c r="AD27" s="60"/>
      <c r="AE27" s="57"/>
      <c r="AF27" s="57"/>
      <c r="AG27" s="61"/>
      <c r="AH27" s="57"/>
      <c r="AI27" s="57"/>
      <c r="AJ27" s="57"/>
      <c r="AK27" s="57"/>
      <c r="AL27" s="61"/>
      <c r="AM27" s="57"/>
      <c r="AN27" s="57">
        <v>8</v>
      </c>
      <c r="AO27" s="57">
        <f t="shared" si="219"/>
        <v>400</v>
      </c>
      <c r="AP27" s="57">
        <v>5</v>
      </c>
      <c r="AQ27" s="57"/>
      <c r="AR27" s="63"/>
      <c r="AS27" s="63"/>
      <c r="AT27" s="57"/>
      <c r="AU27" s="57"/>
      <c r="AV27" s="57"/>
      <c r="AW27" s="57"/>
      <c r="AX27" s="57"/>
      <c r="AY27" s="57"/>
      <c r="AZ27" s="57"/>
      <c r="BA27" s="57"/>
      <c r="BB27" s="5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7"/>
      <c r="CF27" s="57"/>
      <c r="CG27" s="57"/>
      <c r="CH27" s="57"/>
      <c r="CI27" s="57"/>
      <c r="CJ27" s="57"/>
      <c r="CK27" s="57"/>
      <c r="CL27" s="57"/>
      <c r="CM27" s="57"/>
      <c r="CN27" s="66" t="str">
        <f t="shared" si="2"/>
        <v>InitUnitState('E025',1600000,,,,,,,,,)</v>
      </c>
      <c r="CO27" s="66" t="str">
        <f t="shared" si="3"/>
        <v>InitUnitNormal('E025',,,,,,,,,8,400)</v>
      </c>
      <c r="CP27" s="66" t="str">
        <f t="shared" si="4"/>
        <v>InitUnitMagic('E025',5,,,,,,,,,)</v>
      </c>
      <c r="CQ27" s="66" t="str">
        <f t="shared" si="5"/>
        <v>InitUnitAdd('E025',,,,,,,,,,)</v>
      </c>
      <c r="CR27" s="66" t="str">
        <f t="shared" si="6"/>
        <v>InitEquipData('E025',,"",,,,,'','','','','','',"ReplaceableTextures\\CommandButtons\\BTNZ06.blp")</v>
      </c>
      <c r="CS27" s="66"/>
      <c r="CT27" s="66"/>
      <c r="CU27" s="68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pans="1:175" s="7" customFormat="1" ht="16.5">
      <c r="A28" s="11"/>
      <c r="B28" s="45" t="s">
        <v>226</v>
      </c>
      <c r="C28" s="3" t="s">
        <v>227</v>
      </c>
      <c r="D28" s="8">
        <v>150</v>
      </c>
      <c r="E28" s="47"/>
      <c r="F28" s="48"/>
      <c r="G28" s="49">
        <v>50</v>
      </c>
      <c r="H28" s="49"/>
      <c r="I28" s="49" t="str">
        <f>B29</f>
        <v>E102</v>
      </c>
      <c r="J28" s="49"/>
      <c r="K28" s="49"/>
      <c r="L28" s="49"/>
      <c r="M28" s="49"/>
      <c r="N28" s="49"/>
      <c r="O28" s="49"/>
      <c r="P28" s="52"/>
      <c r="Q28" s="52"/>
      <c r="R28" s="52"/>
      <c r="S28" s="52"/>
      <c r="T28" s="55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6" t="s">
        <v>228</v>
      </c>
      <c r="V28" s="57">
        <v>270</v>
      </c>
      <c r="W28" s="57"/>
      <c r="X28" s="57"/>
      <c r="Y28" s="57"/>
      <c r="Z28" s="57">
        <v>900</v>
      </c>
      <c r="AA28" s="57"/>
      <c r="AB28" s="57">
        <f t="shared" ref="AB28:AB32" si="290">Z28/50</f>
        <v>18</v>
      </c>
      <c r="AC28" s="57"/>
      <c r="AD28" s="57">
        <v>30</v>
      </c>
      <c r="AE28" s="57">
        <v>3</v>
      </c>
      <c r="AF28" s="57"/>
      <c r="AG28" s="61"/>
      <c r="AH28" s="57"/>
      <c r="AI28" s="57"/>
      <c r="AJ28" s="57"/>
      <c r="AK28" s="57"/>
      <c r="AL28" s="61"/>
      <c r="AM28" s="57"/>
      <c r="AN28" s="57"/>
      <c r="AO28" s="57"/>
      <c r="AP28" s="57"/>
      <c r="AQ28" s="57"/>
      <c r="AR28" s="63"/>
      <c r="AS28" s="63"/>
      <c r="AT28" s="57"/>
      <c r="AU28" s="57"/>
      <c r="AV28" s="57"/>
      <c r="AW28" s="57"/>
      <c r="AX28" s="57"/>
      <c r="AY28" s="57"/>
      <c r="AZ28" s="57"/>
      <c r="BA28" s="57"/>
      <c r="BB28" s="57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7"/>
      <c r="CF28" s="57"/>
      <c r="CG28" s="57"/>
      <c r="CH28" s="57"/>
      <c r="CI28" s="57"/>
      <c r="CJ28" s="57"/>
      <c r="CK28" s="57"/>
      <c r="CL28" s="57"/>
      <c r="CM28" s="57"/>
      <c r="CN28" s="66" t="str">
        <f t="shared" si="2"/>
        <v>InitUnitState('E101',270,,,,900,,18,,30,3)</v>
      </c>
      <c r="CO28" s="66" t="str">
        <f t="shared" si="3"/>
        <v>InitUnitNormal('E101',,,,,,,,,,)</v>
      </c>
      <c r="CP28" s="66" t="str">
        <f t="shared" si="4"/>
        <v>InitUnitMagic('E101',,,,,,,,,,)</v>
      </c>
      <c r="CQ28" s="66" t="str">
        <f t="shared" si="5"/>
        <v>InitUnitAdd('E101',,,,,,,1,,,)</v>
      </c>
      <c r="CR28" s="66" t="str">
        <f t="shared" si="6"/>
        <v>InitEquipData('E101',150,"",,E102,,50,'','','','','','',"ReplaceableTextures\\CommandButtons\\BTNZ06.blp")</v>
      </c>
      <c r="CS28" s="66"/>
      <c r="CT28" s="66"/>
      <c r="CU28" s="68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pans="1:175" s="7" customFormat="1" ht="16.5">
      <c r="A29" s="11"/>
      <c r="B29" s="45" t="s">
        <v>229</v>
      </c>
      <c r="C29" s="3" t="s">
        <v>230</v>
      </c>
      <c r="D29" s="8">
        <v>150</v>
      </c>
      <c r="E29" s="47"/>
      <c r="F29" s="48"/>
      <c r="G29" s="49">
        <v>50</v>
      </c>
      <c r="H29" s="49"/>
      <c r="I29" s="49" t="str">
        <f t="shared" ref="I29:I51" si="291">B30</f>
        <v>E103</v>
      </c>
      <c r="J29" s="49"/>
      <c r="K29" s="49"/>
      <c r="L29" s="49"/>
      <c r="M29" s="49"/>
      <c r="N29" s="49"/>
      <c r="O29" s="49"/>
      <c r="P29" s="52"/>
      <c r="Q29" s="52"/>
      <c r="R29" s="52"/>
      <c r="S29" s="52"/>
      <c r="T29" s="55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6" t="s">
        <v>228</v>
      </c>
      <c r="V29" s="57">
        <v>540</v>
      </c>
      <c r="W29" s="57"/>
      <c r="X29" s="57"/>
      <c r="Y29"/>
      <c r="Z29" s="57">
        <v>1800</v>
      </c>
      <c r="AA29" s="57"/>
      <c r="AB29" s="57">
        <f t="shared" si="290"/>
        <v>36</v>
      </c>
      <c r="AC29" s="57"/>
      <c r="AD29" s="57">
        <v>35</v>
      </c>
      <c r="AE29" s="57">
        <v>3</v>
      </c>
      <c r="AF29" s="57"/>
      <c r="AG29" s="61"/>
      <c r="AH29" s="57"/>
      <c r="AI29" s="57"/>
      <c r="AJ29" s="57"/>
      <c r="AK29" s="57"/>
      <c r="AL29" s="61"/>
      <c r="AM29" s="57"/>
      <c r="AN29" s="57"/>
      <c r="AO29" s="57"/>
      <c r="AP29" s="57"/>
      <c r="AQ29" s="57"/>
      <c r="AR29" s="63"/>
      <c r="AS29" s="63"/>
      <c r="AT29" s="57"/>
      <c r="AU29" s="57"/>
      <c r="AV29" s="57"/>
      <c r="AW29" s="57"/>
      <c r="AX29" s="57"/>
      <c r="AY29" s="57"/>
      <c r="AZ29" s="57"/>
      <c r="BA29" s="57"/>
      <c r="BB29" s="57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7"/>
      <c r="CF29" s="57"/>
      <c r="CG29" s="57"/>
      <c r="CH29" s="57"/>
      <c r="CI29" s="57"/>
      <c r="CJ29" s="57"/>
      <c r="CK29" s="57"/>
      <c r="CL29" s="57"/>
      <c r="CM29" s="57"/>
      <c r="CN29" s="66" t="str">
        <f t="shared" si="2"/>
        <v>InitUnitState('E102',540,,,,1800,,36,,35,3)</v>
      </c>
      <c r="CO29" s="66" t="str">
        <f t="shared" si="3"/>
        <v>InitUnitNormal('E102',,,,,,,,,,)</v>
      </c>
      <c r="CP29" s="66" t="str">
        <f t="shared" si="4"/>
        <v>InitUnitMagic('E102',,,,,,,,,,)</v>
      </c>
      <c r="CQ29" s="66" t="str">
        <f t="shared" si="5"/>
        <v>InitUnitAdd('E102',,,,,,,2,,,)</v>
      </c>
      <c r="CR29" s="66" t="str">
        <f t="shared" si="6"/>
        <v>InitEquipData('E102',150,"",,E103,,50,'','','','','','',"ReplaceableTextures\\CommandButtons\\BTNZ06.blp")</v>
      </c>
      <c r="CS29" s="66"/>
      <c r="CT29" s="66"/>
      <c r="CU29" s="68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pans="1:175" s="7" customFormat="1" ht="16.5">
      <c r="A30" s="11"/>
      <c r="B30" s="45" t="s">
        <v>231</v>
      </c>
      <c r="C30" s="3" t="s">
        <v>232</v>
      </c>
      <c r="D30" s="8">
        <v>150</v>
      </c>
      <c r="E30" s="47"/>
      <c r="F30" s="48"/>
      <c r="G30" s="49">
        <v>50</v>
      </c>
      <c r="H30" s="49"/>
      <c r="I30" s="49" t="str">
        <f t="shared" si="291"/>
        <v>E104</v>
      </c>
      <c r="J30" s="49"/>
      <c r="K30" s="49"/>
      <c r="L30" s="49"/>
      <c r="M30" s="49"/>
      <c r="N30" s="49"/>
      <c r="O30" s="49"/>
      <c r="P30" s="52"/>
      <c r="Q30" s="52"/>
      <c r="R30" s="52"/>
      <c r="S30" s="52"/>
      <c r="T30" s="55" t="str">
        <f t="shared" si="292"/>
        <v>|n攻击6%概率范围|cffff4646业力*15|r魔法伤害|n|n|Cff00ff7f击杀150只怪有50%概率升级|r</v>
      </c>
      <c r="U30" s="56" t="s">
        <v>228</v>
      </c>
      <c r="V30" s="57">
        <v>1080</v>
      </c>
      <c r="W30" s="57"/>
      <c r="X30" s="57"/>
      <c r="Y30"/>
      <c r="Z30" s="57">
        <v>3600</v>
      </c>
      <c r="AA30" s="57"/>
      <c r="AB30" s="57">
        <f t="shared" si="290"/>
        <v>72</v>
      </c>
      <c r="AC30" s="57"/>
      <c r="AD30" s="57">
        <v>40</v>
      </c>
      <c r="AE30" s="57">
        <v>3</v>
      </c>
      <c r="AF30" s="57"/>
      <c r="AG30" s="61"/>
      <c r="AH30"/>
      <c r="AI30" s="57"/>
      <c r="AJ30" s="57"/>
      <c r="AK30" s="57"/>
      <c r="AL30" s="61"/>
      <c r="AM30" s="57"/>
      <c r="AN30" s="57"/>
      <c r="AO30" s="57"/>
      <c r="AP30" s="57"/>
      <c r="AQ30" s="57"/>
      <c r="AR30" s="63"/>
      <c r="AS30" s="63"/>
      <c r="AT30" s="57"/>
      <c r="AU30" s="57"/>
      <c r="AV30" s="57"/>
      <c r="AW30" s="57"/>
      <c r="AX30" s="57"/>
      <c r="AY30" s="57"/>
      <c r="AZ30" s="57"/>
      <c r="BA30" s="57"/>
      <c r="BB30" s="57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7"/>
      <c r="CF30" s="57"/>
      <c r="CG30" s="57"/>
      <c r="CH30" s="57"/>
      <c r="CI30" s="57"/>
      <c r="CJ30" s="57"/>
      <c r="CK30" s="57"/>
      <c r="CL30" s="57"/>
      <c r="CM30" s="57"/>
      <c r="CN30" s="66" t="str">
        <f t="shared" si="2"/>
        <v>InitUnitState('E103',1080,,,,3600,,72,,40,3)</v>
      </c>
      <c r="CO30" s="66" t="str">
        <f t="shared" si="3"/>
        <v>InitUnitNormal('E103',,,,,,,,,,)</v>
      </c>
      <c r="CP30" s="66" t="str">
        <f t="shared" si="4"/>
        <v>InitUnitMagic('E103',,,,,,,,,,)</v>
      </c>
      <c r="CQ30" s="66" t="str">
        <f t="shared" si="5"/>
        <v>InitUnitAdd('E103',,,,,,,3,,,)</v>
      </c>
      <c r="CR30" s="66" t="str">
        <f t="shared" si="6"/>
        <v>InitEquipData('E103',150,"",,E104,,50,'','','','','','',"ReplaceableTextures\\CommandButtons\\BTNZ06.blp")</v>
      </c>
      <c r="CS30" s="66"/>
      <c r="CT30" s="66"/>
      <c r="CU30" s="68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pans="1:175" s="7" customFormat="1" ht="16.5">
      <c r="A31" s="11"/>
      <c r="B31" s="45" t="s">
        <v>233</v>
      </c>
      <c r="C31" s="3" t="s">
        <v>234</v>
      </c>
      <c r="D31" s="8">
        <v>150</v>
      </c>
      <c r="E31" s="47"/>
      <c r="F31" s="48"/>
      <c r="G31" s="49">
        <v>50</v>
      </c>
      <c r="H31" s="49"/>
      <c r="I31" s="49" t="str">
        <f t="shared" si="291"/>
        <v>E105</v>
      </c>
      <c r="J31" s="49"/>
      <c r="K31" s="49"/>
      <c r="L31" s="49"/>
      <c r="M31" s="49"/>
      <c r="N31" s="49"/>
      <c r="O31" s="49"/>
      <c r="P31" s="52"/>
      <c r="Q31" s="52"/>
      <c r="R31" s="52"/>
      <c r="S31" s="52"/>
      <c r="T31" s="55" t="str">
        <f t="shared" si="292"/>
        <v>|n攻击6%概率范围|cffff4646业力*15|r魔法伤害|n|n|Cff00ff7f击杀150只怪有50%概率升级|r</v>
      </c>
      <c r="U31" s="56" t="s">
        <v>228</v>
      </c>
      <c r="V31" s="57">
        <v>1620</v>
      </c>
      <c r="W31" s="57"/>
      <c r="X31" s="57"/>
      <c r="Y31"/>
      <c r="Z31" s="57">
        <v>5400</v>
      </c>
      <c r="AA31" s="57"/>
      <c r="AB31" s="57">
        <f t="shared" si="290"/>
        <v>108</v>
      </c>
      <c r="AC31" s="57"/>
      <c r="AD31" s="57">
        <v>45</v>
      </c>
      <c r="AE31" s="57">
        <v>3</v>
      </c>
      <c r="AF31" s="57"/>
      <c r="AG31" s="61"/>
      <c r="AH31"/>
      <c r="AI31" s="57"/>
      <c r="AJ31" s="57"/>
      <c r="AK31" s="57"/>
      <c r="AL31" s="61"/>
      <c r="AM31" s="57"/>
      <c r="AN31" s="57"/>
      <c r="AO31" s="57"/>
      <c r="AP31" s="57"/>
      <c r="AQ31" s="57"/>
      <c r="AR31" s="63"/>
      <c r="AS31" s="63"/>
      <c r="AT31" s="57"/>
      <c r="AU31" s="57"/>
      <c r="AV31" s="57"/>
      <c r="AW31" s="57"/>
      <c r="AX31" s="57"/>
      <c r="AY31" s="57"/>
      <c r="AZ31" s="57"/>
      <c r="BA31" s="57"/>
      <c r="BB31" s="57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7"/>
      <c r="CF31" s="57"/>
      <c r="CG31" s="57"/>
      <c r="CH31" s="57"/>
      <c r="CI31" s="57"/>
      <c r="CJ31" s="57"/>
      <c r="CK31" s="57"/>
      <c r="CL31" s="57"/>
      <c r="CM31" s="57"/>
      <c r="CN31" s="66" t="str">
        <f t="shared" si="2"/>
        <v>InitUnitState('E104',1620,,,,5400,,108,,45,3)</v>
      </c>
      <c r="CO31" s="66" t="str">
        <f t="shared" si="3"/>
        <v>InitUnitNormal('E104',,,,,,,,,,)</v>
      </c>
      <c r="CP31" s="66" t="str">
        <f t="shared" si="4"/>
        <v>InitUnitMagic('E104',,,,,,,,,,)</v>
      </c>
      <c r="CQ31" s="66" t="str">
        <f t="shared" si="5"/>
        <v>InitUnitAdd('E104',,,,,,,4,,,)</v>
      </c>
      <c r="CR31" s="66" t="str">
        <f t="shared" si="6"/>
        <v>InitEquipData('E104',150,"",,E105,,50,'','','','','','',"ReplaceableTextures\\CommandButtons\\BTNZ06.blp")</v>
      </c>
      <c r="CS31" s="66"/>
      <c r="CT31" s="66"/>
      <c r="CU31" s="68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pans="1:175" s="7" customFormat="1" ht="16.5">
      <c r="A32" s="11"/>
      <c r="B32" s="45" t="s">
        <v>235</v>
      </c>
      <c r="C32" s="3" t="s">
        <v>236</v>
      </c>
      <c r="D32" s="8">
        <v>150</v>
      </c>
      <c r="E32" s="47"/>
      <c r="F32" s="48"/>
      <c r="G32" s="49">
        <v>50</v>
      </c>
      <c r="H32" s="49"/>
      <c r="I32" s="49" t="str">
        <f t="shared" si="291"/>
        <v>E106</v>
      </c>
      <c r="J32" s="49"/>
      <c r="K32" s="49"/>
      <c r="L32" s="49"/>
      <c r="M32" s="49"/>
      <c r="N32" s="49"/>
      <c r="O32" s="49"/>
      <c r="P32" s="52"/>
      <c r="Q32" s="52"/>
      <c r="R32" s="52"/>
      <c r="S32" s="52"/>
      <c r="T32" s="55" t="str">
        <f t="shared" si="292"/>
        <v>|n攻击6%概率范围|cffff4646业力*15|r魔法伤害|n|n|Cff00ff7f击杀150只怪有50%概率升级|r</v>
      </c>
      <c r="U32" s="56" t="s">
        <v>228</v>
      </c>
      <c r="V32" s="57">
        <v>2700</v>
      </c>
      <c r="W32" s="57"/>
      <c r="X32"/>
      <c r="Y32"/>
      <c r="Z32" s="57">
        <v>9000</v>
      </c>
      <c r="AA32" s="57"/>
      <c r="AB32" s="57">
        <f t="shared" si="290"/>
        <v>180</v>
      </c>
      <c r="AC32" s="57"/>
      <c r="AD32" s="57">
        <v>50</v>
      </c>
      <c r="AE32" s="57">
        <v>3</v>
      </c>
      <c r="AF32" s="57"/>
      <c r="AG32" s="61"/>
      <c r="AH32"/>
      <c r="AI32" s="57"/>
      <c r="AJ32" s="57"/>
      <c r="AK32" s="57"/>
      <c r="AL32" s="61"/>
      <c r="AM32" s="57"/>
      <c r="AN32" s="57"/>
      <c r="AO32" s="57"/>
      <c r="AP32" s="57"/>
      <c r="AQ32" s="57"/>
      <c r="AR32" s="63"/>
      <c r="AS32" s="63"/>
      <c r="AT32" s="57"/>
      <c r="AU32" s="57"/>
      <c r="AV32" s="57"/>
      <c r="AW32" s="57"/>
      <c r="AX32" s="57"/>
      <c r="AY32" s="57"/>
      <c r="AZ32" s="57"/>
      <c r="BA32" s="57"/>
      <c r="BB32" s="57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7"/>
      <c r="CF32" s="57"/>
      <c r="CG32" s="57"/>
      <c r="CH32" s="57"/>
      <c r="CI32" s="57"/>
      <c r="CJ32" s="57"/>
      <c r="CK32" s="57"/>
      <c r="CL32" s="57"/>
      <c r="CM32" s="57"/>
      <c r="CN32" s="66" t="str">
        <f t="shared" si="2"/>
        <v>InitUnitState('E105',2700,,,,9000,,180,,50,3)</v>
      </c>
      <c r="CO32" s="66" t="str">
        <f t="shared" si="3"/>
        <v>InitUnitNormal('E105',,,,,,,,,,)</v>
      </c>
      <c r="CP32" s="66" t="str">
        <f t="shared" si="4"/>
        <v>InitUnitMagic('E105',,,,,,,,,,)</v>
      </c>
      <c r="CQ32" s="66" t="str">
        <f t="shared" si="5"/>
        <v>InitUnitAdd('E105',,,,,,,5,,,)</v>
      </c>
      <c r="CR32" s="66" t="str">
        <f t="shared" si="6"/>
        <v>InitEquipData('E105',150,"",,E106,,50,'','','','','','',"ReplaceableTextures\\CommandButtons\\BTNZ07.blp")</v>
      </c>
      <c r="CS32" s="66"/>
      <c r="CT32" s="66"/>
      <c r="CU32" s="68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pans="1:175" s="7" customFormat="1" ht="16.5">
      <c r="A33" s="11"/>
      <c r="B33" s="45" t="s">
        <v>237</v>
      </c>
      <c r="C33" s="3" t="s">
        <v>238</v>
      </c>
      <c r="D33" s="8">
        <v>200</v>
      </c>
      <c r="E33" s="47"/>
      <c r="F33" s="48"/>
      <c r="G33" s="49">
        <v>50</v>
      </c>
      <c r="H33" s="49"/>
      <c r="I33" s="49" t="str">
        <f t="shared" si="291"/>
        <v>E107</v>
      </c>
      <c r="J33" s="49"/>
      <c r="K33" s="49"/>
      <c r="L33" s="49"/>
      <c r="M33" s="49"/>
      <c r="N33" s="49"/>
      <c r="O33" s="49"/>
      <c r="P33" s="52"/>
      <c r="Q33" s="52"/>
      <c r="R33" s="52"/>
      <c r="S33" s="52"/>
      <c r="T33" s="55" t="str">
        <f t="shared" si="292"/>
        <v>|n攻击6%概率范围|cffff4646业力*15|r魔法伤害|n|n|Cff00ff7f击杀200只怪有50%概率升级|r</v>
      </c>
      <c r="U33" s="56" t="s">
        <v>239</v>
      </c>
      <c r="V33" s="57">
        <v>3780</v>
      </c>
      <c r="W33" s="57"/>
      <c r="X33"/>
      <c r="Y33"/>
      <c r="Z33" s="57">
        <v>12600</v>
      </c>
      <c r="AA33" s="57">
        <f>Z33-Z32</f>
        <v>3600</v>
      </c>
      <c r="AB33" s="57">
        <f t="shared" ref="AB33:AB77" si="293">Z33/50</f>
        <v>252</v>
      </c>
      <c r="AC33" s="57"/>
      <c r="AD33" s="57">
        <v>55</v>
      </c>
      <c r="AE33" s="57">
        <v>6</v>
      </c>
      <c r="AF33" s="57"/>
      <c r="AG33" s="61"/>
      <c r="AH33"/>
      <c r="AI33" s="57"/>
      <c r="AJ33" s="57"/>
      <c r="AK33" s="57"/>
      <c r="AL33" s="61"/>
      <c r="AM33" s="57"/>
      <c r="AN33" s="57"/>
      <c r="AO33" s="57"/>
      <c r="AP33" s="57"/>
      <c r="AQ33" s="57"/>
      <c r="AR33" s="63"/>
      <c r="AS33" s="63"/>
      <c r="AT33" s="57"/>
      <c r="AU33" s="57"/>
      <c r="AV33" s="57"/>
      <c r="AW33" s="57"/>
      <c r="AX33" s="57"/>
      <c r="AY33" s="57"/>
      <c r="AZ33" s="57"/>
      <c r="BA33" s="57"/>
      <c r="BB33" s="57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7"/>
      <c r="CF33" s="57"/>
      <c r="CG33" s="57"/>
      <c r="CH33" s="57"/>
      <c r="CI33" s="57"/>
      <c r="CJ33" s="57"/>
      <c r="CK33" s="57"/>
      <c r="CL33" s="57"/>
      <c r="CM33" s="57"/>
      <c r="CN33" s="66" t="str">
        <f t="shared" si="2"/>
        <v>InitUnitState('E106',3780,,,,12600,3600,252,,55,6)</v>
      </c>
      <c r="CO33" s="66" t="str">
        <f t="shared" si="3"/>
        <v>InitUnitNormal('E106',,,,,,,,,,)</v>
      </c>
      <c r="CP33" s="66" t="str">
        <f t="shared" si="4"/>
        <v>InitUnitMagic('E106',,,,,,,,,,)</v>
      </c>
      <c r="CQ33" s="66" t="str">
        <f t="shared" si="5"/>
        <v>InitUnitAdd('E106',,,,,,,6,,,)</v>
      </c>
      <c r="CR33" s="66" t="str">
        <f t="shared" si="6"/>
        <v>InitEquipData('E106',200,"",,E107,,50,'','','','','','',"ReplaceableTextures\\CommandButtons\\BTNZ07.blp")</v>
      </c>
      <c r="CS33" s="66"/>
      <c r="CT33" s="66"/>
      <c r="CU33" s="68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pans="1:175" s="7" customFormat="1" ht="16.5">
      <c r="A34" s="11"/>
      <c r="B34" s="45" t="s">
        <v>240</v>
      </c>
      <c r="C34" s="3" t="s">
        <v>241</v>
      </c>
      <c r="D34" s="8">
        <v>200</v>
      </c>
      <c r="E34" s="47"/>
      <c r="F34" s="48"/>
      <c r="G34" s="49">
        <v>50</v>
      </c>
      <c r="H34" s="49"/>
      <c r="I34" s="49" t="str">
        <f t="shared" si="291"/>
        <v>E108</v>
      </c>
      <c r="J34" s="49"/>
      <c r="K34" s="49"/>
      <c r="L34" s="49"/>
      <c r="M34" s="49"/>
      <c r="N34" s="49"/>
      <c r="O34" s="49"/>
      <c r="P34" s="52"/>
      <c r="Q34" s="52"/>
      <c r="R34" s="52"/>
      <c r="S34" s="52"/>
      <c r="T34" s="55" t="str">
        <f t="shared" si="292"/>
        <v>|n攻击6%概率范围|cffff4646业力*15|r魔法伤害|n|n|Cff00ff7f击杀200只怪有50%概率升级|r</v>
      </c>
      <c r="U34" s="56" t="s">
        <v>239</v>
      </c>
      <c r="V34" s="57">
        <v>5400</v>
      </c>
      <c r="W34" s="57"/>
      <c r="X34" s="57"/>
      <c r="Y34" s="57"/>
      <c r="Z34" s="57">
        <v>18000</v>
      </c>
      <c r="AA34" s="57"/>
      <c r="AB34" s="57">
        <f t="shared" si="293"/>
        <v>360</v>
      </c>
      <c r="AC34" s="57"/>
      <c r="AD34" s="57">
        <v>60</v>
      </c>
      <c r="AE34" s="57">
        <v>6</v>
      </c>
      <c r="AF34" s="57"/>
      <c r="AG34" s="61"/>
      <c r="AH34"/>
      <c r="AI34" s="57"/>
      <c r="AJ34" s="57"/>
      <c r="AK34" s="57"/>
      <c r="AL34" s="61"/>
      <c r="AM34" s="57"/>
      <c r="AN34" s="57"/>
      <c r="AO34" s="57"/>
      <c r="AP34" s="57"/>
      <c r="AQ34" s="57"/>
      <c r="AR34" s="63"/>
      <c r="AS34" s="63"/>
      <c r="AT34" s="57"/>
      <c r="AU34" s="57"/>
      <c r="AV34" s="57"/>
      <c r="AW34" s="57"/>
      <c r="AX34" s="57"/>
      <c r="AY34" s="57"/>
      <c r="AZ34" s="57"/>
      <c r="BA34" s="57"/>
      <c r="BB34" s="57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7"/>
      <c r="CF34" s="57"/>
      <c r="CG34" s="57"/>
      <c r="CH34" s="57"/>
      <c r="CI34" s="57"/>
      <c r="CJ34" s="57"/>
      <c r="CK34" s="57"/>
      <c r="CL34" s="57"/>
      <c r="CM34" s="57"/>
      <c r="CN34" s="66" t="str">
        <f t="shared" si="2"/>
        <v>InitUnitState('E107',5400,,,,18000,,360,,60,6)</v>
      </c>
      <c r="CO34" s="66" t="str">
        <f t="shared" si="3"/>
        <v>InitUnitNormal('E107',,,,,,,,,,)</v>
      </c>
      <c r="CP34" s="66" t="str">
        <f t="shared" si="4"/>
        <v>InitUnitMagic('E107',,,,,,,,,,)</v>
      </c>
      <c r="CQ34" s="66" t="str">
        <f t="shared" si="5"/>
        <v>InitUnitAdd('E107',,,,,,,7,,,)</v>
      </c>
      <c r="CR34" s="66" t="str">
        <f t="shared" si="6"/>
        <v>InitEquipData('E107',200,"",,E108,,50,'','','','','','',"ReplaceableTextures\\CommandButtons\\BTNZ07.blp")</v>
      </c>
      <c r="CS34" s="66"/>
      <c r="CT34" s="66"/>
      <c r="CU34" s="68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pans="1:175" s="7" customFormat="1" ht="16.5">
      <c r="A35" s="11"/>
      <c r="B35" s="45" t="s">
        <v>242</v>
      </c>
      <c r="C35" s="3" t="s">
        <v>243</v>
      </c>
      <c r="D35" s="8">
        <v>200</v>
      </c>
      <c r="E35" s="47"/>
      <c r="F35" s="48"/>
      <c r="G35" s="49">
        <v>50</v>
      </c>
      <c r="H35" s="49"/>
      <c r="I35" s="49" t="str">
        <f t="shared" si="291"/>
        <v>E109</v>
      </c>
      <c r="J35" s="49"/>
      <c r="K35" s="49"/>
      <c r="L35" s="49"/>
      <c r="M35" s="49"/>
      <c r="N35" s="49"/>
      <c r="O35" s="49"/>
      <c r="P35" s="52"/>
      <c r="Q35" s="52"/>
      <c r="R35" s="52"/>
      <c r="S35" s="52"/>
      <c r="T35" s="55" t="str">
        <f t="shared" si="292"/>
        <v>|n攻击6%概率范围|cffff4646业力*15|r魔法伤害|n|n|Cff00ff7f击杀200只怪有50%概率升级|r</v>
      </c>
      <c r="U35" s="56" t="s">
        <v>239</v>
      </c>
      <c r="V35" s="57">
        <v>8100</v>
      </c>
      <c r="W35" s="57"/>
      <c r="X35" s="57"/>
      <c r="Y35" s="57"/>
      <c r="Z35" s="57">
        <v>27000</v>
      </c>
      <c r="AA35" s="57"/>
      <c r="AB35" s="57">
        <f t="shared" si="293"/>
        <v>540</v>
      </c>
      <c r="AC35" s="57"/>
      <c r="AD35" s="57">
        <v>65</v>
      </c>
      <c r="AE35" s="57">
        <v>6</v>
      </c>
      <c r="AF35" s="57"/>
      <c r="AG35" s="61"/>
      <c r="AH35"/>
      <c r="AI35" s="57"/>
      <c r="AJ35" s="57"/>
      <c r="AK35" s="57"/>
      <c r="AL35" s="61"/>
      <c r="AM35" s="57"/>
      <c r="AN35" s="57"/>
      <c r="AO35" s="57"/>
      <c r="AP35" s="57"/>
      <c r="AQ35" s="57"/>
      <c r="AR35" s="63"/>
      <c r="AS35" s="63"/>
      <c r="AT35" s="57"/>
      <c r="AU35" s="57"/>
      <c r="AV35" s="57"/>
      <c r="AW35" s="57"/>
      <c r="AX35" s="57"/>
      <c r="AY35" s="57"/>
      <c r="AZ35" s="57"/>
      <c r="BA35" s="57"/>
      <c r="BB35" s="57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7"/>
      <c r="CF35" s="57"/>
      <c r="CG35" s="57"/>
      <c r="CH35" s="57"/>
      <c r="CI35" s="57"/>
      <c r="CJ35" s="57"/>
      <c r="CK35" s="57"/>
      <c r="CL35" s="57"/>
      <c r="CM35" s="57"/>
      <c r="CN35" s="6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6"/>
      <c r="CT35" s="66"/>
      <c r="CU35" s="68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pans="1:175" s="7" customFormat="1" ht="16.5">
      <c r="A36" s="11"/>
      <c r="B36" s="45" t="s">
        <v>244</v>
      </c>
      <c r="C36" s="3" t="s">
        <v>245</v>
      </c>
      <c r="D36" s="8">
        <v>200</v>
      </c>
      <c r="E36" s="47"/>
      <c r="F36" s="48"/>
      <c r="G36" s="49">
        <v>50</v>
      </c>
      <c r="H36" s="49"/>
      <c r="I36" s="49" t="str">
        <f t="shared" si="291"/>
        <v>E110</v>
      </c>
      <c r="J36" s="49"/>
      <c r="K36" s="49"/>
      <c r="L36" s="49"/>
      <c r="M36" s="49"/>
      <c r="N36" s="49"/>
      <c r="O36" s="49"/>
      <c r="P36" s="52"/>
      <c r="Q36" s="52"/>
      <c r="R36" s="52"/>
      <c r="S36" s="52"/>
      <c r="T36" s="55" t="str">
        <f t="shared" si="292"/>
        <v>|n攻击6%概率范围|cffff4646业力*15|r魔法伤害|n|n|Cff00ff7f击杀200只怪有50%概率升级|r</v>
      </c>
      <c r="U36" s="56" t="s">
        <v>239</v>
      </c>
      <c r="V36" s="57">
        <v>10800</v>
      </c>
      <c r="W36" s="57"/>
      <c r="X36" s="57"/>
      <c r="Y36" s="57"/>
      <c r="Z36" s="57">
        <v>36000</v>
      </c>
      <c r="AA36" s="57"/>
      <c r="AB36" s="57">
        <f t="shared" si="293"/>
        <v>720</v>
      </c>
      <c r="AC36" s="57"/>
      <c r="AD36" s="57">
        <v>70</v>
      </c>
      <c r="AE36" s="57">
        <v>6</v>
      </c>
      <c r="AF36" s="57"/>
      <c r="AG36" s="61"/>
      <c r="AH36" s="57"/>
      <c r="AI36" s="57"/>
      <c r="AJ36" s="57"/>
      <c r="AK36" s="57"/>
      <c r="AL36" s="61"/>
      <c r="AM36" s="57"/>
      <c r="AN36" s="57"/>
      <c r="AO36" s="57"/>
      <c r="AP36" s="57"/>
      <c r="AQ36" s="57"/>
      <c r="AR36" s="63"/>
      <c r="AS36" s="63"/>
      <c r="AT36" s="57"/>
      <c r="AU36" s="57"/>
      <c r="AV36" s="57"/>
      <c r="AW36" s="57"/>
      <c r="AX36" s="57"/>
      <c r="AY36" s="57"/>
      <c r="AZ36" s="57"/>
      <c r="BA36" s="57"/>
      <c r="BB36" s="57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7"/>
      <c r="CF36" s="57"/>
      <c r="CG36" s="57"/>
      <c r="CH36" s="57"/>
      <c r="CI36" s="57"/>
      <c r="CJ36" s="57"/>
      <c r="CK36" s="57"/>
      <c r="CL36" s="57"/>
      <c r="CM36" s="57"/>
      <c r="CN36" s="66" t="str">
        <f t="shared" si="294"/>
        <v>InitUnitState('E109',10800,,,,36000,,720,,70,6)</v>
      </c>
      <c r="CO36" s="66" t="str">
        <f t="shared" si="295"/>
        <v>InitUnitNormal('E109',,,,,,,,,,)</v>
      </c>
      <c r="CP36" s="66" t="str">
        <f t="shared" si="296"/>
        <v>InitUnitMagic('E109',,,,,,,,,,)</v>
      </c>
      <c r="CQ36" s="66" t="str">
        <f t="shared" si="297"/>
        <v>InitUnitAdd('E109',,,,,,,9,,,)</v>
      </c>
      <c r="CR36" s="66" t="str">
        <f t="shared" si="298"/>
        <v>InitEquipData('E109',200,"",,E110,,50,'','','','','','',"ReplaceableTextures\\CommandButtons\\BTNZ07.blp")</v>
      </c>
      <c r="CS36" s="66"/>
      <c r="CT36" s="66"/>
      <c r="CU36" s="68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pans="1:175" s="7" customFormat="1" ht="16.5">
      <c r="A37" s="11"/>
      <c r="B37" s="45" t="s">
        <v>246</v>
      </c>
      <c r="C37" s="3" t="s">
        <v>247</v>
      </c>
      <c r="D37" s="8">
        <v>200</v>
      </c>
      <c r="E37" s="47"/>
      <c r="F37" s="48"/>
      <c r="G37" s="49">
        <v>50</v>
      </c>
      <c r="H37" s="49"/>
      <c r="I37" s="49" t="str">
        <f t="shared" si="291"/>
        <v>E111</v>
      </c>
      <c r="J37" s="49"/>
      <c r="K37" s="49"/>
      <c r="L37" s="49"/>
      <c r="M37" s="49"/>
      <c r="N37" s="49"/>
      <c r="O37" s="49"/>
      <c r="P37" s="52"/>
      <c r="Q37" s="52"/>
      <c r="R37" s="52"/>
      <c r="S37" s="52"/>
      <c r="T37" s="55" t="str">
        <f t="shared" si="292"/>
        <v>|n攻击6%概率范围|cffff4646业力*15|r魔法伤害|n|n|Cff00ff7f击杀200只怪有50%概率升级|r</v>
      </c>
      <c r="U37" s="56" t="s">
        <v>239</v>
      </c>
      <c r="V37" s="57">
        <v>13500</v>
      </c>
      <c r="W37" s="57"/>
      <c r="X37"/>
      <c r="Y37" s="57"/>
      <c r="Z37" s="57">
        <v>45000</v>
      </c>
      <c r="AA37" s="57"/>
      <c r="AB37" s="57">
        <f t="shared" si="293"/>
        <v>900</v>
      </c>
      <c r="AC37" s="57"/>
      <c r="AD37" s="57">
        <v>75</v>
      </c>
      <c r="AE37" s="57">
        <v>6</v>
      </c>
      <c r="AF37" s="57"/>
      <c r="AG37" s="61"/>
      <c r="AH37" s="57"/>
      <c r="AI37" s="57"/>
      <c r="AJ37" s="57"/>
      <c r="AK37" s="57"/>
      <c r="AL37" s="61"/>
      <c r="AM37" s="57"/>
      <c r="AN37" s="57"/>
      <c r="AO37" s="57"/>
      <c r="AP37" s="57"/>
      <c r="AQ37" s="57"/>
      <c r="AR37" s="63"/>
      <c r="AS37" s="63"/>
      <c r="AT37" s="57"/>
      <c r="AU37" s="57"/>
      <c r="AV37" s="57"/>
      <c r="AW37" s="57"/>
      <c r="AX37" s="57"/>
      <c r="AY37" s="57"/>
      <c r="AZ37" s="57"/>
      <c r="BA37" s="57"/>
      <c r="BB37" s="5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7"/>
      <c r="CF37" s="57"/>
      <c r="CG37" s="57"/>
      <c r="CH37" s="57"/>
      <c r="CI37" s="57"/>
      <c r="CJ37" s="57"/>
      <c r="CK37" s="57"/>
      <c r="CL37" s="57"/>
      <c r="CM37" s="57"/>
      <c r="CN37" s="66" t="str">
        <f t="shared" si="294"/>
        <v>InitUnitState('E110',13500,,,,45000,,900,,75,6)</v>
      </c>
      <c r="CO37" s="66" t="str">
        <f t="shared" si="295"/>
        <v>InitUnitNormal('E110',,,,,,,,,,)</v>
      </c>
      <c r="CP37" s="66" t="str">
        <f t="shared" si="296"/>
        <v>InitUnitMagic('E110',,,,,,,,,,)</v>
      </c>
      <c r="CQ37" s="66" t="str">
        <f t="shared" si="297"/>
        <v>InitUnitAdd('E110',,,,,,,10,,,)</v>
      </c>
      <c r="CR37" s="66" t="str">
        <f t="shared" si="298"/>
        <v>InitEquipData('E110',200,"",,E111,,50,'','','','','','',"ReplaceableTextures\\CommandButtons\\BTNZ08.blp")</v>
      </c>
      <c r="CS37" s="66"/>
      <c r="CT37" s="66"/>
      <c r="CU37" s="68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pans="1:175" s="7" customFormat="1" ht="16.5">
      <c r="A38" s="11"/>
      <c r="B38" s="45" t="s">
        <v>248</v>
      </c>
      <c r="C38" s="3" t="s">
        <v>249</v>
      </c>
      <c r="D38" s="8">
        <v>300</v>
      </c>
      <c r="E38" s="47"/>
      <c r="F38" s="48"/>
      <c r="G38" s="49">
        <v>50</v>
      </c>
      <c r="H38" s="49"/>
      <c r="I38" s="49" t="str">
        <f t="shared" ref="I38:I43" si="369">B39</f>
        <v>E112</v>
      </c>
      <c r="J38" s="49"/>
      <c r="K38" s="49"/>
      <c r="L38" s="49"/>
      <c r="M38" s="49"/>
      <c r="N38" s="49"/>
      <c r="O38" s="49"/>
      <c r="P38" s="52"/>
      <c r="Q38" s="52"/>
      <c r="R38" s="52"/>
      <c r="S38" s="52"/>
      <c r="T38" s="55" t="str">
        <f t="shared" si="292"/>
        <v>|n攻击6%概率范围|cffff4646业力*15|r魔法伤害|n|n|Cff00ff7f击杀300只怪有50%概率升级|r</v>
      </c>
      <c r="U38" s="56" t="s">
        <v>250</v>
      </c>
      <c r="V38" s="57">
        <v>27000</v>
      </c>
      <c r="W38" s="57"/>
      <c r="X38"/>
      <c r="Y38" s="57"/>
      <c r="Z38" s="57">
        <v>90000</v>
      </c>
      <c r="AA38" s="57">
        <f>Z38-Z37</f>
        <v>45000</v>
      </c>
      <c r="AB38" s="57">
        <f t="shared" si="293"/>
        <v>1800</v>
      </c>
      <c r="AC38" s="57"/>
      <c r="AD38" s="57">
        <v>80</v>
      </c>
      <c r="AE38" s="57">
        <v>9</v>
      </c>
      <c r="AF38" s="57"/>
      <c r="AG38" s="61"/>
      <c r="AH38" s="57"/>
      <c r="AI38" s="57"/>
      <c r="AJ38" s="57"/>
      <c r="AK38" s="57"/>
      <c r="AL38" s="61"/>
      <c r="AM38" s="57"/>
      <c r="AN38" s="57"/>
      <c r="AO38" s="57"/>
      <c r="AP38" s="57"/>
      <c r="AQ38" s="57"/>
      <c r="AR38" s="63"/>
      <c r="AS38" s="63"/>
      <c r="AT38" s="57"/>
      <c r="AU38" s="57"/>
      <c r="AV38" s="57"/>
      <c r="AW38" s="57"/>
      <c r="AX38" s="57"/>
      <c r="AY38" s="57"/>
      <c r="AZ38" s="57"/>
      <c r="BA38" s="57"/>
      <c r="BB38" s="57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7"/>
      <c r="CF38" s="57"/>
      <c r="CG38" s="57"/>
      <c r="CH38" s="57"/>
      <c r="CI38" s="57"/>
      <c r="CJ38" s="57"/>
      <c r="CK38" s="57"/>
      <c r="CL38" s="57"/>
      <c r="CM38" s="57"/>
      <c r="CN38" s="66" t="str">
        <f t="shared" si="294"/>
        <v>InitUnitState('E111',27000,,,,90000,45000,1800,,80,9)</v>
      </c>
      <c r="CO38" s="66" t="str">
        <f t="shared" si="295"/>
        <v>InitUnitNormal('E111',,,,,,,,,,)</v>
      </c>
      <c r="CP38" s="66" t="str">
        <f t="shared" si="296"/>
        <v>InitUnitMagic('E111',,,,,,,,,,)</v>
      </c>
      <c r="CQ38" s="66" t="str">
        <f t="shared" si="297"/>
        <v>InitUnitAdd('E111',,,,,,,11,,,)</v>
      </c>
      <c r="CR38" s="66" t="str">
        <f t="shared" si="298"/>
        <v>InitEquipData('E111',300,"",,E112,,50,'','','','','','',"ReplaceableTextures\\CommandButtons\\BTNZ08.blp")</v>
      </c>
      <c r="CS38" s="66"/>
      <c r="CT38" s="66"/>
      <c r="CU38" s="68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pans="1:175" s="7" customFormat="1" ht="16.5">
      <c r="A39" s="11"/>
      <c r="B39" s="45" t="s">
        <v>251</v>
      </c>
      <c r="C39" s="3" t="s">
        <v>252</v>
      </c>
      <c r="D39" s="8">
        <v>300</v>
      </c>
      <c r="E39" s="47"/>
      <c r="F39" s="48"/>
      <c r="G39" s="49">
        <v>50</v>
      </c>
      <c r="H39" s="49"/>
      <c r="I39" s="49" t="str">
        <f t="shared" si="369"/>
        <v>E113</v>
      </c>
      <c r="J39" s="49"/>
      <c r="K39" s="49"/>
      <c r="L39" s="49"/>
      <c r="M39" s="49"/>
      <c r="N39" s="49"/>
      <c r="O39" s="49"/>
      <c r="P39" s="52"/>
      <c r="Q39" s="52"/>
      <c r="R39" s="52"/>
      <c r="S39" s="52"/>
      <c r="T39" s="55" t="str">
        <f t="shared" si="292"/>
        <v>|n攻击6%概率范围|cffff4646业力*15|r魔法伤害|n|n|Cff00ff7f击杀300只怪有50%概率升级|r</v>
      </c>
      <c r="U39" s="56" t="s">
        <v>250</v>
      </c>
      <c r="V39" s="57">
        <v>35100</v>
      </c>
      <c r="W39" s="57"/>
      <c r="X39" s="57"/>
      <c r="Y39" s="57"/>
      <c r="Z39" s="57">
        <v>117000</v>
      </c>
      <c r="AA39" s="57"/>
      <c r="AB39" s="57">
        <f t="shared" si="293"/>
        <v>2340</v>
      </c>
      <c r="AC39" s="57"/>
      <c r="AD39" s="57">
        <v>85</v>
      </c>
      <c r="AE39" s="57">
        <v>9</v>
      </c>
      <c r="AF39" s="57"/>
      <c r="AG39" s="61"/>
      <c r="AH39" s="57"/>
      <c r="AI39" s="57"/>
      <c r="AJ39" s="57"/>
      <c r="AK39" s="57"/>
      <c r="AL39" s="61"/>
      <c r="AM39" s="57"/>
      <c r="AN39" s="57"/>
      <c r="AO39" s="57"/>
      <c r="AP39" s="57"/>
      <c r="AQ39" s="57"/>
      <c r="AR39" s="63"/>
      <c r="AS39" s="63"/>
      <c r="AT39" s="57"/>
      <c r="AU39" s="57"/>
      <c r="AV39" s="57"/>
      <c r="AW39" s="57"/>
      <c r="AX39" s="57"/>
      <c r="AY39" s="57"/>
      <c r="AZ39" s="57"/>
      <c r="BA39" s="57"/>
      <c r="BB39" s="57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7"/>
      <c r="CF39" s="57"/>
      <c r="CG39" s="57"/>
      <c r="CH39" s="57"/>
      <c r="CI39" s="57"/>
      <c r="CJ39" s="57"/>
      <c r="CK39" s="57"/>
      <c r="CL39" s="57"/>
      <c r="CM39" s="57"/>
      <c r="CN39" s="66" t="str">
        <f t="shared" si="294"/>
        <v>InitUnitState('E112',35100,,,,117000,,2340,,85,9)</v>
      </c>
      <c r="CO39" s="66" t="str">
        <f t="shared" si="295"/>
        <v>InitUnitNormal('E112',,,,,,,,,,)</v>
      </c>
      <c r="CP39" s="66" t="str">
        <f t="shared" si="296"/>
        <v>InitUnitMagic('E112',,,,,,,,,,)</v>
      </c>
      <c r="CQ39" s="66" t="str">
        <f t="shared" si="297"/>
        <v>InitUnitAdd('E112',,,,,,,12,,,)</v>
      </c>
      <c r="CR39" s="6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6"/>
      <c r="CT39" s="66"/>
      <c r="CU39" s="68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pans="1:175" s="7" customFormat="1" ht="16.5">
      <c r="A40" s="11"/>
      <c r="B40" s="45" t="s">
        <v>253</v>
      </c>
      <c r="C40" s="3" t="s">
        <v>254</v>
      </c>
      <c r="D40" s="8">
        <v>300</v>
      </c>
      <c r="E40" s="47"/>
      <c r="F40" s="48"/>
      <c r="G40" s="49">
        <v>50</v>
      </c>
      <c r="H40" s="49"/>
      <c r="I40" s="49" t="str">
        <f t="shared" si="369"/>
        <v>E114</v>
      </c>
      <c r="J40" s="49"/>
      <c r="K40" s="49"/>
      <c r="L40" s="49"/>
      <c r="M40" s="49"/>
      <c r="N40" s="49"/>
      <c r="O40" s="49"/>
      <c r="P40" s="52"/>
      <c r="Q40" s="52"/>
      <c r="R40" s="52"/>
      <c r="S40" s="52"/>
      <c r="T40" s="55" t="str">
        <f t="shared" si="292"/>
        <v>|n攻击6%概率范围|cffff4646业力*15|r魔法伤害|n|n|Cff00ff7f击杀300只怪有50%概率升级|r</v>
      </c>
      <c r="U40" s="56" t="s">
        <v>250</v>
      </c>
      <c r="V40" s="57">
        <v>43200</v>
      </c>
      <c r="W40" s="57"/>
      <c r="X40" s="57"/>
      <c r="Y40" s="57"/>
      <c r="Z40" s="57">
        <v>144000</v>
      </c>
      <c r="AA40" s="57"/>
      <c r="AB40" s="57">
        <f t="shared" si="293"/>
        <v>2880</v>
      </c>
      <c r="AC40" s="57"/>
      <c r="AD40" s="57">
        <v>90</v>
      </c>
      <c r="AE40" s="57">
        <v>9</v>
      </c>
      <c r="AF40" s="57"/>
      <c r="AG40" s="61"/>
      <c r="AH40" s="57"/>
      <c r="AI40" s="57"/>
      <c r="AJ40" s="57"/>
      <c r="AK40" s="57"/>
      <c r="AL40" s="61"/>
      <c r="AM40" s="57"/>
      <c r="AN40" s="57"/>
      <c r="AO40" s="57"/>
      <c r="AP40" s="57"/>
      <c r="AQ40" s="57"/>
      <c r="AR40" s="63"/>
      <c r="AS40" s="63"/>
      <c r="AT40" s="57"/>
      <c r="AU40" s="57"/>
      <c r="AV40" s="57"/>
      <c r="AW40" s="57"/>
      <c r="AX40" s="57"/>
      <c r="AY40" s="57"/>
      <c r="AZ40" s="57"/>
      <c r="BA40" s="57"/>
      <c r="BB40" s="57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7"/>
      <c r="CF40" s="57"/>
      <c r="CG40" s="57"/>
      <c r="CH40" s="57"/>
      <c r="CI40" s="57"/>
      <c r="CJ40" s="57"/>
      <c r="CK40" s="57"/>
      <c r="CL40" s="57"/>
      <c r="CM40" s="57"/>
      <c r="CN40" s="66" t="str">
        <f t="shared" si="294"/>
        <v>InitUnitState('E113',43200,,,,144000,,2880,,90,9)</v>
      </c>
      <c r="CO40" s="66" t="str">
        <f t="shared" si="295"/>
        <v>InitUnitNormal('E113',,,,,,,,,,)</v>
      </c>
      <c r="CP40" s="66" t="str">
        <f t="shared" si="296"/>
        <v>InitUnitMagic('E113',,,,,,,,,,)</v>
      </c>
      <c r="CQ40" s="66" t="str">
        <f t="shared" si="297"/>
        <v>InitUnitAdd('E113',,,,,,,13,,,)</v>
      </c>
      <c r="CR40" s="6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6"/>
      <c r="CT40" s="66"/>
      <c r="CU40" s="68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pans="1:175" s="7" customFormat="1" ht="16.5">
      <c r="A41" s="11"/>
      <c r="B41" s="45" t="s">
        <v>255</v>
      </c>
      <c r="C41" s="3" t="s">
        <v>256</v>
      </c>
      <c r="D41" s="8">
        <v>300</v>
      </c>
      <c r="E41" s="47"/>
      <c r="F41" s="48"/>
      <c r="G41" s="49">
        <v>50</v>
      </c>
      <c r="H41" s="49"/>
      <c r="I41" s="49" t="str">
        <f t="shared" si="369"/>
        <v>E115</v>
      </c>
      <c r="J41" s="49"/>
      <c r="K41" s="49"/>
      <c r="L41" s="49"/>
      <c r="M41" s="49"/>
      <c r="N41" s="49"/>
      <c r="O41" s="49"/>
      <c r="P41" s="52"/>
      <c r="Q41" s="52"/>
      <c r="R41" s="52"/>
      <c r="S41" s="52"/>
      <c r="T41" s="55" t="str">
        <f t="shared" si="292"/>
        <v>|n攻击6%概率范围|cffff4646业力*15|r魔法伤害|n|n|Cff00ff7f击杀300只怪有50%概率升级|r</v>
      </c>
      <c r="U41" s="56" t="s">
        <v>250</v>
      </c>
      <c r="V41" s="57">
        <v>51300</v>
      </c>
      <c r="W41" s="57"/>
      <c r="X41" s="57"/>
      <c r="Y41" s="57"/>
      <c r="Z41" s="57">
        <v>171000</v>
      </c>
      <c r="AA41" s="57"/>
      <c r="AB41" s="57">
        <f t="shared" si="293"/>
        <v>3420</v>
      </c>
      <c r="AC41" s="57"/>
      <c r="AD41" s="57">
        <v>95</v>
      </c>
      <c r="AE41" s="57">
        <v>9</v>
      </c>
      <c r="AF41" s="57"/>
      <c r="AG41" s="61"/>
      <c r="AH41" s="57"/>
      <c r="AI41" s="57"/>
      <c r="AJ41" s="57"/>
      <c r="AK41" s="57"/>
      <c r="AL41" s="61"/>
      <c r="AM41" s="57"/>
      <c r="AN41" s="57"/>
      <c r="AO41" s="57"/>
      <c r="AP41" s="57"/>
      <c r="AQ41" s="57"/>
      <c r="AR41" s="63"/>
      <c r="AS41" s="63"/>
      <c r="AT41" s="57"/>
      <c r="AU41" s="57"/>
      <c r="AV41" s="57"/>
      <c r="AW41" s="57"/>
      <c r="AX41" s="57"/>
      <c r="AY41" s="57"/>
      <c r="AZ41" s="57"/>
      <c r="BA41" s="57"/>
      <c r="BB41" s="57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7"/>
      <c r="CF41" s="57"/>
      <c r="CG41" s="57"/>
      <c r="CH41" s="57"/>
      <c r="CI41" s="57"/>
      <c r="CJ41" s="57"/>
      <c r="CK41" s="57"/>
      <c r="CL41" s="57"/>
      <c r="CM41" s="57"/>
      <c r="CN41" s="66" t="str">
        <f t="shared" si="294"/>
        <v>InitUnitState('E114',51300,,,,171000,,3420,,95,9)</v>
      </c>
      <c r="CO41" s="66" t="str">
        <f t="shared" si="295"/>
        <v>InitUnitNormal('E114',,,,,,,,,,)</v>
      </c>
      <c r="CP41" s="66" t="str">
        <f t="shared" si="296"/>
        <v>InitUnitMagic('E114',,,,,,,,,,)</v>
      </c>
      <c r="CQ41" s="66" t="str">
        <f t="shared" si="297"/>
        <v>InitUnitAdd('E114',,,,,,,14,,,)</v>
      </c>
      <c r="CR41" s="6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6"/>
      <c r="CT41" s="66"/>
      <c r="CU41" s="68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pans="1:175" s="7" customFormat="1" ht="16.5">
      <c r="A42" s="11"/>
      <c r="B42" s="45" t="s">
        <v>257</v>
      </c>
      <c r="C42" s="3" t="s">
        <v>258</v>
      </c>
      <c r="D42" s="8">
        <v>300</v>
      </c>
      <c r="E42" s="47"/>
      <c r="F42" s="48"/>
      <c r="G42" s="49">
        <v>50</v>
      </c>
      <c r="H42" s="49"/>
      <c r="I42" s="49" t="str">
        <f t="shared" si="369"/>
        <v>E116</v>
      </c>
      <c r="J42" s="49"/>
      <c r="K42" s="49"/>
      <c r="L42" s="49"/>
      <c r="M42" s="49"/>
      <c r="N42" s="49"/>
      <c r="O42" s="49"/>
      <c r="P42" s="52"/>
      <c r="Q42" s="52"/>
      <c r="R42" s="52"/>
      <c r="S42" s="52"/>
      <c r="T42" s="55" t="str">
        <f t="shared" si="292"/>
        <v>|n攻击6%概率范围|cffff4646业力*15|r魔法伤害|n|n|Cff00ff7f击杀300只怪有50%概率升级|r</v>
      </c>
      <c r="U42" s="56" t="s">
        <v>250</v>
      </c>
      <c r="V42" s="57">
        <v>56700</v>
      </c>
      <c r="W42" s="57"/>
      <c r="X42"/>
      <c r="Y42" s="57"/>
      <c r="Z42" s="57">
        <v>189000</v>
      </c>
      <c r="AA42" s="57"/>
      <c r="AB42" s="57">
        <f t="shared" si="293"/>
        <v>3780</v>
      </c>
      <c r="AC42" s="57"/>
      <c r="AD42" s="57">
        <v>100</v>
      </c>
      <c r="AE42" s="57">
        <v>9</v>
      </c>
      <c r="AF42" s="57"/>
      <c r="AG42" s="61"/>
      <c r="AH42" s="57"/>
      <c r="AI42" s="57"/>
      <c r="AJ42" s="57"/>
      <c r="AK42" s="57"/>
      <c r="AL42" s="61"/>
      <c r="AM42" s="57"/>
      <c r="AN42" s="57"/>
      <c r="AO42" s="57"/>
      <c r="AP42" s="57"/>
      <c r="AQ42" s="57"/>
      <c r="AR42" s="63"/>
      <c r="AS42" s="63"/>
      <c r="AT42" s="57"/>
      <c r="AU42" s="57"/>
      <c r="AV42" s="57"/>
      <c r="AW42" s="57"/>
      <c r="AX42" s="57"/>
      <c r="AY42" s="57"/>
      <c r="AZ42" s="57"/>
      <c r="BA42" s="57"/>
      <c r="BB42" s="57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7"/>
      <c r="CF42" s="57"/>
      <c r="CG42" s="57"/>
      <c r="CH42" s="57"/>
      <c r="CI42" s="57"/>
      <c r="CJ42" s="57"/>
      <c r="CK42" s="57"/>
      <c r="CL42" s="57"/>
      <c r="CM42" s="57"/>
      <c r="CN42" s="66" t="str">
        <f t="shared" si="294"/>
        <v>InitUnitState('E115',56700,,,,189000,,3780,,100,9)</v>
      </c>
      <c r="CO42" s="66" t="str">
        <f t="shared" si="295"/>
        <v>InitUnitNormal('E115',,,,,,,,,,)</v>
      </c>
      <c r="CP42" s="66" t="str">
        <f t="shared" si="296"/>
        <v>InitUnitMagic('E115',,,,,,,,,,)</v>
      </c>
      <c r="CQ42" s="66" t="str">
        <f t="shared" si="297"/>
        <v>InitUnitAdd('E115',,,,,,,15,,,)</v>
      </c>
      <c r="CR42" s="6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6"/>
      <c r="CT42" s="66"/>
      <c r="CU42" s="68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pans="1:175" s="7" customFormat="1" ht="16.5">
      <c r="A43" s="11"/>
      <c r="B43" s="45" t="s">
        <v>259</v>
      </c>
      <c r="C43" s="3" t="s">
        <v>260</v>
      </c>
      <c r="D43" s="8">
        <v>400</v>
      </c>
      <c r="E43" s="47"/>
      <c r="F43" s="48"/>
      <c r="G43" s="49">
        <v>50</v>
      </c>
      <c r="H43" s="49"/>
      <c r="I43" s="49" t="str">
        <f t="shared" si="369"/>
        <v>E117</v>
      </c>
      <c r="J43" s="49"/>
      <c r="K43" s="49"/>
      <c r="L43" s="49"/>
      <c r="M43" s="49"/>
      <c r="N43" s="49"/>
      <c r="O43" s="49"/>
      <c r="P43" s="52"/>
      <c r="Q43" s="52"/>
      <c r="R43" s="52"/>
      <c r="S43" s="52"/>
      <c r="T43" s="55" t="str">
        <f t="shared" si="292"/>
        <v>|n攻击6%概率范围|cffff4646业力*15|r魔法伤害|n|n|Cff00ff7f击杀400只怪有50%概率升级|r</v>
      </c>
      <c r="U43" s="56" t="s">
        <v>261</v>
      </c>
      <c r="V43" s="57">
        <v>81000</v>
      </c>
      <c r="W43" s="57"/>
      <c r="X43"/>
      <c r="Y43" s="57"/>
      <c r="Z43" s="57">
        <v>270000</v>
      </c>
      <c r="AA43" s="57">
        <f>Z43-Z42</f>
        <v>81000</v>
      </c>
      <c r="AB43" s="57">
        <f t="shared" si="293"/>
        <v>5400</v>
      </c>
      <c r="AC43" s="57"/>
      <c r="AD43" s="57">
        <v>105</v>
      </c>
      <c r="AE43" s="57">
        <v>12</v>
      </c>
      <c r="AF43" s="57"/>
      <c r="AG43" s="61"/>
      <c r="AH43" s="57"/>
      <c r="AI43" s="57"/>
      <c r="AJ43" s="57"/>
      <c r="AK43" s="57"/>
      <c r="AL43" s="61"/>
      <c r="AM43" s="57"/>
      <c r="AN43" s="57"/>
      <c r="AO43" s="57"/>
      <c r="AP43" s="57"/>
      <c r="AQ43" s="57"/>
      <c r="AR43" s="63"/>
      <c r="AS43" s="63"/>
      <c r="AT43" s="57"/>
      <c r="AU43" s="57"/>
      <c r="AV43" s="57"/>
      <c r="AW43" s="57"/>
      <c r="AX43" s="57"/>
      <c r="AY43" s="57"/>
      <c r="AZ43" s="57"/>
      <c r="BA43" s="57"/>
      <c r="BB43" s="57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7"/>
      <c r="CF43" s="57"/>
      <c r="CG43" s="57"/>
      <c r="CH43" s="57"/>
      <c r="CI43" s="57"/>
      <c r="CJ43" s="57"/>
      <c r="CK43" s="57"/>
      <c r="CL43" s="57"/>
      <c r="CM43" s="57"/>
      <c r="CN43" s="66" t="str">
        <f t="shared" si="294"/>
        <v>InitUnitState('E116',81000,,,,270000,81000,5400,,105,12)</v>
      </c>
      <c r="CO43" s="66" t="str">
        <f t="shared" si="295"/>
        <v>InitUnitNormal('E116',,,,,,,,,,)</v>
      </c>
      <c r="CP43" s="66" t="str">
        <f t="shared" si="296"/>
        <v>InitUnitMagic('E116',,,,,,,,,,)</v>
      </c>
      <c r="CQ43" s="66" t="str">
        <f t="shared" si="297"/>
        <v>InitUnitAdd('E116',,,,,,,16,,,)</v>
      </c>
      <c r="CR43" s="6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6"/>
      <c r="CT43" s="66"/>
      <c r="CU43" s="68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pans="1:175" s="7" customFormat="1" ht="16.5">
      <c r="A44" s="11"/>
      <c r="B44" s="45" t="s">
        <v>262</v>
      </c>
      <c r="C44" s="3" t="s">
        <v>263</v>
      </c>
      <c r="D44" s="8">
        <v>400</v>
      </c>
      <c r="E44" s="47"/>
      <c r="F44" s="48"/>
      <c r="G44" s="49">
        <v>50</v>
      </c>
      <c r="H44" s="49"/>
      <c r="I44" s="49" t="str">
        <f t="shared" si="291"/>
        <v>E118</v>
      </c>
      <c r="J44" s="49"/>
      <c r="K44" s="49"/>
      <c r="L44" s="49"/>
      <c r="M44" s="49"/>
      <c r="N44" s="49"/>
      <c r="O44" s="49"/>
      <c r="P44" s="52"/>
      <c r="Q44" s="52"/>
      <c r="R44" s="52"/>
      <c r="S44" s="52"/>
      <c r="T44" s="55" t="str">
        <f t="shared" si="292"/>
        <v>|n攻击6%概率范围|cffff4646业力*15|r魔法伤害|n|n|Cff00ff7f击杀400只怪有50%概率升级|r</v>
      </c>
      <c r="U44" s="56" t="s">
        <v>261</v>
      </c>
      <c r="V44" s="57">
        <v>94500</v>
      </c>
      <c r="W44" s="57"/>
      <c r="X44" s="57"/>
      <c r="Y44" s="57"/>
      <c r="Z44" s="57">
        <v>315000</v>
      </c>
      <c r="AA44" s="57"/>
      <c r="AB44" s="57">
        <f t="shared" si="293"/>
        <v>6300</v>
      </c>
      <c r="AC44" s="57"/>
      <c r="AD44" s="57">
        <v>110</v>
      </c>
      <c r="AE44" s="57">
        <v>12</v>
      </c>
      <c r="AF44" s="57"/>
      <c r="AG44" s="61"/>
      <c r="AH44" s="57"/>
      <c r="AI44" s="57"/>
      <c r="AJ44" s="57"/>
      <c r="AK44" s="57"/>
      <c r="AL44" s="61"/>
      <c r="AM44" s="57"/>
      <c r="AN44" s="57"/>
      <c r="AO44" s="57"/>
      <c r="AP44" s="57"/>
      <c r="AQ44" s="57"/>
      <c r="AR44" s="63"/>
      <c r="AS44" s="63"/>
      <c r="AT44" s="57"/>
      <c r="AU44" s="57"/>
      <c r="AV44" s="57"/>
      <c r="AW44" s="57"/>
      <c r="AX44" s="57"/>
      <c r="AY44" s="57"/>
      <c r="AZ44" s="57"/>
      <c r="BA44" s="57"/>
      <c r="BB44" s="57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7"/>
      <c r="CF44" s="57"/>
      <c r="CG44" s="57"/>
      <c r="CH44" s="57"/>
      <c r="CI44" s="57"/>
      <c r="CJ44" s="57"/>
      <c r="CK44" s="57"/>
      <c r="CL44" s="57"/>
      <c r="CM44" s="57"/>
      <c r="CN44" s="66" t="str">
        <f t="shared" si="294"/>
        <v>InitUnitState('E117',94500,,,,315000,,6300,,110,12)</v>
      </c>
      <c r="CO44" s="66" t="str">
        <f t="shared" si="295"/>
        <v>InitUnitNormal('E117',,,,,,,,,,)</v>
      </c>
      <c r="CP44" s="66" t="str">
        <f t="shared" si="296"/>
        <v>InitUnitMagic('E117',,,,,,,,,,)</v>
      </c>
      <c r="CQ44" s="66" t="str">
        <f t="shared" si="297"/>
        <v>InitUnitAdd('E117',,,,,,,17,,,)</v>
      </c>
      <c r="CR44" s="66" t="str">
        <f t="shared" si="298"/>
        <v>InitEquipData('E117',400,"",,E118,,50,'','','','','','',"ReplaceableTextures\\CommandButtons\\BTNZ09.blp")</v>
      </c>
      <c r="CS44" s="66"/>
      <c r="CT44" s="66"/>
      <c r="CU44" s="68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pans="1:175" s="7" customFormat="1" ht="16.5">
      <c r="A45" s="11"/>
      <c r="B45" s="45" t="s">
        <v>264</v>
      </c>
      <c r="C45" s="3" t="s">
        <v>265</v>
      </c>
      <c r="D45" s="8">
        <v>400</v>
      </c>
      <c r="E45" s="47"/>
      <c r="F45" s="48"/>
      <c r="G45" s="49">
        <v>50</v>
      </c>
      <c r="H45" s="49"/>
      <c r="I45" s="49" t="str">
        <f t="shared" si="291"/>
        <v>E119</v>
      </c>
      <c r="J45" s="49"/>
      <c r="K45" s="49"/>
      <c r="L45" s="49"/>
      <c r="M45" s="49"/>
      <c r="N45" s="49"/>
      <c r="O45" s="49"/>
      <c r="P45" s="52"/>
      <c r="Q45" s="52"/>
      <c r="R45" s="52"/>
      <c r="S45" s="52"/>
      <c r="T45" s="55" t="str">
        <f t="shared" si="292"/>
        <v>|n攻击6%概率范围|cffff4646业力*15|r魔法伤害|n|n|Cff00ff7f击杀400只怪有50%概率升级|r</v>
      </c>
      <c r="U45" s="56" t="s">
        <v>261</v>
      </c>
      <c r="V45" s="57">
        <v>108000</v>
      </c>
      <c r="W45" s="57"/>
      <c r="X45" s="57"/>
      <c r="Y45" s="57"/>
      <c r="Z45" s="57">
        <v>360000</v>
      </c>
      <c r="AA45" s="57"/>
      <c r="AB45" s="57">
        <f t="shared" si="293"/>
        <v>7200</v>
      </c>
      <c r="AC45" s="57"/>
      <c r="AD45" s="57">
        <v>115</v>
      </c>
      <c r="AE45" s="57">
        <v>12</v>
      </c>
      <c r="AF45" s="57"/>
      <c r="AG45" s="61"/>
      <c r="AH45" s="57"/>
      <c r="AI45" s="57"/>
      <c r="AJ45" s="57"/>
      <c r="AK45" s="57"/>
      <c r="AL45" s="61"/>
      <c r="AM45" s="57"/>
      <c r="AN45" s="57"/>
      <c r="AO45" s="57"/>
      <c r="AP45" s="57"/>
      <c r="AQ45" s="57"/>
      <c r="AR45" s="63"/>
      <c r="AS45" s="63"/>
      <c r="AT45" s="57"/>
      <c r="AU45" s="57"/>
      <c r="AV45" s="57"/>
      <c r="AW45" s="57"/>
      <c r="AX45" s="57"/>
      <c r="AY45" s="57"/>
      <c r="AZ45" s="57"/>
      <c r="BA45" s="57"/>
      <c r="BB45" s="57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7"/>
      <c r="CF45" s="57"/>
      <c r="CG45" s="57"/>
      <c r="CH45" s="57"/>
      <c r="CI45" s="57"/>
      <c r="CJ45" s="57"/>
      <c r="CK45" s="57"/>
      <c r="CL45" s="57"/>
      <c r="CM45" s="57"/>
      <c r="CN45" s="66" t="str">
        <f t="shared" si="294"/>
        <v>InitUnitState('E118',108000,,,,360000,,7200,,115,12)</v>
      </c>
      <c r="CO45" s="66" t="str">
        <f t="shared" si="295"/>
        <v>InitUnitNormal('E118',,,,,,,,,,)</v>
      </c>
      <c r="CP45" s="66" t="str">
        <f t="shared" si="296"/>
        <v>InitUnitMagic('E118',,,,,,,,,,)</v>
      </c>
      <c r="CQ45" s="66" t="str">
        <f t="shared" si="297"/>
        <v>InitUnitAdd('E118',,,,,,,18,,,)</v>
      </c>
      <c r="CR45" s="66" t="str">
        <f t="shared" si="298"/>
        <v>InitEquipData('E118',400,"",,E119,,50,'','','','','','',"ReplaceableTextures\\CommandButtons\\BTNZ09.blp")</v>
      </c>
      <c r="CS45" s="66"/>
      <c r="CT45" s="66"/>
      <c r="CU45" s="68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pans="1:175" s="7" customFormat="1" ht="16.5">
      <c r="A46" s="11"/>
      <c r="B46" s="45" t="s">
        <v>266</v>
      </c>
      <c r="C46" s="3" t="s">
        <v>267</v>
      </c>
      <c r="D46" s="8">
        <v>400</v>
      </c>
      <c r="E46" s="47"/>
      <c r="F46" s="48"/>
      <c r="G46" s="49">
        <v>50</v>
      </c>
      <c r="H46" s="49"/>
      <c r="I46" s="49" t="str">
        <f t="shared" si="291"/>
        <v>E120</v>
      </c>
      <c r="J46" s="49"/>
      <c r="K46" s="49"/>
      <c r="L46" s="49"/>
      <c r="M46" s="49"/>
      <c r="N46" s="49"/>
      <c r="O46" s="49"/>
      <c r="P46" s="52"/>
      <c r="Q46" s="52"/>
      <c r="R46" s="52"/>
      <c r="S46" s="52"/>
      <c r="T46" s="55" t="str">
        <f t="shared" si="292"/>
        <v>|n攻击6%概率范围|cffff4646业力*15|r魔法伤害|n|n|Cff00ff7f击杀400只怪有50%概率升级|r</v>
      </c>
      <c r="U46" s="56" t="s">
        <v>261</v>
      </c>
      <c r="V46" s="57">
        <v>121500</v>
      </c>
      <c r="W46" s="57"/>
      <c r="X46" s="57"/>
      <c r="Y46" s="57"/>
      <c r="Z46" s="57">
        <v>405000</v>
      </c>
      <c r="AA46" s="57"/>
      <c r="AB46" s="57">
        <f t="shared" si="293"/>
        <v>8100</v>
      </c>
      <c r="AC46" s="57"/>
      <c r="AD46" s="57">
        <v>120</v>
      </c>
      <c r="AE46" s="57">
        <v>12</v>
      </c>
      <c r="AF46" s="57"/>
      <c r="AG46" s="61"/>
      <c r="AH46" s="57"/>
      <c r="AI46" s="57"/>
      <c r="AJ46" s="57"/>
      <c r="AK46" s="57"/>
      <c r="AL46" s="61"/>
      <c r="AM46" s="57"/>
      <c r="AN46" s="57"/>
      <c r="AO46" s="57"/>
      <c r="AP46" s="57"/>
      <c r="AQ46" s="57"/>
      <c r="AR46" s="63"/>
      <c r="AS46" s="63"/>
      <c r="AT46" s="57"/>
      <c r="AU46" s="57"/>
      <c r="AV46" s="57"/>
      <c r="AW46" s="57"/>
      <c r="AX46" s="57"/>
      <c r="AY46" s="57"/>
      <c r="AZ46" s="57"/>
      <c r="BA46" s="57"/>
      <c r="BB46" s="57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7"/>
      <c r="CF46" s="57"/>
      <c r="CG46" s="57"/>
      <c r="CH46" s="57"/>
      <c r="CI46" s="57"/>
      <c r="CJ46" s="57"/>
      <c r="CK46" s="57"/>
      <c r="CL46" s="57"/>
      <c r="CM46" s="57"/>
      <c r="CN46" s="66" t="str">
        <f t="shared" si="294"/>
        <v>InitUnitState('E119',121500,,,,405000,,8100,,120,12)</v>
      </c>
      <c r="CO46" s="66" t="str">
        <f t="shared" si="295"/>
        <v>InitUnitNormal('E119',,,,,,,,,,)</v>
      </c>
      <c r="CP46" s="66" t="str">
        <f t="shared" si="296"/>
        <v>InitUnitMagic('E119',,,,,,,,,,)</v>
      </c>
      <c r="CQ46" s="66" t="str">
        <f t="shared" si="297"/>
        <v>InitUnitAdd('E119',,,,,,,19,,,)</v>
      </c>
      <c r="CR46" s="66" t="str">
        <f t="shared" si="298"/>
        <v>InitEquipData('E119',400,"",,E120,,50,'','','','','','',"ReplaceableTextures\\CommandButtons\\BTNZ09.blp")</v>
      </c>
      <c r="CS46" s="66"/>
      <c r="CT46" s="66"/>
      <c r="CU46" s="68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pans="1:175" s="7" customFormat="1" ht="16.5">
      <c r="A47" s="11"/>
      <c r="B47" s="45" t="s">
        <v>268</v>
      </c>
      <c r="C47" s="3" t="s">
        <v>269</v>
      </c>
      <c r="D47" s="8">
        <v>400</v>
      </c>
      <c r="E47" s="47"/>
      <c r="F47" s="48"/>
      <c r="G47" s="49">
        <v>50</v>
      </c>
      <c r="H47" s="49"/>
      <c r="I47" s="49" t="str">
        <f t="shared" si="291"/>
        <v>E121</v>
      </c>
      <c r="J47" s="49"/>
      <c r="K47" s="49"/>
      <c r="L47" s="49"/>
      <c r="M47" s="49"/>
      <c r="N47" s="49"/>
      <c r="O47" s="49"/>
      <c r="P47" s="52"/>
      <c r="Q47" s="52"/>
      <c r="R47" s="52"/>
      <c r="S47" s="52"/>
      <c r="T47" s="55" t="str">
        <f t="shared" si="292"/>
        <v>|n攻击6%概率范围|cffff4646业力*15|r魔法伤害|n|n|Cff00ff7f击杀400只怪有50%概率升级|r</v>
      </c>
      <c r="U47" s="56" t="s">
        <v>261</v>
      </c>
      <c r="V47" s="57">
        <v>135000</v>
      </c>
      <c r="W47" s="57"/>
      <c r="X47"/>
      <c r="Y47" s="57"/>
      <c r="Z47" s="57">
        <v>450000</v>
      </c>
      <c r="AA47" s="57"/>
      <c r="AB47" s="57">
        <f t="shared" si="293"/>
        <v>9000</v>
      </c>
      <c r="AC47" s="57"/>
      <c r="AD47" s="57">
        <v>125</v>
      </c>
      <c r="AE47" s="57">
        <v>12</v>
      </c>
      <c r="AF47" s="57"/>
      <c r="AG47" s="61"/>
      <c r="AH47" s="57"/>
      <c r="AI47" s="57"/>
      <c r="AJ47" s="57"/>
      <c r="AK47" s="57"/>
      <c r="AL47" s="61"/>
      <c r="AM47" s="57"/>
      <c r="AN47" s="57"/>
      <c r="AO47" s="57"/>
      <c r="AP47" s="57"/>
      <c r="AQ47" s="57"/>
      <c r="AR47" s="63"/>
      <c r="AS47" s="63"/>
      <c r="AT47" s="57"/>
      <c r="AU47" s="57"/>
      <c r="AV47" s="57"/>
      <c r="AW47" s="57"/>
      <c r="AX47" s="57"/>
      <c r="AY47" s="57"/>
      <c r="AZ47" s="57"/>
      <c r="BA47" s="57"/>
      <c r="BB47" s="5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7"/>
      <c r="CF47" s="57"/>
      <c r="CG47" s="57"/>
      <c r="CH47" s="57"/>
      <c r="CI47" s="57"/>
      <c r="CJ47" s="57"/>
      <c r="CK47" s="57"/>
      <c r="CL47" s="57"/>
      <c r="CM47" s="57"/>
      <c r="CN47" s="66" t="str">
        <f t="shared" si="294"/>
        <v>InitUnitState('E120',135000,,,,450000,,9000,,125,12)</v>
      </c>
      <c r="CO47" s="66" t="str">
        <f t="shared" si="295"/>
        <v>InitUnitNormal('E120',,,,,,,,,,)</v>
      </c>
      <c r="CP47" s="66" t="str">
        <f t="shared" si="296"/>
        <v>InitUnitMagic('E120',,,,,,,,,,)</v>
      </c>
      <c r="CQ47" s="66" t="str">
        <f t="shared" si="297"/>
        <v>InitUnitAdd('E120',,,,,,,20,,,)</v>
      </c>
      <c r="CR47" s="66" t="str">
        <f t="shared" si="298"/>
        <v>InitEquipData('E120',400,"",,E121,,50,'','','','','','',"ReplaceableTextures\\CommandButtons\\BTNZ10.blp")</v>
      </c>
      <c r="CS47" s="66"/>
      <c r="CT47" s="66"/>
      <c r="CU47" s="68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pans="1:175" s="7" customFormat="1" ht="16.5">
      <c r="A48" s="11"/>
      <c r="B48" s="45" t="s">
        <v>270</v>
      </c>
      <c r="C48" s="3" t="s">
        <v>271</v>
      </c>
      <c r="D48" s="8">
        <v>500</v>
      </c>
      <c r="E48" s="47"/>
      <c r="F48" s="48"/>
      <c r="G48" s="49">
        <v>50</v>
      </c>
      <c r="H48" s="49"/>
      <c r="I48" s="49" t="str">
        <f t="shared" si="291"/>
        <v>E122</v>
      </c>
      <c r="J48" s="49"/>
      <c r="K48" s="49"/>
      <c r="L48" s="49"/>
      <c r="M48" s="49"/>
      <c r="N48" s="49"/>
      <c r="O48" s="49"/>
      <c r="P48" s="52"/>
      <c r="Q48" s="52"/>
      <c r="R48" s="52"/>
      <c r="S48" s="52"/>
      <c r="T48" s="55" t="str">
        <f t="shared" si="292"/>
        <v>|n攻击6%概率范围|cffff4646业力*15|r魔法伤害|n|n|Cff00ff7f击杀500只怪有50%概率升级|r</v>
      </c>
      <c r="U48" s="56" t="s">
        <v>272</v>
      </c>
      <c r="V48" s="57">
        <v>202500</v>
      </c>
      <c r="W48" s="57"/>
      <c r="X48"/>
      <c r="Y48" s="57"/>
      <c r="Z48" s="57">
        <v>675000</v>
      </c>
      <c r="AA48" s="57">
        <f>Z48-Z47</f>
        <v>225000</v>
      </c>
      <c r="AB48" s="57">
        <f t="shared" si="293"/>
        <v>13500</v>
      </c>
      <c r="AC48" s="57"/>
      <c r="AD48" s="57">
        <v>130</v>
      </c>
      <c r="AE48" s="57">
        <v>15</v>
      </c>
      <c r="AF48" s="57"/>
      <c r="AG48" s="61"/>
      <c r="AH48" s="57"/>
      <c r="AI48" s="57"/>
      <c r="AJ48" s="57"/>
      <c r="AK48" s="57"/>
      <c r="AL48" s="61"/>
      <c r="AM48" s="57"/>
      <c r="AN48" s="57"/>
      <c r="AO48" s="57"/>
      <c r="AP48" s="57"/>
      <c r="AQ48" s="57"/>
      <c r="AR48" s="63"/>
      <c r="AS48" s="63"/>
      <c r="AT48" s="57"/>
      <c r="AU48" s="57"/>
      <c r="AV48" s="57"/>
      <c r="AW48" s="57"/>
      <c r="AX48" s="57"/>
      <c r="AY48" s="57"/>
      <c r="AZ48" s="57"/>
      <c r="BA48" s="57"/>
      <c r="BB48" s="57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7"/>
      <c r="CF48" s="57"/>
      <c r="CG48" s="57"/>
      <c r="CH48" s="57"/>
      <c r="CI48" s="57"/>
      <c r="CJ48" s="57"/>
      <c r="CK48" s="57"/>
      <c r="CL48" s="57"/>
      <c r="CM48" s="57"/>
      <c r="CN48" s="66" t="str">
        <f t="shared" si="294"/>
        <v>InitUnitState('E121',202500,,,,675000,225000,13500,,130,15)</v>
      </c>
      <c r="CO48" s="66" t="str">
        <f t="shared" si="295"/>
        <v>InitUnitNormal('E121',,,,,,,,,,)</v>
      </c>
      <c r="CP48" s="66" t="str">
        <f t="shared" si="296"/>
        <v>InitUnitMagic('E121',,,,,,,,,,)</v>
      </c>
      <c r="CQ48" s="66" t="str">
        <f t="shared" si="297"/>
        <v>InitUnitAdd('E121',,,,,,,21,,,)</v>
      </c>
      <c r="CR48" s="66" t="str">
        <f t="shared" si="298"/>
        <v>InitEquipData('E121',500,"",,E122,,50,'','','','','','',"ReplaceableTextures\\CommandButtons\\BTNZ10.blp")</v>
      </c>
      <c r="CS48" s="66"/>
      <c r="CT48" s="66"/>
      <c r="CU48" s="68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pans="1:175" s="7" customFormat="1" ht="16.5">
      <c r="A49" s="11"/>
      <c r="B49" s="45" t="s">
        <v>273</v>
      </c>
      <c r="C49" s="3" t="s">
        <v>274</v>
      </c>
      <c r="D49" s="8">
        <v>500</v>
      </c>
      <c r="E49" s="47"/>
      <c r="F49" s="48"/>
      <c r="G49" s="49">
        <v>50</v>
      </c>
      <c r="H49" s="49"/>
      <c r="I49" s="49" t="str">
        <f t="shared" si="291"/>
        <v>E123</v>
      </c>
      <c r="J49" s="49"/>
      <c r="K49" s="49"/>
      <c r="L49" s="49"/>
      <c r="M49" s="49"/>
      <c r="N49" s="49"/>
      <c r="O49" s="49"/>
      <c r="P49" s="52"/>
      <c r="Q49" s="52"/>
      <c r="R49" s="52"/>
      <c r="S49" s="52"/>
      <c r="T49" s="55" t="str">
        <f t="shared" si="292"/>
        <v>|n攻击6%概率范围|cffff4646业力*15|r魔法伤害|n|n|Cff00ff7f击杀500只怪有50%概率升级|r</v>
      </c>
      <c r="U49" s="56" t="s">
        <v>272</v>
      </c>
      <c r="V49" s="57">
        <v>229500</v>
      </c>
      <c r="W49" s="57"/>
      <c r="X49" s="57"/>
      <c r="Y49" s="57"/>
      <c r="Z49" s="57">
        <v>765000</v>
      </c>
      <c r="AA49" s="57"/>
      <c r="AB49" s="57">
        <f t="shared" si="293"/>
        <v>15300</v>
      </c>
      <c r="AC49" s="57"/>
      <c r="AD49" s="57">
        <v>135</v>
      </c>
      <c r="AE49" s="57">
        <v>15</v>
      </c>
      <c r="AF49" s="57"/>
      <c r="AG49" s="61"/>
      <c r="AH49" s="57"/>
      <c r="AI49" s="57"/>
      <c r="AJ49" s="57"/>
      <c r="AK49" s="57"/>
      <c r="AL49" s="61"/>
      <c r="AM49" s="57"/>
      <c r="AN49" s="57"/>
      <c r="AO49" s="57"/>
      <c r="AP49" s="57"/>
      <c r="AQ49" s="57"/>
      <c r="AR49" s="63"/>
      <c r="AS49" s="63"/>
      <c r="AT49" s="57"/>
      <c r="AU49" s="57"/>
      <c r="AV49" s="57"/>
      <c r="AW49" s="57"/>
      <c r="AX49" s="57"/>
      <c r="AY49" s="57"/>
      <c r="AZ49" s="57"/>
      <c r="BA49" s="57"/>
      <c r="BB49" s="57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7"/>
      <c r="CF49" s="57"/>
      <c r="CG49" s="57"/>
      <c r="CH49" s="57"/>
      <c r="CI49" s="57"/>
      <c r="CJ49" s="57"/>
      <c r="CK49" s="57"/>
      <c r="CL49" s="57"/>
      <c r="CM49" s="57"/>
      <c r="CN49" s="66" t="str">
        <f t="shared" si="294"/>
        <v>InitUnitState('E122',229500,,,,765000,,15300,,135,15)</v>
      </c>
      <c r="CO49" s="66" t="str">
        <f t="shared" si="295"/>
        <v>InitUnitNormal('E122',,,,,,,,,,)</v>
      </c>
      <c r="CP49" s="66" t="str">
        <f t="shared" si="296"/>
        <v>InitUnitMagic('E122',,,,,,,,,,)</v>
      </c>
      <c r="CQ49" s="66" t="str">
        <f t="shared" si="297"/>
        <v>InitUnitAdd('E122',,,,,,,22,,,)</v>
      </c>
      <c r="CR49" s="66" t="str">
        <f t="shared" si="298"/>
        <v>InitEquipData('E122',500,"",,E123,,50,'','','','','','',"ReplaceableTextures\\CommandButtons\\BTNZ10.blp")</v>
      </c>
      <c r="CS49" s="66"/>
      <c r="CT49" s="66"/>
      <c r="CU49" s="68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pans="1:175" s="7" customFormat="1" ht="16.5">
      <c r="A50" s="11"/>
      <c r="B50" s="45" t="s">
        <v>275</v>
      </c>
      <c r="C50" s="3" t="s">
        <v>276</v>
      </c>
      <c r="D50" s="8">
        <v>500</v>
      </c>
      <c r="E50" s="47"/>
      <c r="F50" s="48"/>
      <c r="G50" s="49">
        <v>50</v>
      </c>
      <c r="H50" s="49"/>
      <c r="I50" s="49" t="str">
        <f t="shared" si="291"/>
        <v>E124</v>
      </c>
      <c r="J50" s="49"/>
      <c r="K50" s="49"/>
      <c r="L50" s="49"/>
      <c r="M50" s="49"/>
      <c r="N50" s="49"/>
      <c r="O50" s="49"/>
      <c r="P50" s="52"/>
      <c r="Q50" s="52"/>
      <c r="R50" s="52"/>
      <c r="S50" s="52"/>
      <c r="T50" s="55" t="str">
        <f t="shared" si="292"/>
        <v>|n攻击6%概率范围|cffff4646业力*15|r魔法伤害|n|n|Cff00ff7f击杀500只怪有50%概率升级|r</v>
      </c>
      <c r="U50" s="56" t="s">
        <v>272</v>
      </c>
      <c r="V50" s="57">
        <v>256500</v>
      </c>
      <c r="W50" s="57"/>
      <c r="X50" s="57"/>
      <c r="Y50" s="57"/>
      <c r="Z50" s="57">
        <v>855000</v>
      </c>
      <c r="AA50" s="57"/>
      <c r="AB50" s="57">
        <f t="shared" si="293"/>
        <v>17100</v>
      </c>
      <c r="AC50" s="57"/>
      <c r="AD50" s="57">
        <v>140</v>
      </c>
      <c r="AE50" s="57">
        <v>15</v>
      </c>
      <c r="AF50" s="57"/>
      <c r="AG50" s="61"/>
      <c r="AH50" s="57"/>
      <c r="AI50" s="57"/>
      <c r="AJ50" s="57"/>
      <c r="AK50" s="57"/>
      <c r="AL50" s="61"/>
      <c r="AM50" s="57"/>
      <c r="AN50" s="57"/>
      <c r="AO50" s="57"/>
      <c r="AP50" s="57"/>
      <c r="AQ50" s="57"/>
      <c r="AR50" s="63"/>
      <c r="AS50" s="63"/>
      <c r="AT50" s="57"/>
      <c r="AU50" s="57"/>
      <c r="AV50" s="57"/>
      <c r="AW50" s="57"/>
      <c r="AX50" s="57"/>
      <c r="AY50" s="57"/>
      <c r="AZ50" s="57"/>
      <c r="BA50" s="57"/>
      <c r="BB50" s="57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7"/>
      <c r="CF50" s="57"/>
      <c r="CG50" s="57"/>
      <c r="CH50" s="57"/>
      <c r="CI50" s="57"/>
      <c r="CJ50" s="57"/>
      <c r="CK50" s="57"/>
      <c r="CL50" s="57"/>
      <c r="CM50" s="57"/>
      <c r="CN50" s="66" t="str">
        <f t="shared" si="294"/>
        <v>InitUnitState('E123',256500,,,,855000,,17100,,140,15)</v>
      </c>
      <c r="CO50" s="66" t="str">
        <f t="shared" si="295"/>
        <v>InitUnitNormal('E123',,,,,,,,,,)</v>
      </c>
      <c r="CP50" s="66" t="str">
        <f t="shared" si="296"/>
        <v>InitUnitMagic('E123',,,,,,,,,,)</v>
      </c>
      <c r="CQ50" s="66" t="str">
        <f t="shared" si="297"/>
        <v>InitUnitAdd('E123',,,,,,,23,,,)</v>
      </c>
      <c r="CR50" s="66" t="str">
        <f t="shared" si="298"/>
        <v>InitEquipData('E123',500,"",,E124,,50,'','','','','','',"ReplaceableTextures\\CommandButtons\\BTNZ10.blp")</v>
      </c>
      <c r="CS50" s="66"/>
      <c r="CT50" s="66"/>
      <c r="CU50" s="68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pans="1:175" s="7" customFormat="1" ht="16.5">
      <c r="A51" s="11"/>
      <c r="B51" s="45" t="s">
        <v>277</v>
      </c>
      <c r="C51" s="3" t="s">
        <v>278</v>
      </c>
      <c r="D51" s="8">
        <v>500</v>
      </c>
      <c r="E51" s="47"/>
      <c r="F51" s="48"/>
      <c r="G51" s="49">
        <v>50</v>
      </c>
      <c r="H51" s="49"/>
      <c r="I51" s="49" t="str">
        <f t="shared" si="291"/>
        <v>E125</v>
      </c>
      <c r="J51" s="49"/>
      <c r="K51" s="49"/>
      <c r="L51" s="49"/>
      <c r="M51" s="49"/>
      <c r="N51" s="49"/>
      <c r="O51" s="49"/>
      <c r="P51" s="52"/>
      <c r="Q51" s="52"/>
      <c r="R51" s="52"/>
      <c r="S51" s="52"/>
      <c r="T51" s="55" t="str">
        <f t="shared" si="292"/>
        <v>|n攻击6%概率范围|cffff4646业力*15|r魔法伤害|n|n|Cff00ff7f击杀500只怪有50%概率升级|r</v>
      </c>
      <c r="U51" s="56" t="s">
        <v>272</v>
      </c>
      <c r="V51" s="57">
        <v>283500</v>
      </c>
      <c r="W51" s="57"/>
      <c r="X51" s="57"/>
      <c r="Y51" s="57"/>
      <c r="Z51" s="57">
        <v>945000</v>
      </c>
      <c r="AA51" s="57"/>
      <c r="AB51" s="57">
        <f t="shared" si="293"/>
        <v>18900</v>
      </c>
      <c r="AC51" s="57"/>
      <c r="AD51" s="57">
        <v>145</v>
      </c>
      <c r="AE51" s="57">
        <v>15</v>
      </c>
      <c r="AF51" s="57"/>
      <c r="AG51" s="61"/>
      <c r="AH51" s="57"/>
      <c r="AI51" s="57"/>
      <c r="AJ51" s="57"/>
      <c r="AK51" s="57"/>
      <c r="AL51" s="61"/>
      <c r="AM51" s="57"/>
      <c r="AN51" s="57"/>
      <c r="AO51" s="57"/>
      <c r="AP51" s="57"/>
      <c r="AQ51" s="57"/>
      <c r="AR51" s="63"/>
      <c r="AS51" s="63"/>
      <c r="AT51" s="57"/>
      <c r="AU51" s="57"/>
      <c r="AV51" s="57"/>
      <c r="AW51" s="57"/>
      <c r="AX51" s="57"/>
      <c r="AY51" s="57"/>
      <c r="AZ51" s="57"/>
      <c r="BA51" s="57"/>
      <c r="BB51" s="57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7"/>
      <c r="CF51" s="57"/>
      <c r="CG51" s="57"/>
      <c r="CH51" s="57"/>
      <c r="CI51" s="57"/>
      <c r="CJ51" s="57"/>
      <c r="CK51" s="57"/>
      <c r="CL51" s="57"/>
      <c r="CM51" s="57"/>
      <c r="CN51" s="66" t="str">
        <f t="shared" si="294"/>
        <v>InitUnitState('E124',283500,,,,945000,,18900,,145,15)</v>
      </c>
      <c r="CO51" s="66" t="str">
        <f t="shared" si="295"/>
        <v>InitUnitNormal('E124',,,,,,,,,,)</v>
      </c>
      <c r="CP51" s="66" t="str">
        <f t="shared" si="296"/>
        <v>InitUnitMagic('E124',,,,,,,,,,)</v>
      </c>
      <c r="CQ51" s="66" t="str">
        <f t="shared" si="297"/>
        <v>InitUnitAdd('E124',,,,,,,24,,,)</v>
      </c>
      <c r="CR51" s="66" t="str">
        <f t="shared" si="298"/>
        <v>InitEquipData('E124',500,"",,E125,,50,'','','','','','',"ReplaceableTextures\\CommandButtons\\BTNZ10.blp")</v>
      </c>
      <c r="CS51" s="66"/>
      <c r="CT51" s="66"/>
      <c r="CU51" s="68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pans="1:175" s="7" customFormat="1" ht="16.5">
      <c r="A52" s="11"/>
      <c r="B52" s="45" t="s">
        <v>279</v>
      </c>
      <c r="C52" s="3" t="s">
        <v>280</v>
      </c>
      <c r="D52" s="8"/>
      <c r="E52" s="47"/>
      <c r="F52" s="48"/>
      <c r="G52" s="49"/>
      <c r="H52" s="49"/>
      <c r="I52" s="49"/>
      <c r="J52" s="49"/>
      <c r="K52" s="49"/>
      <c r="L52" s="49"/>
      <c r="M52" s="49"/>
      <c r="N52" s="49"/>
      <c r="O52" s="49"/>
      <c r="P52" s="52"/>
      <c r="Q52" s="52"/>
      <c r="R52" s="52"/>
      <c r="S52" s="52"/>
      <c r="T52" s="55" t="str">
        <f>"|n攻击6%概率范围|cffff4646业力*15|r魔法伤害"</f>
        <v>|n攻击6%概率范围|cffff4646业力*15|r魔法伤害</v>
      </c>
      <c r="U52" s="56" t="s">
        <v>272</v>
      </c>
      <c r="V52" s="57">
        <v>337500</v>
      </c>
      <c r="W52" s="57"/>
      <c r="X52"/>
      <c r="Y52" s="57"/>
      <c r="Z52" s="57">
        <v>1125000</v>
      </c>
      <c r="AA52" s="57"/>
      <c r="AB52" s="57">
        <f t="shared" si="293"/>
        <v>22500</v>
      </c>
      <c r="AC52" s="57"/>
      <c r="AD52" s="57">
        <v>150</v>
      </c>
      <c r="AE52" s="57">
        <v>15</v>
      </c>
      <c r="AF52" s="57"/>
      <c r="AG52" s="61"/>
      <c r="AH52" s="57"/>
      <c r="AI52" s="57"/>
      <c r="AJ52" s="57"/>
      <c r="AK52" s="57"/>
      <c r="AL52" s="61"/>
      <c r="AM52" s="57"/>
      <c r="AN52" s="57"/>
      <c r="AO52" s="57"/>
      <c r="AP52" s="57"/>
      <c r="AQ52" s="57"/>
      <c r="AR52" s="63"/>
      <c r="AS52" s="63"/>
      <c r="AT52" s="57"/>
      <c r="AU52" s="57"/>
      <c r="AV52" s="57"/>
      <c r="AW52" s="57"/>
      <c r="AX52" s="57"/>
      <c r="AY52" s="57"/>
      <c r="AZ52" s="57"/>
      <c r="BA52" s="57"/>
      <c r="BB52" s="57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7"/>
      <c r="CF52" s="57"/>
      <c r="CG52" s="57"/>
      <c r="CH52" s="57"/>
      <c r="CI52" s="57"/>
      <c r="CJ52" s="57"/>
      <c r="CK52" s="57"/>
      <c r="CL52" s="57"/>
      <c r="CM52" s="57"/>
      <c r="CN52" s="66" t="str">
        <f t="shared" si="294"/>
        <v>InitUnitState('E125',337500,,,,1125000,,22500,,150,15)</v>
      </c>
      <c r="CO52" s="66" t="str">
        <f t="shared" si="295"/>
        <v>InitUnitNormal('E125',,,,,,,,,,)</v>
      </c>
      <c r="CP52" s="66" t="str">
        <f t="shared" si="296"/>
        <v>InitUnitMagic('E125',,,,,,,,,,)</v>
      </c>
      <c r="CQ52" s="66" t="str">
        <f t="shared" si="297"/>
        <v>InitUnitAdd('E125',,,,,,,25,,,)</v>
      </c>
      <c r="CR52" s="66" t="str">
        <f t="shared" si="298"/>
        <v>InitEquipData('E125',,"",,,,,'','','','','','',"ReplaceableTextures\\CommandButtons\\BTNZ11.blp")</v>
      </c>
      <c r="CS52" s="66"/>
      <c r="CT52" s="66"/>
      <c r="CU52" s="68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pans="1:175" s="7" customFormat="1" ht="16.5">
      <c r="A53" s="11"/>
      <c r="B53" s="45" t="s">
        <v>281</v>
      </c>
      <c r="C53" s="11" t="s">
        <v>282</v>
      </c>
      <c r="D53" s="46"/>
      <c r="E53" s="47"/>
      <c r="F53" s="48">
        <v>800</v>
      </c>
      <c r="G53" s="49">
        <v>100</v>
      </c>
      <c r="H53" s="49"/>
      <c r="I53" s="49" t="str">
        <f>B54</f>
        <v>E202</v>
      </c>
      <c r="J53" s="49"/>
      <c r="K53" s="49"/>
      <c r="L53" s="49"/>
      <c r="M53" s="49"/>
      <c r="N53" s="49"/>
      <c r="O53" s="49"/>
      <c r="P53" s="52"/>
      <c r="Q53" s="52"/>
      <c r="R53" s="52"/>
      <c r="S53" s="52"/>
      <c r="T53" s="55"/>
      <c r="U53" s="56" t="s">
        <v>283</v>
      </c>
      <c r="V53" s="57"/>
      <c r="W53" s="57"/>
      <c r="X53" s="57">
        <v>30</v>
      </c>
      <c r="Y53" s="57"/>
      <c r="Z53" s="57">
        <v>750</v>
      </c>
      <c r="AA53" s="57"/>
      <c r="AB53" s="57">
        <f t="shared" si="293"/>
        <v>15</v>
      </c>
      <c r="AC53" s="57"/>
      <c r="AD53" s="57"/>
      <c r="AE53" s="57"/>
      <c r="AF53" s="57"/>
      <c r="AG53" s="61"/>
      <c r="AH53" s="57"/>
      <c r="AI53" s="57"/>
      <c r="AJ53" s="57"/>
      <c r="AK53" s="57"/>
      <c r="AL53" s="61"/>
      <c r="AM53" s="57"/>
      <c r="AN53" s="57"/>
      <c r="AO53" s="57"/>
      <c r="AP53" s="57"/>
      <c r="AQ53" s="57"/>
      <c r="AR53" s="63"/>
      <c r="AS53" s="63"/>
      <c r="AT53" s="57"/>
      <c r="AU53" s="57"/>
      <c r="AV53" s="57"/>
      <c r="AW53" s="57"/>
      <c r="AX53" s="57"/>
      <c r="AY53" s="57"/>
      <c r="AZ53" s="57"/>
      <c r="BA53" s="57"/>
      <c r="BB53" s="57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7"/>
      <c r="CF53" s="57"/>
      <c r="CG53" s="57"/>
      <c r="CH53" s="57"/>
      <c r="CI53" s="57"/>
      <c r="CJ53" s="57"/>
      <c r="CK53" s="57"/>
      <c r="CL53" s="57"/>
      <c r="CM53" s="57"/>
      <c r="CN53" s="66" t="str">
        <f t="shared" si="294"/>
        <v>InitUnitState('E201',,,30,,750,,15,,,)</v>
      </c>
      <c r="CO53" s="66" t="str">
        <f t="shared" si="295"/>
        <v>InitUnitNormal('E201',,,,,,,,,,)</v>
      </c>
      <c r="CP53" s="66" t="str">
        <f t="shared" si="296"/>
        <v>InitUnitMagic('E201',,,,,,,,,,)</v>
      </c>
      <c r="CQ53" s="66" t="str">
        <f t="shared" si="297"/>
        <v>InitUnitAdd('E201',,,,,,,,,,)</v>
      </c>
      <c r="CR53" s="6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6"/>
      <c r="CT53" s="66"/>
      <c r="CU53" s="68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pans="1:175" s="7" customFormat="1" ht="16.5">
      <c r="A54" s="11"/>
      <c r="B54" s="45" t="s">
        <v>284</v>
      </c>
      <c r="C54" s="11" t="s">
        <v>285</v>
      </c>
      <c r="D54" s="46"/>
      <c r="E54" s="47"/>
      <c r="F54" s="48">
        <v>800</v>
      </c>
      <c r="G54" s="49">
        <v>100</v>
      </c>
      <c r="H54" s="49"/>
      <c r="I54" s="49" t="str">
        <f t="shared" ref="I54:I76" si="440">B55</f>
        <v>E203</v>
      </c>
      <c r="J54" s="49"/>
      <c r="K54" s="49"/>
      <c r="L54" s="49"/>
      <c r="M54" s="49"/>
      <c r="N54" s="49"/>
      <c r="O54" s="49"/>
      <c r="P54" s="52"/>
      <c r="Q54" s="52"/>
      <c r="R54" s="52"/>
      <c r="S54" s="52"/>
      <c r="T54" s="55"/>
      <c r="U54" s="56" t="s">
        <v>283</v>
      </c>
      <c r="V54" s="57"/>
      <c r="W54" s="57"/>
      <c r="X54" s="57">
        <v>60</v>
      </c>
      <c r="Y54" s="57"/>
      <c r="Z54" s="57">
        <v>1500</v>
      </c>
      <c r="AA54" s="57"/>
      <c r="AB54" s="57">
        <f t="shared" si="293"/>
        <v>30</v>
      </c>
      <c r="AC54" s="57"/>
      <c r="AD54" s="57"/>
      <c r="AE54" s="57"/>
      <c r="AF54" s="57"/>
      <c r="AG54" s="61"/>
      <c r="AH54" s="57"/>
      <c r="AI54" s="57"/>
      <c r="AJ54" s="57"/>
      <c r="AK54" s="57"/>
      <c r="AL54" s="61"/>
      <c r="AM54" s="57"/>
      <c r="AN54" s="57"/>
      <c r="AO54" s="57"/>
      <c r="AP54" s="57"/>
      <c r="AQ54" s="57"/>
      <c r="AR54" s="63"/>
      <c r="AS54" s="63"/>
      <c r="AT54" s="57"/>
      <c r="AU54" s="57"/>
      <c r="AV54" s="57"/>
      <c r="AW54" s="57"/>
      <c r="AX54" s="57"/>
      <c r="AY54" s="57"/>
      <c r="AZ54" s="57"/>
      <c r="BA54" s="57"/>
      <c r="BB54" s="57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7"/>
      <c r="CF54" s="57"/>
      <c r="CG54" s="57"/>
      <c r="CH54" s="57"/>
      <c r="CI54" s="57"/>
      <c r="CJ54" s="57"/>
      <c r="CK54" s="57"/>
      <c r="CL54" s="57"/>
      <c r="CM54" s="57"/>
      <c r="CN54" s="66" t="str">
        <f t="shared" si="294"/>
        <v>InitUnitState('E202',,,60,,1500,,30,,,)</v>
      </c>
      <c r="CO54" s="66" t="str">
        <f t="shared" si="295"/>
        <v>InitUnitNormal('E202',,,,,,,,,,)</v>
      </c>
      <c r="CP54" s="66" t="str">
        <f t="shared" si="296"/>
        <v>InitUnitMagic('E202',,,,,,,,,,)</v>
      </c>
      <c r="CQ54" s="66" t="str">
        <f t="shared" si="297"/>
        <v>InitUnitAdd('E202',,,,,,,,,,)</v>
      </c>
      <c r="CR54" s="6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6"/>
      <c r="CT54" s="66"/>
      <c r="CU54" s="68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pans="1:175" s="7" customFormat="1" ht="16.5">
      <c r="A55" s="11"/>
      <c r="B55" s="45" t="s">
        <v>286</v>
      </c>
      <c r="C55" s="11" t="s">
        <v>287</v>
      </c>
      <c r="D55" s="46"/>
      <c r="E55" s="47"/>
      <c r="F55" s="48">
        <v>800</v>
      </c>
      <c r="G55" s="49">
        <v>100</v>
      </c>
      <c r="H55" s="49"/>
      <c r="I55" s="49" t="str">
        <f t="shared" si="440"/>
        <v>E204</v>
      </c>
      <c r="J55" s="49"/>
      <c r="K55" s="49"/>
      <c r="L55" s="49"/>
      <c r="M55" s="49"/>
      <c r="N55" s="49"/>
      <c r="O55" s="49"/>
      <c r="P55" s="52"/>
      <c r="Q55" s="52"/>
      <c r="R55" s="52"/>
      <c r="S55" s="52"/>
      <c r="T55" s="55"/>
      <c r="U55" s="56" t="s">
        <v>283</v>
      </c>
      <c r="V55" s="57"/>
      <c r="W55" s="57"/>
      <c r="X55" s="57">
        <v>90</v>
      </c>
      <c r="Y55" s="57"/>
      <c r="Z55" s="57">
        <v>2250</v>
      </c>
      <c r="AA55" s="57"/>
      <c r="AB55" s="57">
        <f t="shared" si="293"/>
        <v>45</v>
      </c>
      <c r="AC55" s="57"/>
      <c r="AD55" s="57"/>
      <c r="AE55" s="57"/>
      <c r="AF55" s="57"/>
      <c r="AG55" s="61"/>
      <c r="AH55" s="57"/>
      <c r="AI55" s="57"/>
      <c r="AJ55" s="57"/>
      <c r="AK55" s="57"/>
      <c r="AL55" s="61"/>
      <c r="AM55" s="57"/>
      <c r="AN55" s="57"/>
      <c r="AO55" s="57"/>
      <c r="AP55" s="57"/>
      <c r="AQ55" s="57"/>
      <c r="AR55" s="63"/>
      <c r="AS55" s="63"/>
      <c r="AT55" s="57"/>
      <c r="AU55" s="57"/>
      <c r="AV55" s="57"/>
      <c r="AW55" s="57"/>
      <c r="AX55" s="57"/>
      <c r="AY55" s="57"/>
      <c r="AZ55" s="57"/>
      <c r="BA55" s="57"/>
      <c r="BB55" s="57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7"/>
      <c r="CF55" s="57"/>
      <c r="CG55" s="57"/>
      <c r="CH55" s="57"/>
      <c r="CI55" s="57"/>
      <c r="CJ55" s="57"/>
      <c r="CK55" s="57"/>
      <c r="CL55" s="57"/>
      <c r="CM55" s="57"/>
      <c r="CN55" s="66" t="str">
        <f t="shared" si="294"/>
        <v>InitUnitState('E203',,,90,,2250,,45,,,)</v>
      </c>
      <c r="CO55" s="66" t="str">
        <f t="shared" si="295"/>
        <v>InitUnitNormal('E203',,,,,,,,,,)</v>
      </c>
      <c r="CP55" s="66" t="str">
        <f t="shared" si="296"/>
        <v>InitUnitMagic('E203',,,,,,,,,,)</v>
      </c>
      <c r="CQ55" s="66" t="str">
        <f t="shared" si="297"/>
        <v>InitUnitAdd('E203',,,,,,,,,,)</v>
      </c>
      <c r="CR55" s="66" t="str">
        <f t="shared" si="441"/>
        <v>InitEquipData('E203',,"",,E204,800,100,'','','','','','',"ReplaceableTextures\\CommandButtons\\BTNZ13.blp")</v>
      </c>
      <c r="CS55" s="66"/>
      <c r="CT55" s="66"/>
      <c r="CU55" s="68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pans="1:175" s="7" customFormat="1" ht="16.5">
      <c r="A56" s="11"/>
      <c r="B56" s="45" t="s">
        <v>288</v>
      </c>
      <c r="C56" s="11" t="s">
        <v>289</v>
      </c>
      <c r="D56" s="46"/>
      <c r="E56" s="47"/>
      <c r="F56" s="48">
        <v>800</v>
      </c>
      <c r="G56" s="49">
        <v>100</v>
      </c>
      <c r="H56" s="49"/>
      <c r="I56" s="49" t="str">
        <f t="shared" si="440"/>
        <v>E205</v>
      </c>
      <c r="J56" s="49"/>
      <c r="K56" s="49"/>
      <c r="L56" s="49"/>
      <c r="M56" s="49"/>
      <c r="N56" s="49"/>
      <c r="O56" s="49"/>
      <c r="P56" s="52"/>
      <c r="Q56" s="52"/>
      <c r="R56" s="52"/>
      <c r="S56" s="52"/>
      <c r="T56" s="55"/>
      <c r="U56" s="56" t="s">
        <v>283</v>
      </c>
      <c r="V56" s="57"/>
      <c r="W56" s="57"/>
      <c r="X56" s="57">
        <v>120</v>
      </c>
      <c r="Y56" s="57"/>
      <c r="Z56" s="57">
        <v>3750</v>
      </c>
      <c r="AA56" s="57"/>
      <c r="AB56" s="57">
        <f t="shared" si="293"/>
        <v>75</v>
      </c>
      <c r="AC56" s="57"/>
      <c r="AD56" s="57"/>
      <c r="AE56" s="57"/>
      <c r="AF56" s="57"/>
      <c r="AG56" s="61"/>
      <c r="AH56" s="57"/>
      <c r="AI56" s="57"/>
      <c r="AJ56" s="57"/>
      <c r="AK56" s="57"/>
      <c r="AL56" s="61"/>
      <c r="AM56" s="57"/>
      <c r="AN56" s="57"/>
      <c r="AO56" s="57"/>
      <c r="AP56" s="57"/>
      <c r="AQ56" s="57"/>
      <c r="AR56" s="63"/>
      <c r="AS56" s="63"/>
      <c r="AT56" s="57"/>
      <c r="AU56" s="57"/>
      <c r="AV56" s="57"/>
      <c r="AW56" s="57"/>
      <c r="AX56" s="57"/>
      <c r="AY56" s="57"/>
      <c r="AZ56" s="57"/>
      <c r="BA56" s="57"/>
      <c r="BB56" s="57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7"/>
      <c r="CF56" s="57"/>
      <c r="CG56" s="57"/>
      <c r="CH56" s="57"/>
      <c r="CI56" s="57"/>
      <c r="CJ56" s="57"/>
      <c r="CK56" s="57"/>
      <c r="CL56" s="57"/>
      <c r="CM56" s="57"/>
      <c r="CN56" s="66" t="str">
        <f t="shared" si="294"/>
        <v>InitUnitState('E204',,,120,,3750,,75,,,)</v>
      </c>
      <c r="CO56" s="66" t="str">
        <f t="shared" si="295"/>
        <v>InitUnitNormal('E204',,,,,,,,,,)</v>
      </c>
      <c r="CP56" s="66" t="str">
        <f t="shared" si="296"/>
        <v>InitUnitMagic('E204',,,,,,,,,,)</v>
      </c>
      <c r="CQ56" s="66" t="str">
        <f t="shared" si="297"/>
        <v>InitUnitAdd('E204',,,,,,,,,,)</v>
      </c>
      <c r="CR56" s="66" t="str">
        <f t="shared" si="441"/>
        <v>InitEquipData('E204',,"",,E205,800,100,'','','','','','',"ReplaceableTextures\\CommandButtons\\BTNZ13.blp")</v>
      </c>
      <c r="CS56" s="66"/>
      <c r="CT56" s="66"/>
      <c r="CU56" s="68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pans="1:175" s="7" customFormat="1" ht="16.5">
      <c r="A57" s="11"/>
      <c r="B57" s="45" t="s">
        <v>290</v>
      </c>
      <c r="C57" s="11" t="s">
        <v>291</v>
      </c>
      <c r="D57" s="46"/>
      <c r="E57" s="47"/>
      <c r="F57" s="48">
        <v>2500</v>
      </c>
      <c r="G57" s="49">
        <v>100</v>
      </c>
      <c r="H57" s="50" t="s">
        <v>292</v>
      </c>
      <c r="I57" s="49" t="str">
        <f t="shared" si="440"/>
        <v>E206</v>
      </c>
      <c r="J57" s="49"/>
      <c r="K57" s="49"/>
      <c r="L57" s="49"/>
      <c r="M57" s="49"/>
      <c r="N57" s="49"/>
      <c r="O57" s="49"/>
      <c r="P57" s="52"/>
      <c r="Q57" s="52"/>
      <c r="R57" s="52"/>
      <c r="S57" s="52"/>
      <c r="T57" s="55"/>
      <c r="U57" s="56" t="s">
        <v>283</v>
      </c>
      <c r="V57" s="57"/>
      <c r="W57" s="57"/>
      <c r="X57" s="57">
        <v>150</v>
      </c>
      <c r="Y57" s="57"/>
      <c r="Z57" s="57">
        <v>5250</v>
      </c>
      <c r="AA57" s="57"/>
      <c r="AB57" s="57">
        <f t="shared" si="293"/>
        <v>105</v>
      </c>
      <c r="AC57" s="57"/>
      <c r="AD57" s="57"/>
      <c r="AE57" s="57"/>
      <c r="AF57" s="57"/>
      <c r="AG57" s="61"/>
      <c r="AH57" s="57"/>
      <c r="AI57" s="57"/>
      <c r="AJ57" s="57"/>
      <c r="AK57" s="57"/>
      <c r="AL57" s="61"/>
      <c r="AM57" s="57"/>
      <c r="AN57" s="57"/>
      <c r="AO57" s="57"/>
      <c r="AP57" s="57"/>
      <c r="AQ57" s="57"/>
      <c r="AR57" s="63"/>
      <c r="AS57" s="63"/>
      <c r="AT57" s="57"/>
      <c r="AU57" s="57"/>
      <c r="AV57" s="57"/>
      <c r="AW57" s="57"/>
      <c r="AX57" s="57"/>
      <c r="AY57" s="57"/>
      <c r="AZ57" s="57"/>
      <c r="BA57" s="57"/>
      <c r="BB57" s="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7"/>
      <c r="CF57" s="57"/>
      <c r="CG57" s="57"/>
      <c r="CH57" s="57"/>
      <c r="CI57" s="57"/>
      <c r="CJ57" s="57"/>
      <c r="CK57" s="57"/>
      <c r="CL57" s="57"/>
      <c r="CM57" s="57"/>
      <c r="CN57" s="66" t="str">
        <f t="shared" si="294"/>
        <v>InitUnitState('E205',,,150,,5250,,105,,,)</v>
      </c>
      <c r="CO57" s="66" t="str">
        <f t="shared" si="295"/>
        <v>InitUnitNormal('E205',,,,,,,,,,)</v>
      </c>
      <c r="CP57" s="66" t="str">
        <f t="shared" si="296"/>
        <v>InitUnitMagic('E205',,,,,,,,,,)</v>
      </c>
      <c r="CQ57" s="66" t="str">
        <f t="shared" si="297"/>
        <v>InitUnitAdd('E205',,,,,,,,,,)</v>
      </c>
      <c r="CR57" s="66" t="str">
        <f t="shared" si="441"/>
        <v>InitEquipData('E205',,"",,E206,2500,100,'','','','','','',"ReplaceableTextures\\CommandButtons\\BTNZ13.blp")</v>
      </c>
      <c r="CS57" s="66"/>
      <c r="CT57" s="66"/>
      <c r="CU57" s="68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pans="1:175" s="7" customFormat="1" ht="16.5">
      <c r="A58" s="11"/>
      <c r="B58" s="45" t="s">
        <v>293</v>
      </c>
      <c r="C58" s="11" t="s">
        <v>294</v>
      </c>
      <c r="D58" s="46"/>
      <c r="E58" s="47"/>
      <c r="F58" s="48">
        <v>2500</v>
      </c>
      <c r="G58" s="49">
        <v>85</v>
      </c>
      <c r="H58" s="49"/>
      <c r="I58" s="49" t="str">
        <f t="shared" si="440"/>
        <v>E207</v>
      </c>
      <c r="J58" s="49"/>
      <c r="K58" s="49"/>
      <c r="L58" s="49"/>
      <c r="M58" s="49"/>
      <c r="N58" s="49"/>
      <c r="O58" s="49"/>
      <c r="P58" s="52"/>
      <c r="Q58" s="52"/>
      <c r="R58" s="52"/>
      <c r="S58" s="52"/>
      <c r="T58" s="55"/>
      <c r="U58" s="56" t="s">
        <v>295</v>
      </c>
      <c r="V58" s="57"/>
      <c r="W58" s="57"/>
      <c r="X58" s="57">
        <v>200</v>
      </c>
      <c r="Y58" s="57"/>
      <c r="Z58" s="57">
        <v>7500</v>
      </c>
      <c r="AA58" s="57"/>
      <c r="AB58" s="57">
        <f t="shared" si="293"/>
        <v>150</v>
      </c>
      <c r="AC58" s="57"/>
      <c r="AD58" s="57"/>
      <c r="AE58" s="57"/>
      <c r="AF58" s="57"/>
      <c r="AG58" s="61"/>
      <c r="AH58" s="57"/>
      <c r="AI58" s="57"/>
      <c r="AJ58" s="57"/>
      <c r="AK58" s="57"/>
      <c r="AL58" s="61"/>
      <c r="AM58" s="57"/>
      <c r="AN58" s="57"/>
      <c r="AO58" s="57"/>
      <c r="AP58" s="57"/>
      <c r="AQ58" s="57"/>
      <c r="AR58" s="63"/>
      <c r="AS58" s="63"/>
      <c r="AT58" s="57"/>
      <c r="AU58" s="57"/>
      <c r="AV58" s="57"/>
      <c r="AW58" s="57">
        <v>1</v>
      </c>
      <c r="AX58" s="57"/>
      <c r="AY58" s="57"/>
      <c r="AZ58" s="57"/>
      <c r="BA58" s="57"/>
      <c r="BB58" s="57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7"/>
      <c r="CF58" s="57"/>
      <c r="CG58" s="57"/>
      <c r="CH58" s="57"/>
      <c r="CI58" s="57"/>
      <c r="CJ58" s="57"/>
      <c r="CK58" s="57"/>
      <c r="CL58" s="57"/>
      <c r="CM58" s="57"/>
      <c r="CN58" s="66" t="str">
        <f t="shared" si="294"/>
        <v>InitUnitState('E206',,,200,,7500,,150,,,)</v>
      </c>
      <c r="CO58" s="66" t="str">
        <f t="shared" si="295"/>
        <v>InitUnitNormal('E206',,,,,,,,,,)</v>
      </c>
      <c r="CP58" s="66" t="str">
        <f t="shared" si="296"/>
        <v>InitUnitMagic('E206',,,,,,,,1,,)</v>
      </c>
      <c r="CQ58" s="66" t="str">
        <f t="shared" si="297"/>
        <v>InitUnitAdd('E206',,,,,,,,,,)</v>
      </c>
      <c r="CR58" s="66" t="str">
        <f t="shared" si="441"/>
        <v>InitEquipData('E206',,"",,E207,2500,85,'','','','','','',"ReplaceableTextures\\CommandButtons\\BTNZ13.blp")</v>
      </c>
      <c r="CS58" s="66"/>
      <c r="CT58" s="66"/>
      <c r="CU58" s="68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pans="1:175" s="7" customFormat="1" ht="16.5">
      <c r="A59" s="11"/>
      <c r="B59" s="45" t="s">
        <v>296</v>
      </c>
      <c r="C59" s="11" t="s">
        <v>297</v>
      </c>
      <c r="D59" s="46"/>
      <c r="E59" s="47"/>
      <c r="F59" s="48">
        <v>2500</v>
      </c>
      <c r="G59" s="49">
        <v>85</v>
      </c>
      <c r="H59" s="49"/>
      <c r="I59" s="49" t="str">
        <f t="shared" si="440"/>
        <v>E208</v>
      </c>
      <c r="J59" s="49"/>
      <c r="K59" s="49"/>
      <c r="L59" s="49"/>
      <c r="M59" s="49"/>
      <c r="N59" s="49"/>
      <c r="O59" s="49"/>
      <c r="P59" s="52"/>
      <c r="Q59" s="52"/>
      <c r="R59" s="52"/>
      <c r="S59" s="52"/>
      <c r="T59" s="55"/>
      <c r="U59" s="56" t="s">
        <v>295</v>
      </c>
      <c r="V59" s="57"/>
      <c r="W59" s="57"/>
      <c r="X59" s="57">
        <v>260</v>
      </c>
      <c r="Y59" s="57"/>
      <c r="Z59" s="57">
        <v>12000</v>
      </c>
      <c r="AA59" s="57"/>
      <c r="AB59" s="57">
        <f t="shared" si="293"/>
        <v>240</v>
      </c>
      <c r="AC59" s="57"/>
      <c r="AD59" s="57"/>
      <c r="AE59" s="57"/>
      <c r="AF59" s="57"/>
      <c r="AG59" s="61"/>
      <c r="AH59" s="57"/>
      <c r="AI59" s="57"/>
      <c r="AJ59" s="57"/>
      <c r="AK59" s="57"/>
      <c r="AL59" s="61"/>
      <c r="AM59" s="57"/>
      <c r="AN59" s="57"/>
      <c r="AO59" s="57"/>
      <c r="AP59" s="57"/>
      <c r="AQ59" s="57"/>
      <c r="AR59" s="63"/>
      <c r="AS59" s="63"/>
      <c r="AT59" s="57"/>
      <c r="AU59" s="57"/>
      <c r="AV59" s="57"/>
      <c r="AW59" s="57">
        <v>1</v>
      </c>
      <c r="AX59" s="57"/>
      <c r="AY59" s="57"/>
      <c r="AZ59" s="57"/>
      <c r="BA59" s="57"/>
      <c r="BB59" s="57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7"/>
      <c r="CF59" s="57"/>
      <c r="CG59" s="57"/>
      <c r="CH59" s="57"/>
      <c r="CI59" s="57"/>
      <c r="CJ59" s="57"/>
      <c r="CK59" s="57"/>
      <c r="CL59" s="57"/>
      <c r="CM59" s="57"/>
      <c r="CN59" s="66" t="str">
        <f t="shared" si="294"/>
        <v>InitUnitState('E207',,,260,,12000,,240,,,)</v>
      </c>
      <c r="CO59" s="66" t="str">
        <f t="shared" si="295"/>
        <v>InitUnitNormal('E207',,,,,,,,,,)</v>
      </c>
      <c r="CP59" s="66" t="str">
        <f t="shared" si="296"/>
        <v>InitUnitMagic('E207',,,,,,,,1,,)</v>
      </c>
      <c r="CQ59" s="66" t="str">
        <f t="shared" si="297"/>
        <v>InitUnitAdd('E207',,,,,,,,,,)</v>
      </c>
      <c r="CR59" s="66" t="str">
        <f t="shared" si="441"/>
        <v>InitEquipData('E207',,"",,E208,2500,85,'','','','','','',"ReplaceableTextures\\CommandButtons\\BTNZ14.blp")</v>
      </c>
      <c r="CS59" s="66"/>
      <c r="CT59" s="66"/>
      <c r="CU59" s="68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pans="1:175" s="7" customFormat="1" ht="16.5">
      <c r="A60" s="11"/>
      <c r="B60" s="45" t="s">
        <v>298</v>
      </c>
      <c r="C60" s="11" t="s">
        <v>299</v>
      </c>
      <c r="D60" s="46"/>
      <c r="E60" s="47"/>
      <c r="F60" s="48">
        <v>2500</v>
      </c>
      <c r="G60" s="49">
        <v>85</v>
      </c>
      <c r="H60" s="49"/>
      <c r="I60" s="49" t="str">
        <f t="shared" si="440"/>
        <v>E209</v>
      </c>
      <c r="J60" s="49"/>
      <c r="K60" s="49"/>
      <c r="L60" s="49"/>
      <c r="M60" s="49"/>
      <c r="N60" s="49"/>
      <c r="O60" s="49"/>
      <c r="P60" s="52"/>
      <c r="Q60" s="52"/>
      <c r="R60" s="52"/>
      <c r="S60" s="52"/>
      <c r="T60" s="55"/>
      <c r="U60" s="56" t="s">
        <v>295</v>
      </c>
      <c r="V60" s="57"/>
      <c r="W60" s="57"/>
      <c r="X60" s="57">
        <v>320</v>
      </c>
      <c r="Y60" s="57"/>
      <c r="Z60" s="57">
        <v>16500</v>
      </c>
      <c r="AA60" s="57"/>
      <c r="AB60" s="57">
        <f t="shared" si="293"/>
        <v>330</v>
      </c>
      <c r="AC60" s="57"/>
      <c r="AD60" s="57"/>
      <c r="AE60" s="57"/>
      <c r="AF60" s="57"/>
      <c r="AG60" s="61"/>
      <c r="AH60" s="57"/>
      <c r="AI60" s="57"/>
      <c r="AJ60" s="57"/>
      <c r="AK60" s="57"/>
      <c r="AL60" s="61"/>
      <c r="AM60" s="57"/>
      <c r="AN60" s="57"/>
      <c r="AO60" s="57"/>
      <c r="AP60" s="57"/>
      <c r="AQ60" s="57"/>
      <c r="AR60" s="63"/>
      <c r="AS60" s="63"/>
      <c r="AT60" s="57"/>
      <c r="AU60" s="57"/>
      <c r="AV60" s="57"/>
      <c r="AW60" s="57">
        <v>1</v>
      </c>
      <c r="AX60" s="57"/>
      <c r="AY60" s="57"/>
      <c r="AZ60" s="57"/>
      <c r="BA60" s="57"/>
      <c r="BB60" s="57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7"/>
      <c r="CF60" s="57"/>
      <c r="CG60" s="57"/>
      <c r="CH60" s="57"/>
      <c r="CI60" s="57"/>
      <c r="CJ60" s="57"/>
      <c r="CK60" s="57"/>
      <c r="CL60" s="57"/>
      <c r="CM60" s="57"/>
      <c r="CN60" s="66" t="str">
        <f t="shared" si="294"/>
        <v>InitUnitState('E208',,,320,,16500,,330,,,)</v>
      </c>
      <c r="CO60" s="66" t="str">
        <f t="shared" si="295"/>
        <v>InitUnitNormal('E208',,,,,,,,,,)</v>
      </c>
      <c r="CP60" s="66" t="str">
        <f t="shared" si="296"/>
        <v>InitUnitMagic('E208',,,,,,,,1,,)</v>
      </c>
      <c r="CQ60" s="66" t="str">
        <f t="shared" si="297"/>
        <v>InitUnitAdd('E208',,,,,,,,,,)</v>
      </c>
      <c r="CR60" s="66" t="str">
        <f t="shared" si="441"/>
        <v>InitEquipData('E208',,"",,E209,2500,85,'','','','','','',"ReplaceableTextures\\CommandButtons\\BTNZ14.blp")</v>
      </c>
      <c r="CS60" s="66"/>
      <c r="CT60" s="66"/>
      <c r="CU60" s="68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pans="1:175" s="7" customFormat="1" ht="16.5">
      <c r="A61" s="11"/>
      <c r="B61" s="45" t="s">
        <v>300</v>
      </c>
      <c r="C61" s="11" t="s">
        <v>301</v>
      </c>
      <c r="D61" s="46"/>
      <c r="E61" s="47"/>
      <c r="F61" s="48">
        <v>2500</v>
      </c>
      <c r="G61" s="49">
        <v>85</v>
      </c>
      <c r="H61" s="49"/>
      <c r="I61" s="49" t="str">
        <f t="shared" si="440"/>
        <v>E210</v>
      </c>
      <c r="J61" s="49"/>
      <c r="K61" s="49"/>
      <c r="L61" s="49"/>
      <c r="M61" s="49"/>
      <c r="N61" s="49"/>
      <c r="O61" s="49"/>
      <c r="P61" s="52"/>
      <c r="Q61" s="52"/>
      <c r="R61" s="52"/>
      <c r="S61" s="52"/>
      <c r="T61" s="55"/>
      <c r="U61" s="56" t="s">
        <v>295</v>
      </c>
      <c r="V61" s="57"/>
      <c r="W61" s="57"/>
      <c r="X61" s="57">
        <v>380</v>
      </c>
      <c r="Y61" s="57"/>
      <c r="Z61" s="57">
        <v>21000</v>
      </c>
      <c r="AA61" s="57"/>
      <c r="AB61" s="57">
        <f t="shared" si="293"/>
        <v>420</v>
      </c>
      <c r="AC61" s="57"/>
      <c r="AD61" s="57"/>
      <c r="AE61" s="57"/>
      <c r="AF61" s="57"/>
      <c r="AG61" s="61"/>
      <c r="AH61" s="57"/>
      <c r="AI61" s="57"/>
      <c r="AJ61" s="57"/>
      <c r="AK61" s="57"/>
      <c r="AL61" s="61"/>
      <c r="AM61" s="57"/>
      <c r="AN61" s="57"/>
      <c r="AO61" s="57"/>
      <c r="AP61" s="57"/>
      <c r="AQ61" s="57"/>
      <c r="AR61" s="63"/>
      <c r="AS61" s="63"/>
      <c r="AT61" s="57"/>
      <c r="AU61" s="57"/>
      <c r="AV61" s="57"/>
      <c r="AW61" s="57">
        <v>1</v>
      </c>
      <c r="AX61" s="57"/>
      <c r="AY61" s="57"/>
      <c r="AZ61" s="57"/>
      <c r="BA61" s="57"/>
      <c r="BB61" s="57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7"/>
      <c r="CF61" s="57"/>
      <c r="CG61" s="57"/>
      <c r="CH61" s="57"/>
      <c r="CI61" s="57"/>
      <c r="CJ61" s="57"/>
      <c r="CK61" s="57"/>
      <c r="CL61" s="57"/>
      <c r="CM61" s="57"/>
      <c r="CN61" s="66" t="str">
        <f t="shared" si="294"/>
        <v>InitUnitState('E209',,,380,,21000,,420,,,)</v>
      </c>
      <c r="CO61" s="66" t="str">
        <f t="shared" si="295"/>
        <v>InitUnitNormal('E209',,,,,,,,,,)</v>
      </c>
      <c r="CP61" s="66" t="str">
        <f t="shared" si="296"/>
        <v>InitUnitMagic('E209',,,,,,,,1,,)</v>
      </c>
      <c r="CQ61" s="66" t="str">
        <f t="shared" si="297"/>
        <v>InitUnitAdd('E209',,,,,,,,,,)</v>
      </c>
      <c r="CR61" s="66" t="str">
        <f t="shared" si="441"/>
        <v>InitEquipData('E209',,"",,E210,2500,85,'','','','','','',"ReplaceableTextures\\CommandButtons\\BTNZ14.blp")</v>
      </c>
      <c r="CS61" s="66"/>
      <c r="CT61" s="66"/>
      <c r="CU61" s="68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pans="1:175" s="7" customFormat="1" ht="16.5">
      <c r="A62" s="11"/>
      <c r="B62" s="45" t="s">
        <v>302</v>
      </c>
      <c r="C62" s="11" t="s">
        <v>303</v>
      </c>
      <c r="D62" s="46"/>
      <c r="E62" s="47"/>
      <c r="F62" s="48">
        <v>10000</v>
      </c>
      <c r="G62" s="49">
        <v>100</v>
      </c>
      <c r="H62" s="50" t="s">
        <v>304</v>
      </c>
      <c r="I62" s="49" t="str">
        <f t="shared" si="440"/>
        <v>E211</v>
      </c>
      <c r="J62" s="49"/>
      <c r="K62" s="49"/>
      <c r="L62" s="49"/>
      <c r="M62" s="49"/>
      <c r="N62" s="49"/>
      <c r="O62" s="49"/>
      <c r="P62" s="52"/>
      <c r="Q62" s="52"/>
      <c r="R62" s="52"/>
      <c r="S62" s="52"/>
      <c r="T62" s="55"/>
      <c r="U62" s="56" t="s">
        <v>295</v>
      </c>
      <c r="V62" s="57"/>
      <c r="W62" s="57"/>
      <c r="X62" s="57">
        <v>440</v>
      </c>
      <c r="Y62" s="57"/>
      <c r="Z62" s="57">
        <v>25500</v>
      </c>
      <c r="AA62" s="57"/>
      <c r="AB62" s="57">
        <f t="shared" si="293"/>
        <v>510</v>
      </c>
      <c r="AC62" s="57"/>
      <c r="AD62" s="57"/>
      <c r="AE62" s="57"/>
      <c r="AF62" s="57"/>
      <c r="AG62" s="61"/>
      <c r="AH62" s="57"/>
      <c r="AI62" s="57"/>
      <c r="AJ62" s="57"/>
      <c r="AK62" s="57"/>
      <c r="AL62" s="61"/>
      <c r="AM62" s="57"/>
      <c r="AN62" s="57"/>
      <c r="AO62" s="57"/>
      <c r="AP62" s="57"/>
      <c r="AQ62" s="57"/>
      <c r="AR62" s="63"/>
      <c r="AS62" s="63"/>
      <c r="AT62" s="57"/>
      <c r="AU62" s="57"/>
      <c r="AV62" s="57"/>
      <c r="AW62" s="57">
        <v>1</v>
      </c>
      <c r="AX62" s="57"/>
      <c r="AY62" s="57"/>
      <c r="AZ62" s="57"/>
      <c r="BA62" s="57"/>
      <c r="BB62" s="57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7"/>
      <c r="CF62" s="57"/>
      <c r="CG62" s="57"/>
      <c r="CH62" s="57"/>
      <c r="CI62" s="57"/>
      <c r="CJ62" s="57"/>
      <c r="CK62" s="57"/>
      <c r="CL62" s="57"/>
      <c r="CM62" s="57"/>
      <c r="CN62" s="66" t="str">
        <f t="shared" si="294"/>
        <v>InitUnitState('E210',,,440,,25500,,510,,,)</v>
      </c>
      <c r="CO62" s="66" t="str">
        <f t="shared" si="295"/>
        <v>InitUnitNormal('E210',,,,,,,,,,)</v>
      </c>
      <c r="CP62" s="66" t="str">
        <f t="shared" si="296"/>
        <v>InitUnitMagic('E210',,,,,,,,1,,)</v>
      </c>
      <c r="CQ62" s="66" t="str">
        <f t="shared" si="297"/>
        <v>InitUnitAdd('E210',,,,,,,,,,)</v>
      </c>
      <c r="CR62" s="66" t="str">
        <f t="shared" si="441"/>
        <v>InitEquipData('E210',,"",,E211,10000,100,'','','','','','',"ReplaceableTextures\\CommandButtons\\BTNZ14.blp")</v>
      </c>
      <c r="CS62" s="66"/>
      <c r="CT62" s="66"/>
      <c r="CU62" s="68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pans="1:175" s="7" customFormat="1" ht="16.5">
      <c r="A63" s="11"/>
      <c r="B63" s="45" t="s">
        <v>305</v>
      </c>
      <c r="C63" s="11" t="s">
        <v>306</v>
      </c>
      <c r="D63" s="46"/>
      <c r="E63" s="47"/>
      <c r="F63" s="48">
        <v>8000</v>
      </c>
      <c r="G63" s="49">
        <v>70</v>
      </c>
      <c r="H63" s="49"/>
      <c r="I63" s="49" t="str">
        <f t="shared" si="440"/>
        <v>E212</v>
      </c>
      <c r="J63" s="49"/>
      <c r="K63" s="49"/>
      <c r="L63" s="49"/>
      <c r="M63" s="49"/>
      <c r="N63" s="49"/>
      <c r="O63" s="49"/>
      <c r="P63" s="53"/>
      <c r="Q63" s="53"/>
      <c r="R63" s="53"/>
      <c r="S63" s="58"/>
      <c r="T63" s="59"/>
      <c r="U63" s="56" t="s">
        <v>307</v>
      </c>
      <c r="V63" s="57"/>
      <c r="W63" s="57"/>
      <c r="X63" s="57">
        <v>500</v>
      </c>
      <c r="Y63" s="57"/>
      <c r="Z63" s="57">
        <v>37500</v>
      </c>
      <c r="AA63" s="57"/>
      <c r="AB63" s="57">
        <f t="shared" si="293"/>
        <v>750</v>
      </c>
      <c r="AC63" s="57"/>
      <c r="AD63" s="57"/>
      <c r="AE63" s="57"/>
      <c r="AF63" s="57"/>
      <c r="AG63" s="61"/>
      <c r="AH63" s="57"/>
      <c r="AI63" s="57"/>
      <c r="AJ63" s="57"/>
      <c r="AK63" s="57"/>
      <c r="AL63" s="61"/>
      <c r="AM63" s="57"/>
      <c r="AN63" s="57"/>
      <c r="AO63" s="57"/>
      <c r="AP63" s="57"/>
      <c r="AQ63" s="57"/>
      <c r="AR63" s="63"/>
      <c r="AS63" s="63"/>
      <c r="AT63" s="57"/>
      <c r="AU63" s="57"/>
      <c r="AV63" s="57"/>
      <c r="AW63" s="57">
        <v>1</v>
      </c>
      <c r="AX63" s="57"/>
      <c r="AY63" s="57"/>
      <c r="AZ63" s="57"/>
      <c r="BA63" s="57"/>
      <c r="BB63" s="57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7"/>
      <c r="CF63" s="57"/>
      <c r="CG63" s="57"/>
      <c r="CH63" s="57"/>
      <c r="CI63" s="57"/>
      <c r="CJ63" s="57"/>
      <c r="CK63" s="57"/>
      <c r="CL63" s="57"/>
      <c r="CM63" s="57"/>
      <c r="CN63" s="66" t="str">
        <f t="shared" si="294"/>
        <v>InitUnitState('E211',,,500,,37500,,750,,,)</v>
      </c>
      <c r="CO63" s="66" t="str">
        <f t="shared" si="295"/>
        <v>InitUnitNormal('E211',,,,,,,,,,)</v>
      </c>
      <c r="CP63" s="66" t="str">
        <f t="shared" si="296"/>
        <v>InitUnitMagic('E211',,,,,,,,1,,)</v>
      </c>
      <c r="CQ63" s="66" t="str">
        <f t="shared" si="297"/>
        <v>InitUnitAdd('E211',,,,,,,,,,)</v>
      </c>
      <c r="CR63" s="6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6"/>
      <c r="CT63" s="66"/>
      <c r="CU63" s="68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pans="1:175" s="7" customFormat="1" ht="16.5">
      <c r="A64" s="11"/>
      <c r="B64" s="45" t="s">
        <v>308</v>
      </c>
      <c r="C64" s="11" t="s">
        <v>309</v>
      </c>
      <c r="D64" s="46"/>
      <c r="E64" s="47"/>
      <c r="F64" s="48">
        <v>8000</v>
      </c>
      <c r="G64" s="49">
        <v>70</v>
      </c>
      <c r="H64" s="49"/>
      <c r="I64" s="49" t="str">
        <f t="shared" si="440"/>
        <v>E213</v>
      </c>
      <c r="J64" s="49"/>
      <c r="K64" s="49"/>
      <c r="L64" s="49"/>
      <c r="M64" s="49"/>
      <c r="N64" s="49"/>
      <c r="O64" s="49"/>
      <c r="P64" s="53"/>
      <c r="Q64" s="53"/>
      <c r="R64" s="53"/>
      <c r="S64" s="58"/>
      <c r="T64" s="59"/>
      <c r="U64" s="56" t="s">
        <v>307</v>
      </c>
      <c r="V64" s="57"/>
      <c r="W64" s="57"/>
      <c r="X64" s="57">
        <v>580</v>
      </c>
      <c r="Y64" s="57"/>
      <c r="Z64" s="57">
        <v>52500</v>
      </c>
      <c r="AA64" s="57"/>
      <c r="AB64" s="57">
        <f t="shared" si="293"/>
        <v>1050</v>
      </c>
      <c r="AC64" s="57"/>
      <c r="AD64" s="57"/>
      <c r="AE64" s="57"/>
      <c r="AF64" s="57"/>
      <c r="AG64" s="61"/>
      <c r="AH64" s="57"/>
      <c r="AI64" s="57"/>
      <c r="AJ64" s="57"/>
      <c r="AK64" s="57"/>
      <c r="AL64" s="61"/>
      <c r="AM64" s="57"/>
      <c r="AN64" s="57"/>
      <c r="AO64" s="57"/>
      <c r="AP64" s="57"/>
      <c r="AQ64" s="57"/>
      <c r="AR64" s="63"/>
      <c r="AS64" s="63"/>
      <c r="AT64" s="57"/>
      <c r="AU64" s="57"/>
      <c r="AV64" s="57"/>
      <c r="AW64" s="57">
        <v>1</v>
      </c>
      <c r="AX64" s="57"/>
      <c r="AY64" s="57"/>
      <c r="AZ64" s="57"/>
      <c r="BA64" s="57"/>
      <c r="BB64" s="57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7"/>
      <c r="CF64" s="57"/>
      <c r="CG64" s="57"/>
      <c r="CH64" s="57"/>
      <c r="CI64" s="57"/>
      <c r="CJ64" s="57"/>
      <c r="CK64" s="57"/>
      <c r="CL64" s="57"/>
      <c r="CM64" s="57"/>
      <c r="CN64" s="66" t="str">
        <f t="shared" si="294"/>
        <v>InitUnitState('E212',,,580,,52500,,1050,,,)</v>
      </c>
      <c r="CO64" s="66" t="str">
        <f t="shared" si="295"/>
        <v>InitUnitNormal('E212',,,,,,,,,,)</v>
      </c>
      <c r="CP64" s="66" t="str">
        <f t="shared" si="296"/>
        <v>InitUnitMagic('E212',,,,,,,,1,,)</v>
      </c>
      <c r="CQ64" s="66" t="str">
        <f t="shared" si="297"/>
        <v>InitUnitAdd('E212',,,,,,,,,,)</v>
      </c>
      <c r="CR64" s="66" t="str">
        <f t="shared" si="652"/>
        <v>InitEquipData('E212',,"",,E213,8000,70,'','','','','','',"ReplaceableTextures\\CommandButtons\\BTNZ13.blp")</v>
      </c>
      <c r="CS64" s="66"/>
      <c r="CT64" s="66"/>
      <c r="CU64" s="68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pans="1:175" s="7" customFormat="1" ht="16.5">
      <c r="A65" s="11"/>
      <c r="B65" s="45" t="s">
        <v>310</v>
      </c>
      <c r="C65" s="11" t="s">
        <v>311</v>
      </c>
      <c r="D65" s="46"/>
      <c r="E65" s="47"/>
      <c r="F65" s="48">
        <v>8000</v>
      </c>
      <c r="G65" s="49">
        <v>70</v>
      </c>
      <c r="H65" s="49"/>
      <c r="I65" s="49" t="str">
        <f t="shared" si="440"/>
        <v>E214</v>
      </c>
      <c r="J65" s="49"/>
      <c r="K65" s="49"/>
      <c r="L65" s="49"/>
      <c r="M65" s="49"/>
      <c r="N65" s="49"/>
      <c r="O65" s="49"/>
      <c r="P65" s="53"/>
      <c r="Q65" s="53"/>
      <c r="R65" s="53"/>
      <c r="S65" s="58"/>
      <c r="T65" s="59"/>
      <c r="U65" s="56" t="s">
        <v>307</v>
      </c>
      <c r="V65" s="57"/>
      <c r="W65" s="57"/>
      <c r="X65" s="57">
        <v>660</v>
      </c>
      <c r="Y65" s="57"/>
      <c r="Z65" s="57">
        <v>67500</v>
      </c>
      <c r="AA65" s="57"/>
      <c r="AB65" s="57">
        <f t="shared" si="293"/>
        <v>1350</v>
      </c>
      <c r="AC65" s="57"/>
      <c r="AD65" s="57"/>
      <c r="AE65" s="57"/>
      <c r="AF65" s="57"/>
      <c r="AG65" s="61"/>
      <c r="AH65" s="57"/>
      <c r="AI65" s="57"/>
      <c r="AJ65" s="57"/>
      <c r="AK65" s="57"/>
      <c r="AL65" s="61"/>
      <c r="AM65" s="57"/>
      <c r="AN65" s="57"/>
      <c r="AO65" s="57"/>
      <c r="AP65" s="57"/>
      <c r="AQ65" s="57"/>
      <c r="AR65" s="63"/>
      <c r="AS65" s="63"/>
      <c r="AT65" s="57"/>
      <c r="AU65" s="57"/>
      <c r="AV65" s="57"/>
      <c r="AW65" s="57">
        <v>1</v>
      </c>
      <c r="AX65" s="57"/>
      <c r="AY65" s="57"/>
      <c r="AZ65" s="57"/>
      <c r="BA65" s="57"/>
      <c r="BB65" s="57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7"/>
      <c r="CF65" s="57"/>
      <c r="CG65" s="57"/>
      <c r="CH65" s="57"/>
      <c r="CI65" s="57"/>
      <c r="CJ65" s="57"/>
      <c r="CK65" s="57"/>
      <c r="CL65" s="57"/>
      <c r="CM65" s="57"/>
      <c r="CN65" s="66" t="str">
        <f t="shared" si="294"/>
        <v>InitUnitState('E213',,,660,,67500,,1350,,,)</v>
      </c>
      <c r="CO65" s="66" t="str">
        <f t="shared" si="295"/>
        <v>InitUnitNormal('E213',,,,,,,,,,)</v>
      </c>
      <c r="CP65" s="66" t="str">
        <f t="shared" si="296"/>
        <v>InitUnitMagic('E213',,,,,,,,1,,)</v>
      </c>
      <c r="CQ65" s="66" t="str">
        <f t="shared" si="297"/>
        <v>InitUnitAdd('E213',,,,,,,,,,)</v>
      </c>
      <c r="CR65" s="66" t="str">
        <f t="shared" si="652"/>
        <v>InitEquipData('E213',,"",,E214,8000,70,'','','','','','',"ReplaceableTextures\\CommandButtons\\BTNZ13.blp")</v>
      </c>
      <c r="CS65" s="66"/>
      <c r="CT65" s="66"/>
      <c r="CU65" s="68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pans="1:175" s="7" customFormat="1" ht="16.5">
      <c r="A66" s="11"/>
      <c r="B66" s="45" t="s">
        <v>312</v>
      </c>
      <c r="C66" s="11" t="s">
        <v>313</v>
      </c>
      <c r="D66" s="46"/>
      <c r="E66" s="47"/>
      <c r="F66" s="48">
        <v>8000</v>
      </c>
      <c r="G66" s="49">
        <v>70</v>
      </c>
      <c r="H66" s="49"/>
      <c r="I66" s="49" t="str">
        <f t="shared" si="440"/>
        <v>E215</v>
      </c>
      <c r="J66" s="49"/>
      <c r="K66" s="49"/>
      <c r="L66" s="49"/>
      <c r="M66" s="49"/>
      <c r="N66" s="49"/>
      <c r="O66" s="49"/>
      <c r="P66" s="53"/>
      <c r="Q66" s="53"/>
      <c r="R66" s="53"/>
      <c r="S66" s="58"/>
      <c r="T66" s="59"/>
      <c r="U66" s="56" t="s">
        <v>307</v>
      </c>
      <c r="V66" s="57"/>
      <c r="W66" s="57"/>
      <c r="X66" s="57">
        <v>740</v>
      </c>
      <c r="Y66" s="57"/>
      <c r="Z66" s="57">
        <v>82500</v>
      </c>
      <c r="AA66" s="57"/>
      <c r="AB66" s="57">
        <f t="shared" si="293"/>
        <v>1650</v>
      </c>
      <c r="AC66" s="57"/>
      <c r="AD66" s="57"/>
      <c r="AE66" s="57"/>
      <c r="AF66" s="57"/>
      <c r="AG66" s="61"/>
      <c r="AH66" s="57"/>
      <c r="AI66" s="57"/>
      <c r="AJ66" s="57"/>
      <c r="AK66" s="57"/>
      <c r="AL66" s="61"/>
      <c r="AM66" s="57"/>
      <c r="AN66" s="57"/>
      <c r="AO66" s="57"/>
      <c r="AP66" s="57"/>
      <c r="AQ66" s="57"/>
      <c r="AR66" s="63"/>
      <c r="AS66" s="63"/>
      <c r="AT66" s="57"/>
      <c r="AU66" s="57"/>
      <c r="AV66" s="57"/>
      <c r="AW66" s="57">
        <v>1</v>
      </c>
      <c r="AX66" s="57"/>
      <c r="AY66" s="57"/>
      <c r="AZ66" s="57"/>
      <c r="BA66" s="57"/>
      <c r="BB66" s="57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7"/>
      <c r="CF66" s="57"/>
      <c r="CG66" s="57"/>
      <c r="CH66" s="57"/>
      <c r="CI66" s="57"/>
      <c r="CJ66" s="57"/>
      <c r="CK66" s="57"/>
      <c r="CL66" s="57"/>
      <c r="CM66" s="57"/>
      <c r="CN66" s="66" t="str">
        <f t="shared" si="294"/>
        <v>InitUnitState('E214',,,740,,82500,,1650,,,)</v>
      </c>
      <c r="CO66" s="66" t="str">
        <f t="shared" si="295"/>
        <v>InitUnitNormal('E214',,,,,,,,,,)</v>
      </c>
      <c r="CP66" s="66" t="str">
        <f t="shared" si="296"/>
        <v>InitUnitMagic('E214',,,,,,,,1,,)</v>
      </c>
      <c r="CQ66" s="66" t="str">
        <f t="shared" si="297"/>
        <v>InitUnitAdd('E214',,,,,,,,,,)</v>
      </c>
      <c r="CR66" s="66" t="str">
        <f t="shared" si="652"/>
        <v>InitEquipData('E214',,"",,E215,8000,70,'','','','','','',"ReplaceableTextures\\CommandButtons\\BTNZ13.blp")</v>
      </c>
      <c r="CS66" s="66"/>
      <c r="CT66" s="66"/>
      <c r="CU66" s="68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pans="1:175" s="7" customFormat="1" ht="16.5">
      <c r="A67" s="11"/>
      <c r="B67" s="45" t="s">
        <v>314</v>
      </c>
      <c r="C67" s="11" t="s">
        <v>315</v>
      </c>
      <c r="D67" s="46"/>
      <c r="E67" s="47"/>
      <c r="F67" s="48">
        <v>30000</v>
      </c>
      <c r="G67" s="49">
        <v>100</v>
      </c>
      <c r="H67" s="50" t="s">
        <v>316</v>
      </c>
      <c r="I67" s="49" t="str">
        <f t="shared" si="440"/>
        <v>E216</v>
      </c>
      <c r="J67" s="49"/>
      <c r="K67" s="49"/>
      <c r="L67" s="49"/>
      <c r="M67" s="49"/>
      <c r="N67" s="49"/>
      <c r="O67" s="49"/>
      <c r="P67" s="53"/>
      <c r="Q67" s="53"/>
      <c r="R67" s="53"/>
      <c r="S67" s="58"/>
      <c r="T67" s="59"/>
      <c r="U67" s="56" t="s">
        <v>307</v>
      </c>
      <c r="V67" s="57"/>
      <c r="W67" s="57"/>
      <c r="X67" s="57">
        <v>820</v>
      </c>
      <c r="Y67" s="57"/>
      <c r="Z67" s="57">
        <v>97500</v>
      </c>
      <c r="AA67" s="57"/>
      <c r="AB67" s="57">
        <f t="shared" si="293"/>
        <v>1950</v>
      </c>
      <c r="AC67" s="57"/>
      <c r="AD67" s="57"/>
      <c r="AE67" s="57"/>
      <c r="AF67" s="57"/>
      <c r="AG67" s="61"/>
      <c r="AH67" s="57"/>
      <c r="AI67" s="57"/>
      <c r="AJ67" s="57"/>
      <c r="AK67" s="57"/>
      <c r="AL67" s="61"/>
      <c r="AM67" s="57"/>
      <c r="AN67" s="57"/>
      <c r="AO67" s="57"/>
      <c r="AP67" s="57"/>
      <c r="AQ67" s="57"/>
      <c r="AR67" s="63"/>
      <c r="AS67" s="63"/>
      <c r="AT67" s="57"/>
      <c r="AU67" s="57"/>
      <c r="AV67" s="57"/>
      <c r="AW67" s="57">
        <v>1</v>
      </c>
      <c r="AX67" s="57"/>
      <c r="AY67" s="57"/>
      <c r="AZ67" s="57"/>
      <c r="BA67" s="57"/>
      <c r="BB67" s="5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7"/>
      <c r="CF67" s="57"/>
      <c r="CG67" s="57"/>
      <c r="CH67" s="57"/>
      <c r="CI67" s="57"/>
      <c r="CJ67" s="57"/>
      <c r="CK67" s="57"/>
      <c r="CL67" s="57"/>
      <c r="CM67" s="57"/>
      <c r="CN67" s="6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6" t="str">
        <f t="shared" si="652"/>
        <v>InitEquipData('E215',,"",,E216,30000,100,'','','','','','',"ReplaceableTextures\\CommandButtons\\BTNZ14.blp")</v>
      </c>
      <c r="CS67" s="66"/>
      <c r="CT67" s="66"/>
      <c r="CU67" s="68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pans="1:175" s="7" customFormat="1" ht="16.5">
      <c r="A68" s="11"/>
      <c r="B68" s="45" t="s">
        <v>317</v>
      </c>
      <c r="C68" s="11" t="s">
        <v>318</v>
      </c>
      <c r="D68" s="46"/>
      <c r="E68" s="47"/>
      <c r="F68" s="48">
        <v>20000</v>
      </c>
      <c r="G68" s="49">
        <v>60</v>
      </c>
      <c r="H68" s="49"/>
      <c r="I68" s="49" t="str">
        <f t="shared" si="440"/>
        <v>E217</v>
      </c>
      <c r="J68" s="49"/>
      <c r="K68" s="49"/>
      <c r="L68" s="49"/>
      <c r="M68" s="49"/>
      <c r="N68" s="49"/>
      <c r="O68" s="49"/>
      <c r="P68" s="53"/>
      <c r="Q68" s="53"/>
      <c r="R68" s="53"/>
      <c r="S68" s="58"/>
      <c r="T68" s="59"/>
      <c r="U68" s="56" t="s">
        <v>319</v>
      </c>
      <c r="V68" s="57"/>
      <c r="W68" s="57"/>
      <c r="X68" s="57">
        <v>1000</v>
      </c>
      <c r="Y68" s="57"/>
      <c r="Z68" s="57">
        <v>150000</v>
      </c>
      <c r="AA68" s="57"/>
      <c r="AB68" s="57">
        <f t="shared" si="293"/>
        <v>3000</v>
      </c>
      <c r="AC68" s="57"/>
      <c r="AD68" s="57"/>
      <c r="AE68" s="57"/>
      <c r="AF68" s="57"/>
      <c r="AG68" s="61"/>
      <c r="AH68" s="57"/>
      <c r="AI68" s="57"/>
      <c r="AJ68" s="57"/>
      <c r="AK68" s="57"/>
      <c r="AL68" s="61"/>
      <c r="AM68" s="57"/>
      <c r="AN68" s="57"/>
      <c r="AO68" s="57"/>
      <c r="AP68" s="57"/>
      <c r="AQ68" s="57"/>
      <c r="AR68" s="63"/>
      <c r="AS68" s="63"/>
      <c r="AT68" s="57"/>
      <c r="AU68" s="57"/>
      <c r="AV68" s="57"/>
      <c r="AW68" s="57">
        <f t="shared" ref="AW68:AW76" si="867">AW63+1</f>
        <v>2</v>
      </c>
      <c r="AX68" s="57"/>
      <c r="AY68" s="57"/>
      <c r="AZ68" s="57"/>
      <c r="BA68" s="57"/>
      <c r="BB68" s="57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7"/>
      <c r="CF68" s="57"/>
      <c r="CG68" s="57"/>
      <c r="CH68" s="57"/>
      <c r="CI68" s="57"/>
      <c r="CJ68" s="57"/>
      <c r="CK68" s="57"/>
      <c r="CL68" s="57"/>
      <c r="CM68" s="57"/>
      <c r="CN68" s="66" t="str">
        <f t="shared" si="863"/>
        <v>InitUnitState('E216',,,1000,,150000,,3000,,,)</v>
      </c>
      <c r="CO68" s="66" t="str">
        <f t="shared" si="864"/>
        <v>InitUnitNormal('E216',,,,,,,,,,)</v>
      </c>
      <c r="CP68" s="66" t="str">
        <f t="shared" si="865"/>
        <v>InitUnitMagic('E216',,,,,,,,2,,)</v>
      </c>
      <c r="CQ68" s="66" t="str">
        <f t="shared" si="866"/>
        <v>InitUnitAdd('E216',,,,,,,,,,)</v>
      </c>
      <c r="CR68" s="66" t="str">
        <f t="shared" si="652"/>
        <v>InitEquipData('E216',,"",,E217,20000,60,'','','','','','',"ReplaceableTextures\\CommandButtons\\BTNZ14.blp")</v>
      </c>
      <c r="CS68" s="66"/>
      <c r="CT68" s="66"/>
      <c r="CU68" s="6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pans="1:175" s="7" customFormat="1" ht="16.5">
      <c r="A69" s="11"/>
      <c r="B69" s="45" t="s">
        <v>320</v>
      </c>
      <c r="C69" s="11" t="s">
        <v>321</v>
      </c>
      <c r="D69" s="46"/>
      <c r="E69" s="47"/>
      <c r="F69" s="48">
        <v>20000</v>
      </c>
      <c r="G69" s="49">
        <v>60</v>
      </c>
      <c r="H69" s="49"/>
      <c r="I69" s="49" t="str">
        <f t="shared" si="440"/>
        <v>E218</v>
      </c>
      <c r="J69" s="49"/>
      <c r="K69" s="49"/>
      <c r="L69" s="49"/>
      <c r="M69" s="49"/>
      <c r="N69" s="49"/>
      <c r="O69" s="49"/>
      <c r="P69" s="53"/>
      <c r="Q69" s="53"/>
      <c r="R69" s="53"/>
      <c r="S69" s="58"/>
      <c r="T69" s="59"/>
      <c r="U69" s="56" t="s">
        <v>319</v>
      </c>
      <c r="V69" s="57"/>
      <c r="W69" s="57"/>
      <c r="X69" s="57">
        <v>1100</v>
      </c>
      <c r="Y69" s="57"/>
      <c r="Z69" s="57">
        <v>225000</v>
      </c>
      <c r="AA69" s="57"/>
      <c r="AB69" s="57">
        <f t="shared" si="293"/>
        <v>4500</v>
      </c>
      <c r="AC69" s="57"/>
      <c r="AD69" s="57"/>
      <c r="AE69" s="57"/>
      <c r="AF69" s="57"/>
      <c r="AG69" s="61"/>
      <c r="AH69" s="57"/>
      <c r="AI69" s="57"/>
      <c r="AJ69" s="57"/>
      <c r="AK69" s="57"/>
      <c r="AL69" s="61"/>
      <c r="AM69" s="57"/>
      <c r="AN69" s="57"/>
      <c r="AO69" s="57"/>
      <c r="AP69" s="57"/>
      <c r="AQ69" s="57"/>
      <c r="AR69" s="63"/>
      <c r="AS69" s="63"/>
      <c r="AT69" s="57"/>
      <c r="AU69" s="57"/>
      <c r="AV69" s="57"/>
      <c r="AW69" s="57">
        <f t="shared" si="867"/>
        <v>2</v>
      </c>
      <c r="AX69" s="57"/>
      <c r="AY69" s="57"/>
      <c r="AZ69" s="57"/>
      <c r="BA69" s="57"/>
      <c r="BB69" s="57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7"/>
      <c r="CF69" s="57"/>
      <c r="CG69" s="57"/>
      <c r="CH69" s="57"/>
      <c r="CI69" s="57"/>
      <c r="CJ69" s="57"/>
      <c r="CK69" s="57"/>
      <c r="CL69" s="57"/>
      <c r="CM69" s="57"/>
      <c r="CN69" s="66" t="str">
        <f t="shared" si="863"/>
        <v>InitUnitState('E217',,,1100,,225000,,4500,,,)</v>
      </c>
      <c r="CO69" s="66" t="str">
        <f t="shared" si="864"/>
        <v>InitUnitNormal('E217',,,,,,,,,,)</v>
      </c>
      <c r="CP69" s="66" t="str">
        <f t="shared" si="865"/>
        <v>InitUnitMagic('E217',,,,,,,,2,,)</v>
      </c>
      <c r="CQ69" s="66" t="str">
        <f t="shared" si="866"/>
        <v>InitUnitAdd('E217',,,,,,,,,,)</v>
      </c>
      <c r="CR69" s="66" t="str">
        <f t="shared" si="652"/>
        <v>InitEquipData('E217',,"",,E218,20000,60,'','','','','','',"ReplaceableTextures\\CommandButtons\\BTNZ14.blp")</v>
      </c>
      <c r="CS69" s="66"/>
      <c r="CT69" s="66"/>
      <c r="CU69" s="68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pans="1:175" s="7" customFormat="1" ht="16.5">
      <c r="A70" s="11"/>
      <c r="B70" s="45" t="s">
        <v>322</v>
      </c>
      <c r="C70" s="11" t="s">
        <v>323</v>
      </c>
      <c r="D70" s="46"/>
      <c r="E70" s="47"/>
      <c r="F70" s="48">
        <v>20000</v>
      </c>
      <c r="G70" s="49">
        <v>60</v>
      </c>
      <c r="H70" s="49"/>
      <c r="I70" s="49" t="str">
        <f t="shared" si="440"/>
        <v>E219</v>
      </c>
      <c r="J70" s="49"/>
      <c r="K70" s="49"/>
      <c r="L70" s="49"/>
      <c r="M70" s="49"/>
      <c r="N70" s="49"/>
      <c r="O70" s="49"/>
      <c r="P70" s="53"/>
      <c r="Q70" s="53"/>
      <c r="R70" s="53"/>
      <c r="S70" s="58"/>
      <c r="T70" s="59"/>
      <c r="U70" s="56" t="s">
        <v>319</v>
      </c>
      <c r="V70" s="57"/>
      <c r="W70" s="57"/>
      <c r="X70" s="57">
        <v>1200</v>
      </c>
      <c r="Y70" s="57"/>
      <c r="Z70" s="57">
        <v>300000</v>
      </c>
      <c r="AA70" s="57"/>
      <c r="AB70" s="57">
        <f t="shared" si="293"/>
        <v>6000</v>
      </c>
      <c r="AC70" s="57"/>
      <c r="AD70" s="57"/>
      <c r="AE70" s="57"/>
      <c r="AF70" s="57"/>
      <c r="AG70" s="61"/>
      <c r="AH70" s="57"/>
      <c r="AI70" s="57"/>
      <c r="AJ70" s="57"/>
      <c r="AK70" s="57"/>
      <c r="AL70" s="61"/>
      <c r="AM70" s="57"/>
      <c r="AN70" s="57"/>
      <c r="AO70" s="57"/>
      <c r="AP70" s="57"/>
      <c r="AQ70" s="57"/>
      <c r="AR70" s="63"/>
      <c r="AS70" s="63"/>
      <c r="AT70" s="57"/>
      <c r="AU70" s="57"/>
      <c r="AV70" s="57"/>
      <c r="AW70" s="57">
        <f t="shared" si="867"/>
        <v>2</v>
      </c>
      <c r="AX70" s="57"/>
      <c r="AY70" s="57"/>
      <c r="AZ70" s="57"/>
      <c r="BA70" s="57"/>
      <c r="BB70" s="57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7"/>
      <c r="CF70" s="57"/>
      <c r="CG70" s="57"/>
      <c r="CH70" s="57"/>
      <c r="CI70" s="57"/>
      <c r="CJ70" s="57"/>
      <c r="CK70" s="57"/>
      <c r="CL70" s="57"/>
      <c r="CM70" s="57"/>
      <c r="CN70" s="66" t="str">
        <f t="shared" si="863"/>
        <v>InitUnitState('E218',,,1200,,300000,,6000,,,)</v>
      </c>
      <c r="CO70" s="66" t="str">
        <f t="shared" si="864"/>
        <v>InitUnitNormal('E218',,,,,,,,,,)</v>
      </c>
      <c r="CP70" s="66" t="str">
        <f t="shared" si="865"/>
        <v>InitUnitMagic('E218',,,,,,,,2,,)</v>
      </c>
      <c r="CQ70" s="66" t="str">
        <f t="shared" si="866"/>
        <v>InitUnitAdd('E218',,,,,,,,,,)</v>
      </c>
      <c r="CR70" s="66" t="str">
        <f t="shared" si="652"/>
        <v>InitEquipData('E218',,"",,E219,20000,60,'','','','','','',"ReplaceableTextures\\CommandButtons\\BTNZ14.blp")</v>
      </c>
      <c r="CS70" s="66"/>
      <c r="CT70" s="66"/>
      <c r="CU70" s="68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pans="1:175" s="7" customFormat="1" ht="16.5">
      <c r="A71" s="11"/>
      <c r="B71" s="45" t="s">
        <v>324</v>
      </c>
      <c r="C71" s="11" t="s">
        <v>325</v>
      </c>
      <c r="D71" s="46"/>
      <c r="E71" s="47"/>
      <c r="F71" s="48">
        <v>20000</v>
      </c>
      <c r="G71" s="49">
        <v>60</v>
      </c>
      <c r="H71" s="49"/>
      <c r="I71" s="49" t="str">
        <f t="shared" si="440"/>
        <v>E220</v>
      </c>
      <c r="J71" s="49"/>
      <c r="K71" s="49"/>
      <c r="L71" s="49"/>
      <c r="M71" s="49"/>
      <c r="N71" s="49"/>
      <c r="O71" s="49"/>
      <c r="P71" s="53"/>
      <c r="Q71" s="53"/>
      <c r="R71" s="53"/>
      <c r="S71" s="58"/>
      <c r="T71" s="59"/>
      <c r="U71" s="56" t="s">
        <v>319</v>
      </c>
      <c r="V71" s="57"/>
      <c r="W71" s="57"/>
      <c r="X71" s="57">
        <v>1300</v>
      </c>
      <c r="Y71" s="57"/>
      <c r="Z71" s="57">
        <v>375000</v>
      </c>
      <c r="AA71" s="57"/>
      <c r="AB71" s="57">
        <f t="shared" si="293"/>
        <v>7500</v>
      </c>
      <c r="AC71" s="57"/>
      <c r="AD71" s="57"/>
      <c r="AE71" s="57"/>
      <c r="AF71" s="57"/>
      <c r="AG71" s="61"/>
      <c r="AH71" s="57"/>
      <c r="AI71" s="57"/>
      <c r="AJ71" s="57"/>
      <c r="AK71" s="57"/>
      <c r="AL71" s="61"/>
      <c r="AM71" s="57"/>
      <c r="AN71" s="57"/>
      <c r="AO71" s="57"/>
      <c r="AP71" s="57"/>
      <c r="AQ71" s="57"/>
      <c r="AR71" s="63"/>
      <c r="AS71" s="63"/>
      <c r="AT71" s="57"/>
      <c r="AU71" s="57"/>
      <c r="AV71" s="57"/>
      <c r="AW71" s="57">
        <f t="shared" si="867"/>
        <v>2</v>
      </c>
      <c r="AX71" s="57"/>
      <c r="AY71" s="57"/>
      <c r="AZ71" s="57"/>
      <c r="BA71" s="57"/>
      <c r="BB71" s="57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7"/>
      <c r="CF71" s="57"/>
      <c r="CG71" s="57"/>
      <c r="CH71" s="57"/>
      <c r="CI71" s="57"/>
      <c r="CJ71" s="57"/>
      <c r="CK71" s="57"/>
      <c r="CL71" s="57"/>
      <c r="CM71" s="57"/>
      <c r="CN71" s="66" t="str">
        <f t="shared" si="863"/>
        <v>InitUnitState('E219',,,1300,,375000,,7500,,,)</v>
      </c>
      <c r="CO71" s="66" t="str">
        <f t="shared" si="864"/>
        <v>InitUnitNormal('E219',,,,,,,,,,)</v>
      </c>
      <c r="CP71" s="66" t="str">
        <f t="shared" si="865"/>
        <v>InitUnitMagic('E219',,,,,,,,2,,)</v>
      </c>
      <c r="CQ71" s="66" t="str">
        <f t="shared" si="866"/>
        <v>InitUnitAdd('E219',,,,,,,,,,)</v>
      </c>
      <c r="CR71" s="66" t="str">
        <f t="shared" si="652"/>
        <v>InitEquipData('E219',,"",,E220,20000,60,'','','','','','',"ReplaceableTextures\\CommandButtons\\BTNZ14.blp")</v>
      </c>
      <c r="CS71" s="66"/>
      <c r="CT71" s="66"/>
      <c r="CU71" s="68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pans="1:175" s="7" customFormat="1" ht="16.5">
      <c r="A72" s="11"/>
      <c r="B72" s="45" t="s">
        <v>326</v>
      </c>
      <c r="C72" s="11" t="s">
        <v>327</v>
      </c>
      <c r="D72" s="46"/>
      <c r="E72" s="47"/>
      <c r="F72" s="48">
        <v>35000</v>
      </c>
      <c r="G72" s="49">
        <v>100</v>
      </c>
      <c r="H72" s="50" t="s">
        <v>328</v>
      </c>
      <c r="I72" s="49" t="str">
        <f t="shared" si="440"/>
        <v>E221</v>
      </c>
      <c r="J72" s="49"/>
      <c r="K72" s="49"/>
      <c r="L72" s="49"/>
      <c r="M72" s="49"/>
      <c r="N72" s="49"/>
      <c r="O72" s="49"/>
      <c r="P72" s="53"/>
      <c r="Q72" s="53"/>
      <c r="R72" s="53"/>
      <c r="S72" s="58"/>
      <c r="T72" s="59"/>
      <c r="U72" s="56" t="s">
        <v>319</v>
      </c>
      <c r="V72" s="57"/>
      <c r="W72" s="57"/>
      <c r="X72" s="57">
        <v>1400</v>
      </c>
      <c r="Y72" s="57"/>
      <c r="Z72" s="57">
        <v>450000</v>
      </c>
      <c r="AA72" s="57"/>
      <c r="AB72" s="57">
        <f t="shared" si="293"/>
        <v>9000</v>
      </c>
      <c r="AC72" s="57"/>
      <c r="AD72" s="57"/>
      <c r="AE72" s="57"/>
      <c r="AF72" s="57"/>
      <c r="AG72" s="61"/>
      <c r="AH72" s="57"/>
      <c r="AI72" s="57"/>
      <c r="AJ72" s="57"/>
      <c r="AK72" s="57"/>
      <c r="AL72" s="61"/>
      <c r="AM72" s="57"/>
      <c r="AN72" s="57"/>
      <c r="AO72" s="57"/>
      <c r="AP72" s="57"/>
      <c r="AQ72" s="57"/>
      <c r="AR72" s="63"/>
      <c r="AS72" s="63"/>
      <c r="AT72" s="57"/>
      <c r="AU72" s="57"/>
      <c r="AV72" s="57"/>
      <c r="AW72" s="57">
        <f t="shared" si="867"/>
        <v>2</v>
      </c>
      <c r="AX72" s="57"/>
      <c r="AY72" s="57"/>
      <c r="AZ72" s="57"/>
      <c r="BA72" s="57"/>
      <c r="BB72" s="57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7"/>
      <c r="CF72" s="57"/>
      <c r="CG72" s="57"/>
      <c r="CH72" s="57"/>
      <c r="CI72" s="57"/>
      <c r="CJ72" s="57"/>
      <c r="CK72" s="57"/>
      <c r="CL72" s="57"/>
      <c r="CM72" s="57"/>
      <c r="CN72" s="66" t="str">
        <f t="shared" si="863"/>
        <v>InitUnitState('E220',,,1400,,450000,,9000,,,)</v>
      </c>
      <c r="CO72" s="66" t="str">
        <f t="shared" si="864"/>
        <v>InitUnitNormal('E220',,,,,,,,,,)</v>
      </c>
      <c r="CP72" s="66" t="str">
        <f t="shared" si="865"/>
        <v>InitUnitMagic('E220',,,,,,,,2,,)</v>
      </c>
      <c r="CQ72" s="66" t="str">
        <f t="shared" si="866"/>
        <v>InitUnitAdd('E220',,,,,,,,,,)</v>
      </c>
      <c r="CR72" s="66" t="str">
        <f t="shared" si="652"/>
        <v>InitEquipData('E220',,"",,E221,35000,100,'','','','','','',"ReplaceableTextures\\CommandButtons\\BTNZ15.blp")</v>
      </c>
      <c r="CS72" s="66"/>
      <c r="CT72" s="66"/>
      <c r="CU72" s="68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pans="1:175" s="7" customFormat="1" ht="16.5">
      <c r="A73" s="11"/>
      <c r="B73" s="45" t="s">
        <v>329</v>
      </c>
      <c r="C73" s="11" t="s">
        <v>330</v>
      </c>
      <c r="D73" s="46"/>
      <c r="E73" s="47"/>
      <c r="F73" s="48">
        <v>35000</v>
      </c>
      <c r="G73" s="49">
        <v>50</v>
      </c>
      <c r="H73" s="49"/>
      <c r="I73" s="49" t="str">
        <f t="shared" si="440"/>
        <v>E222</v>
      </c>
      <c r="J73" s="49"/>
      <c r="K73" s="49"/>
      <c r="L73" s="49"/>
      <c r="M73" s="49"/>
      <c r="N73" s="49"/>
      <c r="O73" s="49"/>
      <c r="P73" s="53"/>
      <c r="Q73" s="53"/>
      <c r="R73" s="53"/>
      <c r="S73" s="58"/>
      <c r="T73" s="59"/>
      <c r="U73" s="56" t="s">
        <v>331</v>
      </c>
      <c r="V73" s="57"/>
      <c r="W73" s="57"/>
      <c r="X73" s="57">
        <v>2000</v>
      </c>
      <c r="Y73" s="57"/>
      <c r="Z73" s="57">
        <v>750000</v>
      </c>
      <c r="AA73" s="57"/>
      <c r="AB73" s="57">
        <f t="shared" si="293"/>
        <v>15000</v>
      </c>
      <c r="AC73" s="57"/>
      <c r="AD73" s="57"/>
      <c r="AE73" s="57"/>
      <c r="AF73" s="57"/>
      <c r="AG73" s="61"/>
      <c r="AH73" s="57"/>
      <c r="AI73" s="57"/>
      <c r="AJ73" s="57"/>
      <c r="AK73" s="57"/>
      <c r="AL73" s="61"/>
      <c r="AM73" s="57"/>
      <c r="AN73" s="57"/>
      <c r="AO73" s="57"/>
      <c r="AP73" s="57"/>
      <c r="AQ73" s="57"/>
      <c r="AR73" s="63"/>
      <c r="AS73" s="63"/>
      <c r="AT73" s="57"/>
      <c r="AU73" s="57"/>
      <c r="AV73" s="57"/>
      <c r="AW73" s="57">
        <f t="shared" si="867"/>
        <v>3</v>
      </c>
      <c r="AX73" s="57"/>
      <c r="AY73" s="57"/>
      <c r="AZ73" s="57"/>
      <c r="BA73" s="57"/>
      <c r="BB73" s="57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7"/>
      <c r="CF73" s="57"/>
      <c r="CG73" s="57"/>
      <c r="CH73" s="57"/>
      <c r="CI73" s="57"/>
      <c r="CJ73" s="57"/>
      <c r="CK73" s="57"/>
      <c r="CL73" s="57"/>
      <c r="CM73" s="57"/>
      <c r="CN73" s="66" t="str">
        <f t="shared" si="863"/>
        <v>InitUnitState('E221',,,2000,,750000,,15000,,,)</v>
      </c>
      <c r="CO73" s="66" t="str">
        <f t="shared" si="864"/>
        <v>InitUnitNormal('E221',,,,,,,,,,)</v>
      </c>
      <c r="CP73" s="66" t="str">
        <f t="shared" si="865"/>
        <v>InitUnitMagic('E221',,,,,,,,3,,)</v>
      </c>
      <c r="CQ73" s="66" t="str">
        <f t="shared" si="866"/>
        <v>InitUnitAdd('E221',,,,,,,,,,)</v>
      </c>
      <c r="CR73" s="66" t="str">
        <f t="shared" si="652"/>
        <v>InitEquipData('E221',,"",,E222,35000,50,'','','','','','',"ReplaceableTextures\\CommandButtons\\BTNZ15.blp")</v>
      </c>
      <c r="CS73" s="66"/>
      <c r="CT73" s="66"/>
      <c r="CU73" s="68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pans="1:175" s="7" customFormat="1" ht="16.5">
      <c r="A74" s="11"/>
      <c r="B74" s="45" t="s">
        <v>332</v>
      </c>
      <c r="C74" s="11" t="s">
        <v>333</v>
      </c>
      <c r="D74" s="46"/>
      <c r="E74" s="47"/>
      <c r="F74" s="48">
        <v>35000</v>
      </c>
      <c r="G74" s="49">
        <v>50</v>
      </c>
      <c r="H74" s="49"/>
      <c r="I74" s="49" t="str">
        <f t="shared" si="440"/>
        <v>E223</v>
      </c>
      <c r="J74" s="49"/>
      <c r="K74" s="49"/>
      <c r="L74" s="49"/>
      <c r="M74" s="49"/>
      <c r="N74" s="49"/>
      <c r="O74" s="49"/>
      <c r="P74" s="53"/>
      <c r="Q74" s="53"/>
      <c r="R74" s="53"/>
      <c r="S74" s="58"/>
      <c r="T74" s="59"/>
      <c r="U74" s="56" t="s">
        <v>331</v>
      </c>
      <c r="V74" s="57"/>
      <c r="W74" s="57"/>
      <c r="X74" s="57">
        <v>2200</v>
      </c>
      <c r="Y74" s="57"/>
      <c r="Z74" s="57">
        <v>1200000</v>
      </c>
      <c r="AA74" s="57"/>
      <c r="AB74" s="57">
        <f t="shared" si="293"/>
        <v>24000</v>
      </c>
      <c r="AC74" s="57"/>
      <c r="AD74" s="57"/>
      <c r="AE74" s="57"/>
      <c r="AF74" s="57"/>
      <c r="AG74" s="61"/>
      <c r="AH74" s="57"/>
      <c r="AI74" s="57"/>
      <c r="AJ74" s="57"/>
      <c r="AK74" s="57"/>
      <c r="AL74" s="61"/>
      <c r="AM74" s="57"/>
      <c r="AN74" s="57"/>
      <c r="AO74" s="57"/>
      <c r="AP74" s="57"/>
      <c r="AQ74" s="57"/>
      <c r="AR74" s="63"/>
      <c r="AS74" s="63"/>
      <c r="AT74" s="57"/>
      <c r="AU74" s="57"/>
      <c r="AV74" s="57"/>
      <c r="AW74" s="57">
        <f t="shared" si="867"/>
        <v>3</v>
      </c>
      <c r="AX74" s="57"/>
      <c r="AY74" s="57"/>
      <c r="AZ74" s="57"/>
      <c r="BA74" s="57"/>
      <c r="BB74" s="57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7"/>
      <c r="CF74" s="57"/>
      <c r="CG74" s="57"/>
      <c r="CH74" s="57"/>
      <c r="CI74" s="57"/>
      <c r="CJ74" s="57"/>
      <c r="CK74" s="57"/>
      <c r="CL74" s="57"/>
      <c r="CM74" s="57"/>
      <c r="CN74" s="66" t="str">
        <f t="shared" si="863"/>
        <v>InitUnitState('E222',,,2200,,1200000,,24000,,,)</v>
      </c>
      <c r="CO74" s="66" t="str">
        <f t="shared" si="864"/>
        <v>InitUnitNormal('E222',,,,,,,,,,)</v>
      </c>
      <c r="CP74" s="66" t="str">
        <f t="shared" si="865"/>
        <v>InitUnitMagic('E222',,,,,,,,3,,)</v>
      </c>
      <c r="CQ74" s="66" t="str">
        <f t="shared" si="866"/>
        <v>InitUnitAdd('E222',,,,,,,,,,)</v>
      </c>
      <c r="CR74" s="66" t="str">
        <f t="shared" si="652"/>
        <v>InitEquipData('E222',,"",,E223,35000,50,'','','','','','',"ReplaceableTextures\\CommandButtons\\BTNZ15.blp")</v>
      </c>
      <c r="CS74" s="66"/>
      <c r="CT74" s="66"/>
      <c r="CU74" s="68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pans="1:175" s="7" customFormat="1" ht="16.5">
      <c r="A75" s="11"/>
      <c r="B75" s="45" t="s">
        <v>334</v>
      </c>
      <c r="C75" s="11" t="s">
        <v>335</v>
      </c>
      <c r="D75" s="46"/>
      <c r="E75" s="47"/>
      <c r="F75" s="48">
        <v>35000</v>
      </c>
      <c r="G75" s="49">
        <v>50</v>
      </c>
      <c r="H75" s="49"/>
      <c r="I75" s="49" t="str">
        <f t="shared" si="440"/>
        <v>E224</v>
      </c>
      <c r="J75" s="49"/>
      <c r="K75" s="49"/>
      <c r="L75" s="49"/>
      <c r="M75" s="49"/>
      <c r="N75" s="49"/>
      <c r="O75" s="49"/>
      <c r="P75" s="53"/>
      <c r="Q75" s="53"/>
      <c r="R75" s="53"/>
      <c r="S75" s="58"/>
      <c r="T75" s="59"/>
      <c r="U75" s="56" t="s">
        <v>331</v>
      </c>
      <c r="V75" s="57"/>
      <c r="W75" s="57"/>
      <c r="X75" s="57">
        <v>2400</v>
      </c>
      <c r="Y75" s="57"/>
      <c r="Z75" s="57">
        <v>1650000</v>
      </c>
      <c r="AA75" s="57"/>
      <c r="AB75" s="57">
        <f t="shared" si="293"/>
        <v>33000</v>
      </c>
      <c r="AC75" s="57"/>
      <c r="AD75" s="57"/>
      <c r="AE75" s="57"/>
      <c r="AF75" s="57"/>
      <c r="AG75" s="61"/>
      <c r="AH75" s="57"/>
      <c r="AI75" s="57"/>
      <c r="AJ75" s="57"/>
      <c r="AK75" s="57"/>
      <c r="AL75" s="61"/>
      <c r="AM75" s="57"/>
      <c r="AN75" s="57"/>
      <c r="AO75" s="57"/>
      <c r="AP75" s="57"/>
      <c r="AQ75" s="57"/>
      <c r="AR75" s="63"/>
      <c r="AS75" s="63"/>
      <c r="AT75" s="57"/>
      <c r="AU75" s="57"/>
      <c r="AV75" s="57"/>
      <c r="AW75" s="57">
        <f t="shared" si="867"/>
        <v>3</v>
      </c>
      <c r="AX75" s="57"/>
      <c r="AY75" s="57"/>
      <c r="AZ75" s="57"/>
      <c r="BA75" s="57"/>
      <c r="BB75" s="57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7"/>
      <c r="CF75" s="57"/>
      <c r="CG75" s="57"/>
      <c r="CH75" s="57"/>
      <c r="CI75" s="57"/>
      <c r="CJ75" s="57"/>
      <c r="CK75" s="57"/>
      <c r="CL75" s="57"/>
      <c r="CM75" s="57"/>
      <c r="CN75" s="66" t="str">
        <f t="shared" si="863"/>
        <v>InitUnitState('E223',,,2400,,1650000,,33000,,,)</v>
      </c>
      <c r="CO75" s="66" t="str">
        <f t="shared" si="864"/>
        <v>InitUnitNormal('E223',,,,,,,,,,)</v>
      </c>
      <c r="CP75" s="66" t="str">
        <f t="shared" si="865"/>
        <v>InitUnitMagic('E223',,,,,,,,3,,)</v>
      </c>
      <c r="CQ75" s="66" t="str">
        <f t="shared" si="866"/>
        <v>InitUnitAdd('E223',,,,,,,,,,)</v>
      </c>
      <c r="CR75" s="66" t="str">
        <f t="shared" si="652"/>
        <v>InitEquipData('E223',,"",,E224,35000,50,'','','','','','',"ReplaceableTextures\\CommandButtons\\BTNZ15.blp")</v>
      </c>
      <c r="CS75" s="66"/>
      <c r="CT75" s="66"/>
      <c r="CU75" s="68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pans="1:175" s="7" customFormat="1" ht="16.5">
      <c r="A76" s="11"/>
      <c r="B76" s="45" t="s">
        <v>336</v>
      </c>
      <c r="C76" s="11" t="s">
        <v>337</v>
      </c>
      <c r="D76" s="46"/>
      <c r="E76" s="47"/>
      <c r="F76" s="48">
        <v>35000</v>
      </c>
      <c r="G76" s="49">
        <v>50</v>
      </c>
      <c r="H76" s="49"/>
      <c r="I76" s="49" t="str">
        <f t="shared" si="440"/>
        <v>E225</v>
      </c>
      <c r="J76" s="49"/>
      <c r="K76" s="49"/>
      <c r="L76" s="49"/>
      <c r="M76" s="49"/>
      <c r="N76" s="49"/>
      <c r="O76" s="49"/>
      <c r="P76" s="53"/>
      <c r="Q76" s="53"/>
      <c r="R76" s="53"/>
      <c r="S76" s="58"/>
      <c r="T76" s="59"/>
      <c r="U76" s="56" t="s">
        <v>331</v>
      </c>
      <c r="V76" s="57"/>
      <c r="W76" s="57"/>
      <c r="X76" s="57">
        <v>2600</v>
      </c>
      <c r="Y76" s="57"/>
      <c r="Z76" s="57">
        <v>2100000</v>
      </c>
      <c r="AA76" s="57"/>
      <c r="AB76" s="57">
        <f t="shared" si="293"/>
        <v>42000</v>
      </c>
      <c r="AC76" s="57"/>
      <c r="AD76" s="57"/>
      <c r="AE76" s="57"/>
      <c r="AF76" s="57"/>
      <c r="AG76" s="61"/>
      <c r="AH76" s="57"/>
      <c r="AI76" s="57"/>
      <c r="AJ76" s="57"/>
      <c r="AK76" s="57"/>
      <c r="AL76" s="61"/>
      <c r="AM76" s="57"/>
      <c r="AN76" s="57"/>
      <c r="AO76" s="57"/>
      <c r="AP76" s="57"/>
      <c r="AQ76" s="57"/>
      <c r="AR76" s="63"/>
      <c r="AS76" s="63"/>
      <c r="AT76" s="57"/>
      <c r="AU76" s="57"/>
      <c r="AV76" s="57"/>
      <c r="AW76" s="57">
        <f t="shared" si="867"/>
        <v>3</v>
      </c>
      <c r="AX76" s="57"/>
      <c r="AY76" s="57"/>
      <c r="AZ76" s="57"/>
      <c r="BA76" s="57"/>
      <c r="BB76" s="57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7"/>
      <c r="CF76" s="57"/>
      <c r="CG76" s="57"/>
      <c r="CH76" s="57"/>
      <c r="CI76" s="57"/>
      <c r="CJ76" s="57"/>
      <c r="CK76" s="57"/>
      <c r="CL76" s="57"/>
      <c r="CM76" s="57"/>
      <c r="CN76" s="66" t="str">
        <f t="shared" si="863"/>
        <v>InitUnitState('E224',,,2600,,2100000,,42000,,,)</v>
      </c>
      <c r="CO76" s="66" t="str">
        <f t="shared" si="864"/>
        <v>InitUnitNormal('E224',,,,,,,,,,)</v>
      </c>
      <c r="CP76" s="66" t="str">
        <f t="shared" si="865"/>
        <v>InitUnitMagic('E224',,,,,,,,3,,)</v>
      </c>
      <c r="CQ76" s="66" t="str">
        <f t="shared" si="866"/>
        <v>InitUnitAdd('E224',,,,,,,,,,)</v>
      </c>
      <c r="CR76" s="66" t="str">
        <f t="shared" si="652"/>
        <v>InitEquipData('E224',,"",,E225,35000,50,'','','','','','',"ReplaceableTextures\\CommandButtons\\BTNZ15.blp")</v>
      </c>
      <c r="CS76" s="66"/>
      <c r="CT76" s="66"/>
      <c r="CU76" s="68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pans="1:175" s="7" customFormat="1" ht="16.5">
      <c r="A77" s="11"/>
      <c r="B77" s="45" t="s">
        <v>338</v>
      </c>
      <c r="C77" s="11" t="s">
        <v>339</v>
      </c>
      <c r="D77" s="46"/>
      <c r="E77" s="47"/>
      <c r="F77" s="48"/>
      <c r="G77" s="49"/>
      <c r="H77" s="49"/>
      <c r="I77" s="49"/>
      <c r="J77" s="49"/>
      <c r="K77" s="49"/>
      <c r="L77" s="49"/>
      <c r="M77" s="49"/>
      <c r="N77" s="49"/>
      <c r="O77" s="49"/>
      <c r="P77" s="53"/>
      <c r="Q77" s="53"/>
      <c r="R77" s="53"/>
      <c r="S77" s="58"/>
      <c r="T77" s="59" t="s">
        <v>340</v>
      </c>
      <c r="U77" s="56" t="s">
        <v>331</v>
      </c>
      <c r="V77" s="57"/>
      <c r="W77" s="57"/>
      <c r="X77" s="57">
        <v>2800</v>
      </c>
      <c r="Y77" s="57"/>
      <c r="Z77" s="57">
        <v>3000000</v>
      </c>
      <c r="AA77" s="57"/>
      <c r="AB77" s="57">
        <f t="shared" si="293"/>
        <v>60000</v>
      </c>
      <c r="AC77" s="57"/>
      <c r="AD77" s="57"/>
      <c r="AE77" s="57"/>
      <c r="AF77" s="57"/>
      <c r="AG77" s="61"/>
      <c r="AH77" s="57"/>
      <c r="AI77" s="57"/>
      <c r="AJ77" s="57"/>
      <c r="AK77" s="57"/>
      <c r="AL77" s="61"/>
      <c r="AM77" s="57"/>
      <c r="AN77" s="57"/>
      <c r="AO77" s="57"/>
      <c r="AP77" s="57"/>
      <c r="AQ77" s="57"/>
      <c r="AR77" s="63"/>
      <c r="AS77" s="63"/>
      <c r="AT77" s="57"/>
      <c r="AU77" s="57"/>
      <c r="AV77" s="57"/>
      <c r="AW77" s="57">
        <v>5</v>
      </c>
      <c r="AX77" s="57"/>
      <c r="AY77" s="57"/>
      <c r="AZ77" s="57"/>
      <c r="BA77" s="57"/>
      <c r="BB77" s="5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7"/>
      <c r="CF77" s="57"/>
      <c r="CG77" s="57"/>
      <c r="CH77" s="57"/>
      <c r="CI77" s="57"/>
      <c r="CJ77" s="57"/>
      <c r="CK77" s="57"/>
      <c r="CL77" s="57"/>
      <c r="CM77" s="57"/>
      <c r="CN77" s="66" t="str">
        <f t="shared" si="863"/>
        <v>InitUnitState('E225',,,2800,,3000000,,60000,,,)</v>
      </c>
      <c r="CO77" s="66" t="str">
        <f t="shared" si="864"/>
        <v>InitUnitNormal('E225',,,,,,,,,,)</v>
      </c>
      <c r="CP77" s="66" t="str">
        <f t="shared" si="865"/>
        <v>InitUnitMagic('E225',,,,,,,,5,,)</v>
      </c>
      <c r="CQ77" s="66" t="str">
        <f t="shared" si="866"/>
        <v>InitUnitAdd('E225',,,,,,,,,,)</v>
      </c>
      <c r="CR77" s="6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6"/>
      <c r="CT77" s="66"/>
      <c r="CU77" s="68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spans="1:175" ht="16.5">
      <c r="A78" s="70"/>
      <c r="B78" s="45" t="s">
        <v>341</v>
      </c>
      <c r="C78" s="70" t="s">
        <v>342</v>
      </c>
      <c r="E78" s="71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78"/>
      <c r="Q78" s="78"/>
      <c r="R78" s="78"/>
      <c r="S78" s="78"/>
      <c r="T78" s="79"/>
      <c r="U78" s="80" t="s">
        <v>343</v>
      </c>
      <c r="V78" s="42">
        <v>7500</v>
      </c>
      <c r="Z78" s="42">
        <v>30000</v>
      </c>
      <c r="AG78" s="85"/>
      <c r="AJ78" s="42">
        <v>15</v>
      </c>
      <c r="AK78" s="42">
        <v>15</v>
      </c>
      <c r="AL78" s="85"/>
      <c r="BC78" s="86"/>
      <c r="BD78" s="86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8" t="str">
        <f t="shared" si="868"/>
        <v>|n攻击+7500|n生命值+30000|n物理伤害+15%|n法术伤害+15%|n杀敌攻击+8|n杀敌业力+1|n杀敌生命+30|n</v>
      </c>
      <c r="CV78" s="6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|n物理伤害+15%</v>
      </c>
      <c r="DQ78" s="44" t="str">
        <f t="shared" si="668"/>
        <v>|n法术伤害+15%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spans="1:175" ht="16.5">
      <c r="A79" s="70"/>
      <c r="B79" s="45" t="s">
        <v>344</v>
      </c>
      <c r="C79" s="70" t="s">
        <v>345</v>
      </c>
      <c r="E79" s="71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78"/>
      <c r="Q79" s="78"/>
      <c r="R79" s="78"/>
      <c r="S79" s="78"/>
      <c r="T79" s="79"/>
      <c r="U79" s="80" t="s">
        <v>346</v>
      </c>
      <c r="V79" s="42">
        <v>18000</v>
      </c>
      <c r="Z79" s="42">
        <v>72000</v>
      </c>
      <c r="AG79" s="85"/>
      <c r="AJ79" s="42">
        <v>15</v>
      </c>
      <c r="AK79" s="42">
        <v>15</v>
      </c>
      <c r="AL79" s="85"/>
      <c r="BC79" s="86"/>
      <c r="BD79" s="86"/>
      <c r="BL79" s="42">
        <v>8</v>
      </c>
      <c r="BM79" s="42">
        <v>1</v>
      </c>
      <c r="BN79" s="42">
        <v>30</v>
      </c>
      <c r="CU79" s="68" t="str">
        <f t="shared" si="868"/>
        <v>|n攻击+18000|n生命值+72000|n物理伤害+15%|n法术伤害+15%|n杀敌攻击+8|n杀敌业力+1|n杀敌生命+30|n</v>
      </c>
      <c r="CV79" s="6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|n攻击+18000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|n生命值+72000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|n物理伤害+15%</v>
      </c>
      <c r="DQ79" s="44" t="str">
        <f t="shared" si="668"/>
        <v>|n法术伤害+15%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spans="1:175" ht="16.5">
      <c r="A80" s="10"/>
      <c r="B80" s="45" t="s">
        <v>347</v>
      </c>
      <c r="C80" s="10" t="s">
        <v>348</v>
      </c>
      <c r="E80" s="71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78"/>
      <c r="Q80" s="78"/>
      <c r="R80" s="78"/>
      <c r="S80" s="81"/>
      <c r="T80" s="79"/>
      <c r="U80" s="80" t="s">
        <v>349</v>
      </c>
      <c r="V80" s="42">
        <v>37500</v>
      </c>
      <c r="Z80" s="42">
        <v>150000</v>
      </c>
      <c r="AG80" s="85"/>
      <c r="AJ80" s="42">
        <v>15</v>
      </c>
      <c r="AK80" s="42">
        <v>15</v>
      </c>
      <c r="AL80" s="85"/>
      <c r="BC80" s="86"/>
      <c r="BD80" s="86"/>
      <c r="BL80" s="42">
        <v>8</v>
      </c>
      <c r="BM80" s="42">
        <v>1</v>
      </c>
      <c r="BN80" s="42">
        <v>30</v>
      </c>
      <c r="CU80" s="68" t="str">
        <f t="shared" si="868"/>
        <v>|n攻击+37500|n生命值+150000|n物理伤害+15%|n法术伤害+15%|n杀敌攻击+8|n杀敌业力+1|n杀敌生命+30|n</v>
      </c>
      <c r="CV80" s="6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|n攻击+37500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|n生命值+150000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|n物理伤害+15%</v>
      </c>
      <c r="DQ80" s="44" t="str">
        <f t="shared" si="668"/>
        <v>|n法术伤害+15%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spans="1:175" ht="16.5">
      <c r="A81" s="10"/>
      <c r="B81" s="45" t="s">
        <v>350</v>
      </c>
      <c r="C81" s="10" t="s">
        <v>351</v>
      </c>
      <c r="E81" s="71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78"/>
      <c r="Q81" s="78"/>
      <c r="R81" s="78"/>
      <c r="S81" s="81"/>
      <c r="T81" s="79"/>
      <c r="U81" s="80" t="s">
        <v>352</v>
      </c>
      <c r="V81" s="42">
        <v>60000</v>
      </c>
      <c r="Z81" s="42">
        <v>240000</v>
      </c>
      <c r="AG81" s="85"/>
      <c r="AJ81" s="42">
        <v>20</v>
      </c>
      <c r="AK81" s="42">
        <v>20</v>
      </c>
      <c r="AL81" s="85"/>
      <c r="BC81" s="86"/>
      <c r="BD81" s="86"/>
      <c r="BL81" s="42">
        <v>8</v>
      </c>
      <c r="BM81" s="42">
        <v>1</v>
      </c>
      <c r="BN81" s="42">
        <v>30</v>
      </c>
      <c r="CU81" s="68" t="str">
        <f t="shared" si="868"/>
        <v>|n攻击+60000|n生命值+240000|n物理伤害+20%|n法术伤害+20%|n杀敌攻击+8|n杀敌业力+1|n杀敌生命+30|n</v>
      </c>
      <c r="CV81" s="6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|n攻击+60000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|n生命值+240000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|n物理伤害+20%</v>
      </c>
      <c r="DQ81" s="44" t="str">
        <f t="shared" si="668"/>
        <v>|n法术伤害+20%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spans="1:175" ht="16.5">
      <c r="A82" s="10"/>
      <c r="B82" s="45" t="s">
        <v>353</v>
      </c>
      <c r="C82" s="10" t="s">
        <v>354</v>
      </c>
      <c r="E82" s="71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78"/>
      <c r="Q82" s="78"/>
      <c r="R82" s="78"/>
      <c r="S82" s="81"/>
      <c r="T82" s="79"/>
      <c r="U82" s="80" t="s">
        <v>355</v>
      </c>
      <c r="V82" s="42">
        <v>82500</v>
      </c>
      <c r="Z82" s="42">
        <v>330000</v>
      </c>
      <c r="AG82" s="85"/>
      <c r="AJ82" s="42">
        <v>20</v>
      </c>
      <c r="AK82" s="42">
        <v>20</v>
      </c>
      <c r="AL82" s="85"/>
      <c r="BC82" s="86"/>
      <c r="BD82" s="86"/>
      <c r="BL82" s="42">
        <v>8</v>
      </c>
      <c r="BM82" s="42">
        <v>1</v>
      </c>
      <c r="BN82" s="42">
        <v>30</v>
      </c>
      <c r="CU82" s="68" t="str">
        <f t="shared" si="868"/>
        <v>|n攻击+82500|n生命值+330000|n物理伤害+20%|n法术伤害+20%|n杀敌攻击+8|n杀敌业力+1|n杀敌生命+30|n</v>
      </c>
      <c r="CV82" s="6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|n攻击+82500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|n生命值+330000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|n物理伤害+20%</v>
      </c>
      <c r="DQ82" s="44" t="str">
        <f t="shared" si="668"/>
        <v>|n法术伤害+20%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spans="1:175" ht="16.5">
      <c r="A83" s="11"/>
      <c r="B83" s="45" t="s">
        <v>356</v>
      </c>
      <c r="C83" s="11" t="s">
        <v>357</v>
      </c>
      <c r="E83" s="71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78"/>
      <c r="Q83" s="78"/>
      <c r="R83" s="78"/>
      <c r="S83" s="81"/>
      <c r="T83" s="79"/>
      <c r="U83" s="80" t="s">
        <v>358</v>
      </c>
      <c r="V83" s="42">
        <v>120000</v>
      </c>
      <c r="Z83" s="42">
        <v>480000</v>
      </c>
      <c r="AG83" s="85"/>
      <c r="AJ83" s="42">
        <v>20</v>
      </c>
      <c r="AK83" s="42">
        <v>20</v>
      </c>
      <c r="AL83" s="85"/>
      <c r="BC83" s="86"/>
      <c r="BD83" s="86"/>
      <c r="BL83" s="42">
        <v>8</v>
      </c>
      <c r="BM83" s="42">
        <v>1</v>
      </c>
      <c r="BN83" s="42">
        <v>30</v>
      </c>
      <c r="CU83" s="68" t="str">
        <f t="shared" si="868"/>
        <v>|n攻击+120000|n生命值+480000|n物理伤害+20%|n法术伤害+20%|n杀敌攻击+8|n杀敌业力+1|n杀敌生命+30|n</v>
      </c>
      <c r="CV83" s="6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|n攻击+120000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|n生命值+480000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|n物理伤害+20%</v>
      </c>
      <c r="DQ83" s="44" t="str">
        <f t="shared" si="668"/>
        <v>|n法术伤害+20%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spans="1:175" ht="16.5">
      <c r="A84" s="11"/>
      <c r="B84" s="45" t="s">
        <v>359</v>
      </c>
      <c r="C84" s="11" t="s">
        <v>360</v>
      </c>
      <c r="E84" s="71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78"/>
      <c r="Q84" s="78"/>
      <c r="R84" s="78"/>
      <c r="S84" s="81"/>
      <c r="T84" s="79"/>
      <c r="U84" s="80" t="s">
        <v>361</v>
      </c>
      <c r="V84" s="42">
        <v>180000</v>
      </c>
      <c r="Z84" s="42">
        <v>720000</v>
      </c>
      <c r="AG84" s="85"/>
      <c r="AJ84" s="42">
        <v>25</v>
      </c>
      <c r="AK84" s="42">
        <v>25</v>
      </c>
      <c r="AL84" s="85"/>
      <c r="BC84" s="86"/>
      <c r="BD84" s="86"/>
      <c r="BL84" s="42">
        <v>8</v>
      </c>
      <c r="BM84" s="42">
        <v>1</v>
      </c>
      <c r="BN84" s="42">
        <v>30</v>
      </c>
      <c r="CU84" s="68" t="str">
        <f t="shared" si="868"/>
        <v>|n攻击+180000|n生命值+720000|n物理伤害+25%|n法术伤害+25%|n杀敌攻击+8|n杀敌业力+1|n杀敌生命+30|n</v>
      </c>
      <c r="CV84" s="6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|n攻击+180000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|n生命值+720000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|n物理伤害+25%</v>
      </c>
      <c r="DQ84" s="44" t="str">
        <f t="shared" si="668"/>
        <v>|n法术伤害+25%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spans="1:175" ht="16.5">
      <c r="A85" s="11"/>
      <c r="B85" s="45" t="s">
        <v>362</v>
      </c>
      <c r="C85" s="11" t="s">
        <v>363</v>
      </c>
      <c r="E85" s="72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78"/>
      <c r="Q85" s="78"/>
      <c r="R85" s="78"/>
      <c r="S85" s="81"/>
      <c r="T85" s="79"/>
      <c r="U85" s="80" t="s">
        <v>364</v>
      </c>
      <c r="V85" s="42">
        <v>300000</v>
      </c>
      <c r="Z85" s="42">
        <v>1200000</v>
      </c>
      <c r="AG85" s="85"/>
      <c r="AJ85" s="42">
        <v>25</v>
      </c>
      <c r="AK85" s="42">
        <v>25</v>
      </c>
      <c r="AL85" s="85"/>
      <c r="BC85" s="86"/>
      <c r="BD85" s="86"/>
      <c r="BL85" s="42">
        <v>8</v>
      </c>
      <c r="BM85" s="42">
        <v>1</v>
      </c>
      <c r="BN85" s="42">
        <v>30</v>
      </c>
      <c r="CU85" s="68" t="str">
        <f t="shared" si="868"/>
        <v>|n攻击+300000|n生命值+1200000|n物理伤害+25%|n法术伤害+25%|n杀敌攻击+8|n杀敌业力+1|n杀敌生命+30|n</v>
      </c>
      <c r="CV85" s="6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|n攻击+300000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|n生命值+1200000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|n物理伤害+25%</v>
      </c>
      <c r="DQ85" s="44" t="str">
        <f t="shared" si="668"/>
        <v>|n法术伤害+25%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spans="1:175" ht="16.5">
      <c r="A86" s="11"/>
      <c r="B86" s="45" t="s">
        <v>365</v>
      </c>
      <c r="C86" s="11" t="s">
        <v>366</v>
      </c>
      <c r="E86" s="72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78"/>
      <c r="Q86" s="78"/>
      <c r="R86" s="78"/>
      <c r="S86" s="81"/>
      <c r="T86" s="79"/>
      <c r="U86" s="80" t="s">
        <v>367</v>
      </c>
      <c r="V86" s="42">
        <v>450000</v>
      </c>
      <c r="Z86" s="42">
        <v>1800000</v>
      </c>
      <c r="AG86" s="85"/>
      <c r="AJ86" s="42">
        <v>25</v>
      </c>
      <c r="AK86" s="42">
        <v>25</v>
      </c>
      <c r="AL86" s="85"/>
      <c r="BC86" s="86"/>
      <c r="BD86" s="86"/>
      <c r="BL86" s="42">
        <v>8</v>
      </c>
      <c r="BM86" s="42">
        <v>1</v>
      </c>
      <c r="BN86" s="42">
        <v>30</v>
      </c>
      <c r="CU86" s="68" t="str">
        <f t="shared" si="868"/>
        <v>|n攻击+450000|n生命值+1800000|n物理伤害+25%|n法术伤害+25%|n杀敌攻击+8|n杀敌业力+1|n杀敌生命+30|n</v>
      </c>
      <c r="CV86" s="6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|n攻击+450000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|n生命值+1800000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|n物理伤害+25%</v>
      </c>
      <c r="DQ86" s="44" t="str">
        <f t="shared" si="668"/>
        <v>|n法术伤害+25%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spans="1:175" ht="16.5">
      <c r="A87" s="11"/>
      <c r="B87" s="45" t="s">
        <v>368</v>
      </c>
      <c r="C87" s="11" t="s">
        <v>369</v>
      </c>
      <c r="E87" s="72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78"/>
      <c r="Q87" s="78"/>
      <c r="R87" s="78"/>
      <c r="S87" s="81"/>
      <c r="T87" s="79"/>
      <c r="U87" s="80" t="s">
        <v>370</v>
      </c>
      <c r="V87" s="42">
        <v>750000</v>
      </c>
      <c r="Z87" s="42">
        <v>3000000</v>
      </c>
      <c r="AG87" s="85"/>
      <c r="AJ87" s="42">
        <v>30</v>
      </c>
      <c r="AK87" s="42">
        <v>30</v>
      </c>
      <c r="AL87" s="85"/>
      <c r="BC87" s="86"/>
      <c r="BD87" s="86"/>
      <c r="BL87" s="42">
        <v>8</v>
      </c>
      <c r="BM87" s="42">
        <v>1</v>
      </c>
      <c r="BN87" s="42">
        <v>30</v>
      </c>
      <c r="CU87" s="68" t="str">
        <f t="shared" si="868"/>
        <v>|n攻击+750000|n生命值+3000000|n物理伤害+30%|n法术伤害+30%|n杀敌攻击+8|n杀敌业力+1|n杀敌生命+30|n</v>
      </c>
      <c r="CV87" s="6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|n攻击+750000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|n生命值+3000000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|n物理伤害+30%</v>
      </c>
      <c r="DQ87" s="44" t="str">
        <f t="shared" si="668"/>
        <v>|n法术伤害+30%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spans="1:175" ht="16.5">
      <c r="A88" s="5"/>
      <c r="B88" s="5" t="s">
        <v>371</v>
      </c>
      <c r="C88" s="70" t="s">
        <v>372</v>
      </c>
      <c r="T88" s="5" t="str">
        <f>"|CffCCCCCC道果属性：|r"&amp;CU78&amp;"|n|Cff00FF7F点击吸收道果，强行突破境界。|r"</f>
        <v>|CffCCCCCC道果属性：|r|n攻击+7500|n生命值+30000|n物理伤害+15%|n法术伤害+15%|n杀敌攻击+8|n杀敌业力+1|n杀敌生命+30|n|n|Cff00FF7F点击吸收道果，强行突破境界。|r</v>
      </c>
      <c r="U88" s="56" t="s">
        <v>373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|CffCCCCCC道果属性：|r|n攻击+7500|n生命值+30000|n物理伤害+15%|n法术伤害+15%|n杀敌攻击+8|n杀敌业力+1|n杀敌生命+30|n|n|Cff00FF7F点击吸收道果，强行突破境界。|r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spans="1:175" ht="16.5">
      <c r="A89" s="5"/>
      <c r="B89" s="5" t="s">
        <v>374</v>
      </c>
      <c r="C89" s="70" t="s">
        <v>375</v>
      </c>
      <c r="T89" s="5" t="str">
        <f t="shared" ref="T89:T97" si="1015">"|CffCCCCCC道果属性：|r"&amp;CU79&amp;"|n|Cff00FF7F点击吸收道果，强行突破境界。|r"</f>
        <v>|CffCCCCCC道果属性：|r|n攻击+18000|n生命值+72000|n物理伤害+15%|n法术伤害+15%|n杀敌攻击+8|n杀敌业力+1|n杀敌生命+30|n|n|Cff00FF7F点击吸收道果，强行突破境界。|r</v>
      </c>
      <c r="U89" s="56" t="s">
        <v>376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8" t="str">
        <f t="shared" si="943"/>
        <v>|n</v>
      </c>
      <c r="CV89" s="6" t="str">
        <f t="shared" si="944"/>
        <v>|CffCCCCCC道果属性：|r|n攻击+18000|n生命值+72000|n物理伤害+15%|n法术伤害+15%|n杀敌攻击+8|n杀敌业力+1|n杀敌生命+30|n|n|Cff00FF7F点击吸收道果，强行突破境界。|r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spans="1:175" ht="16.5">
      <c r="A90" s="5"/>
      <c r="B90" s="5" t="s">
        <v>377</v>
      </c>
      <c r="C90" s="10" t="s">
        <v>378</v>
      </c>
      <c r="T90" s="5" t="str">
        <f t="shared" si="1015"/>
        <v>|CffCCCCCC道果属性：|r|n攻击+37500|n生命值+150000|n物理伤害+15%|n法术伤害+15%|n杀敌攻击+8|n杀敌业力+1|n杀敌生命+30|n|n|Cff00FF7F点击吸收道果，强行突破境界。|r</v>
      </c>
      <c r="U90" s="56" t="s">
        <v>379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8" t="str">
        <f t="shared" si="943"/>
        <v>|n</v>
      </c>
      <c r="CV90" s="6" t="str">
        <f t="shared" si="944"/>
        <v>|CffCCCCCC道果属性：|r|n攻击+37500|n生命值+150000|n物理伤害+15%|n法术伤害+15%|n杀敌攻击+8|n杀敌业力+1|n杀敌生命+30|n|n|Cff00FF7F点击吸收道果，强行突破境界。|r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spans="1:175" ht="16.5">
      <c r="A91" s="5"/>
      <c r="B91" s="5" t="s">
        <v>380</v>
      </c>
      <c r="C91" s="10" t="s">
        <v>381</v>
      </c>
      <c r="T91" s="5" t="str">
        <f t="shared" si="1015"/>
        <v>|CffCCCCCC道果属性：|r|n攻击+60000|n生命值+240000|n物理伤害+20%|n法术伤害+20%|n杀敌攻击+8|n杀敌业力+1|n杀敌生命+30|n|n|Cff00FF7F点击吸收道果，强行突破境界。|r</v>
      </c>
      <c r="U91" s="56" t="s">
        <v>382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8" t="str">
        <f t="shared" si="943"/>
        <v>|n</v>
      </c>
      <c r="CV91" s="6" t="str">
        <f t="shared" si="944"/>
        <v>|CffCCCCCC道果属性：|r|n攻击+60000|n生命值+240000|n物理伤害+20%|n法术伤害+20%|n杀敌攻击+8|n杀敌业力+1|n杀敌生命+30|n|n|Cff00FF7F点击吸收道果，强行突破境界。|r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spans="1:175" ht="16.5">
      <c r="A92" s="5"/>
      <c r="B92" s="5" t="s">
        <v>383</v>
      </c>
      <c r="C92" s="10" t="s">
        <v>384</v>
      </c>
      <c r="T92" s="5" t="str">
        <f t="shared" si="1015"/>
        <v>|CffCCCCCC道果属性：|r|n攻击+82500|n生命值+330000|n物理伤害+20%|n法术伤害+20%|n杀敌攻击+8|n杀敌业力+1|n杀敌生命+30|n|n|Cff00FF7F点击吸收道果，强行突破境界。|r</v>
      </c>
      <c r="U92" s="56" t="s">
        <v>385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|CffCCCCCC道果属性：|r|n攻击+82500|n生命值+330000|n物理伤害+20%|n法术伤害+20%|n杀敌攻击+8|n杀敌业力+1|n杀敌生命+30|n|n|Cff00FF7F点击吸收道果，强行突破境界。|r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spans="1:175" ht="16.5">
      <c r="A93" s="5"/>
      <c r="B93" s="5" t="s">
        <v>386</v>
      </c>
      <c r="C93" s="11" t="s">
        <v>387</v>
      </c>
      <c r="T93" s="5" t="str">
        <f t="shared" si="1015"/>
        <v>|CffCCCCCC道果属性：|r|n攻击+120000|n生命值+480000|n物理伤害+20%|n法术伤害+20%|n杀敌攻击+8|n杀敌业力+1|n杀敌生命+30|n|n|Cff00FF7F点击吸收道果，强行突破境界。|r</v>
      </c>
      <c r="U93" s="56" t="s">
        <v>388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8" t="str">
        <f t="shared" si="1020"/>
        <v>|n</v>
      </c>
      <c r="CV93" s="6" t="str">
        <f t="shared" si="1021"/>
        <v>|CffCCCCCC道果属性：|r|n攻击+120000|n生命值+480000|n物理伤害+20%|n法术伤害+20%|n杀敌攻击+8|n杀敌业力+1|n杀敌生命+30|n|n|Cff00FF7F点击吸收道果，强行突破境界。|r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spans="1:175" ht="16.5">
      <c r="A94" s="5"/>
      <c r="B94" s="5" t="s">
        <v>389</v>
      </c>
      <c r="C94" s="11" t="s">
        <v>390</v>
      </c>
      <c r="T94" s="5" t="str">
        <f t="shared" si="1015"/>
        <v>|CffCCCCCC道果属性：|r|n攻击+180000|n生命值+720000|n物理伤害+25%|n法术伤害+25%|n杀敌攻击+8|n杀敌业力+1|n杀敌生命+30|n|n|Cff00FF7F点击吸收道果，强行突破境界。|r</v>
      </c>
      <c r="U94" s="56" t="s">
        <v>391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8" t="str">
        <f t="shared" si="1020"/>
        <v>|n</v>
      </c>
      <c r="CV94" s="6" t="str">
        <f t="shared" si="1021"/>
        <v>|CffCCCCCC道果属性：|r|n攻击+180000|n生命值+720000|n物理伤害+25%|n法术伤害+25%|n杀敌攻击+8|n杀敌业力+1|n杀敌生命+30|n|n|Cff00FF7F点击吸收道果，强行突破境界。|r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spans="1:175" ht="16.5">
      <c r="A95" s="5"/>
      <c r="B95" s="5" t="s">
        <v>392</v>
      </c>
      <c r="C95" s="11" t="s">
        <v>393</v>
      </c>
      <c r="T95" s="5" t="str">
        <f t="shared" si="1015"/>
        <v>|CffCCCCCC道果属性：|r|n攻击+300000|n生命值+1200000|n物理伤害+25%|n法术伤害+25%|n杀敌攻击+8|n杀敌业力+1|n杀敌生命+30|n|n|Cff00FF7F点击吸收道果，强行突破境界。|r</v>
      </c>
      <c r="U95" s="56" t="s">
        <v>394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8" t="str">
        <f t="shared" si="1020"/>
        <v>|n</v>
      </c>
      <c r="CV95" s="6" t="str">
        <f t="shared" si="1021"/>
        <v>|CffCCCCCC道果属性：|r|n攻击+300000|n生命值+1200000|n物理伤害+25%|n法术伤害+25%|n杀敌攻击+8|n杀敌业力+1|n杀敌生命+30|n|n|Cff00FF7F点击吸收道果，强行突破境界。|r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spans="1:175" ht="16.5">
      <c r="A96" s="5"/>
      <c r="B96" s="5" t="s">
        <v>395</v>
      </c>
      <c r="C96" s="11" t="s">
        <v>396</v>
      </c>
      <c r="T96" s="5" t="str">
        <f t="shared" si="1015"/>
        <v>|CffCCCCCC道果属性：|r|n攻击+450000|n生命值+1800000|n物理伤害+25%|n法术伤害+25%|n杀敌攻击+8|n杀敌业力+1|n杀敌生命+30|n|n|Cff00FF7F点击吸收道果，强行突破境界。|r</v>
      </c>
      <c r="U96" s="56" t="s">
        <v>397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|CffCCCCCC道果属性：|r|n攻击+450000|n生命值+1800000|n物理伤害+25%|n法术伤害+25%|n杀敌攻击+8|n杀敌业力+1|n杀敌生命+30|n|n|Cff00FF7F点击吸收道果，强行突破境界。|r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spans="1:175" ht="16.5">
      <c r="A97" s="5"/>
      <c r="B97" s="5" t="s">
        <v>398</v>
      </c>
      <c r="C97" s="11" t="s">
        <v>399</v>
      </c>
      <c r="T97" s="5" t="str">
        <f t="shared" si="1015"/>
        <v>|CffCCCCCC道果属性：|r|n攻击+750000|n生命值+3000000|n物理伤害+30%|n法术伤害+30%|n杀敌攻击+8|n杀敌业力+1|n杀敌生命+30|n|n|Cff00FF7F点击吸收道果，强行突破境界。|r</v>
      </c>
      <c r="U97" s="56" t="s">
        <v>400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6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|CffCCCCCC道果属性：|r|n攻击+750000|n生命值+3000000|n物理伤害+30%|n法术伤害+30%|n杀敌攻击+8|n杀敌业力+1|n杀敌生命+30|n|n|Cff00FF7F点击吸收道果，强行突破境界。|r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spans="1:175" ht="16.5">
      <c r="A98" s="5"/>
      <c r="B98" s="5" t="s">
        <v>401</v>
      </c>
      <c r="C98" s="70" t="s">
        <v>402</v>
      </c>
      <c r="T98" s="5" t="str">
        <f>"|CffCCCCCC道果属性：|r"&amp;CU78&amp;"|n|Cff00FF7F点击吸收道果，境界突破一级。|n需境界经验达到圆满。|r"</f>
        <v>|CffCCCCCC道果属性：|r|n攻击+7500|n生命值+30000|n物理伤害+15%|n法术伤害+15%|n杀敌攻击+8|n杀敌业力+1|n杀敌生命+30|n|n|Cff00FF7F点击吸收道果，境界突破一级。|n需境界经验达到圆满。|r</v>
      </c>
      <c r="U98" s="56" t="s">
        <v>403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8" t="str">
        <f t="shared" si="1242"/>
        <v>|n</v>
      </c>
      <c r="CV98" s="6" t="str">
        <f t="shared" si="1243"/>
        <v>|CffCCCCCC道果属性：|r|n攻击+7500|n生命值+30000|n物理伤害+15%|n法术伤害+15%|n杀敌攻击+8|n杀敌业力+1|n杀敌生命+30|n|n|Cff00FF7F点击吸收道果，境界突破一级。|n需境界经验达到圆满。|r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spans="1:175" ht="16.5">
      <c r="A99" s="5"/>
      <c r="B99" s="5" t="s">
        <v>404</v>
      </c>
      <c r="C99" s="70" t="s">
        <v>405</v>
      </c>
      <c r="T99" s="5" t="str">
        <f t="shared" ref="T99:T107" si="1244">"|CffCCCCCC道果属性：|r"&amp;CU79&amp;"|n|Cff00FF7F点击吸收道果，境界突破一级。|n需境界经验达到圆满。|r"</f>
        <v>|CffCCCCCC道果属性：|r|n攻击+18000|n生命值+72000|n物理伤害+15%|n法术伤害+15%|n杀敌攻击+8|n杀敌业力+1|n杀敌生命+30|n|n|Cff00FF7F点击吸收道果，境界突破一级。|n需境界经验达到圆满。|r</v>
      </c>
      <c r="U99" s="56" t="s">
        <v>406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8" t="str">
        <f t="shared" si="1242"/>
        <v>|n</v>
      </c>
      <c r="CV99" s="6" t="str">
        <f t="shared" si="1243"/>
        <v>|CffCCCCCC道果属性：|r|n攻击+18000|n生命值+72000|n物理伤害+15%|n法术伤害+15%|n杀敌攻击+8|n杀敌业力+1|n杀敌生命+30|n|n|Cff00FF7F点击吸收道果，境界突破一级。|n需境界经验达到圆满。|r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spans="1:175" ht="16.5">
      <c r="A100" s="5"/>
      <c r="B100" s="5" t="s">
        <v>407</v>
      </c>
      <c r="C100" s="10" t="s">
        <v>408</v>
      </c>
      <c r="T100" s="5" t="str">
        <f t="shared" si="1244"/>
        <v>|CffCCCCCC道果属性：|r|n攻击+37500|n生命值+150000|n物理伤害+15%|n法术伤害+15%|n杀敌攻击+8|n杀敌业力+1|n杀敌生命+30|n|n|Cff00FF7F点击吸收道果，境界突破一级。|n需境界经验达到圆满。|r</v>
      </c>
      <c r="U100" s="56" t="s">
        <v>409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8" t="str">
        <f t="shared" si="1242"/>
        <v>|n</v>
      </c>
      <c r="CV100" s="6" t="str">
        <f t="shared" si="1243"/>
        <v>|CffCCCCCC道果属性：|r|n攻击+37500|n生命值+150000|n物理伤害+15%|n法术伤害+15%|n杀敌攻击+8|n杀敌业力+1|n杀敌生命+30|n|n|Cff00FF7F点击吸收道果，境界突破一级。|n需境界经验达到圆满。|r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spans="1:175" ht="16.5">
      <c r="A101" s="5"/>
      <c r="B101" s="5" t="s">
        <v>410</v>
      </c>
      <c r="C101" s="10" t="s">
        <v>411</v>
      </c>
      <c r="T101" s="5" t="str">
        <f t="shared" si="1244"/>
        <v>|CffCCCCCC道果属性：|r|n攻击+60000|n生命值+240000|n物理伤害+20%|n法术伤害+20%|n杀敌攻击+8|n杀敌业力+1|n杀敌生命+30|n|n|Cff00FF7F点击吸收道果，境界突破一级。|n需境界经验达到圆满。|r</v>
      </c>
      <c r="U101" s="56" t="s">
        <v>412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8" t="str">
        <f t="shared" si="1242"/>
        <v>|n</v>
      </c>
      <c r="CV101" s="6" t="str">
        <f t="shared" si="1243"/>
        <v>|CffCCCCCC道果属性：|r|n攻击+60000|n生命值+240000|n物理伤害+20%|n法术伤害+20%|n杀敌攻击+8|n杀敌业力+1|n杀敌生命+30|n|n|Cff00FF7F点击吸收道果，境界突破一级。|n需境界经验达到圆满。|r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spans="1:175" ht="16.5">
      <c r="A102" s="5"/>
      <c r="B102" s="5" t="s">
        <v>413</v>
      </c>
      <c r="C102" s="10" t="s">
        <v>414</v>
      </c>
      <c r="T102" s="5" t="str">
        <f t="shared" si="1244"/>
        <v>|CffCCCCCC道果属性：|r|n攻击+82500|n生命值+330000|n物理伤害+20%|n法术伤害+20%|n杀敌攻击+8|n杀敌业力+1|n杀敌生命+30|n|n|Cff00FF7F点击吸收道果，境界突破一级。|n需境界经验达到圆满。|r</v>
      </c>
      <c r="U102" s="56" t="s">
        <v>415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8" t="str">
        <f t="shared" si="1242"/>
        <v>|n</v>
      </c>
      <c r="CV102" s="6" t="str">
        <f t="shared" si="1243"/>
        <v>|CffCCCCCC道果属性：|r|n攻击+82500|n生命值+330000|n物理伤害+20%|n法术伤害+20%|n杀敌攻击+8|n杀敌业力+1|n杀敌生命+30|n|n|Cff00FF7F点击吸收道果，境界突破一级。|n需境界经验达到圆满。|r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spans="1:175" ht="16.5">
      <c r="A103" s="5"/>
      <c r="B103" s="5" t="s">
        <v>416</v>
      </c>
      <c r="C103" s="11" t="s">
        <v>417</v>
      </c>
      <c r="T103" s="5" t="str">
        <f t="shared" si="1244"/>
        <v>|CffCCCCCC道果属性：|r|n攻击+120000|n生命值+480000|n物理伤害+20%|n法术伤害+20%|n杀敌攻击+8|n杀敌业力+1|n杀敌生命+30|n|n|Cff00FF7F点击吸收道果，境界突破一级。|n需境界经验达到圆满。|r</v>
      </c>
      <c r="U103" s="56" t="s">
        <v>418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8" t="str">
        <f t="shared" si="1242"/>
        <v>|n</v>
      </c>
      <c r="CV103" s="6" t="str">
        <f t="shared" si="1243"/>
        <v>|CffCCCCCC道果属性：|r|n攻击+120000|n生命值+480000|n物理伤害+20%|n法术伤害+20%|n杀敌攻击+8|n杀敌业力+1|n杀敌生命+30|n|n|Cff00FF7F点击吸收道果，境界突破一级。|n需境界经验达到圆满。|r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spans="1:175" ht="16.5">
      <c r="A104" s="5"/>
      <c r="B104" s="5" t="s">
        <v>419</v>
      </c>
      <c r="C104" s="11" t="s">
        <v>420</v>
      </c>
      <c r="T104" s="5" t="str">
        <f t="shared" si="1244"/>
        <v>|CffCCCCCC道果属性：|r|n攻击+180000|n生命值+720000|n物理伤害+25%|n法术伤害+25%|n杀敌攻击+8|n杀敌业力+1|n杀敌生命+30|n|n|Cff00FF7F点击吸收道果，境界突破一级。|n需境界经验达到圆满。|r</v>
      </c>
      <c r="U104" s="56" t="s">
        <v>421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8" t="str">
        <f t="shared" si="1242"/>
        <v>|n</v>
      </c>
      <c r="CV104" s="6" t="str">
        <f t="shared" si="1243"/>
        <v>|CffCCCCCC道果属性：|r|n攻击+180000|n生命值+720000|n物理伤害+25%|n法术伤害+25%|n杀敌攻击+8|n杀敌业力+1|n杀敌生命+30|n|n|Cff00FF7F点击吸收道果，境界突破一级。|n需境界经验达到圆满。|r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spans="1:175" ht="16.5">
      <c r="A105" s="5"/>
      <c r="B105" s="5" t="s">
        <v>422</v>
      </c>
      <c r="C105" s="11" t="s">
        <v>423</v>
      </c>
      <c r="T105" s="5" t="str">
        <f t="shared" si="1244"/>
        <v>|CffCCCCCC道果属性：|r|n攻击+300000|n生命值+1200000|n物理伤害+25%|n法术伤害+25%|n杀敌攻击+8|n杀敌业力+1|n杀敌生命+30|n|n|Cff00FF7F点击吸收道果，境界突破一级。|n需境界经验达到圆满。|r</v>
      </c>
      <c r="U105" s="56" t="s">
        <v>424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8" t="str">
        <f t="shared" si="1242"/>
        <v>|n</v>
      </c>
      <c r="CV105" s="6" t="str">
        <f t="shared" si="1243"/>
        <v>|CffCCCCCC道果属性：|r|n攻击+300000|n生命值+1200000|n物理伤害+25%|n法术伤害+25%|n杀敌攻击+8|n杀敌业力+1|n杀敌生命+30|n|n|Cff00FF7F点击吸收道果，境界突破一级。|n需境界经验达到圆满。|r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spans="1:175" ht="16.5">
      <c r="A106" s="5"/>
      <c r="B106" s="5" t="s">
        <v>425</v>
      </c>
      <c r="C106" s="11" t="s">
        <v>426</v>
      </c>
      <c r="T106" s="5" t="str">
        <f t="shared" si="1244"/>
        <v>|CffCCCCCC道果属性：|r|n攻击+450000|n生命值+1800000|n物理伤害+25%|n法术伤害+25%|n杀敌攻击+8|n杀敌业力+1|n杀敌生命+30|n|n|Cff00FF7F点击吸收道果，境界突破一级。|n需境界经验达到圆满。|r</v>
      </c>
      <c r="U106" s="56" t="s">
        <v>427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8" t="str">
        <f t="shared" si="1242"/>
        <v>|n</v>
      </c>
      <c r="CV106" s="6" t="str">
        <f t="shared" si="1243"/>
        <v>|CffCCCCCC道果属性：|r|n攻击+450000|n生命值+1800000|n物理伤害+25%|n法术伤害+25%|n杀敌攻击+8|n杀敌业力+1|n杀敌生命+30|n|n|Cff00FF7F点击吸收道果，境界突破一级。|n需境界经验达到圆满。|r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spans="1:175" ht="16.5">
      <c r="A107" s="5"/>
      <c r="B107" s="5" t="s">
        <v>428</v>
      </c>
      <c r="C107" s="11" t="s">
        <v>429</v>
      </c>
      <c r="T107" s="5" t="str">
        <f t="shared" si="1244"/>
        <v>|CffCCCCCC道果属性：|r|n攻击+750000|n生命值+3000000|n物理伤害+30%|n法术伤害+30%|n杀敌攻击+8|n杀敌业力+1|n杀敌生命+30|n|n|Cff00FF7F点击吸收道果，境界突破一级。|n需境界经验达到圆满。|r</v>
      </c>
      <c r="U107" s="56" t="s">
        <v>430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6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|CffCCCCCC道果属性：|r|n攻击+750000|n生命值+3000000|n物理伤害+30%|n法术伤害+30%|n杀敌攻击+8|n杀敌业力+1|n杀敌生命+30|n|n|Cff00FF7F点击吸收道果，境界突破一级。|n需境界经验达到圆满。|r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spans="1:175" ht="16.5">
      <c r="A108" s="5"/>
      <c r="B108" s="5" t="s">
        <v>431</v>
      </c>
      <c r="C108" s="5" t="s">
        <v>432</v>
      </c>
      <c r="T108" s="5" t="s">
        <v>433</v>
      </c>
      <c r="U108" s="56" t="s">
        <v>434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68" t="str">
        <f t="shared" si="1319"/>
        <v>|n</v>
      </c>
      <c r="CV108" s="6" t="str">
        <f t="shared" si="1320"/>
        <v>随机获得|Cffffd24d1|r个|Cffffd24dQ技能|r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spans="1:175" ht="16.5">
      <c r="A109" s="5"/>
      <c r="B109" s="5" t="s">
        <v>435</v>
      </c>
      <c r="C109" s="5" t="s">
        <v>436</v>
      </c>
      <c r="T109" s="5" t="s">
        <v>437</v>
      </c>
      <c r="U109" s="56" t="s">
        <v>438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6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指定技能|Cffffd24d品质提升一级|r|Cfff0f0f0。|n|n|r|Cff00ff7f最多可提升至A级。|r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spans="1:175" ht="16.5">
      <c r="A110" s="5"/>
      <c r="B110" s="5" t="s">
        <v>439</v>
      </c>
      <c r="C110" s="5" t="s">
        <v>440</v>
      </c>
      <c r="T110" s="5" t="s">
        <v>441</v>
      </c>
      <c r="U110" s="56" t="s">
        <v>442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8" t="str">
        <f t="shared" si="1325"/>
        <v>|n</v>
      </c>
      <c r="CV110" s="6" t="str">
        <f t="shared" si="1326"/>
        <v>使|Cffffd24dA级技能|r|Cfff0f0f0品质提升|r|Cffff0000S级|r|Cfff0f0f0。|r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spans="1:175" ht="16.5">
      <c r="A111" s="5"/>
      <c r="B111" s="5" t="s">
        <v>443</v>
      </c>
      <c r="C111" s="5" t="s">
        <v>444</v>
      </c>
      <c r="T111" s="5" t="s">
        <v>445</v>
      </c>
      <c r="U111" s="56" t="s">
        <v>446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|CffFFD24D50%|r几率使指定技能|Cffffd24d品质提升一级|r|Cfff0f0f0。|n|n|r|Cff00ff7f最多可提升至A级。|r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spans="1:175" ht="16.5">
      <c r="A112" s="5"/>
      <c r="B112" s="5" t="s">
        <v>447</v>
      </c>
      <c r="C112" s="5" t="s">
        <v>448</v>
      </c>
      <c r="T112" s="5" t="s">
        <v>449</v>
      </c>
      <c r="U112" s="56" t="s">
        <v>442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|CffFFD24D50%|r几率使指定|Cffffd24dA级技能|r|Cfff0f0f0品质提升|r|Cffff0000S级|r|Cfff0f0f0。|r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spans="1:175" ht="27">
      <c r="A113" s="73"/>
      <c r="B113" s="5" t="s">
        <v>450</v>
      </c>
      <c r="C113" s="73" t="s">
        <v>451</v>
      </c>
      <c r="T113" s="82" t="s">
        <v>452</v>
      </c>
      <c r="U113" s="56" t="str">
        <f t="shared" ref="U113:U136" si="1549">"ReplaceableTextures\\CommandButtons\\BTN"&amp;B113&amp;".blp"</f>
        <v>ReplaceableTextures\\CommandButtons\\BTNCF01.blp</v>
      </c>
      <c r="CN113" s="13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spans="1:175" ht="16.5">
      <c r="A114" s="5"/>
      <c r="B114" s="5" t="s">
        <v>453</v>
      </c>
      <c r="C114" s="5" t="s">
        <v>454</v>
      </c>
      <c r="T114" s="83" t="s">
        <v>455</v>
      </c>
      <c r="U114" s="56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150&amp;CR$1&amp;")"</f>
        <v>InitEquipData('I001',,"",,,,,'','','','','','',"ReplaceableTextures\\CommandButtons\\BTNIP01.blp")</v>
      </c>
      <c r="CU114" s="68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spans="1:175" ht="16.5">
      <c r="A115" s="5"/>
      <c r="B115" s="5" t="s">
        <v>456</v>
      </c>
      <c r="C115" s="5" t="s">
        <v>457</v>
      </c>
      <c r="T115" s="83" t="s">
        <v>458</v>
      </c>
      <c r="U115" s="56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151&amp;CR$1&amp;")"</f>
        <v>InitEquipData('I002',,"",,,,,'','','','','','',"ReplaceableTextures\\CommandButtons\\BTNIP02.blp")</v>
      </c>
      <c r="CU115" s="6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暴击|Cffff0000+10%|n|n|r|Cff00ff7f效果持续15秒。|r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spans="1:175" ht="16.5">
      <c r="A116" s="5"/>
      <c r="B116" s="5" t="s">
        <v>459</v>
      </c>
      <c r="C116" s="5" t="s">
        <v>460</v>
      </c>
      <c r="T116" s="83" t="s">
        <v>461</v>
      </c>
      <c r="U116" s="56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152&amp;CR$1&amp;")"</f>
        <v>InitEquipData('I003',,"",,,,,'','','','','','',"ReplaceableTextures\\CommandButtons\\BTNIP03.blp")</v>
      </c>
      <c r="CU116" s="68" t="str">
        <f t="shared" si="1626"/>
        <v>|n</v>
      </c>
      <c r="CV116" s="6" t="str">
        <f t="shared" si="1627"/>
        <v>攻击速度|Cffffd24d+40%|r。|n|n|Cff00ff7f持续15秒。|r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spans="1:175" ht="16.5">
      <c r="A117" s="5"/>
      <c r="B117" s="5" t="s">
        <v>462</v>
      </c>
      <c r="C117" s="5" t="s">
        <v>463</v>
      </c>
      <c r="T117" s="83" t="s">
        <v>464</v>
      </c>
      <c r="U117" s="56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159&amp;CR$1&amp;")"</f>
        <v>InitEquipData('I004',,"",,,,,'','','','','','',"ReplaceableTextures\\CommandButtons\\BTNIT01.blp")</v>
      </c>
      <c r="CU117" s="68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法术伤害提高|Cffffd24d20%|r|Cfff0f0f0。|n|n|r|Cff00ff7f持续15秒。|r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spans="1:175" ht="16.5">
      <c r="A118" s="5"/>
      <c r="B118" s="5" t="s">
        <v>465</v>
      </c>
      <c r="C118" s="5" t="s">
        <v>466</v>
      </c>
      <c r="T118" s="83" t="s">
        <v>467</v>
      </c>
      <c r="U118" s="56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160&amp;CR$1&amp;")"</f>
        <v>InitEquipData('I005',,"",,,,,'','','','','','',"ReplaceableTextures\\CommandButtons\\BTNIT02.blp")</v>
      </c>
      <c r="CU118" s="68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物理伤害提高|Cffffd24d20%|r。|n|n|Cff00ff7f持续15秒。|r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spans="1:175" ht="16.5">
      <c r="A119" s="5"/>
      <c r="B119" s="5" t="s">
        <v>468</v>
      </c>
      <c r="C119" s="74" t="s">
        <v>469</v>
      </c>
      <c r="T119" s="84" t="s">
        <v>470</v>
      </c>
      <c r="U119" s="56" t="str">
        <f t="shared" si="1549"/>
        <v>ReplaceableTextures\\CommandButtons\\BTNI011.blp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160&amp;CR$1&amp;")"</f>
        <v>InitEquipData('I011',,"",,,,,'','','','','','',"ReplaceableTextures\\CommandButtons\\BTNIT02.blp")</v>
      </c>
      <c r="CU119" s="68" t="str">
        <f t="shared" si="1698"/>
        <v>|n</v>
      </c>
      <c r="CV119" s="6" t="str">
        <f t="shared" si="1699"/>
        <v>护甲|Cffffd24d+30|r|n金币加成|Cffffd24d+10%|n|r|n击杀1000个敌人后奖励：|n|CffFFD24D7000~12000|r金币|n|CffCC99FF2000-5000|r业力|n|n|Cff00FF7F同时只能携带一个招魂幡|r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spans="1:175" ht="16.5">
      <c r="A120" s="5"/>
      <c r="B120" s="5" t="s">
        <v>471</v>
      </c>
      <c r="C120" s="75" t="s">
        <v>472</v>
      </c>
      <c r="T120" s="84" t="s">
        <v>473</v>
      </c>
      <c r="U120" s="56" t="str">
        <f t="shared" si="1549"/>
        <v>ReplaceableTextures\\CommandButtons\\BTNI012.blp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161&amp;CR$1&amp;")"</f>
        <v>InitEquipData('I012',,"",,,,,'','','','','','',"ReplaceableTextures\\CommandButtons\\BTNIT03.blp")</v>
      </c>
      <c r="CU120" s="68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护甲|Cffffd24d+80|r|n金币加成|Cffffd24d+15%|r|n|n击杀1000个敌人后奖励：|n|CffFFD24D8000~13000|r金币|n|CffCC99FF3000-6000|r业力|n|n|Cff00FF7F同时只能携带一个招魂幡|r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spans="1:175" ht="16.5">
      <c r="A121" s="5"/>
      <c r="B121" s="5" t="s">
        <v>474</v>
      </c>
      <c r="C121" s="75" t="s">
        <v>475</v>
      </c>
      <c r="T121" s="84" t="s">
        <v>476</v>
      </c>
      <c r="U121" s="56" t="str">
        <f t="shared" si="1549"/>
        <v>ReplaceableTextures\\CommandButtons\\BTNI013.blp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162&amp;CR$1&amp;")"</f>
        <v>InitEquipData('I013',,"",,,,,'','','','','','',"ReplaceableTextures\\CommandButtons\\BTNIT04.blp")</v>
      </c>
      <c r="CU121" s="68" t="str">
        <f t="shared" si="1842"/>
        <v>|n</v>
      </c>
      <c r="CV121" s="6" t="str">
        <f t="shared" si="1843"/>
        <v>护甲|Cffffd24d+200|r|n金币加成|Cffffd24d+20%|r|n|n击杀1000个敌人后奖励：|n|CffFFD24D9000~14000|r金币|n|CffCC99FF4000-7000|r业力|n|n|Cff00FF7F同时只能携带一个招魂幡|r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spans="1:175" ht="16.5">
      <c r="A122" s="5"/>
      <c r="B122" s="5" t="s">
        <v>477</v>
      </c>
      <c r="C122" s="75" t="s">
        <v>478</v>
      </c>
      <c r="T122" s="84" t="s">
        <v>479</v>
      </c>
      <c r="U122" s="56" t="str">
        <f t="shared" si="1549"/>
        <v>ReplaceableTextures\\CommandButtons\\BTNI014.blp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163&amp;CR$1&amp;")"</f>
        <v>InitEquipData('I014',,"",,,,,'','','','','','',"ReplaceableTextures\\CommandButtons\\BTNIT05.blp")</v>
      </c>
      <c r="CU122" s="68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32" si="1915">T122</f>
        <v>护甲|Cffffd24d+500|r|n金币加成|Cffffd24d+25%|r|n|n击杀1000个敌人后奖励：|n|CffFFD24D10000~15000|r金币|n|CffCC99FF5000-8000|r业力|n|n|Cff00FF7F同时只能携带一个招魂幡|r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32" si="1916">IF(V122="","","|n"&amp;DB$2&amp;"+"&amp;V122&amp;DB$1)</f>
        <v/>
      </c>
      <c r="DC122" s="44" t="str">
        <f t="shared" ref="DC122:DC132" si="1917">IF(W122="","","|n"&amp;DC$2&amp;"+"&amp;W122&amp;DC$1)</f>
        <v/>
      </c>
      <c r="DD122" s="44" t="str">
        <f t="shared" ref="DD122:DD132" si="1918">IF(X122="","","|n"&amp;DD$2&amp;"+"&amp;X122&amp;DD$1)</f>
        <v/>
      </c>
      <c r="DE122" s="44" t="str">
        <f t="shared" ref="DE122:DE132" si="1919">IF(Y122="","","|n"&amp;DE$2&amp;"+"&amp;Y122&amp;DE$1)</f>
        <v/>
      </c>
      <c r="DF122" s="44" t="str">
        <f t="shared" ref="DF122:DF132" si="1920">IF(Z122="","","|n"&amp;DF$2&amp;"+"&amp;Z122&amp;DF$1)</f>
        <v/>
      </c>
      <c r="DG122" s="44" t="str">
        <f t="shared" ref="DG122:DG132" si="1921">IF(AA122="","","|n"&amp;DG$2&amp;"+"&amp;AA122&amp;DG$1)</f>
        <v/>
      </c>
      <c r="DH122" s="44" t="str">
        <f t="shared" ref="DH122:DH132" si="1922">IF(AB122="","","|n"&amp;DH$2&amp;"+"&amp;AB122&amp;DH$1)</f>
        <v/>
      </c>
      <c r="DI122" s="44" t="str">
        <f t="shared" ref="DI122:DI132" si="1923">IF(AC122="","","|n"&amp;DI$2&amp;"+"&amp;AC122&amp;DI$1)</f>
        <v/>
      </c>
      <c r="DJ122" s="44" t="str">
        <f t="shared" ref="DJ122:DJ132" si="1924">IF(AD122="","","|n"&amp;DJ$2&amp;"+"&amp;AD122&amp;DJ$1)</f>
        <v/>
      </c>
      <c r="DK122" s="44" t="str">
        <f t="shared" ref="DK122:DK132" si="1925">IF(AE122="","","|n"&amp;DK$2&amp;"+"&amp;AE122&amp;DK$1)</f>
        <v/>
      </c>
      <c r="DL122" s="44" t="str">
        <f t="shared" ref="DL122:DL132" si="1926">IF(AF122="","","|n"&amp;DL$2&amp;"+"&amp;AF122&amp;DL$1)</f>
        <v/>
      </c>
      <c r="DM122" s="44" t="str">
        <f t="shared" ref="DM122:DM132" si="1927">IF(AG122="","","|n"&amp;DM$2&amp;"+"&amp;AG122&amp;DM$1)</f>
        <v/>
      </c>
      <c r="DN122" s="44" t="str">
        <f t="shared" ref="DN122:DN132" si="1928">IF(AH122="","","|n"&amp;DN$2&amp;"+"&amp;AH122&amp;DN$1)</f>
        <v/>
      </c>
      <c r="DO122" s="44" t="str">
        <f t="shared" ref="DO122:DO132" si="1929">IF(AI122="","","|n"&amp;DO$2&amp;"+"&amp;AI122&amp;DO$1)</f>
        <v/>
      </c>
      <c r="DP122" s="44" t="str">
        <f t="shared" ref="DP122:DP132" si="1930">IF(AJ122="","","|n"&amp;DP$2&amp;"+"&amp;AJ122&amp;DP$1)</f>
        <v/>
      </c>
      <c r="DQ122" s="44" t="str">
        <f t="shared" ref="DQ122:DQ132" si="1931">IF(AK122="","","|n"&amp;DQ$2&amp;"+"&amp;AK122&amp;DQ$1)</f>
        <v/>
      </c>
      <c r="DR122" s="44" t="str">
        <f t="shared" ref="DR122:DR132" si="1932">IF(AL122="","","|n"&amp;DR$2&amp;"+"&amp;AL122&amp;DR$1)</f>
        <v/>
      </c>
      <c r="DS122" s="44" t="str">
        <f t="shared" ref="DS122:DS132" si="1933">IF(AM122="","","|n"&amp;DS$2&amp;"+"&amp;AM122&amp;DS$1)</f>
        <v/>
      </c>
      <c r="DT122" s="44" t="str">
        <f t="shared" ref="DT122:DT132" si="1934">IF(AN122="","","|n"&amp;DT$2&amp;"+"&amp;AN122&amp;DT$1)</f>
        <v/>
      </c>
      <c r="DU122" s="44" t="str">
        <f t="shared" ref="DU122:DU132" si="1935">IF(AO122="","","|n"&amp;DU$2&amp;"+"&amp;AO122&amp;DU$1)</f>
        <v/>
      </c>
      <c r="DV122" s="44" t="str">
        <f t="shared" ref="DV122:DV132" si="1936">IF(AP122="","","|n"&amp;DV$2&amp;"+"&amp;AP122&amp;DV$1)</f>
        <v/>
      </c>
      <c r="DW122" s="44" t="str">
        <f t="shared" ref="DW122:DW132" si="1937">IF(AQ122="","","|n"&amp;DW$2&amp;"+"&amp;AQ122&amp;DW$1)</f>
        <v/>
      </c>
      <c r="DX122" s="44" t="str">
        <f t="shared" ref="DX122:DX132" si="1938">IF(AR122="","","|n"&amp;DX$2&amp;"+"&amp;AR122&amp;DX$1)</f>
        <v/>
      </c>
      <c r="DY122" s="44" t="str">
        <f t="shared" ref="DY122:DY132" si="1939">IF(AS122="","","|n"&amp;DY$2&amp;"+"&amp;AS122&amp;DY$1)</f>
        <v/>
      </c>
      <c r="DZ122" s="44" t="str">
        <f t="shared" ref="DZ122:DZ132" si="1940">IF(AT122="","","|n"&amp;DZ$2&amp;"+"&amp;AT122&amp;DZ$1)</f>
        <v/>
      </c>
      <c r="EA122" s="44" t="str">
        <f t="shared" ref="EA122:EA132" si="1941">IF(AU122="","","|n"&amp;EA$2&amp;"+"&amp;AU122&amp;EA$1)</f>
        <v/>
      </c>
      <c r="EB122" s="44" t="str">
        <f t="shared" ref="EB122:EB132" si="1942">IF(AV122="","","|n"&amp;EB$2&amp;"+"&amp;AV122&amp;EB$1)</f>
        <v/>
      </c>
      <c r="EC122" s="44" t="str">
        <f t="shared" ref="EC122:EC132" si="1943">IF(AW122="","","|n"&amp;EC$2&amp;"+"&amp;AW122&amp;EC$1)</f>
        <v/>
      </c>
      <c r="ED122" s="44" t="str">
        <f t="shared" ref="ED122:ED132" si="1944">IF(AX122="","","|n"&amp;ED$2&amp;"+"&amp;AX122&amp;ED$1)</f>
        <v/>
      </c>
      <c r="EE122" s="44" t="str">
        <f t="shared" ref="EE122:EE132" si="1945">IF(AY122="","","|n"&amp;EE$2&amp;"+"&amp;AY122&amp;EE$1)</f>
        <v/>
      </c>
      <c r="EF122" s="44" t="str">
        <f t="shared" ref="EF122:EF132" si="1946">IF(AZ122="","","|n"&amp;EF$2&amp;"+"&amp;AZ122&amp;EF$1)</f>
        <v/>
      </c>
      <c r="EG122" s="44" t="str">
        <f t="shared" ref="EG122:EG132" si="1947">IF(BA122="","","|n"&amp;EG$2&amp;"+"&amp;BA122&amp;EG$1)</f>
        <v/>
      </c>
      <c r="EH122" s="44" t="str">
        <f t="shared" ref="EH122:EH132" si="1948">IF(BB122="","","|n"&amp;EH$2&amp;"+"&amp;BB122&amp;EH$1)</f>
        <v/>
      </c>
      <c r="EI122" s="44" t="str">
        <f t="shared" ref="EI122:EI132" si="1949">IF(BC122="","","|n"&amp;EI$2&amp;"+"&amp;BC122&amp;EI$1)</f>
        <v/>
      </c>
      <c r="EJ122" s="44" t="str">
        <f t="shared" ref="EJ122:EJ132" si="1950">IF(BD122="","","|n"&amp;EJ$2&amp;"+"&amp;BD122&amp;EJ$1)</f>
        <v/>
      </c>
      <c r="EK122" s="44" t="str">
        <f t="shared" ref="EK122:EK132" si="1951">IF(BE122="","","|n"&amp;EK$2&amp;"+"&amp;BE122&amp;EK$1)</f>
        <v/>
      </c>
      <c r="EL122" s="44" t="str">
        <f t="shared" ref="EL122:EL132" si="1952">IF(BF122="","","|n"&amp;EL$2&amp;"+"&amp;BF122&amp;EL$1)</f>
        <v/>
      </c>
      <c r="EM122" s="44" t="str">
        <f t="shared" ref="EM122:EM132" si="1953">IF(BG122="","","|n"&amp;EM$2&amp;"+"&amp;BG122&amp;EM$1)</f>
        <v/>
      </c>
      <c r="EN122" s="44" t="str">
        <f t="shared" ref="EN122:EN132" si="1954">IF(BH122="","","|n"&amp;EN$2&amp;"+"&amp;BH122&amp;EN$1)</f>
        <v/>
      </c>
      <c r="EO122" s="44" t="str">
        <f t="shared" ref="EO122:EO132" si="1955">IF(BI122="","","|n"&amp;EO$2&amp;"+"&amp;BI122&amp;EO$1)</f>
        <v/>
      </c>
      <c r="EP122" s="44" t="str">
        <f t="shared" ref="EP122:EP132" si="1956">IF(BJ122="","","|n"&amp;EP$2&amp;"+"&amp;BJ122&amp;EP$1)</f>
        <v/>
      </c>
      <c r="EQ122" s="44" t="str">
        <f t="shared" ref="EQ122:EQ132" si="1957">IF(BK122="","","|n"&amp;EQ$2&amp;"+"&amp;BK122&amp;EQ$1)</f>
        <v/>
      </c>
      <c r="ER122" s="44" t="str">
        <f t="shared" ref="ER122:ER132" si="1958">IF(BL122="","","|n"&amp;ER$2&amp;"+"&amp;BL122&amp;ER$1)</f>
        <v/>
      </c>
      <c r="ES122" s="44" t="str">
        <f t="shared" ref="ES122:ES132" si="1959">IF(BM122="","","|n"&amp;ES$2&amp;"+"&amp;BM122&amp;ES$1)</f>
        <v/>
      </c>
      <c r="ET122" s="44" t="str">
        <f t="shared" ref="ET122:ET132" si="1960">IF(BN122="","","|n"&amp;ET$2&amp;"+"&amp;BN122&amp;ET$1)</f>
        <v/>
      </c>
      <c r="EU122" s="44" t="str">
        <f t="shared" ref="EU122:EU132" si="1961">IF(BO122="","","|n"&amp;EU$2&amp;"+"&amp;BO122&amp;EU$1)</f>
        <v/>
      </c>
      <c r="EV122" s="44" t="str">
        <f t="shared" ref="EV122:EV132" si="1962">IF(BP122="","","|n"&amp;EV$2&amp;"+"&amp;BP122&amp;EV$1)</f>
        <v/>
      </c>
      <c r="EW122" s="44" t="str">
        <f t="shared" ref="EW122:EW132" si="1963">IF(BQ122="","","|n"&amp;EW$2&amp;"+"&amp;BQ122&amp;EW$1)</f>
        <v/>
      </c>
      <c r="EX122" s="44" t="str">
        <f t="shared" ref="EX122:EX132" si="1964">IF(BR122="","","|n"&amp;EX$2&amp;"+"&amp;BR122&amp;EX$1)</f>
        <v/>
      </c>
      <c r="EY122" s="44" t="str">
        <f t="shared" ref="EY122:EY132" si="1965">IF(BS122="","","|n"&amp;EY$2&amp;"+"&amp;BS122&amp;EY$1)</f>
        <v/>
      </c>
      <c r="EZ122" s="44" t="str">
        <f t="shared" ref="EZ122:EZ132" si="1966">IF(BT122="","","|n"&amp;EZ$2&amp;"+"&amp;BT122&amp;EZ$1)</f>
        <v/>
      </c>
      <c r="FA122" s="44" t="str">
        <f t="shared" ref="FA122:FA132" si="1967">IF(BU122="","","|n"&amp;FA$2&amp;"+"&amp;BU122&amp;FA$1)</f>
        <v/>
      </c>
      <c r="FB122" s="44" t="str">
        <f t="shared" ref="FB122:FB132" si="1968">IF(BV122="","","|n"&amp;FB$2&amp;"+"&amp;BV122&amp;FB$1)</f>
        <v/>
      </c>
      <c r="FC122" s="44" t="str">
        <f t="shared" ref="FC122:FC132" si="1969">IF(BW122="","","|n"&amp;FC$2&amp;"+"&amp;BW122&amp;FC$1)</f>
        <v/>
      </c>
      <c r="FD122" s="44" t="str">
        <f t="shared" ref="FD122:FD132" si="1970">IF(BX122="","","|n"&amp;FD$2&amp;"+"&amp;BX122&amp;FD$1)</f>
        <v/>
      </c>
      <c r="FE122" s="44" t="str">
        <f t="shared" ref="FE122:FE132" si="1971">IF(BY122="","","|n"&amp;FE$2&amp;"+"&amp;BY122&amp;FE$1)</f>
        <v/>
      </c>
      <c r="FF122" s="44" t="str">
        <f t="shared" ref="FF122:FF132" si="1972">IF(BZ122="","","|n"&amp;FF$2&amp;"+"&amp;BZ122&amp;FF$1)</f>
        <v/>
      </c>
      <c r="FG122" s="44" t="str">
        <f t="shared" ref="FG122:FG132" si="1973">IF(CA122="","","|n"&amp;FG$2&amp;"+"&amp;CA122&amp;FG$1)</f>
        <v/>
      </c>
      <c r="FH122" s="44" t="str">
        <f t="shared" ref="FH122:FH132" si="1974">IF(CB122="","","|n"&amp;FH$2&amp;"+"&amp;CB122&amp;FH$1)</f>
        <v/>
      </c>
      <c r="FI122" s="44" t="str">
        <f t="shared" ref="FI122:FI132" si="1975">IF(CC122="","","|n"&amp;FI$2&amp;"+"&amp;CC122&amp;FI$1)</f>
        <v/>
      </c>
      <c r="FJ122" s="44" t="str">
        <f t="shared" ref="FJ122:FJ132" si="1976">IF(CD122="","","|n"&amp;FJ$2&amp;"+"&amp;CD122&amp;FJ$1)</f>
        <v/>
      </c>
      <c r="FK122" s="44" t="str">
        <f t="shared" ref="FK122:FK132" si="1977">IF(CE122="","","|n"&amp;FK$2&amp;"+"&amp;CE122&amp;FK$1)</f>
        <v/>
      </c>
      <c r="FL122" s="44" t="str">
        <f t="shared" ref="FL122:FL132" si="1978">IF(CF122="","","|n"&amp;FL$2&amp;"+"&amp;CF122&amp;FL$1)</f>
        <v/>
      </c>
      <c r="FM122" s="44" t="str">
        <f t="shared" ref="FM122:FM132" si="1979">IF(CG122="","","|n"&amp;FM$2&amp;"+"&amp;CG122&amp;FM$1)</f>
        <v/>
      </c>
      <c r="FN122" s="44" t="str">
        <f t="shared" ref="FN122:FN132" si="1980">IF(CH122="","","|n"&amp;FN$2&amp;"+"&amp;CH122&amp;FN$1)</f>
        <v/>
      </c>
      <c r="FO122" s="44" t="str">
        <f t="shared" ref="FO122:FO132" si="1981">IF(CI122="","","|n"&amp;FO$2&amp;"+"&amp;CI122&amp;FO$1)</f>
        <v/>
      </c>
      <c r="FP122" s="44" t="str">
        <f t="shared" ref="FP122:FP132" si="1982">IF(CJ122="","","|n"&amp;FP$2&amp;"+"&amp;CJ122&amp;FP$1)</f>
        <v/>
      </c>
      <c r="FQ122" s="44" t="str">
        <f t="shared" ref="FQ122:FQ132" si="1983">IF(CK122="","","|n"&amp;FQ$2&amp;"+"&amp;CK122&amp;FQ$1)</f>
        <v/>
      </c>
      <c r="FR122" s="44" t="str">
        <f t="shared" ref="FR122:FR132" si="1984">IF(CL122="","","|n"&amp;FR$2&amp;"+"&amp;CL122&amp;FR$1)</f>
        <v/>
      </c>
      <c r="FS122" s="44" t="str">
        <f t="shared" ref="FS122:FS132" si="1985">IF(CM122="","","|n"&amp;FS$2&amp;"+"&amp;CM122&amp;FS$1)</f>
        <v/>
      </c>
    </row>
    <row r="123" spans="1:175" ht="16.5">
      <c r="A123" s="5"/>
      <c r="B123" s="5" t="s">
        <v>480</v>
      </c>
      <c r="C123" s="75" t="s">
        <v>481</v>
      </c>
      <c r="T123" s="84" t="s">
        <v>482</v>
      </c>
      <c r="U123" s="56" t="str">
        <f t="shared" ref="U123" si="1986">"ReplaceableTextures\\CommandButtons\\BTN"&amp;B123&amp;".blp"</f>
        <v>ReplaceableTextures\\CommandButtons\\BTNI015.blp</v>
      </c>
      <c r="CN123" s="13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164&amp;CR$1&amp;")"</f>
        <v>InitEquipData('I015',,"",,,,,'','','','','','',"ReplaceableTextures\\CommandButtons\\BTNIT06.blp")</v>
      </c>
      <c r="CU123" s="68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2">T123</f>
        <v>护甲|Cffffd24d+500|r|n金币加成|Cffffd24d+30%|n|r|n击杀1000个敌人后奖励：|n|CffFFD24D12000~17000|r金币|n|CffCC99FF6000-9000|r业力|n|n|Cff00FF7F同时只能携带一个招魂幡|r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3">IF(V123="","","|n"&amp;DB$2&amp;"+"&amp;V123&amp;DB$1)</f>
        <v/>
      </c>
      <c r="DC123" s="44" t="str">
        <f t="shared" ref="DC123" si="1994">IF(W123="","","|n"&amp;DC$2&amp;"+"&amp;W123&amp;DC$1)</f>
        <v/>
      </c>
      <c r="DD123" s="44" t="str">
        <f t="shared" ref="DD123" si="1995">IF(X123="","","|n"&amp;DD$2&amp;"+"&amp;X123&amp;DD$1)</f>
        <v/>
      </c>
      <c r="DE123" s="44" t="str">
        <f t="shared" ref="DE123" si="1996">IF(Y123="","","|n"&amp;DE$2&amp;"+"&amp;Y123&amp;DE$1)</f>
        <v/>
      </c>
      <c r="DF123" s="44" t="str">
        <f t="shared" ref="DF123" si="1997">IF(Z123="","","|n"&amp;DF$2&amp;"+"&amp;Z123&amp;DF$1)</f>
        <v/>
      </c>
      <c r="DG123" s="44" t="str">
        <f t="shared" ref="DG123" si="1998">IF(AA123="","","|n"&amp;DG$2&amp;"+"&amp;AA123&amp;DG$1)</f>
        <v/>
      </c>
      <c r="DH123" s="44" t="str">
        <f t="shared" ref="DH123" si="1999">IF(AB123="","","|n"&amp;DH$2&amp;"+"&amp;AB123&amp;DH$1)</f>
        <v/>
      </c>
      <c r="DI123" s="44" t="str">
        <f t="shared" ref="DI123" si="2000">IF(AC123="","","|n"&amp;DI$2&amp;"+"&amp;AC123&amp;DI$1)</f>
        <v/>
      </c>
      <c r="DJ123" s="44" t="str">
        <f t="shared" ref="DJ123" si="2001">IF(AD123="","","|n"&amp;DJ$2&amp;"+"&amp;AD123&amp;DJ$1)</f>
        <v/>
      </c>
      <c r="DK123" s="44" t="str">
        <f t="shared" ref="DK123" si="2002">IF(AE123="","","|n"&amp;DK$2&amp;"+"&amp;AE123&amp;DK$1)</f>
        <v/>
      </c>
      <c r="DL123" s="44" t="str">
        <f t="shared" ref="DL123" si="2003">IF(AF123="","","|n"&amp;DL$2&amp;"+"&amp;AF123&amp;DL$1)</f>
        <v/>
      </c>
      <c r="DM123" s="44" t="str">
        <f t="shared" ref="DM123" si="2004">IF(AG123="","","|n"&amp;DM$2&amp;"+"&amp;AG123&amp;DM$1)</f>
        <v/>
      </c>
      <c r="DN123" s="44" t="str">
        <f t="shared" ref="DN123" si="2005">IF(AH123="","","|n"&amp;DN$2&amp;"+"&amp;AH123&amp;DN$1)</f>
        <v/>
      </c>
      <c r="DO123" s="44" t="str">
        <f t="shared" ref="DO123" si="2006">IF(AI123="","","|n"&amp;DO$2&amp;"+"&amp;AI123&amp;DO$1)</f>
        <v/>
      </c>
      <c r="DP123" s="44" t="str">
        <f t="shared" ref="DP123" si="2007">IF(AJ123="","","|n"&amp;DP$2&amp;"+"&amp;AJ123&amp;DP$1)</f>
        <v/>
      </c>
      <c r="DQ123" s="44" t="str">
        <f t="shared" ref="DQ123" si="2008">IF(AK123="","","|n"&amp;DQ$2&amp;"+"&amp;AK123&amp;DQ$1)</f>
        <v/>
      </c>
      <c r="DR123" s="44" t="str">
        <f t="shared" ref="DR123" si="2009">IF(AL123="","","|n"&amp;DR$2&amp;"+"&amp;AL123&amp;DR$1)</f>
        <v/>
      </c>
      <c r="DS123" s="44" t="str">
        <f t="shared" ref="DS123" si="2010">IF(AM123="","","|n"&amp;DS$2&amp;"+"&amp;AM123&amp;DS$1)</f>
        <v/>
      </c>
      <c r="DT123" s="44" t="str">
        <f t="shared" ref="DT123" si="2011">IF(AN123="","","|n"&amp;DT$2&amp;"+"&amp;AN123&amp;DT$1)</f>
        <v/>
      </c>
      <c r="DU123" s="44" t="str">
        <f t="shared" ref="DU123" si="2012">IF(AO123="","","|n"&amp;DU$2&amp;"+"&amp;AO123&amp;DU$1)</f>
        <v/>
      </c>
      <c r="DV123" s="44" t="str">
        <f t="shared" ref="DV123" si="2013">IF(AP123="","","|n"&amp;DV$2&amp;"+"&amp;AP123&amp;DV$1)</f>
        <v/>
      </c>
      <c r="DW123" s="44" t="str">
        <f t="shared" ref="DW123" si="2014">IF(AQ123="","","|n"&amp;DW$2&amp;"+"&amp;AQ123&amp;DW$1)</f>
        <v/>
      </c>
      <c r="DX123" s="44" t="str">
        <f t="shared" ref="DX123" si="2015">IF(AR123="","","|n"&amp;DX$2&amp;"+"&amp;AR123&amp;DX$1)</f>
        <v/>
      </c>
      <c r="DY123" s="44" t="str">
        <f t="shared" ref="DY123" si="2016">IF(AS123="","","|n"&amp;DY$2&amp;"+"&amp;AS123&amp;DY$1)</f>
        <v/>
      </c>
      <c r="DZ123" s="44" t="str">
        <f t="shared" ref="DZ123" si="2017">IF(AT123="","","|n"&amp;DZ$2&amp;"+"&amp;AT123&amp;DZ$1)</f>
        <v/>
      </c>
      <c r="EA123" s="44" t="str">
        <f t="shared" ref="EA123" si="2018">IF(AU123="","","|n"&amp;EA$2&amp;"+"&amp;AU123&amp;EA$1)</f>
        <v/>
      </c>
      <c r="EB123" s="44" t="str">
        <f t="shared" ref="EB123" si="2019">IF(AV123="","","|n"&amp;EB$2&amp;"+"&amp;AV123&amp;EB$1)</f>
        <v/>
      </c>
      <c r="EC123" s="44" t="str">
        <f t="shared" ref="EC123" si="2020">IF(AW123="","","|n"&amp;EC$2&amp;"+"&amp;AW123&amp;EC$1)</f>
        <v/>
      </c>
      <c r="ED123" s="44" t="str">
        <f t="shared" ref="ED123" si="2021">IF(AX123="","","|n"&amp;ED$2&amp;"+"&amp;AX123&amp;ED$1)</f>
        <v/>
      </c>
      <c r="EE123" s="44" t="str">
        <f t="shared" ref="EE123" si="2022">IF(AY123="","","|n"&amp;EE$2&amp;"+"&amp;AY123&amp;EE$1)</f>
        <v/>
      </c>
      <c r="EF123" s="44" t="str">
        <f t="shared" ref="EF123" si="2023">IF(AZ123="","","|n"&amp;EF$2&amp;"+"&amp;AZ123&amp;EF$1)</f>
        <v/>
      </c>
      <c r="EG123" s="44" t="str">
        <f t="shared" ref="EG123" si="2024">IF(BA123="","","|n"&amp;EG$2&amp;"+"&amp;BA123&amp;EG$1)</f>
        <v/>
      </c>
      <c r="EH123" s="44" t="str">
        <f t="shared" ref="EH123" si="2025">IF(BB123="","","|n"&amp;EH$2&amp;"+"&amp;BB123&amp;EH$1)</f>
        <v/>
      </c>
      <c r="EI123" s="44" t="str">
        <f t="shared" ref="EI123" si="2026">IF(BC123="","","|n"&amp;EI$2&amp;"+"&amp;BC123&amp;EI$1)</f>
        <v/>
      </c>
      <c r="EJ123" s="44" t="str">
        <f t="shared" ref="EJ123" si="2027">IF(BD123="","","|n"&amp;EJ$2&amp;"+"&amp;BD123&amp;EJ$1)</f>
        <v/>
      </c>
      <c r="EK123" s="44" t="str">
        <f t="shared" ref="EK123" si="2028">IF(BE123="","","|n"&amp;EK$2&amp;"+"&amp;BE123&amp;EK$1)</f>
        <v/>
      </c>
      <c r="EL123" s="44" t="str">
        <f t="shared" ref="EL123" si="2029">IF(BF123="","","|n"&amp;EL$2&amp;"+"&amp;BF123&amp;EL$1)</f>
        <v/>
      </c>
      <c r="EM123" s="44" t="str">
        <f t="shared" ref="EM123" si="2030">IF(BG123="","","|n"&amp;EM$2&amp;"+"&amp;BG123&amp;EM$1)</f>
        <v/>
      </c>
      <c r="EN123" s="44" t="str">
        <f t="shared" ref="EN123" si="2031">IF(BH123="","","|n"&amp;EN$2&amp;"+"&amp;BH123&amp;EN$1)</f>
        <v/>
      </c>
      <c r="EO123" s="44" t="str">
        <f t="shared" ref="EO123" si="2032">IF(BI123="","","|n"&amp;EO$2&amp;"+"&amp;BI123&amp;EO$1)</f>
        <v/>
      </c>
      <c r="EP123" s="44" t="str">
        <f t="shared" ref="EP123" si="2033">IF(BJ123="","","|n"&amp;EP$2&amp;"+"&amp;BJ123&amp;EP$1)</f>
        <v/>
      </c>
      <c r="EQ123" s="44" t="str">
        <f t="shared" ref="EQ123" si="2034">IF(BK123="","","|n"&amp;EQ$2&amp;"+"&amp;BK123&amp;EQ$1)</f>
        <v/>
      </c>
      <c r="ER123" s="44" t="str">
        <f t="shared" ref="ER123" si="2035">IF(BL123="","","|n"&amp;ER$2&amp;"+"&amp;BL123&amp;ER$1)</f>
        <v/>
      </c>
      <c r="ES123" s="44" t="str">
        <f t="shared" ref="ES123" si="2036">IF(BM123="","","|n"&amp;ES$2&amp;"+"&amp;BM123&amp;ES$1)</f>
        <v/>
      </c>
      <c r="ET123" s="44" t="str">
        <f t="shared" ref="ET123" si="2037">IF(BN123="","","|n"&amp;ET$2&amp;"+"&amp;BN123&amp;ET$1)</f>
        <v/>
      </c>
      <c r="EU123" s="44" t="str">
        <f t="shared" ref="EU123" si="2038">IF(BO123="","","|n"&amp;EU$2&amp;"+"&amp;BO123&amp;EU$1)</f>
        <v/>
      </c>
      <c r="EV123" s="44" t="str">
        <f t="shared" ref="EV123" si="2039">IF(BP123="","","|n"&amp;EV$2&amp;"+"&amp;BP123&amp;EV$1)</f>
        <v/>
      </c>
      <c r="EW123" s="44" t="str">
        <f t="shared" ref="EW123" si="2040">IF(BQ123="","","|n"&amp;EW$2&amp;"+"&amp;BQ123&amp;EW$1)</f>
        <v/>
      </c>
      <c r="EX123" s="44" t="str">
        <f t="shared" ref="EX123" si="2041">IF(BR123="","","|n"&amp;EX$2&amp;"+"&amp;BR123&amp;EX$1)</f>
        <v/>
      </c>
      <c r="EY123" s="44" t="str">
        <f t="shared" ref="EY123" si="2042">IF(BS123="","","|n"&amp;EY$2&amp;"+"&amp;BS123&amp;EY$1)</f>
        <v/>
      </c>
      <c r="EZ123" s="44" t="str">
        <f t="shared" ref="EZ123" si="2043">IF(BT123="","","|n"&amp;EZ$2&amp;"+"&amp;BT123&amp;EZ$1)</f>
        <v/>
      </c>
      <c r="FA123" s="44" t="str">
        <f t="shared" ref="FA123" si="2044">IF(BU123="","","|n"&amp;FA$2&amp;"+"&amp;BU123&amp;FA$1)</f>
        <v/>
      </c>
      <c r="FB123" s="44" t="str">
        <f t="shared" ref="FB123" si="2045">IF(BV123="","","|n"&amp;FB$2&amp;"+"&amp;BV123&amp;FB$1)</f>
        <v/>
      </c>
      <c r="FC123" s="44" t="str">
        <f t="shared" ref="FC123" si="2046">IF(BW123="","","|n"&amp;FC$2&amp;"+"&amp;BW123&amp;FC$1)</f>
        <v/>
      </c>
      <c r="FD123" s="44" t="str">
        <f t="shared" ref="FD123" si="2047">IF(BX123="","","|n"&amp;FD$2&amp;"+"&amp;BX123&amp;FD$1)</f>
        <v/>
      </c>
      <c r="FE123" s="44" t="str">
        <f t="shared" ref="FE123" si="2048">IF(BY123="","","|n"&amp;FE$2&amp;"+"&amp;BY123&amp;FE$1)</f>
        <v/>
      </c>
      <c r="FF123" s="44" t="str">
        <f t="shared" ref="FF123" si="2049">IF(BZ123="","","|n"&amp;FF$2&amp;"+"&amp;BZ123&amp;FF$1)</f>
        <v/>
      </c>
      <c r="FG123" s="44" t="str">
        <f t="shared" ref="FG123" si="2050">IF(CA123="","","|n"&amp;FG$2&amp;"+"&amp;CA123&amp;FG$1)</f>
        <v/>
      </c>
      <c r="FH123" s="44" t="str">
        <f t="shared" ref="FH123" si="2051">IF(CB123="","","|n"&amp;FH$2&amp;"+"&amp;CB123&amp;FH$1)</f>
        <v/>
      </c>
      <c r="FI123" s="44" t="str">
        <f t="shared" ref="FI123" si="2052">IF(CC123="","","|n"&amp;FI$2&amp;"+"&amp;CC123&amp;FI$1)</f>
        <v/>
      </c>
      <c r="FJ123" s="44" t="str">
        <f t="shared" ref="FJ123" si="2053">IF(CD123="","","|n"&amp;FJ$2&amp;"+"&amp;CD123&amp;FJ$1)</f>
        <v/>
      </c>
      <c r="FK123" s="44" t="str">
        <f t="shared" ref="FK123" si="2054">IF(CE123="","","|n"&amp;FK$2&amp;"+"&amp;CE123&amp;FK$1)</f>
        <v/>
      </c>
      <c r="FL123" s="44" t="str">
        <f t="shared" ref="FL123" si="2055">IF(CF123="","","|n"&amp;FL$2&amp;"+"&amp;CF123&amp;FL$1)</f>
        <v/>
      </c>
      <c r="FM123" s="44" t="str">
        <f t="shared" ref="FM123" si="2056">IF(CG123="","","|n"&amp;FM$2&amp;"+"&amp;CG123&amp;FM$1)</f>
        <v/>
      </c>
      <c r="FN123" s="44" t="str">
        <f t="shared" ref="FN123" si="2057">IF(CH123="","","|n"&amp;FN$2&amp;"+"&amp;CH123&amp;FN$1)</f>
        <v/>
      </c>
      <c r="FO123" s="44" t="str">
        <f t="shared" ref="FO123" si="2058">IF(CI123="","","|n"&amp;FO$2&amp;"+"&amp;CI123&amp;FO$1)</f>
        <v/>
      </c>
      <c r="FP123" s="44" t="str">
        <f t="shared" ref="FP123" si="2059">IF(CJ123="","","|n"&amp;FP$2&amp;"+"&amp;CJ123&amp;FP$1)</f>
        <v/>
      </c>
      <c r="FQ123" s="44" t="str">
        <f t="shared" ref="FQ123" si="2060">IF(CK123="","","|n"&amp;FQ$2&amp;"+"&amp;CK123&amp;FQ$1)</f>
        <v/>
      </c>
      <c r="FR123" s="44" t="str">
        <f t="shared" ref="FR123" si="2061">IF(CL123="","","|n"&amp;FR$2&amp;"+"&amp;CL123&amp;FR$1)</f>
        <v/>
      </c>
      <c r="FS123" s="44" t="str">
        <f t="shared" ref="FS123" si="2062">IF(CM123="","","|n"&amp;FS$2&amp;"+"&amp;CM123&amp;FS$1)</f>
        <v/>
      </c>
    </row>
    <row r="124" spans="1:175" ht="16.5">
      <c r="A124" s="5"/>
      <c r="B124" s="5" t="s">
        <v>483</v>
      </c>
      <c r="C124" s="5" t="s">
        <v>484</v>
      </c>
      <c r="T124" s="82" t="s">
        <v>485</v>
      </c>
      <c r="U124" s="56" t="str">
        <f t="shared" si="1549"/>
        <v>ReplaceableTextures\\CommandButtons\\BTNIN00.blp</v>
      </c>
      <c r="CN124" s="13" t="str">
        <f t="shared" ref="CN124:CN147" si="2063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13" t="str">
        <f t="shared" ref="CO124:CO147" si="2064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13" t="str">
        <f t="shared" ref="CP124:CP147" si="2065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13" t="str">
        <f t="shared" ref="CQ124:CQ147" si="2066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13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164&amp;CR$1&amp;")"</f>
        <v>InitEquipData('IN00',,"",,,,,'','','','','','',"ReplaceableTextures\\CommandButtons\\BTNIT06.blp")</v>
      </c>
      <c r="CU124" s="68" t="str">
        <f t="shared" si="1914"/>
        <v>|n</v>
      </c>
      <c r="CV124" s="6" t="str">
        <f t="shared" si="1915"/>
        <v>开启后获得一个|Cffffd24d随机锦囊|r。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spans="1:175" ht="16.5">
      <c r="A125" s="5"/>
      <c r="B125" s="76" t="s">
        <v>486</v>
      </c>
      <c r="C125" s="77" t="s">
        <v>487</v>
      </c>
      <c r="T125" s="6" t="s">
        <v>488</v>
      </c>
      <c r="U125" s="56" t="str">
        <f t="shared" si="1549"/>
        <v>ReplaceableTextures\\CommandButtons\\BTNIN07.blp</v>
      </c>
      <c r="CN125" s="13" t="str">
        <f t="shared" si="2063"/>
        <v>InitUnitState('IN07',,,,,,,,,,)</v>
      </c>
      <c r="CO125" s="13" t="str">
        <f t="shared" si="2064"/>
        <v>InitUnitNormal('IN07',,,,,,,,,,)</v>
      </c>
      <c r="CP125" s="13" t="str">
        <f t="shared" si="2065"/>
        <v>InitUnitMagic('IN07',,,,,,,,,,)</v>
      </c>
      <c r="CQ125" s="13" t="str">
        <f t="shared" si="2066"/>
        <v>InitUnitAdd('IN07',,,,,,,,,,)</v>
      </c>
      <c r="CR125" s="13" t="str">
        <f t="shared" ref="CR125:CR139" si="2067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159&amp;CR$1&amp;")"</f>
        <v>InitEquipData('IN07',,"",,,,,'','','','','','',"ReplaceableTextures\\CommandButtons\\BTNIT01.blp")</v>
      </c>
      <c r="CU125" s="68" t="str">
        <f t="shared" ref="CU125:CU130" si="2068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" t="str">
        <f t="shared" ref="CV125:CV130" si="2069">T125</f>
        <v>每秒回复|Cffffd24d10%|r生命值，持续|Cffffd24d10|r秒</v>
      </c>
      <c r="CW125" s="7"/>
      <c r="CX125" s="7"/>
      <c r="CY125" s="7"/>
      <c r="CZ125" s="7"/>
      <c r="DA125" s="7"/>
      <c r="DB125" s="44" t="str">
        <f t="shared" ref="DB125:DB130" si="2070">IF(V125="","","|n"&amp;DB$2&amp;"+"&amp;V125&amp;DB$1)</f>
        <v/>
      </c>
      <c r="DC125" s="44" t="str">
        <f t="shared" ref="DC125:DC130" si="2071">IF(W125="","","|n"&amp;DC$2&amp;"+"&amp;W125&amp;DC$1)</f>
        <v/>
      </c>
      <c r="DD125" s="44" t="str">
        <f t="shared" ref="DD125:DD130" si="2072">IF(X125="","","|n"&amp;DD$2&amp;"+"&amp;X125&amp;DD$1)</f>
        <v/>
      </c>
      <c r="DE125" s="44" t="str">
        <f t="shared" ref="DE125:DE130" si="2073">IF(Y125="","","|n"&amp;DE$2&amp;"+"&amp;Y125&amp;DE$1)</f>
        <v/>
      </c>
      <c r="DF125" s="44" t="str">
        <f t="shared" ref="DF125:DF130" si="2074">IF(Z125="","","|n"&amp;DF$2&amp;"+"&amp;Z125&amp;DF$1)</f>
        <v/>
      </c>
      <c r="DG125" s="44" t="str">
        <f t="shared" ref="DG125:DG130" si="2075">IF(AA125="","","|n"&amp;DG$2&amp;"+"&amp;AA125&amp;DG$1)</f>
        <v/>
      </c>
      <c r="DH125" s="44" t="str">
        <f t="shared" ref="DH125:DH130" si="2076">IF(AB125="","","|n"&amp;DH$2&amp;"+"&amp;AB125&amp;DH$1)</f>
        <v/>
      </c>
      <c r="DI125" s="44" t="str">
        <f t="shared" ref="DI125:DI130" si="2077">IF(AC125="","","|n"&amp;DI$2&amp;"+"&amp;AC125&amp;DI$1)</f>
        <v/>
      </c>
      <c r="DJ125" s="44" t="str">
        <f t="shared" ref="DJ125:DJ130" si="2078">IF(AD125="","","|n"&amp;DJ$2&amp;"+"&amp;AD125&amp;DJ$1)</f>
        <v/>
      </c>
      <c r="DK125" s="44" t="str">
        <f t="shared" ref="DK125:DK130" si="2079">IF(AE125="","","|n"&amp;DK$2&amp;"+"&amp;AE125&amp;DK$1)</f>
        <v/>
      </c>
      <c r="DL125" s="44" t="str">
        <f t="shared" ref="DL125:DL130" si="2080">IF(AF125="","","|n"&amp;DL$2&amp;"+"&amp;AF125&amp;DL$1)</f>
        <v/>
      </c>
      <c r="DM125" s="44" t="str">
        <f t="shared" ref="DM125:DM130" si="2081">IF(AG125="","","|n"&amp;DM$2&amp;"+"&amp;AG125&amp;DM$1)</f>
        <v/>
      </c>
      <c r="DN125" s="44" t="str">
        <f t="shared" ref="DN125:DN130" si="2082">IF(AH125="","","|n"&amp;DN$2&amp;"+"&amp;AH125&amp;DN$1)</f>
        <v/>
      </c>
      <c r="DO125" s="44" t="str">
        <f t="shared" ref="DO125:DO130" si="2083">IF(AI125="","","|n"&amp;DO$2&amp;"+"&amp;AI125&amp;DO$1)</f>
        <v/>
      </c>
      <c r="DP125" s="44" t="str">
        <f t="shared" ref="DP125:DP130" si="2084">IF(AJ125="","","|n"&amp;DP$2&amp;"+"&amp;AJ125&amp;DP$1)</f>
        <v/>
      </c>
      <c r="DQ125" s="44" t="str">
        <f t="shared" ref="DQ125:DQ130" si="2085">IF(AK125="","","|n"&amp;DQ$2&amp;"+"&amp;AK125&amp;DQ$1)</f>
        <v/>
      </c>
      <c r="DR125" s="44" t="str">
        <f t="shared" ref="DR125:DR130" si="2086">IF(AL125="","","|n"&amp;DR$2&amp;"+"&amp;AL125&amp;DR$1)</f>
        <v/>
      </c>
      <c r="DS125" s="44" t="str">
        <f t="shared" ref="DS125:DS130" si="2087">IF(AM125="","","|n"&amp;DS$2&amp;"+"&amp;AM125&amp;DS$1)</f>
        <v/>
      </c>
      <c r="DT125" s="44" t="str">
        <f t="shared" ref="DT125:DT130" si="2088">IF(AN125="","","|n"&amp;DT$2&amp;"+"&amp;AN125&amp;DT$1)</f>
        <v/>
      </c>
      <c r="DU125" s="44" t="str">
        <f t="shared" ref="DU125:DU130" si="2089">IF(AO125="","","|n"&amp;DU$2&amp;"+"&amp;AO125&amp;DU$1)</f>
        <v/>
      </c>
      <c r="DV125" s="44" t="str">
        <f t="shared" ref="DV125:DV130" si="2090">IF(AP125="","","|n"&amp;DV$2&amp;"+"&amp;AP125&amp;DV$1)</f>
        <v/>
      </c>
      <c r="DW125" s="44" t="str">
        <f t="shared" ref="DW125:DW130" si="2091">IF(AQ125="","","|n"&amp;DW$2&amp;"+"&amp;AQ125&amp;DW$1)</f>
        <v/>
      </c>
      <c r="DX125" s="44" t="str">
        <f t="shared" ref="DX125:DX130" si="2092">IF(AR125="","","|n"&amp;DX$2&amp;"+"&amp;AR125&amp;DX$1)</f>
        <v/>
      </c>
      <c r="DY125" s="44" t="str">
        <f t="shared" ref="DY125:DY130" si="2093">IF(AS125="","","|n"&amp;DY$2&amp;"+"&amp;AS125&amp;DY$1)</f>
        <v/>
      </c>
      <c r="DZ125" s="44" t="str">
        <f t="shared" ref="DZ125:DZ130" si="2094">IF(AT125="","","|n"&amp;DZ$2&amp;"+"&amp;AT125&amp;DZ$1)</f>
        <v/>
      </c>
      <c r="EA125" s="44" t="str">
        <f t="shared" ref="EA125:EA130" si="2095">IF(AU125="","","|n"&amp;EA$2&amp;"+"&amp;AU125&amp;EA$1)</f>
        <v/>
      </c>
      <c r="EB125" s="44" t="str">
        <f t="shared" ref="EB125:EB130" si="2096">IF(AV125="","","|n"&amp;EB$2&amp;"+"&amp;AV125&amp;EB$1)</f>
        <v/>
      </c>
      <c r="EC125" s="44" t="str">
        <f t="shared" ref="EC125:EC130" si="2097">IF(AW125="","","|n"&amp;EC$2&amp;"+"&amp;AW125&amp;EC$1)</f>
        <v/>
      </c>
      <c r="ED125" s="44" t="str">
        <f t="shared" ref="ED125:ED130" si="2098">IF(AX125="","","|n"&amp;ED$2&amp;"+"&amp;AX125&amp;ED$1)</f>
        <v/>
      </c>
      <c r="EE125" s="44" t="str">
        <f t="shared" ref="EE125:EE130" si="2099">IF(AY125="","","|n"&amp;EE$2&amp;"+"&amp;AY125&amp;EE$1)</f>
        <v/>
      </c>
      <c r="EF125" s="44" t="str">
        <f t="shared" ref="EF125:EF130" si="2100">IF(AZ125="","","|n"&amp;EF$2&amp;"+"&amp;AZ125&amp;EF$1)</f>
        <v/>
      </c>
      <c r="EG125" s="44" t="str">
        <f t="shared" ref="EG125:EG130" si="2101">IF(BA125="","","|n"&amp;EG$2&amp;"+"&amp;BA125&amp;EG$1)</f>
        <v/>
      </c>
      <c r="EH125" s="44" t="str">
        <f t="shared" ref="EH125:EH130" si="2102">IF(BB125="","","|n"&amp;EH$2&amp;"+"&amp;BB125&amp;EH$1)</f>
        <v/>
      </c>
      <c r="EI125" s="44" t="str">
        <f t="shared" ref="EI125:EI130" si="2103">IF(BC125="","","|n"&amp;EI$2&amp;"+"&amp;BC125&amp;EI$1)</f>
        <v/>
      </c>
      <c r="EJ125" s="44" t="str">
        <f t="shared" ref="EJ125:EJ130" si="2104">IF(BD125="","","|n"&amp;EJ$2&amp;"+"&amp;BD125&amp;EJ$1)</f>
        <v/>
      </c>
      <c r="EK125" s="44" t="str">
        <f t="shared" ref="EK125:EK130" si="2105">IF(BE125="","","|n"&amp;EK$2&amp;"+"&amp;BE125&amp;EK$1)</f>
        <v/>
      </c>
      <c r="EL125" s="44" t="str">
        <f t="shared" ref="EL125:EL130" si="2106">IF(BF125="","","|n"&amp;EL$2&amp;"+"&amp;BF125&amp;EL$1)</f>
        <v/>
      </c>
      <c r="EM125" s="44" t="str">
        <f t="shared" ref="EM125:EM130" si="2107">IF(BG125="","","|n"&amp;EM$2&amp;"+"&amp;BG125&amp;EM$1)</f>
        <v/>
      </c>
      <c r="EN125" s="44" t="str">
        <f t="shared" ref="EN125:EN130" si="2108">IF(BH125="","","|n"&amp;EN$2&amp;"+"&amp;BH125&amp;EN$1)</f>
        <v/>
      </c>
      <c r="EO125" s="44" t="str">
        <f t="shared" ref="EO125:EO130" si="2109">IF(BI125="","","|n"&amp;EO$2&amp;"+"&amp;BI125&amp;EO$1)</f>
        <v/>
      </c>
      <c r="EP125" s="44" t="str">
        <f t="shared" ref="EP125:EP130" si="2110">IF(BJ125="","","|n"&amp;EP$2&amp;"+"&amp;BJ125&amp;EP$1)</f>
        <v/>
      </c>
      <c r="EQ125" s="44" t="str">
        <f t="shared" ref="EQ125:EQ130" si="2111">IF(BK125="","","|n"&amp;EQ$2&amp;"+"&amp;BK125&amp;EQ$1)</f>
        <v/>
      </c>
      <c r="ER125" s="44" t="str">
        <f t="shared" ref="ER125:ER130" si="2112">IF(BL125="","","|n"&amp;ER$2&amp;"+"&amp;BL125&amp;ER$1)</f>
        <v/>
      </c>
      <c r="ES125" s="44" t="str">
        <f t="shared" ref="ES125:ES130" si="2113">IF(BM125="","","|n"&amp;ES$2&amp;"+"&amp;BM125&amp;ES$1)</f>
        <v/>
      </c>
      <c r="ET125" s="44" t="str">
        <f t="shared" ref="ET125:ET130" si="2114">IF(BN125="","","|n"&amp;ET$2&amp;"+"&amp;BN125&amp;ET$1)</f>
        <v/>
      </c>
      <c r="EU125" s="44" t="str">
        <f t="shared" ref="EU125:EU130" si="2115">IF(BO125="","","|n"&amp;EU$2&amp;"+"&amp;BO125&amp;EU$1)</f>
        <v/>
      </c>
      <c r="EV125" s="44" t="str">
        <f t="shared" ref="EV125:EV130" si="2116">IF(BP125="","","|n"&amp;EV$2&amp;"+"&amp;BP125&amp;EV$1)</f>
        <v/>
      </c>
      <c r="EW125" s="44" t="str">
        <f t="shared" ref="EW125:EW130" si="2117">IF(BQ125="","","|n"&amp;EW$2&amp;"+"&amp;BQ125&amp;EW$1)</f>
        <v/>
      </c>
      <c r="EX125" s="44" t="str">
        <f t="shared" ref="EX125:EX130" si="2118">IF(BR125="","","|n"&amp;EX$2&amp;"+"&amp;BR125&amp;EX$1)</f>
        <v/>
      </c>
      <c r="EY125" s="44" t="str">
        <f t="shared" ref="EY125:EY130" si="2119">IF(BS125="","","|n"&amp;EY$2&amp;"+"&amp;BS125&amp;EY$1)</f>
        <v/>
      </c>
      <c r="EZ125" s="44" t="str">
        <f t="shared" ref="EZ125:EZ130" si="2120">IF(BT125="","","|n"&amp;EZ$2&amp;"+"&amp;BT125&amp;EZ$1)</f>
        <v/>
      </c>
      <c r="FA125" s="44" t="str">
        <f t="shared" ref="FA125:FA130" si="2121">IF(BU125="","","|n"&amp;FA$2&amp;"+"&amp;BU125&amp;FA$1)</f>
        <v/>
      </c>
      <c r="FB125" s="44" t="str">
        <f t="shared" ref="FB125:FB130" si="2122">IF(BV125="","","|n"&amp;FB$2&amp;"+"&amp;BV125&amp;FB$1)</f>
        <v/>
      </c>
      <c r="FC125" s="44" t="str">
        <f t="shared" ref="FC125:FC130" si="2123">IF(BW125="","","|n"&amp;FC$2&amp;"+"&amp;BW125&amp;FC$1)</f>
        <v/>
      </c>
      <c r="FD125" s="44" t="str">
        <f t="shared" ref="FD125:FD130" si="2124">IF(BX125="","","|n"&amp;FD$2&amp;"+"&amp;BX125&amp;FD$1)</f>
        <v/>
      </c>
      <c r="FE125" s="44" t="str">
        <f t="shared" ref="FE125:FE130" si="2125">IF(BY125="","","|n"&amp;FE$2&amp;"+"&amp;BY125&amp;FE$1)</f>
        <v/>
      </c>
      <c r="FF125" s="44" t="str">
        <f t="shared" ref="FF125:FF130" si="2126">IF(BZ125="","","|n"&amp;FF$2&amp;"+"&amp;BZ125&amp;FF$1)</f>
        <v/>
      </c>
      <c r="FG125" s="44" t="str">
        <f t="shared" ref="FG125:FG130" si="2127">IF(CA125="","","|n"&amp;FG$2&amp;"+"&amp;CA125&amp;FG$1)</f>
        <v/>
      </c>
      <c r="FH125" s="44" t="str">
        <f t="shared" ref="FH125:FH130" si="2128">IF(CB125="","","|n"&amp;FH$2&amp;"+"&amp;CB125&amp;FH$1)</f>
        <v/>
      </c>
      <c r="FI125" s="44" t="str">
        <f t="shared" ref="FI125:FI130" si="2129">IF(CC125="","","|n"&amp;FI$2&amp;"+"&amp;CC125&amp;FI$1)</f>
        <v/>
      </c>
      <c r="FJ125" s="44" t="str">
        <f t="shared" ref="FJ125:FJ130" si="2130">IF(CD125="","","|n"&amp;FJ$2&amp;"+"&amp;CD125&amp;FJ$1)</f>
        <v/>
      </c>
      <c r="FK125" s="44" t="str">
        <f t="shared" ref="FK125:FK130" si="2131">IF(CE125="","","|n"&amp;FK$2&amp;"+"&amp;CE125&amp;FK$1)</f>
        <v/>
      </c>
      <c r="FL125" s="44" t="str">
        <f t="shared" ref="FL125:FL130" si="2132">IF(CF125="","","|n"&amp;FL$2&amp;"+"&amp;CF125&amp;FL$1)</f>
        <v/>
      </c>
      <c r="FM125" s="44" t="str">
        <f t="shared" ref="FM125:FM130" si="2133">IF(CG125="","","|n"&amp;FM$2&amp;"+"&amp;CG125&amp;FM$1)</f>
        <v/>
      </c>
      <c r="FN125" s="44" t="str">
        <f t="shared" ref="FN125:FN130" si="2134">IF(CH125="","","|n"&amp;FN$2&amp;"+"&amp;CH125&amp;FN$1)</f>
        <v/>
      </c>
      <c r="FO125" s="44" t="str">
        <f t="shared" ref="FO125:FO130" si="2135">IF(CI125="","","|n"&amp;FO$2&amp;"+"&amp;CI125&amp;FO$1)</f>
        <v/>
      </c>
      <c r="FP125" s="44" t="str">
        <f t="shared" ref="FP125:FP130" si="2136">IF(CJ125="","","|n"&amp;FP$2&amp;"+"&amp;CJ125&amp;FP$1)</f>
        <v/>
      </c>
      <c r="FQ125" s="44" t="str">
        <f t="shared" ref="FQ125:FQ130" si="2137">IF(CK125="","","|n"&amp;FQ$2&amp;"+"&amp;CK125&amp;FQ$1)</f>
        <v/>
      </c>
      <c r="FR125" s="44" t="str">
        <f t="shared" ref="FR125:FR130" si="2138">IF(CL125="","","|n"&amp;FR$2&amp;"+"&amp;CL125&amp;FR$1)</f>
        <v/>
      </c>
      <c r="FS125" s="44" t="str">
        <f t="shared" ref="FS125:FS130" si="2139">IF(CM125="","","|n"&amp;FS$2&amp;"+"&amp;CM125&amp;FS$1)</f>
        <v/>
      </c>
    </row>
    <row r="126" spans="1:175" ht="16.5">
      <c r="A126" s="5"/>
      <c r="B126" s="5" t="s">
        <v>489</v>
      </c>
      <c r="C126" s="6" t="s">
        <v>490</v>
      </c>
      <c r="T126" s="6" t="s">
        <v>491</v>
      </c>
      <c r="U126" s="56" t="str">
        <f t="shared" si="1549"/>
        <v>ReplaceableTextures\\CommandButtons\\BTNIN08.blp</v>
      </c>
      <c r="CN126" s="13" t="str">
        <f t="shared" si="2063"/>
        <v>InitUnitState('IN08',,,,,,,,,,)</v>
      </c>
      <c r="CO126" s="13" t="str">
        <f t="shared" si="2064"/>
        <v>InitUnitNormal('IN08',,,,,,,,,,)</v>
      </c>
      <c r="CP126" s="13" t="str">
        <f t="shared" si="2065"/>
        <v>InitUnitMagic('IN08',,,,,,,,,,)</v>
      </c>
      <c r="CQ126" s="13" t="str">
        <f t="shared" si="2066"/>
        <v>InitUnitAdd('IN08',,,,,,,,,,)</v>
      </c>
      <c r="CR126" s="13" t="str">
        <f t="shared" si="2067"/>
        <v>InitEquipData('IN08',,"",,,,,'','','','','','',"ReplaceableTextures\\CommandButtons\\BTNIT02.blp")</v>
      </c>
      <c r="CU126" s="68" t="str">
        <f t="shared" si="2068"/>
        <v>|n</v>
      </c>
      <c r="CV126" s="6" t="str">
        <f t="shared" si="2069"/>
        <v>|CffFFC926击杀|r当前存在的|Cffffc926进攻怪|r和|Cffffc926Boss|r。|n|n|Cff00ff7f无法在大决战时使用|r</v>
      </c>
      <c r="CW126" s="7"/>
      <c r="CX126" s="7"/>
      <c r="CY126" s="7"/>
      <c r="CZ126" s="7"/>
      <c r="DA126" s="7"/>
      <c r="DB126" s="44" t="str">
        <f t="shared" si="2070"/>
        <v/>
      </c>
      <c r="DC126" s="44" t="str">
        <f t="shared" si="2071"/>
        <v/>
      </c>
      <c r="DD126" s="44" t="str">
        <f t="shared" si="2072"/>
        <v/>
      </c>
      <c r="DE126" s="44" t="str">
        <f t="shared" si="2073"/>
        <v/>
      </c>
      <c r="DF126" s="44" t="str">
        <f t="shared" si="2074"/>
        <v/>
      </c>
      <c r="DG126" s="44" t="str">
        <f t="shared" si="2075"/>
        <v/>
      </c>
      <c r="DH126" s="44" t="str">
        <f t="shared" si="2076"/>
        <v/>
      </c>
      <c r="DI126" s="44" t="str">
        <f t="shared" si="2077"/>
        <v/>
      </c>
      <c r="DJ126" s="44" t="str">
        <f t="shared" si="2078"/>
        <v/>
      </c>
      <c r="DK126" s="44" t="str">
        <f t="shared" si="2079"/>
        <v/>
      </c>
      <c r="DL126" s="44" t="str">
        <f t="shared" si="2080"/>
        <v/>
      </c>
      <c r="DM126" s="44" t="str">
        <f t="shared" si="2081"/>
        <v/>
      </c>
      <c r="DN126" s="44" t="str">
        <f t="shared" si="2082"/>
        <v/>
      </c>
      <c r="DO126" s="44" t="str">
        <f t="shared" si="2083"/>
        <v/>
      </c>
      <c r="DP126" s="44" t="str">
        <f t="shared" si="2084"/>
        <v/>
      </c>
      <c r="DQ126" s="44" t="str">
        <f t="shared" si="2085"/>
        <v/>
      </c>
      <c r="DR126" s="44" t="str">
        <f t="shared" si="2086"/>
        <v/>
      </c>
      <c r="DS126" s="44" t="str">
        <f t="shared" si="2087"/>
        <v/>
      </c>
      <c r="DT126" s="44" t="str">
        <f t="shared" si="2088"/>
        <v/>
      </c>
      <c r="DU126" s="44" t="str">
        <f t="shared" si="2089"/>
        <v/>
      </c>
      <c r="DV126" s="44" t="str">
        <f t="shared" si="2090"/>
        <v/>
      </c>
      <c r="DW126" s="44" t="str">
        <f t="shared" si="2091"/>
        <v/>
      </c>
      <c r="DX126" s="44" t="str">
        <f t="shared" si="2092"/>
        <v/>
      </c>
      <c r="DY126" s="44" t="str">
        <f t="shared" si="2093"/>
        <v/>
      </c>
      <c r="DZ126" s="44" t="str">
        <f t="shared" si="2094"/>
        <v/>
      </c>
      <c r="EA126" s="44" t="str">
        <f t="shared" si="2095"/>
        <v/>
      </c>
      <c r="EB126" s="44" t="str">
        <f t="shared" si="2096"/>
        <v/>
      </c>
      <c r="EC126" s="44" t="str">
        <f t="shared" si="2097"/>
        <v/>
      </c>
      <c r="ED126" s="44" t="str">
        <f t="shared" si="2098"/>
        <v/>
      </c>
      <c r="EE126" s="44" t="str">
        <f t="shared" si="2099"/>
        <v/>
      </c>
      <c r="EF126" s="44" t="str">
        <f t="shared" si="2100"/>
        <v/>
      </c>
      <c r="EG126" s="44" t="str">
        <f t="shared" si="2101"/>
        <v/>
      </c>
      <c r="EH126" s="44" t="str">
        <f t="shared" si="2102"/>
        <v/>
      </c>
      <c r="EI126" s="44" t="str">
        <f t="shared" si="2103"/>
        <v/>
      </c>
      <c r="EJ126" s="44" t="str">
        <f t="shared" si="2104"/>
        <v/>
      </c>
      <c r="EK126" s="44" t="str">
        <f t="shared" si="2105"/>
        <v/>
      </c>
      <c r="EL126" s="44" t="str">
        <f t="shared" si="2106"/>
        <v/>
      </c>
      <c r="EM126" s="44" t="str">
        <f t="shared" si="2107"/>
        <v/>
      </c>
      <c r="EN126" s="44" t="str">
        <f t="shared" si="2108"/>
        <v/>
      </c>
      <c r="EO126" s="44" t="str">
        <f t="shared" si="2109"/>
        <v/>
      </c>
      <c r="EP126" s="44" t="str">
        <f t="shared" si="2110"/>
        <v/>
      </c>
      <c r="EQ126" s="44" t="str">
        <f t="shared" si="2111"/>
        <v/>
      </c>
      <c r="ER126" s="44" t="str">
        <f t="shared" si="2112"/>
        <v/>
      </c>
      <c r="ES126" s="44" t="str">
        <f t="shared" si="2113"/>
        <v/>
      </c>
      <c r="ET126" s="44" t="str">
        <f t="shared" si="2114"/>
        <v/>
      </c>
      <c r="EU126" s="44" t="str">
        <f t="shared" si="2115"/>
        <v/>
      </c>
      <c r="EV126" s="44" t="str">
        <f t="shared" si="2116"/>
        <v/>
      </c>
      <c r="EW126" s="44" t="str">
        <f t="shared" si="2117"/>
        <v/>
      </c>
      <c r="EX126" s="44" t="str">
        <f t="shared" si="2118"/>
        <v/>
      </c>
      <c r="EY126" s="44" t="str">
        <f t="shared" si="2119"/>
        <v/>
      </c>
      <c r="EZ126" s="44" t="str">
        <f t="shared" si="2120"/>
        <v/>
      </c>
      <c r="FA126" s="44" t="str">
        <f t="shared" si="2121"/>
        <v/>
      </c>
      <c r="FB126" s="44" t="str">
        <f t="shared" si="2122"/>
        <v/>
      </c>
      <c r="FC126" s="44" t="str">
        <f t="shared" si="2123"/>
        <v/>
      </c>
      <c r="FD126" s="44" t="str">
        <f t="shared" si="2124"/>
        <v/>
      </c>
      <c r="FE126" s="44" t="str">
        <f t="shared" si="2125"/>
        <v/>
      </c>
      <c r="FF126" s="44" t="str">
        <f t="shared" si="2126"/>
        <v/>
      </c>
      <c r="FG126" s="44" t="str">
        <f t="shared" si="2127"/>
        <v/>
      </c>
      <c r="FH126" s="44" t="str">
        <f t="shared" si="2128"/>
        <v/>
      </c>
      <c r="FI126" s="44" t="str">
        <f t="shared" si="2129"/>
        <v/>
      </c>
      <c r="FJ126" s="44" t="str">
        <f t="shared" si="2130"/>
        <v/>
      </c>
      <c r="FK126" s="44" t="str">
        <f t="shared" si="2131"/>
        <v/>
      </c>
      <c r="FL126" s="44" t="str">
        <f t="shared" si="2132"/>
        <v/>
      </c>
      <c r="FM126" s="44" t="str">
        <f t="shared" si="2133"/>
        <v/>
      </c>
      <c r="FN126" s="44" t="str">
        <f t="shared" si="2134"/>
        <v/>
      </c>
      <c r="FO126" s="44" t="str">
        <f t="shared" si="2135"/>
        <v/>
      </c>
      <c r="FP126" s="44" t="str">
        <f t="shared" si="2136"/>
        <v/>
      </c>
      <c r="FQ126" s="44" t="str">
        <f t="shared" si="2137"/>
        <v/>
      </c>
      <c r="FR126" s="44" t="str">
        <f t="shared" si="2138"/>
        <v/>
      </c>
      <c r="FS126" s="44" t="str">
        <f t="shared" si="2139"/>
        <v/>
      </c>
    </row>
    <row r="127" spans="1:175" ht="16.5">
      <c r="A127" s="5"/>
      <c r="B127" s="76" t="s">
        <v>492</v>
      </c>
      <c r="C127" s="77" t="s">
        <v>493</v>
      </c>
      <c r="T127" s="6" t="s">
        <v>494</v>
      </c>
      <c r="U127" s="56" t="str">
        <f t="shared" si="1549"/>
        <v>ReplaceableTextures\\CommandButtons\\BTNIN09.blp</v>
      </c>
      <c r="CN127" s="13" t="str">
        <f t="shared" si="2063"/>
        <v>InitUnitState('IN09',,,,,,,,,,)</v>
      </c>
      <c r="CO127" s="13" t="str">
        <f t="shared" si="2064"/>
        <v>InitUnitNormal('IN09',,,,,,,,,,)</v>
      </c>
      <c r="CP127" s="13" t="str">
        <f t="shared" si="2065"/>
        <v>InitUnitMagic('IN09',,,,,,,,,,)</v>
      </c>
      <c r="CQ127" s="13" t="str">
        <f t="shared" si="2066"/>
        <v>InitUnitAdd('IN09',,,,,,,,,,)</v>
      </c>
      <c r="CR127" s="13" t="str">
        <f t="shared" si="2067"/>
        <v>InitEquipData('IN09',,"",,,,,'','','','','','',"ReplaceableTextures\\CommandButtons\\BTNIT03.blp")</v>
      </c>
      <c r="CU127" s="68" t="str">
        <f t="shared" si="2068"/>
        <v>|n</v>
      </c>
      <c r="CV127" s="6" t="str">
        <f t="shared" si="2069"/>
        <v>死亡时复活。</v>
      </c>
      <c r="CW127" s="7"/>
      <c r="CX127" s="7"/>
      <c r="CY127" s="7"/>
      <c r="CZ127" s="7"/>
      <c r="DA127" s="7"/>
      <c r="DB127" s="44" t="str">
        <f t="shared" si="2070"/>
        <v/>
      </c>
      <c r="DC127" s="44" t="str">
        <f t="shared" si="2071"/>
        <v/>
      </c>
      <c r="DD127" s="44" t="str">
        <f t="shared" si="2072"/>
        <v/>
      </c>
      <c r="DE127" s="44" t="str">
        <f t="shared" si="2073"/>
        <v/>
      </c>
      <c r="DF127" s="44" t="str">
        <f t="shared" si="2074"/>
        <v/>
      </c>
      <c r="DG127" s="44" t="str">
        <f t="shared" si="2075"/>
        <v/>
      </c>
      <c r="DH127" s="44" t="str">
        <f t="shared" si="2076"/>
        <v/>
      </c>
      <c r="DI127" s="44" t="str">
        <f t="shared" si="2077"/>
        <v/>
      </c>
      <c r="DJ127" s="44" t="str">
        <f t="shared" si="2078"/>
        <v/>
      </c>
      <c r="DK127" s="44" t="str">
        <f t="shared" si="2079"/>
        <v/>
      </c>
      <c r="DL127" s="44" t="str">
        <f t="shared" si="2080"/>
        <v/>
      </c>
      <c r="DM127" s="44" t="str">
        <f t="shared" si="2081"/>
        <v/>
      </c>
      <c r="DN127" s="44" t="str">
        <f t="shared" si="2082"/>
        <v/>
      </c>
      <c r="DO127" s="44" t="str">
        <f t="shared" si="2083"/>
        <v/>
      </c>
      <c r="DP127" s="44" t="str">
        <f t="shared" si="2084"/>
        <v/>
      </c>
      <c r="DQ127" s="44" t="str">
        <f t="shared" si="2085"/>
        <v/>
      </c>
      <c r="DR127" s="44" t="str">
        <f t="shared" si="2086"/>
        <v/>
      </c>
      <c r="DS127" s="44" t="str">
        <f t="shared" si="2087"/>
        <v/>
      </c>
      <c r="DT127" s="44" t="str">
        <f t="shared" si="2088"/>
        <v/>
      </c>
      <c r="DU127" s="44" t="str">
        <f t="shared" si="2089"/>
        <v/>
      </c>
      <c r="DV127" s="44" t="str">
        <f t="shared" si="2090"/>
        <v/>
      </c>
      <c r="DW127" s="44" t="str">
        <f t="shared" si="2091"/>
        <v/>
      </c>
      <c r="DX127" s="44" t="str">
        <f t="shared" si="2092"/>
        <v/>
      </c>
      <c r="DY127" s="44" t="str">
        <f t="shared" si="2093"/>
        <v/>
      </c>
      <c r="DZ127" s="44" t="str">
        <f t="shared" si="2094"/>
        <v/>
      </c>
      <c r="EA127" s="44" t="str">
        <f t="shared" si="2095"/>
        <v/>
      </c>
      <c r="EB127" s="44" t="str">
        <f t="shared" si="2096"/>
        <v/>
      </c>
      <c r="EC127" s="44" t="str">
        <f t="shared" si="2097"/>
        <v/>
      </c>
      <c r="ED127" s="44" t="str">
        <f t="shared" si="2098"/>
        <v/>
      </c>
      <c r="EE127" s="44" t="str">
        <f t="shared" si="2099"/>
        <v/>
      </c>
      <c r="EF127" s="44" t="str">
        <f t="shared" si="2100"/>
        <v/>
      </c>
      <c r="EG127" s="44" t="str">
        <f t="shared" si="2101"/>
        <v/>
      </c>
      <c r="EH127" s="44" t="str">
        <f t="shared" si="2102"/>
        <v/>
      </c>
      <c r="EI127" s="44" t="str">
        <f t="shared" si="2103"/>
        <v/>
      </c>
      <c r="EJ127" s="44" t="str">
        <f t="shared" si="2104"/>
        <v/>
      </c>
      <c r="EK127" s="44" t="str">
        <f t="shared" si="2105"/>
        <v/>
      </c>
      <c r="EL127" s="44" t="str">
        <f t="shared" si="2106"/>
        <v/>
      </c>
      <c r="EM127" s="44" t="str">
        <f t="shared" si="2107"/>
        <v/>
      </c>
      <c r="EN127" s="44" t="str">
        <f t="shared" si="2108"/>
        <v/>
      </c>
      <c r="EO127" s="44" t="str">
        <f t="shared" si="2109"/>
        <v/>
      </c>
      <c r="EP127" s="44" t="str">
        <f t="shared" si="2110"/>
        <v/>
      </c>
      <c r="EQ127" s="44" t="str">
        <f t="shared" si="2111"/>
        <v/>
      </c>
      <c r="ER127" s="44" t="str">
        <f t="shared" si="2112"/>
        <v/>
      </c>
      <c r="ES127" s="44" t="str">
        <f t="shared" si="2113"/>
        <v/>
      </c>
      <c r="ET127" s="44" t="str">
        <f t="shared" si="2114"/>
        <v/>
      </c>
      <c r="EU127" s="44" t="str">
        <f t="shared" si="2115"/>
        <v/>
      </c>
      <c r="EV127" s="44" t="str">
        <f t="shared" si="2116"/>
        <v/>
      </c>
      <c r="EW127" s="44" t="str">
        <f t="shared" si="2117"/>
        <v/>
      </c>
      <c r="EX127" s="44" t="str">
        <f t="shared" si="2118"/>
        <v/>
      </c>
      <c r="EY127" s="44" t="str">
        <f t="shared" si="2119"/>
        <v/>
      </c>
      <c r="EZ127" s="44" t="str">
        <f t="shared" si="2120"/>
        <v/>
      </c>
      <c r="FA127" s="44" t="str">
        <f t="shared" si="2121"/>
        <v/>
      </c>
      <c r="FB127" s="44" t="str">
        <f t="shared" si="2122"/>
        <v/>
      </c>
      <c r="FC127" s="44" t="str">
        <f t="shared" si="2123"/>
        <v/>
      </c>
      <c r="FD127" s="44" t="str">
        <f t="shared" si="2124"/>
        <v/>
      </c>
      <c r="FE127" s="44" t="str">
        <f t="shared" si="2125"/>
        <v/>
      </c>
      <c r="FF127" s="44" t="str">
        <f t="shared" si="2126"/>
        <v/>
      </c>
      <c r="FG127" s="44" t="str">
        <f t="shared" si="2127"/>
        <v/>
      </c>
      <c r="FH127" s="44" t="str">
        <f t="shared" si="2128"/>
        <v/>
      </c>
      <c r="FI127" s="44" t="str">
        <f t="shared" si="2129"/>
        <v/>
      </c>
      <c r="FJ127" s="44" t="str">
        <f t="shared" si="2130"/>
        <v/>
      </c>
      <c r="FK127" s="44" t="str">
        <f t="shared" si="2131"/>
        <v/>
      </c>
      <c r="FL127" s="44" t="str">
        <f t="shared" si="2132"/>
        <v/>
      </c>
      <c r="FM127" s="44" t="str">
        <f t="shared" si="2133"/>
        <v/>
      </c>
      <c r="FN127" s="44" t="str">
        <f t="shared" si="2134"/>
        <v/>
      </c>
      <c r="FO127" s="44" t="str">
        <f t="shared" si="2135"/>
        <v/>
      </c>
      <c r="FP127" s="44" t="str">
        <f t="shared" si="2136"/>
        <v/>
      </c>
      <c r="FQ127" s="44" t="str">
        <f t="shared" si="2137"/>
        <v/>
      </c>
      <c r="FR127" s="44" t="str">
        <f t="shared" si="2138"/>
        <v/>
      </c>
      <c r="FS127" s="44" t="str">
        <f t="shared" si="2139"/>
        <v/>
      </c>
    </row>
    <row r="128" spans="1:175" ht="16.5">
      <c r="A128" s="5"/>
      <c r="B128" s="76" t="s">
        <v>495</v>
      </c>
      <c r="C128" s="77" t="s">
        <v>496</v>
      </c>
      <c r="T128" s="6" t="s">
        <v>497</v>
      </c>
      <c r="U128" s="56" t="str">
        <f t="shared" si="1549"/>
        <v>ReplaceableTextures\\CommandButtons\\BTNIN10.blp</v>
      </c>
      <c r="CN128" s="13" t="str">
        <f t="shared" si="2063"/>
        <v>InitUnitState('IN10',,,,,,,,,,)</v>
      </c>
      <c r="CO128" s="13" t="str">
        <f t="shared" si="2064"/>
        <v>InitUnitNormal('IN10',,,,,,,,,,)</v>
      </c>
      <c r="CP128" s="13" t="str">
        <f t="shared" si="2065"/>
        <v>InitUnitMagic('IN10',,,,,,,,,,)</v>
      </c>
      <c r="CQ128" s="13" t="str">
        <f t="shared" si="2066"/>
        <v>InitUnitAdd('IN10',,,,,,,,,,)</v>
      </c>
      <c r="CR128" s="13" t="str">
        <f t="shared" si="2067"/>
        <v>InitEquipData('IN10',,"",,,,,'','','','','','',"ReplaceableTextures\\CommandButtons\\BTNIT04.blp")</v>
      </c>
      <c r="CU128" s="68" t="str">
        <f t="shared" si="2068"/>
        <v>|n</v>
      </c>
      <c r="CV128" s="6" t="str">
        <f t="shared" si="2069"/>
        <v>点金一个|Cffffd24d练功房福娃|r，获得|Cffffd24d100|r倍金币奖励</v>
      </c>
      <c r="CW128" s="7"/>
      <c r="CX128" s="7"/>
      <c r="CY128" s="7"/>
      <c r="CZ128" s="7"/>
      <c r="DA128" s="7"/>
      <c r="DB128" s="44" t="str">
        <f t="shared" si="2070"/>
        <v/>
      </c>
      <c r="DC128" s="44" t="str">
        <f t="shared" si="2071"/>
        <v/>
      </c>
      <c r="DD128" s="44" t="str">
        <f t="shared" si="2072"/>
        <v/>
      </c>
      <c r="DE128" s="44" t="str">
        <f t="shared" si="2073"/>
        <v/>
      </c>
      <c r="DF128" s="44" t="str">
        <f t="shared" si="2074"/>
        <v/>
      </c>
      <c r="DG128" s="44" t="str">
        <f t="shared" si="2075"/>
        <v/>
      </c>
      <c r="DH128" s="44" t="str">
        <f t="shared" si="2076"/>
        <v/>
      </c>
      <c r="DI128" s="44" t="str">
        <f t="shared" si="2077"/>
        <v/>
      </c>
      <c r="DJ128" s="44" t="str">
        <f t="shared" si="2078"/>
        <v/>
      </c>
      <c r="DK128" s="44" t="str">
        <f t="shared" si="2079"/>
        <v/>
      </c>
      <c r="DL128" s="44" t="str">
        <f t="shared" si="2080"/>
        <v/>
      </c>
      <c r="DM128" s="44" t="str">
        <f t="shared" si="2081"/>
        <v/>
      </c>
      <c r="DN128" s="44" t="str">
        <f t="shared" si="2082"/>
        <v/>
      </c>
      <c r="DO128" s="44" t="str">
        <f t="shared" si="2083"/>
        <v/>
      </c>
      <c r="DP128" s="44" t="str">
        <f t="shared" si="2084"/>
        <v/>
      </c>
      <c r="DQ128" s="44" t="str">
        <f t="shared" si="2085"/>
        <v/>
      </c>
      <c r="DR128" s="44" t="str">
        <f t="shared" si="2086"/>
        <v/>
      </c>
      <c r="DS128" s="44" t="str">
        <f t="shared" si="2087"/>
        <v/>
      </c>
      <c r="DT128" s="44" t="str">
        <f t="shared" si="2088"/>
        <v/>
      </c>
      <c r="DU128" s="44" t="str">
        <f t="shared" si="2089"/>
        <v/>
      </c>
      <c r="DV128" s="44" t="str">
        <f t="shared" si="2090"/>
        <v/>
      </c>
      <c r="DW128" s="44" t="str">
        <f t="shared" si="2091"/>
        <v/>
      </c>
      <c r="DX128" s="44" t="str">
        <f t="shared" si="2092"/>
        <v/>
      </c>
      <c r="DY128" s="44" t="str">
        <f t="shared" si="2093"/>
        <v/>
      </c>
      <c r="DZ128" s="44" t="str">
        <f t="shared" si="2094"/>
        <v/>
      </c>
      <c r="EA128" s="44" t="str">
        <f t="shared" si="2095"/>
        <v/>
      </c>
      <c r="EB128" s="44" t="str">
        <f t="shared" si="2096"/>
        <v/>
      </c>
      <c r="EC128" s="44" t="str">
        <f t="shared" si="2097"/>
        <v/>
      </c>
      <c r="ED128" s="44" t="str">
        <f t="shared" si="2098"/>
        <v/>
      </c>
      <c r="EE128" s="44" t="str">
        <f t="shared" si="2099"/>
        <v/>
      </c>
      <c r="EF128" s="44" t="str">
        <f t="shared" si="2100"/>
        <v/>
      </c>
      <c r="EG128" s="44" t="str">
        <f t="shared" si="2101"/>
        <v/>
      </c>
      <c r="EH128" s="44" t="str">
        <f t="shared" si="2102"/>
        <v/>
      </c>
      <c r="EI128" s="44" t="str">
        <f t="shared" si="2103"/>
        <v/>
      </c>
      <c r="EJ128" s="44" t="str">
        <f t="shared" si="2104"/>
        <v/>
      </c>
      <c r="EK128" s="44" t="str">
        <f t="shared" si="2105"/>
        <v/>
      </c>
      <c r="EL128" s="44" t="str">
        <f t="shared" si="2106"/>
        <v/>
      </c>
      <c r="EM128" s="44" t="str">
        <f t="shared" si="2107"/>
        <v/>
      </c>
      <c r="EN128" s="44" t="str">
        <f t="shared" si="2108"/>
        <v/>
      </c>
      <c r="EO128" s="44" t="str">
        <f t="shared" si="2109"/>
        <v/>
      </c>
      <c r="EP128" s="44" t="str">
        <f t="shared" si="2110"/>
        <v/>
      </c>
      <c r="EQ128" s="44" t="str">
        <f t="shared" si="2111"/>
        <v/>
      </c>
      <c r="ER128" s="44" t="str">
        <f t="shared" si="2112"/>
        <v/>
      </c>
      <c r="ES128" s="44" t="str">
        <f t="shared" si="2113"/>
        <v/>
      </c>
      <c r="ET128" s="44" t="str">
        <f t="shared" si="2114"/>
        <v/>
      </c>
      <c r="EU128" s="44" t="str">
        <f t="shared" si="2115"/>
        <v/>
      </c>
      <c r="EV128" s="44" t="str">
        <f t="shared" si="2116"/>
        <v/>
      </c>
      <c r="EW128" s="44" t="str">
        <f t="shared" si="2117"/>
        <v/>
      </c>
      <c r="EX128" s="44" t="str">
        <f t="shared" si="2118"/>
        <v/>
      </c>
      <c r="EY128" s="44" t="str">
        <f t="shared" si="2119"/>
        <v/>
      </c>
      <c r="EZ128" s="44" t="str">
        <f t="shared" si="2120"/>
        <v/>
      </c>
      <c r="FA128" s="44" t="str">
        <f t="shared" si="2121"/>
        <v/>
      </c>
      <c r="FB128" s="44" t="str">
        <f t="shared" si="2122"/>
        <v/>
      </c>
      <c r="FC128" s="44" t="str">
        <f t="shared" si="2123"/>
        <v/>
      </c>
      <c r="FD128" s="44" t="str">
        <f t="shared" si="2124"/>
        <v/>
      </c>
      <c r="FE128" s="44" t="str">
        <f t="shared" si="2125"/>
        <v/>
      </c>
      <c r="FF128" s="44" t="str">
        <f t="shared" si="2126"/>
        <v/>
      </c>
      <c r="FG128" s="44" t="str">
        <f t="shared" si="2127"/>
        <v/>
      </c>
      <c r="FH128" s="44" t="str">
        <f t="shared" si="2128"/>
        <v/>
      </c>
      <c r="FI128" s="44" t="str">
        <f t="shared" si="2129"/>
        <v/>
      </c>
      <c r="FJ128" s="44" t="str">
        <f t="shared" si="2130"/>
        <v/>
      </c>
      <c r="FK128" s="44" t="str">
        <f t="shared" si="2131"/>
        <v/>
      </c>
      <c r="FL128" s="44" t="str">
        <f t="shared" si="2132"/>
        <v/>
      </c>
      <c r="FM128" s="44" t="str">
        <f t="shared" si="2133"/>
        <v/>
      </c>
      <c r="FN128" s="44" t="str">
        <f t="shared" si="2134"/>
        <v/>
      </c>
      <c r="FO128" s="44" t="str">
        <f t="shared" si="2135"/>
        <v/>
      </c>
      <c r="FP128" s="44" t="str">
        <f t="shared" si="2136"/>
        <v/>
      </c>
      <c r="FQ128" s="44" t="str">
        <f t="shared" si="2137"/>
        <v/>
      </c>
      <c r="FR128" s="44" t="str">
        <f t="shared" si="2138"/>
        <v/>
      </c>
      <c r="FS128" s="44" t="str">
        <f t="shared" si="2139"/>
        <v/>
      </c>
    </row>
    <row r="129" spans="1:175" ht="16.5">
      <c r="A129" s="5"/>
      <c r="B129" s="76" t="s">
        <v>498</v>
      </c>
      <c r="C129" s="77" t="s">
        <v>499</v>
      </c>
      <c r="T129" s="6" t="s">
        <v>500</v>
      </c>
      <c r="U129" s="56" t="str">
        <f t="shared" si="1549"/>
        <v>ReplaceableTextures\\CommandButtons\\BTNIN11.blp</v>
      </c>
      <c r="CN129" s="13" t="str">
        <f t="shared" si="2063"/>
        <v>InitUnitState('IN11',,,,,,,,,,)</v>
      </c>
      <c r="CO129" s="13" t="str">
        <f t="shared" si="2064"/>
        <v>InitUnitNormal('IN11',,,,,,,,,,)</v>
      </c>
      <c r="CP129" s="13" t="str">
        <f t="shared" si="2065"/>
        <v>InitUnitMagic('IN11',,,,,,,,,,)</v>
      </c>
      <c r="CQ129" s="13" t="str">
        <f t="shared" si="2066"/>
        <v>InitUnitAdd('IN11',,,,,,,,,,)</v>
      </c>
      <c r="CR129" s="13" t="str">
        <f t="shared" si="2067"/>
        <v>InitEquipData('IN11',,"",,,,,'','','','','','',"ReplaceableTextures\\CommandButtons\\BTNIT05.blp")</v>
      </c>
      <c r="CU129" s="68" t="str">
        <f t="shared" si="2068"/>
        <v>|n</v>
      </c>
      <c r="CV129" s="6" t="str">
        <f t="shared" si="2069"/>
        <v>|CffFFD24D5|r秒内提高|Cffffd24d100%|r物理伤害</v>
      </c>
      <c r="CW129" s="7"/>
      <c r="CX129" s="7"/>
      <c r="CY129" s="7"/>
      <c r="CZ129" s="7"/>
      <c r="DA129" s="7"/>
      <c r="DB129" s="44" t="str">
        <f t="shared" si="2070"/>
        <v/>
      </c>
      <c r="DC129" s="44" t="str">
        <f t="shared" si="2071"/>
        <v/>
      </c>
      <c r="DD129" s="44" t="str">
        <f t="shared" si="2072"/>
        <v/>
      </c>
      <c r="DE129" s="44" t="str">
        <f t="shared" si="2073"/>
        <v/>
      </c>
      <c r="DF129" s="44" t="str">
        <f t="shared" si="2074"/>
        <v/>
      </c>
      <c r="DG129" s="44" t="str">
        <f t="shared" si="2075"/>
        <v/>
      </c>
      <c r="DH129" s="44" t="str">
        <f t="shared" si="2076"/>
        <v/>
      </c>
      <c r="DI129" s="44" t="str">
        <f t="shared" si="2077"/>
        <v/>
      </c>
      <c r="DJ129" s="44" t="str">
        <f t="shared" si="2078"/>
        <v/>
      </c>
      <c r="DK129" s="44" t="str">
        <f t="shared" si="2079"/>
        <v/>
      </c>
      <c r="DL129" s="44" t="str">
        <f t="shared" si="2080"/>
        <v/>
      </c>
      <c r="DM129" s="44" t="str">
        <f t="shared" si="2081"/>
        <v/>
      </c>
      <c r="DN129" s="44" t="str">
        <f t="shared" si="2082"/>
        <v/>
      </c>
      <c r="DO129" s="44" t="str">
        <f t="shared" si="2083"/>
        <v/>
      </c>
      <c r="DP129" s="44" t="str">
        <f t="shared" si="2084"/>
        <v/>
      </c>
      <c r="DQ129" s="44" t="str">
        <f t="shared" si="2085"/>
        <v/>
      </c>
      <c r="DR129" s="44" t="str">
        <f t="shared" si="2086"/>
        <v/>
      </c>
      <c r="DS129" s="44" t="str">
        <f t="shared" si="2087"/>
        <v/>
      </c>
      <c r="DT129" s="44" t="str">
        <f t="shared" si="2088"/>
        <v/>
      </c>
      <c r="DU129" s="44" t="str">
        <f t="shared" si="2089"/>
        <v/>
      </c>
      <c r="DV129" s="44" t="str">
        <f t="shared" si="2090"/>
        <v/>
      </c>
      <c r="DW129" s="44" t="str">
        <f t="shared" si="2091"/>
        <v/>
      </c>
      <c r="DX129" s="44" t="str">
        <f t="shared" si="2092"/>
        <v/>
      </c>
      <c r="DY129" s="44" t="str">
        <f t="shared" si="2093"/>
        <v/>
      </c>
      <c r="DZ129" s="44" t="str">
        <f t="shared" si="2094"/>
        <v/>
      </c>
      <c r="EA129" s="44" t="str">
        <f t="shared" si="2095"/>
        <v/>
      </c>
      <c r="EB129" s="44" t="str">
        <f t="shared" si="2096"/>
        <v/>
      </c>
      <c r="EC129" s="44" t="str">
        <f t="shared" si="2097"/>
        <v/>
      </c>
      <c r="ED129" s="44" t="str">
        <f t="shared" si="2098"/>
        <v/>
      </c>
      <c r="EE129" s="44" t="str">
        <f t="shared" si="2099"/>
        <v/>
      </c>
      <c r="EF129" s="44" t="str">
        <f t="shared" si="2100"/>
        <v/>
      </c>
      <c r="EG129" s="44" t="str">
        <f t="shared" si="2101"/>
        <v/>
      </c>
      <c r="EH129" s="44" t="str">
        <f t="shared" si="2102"/>
        <v/>
      </c>
      <c r="EI129" s="44" t="str">
        <f t="shared" si="2103"/>
        <v/>
      </c>
      <c r="EJ129" s="44" t="str">
        <f t="shared" si="2104"/>
        <v/>
      </c>
      <c r="EK129" s="44" t="str">
        <f t="shared" si="2105"/>
        <v/>
      </c>
      <c r="EL129" s="44" t="str">
        <f t="shared" si="2106"/>
        <v/>
      </c>
      <c r="EM129" s="44" t="str">
        <f t="shared" si="2107"/>
        <v/>
      </c>
      <c r="EN129" s="44" t="str">
        <f t="shared" si="2108"/>
        <v/>
      </c>
      <c r="EO129" s="44" t="str">
        <f t="shared" si="2109"/>
        <v/>
      </c>
      <c r="EP129" s="44" t="str">
        <f t="shared" si="2110"/>
        <v/>
      </c>
      <c r="EQ129" s="44" t="str">
        <f t="shared" si="2111"/>
        <v/>
      </c>
      <c r="ER129" s="44" t="str">
        <f t="shared" si="2112"/>
        <v/>
      </c>
      <c r="ES129" s="44" t="str">
        <f t="shared" si="2113"/>
        <v/>
      </c>
      <c r="ET129" s="44" t="str">
        <f t="shared" si="2114"/>
        <v/>
      </c>
      <c r="EU129" s="44" t="str">
        <f t="shared" si="2115"/>
        <v/>
      </c>
      <c r="EV129" s="44" t="str">
        <f t="shared" si="2116"/>
        <v/>
      </c>
      <c r="EW129" s="44" t="str">
        <f t="shared" si="2117"/>
        <v/>
      </c>
      <c r="EX129" s="44" t="str">
        <f t="shared" si="2118"/>
        <v/>
      </c>
      <c r="EY129" s="44" t="str">
        <f t="shared" si="2119"/>
        <v/>
      </c>
      <c r="EZ129" s="44" t="str">
        <f t="shared" si="2120"/>
        <v/>
      </c>
      <c r="FA129" s="44" t="str">
        <f t="shared" si="2121"/>
        <v/>
      </c>
      <c r="FB129" s="44" t="str">
        <f t="shared" si="2122"/>
        <v/>
      </c>
      <c r="FC129" s="44" t="str">
        <f t="shared" si="2123"/>
        <v/>
      </c>
      <c r="FD129" s="44" t="str">
        <f t="shared" si="2124"/>
        <v/>
      </c>
      <c r="FE129" s="44" t="str">
        <f t="shared" si="2125"/>
        <v/>
      </c>
      <c r="FF129" s="44" t="str">
        <f t="shared" si="2126"/>
        <v/>
      </c>
      <c r="FG129" s="44" t="str">
        <f t="shared" si="2127"/>
        <v/>
      </c>
      <c r="FH129" s="44" t="str">
        <f t="shared" si="2128"/>
        <v/>
      </c>
      <c r="FI129" s="44" t="str">
        <f t="shared" si="2129"/>
        <v/>
      </c>
      <c r="FJ129" s="44" t="str">
        <f t="shared" si="2130"/>
        <v/>
      </c>
      <c r="FK129" s="44" t="str">
        <f t="shared" si="2131"/>
        <v/>
      </c>
      <c r="FL129" s="44" t="str">
        <f t="shared" si="2132"/>
        <v/>
      </c>
      <c r="FM129" s="44" t="str">
        <f t="shared" si="2133"/>
        <v/>
      </c>
      <c r="FN129" s="44" t="str">
        <f t="shared" si="2134"/>
        <v/>
      </c>
      <c r="FO129" s="44" t="str">
        <f t="shared" si="2135"/>
        <v/>
      </c>
      <c r="FP129" s="44" t="str">
        <f t="shared" si="2136"/>
        <v/>
      </c>
      <c r="FQ129" s="44" t="str">
        <f t="shared" si="2137"/>
        <v/>
      </c>
      <c r="FR129" s="44" t="str">
        <f t="shared" si="2138"/>
        <v/>
      </c>
      <c r="FS129" s="44" t="str">
        <f t="shared" si="2139"/>
        <v/>
      </c>
    </row>
    <row r="130" spans="1:175" ht="16.5">
      <c r="A130" s="5"/>
      <c r="B130" s="76" t="s">
        <v>501</v>
      </c>
      <c r="C130" s="77" t="s">
        <v>502</v>
      </c>
      <c r="T130" s="6" t="s">
        <v>503</v>
      </c>
      <c r="U130" s="56" t="str">
        <f t="shared" si="1549"/>
        <v>ReplaceableTextures\\CommandButtons\\BTNIN12.blp</v>
      </c>
      <c r="CN130" s="13" t="str">
        <f t="shared" si="2063"/>
        <v>InitUnitState('IN12',,,,,,,,,,)</v>
      </c>
      <c r="CO130" s="13" t="str">
        <f t="shared" si="2064"/>
        <v>InitUnitNormal('IN12',,,,,,,,,,)</v>
      </c>
      <c r="CP130" s="13" t="str">
        <f t="shared" si="2065"/>
        <v>InitUnitMagic('IN12',,,,,,,,,,)</v>
      </c>
      <c r="CQ130" s="13" t="str">
        <f t="shared" si="2066"/>
        <v>InitUnitAdd('IN12',,,,,,,,,,)</v>
      </c>
      <c r="CR130" s="13" t="str">
        <f t="shared" si="2067"/>
        <v>InitEquipData('IN12',,"",,,,,'','','','','','',"ReplaceableTextures\\CommandButtons\\BTNIT06.blp")</v>
      </c>
      <c r="CU130" s="68" t="str">
        <f t="shared" si="2068"/>
        <v>|n</v>
      </c>
      <c r="CV130" s="6" t="str">
        <f t="shared" si="2069"/>
        <v>在|Cffffd24d基地-周文王|r附近召唤|Cffffd24d1|r个|Cffffd24d黑市商店|r，仅存在|Cffffd24d30|r秒。</v>
      </c>
      <c r="CW130" s="7"/>
      <c r="CX130" s="7"/>
      <c r="CY130" s="7"/>
      <c r="CZ130" s="7"/>
      <c r="DA130" s="7"/>
      <c r="DB130" s="44" t="str">
        <f t="shared" si="2070"/>
        <v/>
      </c>
      <c r="DC130" s="44" t="str">
        <f t="shared" si="2071"/>
        <v/>
      </c>
      <c r="DD130" s="44" t="str">
        <f t="shared" si="2072"/>
        <v/>
      </c>
      <c r="DE130" s="44" t="str">
        <f t="shared" si="2073"/>
        <v/>
      </c>
      <c r="DF130" s="44" t="str">
        <f t="shared" si="2074"/>
        <v/>
      </c>
      <c r="DG130" s="44" t="str">
        <f t="shared" si="2075"/>
        <v/>
      </c>
      <c r="DH130" s="44" t="str">
        <f t="shared" si="2076"/>
        <v/>
      </c>
      <c r="DI130" s="44" t="str">
        <f t="shared" si="2077"/>
        <v/>
      </c>
      <c r="DJ130" s="44" t="str">
        <f t="shared" si="2078"/>
        <v/>
      </c>
      <c r="DK130" s="44" t="str">
        <f t="shared" si="2079"/>
        <v/>
      </c>
      <c r="DL130" s="44" t="str">
        <f t="shared" si="2080"/>
        <v/>
      </c>
      <c r="DM130" s="44" t="str">
        <f t="shared" si="2081"/>
        <v/>
      </c>
      <c r="DN130" s="44" t="str">
        <f t="shared" si="2082"/>
        <v/>
      </c>
      <c r="DO130" s="44" t="str">
        <f t="shared" si="2083"/>
        <v/>
      </c>
      <c r="DP130" s="44" t="str">
        <f t="shared" si="2084"/>
        <v/>
      </c>
      <c r="DQ130" s="44" t="str">
        <f t="shared" si="2085"/>
        <v/>
      </c>
      <c r="DR130" s="44" t="str">
        <f t="shared" si="2086"/>
        <v/>
      </c>
      <c r="DS130" s="44" t="str">
        <f t="shared" si="2087"/>
        <v/>
      </c>
      <c r="DT130" s="44" t="str">
        <f t="shared" si="2088"/>
        <v/>
      </c>
      <c r="DU130" s="44" t="str">
        <f t="shared" si="2089"/>
        <v/>
      </c>
      <c r="DV130" s="44" t="str">
        <f t="shared" si="2090"/>
        <v/>
      </c>
      <c r="DW130" s="44" t="str">
        <f t="shared" si="2091"/>
        <v/>
      </c>
      <c r="DX130" s="44" t="str">
        <f t="shared" si="2092"/>
        <v/>
      </c>
      <c r="DY130" s="44" t="str">
        <f t="shared" si="2093"/>
        <v/>
      </c>
      <c r="DZ130" s="44" t="str">
        <f t="shared" si="2094"/>
        <v/>
      </c>
      <c r="EA130" s="44" t="str">
        <f t="shared" si="2095"/>
        <v/>
      </c>
      <c r="EB130" s="44" t="str">
        <f t="shared" si="2096"/>
        <v/>
      </c>
      <c r="EC130" s="44" t="str">
        <f t="shared" si="2097"/>
        <v/>
      </c>
      <c r="ED130" s="44" t="str">
        <f t="shared" si="2098"/>
        <v/>
      </c>
      <c r="EE130" s="44" t="str">
        <f t="shared" si="2099"/>
        <v/>
      </c>
      <c r="EF130" s="44" t="str">
        <f t="shared" si="2100"/>
        <v/>
      </c>
      <c r="EG130" s="44" t="str">
        <f t="shared" si="2101"/>
        <v/>
      </c>
      <c r="EH130" s="44" t="str">
        <f t="shared" si="2102"/>
        <v/>
      </c>
      <c r="EI130" s="44" t="str">
        <f t="shared" si="2103"/>
        <v/>
      </c>
      <c r="EJ130" s="44" t="str">
        <f t="shared" si="2104"/>
        <v/>
      </c>
      <c r="EK130" s="44" t="str">
        <f t="shared" si="2105"/>
        <v/>
      </c>
      <c r="EL130" s="44" t="str">
        <f t="shared" si="2106"/>
        <v/>
      </c>
      <c r="EM130" s="44" t="str">
        <f t="shared" si="2107"/>
        <v/>
      </c>
      <c r="EN130" s="44" t="str">
        <f t="shared" si="2108"/>
        <v/>
      </c>
      <c r="EO130" s="44" t="str">
        <f t="shared" si="2109"/>
        <v/>
      </c>
      <c r="EP130" s="44" t="str">
        <f t="shared" si="2110"/>
        <v/>
      </c>
      <c r="EQ130" s="44" t="str">
        <f t="shared" si="2111"/>
        <v/>
      </c>
      <c r="ER130" s="44" t="str">
        <f t="shared" si="2112"/>
        <v/>
      </c>
      <c r="ES130" s="44" t="str">
        <f t="shared" si="2113"/>
        <v/>
      </c>
      <c r="ET130" s="44" t="str">
        <f t="shared" si="2114"/>
        <v/>
      </c>
      <c r="EU130" s="44" t="str">
        <f t="shared" si="2115"/>
        <v/>
      </c>
      <c r="EV130" s="44" t="str">
        <f t="shared" si="2116"/>
        <v/>
      </c>
      <c r="EW130" s="44" t="str">
        <f t="shared" si="2117"/>
        <v/>
      </c>
      <c r="EX130" s="44" t="str">
        <f t="shared" si="2118"/>
        <v/>
      </c>
      <c r="EY130" s="44" t="str">
        <f t="shared" si="2119"/>
        <v/>
      </c>
      <c r="EZ130" s="44" t="str">
        <f t="shared" si="2120"/>
        <v/>
      </c>
      <c r="FA130" s="44" t="str">
        <f t="shared" si="2121"/>
        <v/>
      </c>
      <c r="FB130" s="44" t="str">
        <f t="shared" si="2122"/>
        <v/>
      </c>
      <c r="FC130" s="44" t="str">
        <f t="shared" si="2123"/>
        <v/>
      </c>
      <c r="FD130" s="44" t="str">
        <f t="shared" si="2124"/>
        <v/>
      </c>
      <c r="FE130" s="44" t="str">
        <f t="shared" si="2125"/>
        <v/>
      </c>
      <c r="FF130" s="44" t="str">
        <f t="shared" si="2126"/>
        <v/>
      </c>
      <c r="FG130" s="44" t="str">
        <f t="shared" si="2127"/>
        <v/>
      </c>
      <c r="FH130" s="44" t="str">
        <f t="shared" si="2128"/>
        <v/>
      </c>
      <c r="FI130" s="44" t="str">
        <f t="shared" si="2129"/>
        <v/>
      </c>
      <c r="FJ130" s="44" t="str">
        <f t="shared" si="2130"/>
        <v/>
      </c>
      <c r="FK130" s="44" t="str">
        <f t="shared" si="2131"/>
        <v/>
      </c>
      <c r="FL130" s="44" t="str">
        <f t="shared" si="2132"/>
        <v/>
      </c>
      <c r="FM130" s="44" t="str">
        <f t="shared" si="2133"/>
        <v/>
      </c>
      <c r="FN130" s="44" t="str">
        <f t="shared" si="2134"/>
        <v/>
      </c>
      <c r="FO130" s="44" t="str">
        <f t="shared" si="2135"/>
        <v/>
      </c>
      <c r="FP130" s="44" t="str">
        <f t="shared" si="2136"/>
        <v/>
      </c>
      <c r="FQ130" s="44" t="str">
        <f t="shared" si="2137"/>
        <v/>
      </c>
      <c r="FR130" s="44" t="str">
        <f t="shared" si="2138"/>
        <v/>
      </c>
      <c r="FS130" s="44" t="str">
        <f t="shared" si="2139"/>
        <v/>
      </c>
    </row>
    <row r="131" spans="1:175" ht="16.5">
      <c r="A131" s="5"/>
      <c r="B131" s="76" t="s">
        <v>504</v>
      </c>
      <c r="C131" s="77" t="s">
        <v>505</v>
      </c>
      <c r="T131" s="6" t="s">
        <v>506</v>
      </c>
      <c r="U131" s="56" t="str">
        <f t="shared" si="1549"/>
        <v>ReplaceableTextures\\CommandButtons\\BTNIN13.blp</v>
      </c>
      <c r="CN131" s="13" t="str">
        <f t="shared" si="2063"/>
        <v>InitUnitState('IN13',,,,,,,,,,)</v>
      </c>
      <c r="CO131" s="13" t="str">
        <f t="shared" si="2064"/>
        <v>InitUnitNormal('IN13',,,,,,,,,,)</v>
      </c>
      <c r="CP131" s="13" t="str">
        <f t="shared" si="2065"/>
        <v>InitUnitMagic('IN13',,,,,,,,,,)</v>
      </c>
      <c r="CQ131" s="13" t="str">
        <f t="shared" si="2066"/>
        <v>InitUnitAdd('IN13',,,,,,,,,,)</v>
      </c>
      <c r="CR131" s="13" t="str">
        <f t="shared" si="2067"/>
        <v>InitEquipData('IN13',,"",,,,,'','','','','','',"ReplaceableTextures\\CommandButtons\\BTNIT07.blp")</v>
      </c>
      <c r="CU131" s="68" t="str">
        <f t="shared" si="1914"/>
        <v>|n</v>
      </c>
      <c r="CV131" s="6" t="str">
        <f t="shared" si="1915"/>
        <v>场上存活的队友|Cffffd24d10|r秒内提高|Cffffd24d30%|r法术伤害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spans="1:175" ht="16.5">
      <c r="A132" s="5"/>
      <c r="B132" s="76" t="s">
        <v>507</v>
      </c>
      <c r="C132" s="77" t="s">
        <v>508</v>
      </c>
      <c r="T132" s="94" t="s">
        <v>509</v>
      </c>
      <c r="U132" s="56" t="str">
        <f t="shared" si="1549"/>
        <v>ReplaceableTextures\\CommandButtons\\BTNIN14.blp</v>
      </c>
      <c r="CN132" s="13" t="str">
        <f t="shared" si="2063"/>
        <v>InitUnitState('IN14',,,,,,,,,,)</v>
      </c>
      <c r="CO132" s="13" t="str">
        <f t="shared" si="2064"/>
        <v>InitUnitNormal('IN14',,,,,,,,,,)</v>
      </c>
      <c r="CP132" s="13" t="str">
        <f t="shared" si="2065"/>
        <v>InitUnitMagic('IN14',,,,,,,,,,)</v>
      </c>
      <c r="CQ132" s="13" t="str">
        <f t="shared" si="2066"/>
        <v>InitUnitAdd('IN14',,,,,,,,,,)</v>
      </c>
      <c r="CR132" s="13" t="str">
        <f t="shared" si="2067"/>
        <v>InitEquipData('IN14',,"",,,,,'','','','','','',"ReplaceableTextures\\CommandButtons\\BTNIT08.blp")</v>
      </c>
      <c r="CU132" s="68" t="str">
        <f t="shared" si="1914"/>
        <v>|n</v>
      </c>
      <c r="CV132" s="6" t="str">
        <f t="shared" si="1915"/>
        <v>使用后基地无敌|Cffffd24d5|r秒。</v>
      </c>
      <c r="CW132" s="7"/>
      <c r="CX132" s="7"/>
      <c r="CY132" s="7"/>
      <c r="CZ132" s="7"/>
      <c r="DA132" s="7"/>
      <c r="DB132" s="44" t="str">
        <f t="shared" si="1916"/>
        <v/>
      </c>
      <c r="DC132" s="44" t="str">
        <f t="shared" si="1917"/>
        <v/>
      </c>
      <c r="DD132" s="44" t="str">
        <f t="shared" si="1918"/>
        <v/>
      </c>
      <c r="DE132" s="44" t="str">
        <f t="shared" si="1919"/>
        <v/>
      </c>
      <c r="DF132" s="44" t="str">
        <f t="shared" si="1920"/>
        <v/>
      </c>
      <c r="DG132" s="44" t="str">
        <f t="shared" si="1921"/>
        <v/>
      </c>
      <c r="DH132" s="44" t="str">
        <f t="shared" si="1922"/>
        <v/>
      </c>
      <c r="DI132" s="44" t="str">
        <f t="shared" si="1923"/>
        <v/>
      </c>
      <c r="DJ132" s="44" t="str">
        <f t="shared" si="1924"/>
        <v/>
      </c>
      <c r="DK132" s="44" t="str">
        <f t="shared" si="1925"/>
        <v/>
      </c>
      <c r="DL132" s="44" t="str">
        <f t="shared" si="1926"/>
        <v/>
      </c>
      <c r="DM132" s="44" t="str">
        <f t="shared" si="1927"/>
        <v/>
      </c>
      <c r="DN132" s="44" t="str">
        <f t="shared" si="1928"/>
        <v/>
      </c>
      <c r="DO132" s="44" t="str">
        <f t="shared" si="1929"/>
        <v/>
      </c>
      <c r="DP132" s="44" t="str">
        <f t="shared" si="1930"/>
        <v/>
      </c>
      <c r="DQ132" s="44" t="str">
        <f t="shared" si="1931"/>
        <v/>
      </c>
      <c r="DR132" s="44" t="str">
        <f t="shared" si="1932"/>
        <v/>
      </c>
      <c r="DS132" s="44" t="str">
        <f t="shared" si="1933"/>
        <v/>
      </c>
      <c r="DT132" s="44" t="str">
        <f t="shared" si="1934"/>
        <v/>
      </c>
      <c r="DU132" s="44" t="str">
        <f t="shared" si="1935"/>
        <v/>
      </c>
      <c r="DV132" s="44" t="str">
        <f t="shared" si="1936"/>
        <v/>
      </c>
      <c r="DW132" s="44" t="str">
        <f t="shared" si="1937"/>
        <v/>
      </c>
      <c r="DX132" s="44" t="str">
        <f t="shared" si="1938"/>
        <v/>
      </c>
      <c r="DY132" s="44" t="str">
        <f t="shared" si="1939"/>
        <v/>
      </c>
      <c r="DZ132" s="44" t="str">
        <f t="shared" si="1940"/>
        <v/>
      </c>
      <c r="EA132" s="44" t="str">
        <f t="shared" si="1941"/>
        <v/>
      </c>
      <c r="EB132" s="44" t="str">
        <f t="shared" si="1942"/>
        <v/>
      </c>
      <c r="EC132" s="44" t="str">
        <f t="shared" si="1943"/>
        <v/>
      </c>
      <c r="ED132" s="44" t="str">
        <f t="shared" si="1944"/>
        <v/>
      </c>
      <c r="EE132" s="44" t="str">
        <f t="shared" si="1945"/>
        <v/>
      </c>
      <c r="EF132" s="44" t="str">
        <f t="shared" si="1946"/>
        <v/>
      </c>
      <c r="EG132" s="44" t="str">
        <f t="shared" si="1947"/>
        <v/>
      </c>
      <c r="EH132" s="44" t="str">
        <f t="shared" si="1948"/>
        <v/>
      </c>
      <c r="EI132" s="44" t="str">
        <f t="shared" si="1949"/>
        <v/>
      </c>
      <c r="EJ132" s="44" t="str">
        <f t="shared" si="1950"/>
        <v/>
      </c>
      <c r="EK132" s="44" t="str">
        <f t="shared" si="1951"/>
        <v/>
      </c>
      <c r="EL132" s="44" t="str">
        <f t="shared" si="1952"/>
        <v/>
      </c>
      <c r="EM132" s="44" t="str">
        <f t="shared" si="1953"/>
        <v/>
      </c>
      <c r="EN132" s="44" t="str">
        <f t="shared" si="1954"/>
        <v/>
      </c>
      <c r="EO132" s="44" t="str">
        <f t="shared" si="1955"/>
        <v/>
      </c>
      <c r="EP132" s="44" t="str">
        <f t="shared" si="1956"/>
        <v/>
      </c>
      <c r="EQ132" s="44" t="str">
        <f t="shared" si="1957"/>
        <v/>
      </c>
      <c r="ER132" s="44" t="str">
        <f t="shared" si="1958"/>
        <v/>
      </c>
      <c r="ES132" s="44" t="str">
        <f t="shared" si="1959"/>
        <v/>
      </c>
      <c r="ET132" s="44" t="str">
        <f t="shared" si="1960"/>
        <v/>
      </c>
      <c r="EU132" s="44" t="str">
        <f t="shared" si="1961"/>
        <v/>
      </c>
      <c r="EV132" s="44" t="str">
        <f t="shared" si="1962"/>
        <v/>
      </c>
      <c r="EW132" s="44" t="str">
        <f t="shared" si="1963"/>
        <v/>
      </c>
      <c r="EX132" s="44" t="str">
        <f t="shared" si="1964"/>
        <v/>
      </c>
      <c r="EY132" s="44" t="str">
        <f t="shared" si="1965"/>
        <v/>
      </c>
      <c r="EZ132" s="44" t="str">
        <f t="shared" si="1966"/>
        <v/>
      </c>
      <c r="FA132" s="44" t="str">
        <f t="shared" si="1967"/>
        <v/>
      </c>
      <c r="FB132" s="44" t="str">
        <f t="shared" si="1968"/>
        <v/>
      </c>
      <c r="FC132" s="44" t="str">
        <f t="shared" si="1969"/>
        <v/>
      </c>
      <c r="FD132" s="44" t="str">
        <f t="shared" si="1970"/>
        <v/>
      </c>
      <c r="FE132" s="44" t="str">
        <f t="shared" si="1971"/>
        <v/>
      </c>
      <c r="FF132" s="44" t="str">
        <f t="shared" si="1972"/>
        <v/>
      </c>
      <c r="FG132" s="44" t="str">
        <f t="shared" si="1973"/>
        <v/>
      </c>
      <c r="FH132" s="44" t="str">
        <f t="shared" si="1974"/>
        <v/>
      </c>
      <c r="FI132" s="44" t="str">
        <f t="shared" si="1975"/>
        <v/>
      </c>
      <c r="FJ132" s="44" t="str">
        <f t="shared" si="1976"/>
        <v/>
      </c>
      <c r="FK132" s="44" t="str">
        <f t="shared" si="1977"/>
        <v/>
      </c>
      <c r="FL132" s="44" t="str">
        <f t="shared" si="1978"/>
        <v/>
      </c>
      <c r="FM132" s="44" t="str">
        <f t="shared" si="1979"/>
        <v/>
      </c>
      <c r="FN132" s="44" t="str">
        <f t="shared" si="1980"/>
        <v/>
      </c>
      <c r="FO132" s="44" t="str">
        <f t="shared" si="1981"/>
        <v/>
      </c>
      <c r="FP132" s="44" t="str">
        <f t="shared" si="1982"/>
        <v/>
      </c>
      <c r="FQ132" s="44" t="str">
        <f t="shared" si="1983"/>
        <v/>
      </c>
      <c r="FR132" s="44" t="str">
        <f t="shared" si="1984"/>
        <v/>
      </c>
      <c r="FS132" s="44" t="str">
        <f t="shared" si="1985"/>
        <v/>
      </c>
    </row>
    <row r="133" spans="1:175" ht="28.5">
      <c r="A133" s="5"/>
      <c r="B133" s="76" t="s">
        <v>510</v>
      </c>
      <c r="C133" s="77" t="s">
        <v>511</v>
      </c>
      <c r="T133" s="95" t="s">
        <v>512</v>
      </c>
      <c r="U133" s="56" t="str">
        <f t="shared" si="1549"/>
        <v>ReplaceableTextures\\CommandButtons\\BTNIN15.blp</v>
      </c>
      <c r="CN133" s="13" t="str">
        <f t="shared" si="2063"/>
        <v>InitUnitState('IN15',,,,,,,,,,)</v>
      </c>
      <c r="CO133" s="13" t="str">
        <f t="shared" si="2064"/>
        <v>InitUnitNormal('IN15',,,,,,,,,,)</v>
      </c>
      <c r="CP133" s="13" t="str">
        <f t="shared" si="2065"/>
        <v>InitUnitMagic('IN15',,,,,,,,,,)</v>
      </c>
      <c r="CQ133" s="13" t="str">
        <f t="shared" si="2066"/>
        <v>InitUnitAdd('IN15',,,,,,,,,,)</v>
      </c>
      <c r="CR133" s="13" t="str">
        <f t="shared" si="2067"/>
        <v>InitEquipData('IN15',,"",,,,,'','','','','','',"ReplaceableTextures\\CommandButtons\\BTNIT09.blp")</v>
      </c>
      <c r="CU133" s="68" t="str">
        <f t="shared" ref="CU133:CU135" si="2140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" t="str">
        <f t="shared" ref="CV133:CV135" si="2141">T133</f>
        <v>场上存活的队友|Cffffd24d10|r秒内减少|Cffffd24d20%|r承受伤害</v>
      </c>
      <c r="CW133" s="7"/>
      <c r="CX133" s="7"/>
      <c r="CY133" s="7"/>
      <c r="CZ133" s="7"/>
      <c r="DA133" s="7"/>
      <c r="DB133" s="44" t="str">
        <f t="shared" ref="DB133:DB135" si="2142">IF(V133="","","|n"&amp;DB$2&amp;"+"&amp;V133&amp;DB$1)</f>
        <v/>
      </c>
      <c r="DC133" s="44" t="str">
        <f t="shared" ref="DC133:DC135" si="2143">IF(W133="","","|n"&amp;DC$2&amp;"+"&amp;W133&amp;DC$1)</f>
        <v/>
      </c>
      <c r="DD133" s="44" t="str">
        <f t="shared" ref="DD133:DD135" si="2144">IF(X133="","","|n"&amp;DD$2&amp;"+"&amp;X133&amp;DD$1)</f>
        <v/>
      </c>
      <c r="DE133" s="44" t="str">
        <f t="shared" ref="DE133:DE135" si="2145">IF(Y133="","","|n"&amp;DE$2&amp;"+"&amp;Y133&amp;DE$1)</f>
        <v/>
      </c>
      <c r="DF133" s="44" t="str">
        <f t="shared" ref="DF133:DF135" si="2146">IF(Z133="","","|n"&amp;DF$2&amp;"+"&amp;Z133&amp;DF$1)</f>
        <v/>
      </c>
      <c r="DG133" s="44" t="str">
        <f t="shared" ref="DG133:DG135" si="2147">IF(AA133="","","|n"&amp;DG$2&amp;"+"&amp;AA133&amp;DG$1)</f>
        <v/>
      </c>
      <c r="DH133" s="44" t="str">
        <f t="shared" ref="DH133:DH135" si="2148">IF(AB133="","","|n"&amp;DH$2&amp;"+"&amp;AB133&amp;DH$1)</f>
        <v/>
      </c>
      <c r="DI133" s="44" t="str">
        <f t="shared" ref="DI133:DI135" si="2149">IF(AC133="","","|n"&amp;DI$2&amp;"+"&amp;AC133&amp;DI$1)</f>
        <v/>
      </c>
      <c r="DJ133" s="44" t="str">
        <f t="shared" ref="DJ133:DJ135" si="2150">IF(AD133="","","|n"&amp;DJ$2&amp;"+"&amp;AD133&amp;DJ$1)</f>
        <v/>
      </c>
      <c r="DK133" s="44" t="str">
        <f t="shared" ref="DK133:DK135" si="2151">IF(AE133="","","|n"&amp;DK$2&amp;"+"&amp;AE133&amp;DK$1)</f>
        <v/>
      </c>
      <c r="DL133" s="44" t="str">
        <f t="shared" ref="DL133:DL135" si="2152">IF(AF133="","","|n"&amp;DL$2&amp;"+"&amp;AF133&amp;DL$1)</f>
        <v/>
      </c>
      <c r="DM133" s="44" t="str">
        <f t="shared" ref="DM133:DM135" si="2153">IF(AG133="","","|n"&amp;DM$2&amp;"+"&amp;AG133&amp;DM$1)</f>
        <v/>
      </c>
      <c r="DN133" s="44" t="str">
        <f t="shared" ref="DN133:DN135" si="2154">IF(AH133="","","|n"&amp;DN$2&amp;"+"&amp;AH133&amp;DN$1)</f>
        <v/>
      </c>
      <c r="DO133" s="44" t="str">
        <f t="shared" ref="DO133:DO135" si="2155">IF(AI133="","","|n"&amp;DO$2&amp;"+"&amp;AI133&amp;DO$1)</f>
        <v/>
      </c>
      <c r="DP133" s="44" t="str">
        <f t="shared" ref="DP133:DP135" si="2156">IF(AJ133="","","|n"&amp;DP$2&amp;"+"&amp;AJ133&amp;DP$1)</f>
        <v/>
      </c>
      <c r="DQ133" s="44" t="str">
        <f t="shared" ref="DQ133:DQ135" si="2157">IF(AK133="","","|n"&amp;DQ$2&amp;"+"&amp;AK133&amp;DQ$1)</f>
        <v/>
      </c>
      <c r="DR133" s="44" t="str">
        <f t="shared" ref="DR133:DR135" si="2158">IF(AL133="","","|n"&amp;DR$2&amp;"+"&amp;AL133&amp;DR$1)</f>
        <v/>
      </c>
      <c r="DS133" s="44" t="str">
        <f t="shared" ref="DS133:DS135" si="2159">IF(AM133="","","|n"&amp;DS$2&amp;"+"&amp;AM133&amp;DS$1)</f>
        <v/>
      </c>
      <c r="DT133" s="44" t="str">
        <f t="shared" ref="DT133:DT135" si="2160">IF(AN133="","","|n"&amp;DT$2&amp;"+"&amp;AN133&amp;DT$1)</f>
        <v/>
      </c>
      <c r="DU133" s="44" t="str">
        <f t="shared" ref="DU133:DU135" si="2161">IF(AO133="","","|n"&amp;DU$2&amp;"+"&amp;AO133&amp;DU$1)</f>
        <v/>
      </c>
      <c r="DV133" s="44" t="str">
        <f t="shared" ref="DV133:DV135" si="2162">IF(AP133="","","|n"&amp;DV$2&amp;"+"&amp;AP133&amp;DV$1)</f>
        <v/>
      </c>
      <c r="DW133" s="44" t="str">
        <f t="shared" ref="DW133:DW135" si="2163">IF(AQ133="","","|n"&amp;DW$2&amp;"+"&amp;AQ133&amp;DW$1)</f>
        <v/>
      </c>
      <c r="DX133" s="44" t="str">
        <f t="shared" ref="DX133:DX135" si="2164">IF(AR133="","","|n"&amp;DX$2&amp;"+"&amp;AR133&amp;DX$1)</f>
        <v/>
      </c>
      <c r="DY133" s="44" t="str">
        <f t="shared" ref="DY133:DY135" si="2165">IF(AS133="","","|n"&amp;DY$2&amp;"+"&amp;AS133&amp;DY$1)</f>
        <v/>
      </c>
      <c r="DZ133" s="44" t="str">
        <f t="shared" ref="DZ133:DZ135" si="2166">IF(AT133="","","|n"&amp;DZ$2&amp;"+"&amp;AT133&amp;DZ$1)</f>
        <v/>
      </c>
      <c r="EA133" s="44" t="str">
        <f t="shared" ref="EA133:EA135" si="2167">IF(AU133="","","|n"&amp;EA$2&amp;"+"&amp;AU133&amp;EA$1)</f>
        <v/>
      </c>
      <c r="EB133" s="44" t="str">
        <f t="shared" ref="EB133:EB135" si="2168">IF(AV133="","","|n"&amp;EB$2&amp;"+"&amp;AV133&amp;EB$1)</f>
        <v/>
      </c>
      <c r="EC133" s="44" t="str">
        <f t="shared" ref="EC133:EC135" si="2169">IF(AW133="","","|n"&amp;EC$2&amp;"+"&amp;AW133&amp;EC$1)</f>
        <v/>
      </c>
      <c r="ED133" s="44" t="str">
        <f t="shared" ref="ED133:ED135" si="2170">IF(AX133="","","|n"&amp;ED$2&amp;"+"&amp;AX133&amp;ED$1)</f>
        <v/>
      </c>
      <c r="EE133" s="44" t="str">
        <f t="shared" ref="EE133:EE135" si="2171">IF(AY133="","","|n"&amp;EE$2&amp;"+"&amp;AY133&amp;EE$1)</f>
        <v/>
      </c>
      <c r="EF133" s="44" t="str">
        <f t="shared" ref="EF133:EF135" si="2172">IF(AZ133="","","|n"&amp;EF$2&amp;"+"&amp;AZ133&amp;EF$1)</f>
        <v/>
      </c>
      <c r="EG133" s="44" t="str">
        <f t="shared" ref="EG133:EG135" si="2173">IF(BA133="","","|n"&amp;EG$2&amp;"+"&amp;BA133&amp;EG$1)</f>
        <v/>
      </c>
      <c r="EH133" s="44" t="str">
        <f t="shared" ref="EH133:EH135" si="2174">IF(BB133="","","|n"&amp;EH$2&amp;"+"&amp;BB133&amp;EH$1)</f>
        <v/>
      </c>
      <c r="EI133" s="44" t="str">
        <f t="shared" ref="EI133:EI135" si="2175">IF(BC133="","","|n"&amp;EI$2&amp;"+"&amp;BC133&amp;EI$1)</f>
        <v/>
      </c>
      <c r="EJ133" s="44" t="str">
        <f t="shared" ref="EJ133:EJ135" si="2176">IF(BD133="","","|n"&amp;EJ$2&amp;"+"&amp;BD133&amp;EJ$1)</f>
        <v/>
      </c>
      <c r="EK133" s="44" t="str">
        <f t="shared" ref="EK133:EK135" si="2177">IF(BE133="","","|n"&amp;EK$2&amp;"+"&amp;BE133&amp;EK$1)</f>
        <v/>
      </c>
      <c r="EL133" s="44" t="str">
        <f t="shared" ref="EL133:EL135" si="2178">IF(BF133="","","|n"&amp;EL$2&amp;"+"&amp;BF133&amp;EL$1)</f>
        <v/>
      </c>
      <c r="EM133" s="44" t="str">
        <f t="shared" ref="EM133:EM135" si="2179">IF(BG133="","","|n"&amp;EM$2&amp;"+"&amp;BG133&amp;EM$1)</f>
        <v/>
      </c>
      <c r="EN133" s="44" t="str">
        <f t="shared" ref="EN133:EN135" si="2180">IF(BH133="","","|n"&amp;EN$2&amp;"+"&amp;BH133&amp;EN$1)</f>
        <v/>
      </c>
      <c r="EO133" s="44" t="str">
        <f t="shared" ref="EO133:EO135" si="2181">IF(BI133="","","|n"&amp;EO$2&amp;"+"&amp;BI133&amp;EO$1)</f>
        <v/>
      </c>
      <c r="EP133" s="44" t="str">
        <f t="shared" ref="EP133:EP135" si="2182">IF(BJ133="","","|n"&amp;EP$2&amp;"+"&amp;BJ133&amp;EP$1)</f>
        <v/>
      </c>
      <c r="EQ133" s="44" t="str">
        <f t="shared" ref="EQ133:EQ135" si="2183">IF(BK133="","","|n"&amp;EQ$2&amp;"+"&amp;BK133&amp;EQ$1)</f>
        <v/>
      </c>
      <c r="ER133" s="44" t="str">
        <f t="shared" ref="ER133:ER135" si="2184">IF(BL133="","","|n"&amp;ER$2&amp;"+"&amp;BL133&amp;ER$1)</f>
        <v/>
      </c>
      <c r="ES133" s="44" t="str">
        <f t="shared" ref="ES133:ES135" si="2185">IF(BM133="","","|n"&amp;ES$2&amp;"+"&amp;BM133&amp;ES$1)</f>
        <v/>
      </c>
      <c r="ET133" s="44" t="str">
        <f t="shared" ref="ET133:ET135" si="2186">IF(BN133="","","|n"&amp;ET$2&amp;"+"&amp;BN133&amp;ET$1)</f>
        <v/>
      </c>
      <c r="EU133" s="44" t="str">
        <f t="shared" ref="EU133:EU135" si="2187">IF(BO133="","","|n"&amp;EU$2&amp;"+"&amp;BO133&amp;EU$1)</f>
        <v/>
      </c>
      <c r="EV133" s="44" t="str">
        <f t="shared" ref="EV133:EV135" si="2188">IF(BP133="","","|n"&amp;EV$2&amp;"+"&amp;BP133&amp;EV$1)</f>
        <v/>
      </c>
      <c r="EW133" s="44" t="str">
        <f t="shared" ref="EW133:EW135" si="2189">IF(BQ133="","","|n"&amp;EW$2&amp;"+"&amp;BQ133&amp;EW$1)</f>
        <v/>
      </c>
      <c r="EX133" s="44" t="str">
        <f t="shared" ref="EX133:EX135" si="2190">IF(BR133="","","|n"&amp;EX$2&amp;"+"&amp;BR133&amp;EX$1)</f>
        <v/>
      </c>
      <c r="EY133" s="44" t="str">
        <f t="shared" ref="EY133:EY135" si="2191">IF(BS133="","","|n"&amp;EY$2&amp;"+"&amp;BS133&amp;EY$1)</f>
        <v/>
      </c>
      <c r="EZ133" s="44" t="str">
        <f t="shared" ref="EZ133:EZ135" si="2192">IF(BT133="","","|n"&amp;EZ$2&amp;"+"&amp;BT133&amp;EZ$1)</f>
        <v/>
      </c>
      <c r="FA133" s="44" t="str">
        <f t="shared" ref="FA133:FA135" si="2193">IF(BU133="","","|n"&amp;FA$2&amp;"+"&amp;BU133&amp;FA$1)</f>
        <v/>
      </c>
      <c r="FB133" s="44" t="str">
        <f t="shared" ref="FB133:FB135" si="2194">IF(BV133="","","|n"&amp;FB$2&amp;"+"&amp;BV133&amp;FB$1)</f>
        <v/>
      </c>
      <c r="FC133" s="44" t="str">
        <f t="shared" ref="FC133:FC135" si="2195">IF(BW133="","","|n"&amp;FC$2&amp;"+"&amp;BW133&amp;FC$1)</f>
        <v/>
      </c>
      <c r="FD133" s="44" t="str">
        <f t="shared" ref="FD133:FD135" si="2196">IF(BX133="","","|n"&amp;FD$2&amp;"+"&amp;BX133&amp;FD$1)</f>
        <v/>
      </c>
      <c r="FE133" s="44" t="str">
        <f t="shared" ref="FE133:FE135" si="2197">IF(BY133="","","|n"&amp;FE$2&amp;"+"&amp;BY133&amp;FE$1)</f>
        <v/>
      </c>
      <c r="FF133" s="44" t="str">
        <f t="shared" ref="FF133:FF135" si="2198">IF(BZ133="","","|n"&amp;FF$2&amp;"+"&amp;BZ133&amp;FF$1)</f>
        <v/>
      </c>
      <c r="FG133" s="44" t="str">
        <f t="shared" ref="FG133:FG135" si="2199">IF(CA133="","","|n"&amp;FG$2&amp;"+"&amp;CA133&amp;FG$1)</f>
        <v/>
      </c>
      <c r="FH133" s="44" t="str">
        <f t="shared" ref="FH133:FH135" si="2200">IF(CB133="","","|n"&amp;FH$2&amp;"+"&amp;CB133&amp;FH$1)</f>
        <v/>
      </c>
      <c r="FI133" s="44" t="str">
        <f t="shared" ref="FI133:FI135" si="2201">IF(CC133="","","|n"&amp;FI$2&amp;"+"&amp;CC133&amp;FI$1)</f>
        <v/>
      </c>
      <c r="FJ133" s="44" t="str">
        <f t="shared" ref="FJ133:FJ135" si="2202">IF(CD133="","","|n"&amp;FJ$2&amp;"+"&amp;CD133&amp;FJ$1)</f>
        <v/>
      </c>
      <c r="FK133" s="44" t="str">
        <f t="shared" ref="FK133:FK135" si="2203">IF(CE133="","","|n"&amp;FK$2&amp;"+"&amp;CE133&amp;FK$1)</f>
        <v/>
      </c>
      <c r="FL133" s="44" t="str">
        <f t="shared" ref="FL133:FL135" si="2204">IF(CF133="","","|n"&amp;FL$2&amp;"+"&amp;CF133&amp;FL$1)</f>
        <v/>
      </c>
      <c r="FM133" s="44" t="str">
        <f t="shared" ref="FM133:FM135" si="2205">IF(CG133="","","|n"&amp;FM$2&amp;"+"&amp;CG133&amp;FM$1)</f>
        <v/>
      </c>
      <c r="FN133" s="44" t="str">
        <f t="shared" ref="FN133:FN135" si="2206">IF(CH133="","","|n"&amp;FN$2&amp;"+"&amp;CH133&amp;FN$1)</f>
        <v/>
      </c>
      <c r="FO133" s="44" t="str">
        <f t="shared" ref="FO133:FO135" si="2207">IF(CI133="","","|n"&amp;FO$2&amp;"+"&amp;CI133&amp;FO$1)</f>
        <v/>
      </c>
      <c r="FP133" s="44" t="str">
        <f t="shared" ref="FP133:FP135" si="2208">IF(CJ133="","","|n"&amp;FP$2&amp;"+"&amp;CJ133&amp;FP$1)</f>
        <v/>
      </c>
      <c r="FQ133" s="44" t="str">
        <f t="shared" ref="FQ133:FQ135" si="2209">IF(CK133="","","|n"&amp;FQ$2&amp;"+"&amp;CK133&amp;FQ$1)</f>
        <v/>
      </c>
      <c r="FR133" s="44" t="str">
        <f t="shared" ref="FR133:FR135" si="2210">IF(CL133="","","|n"&amp;FR$2&amp;"+"&amp;CL133&amp;FR$1)</f>
        <v/>
      </c>
      <c r="FS133" s="44" t="str">
        <f t="shared" ref="FS133:FS135" si="2211">IF(CM133="","","|n"&amp;FS$2&amp;"+"&amp;CM133&amp;FS$1)</f>
        <v/>
      </c>
    </row>
    <row r="134" spans="1:175" ht="42.75">
      <c r="A134" s="5"/>
      <c r="B134" s="76" t="s">
        <v>513</v>
      </c>
      <c r="C134" s="76" t="s">
        <v>514</v>
      </c>
      <c r="T134" s="94" t="s">
        <v>515</v>
      </c>
      <c r="U134" s="56" t="str">
        <f t="shared" si="1549"/>
        <v>ReplaceableTextures\\CommandButtons\\BTNIN16.blp</v>
      </c>
      <c r="CN134" s="13" t="str">
        <f t="shared" si="2063"/>
        <v>InitUnitState('IN16',,,,,,,,,,)</v>
      </c>
      <c r="CO134" s="13" t="str">
        <f t="shared" si="2064"/>
        <v>InitUnitNormal('IN16',,,,,,,,,,)</v>
      </c>
      <c r="CP134" s="13" t="str">
        <f t="shared" si="2065"/>
        <v>InitUnitMagic('IN16',,,,,,,,,,)</v>
      </c>
      <c r="CQ134" s="13" t="str">
        <f t="shared" si="2066"/>
        <v>InitUnitAdd('IN16',,,,,,,,,,)</v>
      </c>
      <c r="CR134" s="13" t="str">
        <f t="shared" si="2067"/>
        <v>InitEquipData('IN16',,"",,,,,'','','','','','',"ReplaceableTextures\\CommandButtons\\BTNIT10.blp")</v>
      </c>
      <c r="CU134" s="68" t="str">
        <f t="shared" si="2140"/>
        <v>|n</v>
      </c>
      <c r="CV134" s="6" t="str">
        <f t="shared" si="2141"/>
        <v>使|Cffffd24d1|r个|Cffffd24d道果品质|r提高|Cffffd24d-1~+2|r。|n|n|Cff00ff7f只能对天级【7】或以下的道果使用|r</v>
      </c>
      <c r="CW134" s="7"/>
      <c r="CX134" s="7"/>
      <c r="CY134" s="7"/>
      <c r="CZ134" s="7"/>
      <c r="DA134" s="7"/>
      <c r="DB134" s="44" t="str">
        <f t="shared" si="2142"/>
        <v/>
      </c>
      <c r="DC134" s="44" t="str">
        <f t="shared" si="2143"/>
        <v/>
      </c>
      <c r="DD134" s="44" t="str">
        <f t="shared" si="2144"/>
        <v/>
      </c>
      <c r="DE134" s="44" t="str">
        <f t="shared" si="2145"/>
        <v/>
      </c>
      <c r="DF134" s="44" t="str">
        <f t="shared" si="2146"/>
        <v/>
      </c>
      <c r="DG134" s="44" t="str">
        <f t="shared" si="2147"/>
        <v/>
      </c>
      <c r="DH134" s="44" t="str">
        <f t="shared" si="2148"/>
        <v/>
      </c>
      <c r="DI134" s="44" t="str">
        <f t="shared" si="2149"/>
        <v/>
      </c>
      <c r="DJ134" s="44" t="str">
        <f t="shared" si="2150"/>
        <v/>
      </c>
      <c r="DK134" s="44" t="str">
        <f t="shared" si="2151"/>
        <v/>
      </c>
      <c r="DL134" s="44" t="str">
        <f t="shared" si="2152"/>
        <v/>
      </c>
      <c r="DM134" s="44" t="str">
        <f t="shared" si="2153"/>
        <v/>
      </c>
      <c r="DN134" s="44" t="str">
        <f t="shared" si="2154"/>
        <v/>
      </c>
      <c r="DO134" s="44" t="str">
        <f t="shared" si="2155"/>
        <v/>
      </c>
      <c r="DP134" s="44" t="str">
        <f t="shared" si="2156"/>
        <v/>
      </c>
      <c r="DQ134" s="44" t="str">
        <f t="shared" si="2157"/>
        <v/>
      </c>
      <c r="DR134" s="44" t="str">
        <f t="shared" si="2158"/>
        <v/>
      </c>
      <c r="DS134" s="44" t="str">
        <f t="shared" si="2159"/>
        <v/>
      </c>
      <c r="DT134" s="44" t="str">
        <f t="shared" si="2160"/>
        <v/>
      </c>
      <c r="DU134" s="44" t="str">
        <f t="shared" si="2161"/>
        <v/>
      </c>
      <c r="DV134" s="44" t="str">
        <f t="shared" si="2162"/>
        <v/>
      </c>
      <c r="DW134" s="44" t="str">
        <f t="shared" si="2163"/>
        <v/>
      </c>
      <c r="DX134" s="44" t="str">
        <f t="shared" si="2164"/>
        <v/>
      </c>
      <c r="DY134" s="44" t="str">
        <f t="shared" si="2165"/>
        <v/>
      </c>
      <c r="DZ134" s="44" t="str">
        <f t="shared" si="2166"/>
        <v/>
      </c>
      <c r="EA134" s="44" t="str">
        <f t="shared" si="2167"/>
        <v/>
      </c>
      <c r="EB134" s="44" t="str">
        <f t="shared" si="2168"/>
        <v/>
      </c>
      <c r="EC134" s="44" t="str">
        <f t="shared" si="2169"/>
        <v/>
      </c>
      <c r="ED134" s="44" t="str">
        <f t="shared" si="2170"/>
        <v/>
      </c>
      <c r="EE134" s="44" t="str">
        <f t="shared" si="2171"/>
        <v/>
      </c>
      <c r="EF134" s="44" t="str">
        <f t="shared" si="2172"/>
        <v/>
      </c>
      <c r="EG134" s="44" t="str">
        <f t="shared" si="2173"/>
        <v/>
      </c>
      <c r="EH134" s="44" t="str">
        <f t="shared" si="2174"/>
        <v/>
      </c>
      <c r="EI134" s="44" t="str">
        <f t="shared" si="2175"/>
        <v/>
      </c>
      <c r="EJ134" s="44" t="str">
        <f t="shared" si="2176"/>
        <v/>
      </c>
      <c r="EK134" s="44" t="str">
        <f t="shared" si="2177"/>
        <v/>
      </c>
      <c r="EL134" s="44" t="str">
        <f t="shared" si="2178"/>
        <v/>
      </c>
      <c r="EM134" s="44" t="str">
        <f t="shared" si="2179"/>
        <v/>
      </c>
      <c r="EN134" s="44" t="str">
        <f t="shared" si="2180"/>
        <v/>
      </c>
      <c r="EO134" s="44" t="str">
        <f t="shared" si="2181"/>
        <v/>
      </c>
      <c r="EP134" s="44" t="str">
        <f t="shared" si="2182"/>
        <v/>
      </c>
      <c r="EQ134" s="44" t="str">
        <f t="shared" si="2183"/>
        <v/>
      </c>
      <c r="ER134" s="44" t="str">
        <f t="shared" si="2184"/>
        <v/>
      </c>
      <c r="ES134" s="44" t="str">
        <f t="shared" si="2185"/>
        <v/>
      </c>
      <c r="ET134" s="44" t="str">
        <f t="shared" si="2186"/>
        <v/>
      </c>
      <c r="EU134" s="44" t="str">
        <f t="shared" si="2187"/>
        <v/>
      </c>
      <c r="EV134" s="44" t="str">
        <f t="shared" si="2188"/>
        <v/>
      </c>
      <c r="EW134" s="44" t="str">
        <f t="shared" si="2189"/>
        <v/>
      </c>
      <c r="EX134" s="44" t="str">
        <f t="shared" si="2190"/>
        <v/>
      </c>
      <c r="EY134" s="44" t="str">
        <f t="shared" si="2191"/>
        <v/>
      </c>
      <c r="EZ134" s="44" t="str">
        <f t="shared" si="2192"/>
        <v/>
      </c>
      <c r="FA134" s="44" t="str">
        <f t="shared" si="2193"/>
        <v/>
      </c>
      <c r="FB134" s="44" t="str">
        <f t="shared" si="2194"/>
        <v/>
      </c>
      <c r="FC134" s="44" t="str">
        <f t="shared" si="2195"/>
        <v/>
      </c>
      <c r="FD134" s="44" t="str">
        <f t="shared" si="2196"/>
        <v/>
      </c>
      <c r="FE134" s="44" t="str">
        <f t="shared" si="2197"/>
        <v/>
      </c>
      <c r="FF134" s="44" t="str">
        <f t="shared" si="2198"/>
        <v/>
      </c>
      <c r="FG134" s="44" t="str">
        <f t="shared" si="2199"/>
        <v/>
      </c>
      <c r="FH134" s="44" t="str">
        <f t="shared" si="2200"/>
        <v/>
      </c>
      <c r="FI134" s="44" t="str">
        <f t="shared" si="2201"/>
        <v/>
      </c>
      <c r="FJ134" s="44" t="str">
        <f t="shared" si="2202"/>
        <v/>
      </c>
      <c r="FK134" s="44" t="str">
        <f t="shared" si="2203"/>
        <v/>
      </c>
      <c r="FL134" s="44" t="str">
        <f t="shared" si="2204"/>
        <v/>
      </c>
      <c r="FM134" s="44" t="str">
        <f t="shared" si="2205"/>
        <v/>
      </c>
      <c r="FN134" s="44" t="str">
        <f t="shared" si="2206"/>
        <v/>
      </c>
      <c r="FO134" s="44" t="str">
        <f t="shared" si="2207"/>
        <v/>
      </c>
      <c r="FP134" s="44" t="str">
        <f t="shared" si="2208"/>
        <v/>
      </c>
      <c r="FQ134" s="44" t="str">
        <f t="shared" si="2209"/>
        <v/>
      </c>
      <c r="FR134" s="44" t="str">
        <f t="shared" si="2210"/>
        <v/>
      </c>
      <c r="FS134" s="44" t="str">
        <f t="shared" si="2211"/>
        <v/>
      </c>
    </row>
    <row r="135" spans="1:175" ht="16.5">
      <c r="A135" s="5"/>
      <c r="B135" s="76" t="s">
        <v>516</v>
      </c>
      <c r="C135" s="77" t="s">
        <v>517</v>
      </c>
      <c r="T135" s="6" t="s">
        <v>518</v>
      </c>
      <c r="U135" s="56" t="str">
        <f t="shared" si="1549"/>
        <v>ReplaceableTextures\\CommandButtons\\BTNIN17.blp</v>
      </c>
      <c r="CN135" s="13" t="str">
        <f t="shared" si="2063"/>
        <v>InitUnitState('IN17',,,,,,,,,,)</v>
      </c>
      <c r="CO135" s="13" t="str">
        <f t="shared" si="2064"/>
        <v>InitUnitNormal('IN17',,,,,,,,,,)</v>
      </c>
      <c r="CP135" s="13" t="str">
        <f t="shared" si="2065"/>
        <v>InitUnitMagic('IN17',,,,,,,,,,)</v>
      </c>
      <c r="CQ135" s="13" t="str">
        <f t="shared" si="2066"/>
        <v>InitUnitAdd('IN17',,,,,,,,,,)</v>
      </c>
      <c r="CR135" s="13" t="str">
        <f t="shared" si="2067"/>
        <v>InitEquipData('IN17',,"",,,,,'','','','','','',"ReplaceableTextures\\CommandButtons\\BTNIT11.blp")</v>
      </c>
      <c r="CU135" s="68" t="str">
        <f t="shared" si="2140"/>
        <v>|n</v>
      </c>
      <c r="CV135" s="6" t="str">
        <f t="shared" si="2141"/>
        <v>玄铁|Cffffd24d+5~50|r</v>
      </c>
      <c r="CW135" s="7"/>
      <c r="CX135" s="7"/>
      <c r="CY135" s="7"/>
      <c r="CZ135" s="7"/>
      <c r="DA135" s="7"/>
      <c r="DB135" s="44" t="str">
        <f t="shared" si="2142"/>
        <v/>
      </c>
      <c r="DC135" s="44" t="str">
        <f t="shared" si="2143"/>
        <v/>
      </c>
      <c r="DD135" s="44" t="str">
        <f t="shared" si="2144"/>
        <v/>
      </c>
      <c r="DE135" s="44" t="str">
        <f t="shared" si="2145"/>
        <v/>
      </c>
      <c r="DF135" s="44" t="str">
        <f t="shared" si="2146"/>
        <v/>
      </c>
      <c r="DG135" s="44" t="str">
        <f t="shared" si="2147"/>
        <v/>
      </c>
      <c r="DH135" s="44" t="str">
        <f t="shared" si="2148"/>
        <v/>
      </c>
      <c r="DI135" s="44" t="str">
        <f t="shared" si="2149"/>
        <v/>
      </c>
      <c r="DJ135" s="44" t="str">
        <f t="shared" si="2150"/>
        <v/>
      </c>
      <c r="DK135" s="44" t="str">
        <f t="shared" si="2151"/>
        <v/>
      </c>
      <c r="DL135" s="44" t="str">
        <f t="shared" si="2152"/>
        <v/>
      </c>
      <c r="DM135" s="44" t="str">
        <f t="shared" si="2153"/>
        <v/>
      </c>
      <c r="DN135" s="44" t="str">
        <f t="shared" si="2154"/>
        <v/>
      </c>
      <c r="DO135" s="44" t="str">
        <f t="shared" si="2155"/>
        <v/>
      </c>
      <c r="DP135" s="44" t="str">
        <f t="shared" si="2156"/>
        <v/>
      </c>
      <c r="DQ135" s="44" t="str">
        <f t="shared" si="2157"/>
        <v/>
      </c>
      <c r="DR135" s="44" t="str">
        <f t="shared" si="2158"/>
        <v/>
      </c>
      <c r="DS135" s="44" t="str">
        <f t="shared" si="2159"/>
        <v/>
      </c>
      <c r="DT135" s="44" t="str">
        <f t="shared" si="2160"/>
        <v/>
      </c>
      <c r="DU135" s="44" t="str">
        <f t="shared" si="2161"/>
        <v/>
      </c>
      <c r="DV135" s="44" t="str">
        <f t="shared" si="2162"/>
        <v/>
      </c>
      <c r="DW135" s="44" t="str">
        <f t="shared" si="2163"/>
        <v/>
      </c>
      <c r="DX135" s="44" t="str">
        <f t="shared" si="2164"/>
        <v/>
      </c>
      <c r="DY135" s="44" t="str">
        <f t="shared" si="2165"/>
        <v/>
      </c>
      <c r="DZ135" s="44" t="str">
        <f t="shared" si="2166"/>
        <v/>
      </c>
      <c r="EA135" s="44" t="str">
        <f t="shared" si="2167"/>
        <v/>
      </c>
      <c r="EB135" s="44" t="str">
        <f t="shared" si="2168"/>
        <v/>
      </c>
      <c r="EC135" s="44" t="str">
        <f t="shared" si="2169"/>
        <v/>
      </c>
      <c r="ED135" s="44" t="str">
        <f t="shared" si="2170"/>
        <v/>
      </c>
      <c r="EE135" s="44" t="str">
        <f t="shared" si="2171"/>
        <v/>
      </c>
      <c r="EF135" s="44" t="str">
        <f t="shared" si="2172"/>
        <v/>
      </c>
      <c r="EG135" s="44" t="str">
        <f t="shared" si="2173"/>
        <v/>
      </c>
      <c r="EH135" s="44" t="str">
        <f t="shared" si="2174"/>
        <v/>
      </c>
      <c r="EI135" s="44" t="str">
        <f t="shared" si="2175"/>
        <v/>
      </c>
      <c r="EJ135" s="44" t="str">
        <f t="shared" si="2176"/>
        <v/>
      </c>
      <c r="EK135" s="44" t="str">
        <f t="shared" si="2177"/>
        <v/>
      </c>
      <c r="EL135" s="44" t="str">
        <f t="shared" si="2178"/>
        <v/>
      </c>
      <c r="EM135" s="44" t="str">
        <f t="shared" si="2179"/>
        <v/>
      </c>
      <c r="EN135" s="44" t="str">
        <f t="shared" si="2180"/>
        <v/>
      </c>
      <c r="EO135" s="44" t="str">
        <f t="shared" si="2181"/>
        <v/>
      </c>
      <c r="EP135" s="44" t="str">
        <f t="shared" si="2182"/>
        <v/>
      </c>
      <c r="EQ135" s="44" t="str">
        <f t="shared" si="2183"/>
        <v/>
      </c>
      <c r="ER135" s="44" t="str">
        <f t="shared" si="2184"/>
        <v/>
      </c>
      <c r="ES135" s="44" t="str">
        <f t="shared" si="2185"/>
        <v/>
      </c>
      <c r="ET135" s="44" t="str">
        <f t="shared" si="2186"/>
        <v/>
      </c>
      <c r="EU135" s="44" t="str">
        <f t="shared" si="2187"/>
        <v/>
      </c>
      <c r="EV135" s="44" t="str">
        <f t="shared" si="2188"/>
        <v/>
      </c>
      <c r="EW135" s="44" t="str">
        <f t="shared" si="2189"/>
        <v/>
      </c>
      <c r="EX135" s="44" t="str">
        <f t="shared" si="2190"/>
        <v/>
      </c>
      <c r="EY135" s="44" t="str">
        <f t="shared" si="2191"/>
        <v/>
      </c>
      <c r="EZ135" s="44" t="str">
        <f t="shared" si="2192"/>
        <v/>
      </c>
      <c r="FA135" s="44" t="str">
        <f t="shared" si="2193"/>
        <v/>
      </c>
      <c r="FB135" s="44" t="str">
        <f t="shared" si="2194"/>
        <v/>
      </c>
      <c r="FC135" s="44" t="str">
        <f t="shared" si="2195"/>
        <v/>
      </c>
      <c r="FD135" s="44" t="str">
        <f t="shared" si="2196"/>
        <v/>
      </c>
      <c r="FE135" s="44" t="str">
        <f t="shared" si="2197"/>
        <v/>
      </c>
      <c r="FF135" s="44" t="str">
        <f t="shared" si="2198"/>
        <v/>
      </c>
      <c r="FG135" s="44" t="str">
        <f t="shared" si="2199"/>
        <v/>
      </c>
      <c r="FH135" s="44" t="str">
        <f t="shared" si="2200"/>
        <v/>
      </c>
      <c r="FI135" s="44" t="str">
        <f t="shared" si="2201"/>
        <v/>
      </c>
      <c r="FJ135" s="44" t="str">
        <f t="shared" si="2202"/>
        <v/>
      </c>
      <c r="FK135" s="44" t="str">
        <f t="shared" si="2203"/>
        <v/>
      </c>
      <c r="FL135" s="44" t="str">
        <f t="shared" si="2204"/>
        <v/>
      </c>
      <c r="FM135" s="44" t="str">
        <f t="shared" si="2205"/>
        <v/>
      </c>
      <c r="FN135" s="44" t="str">
        <f t="shared" si="2206"/>
        <v/>
      </c>
      <c r="FO135" s="44" t="str">
        <f t="shared" si="2207"/>
        <v/>
      </c>
      <c r="FP135" s="44" t="str">
        <f t="shared" si="2208"/>
        <v/>
      </c>
      <c r="FQ135" s="44" t="str">
        <f t="shared" si="2209"/>
        <v/>
      </c>
      <c r="FR135" s="44" t="str">
        <f t="shared" si="2210"/>
        <v/>
      </c>
      <c r="FS135" s="44" t="str">
        <f t="shared" si="2211"/>
        <v/>
      </c>
    </row>
    <row r="136" spans="1:175" ht="16.5">
      <c r="A136" s="5"/>
      <c r="B136" s="76" t="s">
        <v>519</v>
      </c>
      <c r="C136" s="77" t="s">
        <v>520</v>
      </c>
      <c r="T136" s="37" t="s">
        <v>521</v>
      </c>
      <c r="U136" s="56" t="str">
        <f t="shared" si="1549"/>
        <v>ReplaceableTextures\\CommandButtons\\BTNIN18.blp</v>
      </c>
      <c r="CN136" s="13" t="str">
        <f t="shared" si="2063"/>
        <v>InitUnitState('IN18',,,,,,,,,,)</v>
      </c>
      <c r="CO136" s="13" t="str">
        <f t="shared" si="2064"/>
        <v>InitUnitNormal('IN18',,,,,,,,,,)</v>
      </c>
      <c r="CP136" s="13" t="str">
        <f t="shared" si="2065"/>
        <v>InitUnitMagic('IN18',,,,,,,,,,)</v>
      </c>
      <c r="CQ136" s="13" t="str">
        <f t="shared" si="2066"/>
        <v>InitUnitAdd('IN18',,,,,,,,,,)</v>
      </c>
      <c r="CR136" s="13" t="str">
        <f t="shared" si="2067"/>
        <v>InitEquipData('IN18',,"",,,,,'','','','','','',"ReplaceableTextures\\CommandButtons\\BTNIT12.blp")</v>
      </c>
      <c r="CU136" s="68" t="str">
        <f t="shared" ref="CU136" si="2212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" t="str">
        <f t="shared" ref="CV136" si="2213">T136</f>
        <v>|CffFFD24D30|r秒内增加|Cffffd24d30%|r金币加成</v>
      </c>
      <c r="CW136" s="7"/>
      <c r="CX136" s="7"/>
      <c r="CY136" s="7"/>
      <c r="CZ136" s="7"/>
      <c r="DA136" s="7"/>
      <c r="DB136" s="44" t="str">
        <f t="shared" ref="DB136" si="2214">IF(V136="","","|n"&amp;DB$2&amp;"+"&amp;V136&amp;DB$1)</f>
        <v/>
      </c>
      <c r="DC136" s="44" t="str">
        <f t="shared" ref="DC136" si="2215">IF(W136="","","|n"&amp;DC$2&amp;"+"&amp;W136&amp;DC$1)</f>
        <v/>
      </c>
      <c r="DD136" s="44" t="str">
        <f t="shared" ref="DD136" si="2216">IF(X136="","","|n"&amp;DD$2&amp;"+"&amp;X136&amp;DD$1)</f>
        <v/>
      </c>
      <c r="DE136" s="44" t="str">
        <f t="shared" ref="DE136" si="2217">IF(Y136="","","|n"&amp;DE$2&amp;"+"&amp;Y136&amp;DE$1)</f>
        <v/>
      </c>
      <c r="DF136" s="44" t="str">
        <f t="shared" ref="DF136" si="2218">IF(Z136="","","|n"&amp;DF$2&amp;"+"&amp;Z136&amp;DF$1)</f>
        <v/>
      </c>
      <c r="DG136" s="44" t="str">
        <f t="shared" ref="DG136" si="2219">IF(AA136="","","|n"&amp;DG$2&amp;"+"&amp;AA136&amp;DG$1)</f>
        <v/>
      </c>
      <c r="DH136" s="44" t="str">
        <f t="shared" ref="DH136" si="2220">IF(AB136="","","|n"&amp;DH$2&amp;"+"&amp;AB136&amp;DH$1)</f>
        <v/>
      </c>
      <c r="DI136" s="44" t="str">
        <f t="shared" ref="DI136" si="2221">IF(AC136="","","|n"&amp;DI$2&amp;"+"&amp;AC136&amp;DI$1)</f>
        <v/>
      </c>
      <c r="DJ136" s="44" t="str">
        <f t="shared" ref="DJ136" si="2222">IF(AD136="","","|n"&amp;DJ$2&amp;"+"&amp;AD136&amp;DJ$1)</f>
        <v/>
      </c>
      <c r="DK136" s="44" t="str">
        <f t="shared" ref="DK136" si="2223">IF(AE136="","","|n"&amp;DK$2&amp;"+"&amp;AE136&amp;DK$1)</f>
        <v/>
      </c>
      <c r="DL136" s="44" t="str">
        <f t="shared" ref="DL136" si="2224">IF(AF136="","","|n"&amp;DL$2&amp;"+"&amp;AF136&amp;DL$1)</f>
        <v/>
      </c>
      <c r="DM136" s="44" t="str">
        <f t="shared" ref="DM136" si="2225">IF(AG136="","","|n"&amp;DM$2&amp;"+"&amp;AG136&amp;DM$1)</f>
        <v/>
      </c>
      <c r="DN136" s="44" t="str">
        <f t="shared" ref="DN136" si="2226">IF(AH136="","","|n"&amp;DN$2&amp;"+"&amp;AH136&amp;DN$1)</f>
        <v/>
      </c>
      <c r="DO136" s="44" t="str">
        <f t="shared" ref="DO136" si="2227">IF(AI136="","","|n"&amp;DO$2&amp;"+"&amp;AI136&amp;DO$1)</f>
        <v/>
      </c>
      <c r="DP136" s="44" t="str">
        <f t="shared" ref="DP136" si="2228">IF(AJ136="","","|n"&amp;DP$2&amp;"+"&amp;AJ136&amp;DP$1)</f>
        <v/>
      </c>
      <c r="DQ136" s="44" t="str">
        <f t="shared" ref="DQ136" si="2229">IF(AK136="","","|n"&amp;DQ$2&amp;"+"&amp;AK136&amp;DQ$1)</f>
        <v/>
      </c>
      <c r="DR136" s="44" t="str">
        <f t="shared" ref="DR136" si="2230">IF(AL136="","","|n"&amp;DR$2&amp;"+"&amp;AL136&amp;DR$1)</f>
        <v/>
      </c>
      <c r="DS136" s="44" t="str">
        <f t="shared" ref="DS136" si="2231">IF(AM136="","","|n"&amp;DS$2&amp;"+"&amp;AM136&amp;DS$1)</f>
        <v/>
      </c>
      <c r="DT136" s="44" t="str">
        <f t="shared" ref="DT136" si="2232">IF(AN136="","","|n"&amp;DT$2&amp;"+"&amp;AN136&amp;DT$1)</f>
        <v/>
      </c>
      <c r="DU136" s="44" t="str">
        <f t="shared" ref="DU136" si="2233">IF(AO136="","","|n"&amp;DU$2&amp;"+"&amp;AO136&amp;DU$1)</f>
        <v/>
      </c>
      <c r="DV136" s="44" t="str">
        <f t="shared" ref="DV136" si="2234">IF(AP136="","","|n"&amp;DV$2&amp;"+"&amp;AP136&amp;DV$1)</f>
        <v/>
      </c>
      <c r="DW136" s="44" t="str">
        <f t="shared" ref="DW136" si="2235">IF(AQ136="","","|n"&amp;DW$2&amp;"+"&amp;AQ136&amp;DW$1)</f>
        <v/>
      </c>
      <c r="DX136" s="44" t="str">
        <f t="shared" ref="DX136" si="2236">IF(AR136="","","|n"&amp;DX$2&amp;"+"&amp;AR136&amp;DX$1)</f>
        <v/>
      </c>
      <c r="DY136" s="44" t="str">
        <f t="shared" ref="DY136" si="2237">IF(AS136="","","|n"&amp;DY$2&amp;"+"&amp;AS136&amp;DY$1)</f>
        <v/>
      </c>
      <c r="DZ136" s="44" t="str">
        <f t="shared" ref="DZ136" si="2238">IF(AT136="","","|n"&amp;DZ$2&amp;"+"&amp;AT136&amp;DZ$1)</f>
        <v/>
      </c>
      <c r="EA136" s="44" t="str">
        <f t="shared" ref="EA136" si="2239">IF(AU136="","","|n"&amp;EA$2&amp;"+"&amp;AU136&amp;EA$1)</f>
        <v/>
      </c>
      <c r="EB136" s="44" t="str">
        <f t="shared" ref="EB136" si="2240">IF(AV136="","","|n"&amp;EB$2&amp;"+"&amp;AV136&amp;EB$1)</f>
        <v/>
      </c>
      <c r="EC136" s="44" t="str">
        <f t="shared" ref="EC136" si="2241">IF(AW136="","","|n"&amp;EC$2&amp;"+"&amp;AW136&amp;EC$1)</f>
        <v/>
      </c>
      <c r="ED136" s="44" t="str">
        <f t="shared" ref="ED136" si="2242">IF(AX136="","","|n"&amp;ED$2&amp;"+"&amp;AX136&amp;ED$1)</f>
        <v/>
      </c>
      <c r="EE136" s="44" t="str">
        <f t="shared" ref="EE136" si="2243">IF(AY136="","","|n"&amp;EE$2&amp;"+"&amp;AY136&amp;EE$1)</f>
        <v/>
      </c>
      <c r="EF136" s="44" t="str">
        <f t="shared" ref="EF136" si="2244">IF(AZ136="","","|n"&amp;EF$2&amp;"+"&amp;AZ136&amp;EF$1)</f>
        <v/>
      </c>
      <c r="EG136" s="44" t="str">
        <f t="shared" ref="EG136" si="2245">IF(BA136="","","|n"&amp;EG$2&amp;"+"&amp;BA136&amp;EG$1)</f>
        <v/>
      </c>
      <c r="EH136" s="44" t="str">
        <f t="shared" ref="EH136" si="2246">IF(BB136="","","|n"&amp;EH$2&amp;"+"&amp;BB136&amp;EH$1)</f>
        <v/>
      </c>
      <c r="EI136" s="44" t="str">
        <f t="shared" ref="EI136" si="2247">IF(BC136="","","|n"&amp;EI$2&amp;"+"&amp;BC136&amp;EI$1)</f>
        <v/>
      </c>
      <c r="EJ136" s="44" t="str">
        <f t="shared" ref="EJ136" si="2248">IF(BD136="","","|n"&amp;EJ$2&amp;"+"&amp;BD136&amp;EJ$1)</f>
        <v/>
      </c>
      <c r="EK136" s="44" t="str">
        <f t="shared" ref="EK136" si="2249">IF(BE136="","","|n"&amp;EK$2&amp;"+"&amp;BE136&amp;EK$1)</f>
        <v/>
      </c>
      <c r="EL136" s="44" t="str">
        <f t="shared" ref="EL136" si="2250">IF(BF136="","","|n"&amp;EL$2&amp;"+"&amp;BF136&amp;EL$1)</f>
        <v/>
      </c>
      <c r="EM136" s="44" t="str">
        <f t="shared" ref="EM136" si="2251">IF(BG136="","","|n"&amp;EM$2&amp;"+"&amp;BG136&amp;EM$1)</f>
        <v/>
      </c>
      <c r="EN136" s="44" t="str">
        <f t="shared" ref="EN136" si="2252">IF(BH136="","","|n"&amp;EN$2&amp;"+"&amp;BH136&amp;EN$1)</f>
        <v/>
      </c>
      <c r="EO136" s="44" t="str">
        <f t="shared" ref="EO136" si="2253">IF(BI136="","","|n"&amp;EO$2&amp;"+"&amp;BI136&amp;EO$1)</f>
        <v/>
      </c>
      <c r="EP136" s="44" t="str">
        <f t="shared" ref="EP136" si="2254">IF(BJ136="","","|n"&amp;EP$2&amp;"+"&amp;BJ136&amp;EP$1)</f>
        <v/>
      </c>
      <c r="EQ136" s="44" t="str">
        <f t="shared" ref="EQ136" si="2255">IF(BK136="","","|n"&amp;EQ$2&amp;"+"&amp;BK136&amp;EQ$1)</f>
        <v/>
      </c>
      <c r="ER136" s="44" t="str">
        <f t="shared" ref="ER136" si="2256">IF(BL136="","","|n"&amp;ER$2&amp;"+"&amp;BL136&amp;ER$1)</f>
        <v/>
      </c>
      <c r="ES136" s="44" t="str">
        <f t="shared" ref="ES136" si="2257">IF(BM136="","","|n"&amp;ES$2&amp;"+"&amp;BM136&amp;ES$1)</f>
        <v/>
      </c>
      <c r="ET136" s="44" t="str">
        <f t="shared" ref="ET136" si="2258">IF(BN136="","","|n"&amp;ET$2&amp;"+"&amp;BN136&amp;ET$1)</f>
        <v/>
      </c>
      <c r="EU136" s="44" t="str">
        <f t="shared" ref="EU136" si="2259">IF(BO136="","","|n"&amp;EU$2&amp;"+"&amp;BO136&amp;EU$1)</f>
        <v/>
      </c>
      <c r="EV136" s="44" t="str">
        <f t="shared" ref="EV136" si="2260">IF(BP136="","","|n"&amp;EV$2&amp;"+"&amp;BP136&amp;EV$1)</f>
        <v/>
      </c>
      <c r="EW136" s="44" t="str">
        <f t="shared" ref="EW136" si="2261">IF(BQ136="","","|n"&amp;EW$2&amp;"+"&amp;BQ136&amp;EW$1)</f>
        <v/>
      </c>
      <c r="EX136" s="44" t="str">
        <f t="shared" ref="EX136" si="2262">IF(BR136="","","|n"&amp;EX$2&amp;"+"&amp;BR136&amp;EX$1)</f>
        <v/>
      </c>
      <c r="EY136" s="44" t="str">
        <f t="shared" ref="EY136" si="2263">IF(BS136="","","|n"&amp;EY$2&amp;"+"&amp;BS136&amp;EY$1)</f>
        <v/>
      </c>
      <c r="EZ136" s="44" t="str">
        <f t="shared" ref="EZ136" si="2264">IF(BT136="","","|n"&amp;EZ$2&amp;"+"&amp;BT136&amp;EZ$1)</f>
        <v/>
      </c>
      <c r="FA136" s="44" t="str">
        <f t="shared" ref="FA136" si="2265">IF(BU136="","","|n"&amp;FA$2&amp;"+"&amp;BU136&amp;FA$1)</f>
        <v/>
      </c>
      <c r="FB136" s="44" t="str">
        <f t="shared" ref="FB136" si="2266">IF(BV136="","","|n"&amp;FB$2&amp;"+"&amp;BV136&amp;FB$1)</f>
        <v/>
      </c>
      <c r="FC136" s="44" t="str">
        <f t="shared" ref="FC136" si="2267">IF(BW136="","","|n"&amp;FC$2&amp;"+"&amp;BW136&amp;FC$1)</f>
        <v/>
      </c>
      <c r="FD136" s="44" t="str">
        <f t="shared" ref="FD136" si="2268">IF(BX136="","","|n"&amp;FD$2&amp;"+"&amp;BX136&amp;FD$1)</f>
        <v/>
      </c>
      <c r="FE136" s="44" t="str">
        <f t="shared" ref="FE136" si="2269">IF(BY136="","","|n"&amp;FE$2&amp;"+"&amp;BY136&amp;FE$1)</f>
        <v/>
      </c>
      <c r="FF136" s="44" t="str">
        <f t="shared" ref="FF136" si="2270">IF(BZ136="","","|n"&amp;FF$2&amp;"+"&amp;BZ136&amp;FF$1)</f>
        <v/>
      </c>
      <c r="FG136" s="44" t="str">
        <f t="shared" ref="FG136" si="2271">IF(CA136="","","|n"&amp;FG$2&amp;"+"&amp;CA136&amp;FG$1)</f>
        <v/>
      </c>
      <c r="FH136" s="44" t="str">
        <f t="shared" ref="FH136" si="2272">IF(CB136="","","|n"&amp;FH$2&amp;"+"&amp;CB136&amp;FH$1)</f>
        <v/>
      </c>
      <c r="FI136" s="44" t="str">
        <f t="shared" ref="FI136" si="2273">IF(CC136="","","|n"&amp;FI$2&amp;"+"&amp;CC136&amp;FI$1)</f>
        <v/>
      </c>
      <c r="FJ136" s="44" t="str">
        <f t="shared" ref="FJ136" si="2274">IF(CD136="","","|n"&amp;FJ$2&amp;"+"&amp;CD136&amp;FJ$1)</f>
        <v/>
      </c>
      <c r="FK136" s="44" t="str">
        <f t="shared" ref="FK136" si="2275">IF(CE136="","","|n"&amp;FK$2&amp;"+"&amp;CE136&amp;FK$1)</f>
        <v/>
      </c>
      <c r="FL136" s="44" t="str">
        <f t="shared" ref="FL136" si="2276">IF(CF136="","","|n"&amp;FL$2&amp;"+"&amp;CF136&amp;FL$1)</f>
        <v/>
      </c>
      <c r="FM136" s="44" t="str">
        <f t="shared" ref="FM136" si="2277">IF(CG136="","","|n"&amp;FM$2&amp;"+"&amp;CG136&amp;FM$1)</f>
        <v/>
      </c>
      <c r="FN136" s="44" t="str">
        <f t="shared" ref="FN136" si="2278">IF(CH136="","","|n"&amp;FN$2&amp;"+"&amp;CH136&amp;FN$1)</f>
        <v/>
      </c>
      <c r="FO136" s="44" t="str">
        <f t="shared" ref="FO136" si="2279">IF(CI136="","","|n"&amp;FO$2&amp;"+"&amp;CI136&amp;FO$1)</f>
        <v/>
      </c>
      <c r="FP136" s="44" t="str">
        <f t="shared" ref="FP136" si="2280">IF(CJ136="","","|n"&amp;FP$2&amp;"+"&amp;CJ136&amp;FP$1)</f>
        <v/>
      </c>
      <c r="FQ136" s="44" t="str">
        <f t="shared" ref="FQ136" si="2281">IF(CK136="","","|n"&amp;FQ$2&amp;"+"&amp;CK136&amp;FQ$1)</f>
        <v/>
      </c>
      <c r="FR136" s="44" t="str">
        <f t="shared" ref="FR136" si="2282">IF(CL136="","","|n"&amp;FR$2&amp;"+"&amp;CL136&amp;FR$1)</f>
        <v/>
      </c>
      <c r="FS136" s="44" t="str">
        <f t="shared" ref="FS136" si="2283">IF(CM136="","","|n"&amp;FS$2&amp;"+"&amp;CM136&amp;FS$1)</f>
        <v/>
      </c>
    </row>
    <row r="137" spans="1:175" ht="16.5">
      <c r="A137" s="5"/>
      <c r="B137" s="5" t="s">
        <v>522</v>
      </c>
      <c r="C137" s="87" t="s">
        <v>523</v>
      </c>
      <c r="T137" s="37" t="s">
        <v>524</v>
      </c>
      <c r="U137" s="56" t="s">
        <v>525</v>
      </c>
      <c r="CN137" s="13" t="str">
        <f t="shared" si="2063"/>
        <v>InitUnitState('IN19',,,,,,,,,,)</v>
      </c>
      <c r="CO137" s="13" t="str">
        <f t="shared" si="2064"/>
        <v>InitUnitNormal('IN19',,,,,,,,,,)</v>
      </c>
      <c r="CP137" s="13" t="str">
        <f t="shared" si="2065"/>
        <v>InitUnitMagic('IN19',,,,,,,,,,)</v>
      </c>
      <c r="CQ137" s="13" t="str">
        <f t="shared" si="2066"/>
        <v>InitUnitAdd('IN19',,,,,,,,,,)</v>
      </c>
      <c r="CR137" s="13" t="str">
        <f t="shared" si="2067"/>
        <v>InitEquipData('IN19',,"",,,,,'','','','','','',"ReplaceableTextures\\CommandButtons\\BTNIT13.blp")</v>
      </c>
      <c r="CU137" s="68" t="str">
        <f t="shared" ref="CU137:CU147" si="2284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" t="str">
        <f t="shared" ref="CV137:CV147" si="2285">T137</f>
        <v>使用后获得|Cffffc926随机类型技能附魔卷|r</v>
      </c>
      <c r="CW137" s="7"/>
      <c r="CX137" s="7"/>
      <c r="CY137" s="7"/>
      <c r="CZ137" s="7"/>
      <c r="DA137" s="7"/>
      <c r="DB137" s="44" t="str">
        <f t="shared" ref="DB137" si="2286">IF(V137="","","|n"&amp;DB$2&amp;"+"&amp;V137&amp;DB$1)</f>
        <v/>
      </c>
      <c r="DC137" s="44" t="str">
        <f t="shared" ref="DC137" si="2287">IF(W137="","","|n"&amp;DC$2&amp;"+"&amp;W137&amp;DC$1)</f>
        <v/>
      </c>
      <c r="DD137" s="44" t="str">
        <f t="shared" ref="DD137" si="2288">IF(X137="","","|n"&amp;DD$2&amp;"+"&amp;X137&amp;DD$1)</f>
        <v/>
      </c>
      <c r="DE137" s="44" t="str">
        <f t="shared" ref="DE137" si="2289">IF(Y137="","","|n"&amp;DE$2&amp;"+"&amp;Y137&amp;DE$1)</f>
        <v/>
      </c>
      <c r="DF137" s="44" t="str">
        <f t="shared" ref="DF137" si="2290">IF(Z137="","","|n"&amp;DF$2&amp;"+"&amp;Z137&amp;DF$1)</f>
        <v/>
      </c>
      <c r="DG137" s="44" t="str">
        <f t="shared" ref="DG137" si="2291">IF(AA137="","","|n"&amp;DG$2&amp;"+"&amp;AA137&amp;DG$1)</f>
        <v/>
      </c>
      <c r="DH137" s="44" t="str">
        <f t="shared" ref="DH137" si="2292">IF(AB137="","","|n"&amp;DH$2&amp;"+"&amp;AB137&amp;DH$1)</f>
        <v/>
      </c>
      <c r="DI137" s="44" t="str">
        <f t="shared" ref="DI137" si="2293">IF(AC137="","","|n"&amp;DI$2&amp;"+"&amp;AC137&amp;DI$1)</f>
        <v/>
      </c>
      <c r="DJ137" s="44" t="str">
        <f t="shared" ref="DJ137" si="2294">IF(AD137="","","|n"&amp;DJ$2&amp;"+"&amp;AD137&amp;DJ$1)</f>
        <v/>
      </c>
      <c r="DK137" s="44" t="str">
        <f t="shared" ref="DK137" si="2295">IF(AE137="","","|n"&amp;DK$2&amp;"+"&amp;AE137&amp;DK$1)</f>
        <v/>
      </c>
      <c r="DL137" s="44" t="str">
        <f t="shared" ref="DL137" si="2296">IF(AF137="","","|n"&amp;DL$2&amp;"+"&amp;AF137&amp;DL$1)</f>
        <v/>
      </c>
      <c r="DM137" s="44" t="str">
        <f t="shared" ref="DM137" si="2297">IF(AG137="","","|n"&amp;DM$2&amp;"+"&amp;AG137&amp;DM$1)</f>
        <v/>
      </c>
      <c r="DN137" s="44" t="str">
        <f t="shared" ref="DN137" si="2298">IF(AH137="","","|n"&amp;DN$2&amp;"+"&amp;AH137&amp;DN$1)</f>
        <v/>
      </c>
      <c r="DO137" s="44" t="str">
        <f t="shared" ref="DO137" si="2299">IF(AI137="","","|n"&amp;DO$2&amp;"+"&amp;AI137&amp;DO$1)</f>
        <v/>
      </c>
      <c r="DP137" s="44" t="str">
        <f t="shared" ref="DP137" si="2300">IF(AJ137="","","|n"&amp;DP$2&amp;"+"&amp;AJ137&amp;DP$1)</f>
        <v/>
      </c>
      <c r="DQ137" s="44" t="str">
        <f t="shared" ref="DQ137" si="2301">IF(AK137="","","|n"&amp;DQ$2&amp;"+"&amp;AK137&amp;DQ$1)</f>
        <v/>
      </c>
      <c r="DR137" s="44" t="str">
        <f t="shared" ref="DR137" si="2302">IF(AL137="","","|n"&amp;DR$2&amp;"+"&amp;AL137&amp;DR$1)</f>
        <v/>
      </c>
      <c r="DS137" s="44" t="str">
        <f t="shared" ref="DS137" si="2303">IF(AM137="","","|n"&amp;DS$2&amp;"+"&amp;AM137&amp;DS$1)</f>
        <v/>
      </c>
      <c r="DT137" s="44" t="str">
        <f t="shared" ref="DT137" si="2304">IF(AN137="","","|n"&amp;DT$2&amp;"+"&amp;AN137&amp;DT$1)</f>
        <v/>
      </c>
      <c r="DU137" s="44" t="str">
        <f t="shared" ref="DU137" si="2305">IF(AO137="","","|n"&amp;DU$2&amp;"+"&amp;AO137&amp;DU$1)</f>
        <v/>
      </c>
      <c r="DV137" s="44" t="str">
        <f t="shared" ref="DV137" si="2306">IF(AP137="","","|n"&amp;DV$2&amp;"+"&amp;AP137&amp;DV$1)</f>
        <v/>
      </c>
      <c r="DW137" s="44" t="str">
        <f t="shared" ref="DW137" si="2307">IF(AQ137="","","|n"&amp;DW$2&amp;"+"&amp;AQ137&amp;DW$1)</f>
        <v/>
      </c>
      <c r="DX137" s="44" t="str">
        <f t="shared" ref="DX137" si="2308">IF(AR137="","","|n"&amp;DX$2&amp;"+"&amp;AR137&amp;DX$1)</f>
        <v/>
      </c>
      <c r="DY137" s="44" t="str">
        <f t="shared" ref="DY137" si="2309">IF(AS137="","","|n"&amp;DY$2&amp;"+"&amp;AS137&amp;DY$1)</f>
        <v/>
      </c>
      <c r="DZ137" s="44" t="str">
        <f t="shared" ref="DZ137" si="2310">IF(AT137="","","|n"&amp;DZ$2&amp;"+"&amp;AT137&amp;DZ$1)</f>
        <v/>
      </c>
      <c r="EA137" s="44" t="str">
        <f t="shared" ref="EA137" si="2311">IF(AU137="","","|n"&amp;EA$2&amp;"+"&amp;AU137&amp;EA$1)</f>
        <v/>
      </c>
      <c r="EB137" s="44" t="str">
        <f t="shared" ref="EB137" si="2312">IF(AV137="","","|n"&amp;EB$2&amp;"+"&amp;AV137&amp;EB$1)</f>
        <v/>
      </c>
      <c r="EC137" s="44" t="str">
        <f t="shared" ref="EC137" si="2313">IF(AW137="","","|n"&amp;EC$2&amp;"+"&amp;AW137&amp;EC$1)</f>
        <v/>
      </c>
      <c r="ED137" s="44" t="str">
        <f t="shared" ref="ED137" si="2314">IF(AX137="","","|n"&amp;ED$2&amp;"+"&amp;AX137&amp;ED$1)</f>
        <v/>
      </c>
      <c r="EE137" s="44" t="str">
        <f t="shared" ref="EE137" si="2315">IF(AY137="","","|n"&amp;EE$2&amp;"+"&amp;AY137&amp;EE$1)</f>
        <v/>
      </c>
      <c r="EF137" s="44" t="str">
        <f t="shared" ref="EF137" si="2316">IF(AZ137="","","|n"&amp;EF$2&amp;"+"&amp;AZ137&amp;EF$1)</f>
        <v/>
      </c>
      <c r="EG137" s="44" t="str">
        <f t="shared" ref="EG137" si="2317">IF(BA137="","","|n"&amp;EG$2&amp;"+"&amp;BA137&amp;EG$1)</f>
        <v/>
      </c>
      <c r="EH137" s="44" t="str">
        <f t="shared" ref="EH137" si="2318">IF(BB137="","","|n"&amp;EH$2&amp;"+"&amp;BB137&amp;EH$1)</f>
        <v/>
      </c>
      <c r="EI137" s="44" t="str">
        <f t="shared" ref="EI137" si="2319">IF(BC137="","","|n"&amp;EI$2&amp;"+"&amp;BC137&amp;EI$1)</f>
        <v/>
      </c>
      <c r="EJ137" s="44" t="str">
        <f t="shared" ref="EJ137" si="2320">IF(BD137="","","|n"&amp;EJ$2&amp;"+"&amp;BD137&amp;EJ$1)</f>
        <v/>
      </c>
      <c r="EK137" s="44" t="str">
        <f t="shared" ref="EK137" si="2321">IF(BE137="","","|n"&amp;EK$2&amp;"+"&amp;BE137&amp;EK$1)</f>
        <v/>
      </c>
      <c r="EL137" s="44" t="str">
        <f t="shared" ref="EL137" si="2322">IF(BF137="","","|n"&amp;EL$2&amp;"+"&amp;BF137&amp;EL$1)</f>
        <v/>
      </c>
      <c r="EM137" s="44" t="str">
        <f t="shared" ref="EM137" si="2323">IF(BG137="","","|n"&amp;EM$2&amp;"+"&amp;BG137&amp;EM$1)</f>
        <v/>
      </c>
      <c r="EN137" s="44" t="str">
        <f t="shared" ref="EN137" si="2324">IF(BH137="","","|n"&amp;EN$2&amp;"+"&amp;BH137&amp;EN$1)</f>
        <v/>
      </c>
      <c r="EO137" s="44" t="str">
        <f t="shared" ref="EO137" si="2325">IF(BI137="","","|n"&amp;EO$2&amp;"+"&amp;BI137&amp;EO$1)</f>
        <v/>
      </c>
      <c r="EP137" s="44" t="str">
        <f t="shared" ref="EP137" si="2326">IF(BJ137="","","|n"&amp;EP$2&amp;"+"&amp;BJ137&amp;EP$1)</f>
        <v/>
      </c>
      <c r="EQ137" s="44" t="str">
        <f t="shared" ref="EQ137" si="2327">IF(BK137="","","|n"&amp;EQ$2&amp;"+"&amp;BK137&amp;EQ$1)</f>
        <v/>
      </c>
      <c r="ER137" s="44" t="str">
        <f t="shared" ref="ER137" si="2328">IF(BL137="","","|n"&amp;ER$2&amp;"+"&amp;BL137&amp;ER$1)</f>
        <v/>
      </c>
      <c r="ES137" s="44" t="str">
        <f t="shared" ref="ES137" si="2329">IF(BM137="","","|n"&amp;ES$2&amp;"+"&amp;BM137&amp;ES$1)</f>
        <v/>
      </c>
      <c r="ET137" s="44" t="str">
        <f t="shared" ref="ET137" si="2330">IF(BN137="","","|n"&amp;ET$2&amp;"+"&amp;BN137&amp;ET$1)</f>
        <v/>
      </c>
      <c r="EU137" s="44" t="str">
        <f t="shared" ref="EU137" si="2331">IF(BO137="","","|n"&amp;EU$2&amp;"+"&amp;BO137&amp;EU$1)</f>
        <v/>
      </c>
      <c r="EV137" s="44" t="str">
        <f t="shared" ref="EV137" si="2332">IF(BP137="","","|n"&amp;EV$2&amp;"+"&amp;BP137&amp;EV$1)</f>
        <v/>
      </c>
      <c r="EW137" s="44" t="str">
        <f t="shared" ref="EW137" si="2333">IF(BQ137="","","|n"&amp;EW$2&amp;"+"&amp;BQ137&amp;EW$1)</f>
        <v/>
      </c>
      <c r="EX137" s="44" t="str">
        <f t="shared" ref="EX137" si="2334">IF(BR137="","","|n"&amp;EX$2&amp;"+"&amp;BR137&amp;EX$1)</f>
        <v/>
      </c>
      <c r="EY137" s="44" t="str">
        <f t="shared" ref="EY137" si="2335">IF(BS137="","","|n"&amp;EY$2&amp;"+"&amp;BS137&amp;EY$1)</f>
        <v/>
      </c>
      <c r="EZ137" s="44" t="str">
        <f t="shared" ref="EZ137" si="2336">IF(BT137="","","|n"&amp;EZ$2&amp;"+"&amp;BT137&amp;EZ$1)</f>
        <v/>
      </c>
      <c r="FA137" s="44" t="str">
        <f t="shared" ref="FA137" si="2337">IF(BU137="","","|n"&amp;FA$2&amp;"+"&amp;BU137&amp;FA$1)</f>
        <v/>
      </c>
      <c r="FB137" s="44" t="str">
        <f t="shared" ref="FB137" si="2338">IF(BV137="","","|n"&amp;FB$2&amp;"+"&amp;BV137&amp;FB$1)</f>
        <v/>
      </c>
      <c r="FC137" s="44" t="str">
        <f t="shared" ref="FC137" si="2339">IF(BW137="","","|n"&amp;FC$2&amp;"+"&amp;BW137&amp;FC$1)</f>
        <v/>
      </c>
      <c r="FD137" s="44" t="str">
        <f t="shared" ref="FD137" si="2340">IF(BX137="","","|n"&amp;FD$2&amp;"+"&amp;BX137&amp;FD$1)</f>
        <v/>
      </c>
      <c r="FE137" s="44" t="str">
        <f t="shared" ref="FE137" si="2341">IF(BY137="","","|n"&amp;FE$2&amp;"+"&amp;BY137&amp;FE$1)</f>
        <v/>
      </c>
      <c r="FF137" s="44" t="str">
        <f t="shared" ref="FF137" si="2342">IF(BZ137="","","|n"&amp;FF$2&amp;"+"&amp;BZ137&amp;FF$1)</f>
        <v/>
      </c>
      <c r="FG137" s="44" t="str">
        <f t="shared" ref="FG137" si="2343">IF(CA137="","","|n"&amp;FG$2&amp;"+"&amp;CA137&amp;FG$1)</f>
        <v/>
      </c>
      <c r="FH137" s="44" t="str">
        <f t="shared" ref="FH137" si="2344">IF(CB137="","","|n"&amp;FH$2&amp;"+"&amp;CB137&amp;FH$1)</f>
        <v/>
      </c>
      <c r="FI137" s="44" t="str">
        <f t="shared" ref="FI137" si="2345">IF(CC137="","","|n"&amp;FI$2&amp;"+"&amp;CC137&amp;FI$1)</f>
        <v/>
      </c>
      <c r="FJ137" s="44" t="str">
        <f t="shared" ref="FJ137" si="2346">IF(CD137="","","|n"&amp;FJ$2&amp;"+"&amp;CD137&amp;FJ$1)</f>
        <v/>
      </c>
      <c r="FK137" s="44" t="str">
        <f t="shared" ref="FK137" si="2347">IF(CE137="","","|n"&amp;FK$2&amp;"+"&amp;CE137&amp;FK$1)</f>
        <v/>
      </c>
      <c r="FL137" s="44" t="str">
        <f t="shared" ref="FL137" si="2348">IF(CF137="","","|n"&amp;FL$2&amp;"+"&amp;CF137&amp;FL$1)</f>
        <v/>
      </c>
      <c r="FM137" s="44" t="str">
        <f t="shared" ref="FM137" si="2349">IF(CG137="","","|n"&amp;FM$2&amp;"+"&amp;CG137&amp;FM$1)</f>
        <v/>
      </c>
      <c r="FN137" s="44" t="str">
        <f t="shared" ref="FN137" si="2350">IF(CH137="","","|n"&amp;FN$2&amp;"+"&amp;CH137&amp;FN$1)</f>
        <v/>
      </c>
      <c r="FO137" s="44" t="str">
        <f t="shared" ref="FO137" si="2351">IF(CI137="","","|n"&amp;FO$2&amp;"+"&amp;CI137&amp;FO$1)</f>
        <v/>
      </c>
      <c r="FP137" s="44" t="str">
        <f t="shared" ref="FP137" si="2352">IF(CJ137="","","|n"&amp;FP$2&amp;"+"&amp;CJ137&amp;FP$1)</f>
        <v/>
      </c>
      <c r="FQ137" s="44" t="str">
        <f t="shared" ref="FQ137" si="2353">IF(CK137="","","|n"&amp;FQ$2&amp;"+"&amp;CK137&amp;FQ$1)</f>
        <v/>
      </c>
      <c r="FR137" s="44" t="str">
        <f t="shared" ref="FR137" si="2354">IF(CL137="","","|n"&amp;FR$2&amp;"+"&amp;CL137&amp;FR$1)</f>
        <v/>
      </c>
      <c r="FS137" s="44" t="str">
        <f t="shared" ref="FS137" si="2355">IF(CM137="","","|n"&amp;FS$2&amp;"+"&amp;CM137&amp;FS$1)</f>
        <v/>
      </c>
    </row>
    <row r="138" spans="1:175" s="37" customFormat="1" ht="16.5">
      <c r="A138" s="5"/>
      <c r="B138" s="76" t="s">
        <v>526</v>
      </c>
      <c r="C138" s="88" t="s">
        <v>527</v>
      </c>
      <c r="D138" s="70"/>
      <c r="E138" s="70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78"/>
      <c r="Q138" s="78"/>
      <c r="R138" s="78"/>
      <c r="S138" s="78"/>
      <c r="T138" s="37" t="s">
        <v>528</v>
      </c>
      <c r="U138" s="56" t="str">
        <f t="shared" ref="U138:U152" si="2356">"ReplaceableTextures\\CommandButtons\\BTN"&amp;B138&amp;".blp"</f>
        <v>ReplaceableTextures\\CommandButtons\\BTNIN20.blp</v>
      </c>
      <c r="V138" s="96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7"/>
      <c r="AL138" s="97"/>
      <c r="AM138" s="97"/>
      <c r="AN138" s="97"/>
      <c r="AO138" s="97"/>
      <c r="AP138" s="97"/>
      <c r="AQ138" s="97"/>
      <c r="AR138" s="101"/>
      <c r="AS138" s="101"/>
      <c r="AT138" s="97"/>
      <c r="AU138" s="97"/>
      <c r="AV138" s="97"/>
      <c r="AW138" s="97"/>
      <c r="AX138" s="97"/>
      <c r="AY138" s="97"/>
      <c r="AZ138" s="97"/>
      <c r="BA138" s="97"/>
      <c r="BB138" s="97"/>
      <c r="BC138" s="97"/>
      <c r="BD138" s="97"/>
      <c r="BE138" s="97"/>
      <c r="BF138" s="97"/>
      <c r="BG138" s="97"/>
      <c r="BH138" s="97"/>
      <c r="BI138" s="97"/>
      <c r="BJ138" s="97"/>
      <c r="BK138" s="97"/>
      <c r="BL138" s="97"/>
      <c r="BM138" s="97"/>
      <c r="BN138" s="97"/>
      <c r="BO138" s="97"/>
      <c r="BP138" s="97"/>
      <c r="BQ138" s="97"/>
      <c r="BR138" s="97"/>
      <c r="BS138" s="97"/>
      <c r="BT138" s="97"/>
      <c r="BU138" s="97"/>
      <c r="BV138" s="97"/>
      <c r="BW138" s="97"/>
      <c r="BX138" s="97"/>
      <c r="BY138" s="97"/>
      <c r="BZ138" s="97"/>
      <c r="CA138" s="97"/>
      <c r="CB138" s="97"/>
      <c r="CC138" s="97"/>
      <c r="CD138" s="97"/>
      <c r="CE138" s="97"/>
      <c r="CF138" s="97"/>
      <c r="CG138" s="97"/>
      <c r="CH138" s="97"/>
      <c r="CI138" s="97"/>
      <c r="CJ138" s="97"/>
      <c r="CK138" s="97"/>
      <c r="CL138" s="97"/>
      <c r="CM138" s="97"/>
      <c r="CN138" s="102" t="str">
        <f t="shared" si="2063"/>
        <v>InitUnitState('IN20',,,,,,,,,,)</v>
      </c>
      <c r="CO138" s="102" t="str">
        <f t="shared" si="2064"/>
        <v>InitUnitNormal('IN20',,,,,,,,,,)</v>
      </c>
      <c r="CP138" s="102" t="str">
        <f t="shared" si="2065"/>
        <v>InitUnitMagic('IN20',,,,,,,,,,)</v>
      </c>
      <c r="CQ138" s="102" t="str">
        <f t="shared" si="2066"/>
        <v>InitUnitAdd('IN20',,,,,,,,,,)</v>
      </c>
      <c r="CR138" s="102" t="str">
        <f t="shared" si="2067"/>
        <v>InitEquipData('IN20',,"",,,,,'','','','','','',"ReplaceableTextures\\CommandButtons\\BTNIT14.blp")</v>
      </c>
      <c r="CS138" s="102"/>
      <c r="CT138" s="102"/>
      <c r="CU138" s="68" t="str">
        <f t="shared" si="2284"/>
        <v>|n</v>
      </c>
      <c r="CV138" s="37" t="str">
        <f t="shared" si="2285"/>
        <v>|CffFFD24D30|r秒内杀敌金币|Cffffd24d+10|r</v>
      </c>
      <c r="CW138" s="7"/>
      <c r="CX138" s="7"/>
      <c r="CY138" s="7"/>
      <c r="CZ138" s="7"/>
      <c r="DA138" s="7"/>
      <c r="DB138" s="103" t="str">
        <f t="shared" ref="DB138:FM138" si="2357">IF(V138="","","|n"&amp;DB$2&amp;"+"&amp;V138&amp;DB$1)</f>
        <v/>
      </c>
      <c r="DC138" s="103" t="str">
        <f t="shared" si="2357"/>
        <v/>
      </c>
      <c r="DD138" s="103" t="str">
        <f t="shared" si="2357"/>
        <v/>
      </c>
      <c r="DE138" s="103" t="str">
        <f t="shared" si="2357"/>
        <v/>
      </c>
      <c r="DF138" s="103" t="str">
        <f t="shared" si="2357"/>
        <v/>
      </c>
      <c r="DG138" s="103" t="str">
        <f t="shared" si="2357"/>
        <v/>
      </c>
      <c r="DH138" s="103" t="str">
        <f t="shared" si="2357"/>
        <v/>
      </c>
      <c r="DI138" s="103" t="str">
        <f t="shared" si="2357"/>
        <v/>
      </c>
      <c r="DJ138" s="103" t="str">
        <f t="shared" si="2357"/>
        <v/>
      </c>
      <c r="DK138" s="103" t="str">
        <f t="shared" si="2357"/>
        <v/>
      </c>
      <c r="DL138" s="103" t="str">
        <f t="shared" si="2357"/>
        <v/>
      </c>
      <c r="DM138" s="103" t="str">
        <f t="shared" si="2357"/>
        <v/>
      </c>
      <c r="DN138" s="103" t="str">
        <f t="shared" si="2357"/>
        <v/>
      </c>
      <c r="DO138" s="103" t="str">
        <f t="shared" si="2357"/>
        <v/>
      </c>
      <c r="DP138" s="103" t="str">
        <f t="shared" si="2357"/>
        <v/>
      </c>
      <c r="DQ138" s="103" t="str">
        <f t="shared" si="2357"/>
        <v/>
      </c>
      <c r="DR138" s="103" t="str">
        <f t="shared" si="2357"/>
        <v/>
      </c>
      <c r="DS138" s="103" t="str">
        <f t="shared" si="2357"/>
        <v/>
      </c>
      <c r="DT138" s="103" t="str">
        <f t="shared" si="2357"/>
        <v/>
      </c>
      <c r="DU138" s="103" t="str">
        <f t="shared" si="2357"/>
        <v/>
      </c>
      <c r="DV138" s="103" t="str">
        <f t="shared" si="2357"/>
        <v/>
      </c>
      <c r="DW138" s="103" t="str">
        <f t="shared" si="2357"/>
        <v/>
      </c>
      <c r="DX138" s="103" t="str">
        <f t="shared" si="2357"/>
        <v/>
      </c>
      <c r="DY138" s="103" t="str">
        <f t="shared" si="2357"/>
        <v/>
      </c>
      <c r="DZ138" s="103" t="str">
        <f t="shared" si="2357"/>
        <v/>
      </c>
      <c r="EA138" s="103" t="str">
        <f t="shared" si="2357"/>
        <v/>
      </c>
      <c r="EB138" s="103" t="str">
        <f t="shared" si="2357"/>
        <v/>
      </c>
      <c r="EC138" s="103" t="str">
        <f t="shared" si="2357"/>
        <v/>
      </c>
      <c r="ED138" s="103" t="str">
        <f t="shared" si="2357"/>
        <v/>
      </c>
      <c r="EE138" s="103" t="str">
        <f t="shared" si="2357"/>
        <v/>
      </c>
      <c r="EF138" s="103" t="str">
        <f t="shared" si="2357"/>
        <v/>
      </c>
      <c r="EG138" s="103" t="str">
        <f t="shared" si="2357"/>
        <v/>
      </c>
      <c r="EH138" s="103" t="str">
        <f t="shared" si="2357"/>
        <v/>
      </c>
      <c r="EI138" s="103" t="str">
        <f t="shared" si="2357"/>
        <v/>
      </c>
      <c r="EJ138" s="103" t="str">
        <f t="shared" si="2357"/>
        <v/>
      </c>
      <c r="EK138" s="103" t="str">
        <f t="shared" si="2357"/>
        <v/>
      </c>
      <c r="EL138" s="103" t="str">
        <f t="shared" si="2357"/>
        <v/>
      </c>
      <c r="EM138" s="103" t="str">
        <f t="shared" si="2357"/>
        <v/>
      </c>
      <c r="EN138" s="103" t="str">
        <f t="shared" si="2357"/>
        <v/>
      </c>
      <c r="EO138" s="103" t="str">
        <f t="shared" si="2357"/>
        <v/>
      </c>
      <c r="EP138" s="103" t="str">
        <f t="shared" si="2357"/>
        <v/>
      </c>
      <c r="EQ138" s="103" t="str">
        <f t="shared" si="2357"/>
        <v/>
      </c>
      <c r="ER138" s="103" t="str">
        <f t="shared" si="2357"/>
        <v/>
      </c>
      <c r="ES138" s="103" t="str">
        <f t="shared" si="2357"/>
        <v/>
      </c>
      <c r="ET138" s="103" t="str">
        <f t="shared" si="2357"/>
        <v/>
      </c>
      <c r="EU138" s="103" t="str">
        <f t="shared" si="2357"/>
        <v/>
      </c>
      <c r="EV138" s="103" t="str">
        <f t="shared" si="2357"/>
        <v/>
      </c>
      <c r="EW138" s="103" t="str">
        <f t="shared" si="2357"/>
        <v/>
      </c>
      <c r="EX138" s="103" t="str">
        <f t="shared" si="2357"/>
        <v/>
      </c>
      <c r="EY138" s="103" t="str">
        <f t="shared" si="2357"/>
        <v/>
      </c>
      <c r="EZ138" s="103" t="str">
        <f t="shared" si="2357"/>
        <v/>
      </c>
      <c r="FA138" s="103" t="str">
        <f t="shared" si="2357"/>
        <v/>
      </c>
      <c r="FB138" s="103" t="str">
        <f t="shared" si="2357"/>
        <v/>
      </c>
      <c r="FC138" s="103" t="str">
        <f t="shared" si="2357"/>
        <v/>
      </c>
      <c r="FD138" s="103" t="str">
        <f t="shared" si="2357"/>
        <v/>
      </c>
      <c r="FE138" s="103" t="str">
        <f t="shared" si="2357"/>
        <v/>
      </c>
      <c r="FF138" s="103" t="str">
        <f t="shared" si="2357"/>
        <v/>
      </c>
      <c r="FG138" s="103" t="str">
        <f t="shared" si="2357"/>
        <v/>
      </c>
      <c r="FH138" s="103" t="str">
        <f t="shared" si="2357"/>
        <v/>
      </c>
      <c r="FI138" s="103" t="str">
        <f t="shared" si="2357"/>
        <v/>
      </c>
      <c r="FJ138" s="103" t="str">
        <f t="shared" si="2357"/>
        <v/>
      </c>
      <c r="FK138" s="103" t="str">
        <f t="shared" si="2357"/>
        <v/>
      </c>
      <c r="FL138" s="103" t="str">
        <f t="shared" si="2357"/>
        <v/>
      </c>
      <c r="FM138" s="103" t="str">
        <f t="shared" si="2357"/>
        <v/>
      </c>
      <c r="FN138" s="103" t="str">
        <f t="shared" ref="FN138:FS138" si="2358">IF(CH138="","","|n"&amp;FN$2&amp;"+"&amp;CH138&amp;FN$1)</f>
        <v/>
      </c>
      <c r="FO138" s="103" t="str">
        <f t="shared" si="2358"/>
        <v/>
      </c>
      <c r="FP138" s="103" t="str">
        <f t="shared" si="2358"/>
        <v/>
      </c>
      <c r="FQ138" s="103" t="str">
        <f t="shared" si="2358"/>
        <v/>
      </c>
      <c r="FR138" s="103" t="str">
        <f t="shared" si="2358"/>
        <v/>
      </c>
      <c r="FS138" s="103" t="str">
        <f t="shared" si="2358"/>
        <v/>
      </c>
    </row>
    <row r="139" spans="1:175" s="37" customFormat="1" ht="16.5">
      <c r="A139" s="5"/>
      <c r="B139" s="76" t="s">
        <v>529</v>
      </c>
      <c r="C139" s="89" t="s">
        <v>530</v>
      </c>
      <c r="D139" s="70"/>
      <c r="E139" s="70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78"/>
      <c r="Q139" s="78"/>
      <c r="R139" s="78"/>
      <c r="S139" s="78"/>
      <c r="T139" s="37" t="s">
        <v>531</v>
      </c>
      <c r="U139" s="56" t="str">
        <f t="shared" si="2356"/>
        <v>ReplaceableTextures\\CommandButtons\\BTNIN21.blp</v>
      </c>
      <c r="V139" s="96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97"/>
      <c r="AO139" s="97"/>
      <c r="AP139" s="97"/>
      <c r="AQ139" s="97"/>
      <c r="AR139" s="101"/>
      <c r="AS139" s="101"/>
      <c r="AT139" s="97"/>
      <c r="AU139" s="97"/>
      <c r="AV139" s="97"/>
      <c r="AW139" s="97"/>
      <c r="AX139" s="97"/>
      <c r="AY139" s="97"/>
      <c r="AZ139" s="97"/>
      <c r="BA139" s="97"/>
      <c r="BB139" s="97"/>
      <c r="BC139" s="97"/>
      <c r="BD139" s="97"/>
      <c r="BE139" s="97"/>
      <c r="BF139" s="97"/>
      <c r="BG139" s="97"/>
      <c r="BH139" s="97"/>
      <c r="BI139" s="97"/>
      <c r="BJ139" s="97"/>
      <c r="BK139" s="97"/>
      <c r="BL139" s="97"/>
      <c r="BM139" s="97"/>
      <c r="BN139" s="97"/>
      <c r="BO139" s="97"/>
      <c r="BP139" s="97"/>
      <c r="BQ139" s="97"/>
      <c r="BR139" s="97"/>
      <c r="BS139" s="97"/>
      <c r="BT139" s="97"/>
      <c r="BU139" s="97"/>
      <c r="BV139" s="97"/>
      <c r="BW139" s="97"/>
      <c r="BX139" s="97"/>
      <c r="BY139" s="97"/>
      <c r="BZ139" s="97"/>
      <c r="CA139" s="97"/>
      <c r="CB139" s="97"/>
      <c r="CC139" s="97"/>
      <c r="CD139" s="97"/>
      <c r="CE139" s="97"/>
      <c r="CF139" s="97"/>
      <c r="CG139" s="97"/>
      <c r="CH139" s="97"/>
      <c r="CI139" s="97"/>
      <c r="CJ139" s="97"/>
      <c r="CK139" s="97"/>
      <c r="CL139" s="97"/>
      <c r="CM139" s="97"/>
      <c r="CN139" s="102" t="str">
        <f t="shared" si="2063"/>
        <v>InitUnitState('IN21',,,,,,,,,,)</v>
      </c>
      <c r="CO139" s="102" t="str">
        <f t="shared" si="2064"/>
        <v>InitUnitNormal('IN21',,,,,,,,,,)</v>
      </c>
      <c r="CP139" s="102" t="str">
        <f t="shared" si="2065"/>
        <v>InitUnitMagic('IN21',,,,,,,,,,)</v>
      </c>
      <c r="CQ139" s="102" t="str">
        <f t="shared" si="2066"/>
        <v>InitUnitAdd('IN21',,,,,,,,,,)</v>
      </c>
      <c r="CR139" s="102" t="str">
        <f t="shared" si="2067"/>
        <v>InitEquipData('IN21',,"",,,,,'','','','','','',"ReplaceableTextures\\CommandButtons\\BTNIZ0A.blp")</v>
      </c>
      <c r="CS139" s="102"/>
      <c r="CT139" s="102"/>
      <c r="CU139" s="68" t="str">
        <f t="shared" si="2284"/>
        <v>|n</v>
      </c>
      <c r="CV139" s="37" t="str">
        <f t="shared" si="2285"/>
        <v>全体队友|Cffffd24d10|r秒内提高|Cffffd24d30%|r生命恢复，|Cffffd24d物理及法术伤害提高50%|r。|n|Cff00ff7f效果结束时，所有队友当前生命值降低至20%|r|r</v>
      </c>
      <c r="CW139" s="7"/>
      <c r="CX139" s="7"/>
      <c r="CY139" s="7"/>
      <c r="CZ139" s="7"/>
      <c r="DA139" s="7"/>
      <c r="DB139" s="103" t="str">
        <f t="shared" ref="DB139:FM139" si="2359">IF(V139="","","|n"&amp;DB$2&amp;"+"&amp;V139&amp;DB$1)</f>
        <v/>
      </c>
      <c r="DC139" s="103" t="str">
        <f t="shared" si="2359"/>
        <v/>
      </c>
      <c r="DD139" s="103" t="str">
        <f t="shared" si="2359"/>
        <v/>
      </c>
      <c r="DE139" s="103" t="str">
        <f t="shared" si="2359"/>
        <v/>
      </c>
      <c r="DF139" s="103" t="str">
        <f t="shared" si="2359"/>
        <v/>
      </c>
      <c r="DG139" s="103" t="str">
        <f t="shared" si="2359"/>
        <v/>
      </c>
      <c r="DH139" s="103" t="str">
        <f t="shared" si="2359"/>
        <v/>
      </c>
      <c r="DI139" s="103" t="str">
        <f t="shared" si="2359"/>
        <v/>
      </c>
      <c r="DJ139" s="103" t="str">
        <f t="shared" si="2359"/>
        <v/>
      </c>
      <c r="DK139" s="103" t="str">
        <f t="shared" si="2359"/>
        <v/>
      </c>
      <c r="DL139" s="103" t="str">
        <f t="shared" si="2359"/>
        <v/>
      </c>
      <c r="DM139" s="103" t="str">
        <f t="shared" si="2359"/>
        <v/>
      </c>
      <c r="DN139" s="103" t="str">
        <f t="shared" si="2359"/>
        <v/>
      </c>
      <c r="DO139" s="103" t="str">
        <f t="shared" si="2359"/>
        <v/>
      </c>
      <c r="DP139" s="103" t="str">
        <f t="shared" si="2359"/>
        <v/>
      </c>
      <c r="DQ139" s="103" t="str">
        <f t="shared" si="2359"/>
        <v/>
      </c>
      <c r="DR139" s="103" t="str">
        <f t="shared" si="2359"/>
        <v/>
      </c>
      <c r="DS139" s="103" t="str">
        <f t="shared" si="2359"/>
        <v/>
      </c>
      <c r="DT139" s="103" t="str">
        <f t="shared" si="2359"/>
        <v/>
      </c>
      <c r="DU139" s="103" t="str">
        <f t="shared" si="2359"/>
        <v/>
      </c>
      <c r="DV139" s="103" t="str">
        <f t="shared" si="2359"/>
        <v/>
      </c>
      <c r="DW139" s="103" t="str">
        <f t="shared" si="2359"/>
        <v/>
      </c>
      <c r="DX139" s="103" t="str">
        <f t="shared" si="2359"/>
        <v/>
      </c>
      <c r="DY139" s="103" t="str">
        <f t="shared" si="2359"/>
        <v/>
      </c>
      <c r="DZ139" s="103" t="str">
        <f t="shared" si="2359"/>
        <v/>
      </c>
      <c r="EA139" s="103" t="str">
        <f t="shared" si="2359"/>
        <v/>
      </c>
      <c r="EB139" s="103" t="str">
        <f t="shared" si="2359"/>
        <v/>
      </c>
      <c r="EC139" s="103" t="str">
        <f t="shared" si="2359"/>
        <v/>
      </c>
      <c r="ED139" s="103" t="str">
        <f t="shared" si="2359"/>
        <v/>
      </c>
      <c r="EE139" s="103" t="str">
        <f t="shared" si="2359"/>
        <v/>
      </c>
      <c r="EF139" s="103" t="str">
        <f t="shared" si="2359"/>
        <v/>
      </c>
      <c r="EG139" s="103" t="str">
        <f t="shared" si="2359"/>
        <v/>
      </c>
      <c r="EH139" s="103" t="str">
        <f t="shared" si="2359"/>
        <v/>
      </c>
      <c r="EI139" s="103" t="str">
        <f t="shared" si="2359"/>
        <v/>
      </c>
      <c r="EJ139" s="103" t="str">
        <f t="shared" si="2359"/>
        <v/>
      </c>
      <c r="EK139" s="103" t="str">
        <f t="shared" si="2359"/>
        <v/>
      </c>
      <c r="EL139" s="103" t="str">
        <f t="shared" si="2359"/>
        <v/>
      </c>
      <c r="EM139" s="103" t="str">
        <f t="shared" si="2359"/>
        <v/>
      </c>
      <c r="EN139" s="103" t="str">
        <f t="shared" si="2359"/>
        <v/>
      </c>
      <c r="EO139" s="103" t="str">
        <f t="shared" si="2359"/>
        <v/>
      </c>
      <c r="EP139" s="103" t="str">
        <f t="shared" si="2359"/>
        <v/>
      </c>
      <c r="EQ139" s="103" t="str">
        <f t="shared" si="2359"/>
        <v/>
      </c>
      <c r="ER139" s="103" t="str">
        <f t="shared" si="2359"/>
        <v/>
      </c>
      <c r="ES139" s="103" t="str">
        <f t="shared" si="2359"/>
        <v/>
      </c>
      <c r="ET139" s="103" t="str">
        <f t="shared" si="2359"/>
        <v/>
      </c>
      <c r="EU139" s="103" t="str">
        <f t="shared" si="2359"/>
        <v/>
      </c>
      <c r="EV139" s="103" t="str">
        <f t="shared" si="2359"/>
        <v/>
      </c>
      <c r="EW139" s="103" t="str">
        <f t="shared" si="2359"/>
        <v/>
      </c>
      <c r="EX139" s="103" t="str">
        <f t="shared" si="2359"/>
        <v/>
      </c>
      <c r="EY139" s="103" t="str">
        <f t="shared" si="2359"/>
        <v/>
      </c>
      <c r="EZ139" s="103" t="str">
        <f t="shared" si="2359"/>
        <v/>
      </c>
      <c r="FA139" s="103" t="str">
        <f t="shared" si="2359"/>
        <v/>
      </c>
      <c r="FB139" s="103" t="str">
        <f t="shared" si="2359"/>
        <v/>
      </c>
      <c r="FC139" s="103" t="str">
        <f t="shared" si="2359"/>
        <v/>
      </c>
      <c r="FD139" s="103" t="str">
        <f t="shared" si="2359"/>
        <v/>
      </c>
      <c r="FE139" s="103" t="str">
        <f t="shared" si="2359"/>
        <v/>
      </c>
      <c r="FF139" s="103" t="str">
        <f t="shared" si="2359"/>
        <v/>
      </c>
      <c r="FG139" s="103" t="str">
        <f t="shared" si="2359"/>
        <v/>
      </c>
      <c r="FH139" s="103" t="str">
        <f t="shared" si="2359"/>
        <v/>
      </c>
      <c r="FI139" s="103" t="str">
        <f t="shared" si="2359"/>
        <v/>
      </c>
      <c r="FJ139" s="103" t="str">
        <f t="shared" si="2359"/>
        <v/>
      </c>
      <c r="FK139" s="103" t="str">
        <f t="shared" si="2359"/>
        <v/>
      </c>
      <c r="FL139" s="103" t="str">
        <f t="shared" si="2359"/>
        <v/>
      </c>
      <c r="FM139" s="103" t="str">
        <f t="shared" si="2359"/>
        <v/>
      </c>
      <c r="FN139" s="103" t="str">
        <f t="shared" ref="FN139:FS139" si="2360">IF(CH139="","","|n"&amp;FN$2&amp;"+"&amp;CH139&amp;FN$1)</f>
        <v/>
      </c>
      <c r="FO139" s="103" t="str">
        <f t="shared" si="2360"/>
        <v/>
      </c>
      <c r="FP139" s="103" t="str">
        <f t="shared" si="2360"/>
        <v/>
      </c>
      <c r="FQ139" s="103" t="str">
        <f t="shared" si="2360"/>
        <v/>
      </c>
      <c r="FR139" s="103" t="str">
        <f t="shared" si="2360"/>
        <v/>
      </c>
      <c r="FS139" s="103" t="str">
        <f t="shared" si="2360"/>
        <v/>
      </c>
    </row>
    <row r="140" spans="1:175" s="37" customFormat="1" ht="16.5">
      <c r="A140" s="5"/>
      <c r="B140" s="5" t="s">
        <v>532</v>
      </c>
      <c r="C140" s="90" t="s">
        <v>533</v>
      </c>
      <c r="D140" s="70"/>
      <c r="E140" s="70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78"/>
      <c r="Q140" s="78"/>
      <c r="R140" s="78"/>
      <c r="S140" s="78"/>
      <c r="T140" s="37" t="s">
        <v>534</v>
      </c>
      <c r="U140" s="56" t="str">
        <f t="shared" si="2356"/>
        <v>ReplaceableTextures\\CommandButtons\\BTNIN22.blp</v>
      </c>
      <c r="V140" s="96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/>
      <c r="AP140" s="97"/>
      <c r="AQ140" s="97"/>
      <c r="AR140" s="101"/>
      <c r="AS140" s="101"/>
      <c r="AT140" s="97"/>
      <c r="AU140" s="97"/>
      <c r="AV140" s="97"/>
      <c r="AW140" s="97"/>
      <c r="AX140" s="97"/>
      <c r="AY140" s="97"/>
      <c r="AZ140" s="97"/>
      <c r="BA140" s="97"/>
      <c r="BB140" s="97"/>
      <c r="BC140" s="97"/>
      <c r="BD140" s="97"/>
      <c r="BE140" s="97"/>
      <c r="BF140" s="97"/>
      <c r="BG140" s="97"/>
      <c r="BH140" s="97"/>
      <c r="BI140" s="97"/>
      <c r="BJ140" s="97"/>
      <c r="BK140" s="97"/>
      <c r="BL140" s="97"/>
      <c r="BM140" s="97"/>
      <c r="BN140" s="97"/>
      <c r="BO140" s="97"/>
      <c r="BP140" s="97"/>
      <c r="BQ140" s="97"/>
      <c r="BR140" s="97"/>
      <c r="BS140" s="97"/>
      <c r="BT140" s="97"/>
      <c r="BU140" s="97"/>
      <c r="BV140" s="97"/>
      <c r="BW140" s="97"/>
      <c r="BX140" s="97"/>
      <c r="BY140" s="97"/>
      <c r="BZ140" s="97"/>
      <c r="CA140" s="97"/>
      <c r="CB140" s="97"/>
      <c r="CC140" s="97"/>
      <c r="CD140" s="97"/>
      <c r="CE140" s="97"/>
      <c r="CF140" s="97"/>
      <c r="CG140" s="97"/>
      <c r="CH140" s="97"/>
      <c r="CI140" s="97"/>
      <c r="CJ140" s="97"/>
      <c r="CK140" s="97"/>
      <c r="CL140" s="97"/>
      <c r="CM140" s="97"/>
      <c r="CN140" s="102" t="str">
        <f t="shared" si="2063"/>
        <v>InitUnitState('IN22',,,,,,,,,,)</v>
      </c>
      <c r="CO140" s="102" t="str">
        <f t="shared" si="2064"/>
        <v>InitUnitNormal('IN22',,,,,,,,,,)</v>
      </c>
      <c r="CP140" s="102" t="str">
        <f t="shared" si="2065"/>
        <v>InitUnitMagic('IN22',,,,,,,,,,)</v>
      </c>
      <c r="CQ140" s="102" t="str">
        <f t="shared" si="2066"/>
        <v>InitUnitAdd('IN22',,,,,,,,,,)</v>
      </c>
      <c r="CR140" s="102" t="str">
        <f t="shared" ref="CR140:CR149" si="2361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175&amp;CR$1&amp;")"</f>
        <v>InitEquipData('IN22',,"",,,,,'','','','','','',"ReplaceableTextures\\CommandButtons\\BTNIZ01.blp")</v>
      </c>
      <c r="CS140" s="102"/>
      <c r="CT140" s="102"/>
      <c r="CU140" s="68" t="str">
        <f t="shared" si="2284"/>
        <v>|n</v>
      </c>
      <c r="CV140" s="37" t="str">
        <f t="shared" si="2285"/>
        <v>使用后|Cffffd24d5|r分钟内|Cffffd24d不使用任何主动技能/药水|r，获得|Cffffd24d1|r个|Cffff0000附魔宝箱|r</v>
      </c>
      <c r="CW140" s="7"/>
      <c r="CX140" s="7"/>
      <c r="CY140" s="7"/>
      <c r="CZ140" s="7"/>
      <c r="DA140" s="7"/>
      <c r="DB140" s="103" t="str">
        <f t="shared" ref="DB140:FM140" si="2362">IF(V140="","","|n"&amp;DB$2&amp;"+"&amp;V140&amp;DB$1)</f>
        <v/>
      </c>
      <c r="DC140" s="103" t="str">
        <f t="shared" si="2362"/>
        <v/>
      </c>
      <c r="DD140" s="103" t="str">
        <f t="shared" si="2362"/>
        <v/>
      </c>
      <c r="DE140" s="103" t="str">
        <f t="shared" si="2362"/>
        <v/>
      </c>
      <c r="DF140" s="103" t="str">
        <f t="shared" si="2362"/>
        <v/>
      </c>
      <c r="DG140" s="103" t="str">
        <f t="shared" si="2362"/>
        <v/>
      </c>
      <c r="DH140" s="103" t="str">
        <f t="shared" si="2362"/>
        <v/>
      </c>
      <c r="DI140" s="103" t="str">
        <f t="shared" si="2362"/>
        <v/>
      </c>
      <c r="DJ140" s="103" t="str">
        <f t="shared" si="2362"/>
        <v/>
      </c>
      <c r="DK140" s="103" t="str">
        <f t="shared" si="2362"/>
        <v/>
      </c>
      <c r="DL140" s="103" t="str">
        <f t="shared" si="2362"/>
        <v/>
      </c>
      <c r="DM140" s="103" t="str">
        <f t="shared" si="2362"/>
        <v/>
      </c>
      <c r="DN140" s="103" t="str">
        <f t="shared" si="2362"/>
        <v/>
      </c>
      <c r="DO140" s="103" t="str">
        <f t="shared" si="2362"/>
        <v/>
      </c>
      <c r="DP140" s="103" t="str">
        <f t="shared" si="2362"/>
        <v/>
      </c>
      <c r="DQ140" s="103" t="str">
        <f t="shared" si="2362"/>
        <v/>
      </c>
      <c r="DR140" s="103" t="str">
        <f t="shared" si="2362"/>
        <v/>
      </c>
      <c r="DS140" s="103" t="str">
        <f t="shared" si="2362"/>
        <v/>
      </c>
      <c r="DT140" s="103" t="str">
        <f t="shared" si="2362"/>
        <v/>
      </c>
      <c r="DU140" s="103" t="str">
        <f t="shared" si="2362"/>
        <v/>
      </c>
      <c r="DV140" s="103" t="str">
        <f t="shared" si="2362"/>
        <v/>
      </c>
      <c r="DW140" s="103" t="str">
        <f t="shared" si="2362"/>
        <v/>
      </c>
      <c r="DX140" s="103" t="str">
        <f t="shared" si="2362"/>
        <v/>
      </c>
      <c r="DY140" s="103" t="str">
        <f t="shared" si="2362"/>
        <v/>
      </c>
      <c r="DZ140" s="103" t="str">
        <f t="shared" si="2362"/>
        <v/>
      </c>
      <c r="EA140" s="103" t="str">
        <f t="shared" si="2362"/>
        <v/>
      </c>
      <c r="EB140" s="103" t="str">
        <f t="shared" si="2362"/>
        <v/>
      </c>
      <c r="EC140" s="103" t="str">
        <f t="shared" si="2362"/>
        <v/>
      </c>
      <c r="ED140" s="103" t="str">
        <f t="shared" si="2362"/>
        <v/>
      </c>
      <c r="EE140" s="103" t="str">
        <f t="shared" si="2362"/>
        <v/>
      </c>
      <c r="EF140" s="103" t="str">
        <f t="shared" si="2362"/>
        <v/>
      </c>
      <c r="EG140" s="103" t="str">
        <f t="shared" si="2362"/>
        <v/>
      </c>
      <c r="EH140" s="103" t="str">
        <f t="shared" si="2362"/>
        <v/>
      </c>
      <c r="EI140" s="103" t="str">
        <f t="shared" si="2362"/>
        <v/>
      </c>
      <c r="EJ140" s="103" t="str">
        <f t="shared" si="2362"/>
        <v/>
      </c>
      <c r="EK140" s="103" t="str">
        <f t="shared" si="2362"/>
        <v/>
      </c>
      <c r="EL140" s="103" t="str">
        <f t="shared" si="2362"/>
        <v/>
      </c>
      <c r="EM140" s="103" t="str">
        <f t="shared" si="2362"/>
        <v/>
      </c>
      <c r="EN140" s="103" t="str">
        <f t="shared" si="2362"/>
        <v/>
      </c>
      <c r="EO140" s="103" t="str">
        <f t="shared" si="2362"/>
        <v/>
      </c>
      <c r="EP140" s="103" t="str">
        <f t="shared" si="2362"/>
        <v/>
      </c>
      <c r="EQ140" s="103" t="str">
        <f t="shared" si="2362"/>
        <v/>
      </c>
      <c r="ER140" s="103" t="str">
        <f t="shared" si="2362"/>
        <v/>
      </c>
      <c r="ES140" s="103" t="str">
        <f t="shared" si="2362"/>
        <v/>
      </c>
      <c r="ET140" s="103" t="str">
        <f t="shared" si="2362"/>
        <v/>
      </c>
      <c r="EU140" s="103" t="str">
        <f t="shared" si="2362"/>
        <v/>
      </c>
      <c r="EV140" s="103" t="str">
        <f t="shared" si="2362"/>
        <v/>
      </c>
      <c r="EW140" s="103" t="str">
        <f t="shared" si="2362"/>
        <v/>
      </c>
      <c r="EX140" s="103" t="str">
        <f t="shared" si="2362"/>
        <v/>
      </c>
      <c r="EY140" s="103" t="str">
        <f t="shared" si="2362"/>
        <v/>
      </c>
      <c r="EZ140" s="103" t="str">
        <f t="shared" si="2362"/>
        <v/>
      </c>
      <c r="FA140" s="103" t="str">
        <f t="shared" si="2362"/>
        <v/>
      </c>
      <c r="FB140" s="103" t="str">
        <f t="shared" si="2362"/>
        <v/>
      </c>
      <c r="FC140" s="103" t="str">
        <f t="shared" si="2362"/>
        <v/>
      </c>
      <c r="FD140" s="103" t="str">
        <f t="shared" si="2362"/>
        <v/>
      </c>
      <c r="FE140" s="103" t="str">
        <f t="shared" si="2362"/>
        <v/>
      </c>
      <c r="FF140" s="103" t="str">
        <f t="shared" si="2362"/>
        <v/>
      </c>
      <c r="FG140" s="103" t="str">
        <f t="shared" si="2362"/>
        <v/>
      </c>
      <c r="FH140" s="103" t="str">
        <f t="shared" si="2362"/>
        <v/>
      </c>
      <c r="FI140" s="103" t="str">
        <f t="shared" si="2362"/>
        <v/>
      </c>
      <c r="FJ140" s="103" t="str">
        <f t="shared" si="2362"/>
        <v/>
      </c>
      <c r="FK140" s="103" t="str">
        <f t="shared" si="2362"/>
        <v/>
      </c>
      <c r="FL140" s="103" t="str">
        <f t="shared" si="2362"/>
        <v/>
      </c>
      <c r="FM140" s="103" t="str">
        <f t="shared" si="2362"/>
        <v/>
      </c>
      <c r="FN140" s="103" t="str">
        <f t="shared" ref="FN140:FS140" si="2363">IF(CH140="","","|n"&amp;FN$2&amp;"+"&amp;CH140&amp;FN$1)</f>
        <v/>
      </c>
      <c r="FO140" s="103" t="str">
        <f t="shared" si="2363"/>
        <v/>
      </c>
      <c r="FP140" s="103" t="str">
        <f t="shared" si="2363"/>
        <v/>
      </c>
      <c r="FQ140" s="103" t="str">
        <f t="shared" si="2363"/>
        <v/>
      </c>
      <c r="FR140" s="103" t="str">
        <f t="shared" si="2363"/>
        <v/>
      </c>
      <c r="FS140" s="103" t="str">
        <f t="shared" si="2363"/>
        <v/>
      </c>
    </row>
    <row r="141" spans="1:175" s="37" customFormat="1" ht="16.5">
      <c r="A141" s="5"/>
      <c r="B141" s="76" t="s">
        <v>535</v>
      </c>
      <c r="C141" s="88" t="s">
        <v>536</v>
      </c>
      <c r="D141" s="70"/>
      <c r="E141" s="70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78"/>
      <c r="Q141" s="78"/>
      <c r="R141" s="78"/>
      <c r="S141" s="78"/>
      <c r="T141" s="37" t="s">
        <v>537</v>
      </c>
      <c r="U141" s="56" t="str">
        <f t="shared" si="2356"/>
        <v>ReplaceableTextures\\CommandButtons\\BTNIN23.blp</v>
      </c>
      <c r="V141" s="96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/>
      <c r="AP141" s="97"/>
      <c r="AQ141" s="97"/>
      <c r="AR141" s="101"/>
      <c r="AS141" s="101"/>
      <c r="AT141" s="97"/>
      <c r="AU141" s="97"/>
      <c r="AV141" s="97"/>
      <c r="AW141" s="97"/>
      <c r="AX141" s="97"/>
      <c r="AY141" s="97"/>
      <c r="AZ141" s="97"/>
      <c r="BA141" s="97"/>
      <c r="BB141" s="97"/>
      <c r="BC141" s="97"/>
      <c r="BD141" s="97"/>
      <c r="BE141" s="97"/>
      <c r="BF141" s="97"/>
      <c r="BG141" s="97"/>
      <c r="BH141" s="97"/>
      <c r="BI141" s="97"/>
      <c r="BJ141" s="97"/>
      <c r="BK141" s="97"/>
      <c r="BL141" s="97"/>
      <c r="BM141" s="97"/>
      <c r="BN141" s="97"/>
      <c r="BO141" s="97"/>
      <c r="BP141" s="97"/>
      <c r="BQ141" s="97"/>
      <c r="BR141" s="97"/>
      <c r="BS141" s="97"/>
      <c r="BT141" s="97"/>
      <c r="BU141" s="97"/>
      <c r="BV141" s="97"/>
      <c r="BW141" s="97"/>
      <c r="BX141" s="97"/>
      <c r="BY141" s="97"/>
      <c r="BZ141" s="97"/>
      <c r="CA141" s="97"/>
      <c r="CB141" s="97"/>
      <c r="CC141" s="97"/>
      <c r="CD141" s="97"/>
      <c r="CE141" s="97"/>
      <c r="CF141" s="97"/>
      <c r="CG141" s="97"/>
      <c r="CH141" s="97"/>
      <c r="CI141" s="97"/>
      <c r="CJ141" s="97"/>
      <c r="CK141" s="97"/>
      <c r="CL141" s="97"/>
      <c r="CM141" s="97"/>
      <c r="CN141" s="102" t="str">
        <f t="shared" si="2063"/>
        <v>InitUnitState('IN23',,,,,,,,,,)</v>
      </c>
      <c r="CO141" s="102" t="str">
        <f t="shared" si="2064"/>
        <v>InitUnitNormal('IN23',,,,,,,,,,)</v>
      </c>
      <c r="CP141" s="102" t="str">
        <f t="shared" si="2065"/>
        <v>InitUnitMagic('IN23',,,,,,,,,,)</v>
      </c>
      <c r="CQ141" s="102" t="str">
        <f t="shared" si="2066"/>
        <v>InitUnitAdd('IN23',,,,,,,,,,)</v>
      </c>
      <c r="CR141" s="102" t="str">
        <f t="shared" si="2361"/>
        <v>InitEquipData('IN23',,"",,,,,'','','','','','',"ReplaceableTextures\\CommandButtons\\BTN001.blp")</v>
      </c>
      <c r="CS141" s="102"/>
      <c r="CT141" s="102"/>
      <c r="CU141" s="68" t="str">
        <f t="shared" si="2284"/>
        <v>|n</v>
      </c>
      <c r="CV141" s="37" t="str">
        <f t="shared" si="2285"/>
        <v>使用后|Cffffd24d5|r分钟内|Cffffd24d不进行任何挑战|r，获得|Cffffd24d1|r个|Cffff0000附魔宝箱|r</v>
      </c>
      <c r="CW141" s="7"/>
      <c r="CX141" s="7"/>
      <c r="CY141" s="7"/>
      <c r="CZ141" s="7"/>
      <c r="DA141" s="7"/>
      <c r="DB141" s="103" t="str">
        <f t="shared" ref="DB141:FM141" si="2364">IF(V141="","","|n"&amp;DB$2&amp;"+"&amp;V141&amp;DB$1)</f>
        <v/>
      </c>
      <c r="DC141" s="103" t="str">
        <f t="shared" si="2364"/>
        <v/>
      </c>
      <c r="DD141" s="103" t="str">
        <f t="shared" si="2364"/>
        <v/>
      </c>
      <c r="DE141" s="103" t="str">
        <f t="shared" si="2364"/>
        <v/>
      </c>
      <c r="DF141" s="103" t="str">
        <f t="shared" si="2364"/>
        <v/>
      </c>
      <c r="DG141" s="103" t="str">
        <f t="shared" si="2364"/>
        <v/>
      </c>
      <c r="DH141" s="103" t="str">
        <f t="shared" si="2364"/>
        <v/>
      </c>
      <c r="DI141" s="103" t="str">
        <f t="shared" si="2364"/>
        <v/>
      </c>
      <c r="DJ141" s="103" t="str">
        <f t="shared" si="2364"/>
        <v/>
      </c>
      <c r="DK141" s="103" t="str">
        <f t="shared" si="2364"/>
        <v/>
      </c>
      <c r="DL141" s="103" t="str">
        <f t="shared" si="2364"/>
        <v/>
      </c>
      <c r="DM141" s="103" t="str">
        <f t="shared" si="2364"/>
        <v/>
      </c>
      <c r="DN141" s="103" t="str">
        <f t="shared" si="2364"/>
        <v/>
      </c>
      <c r="DO141" s="103" t="str">
        <f t="shared" si="2364"/>
        <v/>
      </c>
      <c r="DP141" s="103" t="str">
        <f t="shared" si="2364"/>
        <v/>
      </c>
      <c r="DQ141" s="103" t="str">
        <f t="shared" si="2364"/>
        <v/>
      </c>
      <c r="DR141" s="103" t="str">
        <f t="shared" si="2364"/>
        <v/>
      </c>
      <c r="DS141" s="103" t="str">
        <f t="shared" si="2364"/>
        <v/>
      </c>
      <c r="DT141" s="103" t="str">
        <f t="shared" si="2364"/>
        <v/>
      </c>
      <c r="DU141" s="103" t="str">
        <f t="shared" si="2364"/>
        <v/>
      </c>
      <c r="DV141" s="103" t="str">
        <f t="shared" si="2364"/>
        <v/>
      </c>
      <c r="DW141" s="103" t="str">
        <f t="shared" si="2364"/>
        <v/>
      </c>
      <c r="DX141" s="103" t="str">
        <f t="shared" si="2364"/>
        <v/>
      </c>
      <c r="DY141" s="103" t="str">
        <f t="shared" si="2364"/>
        <v/>
      </c>
      <c r="DZ141" s="103" t="str">
        <f t="shared" si="2364"/>
        <v/>
      </c>
      <c r="EA141" s="103" t="str">
        <f t="shared" si="2364"/>
        <v/>
      </c>
      <c r="EB141" s="103" t="str">
        <f t="shared" si="2364"/>
        <v/>
      </c>
      <c r="EC141" s="103" t="str">
        <f t="shared" si="2364"/>
        <v/>
      </c>
      <c r="ED141" s="103" t="str">
        <f t="shared" si="2364"/>
        <v/>
      </c>
      <c r="EE141" s="103" t="str">
        <f t="shared" si="2364"/>
        <v/>
      </c>
      <c r="EF141" s="103" t="str">
        <f t="shared" si="2364"/>
        <v/>
      </c>
      <c r="EG141" s="103" t="str">
        <f t="shared" si="2364"/>
        <v/>
      </c>
      <c r="EH141" s="103" t="str">
        <f t="shared" si="2364"/>
        <v/>
      </c>
      <c r="EI141" s="103" t="str">
        <f t="shared" si="2364"/>
        <v/>
      </c>
      <c r="EJ141" s="103" t="str">
        <f t="shared" si="2364"/>
        <v/>
      </c>
      <c r="EK141" s="103" t="str">
        <f t="shared" si="2364"/>
        <v/>
      </c>
      <c r="EL141" s="103" t="str">
        <f t="shared" si="2364"/>
        <v/>
      </c>
      <c r="EM141" s="103" t="str">
        <f t="shared" si="2364"/>
        <v/>
      </c>
      <c r="EN141" s="103" t="str">
        <f t="shared" si="2364"/>
        <v/>
      </c>
      <c r="EO141" s="103" t="str">
        <f t="shared" si="2364"/>
        <v/>
      </c>
      <c r="EP141" s="103" t="str">
        <f t="shared" si="2364"/>
        <v/>
      </c>
      <c r="EQ141" s="103" t="str">
        <f t="shared" si="2364"/>
        <v/>
      </c>
      <c r="ER141" s="103" t="str">
        <f t="shared" si="2364"/>
        <v/>
      </c>
      <c r="ES141" s="103" t="str">
        <f t="shared" si="2364"/>
        <v/>
      </c>
      <c r="ET141" s="103" t="str">
        <f t="shared" si="2364"/>
        <v/>
      </c>
      <c r="EU141" s="103" t="str">
        <f t="shared" si="2364"/>
        <v/>
      </c>
      <c r="EV141" s="103" t="str">
        <f t="shared" si="2364"/>
        <v/>
      </c>
      <c r="EW141" s="103" t="str">
        <f t="shared" si="2364"/>
        <v/>
      </c>
      <c r="EX141" s="103" t="str">
        <f t="shared" si="2364"/>
        <v/>
      </c>
      <c r="EY141" s="103" t="str">
        <f t="shared" si="2364"/>
        <v/>
      </c>
      <c r="EZ141" s="103" t="str">
        <f t="shared" si="2364"/>
        <v/>
      </c>
      <c r="FA141" s="103" t="str">
        <f t="shared" si="2364"/>
        <v/>
      </c>
      <c r="FB141" s="103" t="str">
        <f t="shared" si="2364"/>
        <v/>
      </c>
      <c r="FC141" s="103" t="str">
        <f t="shared" si="2364"/>
        <v/>
      </c>
      <c r="FD141" s="103" t="str">
        <f t="shared" si="2364"/>
        <v/>
      </c>
      <c r="FE141" s="103" t="str">
        <f t="shared" si="2364"/>
        <v/>
      </c>
      <c r="FF141" s="103" t="str">
        <f t="shared" si="2364"/>
        <v/>
      </c>
      <c r="FG141" s="103" t="str">
        <f t="shared" si="2364"/>
        <v/>
      </c>
      <c r="FH141" s="103" t="str">
        <f t="shared" si="2364"/>
        <v/>
      </c>
      <c r="FI141" s="103" t="str">
        <f t="shared" si="2364"/>
        <v/>
      </c>
      <c r="FJ141" s="103" t="str">
        <f t="shared" si="2364"/>
        <v/>
      </c>
      <c r="FK141" s="103" t="str">
        <f t="shared" si="2364"/>
        <v/>
      </c>
      <c r="FL141" s="103" t="str">
        <f t="shared" si="2364"/>
        <v/>
      </c>
      <c r="FM141" s="103" t="str">
        <f t="shared" si="2364"/>
        <v/>
      </c>
      <c r="FN141" s="103" t="str">
        <f t="shared" ref="FN141:FS141" si="2365">IF(CH141="","","|n"&amp;FN$2&amp;"+"&amp;CH141&amp;FN$1)</f>
        <v/>
      </c>
      <c r="FO141" s="103" t="str">
        <f t="shared" si="2365"/>
        <v/>
      </c>
      <c r="FP141" s="103" t="str">
        <f t="shared" si="2365"/>
        <v/>
      </c>
      <c r="FQ141" s="103" t="str">
        <f t="shared" si="2365"/>
        <v/>
      </c>
      <c r="FR141" s="103" t="str">
        <f t="shared" si="2365"/>
        <v/>
      </c>
      <c r="FS141" s="103" t="str">
        <f t="shared" si="2365"/>
        <v/>
      </c>
    </row>
    <row r="142" spans="1:175" s="37" customFormat="1" ht="16.5">
      <c r="A142" s="5"/>
      <c r="B142" s="76" t="s">
        <v>538</v>
      </c>
      <c r="C142" s="88" t="s">
        <v>539</v>
      </c>
      <c r="D142" s="70"/>
      <c r="E142" s="70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78"/>
      <c r="Q142" s="78"/>
      <c r="R142" s="78"/>
      <c r="S142" s="78"/>
      <c r="T142" s="37" t="s">
        <v>540</v>
      </c>
      <c r="U142" s="56" t="str">
        <f t="shared" si="2356"/>
        <v>ReplaceableTextures\\CommandButtons\\BTNIN24.blp</v>
      </c>
      <c r="V142" s="96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/>
      <c r="AP142" s="97"/>
      <c r="AQ142" s="97"/>
      <c r="AR142" s="101"/>
      <c r="AS142" s="101"/>
      <c r="AT142" s="97"/>
      <c r="AU142" s="97"/>
      <c r="AV142" s="97"/>
      <c r="AW142" s="97"/>
      <c r="AX142" s="97"/>
      <c r="AY142" s="97"/>
      <c r="AZ142" s="97"/>
      <c r="BA142" s="97"/>
      <c r="BB142" s="97"/>
      <c r="BC142" s="97"/>
      <c r="BD142" s="97"/>
      <c r="BE142" s="97"/>
      <c r="BF142" s="97"/>
      <c r="BG142" s="97"/>
      <c r="BH142" s="97"/>
      <c r="BI142" s="97"/>
      <c r="BJ142" s="97"/>
      <c r="BK142" s="97"/>
      <c r="BL142" s="97"/>
      <c r="BM142" s="97"/>
      <c r="BN142" s="97"/>
      <c r="BO142" s="97"/>
      <c r="BP142" s="97"/>
      <c r="BQ142" s="97"/>
      <c r="BR142" s="97"/>
      <c r="BS142" s="97"/>
      <c r="BT142" s="97"/>
      <c r="BU142" s="97"/>
      <c r="BV142" s="97"/>
      <c r="BW142" s="97"/>
      <c r="BX142" s="97"/>
      <c r="BY142" s="97"/>
      <c r="BZ142" s="97"/>
      <c r="CA142" s="97"/>
      <c r="CB142" s="97"/>
      <c r="CC142" s="97"/>
      <c r="CD142" s="97"/>
      <c r="CE142" s="97"/>
      <c r="CF142" s="97"/>
      <c r="CG142" s="97"/>
      <c r="CH142" s="97"/>
      <c r="CI142" s="97"/>
      <c r="CJ142" s="97"/>
      <c r="CK142" s="97"/>
      <c r="CL142" s="97"/>
      <c r="CM142" s="97"/>
      <c r="CN142" s="102" t="str">
        <f t="shared" si="2063"/>
        <v>InitUnitState('IN24',,,,,,,,,,)</v>
      </c>
      <c r="CO142" s="102" t="str">
        <f t="shared" si="2064"/>
        <v>InitUnitNormal('IN24',,,,,,,,,,)</v>
      </c>
      <c r="CP142" s="102" t="str">
        <f t="shared" si="2065"/>
        <v>InitUnitMagic('IN24',,,,,,,,,,)</v>
      </c>
      <c r="CQ142" s="102" t="str">
        <f t="shared" si="2066"/>
        <v>InitUnitAdd('IN24',,,,,,,,,,)</v>
      </c>
      <c r="CR142" s="102" t="str">
        <f t="shared" si="2361"/>
        <v>InitEquipData('IN24',,"",,,,,'','','','','','',"ReplaceableTextures\\CommandButtons\\BTN002.blp")</v>
      </c>
      <c r="CS142" s="102"/>
      <c r="CT142" s="102"/>
      <c r="CU142" s="68" t="str">
        <f t="shared" si="2284"/>
        <v>|n</v>
      </c>
      <c r="CV142" s="37" t="str">
        <f t="shared" si="2285"/>
        <v>使用后|Cffffd24d5|r分钟内|Cffffd24d不使用轻功|r，获得|Cffffd24d1|r个|Cffff0000附魔宝箱|r</v>
      </c>
      <c r="CW142" s="7"/>
      <c r="CX142" s="7"/>
      <c r="CY142" s="7"/>
      <c r="CZ142" s="7"/>
      <c r="DA142" s="7"/>
      <c r="DB142" s="103" t="str">
        <f t="shared" ref="DB142:FM142" si="2366">IF(V142="","","|n"&amp;DB$2&amp;"+"&amp;V142&amp;DB$1)</f>
        <v/>
      </c>
      <c r="DC142" s="103" t="str">
        <f t="shared" si="2366"/>
        <v/>
      </c>
      <c r="DD142" s="103" t="str">
        <f t="shared" si="2366"/>
        <v/>
      </c>
      <c r="DE142" s="103" t="str">
        <f t="shared" si="2366"/>
        <v/>
      </c>
      <c r="DF142" s="103" t="str">
        <f t="shared" si="2366"/>
        <v/>
      </c>
      <c r="DG142" s="103" t="str">
        <f t="shared" si="2366"/>
        <v/>
      </c>
      <c r="DH142" s="103" t="str">
        <f t="shared" si="2366"/>
        <v/>
      </c>
      <c r="DI142" s="103" t="str">
        <f t="shared" si="2366"/>
        <v/>
      </c>
      <c r="DJ142" s="103" t="str">
        <f t="shared" si="2366"/>
        <v/>
      </c>
      <c r="DK142" s="103" t="str">
        <f t="shared" si="2366"/>
        <v/>
      </c>
      <c r="DL142" s="103" t="str">
        <f t="shared" si="2366"/>
        <v/>
      </c>
      <c r="DM142" s="103" t="str">
        <f t="shared" si="2366"/>
        <v/>
      </c>
      <c r="DN142" s="103" t="str">
        <f t="shared" si="2366"/>
        <v/>
      </c>
      <c r="DO142" s="103" t="str">
        <f t="shared" si="2366"/>
        <v/>
      </c>
      <c r="DP142" s="103" t="str">
        <f t="shared" si="2366"/>
        <v/>
      </c>
      <c r="DQ142" s="103" t="str">
        <f t="shared" si="2366"/>
        <v/>
      </c>
      <c r="DR142" s="103" t="str">
        <f t="shared" si="2366"/>
        <v/>
      </c>
      <c r="DS142" s="103" t="str">
        <f t="shared" si="2366"/>
        <v/>
      </c>
      <c r="DT142" s="103" t="str">
        <f t="shared" si="2366"/>
        <v/>
      </c>
      <c r="DU142" s="103" t="str">
        <f t="shared" si="2366"/>
        <v/>
      </c>
      <c r="DV142" s="103" t="str">
        <f t="shared" si="2366"/>
        <v/>
      </c>
      <c r="DW142" s="103" t="str">
        <f t="shared" si="2366"/>
        <v/>
      </c>
      <c r="DX142" s="103" t="str">
        <f t="shared" si="2366"/>
        <v/>
      </c>
      <c r="DY142" s="103" t="str">
        <f t="shared" si="2366"/>
        <v/>
      </c>
      <c r="DZ142" s="103" t="str">
        <f t="shared" si="2366"/>
        <v/>
      </c>
      <c r="EA142" s="103" t="str">
        <f t="shared" si="2366"/>
        <v/>
      </c>
      <c r="EB142" s="103" t="str">
        <f t="shared" si="2366"/>
        <v/>
      </c>
      <c r="EC142" s="103" t="str">
        <f t="shared" si="2366"/>
        <v/>
      </c>
      <c r="ED142" s="103" t="str">
        <f t="shared" si="2366"/>
        <v/>
      </c>
      <c r="EE142" s="103" t="str">
        <f t="shared" si="2366"/>
        <v/>
      </c>
      <c r="EF142" s="103" t="str">
        <f t="shared" si="2366"/>
        <v/>
      </c>
      <c r="EG142" s="103" t="str">
        <f t="shared" si="2366"/>
        <v/>
      </c>
      <c r="EH142" s="103" t="str">
        <f t="shared" si="2366"/>
        <v/>
      </c>
      <c r="EI142" s="103" t="str">
        <f t="shared" si="2366"/>
        <v/>
      </c>
      <c r="EJ142" s="103" t="str">
        <f t="shared" si="2366"/>
        <v/>
      </c>
      <c r="EK142" s="103" t="str">
        <f t="shared" si="2366"/>
        <v/>
      </c>
      <c r="EL142" s="103" t="str">
        <f t="shared" si="2366"/>
        <v/>
      </c>
      <c r="EM142" s="103" t="str">
        <f t="shared" si="2366"/>
        <v/>
      </c>
      <c r="EN142" s="103" t="str">
        <f t="shared" si="2366"/>
        <v/>
      </c>
      <c r="EO142" s="103" t="str">
        <f t="shared" si="2366"/>
        <v/>
      </c>
      <c r="EP142" s="103" t="str">
        <f t="shared" si="2366"/>
        <v/>
      </c>
      <c r="EQ142" s="103" t="str">
        <f t="shared" si="2366"/>
        <v/>
      </c>
      <c r="ER142" s="103" t="str">
        <f t="shared" si="2366"/>
        <v/>
      </c>
      <c r="ES142" s="103" t="str">
        <f t="shared" si="2366"/>
        <v/>
      </c>
      <c r="ET142" s="103" t="str">
        <f t="shared" si="2366"/>
        <v/>
      </c>
      <c r="EU142" s="103" t="str">
        <f t="shared" si="2366"/>
        <v/>
      </c>
      <c r="EV142" s="103" t="str">
        <f t="shared" si="2366"/>
        <v/>
      </c>
      <c r="EW142" s="103" t="str">
        <f t="shared" si="2366"/>
        <v/>
      </c>
      <c r="EX142" s="103" t="str">
        <f t="shared" si="2366"/>
        <v/>
      </c>
      <c r="EY142" s="103" t="str">
        <f t="shared" si="2366"/>
        <v/>
      </c>
      <c r="EZ142" s="103" t="str">
        <f t="shared" si="2366"/>
        <v/>
      </c>
      <c r="FA142" s="103" t="str">
        <f t="shared" si="2366"/>
        <v/>
      </c>
      <c r="FB142" s="103" t="str">
        <f t="shared" si="2366"/>
        <v/>
      </c>
      <c r="FC142" s="103" t="str">
        <f t="shared" si="2366"/>
        <v/>
      </c>
      <c r="FD142" s="103" t="str">
        <f t="shared" si="2366"/>
        <v/>
      </c>
      <c r="FE142" s="103" t="str">
        <f t="shared" si="2366"/>
        <v/>
      </c>
      <c r="FF142" s="103" t="str">
        <f t="shared" si="2366"/>
        <v/>
      </c>
      <c r="FG142" s="103" t="str">
        <f t="shared" si="2366"/>
        <v/>
      </c>
      <c r="FH142" s="103" t="str">
        <f t="shared" si="2366"/>
        <v/>
      </c>
      <c r="FI142" s="103" t="str">
        <f t="shared" si="2366"/>
        <v/>
      </c>
      <c r="FJ142" s="103" t="str">
        <f t="shared" si="2366"/>
        <v/>
      </c>
      <c r="FK142" s="103" t="str">
        <f t="shared" si="2366"/>
        <v/>
      </c>
      <c r="FL142" s="103" t="str">
        <f t="shared" si="2366"/>
        <v/>
      </c>
      <c r="FM142" s="103" t="str">
        <f t="shared" si="2366"/>
        <v/>
      </c>
      <c r="FN142" s="103" t="str">
        <f t="shared" ref="FN142:FS142" si="2367">IF(CH142="","","|n"&amp;FN$2&amp;"+"&amp;CH142&amp;FN$1)</f>
        <v/>
      </c>
      <c r="FO142" s="103" t="str">
        <f t="shared" si="2367"/>
        <v/>
      </c>
      <c r="FP142" s="103" t="str">
        <f t="shared" si="2367"/>
        <v/>
      </c>
      <c r="FQ142" s="103" t="str">
        <f t="shared" si="2367"/>
        <v/>
      </c>
      <c r="FR142" s="103" t="str">
        <f t="shared" si="2367"/>
        <v/>
      </c>
      <c r="FS142" s="103" t="str">
        <f t="shared" si="2367"/>
        <v/>
      </c>
    </row>
    <row r="143" spans="1:175" s="37" customFormat="1" ht="16.5">
      <c r="A143" s="5"/>
      <c r="B143" s="91" t="s">
        <v>541</v>
      </c>
      <c r="C143" s="90" t="s">
        <v>542</v>
      </c>
      <c r="D143" s="70"/>
      <c r="E143" s="70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78"/>
      <c r="Q143" s="78"/>
      <c r="R143" s="78"/>
      <c r="S143" s="78"/>
      <c r="T143" s="37" t="s">
        <v>521</v>
      </c>
      <c r="U143" s="56" t="s">
        <v>543</v>
      </c>
      <c r="V143" s="96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/>
      <c r="AP143" s="97"/>
      <c r="AQ143" s="97"/>
      <c r="AR143" s="101"/>
      <c r="AS143" s="101"/>
      <c r="AT143" s="97"/>
      <c r="AU143" s="97"/>
      <c r="AV143" s="97"/>
      <c r="AW143" s="97"/>
      <c r="AX143" s="97"/>
      <c r="AY143" s="97"/>
      <c r="AZ143" s="97"/>
      <c r="BA143" s="97"/>
      <c r="BB143" s="97"/>
      <c r="BC143" s="97"/>
      <c r="BD143" s="97"/>
      <c r="BE143" s="97"/>
      <c r="BF143" s="97"/>
      <c r="BG143" s="97"/>
      <c r="BH143" s="97"/>
      <c r="BI143" s="97"/>
      <c r="BJ143" s="97"/>
      <c r="BK143" s="97"/>
      <c r="BL143" s="97"/>
      <c r="BM143" s="97"/>
      <c r="BN143" s="97"/>
      <c r="BO143" s="97"/>
      <c r="BP143" s="97"/>
      <c r="BQ143" s="97"/>
      <c r="BR143" s="97"/>
      <c r="BS143" s="97"/>
      <c r="BT143" s="97"/>
      <c r="BU143" s="97"/>
      <c r="BV143" s="97"/>
      <c r="BW143" s="97"/>
      <c r="BX143" s="97"/>
      <c r="BY143" s="97"/>
      <c r="BZ143" s="97"/>
      <c r="CA143" s="97"/>
      <c r="CB143" s="97"/>
      <c r="CC143" s="97"/>
      <c r="CD143" s="97"/>
      <c r="CE143" s="97"/>
      <c r="CF143" s="97"/>
      <c r="CG143" s="97"/>
      <c r="CH143" s="97"/>
      <c r="CI143" s="97"/>
      <c r="CJ143" s="97"/>
      <c r="CK143" s="97"/>
      <c r="CL143" s="97"/>
      <c r="CM143" s="97"/>
      <c r="CN143" s="102" t="str">
        <f t="shared" si="2063"/>
        <v>InitUnitState('IN25',,,,,,,,,,)</v>
      </c>
      <c r="CO143" s="102" t="str">
        <f t="shared" si="2064"/>
        <v>InitUnitNormal('IN25',,,,,,,,,,)</v>
      </c>
      <c r="CP143" s="102" t="str">
        <f t="shared" si="2065"/>
        <v>InitUnitMagic('IN25',,,,,,,,,,)</v>
      </c>
      <c r="CQ143" s="102" t="str">
        <f t="shared" si="2066"/>
        <v>InitUnitAdd('IN25',,,,,,,,,,)</v>
      </c>
      <c r="CR143" s="102" t="str">
        <f t="shared" si="2361"/>
        <v>InitEquipData('IN25',,"",,,,,'','','','','','',"ReplaceableTextures\\CommandButtons\\BTN003.blp")</v>
      </c>
      <c r="CS143" s="102"/>
      <c r="CT143" s="102"/>
      <c r="CU143" s="68" t="str">
        <f t="shared" si="2284"/>
        <v>|n</v>
      </c>
      <c r="CV143" s="37" t="str">
        <f t="shared" si="2285"/>
        <v>|CffFFD24D30|r秒内增加|Cffffd24d30%|r金币加成</v>
      </c>
      <c r="CW143" s="7"/>
      <c r="CX143" s="7"/>
      <c r="CY143" s="7"/>
      <c r="CZ143" s="7"/>
      <c r="DA143" s="7"/>
      <c r="DB143" s="103" t="str">
        <f t="shared" ref="DB143:FM143" si="2368">IF(V143="","","|n"&amp;DB$2&amp;"+"&amp;V143&amp;DB$1)</f>
        <v/>
      </c>
      <c r="DC143" s="103" t="str">
        <f t="shared" si="2368"/>
        <v/>
      </c>
      <c r="DD143" s="103" t="str">
        <f t="shared" si="2368"/>
        <v/>
      </c>
      <c r="DE143" s="103" t="str">
        <f t="shared" si="2368"/>
        <v/>
      </c>
      <c r="DF143" s="103" t="str">
        <f t="shared" si="2368"/>
        <v/>
      </c>
      <c r="DG143" s="103" t="str">
        <f t="shared" si="2368"/>
        <v/>
      </c>
      <c r="DH143" s="103" t="str">
        <f t="shared" si="2368"/>
        <v/>
      </c>
      <c r="DI143" s="103" t="str">
        <f t="shared" si="2368"/>
        <v/>
      </c>
      <c r="DJ143" s="103" t="str">
        <f t="shared" si="2368"/>
        <v/>
      </c>
      <c r="DK143" s="103" t="str">
        <f t="shared" si="2368"/>
        <v/>
      </c>
      <c r="DL143" s="103" t="str">
        <f t="shared" si="2368"/>
        <v/>
      </c>
      <c r="DM143" s="103" t="str">
        <f t="shared" si="2368"/>
        <v/>
      </c>
      <c r="DN143" s="103" t="str">
        <f t="shared" si="2368"/>
        <v/>
      </c>
      <c r="DO143" s="103" t="str">
        <f t="shared" si="2368"/>
        <v/>
      </c>
      <c r="DP143" s="103" t="str">
        <f t="shared" si="2368"/>
        <v/>
      </c>
      <c r="DQ143" s="103" t="str">
        <f t="shared" si="2368"/>
        <v/>
      </c>
      <c r="DR143" s="103" t="str">
        <f t="shared" si="2368"/>
        <v/>
      </c>
      <c r="DS143" s="103" t="str">
        <f t="shared" si="2368"/>
        <v/>
      </c>
      <c r="DT143" s="103" t="str">
        <f t="shared" si="2368"/>
        <v/>
      </c>
      <c r="DU143" s="103" t="str">
        <f t="shared" si="2368"/>
        <v/>
      </c>
      <c r="DV143" s="103" t="str">
        <f t="shared" si="2368"/>
        <v/>
      </c>
      <c r="DW143" s="103" t="str">
        <f t="shared" si="2368"/>
        <v/>
      </c>
      <c r="DX143" s="103" t="str">
        <f t="shared" si="2368"/>
        <v/>
      </c>
      <c r="DY143" s="103" t="str">
        <f t="shared" si="2368"/>
        <v/>
      </c>
      <c r="DZ143" s="103" t="str">
        <f t="shared" si="2368"/>
        <v/>
      </c>
      <c r="EA143" s="103" t="str">
        <f t="shared" si="2368"/>
        <v/>
      </c>
      <c r="EB143" s="103" t="str">
        <f t="shared" si="2368"/>
        <v/>
      </c>
      <c r="EC143" s="103" t="str">
        <f t="shared" si="2368"/>
        <v/>
      </c>
      <c r="ED143" s="103" t="str">
        <f t="shared" si="2368"/>
        <v/>
      </c>
      <c r="EE143" s="103" t="str">
        <f t="shared" si="2368"/>
        <v/>
      </c>
      <c r="EF143" s="103" t="str">
        <f t="shared" si="2368"/>
        <v/>
      </c>
      <c r="EG143" s="103" t="str">
        <f t="shared" si="2368"/>
        <v/>
      </c>
      <c r="EH143" s="103" t="str">
        <f t="shared" si="2368"/>
        <v/>
      </c>
      <c r="EI143" s="103" t="str">
        <f t="shared" si="2368"/>
        <v/>
      </c>
      <c r="EJ143" s="103" t="str">
        <f t="shared" si="2368"/>
        <v/>
      </c>
      <c r="EK143" s="103" t="str">
        <f t="shared" si="2368"/>
        <v/>
      </c>
      <c r="EL143" s="103" t="str">
        <f t="shared" si="2368"/>
        <v/>
      </c>
      <c r="EM143" s="103" t="str">
        <f t="shared" si="2368"/>
        <v/>
      </c>
      <c r="EN143" s="103" t="str">
        <f t="shared" si="2368"/>
        <v/>
      </c>
      <c r="EO143" s="103" t="str">
        <f t="shared" si="2368"/>
        <v/>
      </c>
      <c r="EP143" s="103" t="str">
        <f t="shared" si="2368"/>
        <v/>
      </c>
      <c r="EQ143" s="103" t="str">
        <f t="shared" si="2368"/>
        <v/>
      </c>
      <c r="ER143" s="103" t="str">
        <f t="shared" si="2368"/>
        <v/>
      </c>
      <c r="ES143" s="103" t="str">
        <f t="shared" si="2368"/>
        <v/>
      </c>
      <c r="ET143" s="103" t="str">
        <f t="shared" si="2368"/>
        <v/>
      </c>
      <c r="EU143" s="103" t="str">
        <f t="shared" si="2368"/>
        <v/>
      </c>
      <c r="EV143" s="103" t="str">
        <f t="shared" si="2368"/>
        <v/>
      </c>
      <c r="EW143" s="103" t="str">
        <f t="shared" si="2368"/>
        <v/>
      </c>
      <c r="EX143" s="103" t="str">
        <f t="shared" si="2368"/>
        <v/>
      </c>
      <c r="EY143" s="103" t="str">
        <f t="shared" si="2368"/>
        <v/>
      </c>
      <c r="EZ143" s="103" t="str">
        <f t="shared" si="2368"/>
        <v/>
      </c>
      <c r="FA143" s="103" t="str">
        <f t="shared" si="2368"/>
        <v/>
      </c>
      <c r="FB143" s="103" t="str">
        <f t="shared" si="2368"/>
        <v/>
      </c>
      <c r="FC143" s="103" t="str">
        <f t="shared" si="2368"/>
        <v/>
      </c>
      <c r="FD143" s="103" t="str">
        <f t="shared" si="2368"/>
        <v/>
      </c>
      <c r="FE143" s="103" t="str">
        <f t="shared" si="2368"/>
        <v/>
      </c>
      <c r="FF143" s="103" t="str">
        <f t="shared" si="2368"/>
        <v/>
      </c>
      <c r="FG143" s="103" t="str">
        <f t="shared" si="2368"/>
        <v/>
      </c>
      <c r="FH143" s="103" t="str">
        <f t="shared" si="2368"/>
        <v/>
      </c>
      <c r="FI143" s="103" t="str">
        <f t="shared" si="2368"/>
        <v/>
      </c>
      <c r="FJ143" s="103" t="str">
        <f t="shared" si="2368"/>
        <v/>
      </c>
      <c r="FK143" s="103" t="str">
        <f t="shared" si="2368"/>
        <v/>
      </c>
      <c r="FL143" s="103" t="str">
        <f t="shared" si="2368"/>
        <v/>
      </c>
      <c r="FM143" s="103" t="str">
        <f t="shared" si="2368"/>
        <v/>
      </c>
      <c r="FN143" s="103" t="str">
        <f t="shared" ref="FN143:FS143" si="2369">IF(CH143="","","|n"&amp;FN$2&amp;"+"&amp;CH143&amp;FN$1)</f>
        <v/>
      </c>
      <c r="FO143" s="103" t="str">
        <f t="shared" si="2369"/>
        <v/>
      </c>
      <c r="FP143" s="103" t="str">
        <f t="shared" si="2369"/>
        <v/>
      </c>
      <c r="FQ143" s="103" t="str">
        <f t="shared" si="2369"/>
        <v/>
      </c>
      <c r="FR143" s="103" t="str">
        <f t="shared" si="2369"/>
        <v/>
      </c>
      <c r="FS143" s="103" t="str">
        <f t="shared" si="2369"/>
        <v/>
      </c>
    </row>
    <row r="144" spans="1:175" s="37" customFormat="1" ht="16.5">
      <c r="A144" s="5"/>
      <c r="B144" s="91" t="s">
        <v>544</v>
      </c>
      <c r="C144" s="90" t="s">
        <v>545</v>
      </c>
      <c r="D144" s="70"/>
      <c r="E144" s="70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78"/>
      <c r="Q144" s="78"/>
      <c r="R144" s="78"/>
      <c r="S144" s="78"/>
      <c r="T144" s="37" t="s">
        <v>524</v>
      </c>
      <c r="U144" s="56" t="s">
        <v>546</v>
      </c>
      <c r="V144" s="96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7"/>
      <c r="AL144" s="97"/>
      <c r="AM144" s="97"/>
      <c r="AN144" s="97"/>
      <c r="AO144" s="97"/>
      <c r="AP144" s="97"/>
      <c r="AQ144" s="97"/>
      <c r="AR144" s="101"/>
      <c r="AS144" s="101"/>
      <c r="AT144" s="97"/>
      <c r="AU144" s="97"/>
      <c r="AV144" s="97"/>
      <c r="AW144" s="97"/>
      <c r="AX144" s="97"/>
      <c r="AY144" s="97"/>
      <c r="AZ144" s="97"/>
      <c r="BA144" s="97"/>
      <c r="BB144" s="97"/>
      <c r="BC144" s="97"/>
      <c r="BD144" s="97"/>
      <c r="BE144" s="97"/>
      <c r="BF144" s="97"/>
      <c r="BG144" s="97"/>
      <c r="BH144" s="97"/>
      <c r="BI144" s="97"/>
      <c r="BJ144" s="97"/>
      <c r="BK144" s="97"/>
      <c r="BL144" s="97"/>
      <c r="BM144" s="97"/>
      <c r="BN144" s="97"/>
      <c r="BO144" s="97"/>
      <c r="BP144" s="97"/>
      <c r="BQ144" s="97"/>
      <c r="BR144" s="97"/>
      <c r="BS144" s="97"/>
      <c r="BT144" s="97"/>
      <c r="BU144" s="97"/>
      <c r="BV144" s="97"/>
      <c r="BW144" s="97"/>
      <c r="BX144" s="97"/>
      <c r="BY144" s="97"/>
      <c r="BZ144" s="97"/>
      <c r="CA144" s="97"/>
      <c r="CB144" s="97"/>
      <c r="CC144" s="97"/>
      <c r="CD144" s="97"/>
      <c r="CE144" s="97"/>
      <c r="CF144" s="97"/>
      <c r="CG144" s="97"/>
      <c r="CH144" s="97"/>
      <c r="CI144" s="97"/>
      <c r="CJ144" s="97"/>
      <c r="CK144" s="97"/>
      <c r="CL144" s="97"/>
      <c r="CM144" s="97"/>
      <c r="CN144" s="102" t="str">
        <f t="shared" si="2063"/>
        <v>InitUnitState('IN26',,,,,,,,,,)</v>
      </c>
      <c r="CO144" s="102" t="str">
        <f t="shared" si="2064"/>
        <v>InitUnitNormal('IN26',,,,,,,,,,)</v>
      </c>
      <c r="CP144" s="102" t="str">
        <f t="shared" si="2065"/>
        <v>InitUnitMagic('IN26',,,,,,,,,,)</v>
      </c>
      <c r="CQ144" s="102" t="str">
        <f t="shared" si="2066"/>
        <v>InitUnitAdd('IN26',,,,,,,,,,)</v>
      </c>
      <c r="CR144" s="102" t="str">
        <f t="shared" si="2361"/>
        <v>InitEquipData('IN26',,"",,,,,'','','','','','',"ReplaceableTextures\\CommandButtons\\BTNIN01.blp")</v>
      </c>
      <c r="CS144" s="102"/>
      <c r="CT144" s="102"/>
      <c r="CU144" s="68" t="str">
        <f t="shared" si="2284"/>
        <v>|n</v>
      </c>
      <c r="CV144" s="37" t="str">
        <f t="shared" si="2285"/>
        <v>使用后获得|Cffffc926随机类型技能附魔卷|r</v>
      </c>
      <c r="CW144" s="7"/>
      <c r="CX144" s="7"/>
      <c r="CY144" s="7"/>
      <c r="CZ144" s="7"/>
      <c r="DA144" s="7"/>
      <c r="DB144" s="103" t="str">
        <f t="shared" ref="DB144:FM144" si="2370">IF(V144="","","|n"&amp;DB$2&amp;"+"&amp;V144&amp;DB$1)</f>
        <v/>
      </c>
      <c r="DC144" s="103" t="str">
        <f t="shared" si="2370"/>
        <v/>
      </c>
      <c r="DD144" s="103" t="str">
        <f t="shared" si="2370"/>
        <v/>
      </c>
      <c r="DE144" s="103" t="str">
        <f t="shared" si="2370"/>
        <v/>
      </c>
      <c r="DF144" s="103" t="str">
        <f t="shared" si="2370"/>
        <v/>
      </c>
      <c r="DG144" s="103" t="str">
        <f t="shared" si="2370"/>
        <v/>
      </c>
      <c r="DH144" s="103" t="str">
        <f t="shared" si="2370"/>
        <v/>
      </c>
      <c r="DI144" s="103" t="str">
        <f t="shared" si="2370"/>
        <v/>
      </c>
      <c r="DJ144" s="103" t="str">
        <f t="shared" si="2370"/>
        <v/>
      </c>
      <c r="DK144" s="103" t="str">
        <f t="shared" si="2370"/>
        <v/>
      </c>
      <c r="DL144" s="103" t="str">
        <f t="shared" si="2370"/>
        <v/>
      </c>
      <c r="DM144" s="103" t="str">
        <f t="shared" si="2370"/>
        <v/>
      </c>
      <c r="DN144" s="103" t="str">
        <f t="shared" si="2370"/>
        <v/>
      </c>
      <c r="DO144" s="103" t="str">
        <f t="shared" si="2370"/>
        <v/>
      </c>
      <c r="DP144" s="103" t="str">
        <f t="shared" si="2370"/>
        <v/>
      </c>
      <c r="DQ144" s="103" t="str">
        <f t="shared" si="2370"/>
        <v/>
      </c>
      <c r="DR144" s="103" t="str">
        <f t="shared" si="2370"/>
        <v/>
      </c>
      <c r="DS144" s="103" t="str">
        <f t="shared" si="2370"/>
        <v/>
      </c>
      <c r="DT144" s="103" t="str">
        <f t="shared" si="2370"/>
        <v/>
      </c>
      <c r="DU144" s="103" t="str">
        <f t="shared" si="2370"/>
        <v/>
      </c>
      <c r="DV144" s="103" t="str">
        <f t="shared" si="2370"/>
        <v/>
      </c>
      <c r="DW144" s="103" t="str">
        <f t="shared" si="2370"/>
        <v/>
      </c>
      <c r="DX144" s="103" t="str">
        <f t="shared" si="2370"/>
        <v/>
      </c>
      <c r="DY144" s="103" t="str">
        <f t="shared" si="2370"/>
        <v/>
      </c>
      <c r="DZ144" s="103" t="str">
        <f t="shared" si="2370"/>
        <v/>
      </c>
      <c r="EA144" s="103" t="str">
        <f t="shared" si="2370"/>
        <v/>
      </c>
      <c r="EB144" s="103" t="str">
        <f t="shared" si="2370"/>
        <v/>
      </c>
      <c r="EC144" s="103" t="str">
        <f t="shared" si="2370"/>
        <v/>
      </c>
      <c r="ED144" s="103" t="str">
        <f t="shared" si="2370"/>
        <v/>
      </c>
      <c r="EE144" s="103" t="str">
        <f t="shared" si="2370"/>
        <v/>
      </c>
      <c r="EF144" s="103" t="str">
        <f t="shared" si="2370"/>
        <v/>
      </c>
      <c r="EG144" s="103" t="str">
        <f t="shared" si="2370"/>
        <v/>
      </c>
      <c r="EH144" s="103" t="str">
        <f t="shared" si="2370"/>
        <v/>
      </c>
      <c r="EI144" s="103" t="str">
        <f t="shared" si="2370"/>
        <v/>
      </c>
      <c r="EJ144" s="103" t="str">
        <f t="shared" si="2370"/>
        <v/>
      </c>
      <c r="EK144" s="103" t="str">
        <f t="shared" si="2370"/>
        <v/>
      </c>
      <c r="EL144" s="103" t="str">
        <f t="shared" si="2370"/>
        <v/>
      </c>
      <c r="EM144" s="103" t="str">
        <f t="shared" si="2370"/>
        <v/>
      </c>
      <c r="EN144" s="103" t="str">
        <f t="shared" si="2370"/>
        <v/>
      </c>
      <c r="EO144" s="103" t="str">
        <f t="shared" si="2370"/>
        <v/>
      </c>
      <c r="EP144" s="103" t="str">
        <f t="shared" si="2370"/>
        <v/>
      </c>
      <c r="EQ144" s="103" t="str">
        <f t="shared" si="2370"/>
        <v/>
      </c>
      <c r="ER144" s="103" t="str">
        <f t="shared" si="2370"/>
        <v/>
      </c>
      <c r="ES144" s="103" t="str">
        <f t="shared" si="2370"/>
        <v/>
      </c>
      <c r="ET144" s="103" t="str">
        <f t="shared" si="2370"/>
        <v/>
      </c>
      <c r="EU144" s="103" t="str">
        <f t="shared" si="2370"/>
        <v/>
      </c>
      <c r="EV144" s="103" t="str">
        <f t="shared" si="2370"/>
        <v/>
      </c>
      <c r="EW144" s="103" t="str">
        <f t="shared" si="2370"/>
        <v/>
      </c>
      <c r="EX144" s="103" t="str">
        <f t="shared" si="2370"/>
        <v/>
      </c>
      <c r="EY144" s="103" t="str">
        <f t="shared" si="2370"/>
        <v/>
      </c>
      <c r="EZ144" s="103" t="str">
        <f t="shared" si="2370"/>
        <v/>
      </c>
      <c r="FA144" s="103" t="str">
        <f t="shared" si="2370"/>
        <v/>
      </c>
      <c r="FB144" s="103" t="str">
        <f t="shared" si="2370"/>
        <v/>
      </c>
      <c r="FC144" s="103" t="str">
        <f t="shared" si="2370"/>
        <v/>
      </c>
      <c r="FD144" s="103" t="str">
        <f t="shared" si="2370"/>
        <v/>
      </c>
      <c r="FE144" s="103" t="str">
        <f t="shared" si="2370"/>
        <v/>
      </c>
      <c r="FF144" s="103" t="str">
        <f t="shared" si="2370"/>
        <v/>
      </c>
      <c r="FG144" s="103" t="str">
        <f t="shared" si="2370"/>
        <v/>
      </c>
      <c r="FH144" s="103" t="str">
        <f t="shared" si="2370"/>
        <v/>
      </c>
      <c r="FI144" s="103" t="str">
        <f t="shared" si="2370"/>
        <v/>
      </c>
      <c r="FJ144" s="103" t="str">
        <f t="shared" si="2370"/>
        <v/>
      </c>
      <c r="FK144" s="103" t="str">
        <f t="shared" si="2370"/>
        <v/>
      </c>
      <c r="FL144" s="103" t="str">
        <f t="shared" si="2370"/>
        <v/>
      </c>
      <c r="FM144" s="103" t="str">
        <f t="shared" si="2370"/>
        <v/>
      </c>
      <c r="FN144" s="103" t="str">
        <f t="shared" ref="FN144:FS144" si="2371">IF(CH144="","","|n"&amp;FN$2&amp;"+"&amp;CH144&amp;FN$1)</f>
        <v/>
      </c>
      <c r="FO144" s="103" t="str">
        <f t="shared" si="2371"/>
        <v/>
      </c>
      <c r="FP144" s="103" t="str">
        <f t="shared" si="2371"/>
        <v/>
      </c>
      <c r="FQ144" s="103" t="str">
        <f t="shared" si="2371"/>
        <v/>
      </c>
      <c r="FR144" s="103" t="str">
        <f t="shared" si="2371"/>
        <v/>
      </c>
      <c r="FS144" s="103" t="str">
        <f t="shared" si="2371"/>
        <v/>
      </c>
    </row>
    <row r="145" spans="1:175" s="37" customFormat="1" ht="16.5">
      <c r="A145" s="5"/>
      <c r="B145" s="91" t="s">
        <v>547</v>
      </c>
      <c r="C145" s="90" t="s">
        <v>548</v>
      </c>
      <c r="D145" s="70"/>
      <c r="E145" s="70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78"/>
      <c r="Q145" s="78"/>
      <c r="R145" s="78"/>
      <c r="S145" s="78"/>
      <c r="T145" s="37" t="s">
        <v>521</v>
      </c>
      <c r="U145" s="56" t="s">
        <v>549</v>
      </c>
      <c r="V145" s="96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/>
      <c r="AP145" s="97"/>
      <c r="AQ145" s="97"/>
      <c r="AR145" s="101"/>
      <c r="AS145" s="101"/>
      <c r="AT145" s="97"/>
      <c r="AU145" s="97"/>
      <c r="AV145" s="97"/>
      <c r="AW145" s="97"/>
      <c r="AX145" s="97"/>
      <c r="AY145" s="97"/>
      <c r="AZ145" s="97"/>
      <c r="BA145" s="97"/>
      <c r="BB145" s="97"/>
      <c r="BC145" s="97"/>
      <c r="BD145" s="97"/>
      <c r="BE145" s="97"/>
      <c r="BF145" s="97"/>
      <c r="BG145" s="97"/>
      <c r="BH145" s="97"/>
      <c r="BI145" s="97"/>
      <c r="BJ145" s="97"/>
      <c r="BK145" s="97"/>
      <c r="BL145" s="97"/>
      <c r="BM145" s="97"/>
      <c r="BN145" s="97"/>
      <c r="BO145" s="97"/>
      <c r="BP145" s="97"/>
      <c r="BQ145" s="97"/>
      <c r="BR145" s="97"/>
      <c r="BS145" s="97"/>
      <c r="BT145" s="97"/>
      <c r="BU145" s="97"/>
      <c r="BV145" s="97"/>
      <c r="BW145" s="97"/>
      <c r="BX145" s="97"/>
      <c r="BY145" s="97"/>
      <c r="BZ145" s="97"/>
      <c r="CA145" s="97"/>
      <c r="CB145" s="97"/>
      <c r="CC145" s="97"/>
      <c r="CD145" s="97"/>
      <c r="CE145" s="97"/>
      <c r="CF145" s="97"/>
      <c r="CG145" s="97"/>
      <c r="CH145" s="97"/>
      <c r="CI145" s="97"/>
      <c r="CJ145" s="97"/>
      <c r="CK145" s="97"/>
      <c r="CL145" s="97"/>
      <c r="CM145" s="97"/>
      <c r="CN145" s="102" t="str">
        <f t="shared" si="2063"/>
        <v>InitUnitState('IN27',,,,,,,,,,)</v>
      </c>
      <c r="CO145" s="102" t="str">
        <f t="shared" si="2064"/>
        <v>InitUnitNormal('IN27',,,,,,,,,,)</v>
      </c>
      <c r="CP145" s="102" t="str">
        <f t="shared" si="2065"/>
        <v>InitUnitMagic('IN27',,,,,,,,,,)</v>
      </c>
      <c r="CQ145" s="102" t="str">
        <f t="shared" si="2066"/>
        <v>InitUnitAdd('IN27',,,,,,,,,,)</v>
      </c>
      <c r="CR145" s="102" t="str">
        <f t="shared" si="2361"/>
        <v>InitEquipData('IN27',,"",,,,,'','','','','','',"ReplaceableTextures\\CommandButtons\\BTNIN02.blp")</v>
      </c>
      <c r="CS145" s="102"/>
      <c r="CT145" s="102"/>
      <c r="CU145" s="68" t="str">
        <f t="shared" si="2284"/>
        <v>|n</v>
      </c>
      <c r="CV145" s="37" t="str">
        <f t="shared" si="2285"/>
        <v>|CffFFD24D30|r秒内增加|Cffffd24d30%|r金币加成</v>
      </c>
      <c r="CW145" s="7"/>
      <c r="CX145" s="7"/>
      <c r="CY145" s="7"/>
      <c r="CZ145" s="7"/>
      <c r="DA145" s="7"/>
      <c r="DB145" s="103" t="str">
        <f t="shared" ref="DB145:FM145" si="2372">IF(V145="","","|n"&amp;DB$2&amp;"+"&amp;V145&amp;DB$1)</f>
        <v/>
      </c>
      <c r="DC145" s="103" t="str">
        <f t="shared" si="2372"/>
        <v/>
      </c>
      <c r="DD145" s="103" t="str">
        <f t="shared" si="2372"/>
        <v/>
      </c>
      <c r="DE145" s="103" t="str">
        <f t="shared" si="2372"/>
        <v/>
      </c>
      <c r="DF145" s="103" t="str">
        <f t="shared" si="2372"/>
        <v/>
      </c>
      <c r="DG145" s="103" t="str">
        <f t="shared" si="2372"/>
        <v/>
      </c>
      <c r="DH145" s="103" t="str">
        <f t="shared" si="2372"/>
        <v/>
      </c>
      <c r="DI145" s="103" t="str">
        <f t="shared" si="2372"/>
        <v/>
      </c>
      <c r="DJ145" s="103" t="str">
        <f t="shared" si="2372"/>
        <v/>
      </c>
      <c r="DK145" s="103" t="str">
        <f t="shared" si="2372"/>
        <v/>
      </c>
      <c r="DL145" s="103" t="str">
        <f t="shared" si="2372"/>
        <v/>
      </c>
      <c r="DM145" s="103" t="str">
        <f t="shared" si="2372"/>
        <v/>
      </c>
      <c r="DN145" s="103" t="str">
        <f t="shared" si="2372"/>
        <v/>
      </c>
      <c r="DO145" s="103" t="str">
        <f t="shared" si="2372"/>
        <v/>
      </c>
      <c r="DP145" s="103" t="str">
        <f t="shared" si="2372"/>
        <v/>
      </c>
      <c r="DQ145" s="103" t="str">
        <f t="shared" si="2372"/>
        <v/>
      </c>
      <c r="DR145" s="103" t="str">
        <f t="shared" si="2372"/>
        <v/>
      </c>
      <c r="DS145" s="103" t="str">
        <f t="shared" si="2372"/>
        <v/>
      </c>
      <c r="DT145" s="103" t="str">
        <f t="shared" si="2372"/>
        <v/>
      </c>
      <c r="DU145" s="103" t="str">
        <f t="shared" si="2372"/>
        <v/>
      </c>
      <c r="DV145" s="103" t="str">
        <f t="shared" si="2372"/>
        <v/>
      </c>
      <c r="DW145" s="103" t="str">
        <f t="shared" si="2372"/>
        <v/>
      </c>
      <c r="DX145" s="103" t="str">
        <f t="shared" si="2372"/>
        <v/>
      </c>
      <c r="DY145" s="103" t="str">
        <f t="shared" si="2372"/>
        <v/>
      </c>
      <c r="DZ145" s="103" t="str">
        <f t="shared" si="2372"/>
        <v/>
      </c>
      <c r="EA145" s="103" t="str">
        <f t="shared" si="2372"/>
        <v/>
      </c>
      <c r="EB145" s="103" t="str">
        <f t="shared" si="2372"/>
        <v/>
      </c>
      <c r="EC145" s="103" t="str">
        <f t="shared" si="2372"/>
        <v/>
      </c>
      <c r="ED145" s="103" t="str">
        <f t="shared" si="2372"/>
        <v/>
      </c>
      <c r="EE145" s="103" t="str">
        <f t="shared" si="2372"/>
        <v/>
      </c>
      <c r="EF145" s="103" t="str">
        <f t="shared" si="2372"/>
        <v/>
      </c>
      <c r="EG145" s="103" t="str">
        <f t="shared" si="2372"/>
        <v/>
      </c>
      <c r="EH145" s="103" t="str">
        <f t="shared" si="2372"/>
        <v/>
      </c>
      <c r="EI145" s="103" t="str">
        <f t="shared" si="2372"/>
        <v/>
      </c>
      <c r="EJ145" s="103" t="str">
        <f t="shared" si="2372"/>
        <v/>
      </c>
      <c r="EK145" s="103" t="str">
        <f t="shared" si="2372"/>
        <v/>
      </c>
      <c r="EL145" s="103" t="str">
        <f t="shared" si="2372"/>
        <v/>
      </c>
      <c r="EM145" s="103" t="str">
        <f t="shared" si="2372"/>
        <v/>
      </c>
      <c r="EN145" s="103" t="str">
        <f t="shared" si="2372"/>
        <v/>
      </c>
      <c r="EO145" s="103" t="str">
        <f t="shared" si="2372"/>
        <v/>
      </c>
      <c r="EP145" s="103" t="str">
        <f t="shared" si="2372"/>
        <v/>
      </c>
      <c r="EQ145" s="103" t="str">
        <f t="shared" si="2372"/>
        <v/>
      </c>
      <c r="ER145" s="103" t="str">
        <f t="shared" si="2372"/>
        <v/>
      </c>
      <c r="ES145" s="103" t="str">
        <f t="shared" si="2372"/>
        <v/>
      </c>
      <c r="ET145" s="103" t="str">
        <f t="shared" si="2372"/>
        <v/>
      </c>
      <c r="EU145" s="103" t="str">
        <f t="shared" si="2372"/>
        <v/>
      </c>
      <c r="EV145" s="103" t="str">
        <f t="shared" si="2372"/>
        <v/>
      </c>
      <c r="EW145" s="103" t="str">
        <f t="shared" si="2372"/>
        <v/>
      </c>
      <c r="EX145" s="103" t="str">
        <f t="shared" si="2372"/>
        <v/>
      </c>
      <c r="EY145" s="103" t="str">
        <f t="shared" si="2372"/>
        <v/>
      </c>
      <c r="EZ145" s="103" t="str">
        <f t="shared" si="2372"/>
        <v/>
      </c>
      <c r="FA145" s="103" t="str">
        <f t="shared" si="2372"/>
        <v/>
      </c>
      <c r="FB145" s="103" t="str">
        <f t="shared" si="2372"/>
        <v/>
      </c>
      <c r="FC145" s="103" t="str">
        <f t="shared" si="2372"/>
        <v/>
      </c>
      <c r="FD145" s="103" t="str">
        <f t="shared" si="2372"/>
        <v/>
      </c>
      <c r="FE145" s="103" t="str">
        <f t="shared" si="2372"/>
        <v/>
      </c>
      <c r="FF145" s="103" t="str">
        <f t="shared" si="2372"/>
        <v/>
      </c>
      <c r="FG145" s="103" t="str">
        <f t="shared" si="2372"/>
        <v/>
      </c>
      <c r="FH145" s="103" t="str">
        <f t="shared" si="2372"/>
        <v/>
      </c>
      <c r="FI145" s="103" t="str">
        <f t="shared" si="2372"/>
        <v/>
      </c>
      <c r="FJ145" s="103" t="str">
        <f t="shared" si="2372"/>
        <v/>
      </c>
      <c r="FK145" s="103" t="str">
        <f t="shared" si="2372"/>
        <v/>
      </c>
      <c r="FL145" s="103" t="str">
        <f t="shared" si="2372"/>
        <v/>
      </c>
      <c r="FM145" s="103" t="str">
        <f t="shared" si="2372"/>
        <v/>
      </c>
      <c r="FN145" s="103" t="str">
        <f t="shared" ref="FN145:FS145" si="2373">IF(CH145="","","|n"&amp;FN$2&amp;"+"&amp;CH145&amp;FN$1)</f>
        <v/>
      </c>
      <c r="FO145" s="103" t="str">
        <f t="shared" si="2373"/>
        <v/>
      </c>
      <c r="FP145" s="103" t="str">
        <f t="shared" si="2373"/>
        <v/>
      </c>
      <c r="FQ145" s="103" t="str">
        <f t="shared" si="2373"/>
        <v/>
      </c>
      <c r="FR145" s="103" t="str">
        <f t="shared" si="2373"/>
        <v/>
      </c>
      <c r="FS145" s="103" t="str">
        <f t="shared" si="2373"/>
        <v/>
      </c>
    </row>
    <row r="146" spans="1:175" s="37" customFormat="1" ht="16.5">
      <c r="A146" s="5"/>
      <c r="B146" s="91" t="s">
        <v>550</v>
      </c>
      <c r="C146" s="87" t="s">
        <v>551</v>
      </c>
      <c r="D146" s="70"/>
      <c r="E146" s="70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78"/>
      <c r="Q146" s="78"/>
      <c r="R146" s="78"/>
      <c r="S146" s="78"/>
      <c r="T146" s="37" t="s">
        <v>524</v>
      </c>
      <c r="U146" s="56" t="s">
        <v>552</v>
      </c>
      <c r="V146" s="96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7"/>
      <c r="AL146" s="97"/>
      <c r="AM146" s="97"/>
      <c r="AN146" s="97"/>
      <c r="AO146" s="97"/>
      <c r="AP146" s="97"/>
      <c r="AQ146" s="97"/>
      <c r="AR146" s="101"/>
      <c r="AS146" s="101"/>
      <c r="AT146" s="97"/>
      <c r="AU146" s="97"/>
      <c r="AV146" s="97"/>
      <c r="AW146" s="97"/>
      <c r="AX146" s="97"/>
      <c r="AY146" s="97"/>
      <c r="AZ146" s="97"/>
      <c r="BA146" s="97"/>
      <c r="BB146" s="97"/>
      <c r="BC146" s="97"/>
      <c r="BD146" s="97"/>
      <c r="BE146" s="97"/>
      <c r="BF146" s="97"/>
      <c r="BG146" s="97"/>
      <c r="BH146" s="97"/>
      <c r="BI146" s="97"/>
      <c r="BJ146" s="97"/>
      <c r="BK146" s="97"/>
      <c r="BL146" s="97"/>
      <c r="BM146" s="97"/>
      <c r="BN146" s="97"/>
      <c r="BO146" s="97"/>
      <c r="BP146" s="97"/>
      <c r="BQ146" s="97"/>
      <c r="BR146" s="97"/>
      <c r="BS146" s="97"/>
      <c r="BT146" s="97"/>
      <c r="BU146" s="97"/>
      <c r="BV146" s="97"/>
      <c r="BW146" s="97"/>
      <c r="BX146" s="97"/>
      <c r="BY146" s="97"/>
      <c r="BZ146" s="97"/>
      <c r="CA146" s="97"/>
      <c r="CB146" s="97"/>
      <c r="CC146" s="97"/>
      <c r="CD146" s="97"/>
      <c r="CE146" s="97"/>
      <c r="CF146" s="97"/>
      <c r="CG146" s="97"/>
      <c r="CH146" s="97"/>
      <c r="CI146" s="97"/>
      <c r="CJ146" s="97"/>
      <c r="CK146" s="97"/>
      <c r="CL146" s="97"/>
      <c r="CM146" s="97"/>
      <c r="CN146" s="102" t="str">
        <f t="shared" si="2063"/>
        <v>InitUnitState('IN28',,,,,,,,,,)</v>
      </c>
      <c r="CO146" s="102" t="str">
        <f t="shared" si="2064"/>
        <v>InitUnitNormal('IN28',,,,,,,,,,)</v>
      </c>
      <c r="CP146" s="102" t="str">
        <f t="shared" si="2065"/>
        <v>InitUnitMagic('IN28',,,,,,,,,,)</v>
      </c>
      <c r="CQ146" s="102" t="str">
        <f t="shared" si="2066"/>
        <v>InitUnitAdd('IN28',,,,,,,,,,)</v>
      </c>
      <c r="CR146" s="102" t="str">
        <f t="shared" si="2361"/>
        <v>InitEquipData('IN28',,"",,,,,'','','','','','',"ReplaceableTextures\\CommandButtons\\BTNIN03.blp")</v>
      </c>
      <c r="CS146" s="102"/>
      <c r="CT146" s="102"/>
      <c r="CU146" s="68" t="str">
        <f t="shared" si="2284"/>
        <v>|n</v>
      </c>
      <c r="CV146" s="37" t="str">
        <f t="shared" si="2285"/>
        <v>使用后获得|Cffffc926随机类型技能附魔卷|r</v>
      </c>
      <c r="CW146" s="7"/>
      <c r="CX146" s="7"/>
      <c r="CY146" s="7"/>
      <c r="CZ146" s="7"/>
      <c r="DA146" s="7"/>
      <c r="DB146" s="103" t="str">
        <f t="shared" ref="DB146:FM146" si="2374">IF(V146="","","|n"&amp;DB$2&amp;"+"&amp;V146&amp;DB$1)</f>
        <v/>
      </c>
      <c r="DC146" s="103" t="str">
        <f t="shared" si="2374"/>
        <v/>
      </c>
      <c r="DD146" s="103" t="str">
        <f t="shared" si="2374"/>
        <v/>
      </c>
      <c r="DE146" s="103" t="str">
        <f t="shared" si="2374"/>
        <v/>
      </c>
      <c r="DF146" s="103" t="str">
        <f t="shared" si="2374"/>
        <v/>
      </c>
      <c r="DG146" s="103" t="str">
        <f t="shared" si="2374"/>
        <v/>
      </c>
      <c r="DH146" s="103" t="str">
        <f t="shared" si="2374"/>
        <v/>
      </c>
      <c r="DI146" s="103" t="str">
        <f t="shared" si="2374"/>
        <v/>
      </c>
      <c r="DJ146" s="103" t="str">
        <f t="shared" si="2374"/>
        <v/>
      </c>
      <c r="DK146" s="103" t="str">
        <f t="shared" si="2374"/>
        <v/>
      </c>
      <c r="DL146" s="103" t="str">
        <f t="shared" si="2374"/>
        <v/>
      </c>
      <c r="DM146" s="103" t="str">
        <f t="shared" si="2374"/>
        <v/>
      </c>
      <c r="DN146" s="103" t="str">
        <f t="shared" si="2374"/>
        <v/>
      </c>
      <c r="DO146" s="103" t="str">
        <f t="shared" si="2374"/>
        <v/>
      </c>
      <c r="DP146" s="103" t="str">
        <f t="shared" si="2374"/>
        <v/>
      </c>
      <c r="DQ146" s="103" t="str">
        <f t="shared" si="2374"/>
        <v/>
      </c>
      <c r="DR146" s="103" t="str">
        <f t="shared" si="2374"/>
        <v/>
      </c>
      <c r="DS146" s="103" t="str">
        <f t="shared" si="2374"/>
        <v/>
      </c>
      <c r="DT146" s="103" t="str">
        <f t="shared" si="2374"/>
        <v/>
      </c>
      <c r="DU146" s="103" t="str">
        <f t="shared" si="2374"/>
        <v/>
      </c>
      <c r="DV146" s="103" t="str">
        <f t="shared" si="2374"/>
        <v/>
      </c>
      <c r="DW146" s="103" t="str">
        <f t="shared" si="2374"/>
        <v/>
      </c>
      <c r="DX146" s="103" t="str">
        <f t="shared" si="2374"/>
        <v/>
      </c>
      <c r="DY146" s="103" t="str">
        <f t="shared" si="2374"/>
        <v/>
      </c>
      <c r="DZ146" s="103" t="str">
        <f t="shared" si="2374"/>
        <v/>
      </c>
      <c r="EA146" s="103" t="str">
        <f t="shared" si="2374"/>
        <v/>
      </c>
      <c r="EB146" s="103" t="str">
        <f t="shared" si="2374"/>
        <v/>
      </c>
      <c r="EC146" s="103" t="str">
        <f t="shared" si="2374"/>
        <v/>
      </c>
      <c r="ED146" s="103" t="str">
        <f t="shared" si="2374"/>
        <v/>
      </c>
      <c r="EE146" s="103" t="str">
        <f t="shared" si="2374"/>
        <v/>
      </c>
      <c r="EF146" s="103" t="str">
        <f t="shared" si="2374"/>
        <v/>
      </c>
      <c r="EG146" s="103" t="str">
        <f t="shared" si="2374"/>
        <v/>
      </c>
      <c r="EH146" s="103" t="str">
        <f t="shared" si="2374"/>
        <v/>
      </c>
      <c r="EI146" s="103" t="str">
        <f t="shared" si="2374"/>
        <v/>
      </c>
      <c r="EJ146" s="103" t="str">
        <f t="shared" si="2374"/>
        <v/>
      </c>
      <c r="EK146" s="103" t="str">
        <f t="shared" si="2374"/>
        <v/>
      </c>
      <c r="EL146" s="103" t="str">
        <f t="shared" si="2374"/>
        <v/>
      </c>
      <c r="EM146" s="103" t="str">
        <f t="shared" si="2374"/>
        <v/>
      </c>
      <c r="EN146" s="103" t="str">
        <f t="shared" si="2374"/>
        <v/>
      </c>
      <c r="EO146" s="103" t="str">
        <f t="shared" si="2374"/>
        <v/>
      </c>
      <c r="EP146" s="103" t="str">
        <f t="shared" si="2374"/>
        <v/>
      </c>
      <c r="EQ146" s="103" t="str">
        <f t="shared" si="2374"/>
        <v/>
      </c>
      <c r="ER146" s="103" t="str">
        <f t="shared" si="2374"/>
        <v/>
      </c>
      <c r="ES146" s="103" t="str">
        <f t="shared" si="2374"/>
        <v/>
      </c>
      <c r="ET146" s="103" t="str">
        <f t="shared" si="2374"/>
        <v/>
      </c>
      <c r="EU146" s="103" t="str">
        <f t="shared" si="2374"/>
        <v/>
      </c>
      <c r="EV146" s="103" t="str">
        <f t="shared" si="2374"/>
        <v/>
      </c>
      <c r="EW146" s="103" t="str">
        <f t="shared" si="2374"/>
        <v/>
      </c>
      <c r="EX146" s="103" t="str">
        <f t="shared" si="2374"/>
        <v/>
      </c>
      <c r="EY146" s="103" t="str">
        <f t="shared" si="2374"/>
        <v/>
      </c>
      <c r="EZ146" s="103" t="str">
        <f t="shared" si="2374"/>
        <v/>
      </c>
      <c r="FA146" s="103" t="str">
        <f t="shared" si="2374"/>
        <v/>
      </c>
      <c r="FB146" s="103" t="str">
        <f t="shared" si="2374"/>
        <v/>
      </c>
      <c r="FC146" s="103" t="str">
        <f t="shared" si="2374"/>
        <v/>
      </c>
      <c r="FD146" s="103" t="str">
        <f t="shared" si="2374"/>
        <v/>
      </c>
      <c r="FE146" s="103" t="str">
        <f t="shared" si="2374"/>
        <v/>
      </c>
      <c r="FF146" s="103" t="str">
        <f t="shared" si="2374"/>
        <v/>
      </c>
      <c r="FG146" s="103" t="str">
        <f t="shared" si="2374"/>
        <v/>
      </c>
      <c r="FH146" s="103" t="str">
        <f t="shared" si="2374"/>
        <v/>
      </c>
      <c r="FI146" s="103" t="str">
        <f t="shared" si="2374"/>
        <v/>
      </c>
      <c r="FJ146" s="103" t="str">
        <f t="shared" si="2374"/>
        <v/>
      </c>
      <c r="FK146" s="103" t="str">
        <f t="shared" si="2374"/>
        <v/>
      </c>
      <c r="FL146" s="103" t="str">
        <f t="shared" si="2374"/>
        <v/>
      </c>
      <c r="FM146" s="103" t="str">
        <f t="shared" si="2374"/>
        <v/>
      </c>
      <c r="FN146" s="103" t="str">
        <f t="shared" ref="FN146:FS146" si="2375">IF(CH146="","","|n"&amp;FN$2&amp;"+"&amp;CH146&amp;FN$1)</f>
        <v/>
      </c>
      <c r="FO146" s="103" t="str">
        <f t="shared" si="2375"/>
        <v/>
      </c>
      <c r="FP146" s="103" t="str">
        <f t="shared" si="2375"/>
        <v/>
      </c>
      <c r="FQ146" s="103" t="str">
        <f t="shared" si="2375"/>
        <v/>
      </c>
      <c r="FR146" s="103" t="str">
        <f t="shared" si="2375"/>
        <v/>
      </c>
      <c r="FS146" s="103" t="str">
        <f t="shared" si="2375"/>
        <v/>
      </c>
    </row>
    <row r="147" spans="1:175" s="37" customFormat="1" ht="16.5">
      <c r="A147" s="5"/>
      <c r="B147" s="91" t="s">
        <v>553</v>
      </c>
      <c r="C147" s="87" t="s">
        <v>554</v>
      </c>
      <c r="D147" s="70"/>
      <c r="E147" s="70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78"/>
      <c r="Q147" s="78"/>
      <c r="R147" s="78"/>
      <c r="S147" s="78"/>
      <c r="T147" s="37" t="s">
        <v>524</v>
      </c>
      <c r="U147" s="56" t="s">
        <v>555</v>
      </c>
      <c r="V147" s="96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7"/>
      <c r="AL147" s="97"/>
      <c r="AM147" s="97"/>
      <c r="AN147" s="97"/>
      <c r="AO147" s="97"/>
      <c r="AP147" s="97"/>
      <c r="AQ147" s="97"/>
      <c r="AR147" s="101"/>
      <c r="AS147" s="101"/>
      <c r="AT147" s="97"/>
      <c r="AU147" s="97"/>
      <c r="AV147" s="97"/>
      <c r="AW147" s="97"/>
      <c r="AX147" s="97"/>
      <c r="AY147" s="97"/>
      <c r="AZ147" s="97"/>
      <c r="BA147" s="97"/>
      <c r="BB147" s="97"/>
      <c r="BC147" s="97"/>
      <c r="BD147" s="97"/>
      <c r="BE147" s="97"/>
      <c r="BF147" s="97"/>
      <c r="BG147" s="97"/>
      <c r="BH147" s="97"/>
      <c r="BI147" s="97"/>
      <c r="BJ147" s="97"/>
      <c r="BK147" s="97"/>
      <c r="BL147" s="97"/>
      <c r="BM147" s="97"/>
      <c r="BN147" s="97"/>
      <c r="BO147" s="97"/>
      <c r="BP147" s="97"/>
      <c r="BQ147" s="97"/>
      <c r="BR147" s="97"/>
      <c r="BS147" s="97"/>
      <c r="BT147" s="97"/>
      <c r="BU147" s="97"/>
      <c r="BV147" s="97"/>
      <c r="BW147" s="97"/>
      <c r="BX147" s="97"/>
      <c r="BY147" s="97"/>
      <c r="BZ147" s="97"/>
      <c r="CA147" s="97"/>
      <c r="CB147" s="97"/>
      <c r="CC147" s="97"/>
      <c r="CD147" s="97"/>
      <c r="CE147" s="97"/>
      <c r="CF147" s="97"/>
      <c r="CG147" s="97"/>
      <c r="CH147" s="97"/>
      <c r="CI147" s="97"/>
      <c r="CJ147" s="97"/>
      <c r="CK147" s="97"/>
      <c r="CL147" s="97"/>
      <c r="CM147" s="97"/>
      <c r="CN147" s="102" t="str">
        <f t="shared" si="2063"/>
        <v>InitUnitState('IN29',,,,,,,,,,)</v>
      </c>
      <c r="CO147" s="102" t="str">
        <f t="shared" si="2064"/>
        <v>InitUnitNormal('IN29',,,,,,,,,,)</v>
      </c>
      <c r="CP147" s="102" t="str">
        <f t="shared" si="2065"/>
        <v>InitUnitMagic('IN29',,,,,,,,,,)</v>
      </c>
      <c r="CQ147" s="102" t="str">
        <f t="shared" si="2066"/>
        <v>InitUnitAdd('IN29',,,,,,,,,,)</v>
      </c>
      <c r="CR147" s="102" t="str">
        <f t="shared" si="2361"/>
        <v>InitEquipData('IN29',,"",,,,,'','','','','','',"ReplaceableTextures\\CommandButtons\\BTN009.blp")</v>
      </c>
      <c r="CS147" s="102"/>
      <c r="CT147" s="102"/>
      <c r="CU147" s="68" t="str">
        <f t="shared" si="2284"/>
        <v>|n</v>
      </c>
      <c r="CV147" s="37" t="str">
        <f t="shared" si="2285"/>
        <v>使用后获得|Cffffc926随机类型技能附魔卷|r</v>
      </c>
      <c r="CW147" s="7"/>
      <c r="CX147" s="7"/>
      <c r="CY147" s="7"/>
      <c r="CZ147" s="7"/>
      <c r="DA147" s="7"/>
      <c r="DB147" s="103" t="str">
        <f t="shared" ref="DB147:FM148" si="2376">IF(V147="","","|n"&amp;DB$2&amp;"+"&amp;V147&amp;DB$1)</f>
        <v/>
      </c>
      <c r="DC147" s="103" t="str">
        <f t="shared" si="2376"/>
        <v/>
      </c>
      <c r="DD147" s="103" t="str">
        <f t="shared" si="2376"/>
        <v/>
      </c>
      <c r="DE147" s="103" t="str">
        <f t="shared" si="2376"/>
        <v/>
      </c>
      <c r="DF147" s="103" t="str">
        <f t="shared" si="2376"/>
        <v/>
      </c>
      <c r="DG147" s="103" t="str">
        <f t="shared" si="2376"/>
        <v/>
      </c>
      <c r="DH147" s="103" t="str">
        <f t="shared" si="2376"/>
        <v/>
      </c>
      <c r="DI147" s="103" t="str">
        <f t="shared" si="2376"/>
        <v/>
      </c>
      <c r="DJ147" s="103" t="str">
        <f t="shared" si="2376"/>
        <v/>
      </c>
      <c r="DK147" s="103" t="str">
        <f t="shared" si="2376"/>
        <v/>
      </c>
      <c r="DL147" s="103" t="str">
        <f t="shared" si="2376"/>
        <v/>
      </c>
      <c r="DM147" s="103" t="str">
        <f t="shared" si="2376"/>
        <v/>
      </c>
      <c r="DN147" s="103" t="str">
        <f t="shared" si="2376"/>
        <v/>
      </c>
      <c r="DO147" s="103" t="str">
        <f t="shared" si="2376"/>
        <v/>
      </c>
      <c r="DP147" s="103" t="str">
        <f t="shared" si="2376"/>
        <v/>
      </c>
      <c r="DQ147" s="103" t="str">
        <f t="shared" si="2376"/>
        <v/>
      </c>
      <c r="DR147" s="103" t="str">
        <f t="shared" si="2376"/>
        <v/>
      </c>
      <c r="DS147" s="103" t="str">
        <f t="shared" si="2376"/>
        <v/>
      </c>
      <c r="DT147" s="103" t="str">
        <f t="shared" si="2376"/>
        <v/>
      </c>
      <c r="DU147" s="103" t="str">
        <f t="shared" si="2376"/>
        <v/>
      </c>
      <c r="DV147" s="103" t="str">
        <f t="shared" si="2376"/>
        <v/>
      </c>
      <c r="DW147" s="103" t="str">
        <f t="shared" si="2376"/>
        <v/>
      </c>
      <c r="DX147" s="103" t="str">
        <f t="shared" si="2376"/>
        <v/>
      </c>
      <c r="DY147" s="103" t="str">
        <f t="shared" si="2376"/>
        <v/>
      </c>
      <c r="DZ147" s="103" t="str">
        <f t="shared" si="2376"/>
        <v/>
      </c>
      <c r="EA147" s="103" t="str">
        <f t="shared" si="2376"/>
        <v/>
      </c>
      <c r="EB147" s="103" t="str">
        <f t="shared" si="2376"/>
        <v/>
      </c>
      <c r="EC147" s="103" t="str">
        <f t="shared" si="2376"/>
        <v/>
      </c>
      <c r="ED147" s="103" t="str">
        <f t="shared" si="2376"/>
        <v/>
      </c>
      <c r="EE147" s="103" t="str">
        <f t="shared" si="2376"/>
        <v/>
      </c>
      <c r="EF147" s="103" t="str">
        <f t="shared" si="2376"/>
        <v/>
      </c>
      <c r="EG147" s="103" t="str">
        <f t="shared" si="2376"/>
        <v/>
      </c>
      <c r="EH147" s="103" t="str">
        <f t="shared" si="2376"/>
        <v/>
      </c>
      <c r="EI147" s="103" t="str">
        <f t="shared" si="2376"/>
        <v/>
      </c>
      <c r="EJ147" s="103" t="str">
        <f t="shared" si="2376"/>
        <v/>
      </c>
      <c r="EK147" s="103" t="str">
        <f t="shared" si="2376"/>
        <v/>
      </c>
      <c r="EL147" s="103" t="str">
        <f t="shared" si="2376"/>
        <v/>
      </c>
      <c r="EM147" s="103" t="str">
        <f t="shared" si="2376"/>
        <v/>
      </c>
      <c r="EN147" s="103" t="str">
        <f t="shared" si="2376"/>
        <v/>
      </c>
      <c r="EO147" s="103" t="str">
        <f t="shared" si="2376"/>
        <v/>
      </c>
      <c r="EP147" s="103" t="str">
        <f t="shared" si="2376"/>
        <v/>
      </c>
      <c r="EQ147" s="103" t="str">
        <f t="shared" si="2376"/>
        <v/>
      </c>
      <c r="ER147" s="103" t="str">
        <f t="shared" si="2376"/>
        <v/>
      </c>
      <c r="ES147" s="103" t="str">
        <f t="shared" si="2376"/>
        <v/>
      </c>
      <c r="ET147" s="103" t="str">
        <f t="shared" si="2376"/>
        <v/>
      </c>
      <c r="EU147" s="103" t="str">
        <f t="shared" si="2376"/>
        <v/>
      </c>
      <c r="EV147" s="103" t="str">
        <f t="shared" si="2376"/>
        <v/>
      </c>
      <c r="EW147" s="103" t="str">
        <f t="shared" si="2376"/>
        <v/>
      </c>
      <c r="EX147" s="103" t="str">
        <f t="shared" si="2376"/>
        <v/>
      </c>
      <c r="EY147" s="103" t="str">
        <f t="shared" si="2376"/>
        <v/>
      </c>
      <c r="EZ147" s="103" t="str">
        <f t="shared" si="2376"/>
        <v/>
      </c>
      <c r="FA147" s="103" t="str">
        <f t="shared" si="2376"/>
        <v/>
      </c>
      <c r="FB147" s="103" t="str">
        <f t="shared" si="2376"/>
        <v/>
      </c>
      <c r="FC147" s="103" t="str">
        <f t="shared" si="2376"/>
        <v/>
      </c>
      <c r="FD147" s="103" t="str">
        <f t="shared" si="2376"/>
        <v/>
      </c>
      <c r="FE147" s="103" t="str">
        <f t="shared" si="2376"/>
        <v/>
      </c>
      <c r="FF147" s="103" t="str">
        <f t="shared" si="2376"/>
        <v/>
      </c>
      <c r="FG147" s="103" t="str">
        <f t="shared" si="2376"/>
        <v/>
      </c>
      <c r="FH147" s="103" t="str">
        <f t="shared" si="2376"/>
        <v/>
      </c>
      <c r="FI147" s="103" t="str">
        <f t="shared" si="2376"/>
        <v/>
      </c>
      <c r="FJ147" s="103" t="str">
        <f t="shared" si="2376"/>
        <v/>
      </c>
      <c r="FK147" s="103" t="str">
        <f t="shared" si="2376"/>
        <v/>
      </c>
      <c r="FL147" s="103" t="str">
        <f t="shared" si="2376"/>
        <v/>
      </c>
      <c r="FM147" s="103" t="str">
        <f t="shared" si="2376"/>
        <v/>
      </c>
      <c r="FN147" s="103" t="str">
        <f t="shared" ref="FN147:FS148" si="2377">IF(CH147="","","|n"&amp;FN$2&amp;"+"&amp;CH147&amp;FN$1)</f>
        <v/>
      </c>
      <c r="FO147" s="103" t="str">
        <f t="shared" si="2377"/>
        <v/>
      </c>
      <c r="FP147" s="103" t="str">
        <f t="shared" si="2377"/>
        <v/>
      </c>
      <c r="FQ147" s="103" t="str">
        <f t="shared" si="2377"/>
        <v/>
      </c>
      <c r="FR147" s="103" t="str">
        <f t="shared" si="2377"/>
        <v/>
      </c>
      <c r="FS147" s="103" t="str">
        <f t="shared" si="2377"/>
        <v/>
      </c>
    </row>
    <row r="148" spans="1:175" s="37" customFormat="1" ht="16.5">
      <c r="A148" s="5"/>
      <c r="B148" s="91" t="s">
        <v>556</v>
      </c>
      <c r="C148" s="87" t="s">
        <v>557</v>
      </c>
      <c r="D148" s="70"/>
      <c r="E148" s="70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78"/>
      <c r="Q148" s="78"/>
      <c r="R148" s="78"/>
      <c r="S148" s="78"/>
      <c r="T148" s="87" t="s">
        <v>558</v>
      </c>
      <c r="U148" s="56" t="s">
        <v>559</v>
      </c>
      <c r="V148" s="96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/>
      <c r="AP148" s="97"/>
      <c r="AQ148" s="97"/>
      <c r="AR148" s="101"/>
      <c r="AS148" s="101"/>
      <c r="AT148" s="97"/>
      <c r="AU148" s="97"/>
      <c r="AV148" s="97"/>
      <c r="AW148" s="97"/>
      <c r="AX148" s="97"/>
      <c r="AY148" s="97"/>
      <c r="AZ148" s="97"/>
      <c r="BA148" s="97"/>
      <c r="BB148" s="97"/>
      <c r="BC148" s="97"/>
      <c r="BD148" s="97"/>
      <c r="BE148" s="97"/>
      <c r="BF148" s="97"/>
      <c r="BG148" s="97"/>
      <c r="BH148" s="97"/>
      <c r="BI148" s="97"/>
      <c r="BJ148" s="97"/>
      <c r="BK148" s="97"/>
      <c r="BL148" s="97"/>
      <c r="BM148" s="97"/>
      <c r="BN148" s="97"/>
      <c r="BO148" s="97"/>
      <c r="BP148" s="97"/>
      <c r="BQ148" s="97"/>
      <c r="BR148" s="97"/>
      <c r="BS148" s="97"/>
      <c r="BT148" s="97"/>
      <c r="BU148" s="97"/>
      <c r="BV148" s="97"/>
      <c r="BW148" s="97"/>
      <c r="BX148" s="97"/>
      <c r="BY148" s="97"/>
      <c r="BZ148" s="97"/>
      <c r="CA148" s="97"/>
      <c r="CB148" s="97"/>
      <c r="CC148" s="97"/>
      <c r="CD148" s="97"/>
      <c r="CE148" s="97"/>
      <c r="CF148" s="97"/>
      <c r="CG148" s="97"/>
      <c r="CH148" s="97"/>
      <c r="CI148" s="97"/>
      <c r="CJ148" s="97"/>
      <c r="CK148" s="97"/>
      <c r="CL148" s="97"/>
      <c r="CM148" s="97"/>
      <c r="CN148" s="102" t="str">
        <f t="shared" ref="CN148:CN149" si="2378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02" t="str">
        <f t="shared" ref="CO148:CO149" si="2379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02" t="str">
        <f t="shared" ref="CP148:CP149" si="2380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02" t="str">
        <f t="shared" ref="CQ148:CQ149" si="2381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02" t="str">
        <f t="shared" si="2361"/>
        <v>InitEquipData('IN30',,"",,,,,'','','','','','',"ReplaceableTextures\\CommandButtons\\BTN010.blp")</v>
      </c>
      <c r="CS148" s="102"/>
      <c r="CT148" s="102"/>
      <c r="CU148" s="68" t="str">
        <f t="shared" ref="CU148:CU149" si="2382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7" t="str">
        <f t="shared" ref="CV148:CV149" si="2383">T148</f>
        <v>开启后获得|Cff00bfff随机奖励|r。</v>
      </c>
      <c r="CW148" s="7"/>
      <c r="CX148" s="7"/>
      <c r="CY148" s="7"/>
      <c r="CZ148" s="7"/>
      <c r="DA148" s="7"/>
      <c r="DB148" s="103" t="str">
        <f t="shared" si="2376"/>
        <v/>
      </c>
      <c r="DC148" s="103" t="str">
        <f t="shared" si="2376"/>
        <v/>
      </c>
      <c r="DD148" s="103" t="str">
        <f t="shared" si="2376"/>
        <v/>
      </c>
      <c r="DE148" s="103" t="str">
        <f t="shared" si="2376"/>
        <v/>
      </c>
      <c r="DF148" s="103" t="str">
        <f t="shared" si="2376"/>
        <v/>
      </c>
      <c r="DG148" s="103" t="str">
        <f t="shared" si="2376"/>
        <v/>
      </c>
      <c r="DH148" s="103" t="str">
        <f t="shared" si="2376"/>
        <v/>
      </c>
      <c r="DI148" s="103" t="str">
        <f t="shared" si="2376"/>
        <v/>
      </c>
      <c r="DJ148" s="103" t="str">
        <f t="shared" si="2376"/>
        <v/>
      </c>
      <c r="DK148" s="103" t="str">
        <f t="shared" si="2376"/>
        <v/>
      </c>
      <c r="DL148" s="103" t="str">
        <f t="shared" si="2376"/>
        <v/>
      </c>
      <c r="DM148" s="103" t="str">
        <f t="shared" si="2376"/>
        <v/>
      </c>
      <c r="DN148" s="103" t="str">
        <f t="shared" si="2376"/>
        <v/>
      </c>
      <c r="DO148" s="103" t="str">
        <f t="shared" si="2376"/>
        <v/>
      </c>
      <c r="DP148" s="103" t="str">
        <f t="shared" si="2376"/>
        <v/>
      </c>
      <c r="DQ148" s="103" t="str">
        <f t="shared" si="2376"/>
        <v/>
      </c>
      <c r="DR148" s="103" t="str">
        <f t="shared" si="2376"/>
        <v/>
      </c>
      <c r="DS148" s="103" t="str">
        <f t="shared" si="2376"/>
        <v/>
      </c>
      <c r="DT148" s="103" t="str">
        <f t="shared" si="2376"/>
        <v/>
      </c>
      <c r="DU148" s="103" t="str">
        <f t="shared" si="2376"/>
        <v/>
      </c>
      <c r="DV148" s="103" t="str">
        <f t="shared" si="2376"/>
        <v/>
      </c>
      <c r="DW148" s="103" t="str">
        <f t="shared" si="2376"/>
        <v/>
      </c>
      <c r="DX148" s="103" t="str">
        <f t="shared" si="2376"/>
        <v/>
      </c>
      <c r="DY148" s="103" t="str">
        <f t="shared" si="2376"/>
        <v/>
      </c>
      <c r="DZ148" s="103" t="str">
        <f t="shared" si="2376"/>
        <v/>
      </c>
      <c r="EA148" s="103" t="str">
        <f t="shared" si="2376"/>
        <v/>
      </c>
      <c r="EB148" s="103" t="str">
        <f t="shared" si="2376"/>
        <v/>
      </c>
      <c r="EC148" s="103" t="str">
        <f t="shared" si="2376"/>
        <v/>
      </c>
      <c r="ED148" s="103" t="str">
        <f t="shared" si="2376"/>
        <v/>
      </c>
      <c r="EE148" s="103" t="str">
        <f t="shared" si="2376"/>
        <v/>
      </c>
      <c r="EF148" s="103" t="str">
        <f t="shared" si="2376"/>
        <v/>
      </c>
      <c r="EG148" s="103" t="str">
        <f t="shared" si="2376"/>
        <v/>
      </c>
      <c r="EH148" s="103" t="str">
        <f t="shared" si="2376"/>
        <v/>
      </c>
      <c r="EI148" s="103" t="str">
        <f t="shared" si="2376"/>
        <v/>
      </c>
      <c r="EJ148" s="103" t="str">
        <f t="shared" si="2376"/>
        <v/>
      </c>
      <c r="EK148" s="103" t="str">
        <f t="shared" si="2376"/>
        <v/>
      </c>
      <c r="EL148" s="103" t="str">
        <f t="shared" si="2376"/>
        <v/>
      </c>
      <c r="EM148" s="103" t="str">
        <f t="shared" si="2376"/>
        <v/>
      </c>
      <c r="EN148" s="103" t="str">
        <f t="shared" si="2376"/>
        <v/>
      </c>
      <c r="EO148" s="103" t="str">
        <f t="shared" si="2376"/>
        <v/>
      </c>
      <c r="EP148" s="103" t="str">
        <f t="shared" si="2376"/>
        <v/>
      </c>
      <c r="EQ148" s="103" t="str">
        <f t="shared" si="2376"/>
        <v/>
      </c>
      <c r="ER148" s="103" t="str">
        <f t="shared" si="2376"/>
        <v/>
      </c>
      <c r="ES148" s="103" t="str">
        <f t="shared" si="2376"/>
        <v/>
      </c>
      <c r="ET148" s="103" t="str">
        <f t="shared" si="2376"/>
        <v/>
      </c>
      <c r="EU148" s="103" t="str">
        <f t="shared" si="2376"/>
        <v/>
      </c>
      <c r="EV148" s="103" t="str">
        <f t="shared" si="2376"/>
        <v/>
      </c>
      <c r="EW148" s="103" t="str">
        <f t="shared" si="2376"/>
        <v/>
      </c>
      <c r="EX148" s="103" t="str">
        <f t="shared" si="2376"/>
        <v/>
      </c>
      <c r="EY148" s="103" t="str">
        <f t="shared" si="2376"/>
        <v/>
      </c>
      <c r="EZ148" s="103" t="str">
        <f t="shared" si="2376"/>
        <v/>
      </c>
      <c r="FA148" s="103" t="str">
        <f t="shared" si="2376"/>
        <v/>
      </c>
      <c r="FB148" s="103" t="str">
        <f t="shared" si="2376"/>
        <v/>
      </c>
      <c r="FC148" s="103" t="str">
        <f t="shared" si="2376"/>
        <v/>
      </c>
      <c r="FD148" s="103" t="str">
        <f t="shared" si="2376"/>
        <v/>
      </c>
      <c r="FE148" s="103" t="str">
        <f t="shared" si="2376"/>
        <v/>
      </c>
      <c r="FF148" s="103" t="str">
        <f t="shared" si="2376"/>
        <v/>
      </c>
      <c r="FG148" s="103" t="str">
        <f t="shared" si="2376"/>
        <v/>
      </c>
      <c r="FH148" s="103" t="str">
        <f t="shared" si="2376"/>
        <v/>
      </c>
      <c r="FI148" s="103" t="str">
        <f t="shared" si="2376"/>
        <v/>
      </c>
      <c r="FJ148" s="103" t="str">
        <f t="shared" si="2376"/>
        <v/>
      </c>
      <c r="FK148" s="103" t="str">
        <f t="shared" si="2376"/>
        <v/>
      </c>
      <c r="FL148" s="103" t="str">
        <f t="shared" si="2376"/>
        <v/>
      </c>
      <c r="FM148" s="103" t="str">
        <f t="shared" si="2376"/>
        <v/>
      </c>
      <c r="FN148" s="103" t="str">
        <f t="shared" si="2377"/>
        <v/>
      </c>
      <c r="FO148" s="103" t="str">
        <f t="shared" si="2377"/>
        <v/>
      </c>
      <c r="FP148" s="103" t="str">
        <f t="shared" si="2377"/>
        <v/>
      </c>
      <c r="FQ148" s="103" t="str">
        <f t="shared" si="2377"/>
        <v/>
      </c>
      <c r="FR148" s="103" t="str">
        <f t="shared" si="2377"/>
        <v/>
      </c>
      <c r="FS148" s="103" t="str">
        <f t="shared" si="2377"/>
        <v/>
      </c>
    </row>
    <row r="149" spans="1:175" s="37" customFormat="1" ht="16.5">
      <c r="A149" s="5"/>
      <c r="B149" s="91" t="s">
        <v>560</v>
      </c>
      <c r="C149" s="87" t="s">
        <v>561</v>
      </c>
      <c r="D149" s="70"/>
      <c r="E149" s="70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78"/>
      <c r="Q149" s="78"/>
      <c r="R149" s="78"/>
      <c r="S149" s="78"/>
      <c r="T149" s="87" t="s">
        <v>562</v>
      </c>
      <c r="U149" s="56" t="s">
        <v>563</v>
      </c>
      <c r="V149" s="96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/>
      <c r="AP149" s="97"/>
      <c r="AQ149" s="97"/>
      <c r="AR149" s="101"/>
      <c r="AS149" s="101"/>
      <c r="AT149" s="97"/>
      <c r="AU149" s="97"/>
      <c r="AV149" s="97"/>
      <c r="AW149" s="97"/>
      <c r="AX149" s="97"/>
      <c r="AY149" s="97"/>
      <c r="AZ149" s="97"/>
      <c r="BA149" s="97"/>
      <c r="BB149" s="97"/>
      <c r="BC149" s="97"/>
      <c r="BD149" s="97"/>
      <c r="BE149" s="97"/>
      <c r="BF149" s="97"/>
      <c r="BG149" s="97"/>
      <c r="BH149" s="97"/>
      <c r="BI149" s="97"/>
      <c r="BJ149" s="97"/>
      <c r="BK149" s="97"/>
      <c r="BL149" s="97"/>
      <c r="BM149" s="97"/>
      <c r="BN149" s="97"/>
      <c r="BO149" s="97"/>
      <c r="BP149" s="97"/>
      <c r="BQ149" s="97"/>
      <c r="BR149" s="97"/>
      <c r="BS149" s="97"/>
      <c r="BT149" s="97"/>
      <c r="BU149" s="97"/>
      <c r="BV149" s="97"/>
      <c r="BW149" s="97"/>
      <c r="BX149" s="97"/>
      <c r="BY149" s="97"/>
      <c r="BZ149" s="97"/>
      <c r="CA149" s="97"/>
      <c r="CB149" s="97"/>
      <c r="CC149" s="97"/>
      <c r="CD149" s="97"/>
      <c r="CE149" s="97"/>
      <c r="CF149" s="97"/>
      <c r="CG149" s="97"/>
      <c r="CH149" s="97"/>
      <c r="CI149" s="97"/>
      <c r="CJ149" s="97"/>
      <c r="CK149" s="97"/>
      <c r="CL149" s="97"/>
      <c r="CM149" s="97"/>
      <c r="CN149" s="102" t="str">
        <f t="shared" si="2378"/>
        <v>InitUnitState('IN31',,,,,,,,,,)</v>
      </c>
      <c r="CO149" s="102" t="str">
        <f t="shared" si="2379"/>
        <v>InitUnitNormal('IN31',,,,,,,,,,)</v>
      </c>
      <c r="CP149" s="102" t="str">
        <f t="shared" si="2380"/>
        <v>InitUnitMagic('IN31',,,,,,,,,,)</v>
      </c>
      <c r="CQ149" s="102" t="str">
        <f t="shared" si="2381"/>
        <v>InitUnitAdd('IN31',,,,,,,,,,)</v>
      </c>
      <c r="CR149" s="102" t="str">
        <f t="shared" si="2361"/>
        <v>InitEquipData('IN31',,"",,,,,'','','','','','',"ReplaceableTextures\\CommandButtons\\BTN011.blp")</v>
      </c>
      <c r="CS149" s="102"/>
      <c r="CT149" s="102"/>
      <c r="CU149" s="68" t="str">
        <f t="shared" si="2382"/>
        <v>|n</v>
      </c>
      <c r="CV149" s="37" t="str">
        <f t="shared" si="2383"/>
        <v>开启后获得|Cffffd24d随机奖励|r。</v>
      </c>
      <c r="CW149" s="7"/>
      <c r="CX149" s="7"/>
      <c r="CY149" s="7"/>
      <c r="CZ149" s="7"/>
      <c r="DA149" s="7"/>
      <c r="DB149" s="103" t="str">
        <f t="shared" ref="DB149" si="2384">IF(V149="","","|n"&amp;DB$2&amp;"+"&amp;V149&amp;DB$1)</f>
        <v/>
      </c>
      <c r="DC149" s="103" t="str">
        <f t="shared" ref="DC149" si="2385">IF(W149="","","|n"&amp;DC$2&amp;"+"&amp;W149&amp;DC$1)</f>
        <v/>
      </c>
      <c r="DD149" s="103" t="str">
        <f t="shared" ref="DD149" si="2386">IF(X149="","","|n"&amp;DD$2&amp;"+"&amp;X149&amp;DD$1)</f>
        <v/>
      </c>
      <c r="DE149" s="103" t="str">
        <f t="shared" ref="DE149" si="2387">IF(Y149="","","|n"&amp;DE$2&amp;"+"&amp;Y149&amp;DE$1)</f>
        <v/>
      </c>
      <c r="DF149" s="103" t="str">
        <f t="shared" ref="DF149" si="2388">IF(Z149="","","|n"&amp;DF$2&amp;"+"&amp;Z149&amp;DF$1)</f>
        <v/>
      </c>
      <c r="DG149" s="103" t="str">
        <f t="shared" ref="DG149" si="2389">IF(AA149="","","|n"&amp;DG$2&amp;"+"&amp;AA149&amp;DG$1)</f>
        <v/>
      </c>
      <c r="DH149" s="103" t="str">
        <f t="shared" ref="DH149" si="2390">IF(AB149="","","|n"&amp;DH$2&amp;"+"&amp;AB149&amp;DH$1)</f>
        <v/>
      </c>
      <c r="DI149" s="103" t="str">
        <f t="shared" ref="DI149" si="2391">IF(AC149="","","|n"&amp;DI$2&amp;"+"&amp;AC149&amp;DI$1)</f>
        <v/>
      </c>
      <c r="DJ149" s="103" t="str">
        <f t="shared" ref="DJ149" si="2392">IF(AD149="","","|n"&amp;DJ$2&amp;"+"&amp;AD149&amp;DJ$1)</f>
        <v/>
      </c>
      <c r="DK149" s="103" t="str">
        <f t="shared" ref="DK149" si="2393">IF(AE149="","","|n"&amp;DK$2&amp;"+"&amp;AE149&amp;DK$1)</f>
        <v/>
      </c>
      <c r="DL149" s="103" t="str">
        <f t="shared" ref="DL149" si="2394">IF(AF149="","","|n"&amp;DL$2&amp;"+"&amp;AF149&amp;DL$1)</f>
        <v/>
      </c>
      <c r="DM149" s="103" t="str">
        <f t="shared" ref="DM149" si="2395">IF(AG149="","","|n"&amp;DM$2&amp;"+"&amp;AG149&amp;DM$1)</f>
        <v/>
      </c>
      <c r="DN149" s="103" t="str">
        <f t="shared" ref="DN149" si="2396">IF(AH149="","","|n"&amp;DN$2&amp;"+"&amp;AH149&amp;DN$1)</f>
        <v/>
      </c>
      <c r="DO149" s="103" t="str">
        <f t="shared" ref="DO149" si="2397">IF(AI149="","","|n"&amp;DO$2&amp;"+"&amp;AI149&amp;DO$1)</f>
        <v/>
      </c>
      <c r="DP149" s="103" t="str">
        <f t="shared" ref="DP149" si="2398">IF(AJ149="","","|n"&amp;DP$2&amp;"+"&amp;AJ149&amp;DP$1)</f>
        <v/>
      </c>
      <c r="DQ149" s="103" t="str">
        <f t="shared" ref="DQ149" si="2399">IF(AK149="","","|n"&amp;DQ$2&amp;"+"&amp;AK149&amp;DQ$1)</f>
        <v/>
      </c>
      <c r="DR149" s="103" t="str">
        <f t="shared" ref="DR149" si="2400">IF(AL149="","","|n"&amp;DR$2&amp;"+"&amp;AL149&amp;DR$1)</f>
        <v/>
      </c>
      <c r="DS149" s="103" t="str">
        <f t="shared" ref="DS149" si="2401">IF(AM149="","","|n"&amp;DS$2&amp;"+"&amp;AM149&amp;DS$1)</f>
        <v/>
      </c>
      <c r="DT149" s="103" t="str">
        <f t="shared" ref="DT149" si="2402">IF(AN149="","","|n"&amp;DT$2&amp;"+"&amp;AN149&amp;DT$1)</f>
        <v/>
      </c>
      <c r="DU149" s="103" t="str">
        <f t="shared" ref="DU149" si="2403">IF(AO149="","","|n"&amp;DU$2&amp;"+"&amp;AO149&amp;DU$1)</f>
        <v/>
      </c>
      <c r="DV149" s="103" t="str">
        <f t="shared" ref="DV149" si="2404">IF(AP149="","","|n"&amp;DV$2&amp;"+"&amp;AP149&amp;DV$1)</f>
        <v/>
      </c>
      <c r="DW149" s="103" t="str">
        <f t="shared" ref="DW149" si="2405">IF(AQ149="","","|n"&amp;DW$2&amp;"+"&amp;AQ149&amp;DW$1)</f>
        <v/>
      </c>
      <c r="DX149" s="103" t="str">
        <f t="shared" ref="DX149" si="2406">IF(AR149="","","|n"&amp;DX$2&amp;"+"&amp;AR149&amp;DX$1)</f>
        <v/>
      </c>
      <c r="DY149" s="103" t="str">
        <f t="shared" ref="DY149" si="2407">IF(AS149="","","|n"&amp;DY$2&amp;"+"&amp;AS149&amp;DY$1)</f>
        <v/>
      </c>
      <c r="DZ149" s="103" t="str">
        <f t="shared" ref="DZ149" si="2408">IF(AT149="","","|n"&amp;DZ$2&amp;"+"&amp;AT149&amp;DZ$1)</f>
        <v/>
      </c>
      <c r="EA149" s="103" t="str">
        <f t="shared" ref="EA149" si="2409">IF(AU149="","","|n"&amp;EA$2&amp;"+"&amp;AU149&amp;EA$1)</f>
        <v/>
      </c>
      <c r="EB149" s="103" t="str">
        <f t="shared" ref="EB149" si="2410">IF(AV149="","","|n"&amp;EB$2&amp;"+"&amp;AV149&amp;EB$1)</f>
        <v/>
      </c>
      <c r="EC149" s="103" t="str">
        <f t="shared" ref="EC149" si="2411">IF(AW149="","","|n"&amp;EC$2&amp;"+"&amp;AW149&amp;EC$1)</f>
        <v/>
      </c>
      <c r="ED149" s="103" t="str">
        <f t="shared" ref="ED149" si="2412">IF(AX149="","","|n"&amp;ED$2&amp;"+"&amp;AX149&amp;ED$1)</f>
        <v/>
      </c>
      <c r="EE149" s="103" t="str">
        <f t="shared" ref="EE149" si="2413">IF(AY149="","","|n"&amp;EE$2&amp;"+"&amp;AY149&amp;EE$1)</f>
        <v/>
      </c>
      <c r="EF149" s="103" t="str">
        <f t="shared" ref="EF149" si="2414">IF(AZ149="","","|n"&amp;EF$2&amp;"+"&amp;AZ149&amp;EF$1)</f>
        <v/>
      </c>
      <c r="EG149" s="103" t="str">
        <f t="shared" ref="EG149" si="2415">IF(BA149="","","|n"&amp;EG$2&amp;"+"&amp;BA149&amp;EG$1)</f>
        <v/>
      </c>
      <c r="EH149" s="103" t="str">
        <f t="shared" ref="EH149" si="2416">IF(BB149="","","|n"&amp;EH$2&amp;"+"&amp;BB149&amp;EH$1)</f>
        <v/>
      </c>
      <c r="EI149" s="103" t="str">
        <f t="shared" ref="EI149" si="2417">IF(BC149="","","|n"&amp;EI$2&amp;"+"&amp;BC149&amp;EI$1)</f>
        <v/>
      </c>
      <c r="EJ149" s="103" t="str">
        <f t="shared" ref="EJ149" si="2418">IF(BD149="","","|n"&amp;EJ$2&amp;"+"&amp;BD149&amp;EJ$1)</f>
        <v/>
      </c>
      <c r="EK149" s="103" t="str">
        <f t="shared" ref="EK149" si="2419">IF(BE149="","","|n"&amp;EK$2&amp;"+"&amp;BE149&amp;EK$1)</f>
        <v/>
      </c>
      <c r="EL149" s="103" t="str">
        <f t="shared" ref="EL149" si="2420">IF(BF149="","","|n"&amp;EL$2&amp;"+"&amp;BF149&amp;EL$1)</f>
        <v/>
      </c>
      <c r="EM149" s="103" t="str">
        <f t="shared" ref="EM149" si="2421">IF(BG149="","","|n"&amp;EM$2&amp;"+"&amp;BG149&amp;EM$1)</f>
        <v/>
      </c>
      <c r="EN149" s="103" t="str">
        <f t="shared" ref="EN149" si="2422">IF(BH149="","","|n"&amp;EN$2&amp;"+"&amp;BH149&amp;EN$1)</f>
        <v/>
      </c>
      <c r="EO149" s="103" t="str">
        <f t="shared" ref="EO149" si="2423">IF(BI149="","","|n"&amp;EO$2&amp;"+"&amp;BI149&amp;EO$1)</f>
        <v/>
      </c>
      <c r="EP149" s="103" t="str">
        <f t="shared" ref="EP149" si="2424">IF(BJ149="","","|n"&amp;EP$2&amp;"+"&amp;BJ149&amp;EP$1)</f>
        <v/>
      </c>
      <c r="EQ149" s="103" t="str">
        <f t="shared" ref="EQ149" si="2425">IF(BK149="","","|n"&amp;EQ$2&amp;"+"&amp;BK149&amp;EQ$1)</f>
        <v/>
      </c>
      <c r="ER149" s="103" t="str">
        <f t="shared" ref="ER149" si="2426">IF(BL149="","","|n"&amp;ER$2&amp;"+"&amp;BL149&amp;ER$1)</f>
        <v/>
      </c>
      <c r="ES149" s="103" t="str">
        <f t="shared" ref="ES149" si="2427">IF(BM149="","","|n"&amp;ES$2&amp;"+"&amp;BM149&amp;ES$1)</f>
        <v/>
      </c>
      <c r="ET149" s="103" t="str">
        <f t="shared" ref="ET149" si="2428">IF(BN149="","","|n"&amp;ET$2&amp;"+"&amp;BN149&amp;ET$1)</f>
        <v/>
      </c>
      <c r="EU149" s="103" t="str">
        <f t="shared" ref="EU149" si="2429">IF(BO149="","","|n"&amp;EU$2&amp;"+"&amp;BO149&amp;EU$1)</f>
        <v/>
      </c>
      <c r="EV149" s="103" t="str">
        <f t="shared" ref="EV149" si="2430">IF(BP149="","","|n"&amp;EV$2&amp;"+"&amp;BP149&amp;EV$1)</f>
        <v/>
      </c>
      <c r="EW149" s="103" t="str">
        <f t="shared" ref="EW149" si="2431">IF(BQ149="","","|n"&amp;EW$2&amp;"+"&amp;BQ149&amp;EW$1)</f>
        <v/>
      </c>
      <c r="EX149" s="103" t="str">
        <f t="shared" ref="EX149" si="2432">IF(BR149="","","|n"&amp;EX$2&amp;"+"&amp;BR149&amp;EX$1)</f>
        <v/>
      </c>
      <c r="EY149" s="103" t="str">
        <f t="shared" ref="EY149" si="2433">IF(BS149="","","|n"&amp;EY$2&amp;"+"&amp;BS149&amp;EY$1)</f>
        <v/>
      </c>
      <c r="EZ149" s="103" t="str">
        <f t="shared" ref="EZ149" si="2434">IF(BT149="","","|n"&amp;EZ$2&amp;"+"&amp;BT149&amp;EZ$1)</f>
        <v/>
      </c>
      <c r="FA149" s="103" t="str">
        <f t="shared" ref="FA149" si="2435">IF(BU149="","","|n"&amp;FA$2&amp;"+"&amp;BU149&amp;FA$1)</f>
        <v/>
      </c>
      <c r="FB149" s="103" t="str">
        <f t="shared" ref="FB149" si="2436">IF(BV149="","","|n"&amp;FB$2&amp;"+"&amp;BV149&amp;FB$1)</f>
        <v/>
      </c>
      <c r="FC149" s="103" t="str">
        <f t="shared" ref="FC149" si="2437">IF(BW149="","","|n"&amp;FC$2&amp;"+"&amp;BW149&amp;FC$1)</f>
        <v/>
      </c>
      <c r="FD149" s="103" t="str">
        <f t="shared" ref="FD149" si="2438">IF(BX149="","","|n"&amp;FD$2&amp;"+"&amp;BX149&amp;FD$1)</f>
        <v/>
      </c>
      <c r="FE149" s="103" t="str">
        <f t="shared" ref="FE149" si="2439">IF(BY149="","","|n"&amp;FE$2&amp;"+"&amp;BY149&amp;FE$1)</f>
        <v/>
      </c>
      <c r="FF149" s="103" t="str">
        <f t="shared" ref="FF149" si="2440">IF(BZ149="","","|n"&amp;FF$2&amp;"+"&amp;BZ149&amp;FF$1)</f>
        <v/>
      </c>
      <c r="FG149" s="103" t="str">
        <f t="shared" ref="FG149" si="2441">IF(CA149="","","|n"&amp;FG$2&amp;"+"&amp;CA149&amp;FG$1)</f>
        <v/>
      </c>
      <c r="FH149" s="103" t="str">
        <f t="shared" ref="FH149" si="2442">IF(CB149="","","|n"&amp;FH$2&amp;"+"&amp;CB149&amp;FH$1)</f>
        <v/>
      </c>
      <c r="FI149" s="103" t="str">
        <f t="shared" ref="FI149" si="2443">IF(CC149="","","|n"&amp;FI$2&amp;"+"&amp;CC149&amp;FI$1)</f>
        <v/>
      </c>
      <c r="FJ149" s="103" t="str">
        <f t="shared" ref="FJ149" si="2444">IF(CD149="","","|n"&amp;FJ$2&amp;"+"&amp;CD149&amp;FJ$1)</f>
        <v/>
      </c>
      <c r="FK149" s="103" t="str">
        <f t="shared" ref="FK149" si="2445">IF(CE149="","","|n"&amp;FK$2&amp;"+"&amp;CE149&amp;FK$1)</f>
        <v/>
      </c>
      <c r="FL149" s="103" t="str">
        <f t="shared" ref="FL149" si="2446">IF(CF149="","","|n"&amp;FL$2&amp;"+"&amp;CF149&amp;FL$1)</f>
        <v/>
      </c>
      <c r="FM149" s="103" t="str">
        <f t="shared" ref="FM149" si="2447">IF(CG149="","","|n"&amp;FM$2&amp;"+"&amp;CG149&amp;FM$1)</f>
        <v/>
      </c>
      <c r="FN149" s="103" t="str">
        <f t="shared" ref="FN149" si="2448">IF(CH149="","","|n"&amp;FN$2&amp;"+"&amp;CH149&amp;FN$1)</f>
        <v/>
      </c>
      <c r="FO149" s="103" t="str">
        <f t="shared" ref="FO149" si="2449">IF(CI149="","","|n"&amp;FO$2&amp;"+"&amp;CI149&amp;FO$1)</f>
        <v/>
      </c>
      <c r="FP149" s="103" t="str">
        <f t="shared" ref="FP149" si="2450">IF(CJ149="","","|n"&amp;FP$2&amp;"+"&amp;CJ149&amp;FP$1)</f>
        <v/>
      </c>
      <c r="FQ149" s="103" t="str">
        <f t="shared" ref="FQ149" si="2451">IF(CK149="","","|n"&amp;FQ$2&amp;"+"&amp;CK149&amp;FQ$1)</f>
        <v/>
      </c>
      <c r="FR149" s="103" t="str">
        <f t="shared" ref="FR149" si="2452">IF(CL149="","","|n"&amp;FR$2&amp;"+"&amp;CL149&amp;FR$1)</f>
        <v/>
      </c>
      <c r="FS149" s="103" t="str">
        <f t="shared" ref="FS149" si="2453">IF(CM149="","","|n"&amp;FS$2&amp;"+"&amp;CM149&amp;FS$1)</f>
        <v/>
      </c>
    </row>
    <row r="150" spans="1:175" ht="16.5">
      <c r="A150" s="5"/>
      <c r="B150" s="5" t="s">
        <v>564</v>
      </c>
      <c r="C150" s="5" t="s">
        <v>565</v>
      </c>
      <c r="T150" s="98" t="s">
        <v>566</v>
      </c>
      <c r="U150" s="56" t="str">
        <f t="shared" si="2356"/>
        <v>ReplaceableTextures\\CommandButtons\\BTNIP01.blp</v>
      </c>
      <c r="CN150" s="13" t="str">
        <f t="shared" ref="CN150:CN158" si="2454">"InitUnitState('"&amp;B150&amp;"',"&amp;V150&amp;","&amp;W150&amp;","&amp;X150&amp;","&amp;Y150&amp;","&amp;Z150&amp;","&amp;AA150&amp;","&amp;AB150&amp;","&amp;AC150&amp;","&amp;AD150&amp;","&amp;AE150&amp;")"</f>
        <v>InitUnitState('IP01',,,,,,,,,,)</v>
      </c>
      <c r="CO150" s="13" t="str">
        <f t="shared" ref="CO150:CO158" si="2455">"InitUnitNormal('"&amp;B150&amp;"',"&amp;AF150&amp;","&amp;AG150&amp;","&amp;AH150&amp;","&amp;AI150&amp;","&amp;AJ150&amp;","&amp;AK150&amp;","&amp;AL150&amp;","&amp;AM150&amp;","&amp;AN150&amp;","&amp;AO150&amp;")"</f>
        <v>InitUnitNormal('IP01',,,,,,,,,,)</v>
      </c>
      <c r="CP150" s="13" t="str">
        <f t="shared" ref="CP150:CP158" si="2456">"InitUnitMagic('"&amp;B150&amp;"',"&amp;AP150&amp;","&amp;AQ150&amp;","&amp;AR150&amp;","&amp;AS150&amp;","&amp;AT150&amp;","&amp;AU150&amp;","&amp;AV150&amp;","&amp;AW150&amp;","&amp;BI150&amp;","&amp;BJ150&amp;")"</f>
        <v>InitUnitMagic('IP01',,,,,,,,,,)</v>
      </c>
      <c r="CQ150" s="13" t="str">
        <f t="shared" ref="CQ150:CQ158" si="2457">"InitUnitAdd('"&amp;B150&amp;"',"&amp;BK150&amp;","&amp;BL150&amp;","&amp;BM150&amp;","&amp;BN150&amp;","&amp;BO150&amp;","&amp;BP150&amp;","&amp;BQ150&amp;","&amp;BR150&amp;","&amp;BS150&amp;","&amp;BT150&amp;")"</f>
        <v>InitUnitAdd('IP01',,,,,,,,,,)</v>
      </c>
      <c r="CR150" s="13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InitEquipData('IP01',,"",,,,,'','','','','','',"ReplaceableTextures\\CommandButtons\\BTNIP02.blp")</v>
      </c>
      <c r="CU150" s="68" t="str">
        <f t="shared" ref="CU150" si="2458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" t="str">
        <f t="shared" ref="CV150" si="2459">T150</f>
        <v>每次|Cffffd24d完成|r时渊副本将消耗|Cffffd24d1|r个|Cffffd24d时渊碎片|r</v>
      </c>
      <c r="CW150" s="7"/>
      <c r="CX150" s="7"/>
      <c r="CY150" s="7"/>
      <c r="CZ150" s="7"/>
      <c r="DA150" s="7"/>
      <c r="DB150" s="44" t="str">
        <f t="shared" ref="DB150" si="2460">IF(V150="","","|n"&amp;DB$2&amp;"+"&amp;V150&amp;DB$1)</f>
        <v/>
      </c>
      <c r="DC150" s="44" t="str">
        <f t="shared" ref="DC150" si="2461">IF(W150="","","|n"&amp;DC$2&amp;"+"&amp;W150&amp;DC$1)</f>
        <v/>
      </c>
      <c r="DD150" s="44" t="str">
        <f t="shared" ref="DD150" si="2462">IF(X150="","","|n"&amp;DD$2&amp;"+"&amp;X150&amp;DD$1)</f>
        <v/>
      </c>
      <c r="DE150" s="44" t="str">
        <f t="shared" ref="DE150" si="2463">IF(Y150="","","|n"&amp;DE$2&amp;"+"&amp;Y150&amp;DE$1)</f>
        <v/>
      </c>
      <c r="DF150" s="44" t="str">
        <f t="shared" ref="DF150" si="2464">IF(Z150="","","|n"&amp;DF$2&amp;"+"&amp;Z150&amp;DF$1)</f>
        <v/>
      </c>
      <c r="DG150" s="44" t="str">
        <f t="shared" ref="DG150" si="2465">IF(AA150="","","|n"&amp;DG$2&amp;"+"&amp;AA150&amp;DG$1)</f>
        <v/>
      </c>
      <c r="DH150" s="44" t="str">
        <f t="shared" ref="DH150" si="2466">IF(AB150="","","|n"&amp;DH$2&amp;"+"&amp;AB150&amp;DH$1)</f>
        <v/>
      </c>
      <c r="DI150" s="44" t="str">
        <f t="shared" ref="DI150" si="2467">IF(AC150="","","|n"&amp;DI$2&amp;"+"&amp;AC150&amp;DI$1)</f>
        <v/>
      </c>
      <c r="DJ150" s="44" t="str">
        <f t="shared" ref="DJ150" si="2468">IF(AD150="","","|n"&amp;DJ$2&amp;"+"&amp;AD150&amp;DJ$1)</f>
        <v/>
      </c>
      <c r="DK150" s="44" t="str">
        <f t="shared" ref="DK150" si="2469">IF(AE150="","","|n"&amp;DK$2&amp;"+"&amp;AE150&amp;DK$1)</f>
        <v/>
      </c>
      <c r="DL150" s="44" t="str">
        <f t="shared" ref="DL150" si="2470">IF(AF150="","","|n"&amp;DL$2&amp;"+"&amp;AF150&amp;DL$1)</f>
        <v/>
      </c>
      <c r="DM150" s="44" t="str">
        <f t="shared" ref="DM150" si="2471">IF(AG150="","","|n"&amp;DM$2&amp;"+"&amp;AG150&amp;DM$1)</f>
        <v/>
      </c>
      <c r="DN150" s="44" t="str">
        <f t="shared" ref="DN150" si="2472">IF(AH150="","","|n"&amp;DN$2&amp;"+"&amp;AH150&amp;DN$1)</f>
        <v/>
      </c>
      <c r="DO150" s="44" t="str">
        <f t="shared" ref="DO150" si="2473">IF(AI150="","","|n"&amp;DO$2&amp;"+"&amp;AI150&amp;DO$1)</f>
        <v/>
      </c>
      <c r="DP150" s="44" t="str">
        <f t="shared" ref="DP150" si="2474">IF(AJ150="","","|n"&amp;DP$2&amp;"+"&amp;AJ150&amp;DP$1)</f>
        <v/>
      </c>
      <c r="DQ150" s="44" t="str">
        <f t="shared" ref="DQ150" si="2475">IF(AK150="","","|n"&amp;DQ$2&amp;"+"&amp;AK150&amp;DQ$1)</f>
        <v/>
      </c>
      <c r="DR150" s="44" t="str">
        <f t="shared" ref="DR150" si="2476">IF(AL150="","","|n"&amp;DR$2&amp;"+"&amp;AL150&amp;DR$1)</f>
        <v/>
      </c>
      <c r="DS150" s="44" t="str">
        <f t="shared" ref="DS150" si="2477">IF(AM150="","","|n"&amp;DS$2&amp;"+"&amp;AM150&amp;DS$1)</f>
        <v/>
      </c>
      <c r="DT150" s="44" t="str">
        <f t="shared" ref="DT150" si="2478">IF(AN150="","","|n"&amp;DT$2&amp;"+"&amp;AN150&amp;DT$1)</f>
        <v/>
      </c>
      <c r="DU150" s="44" t="str">
        <f t="shared" ref="DU150" si="2479">IF(AO150="","","|n"&amp;DU$2&amp;"+"&amp;AO150&amp;DU$1)</f>
        <v/>
      </c>
      <c r="DV150" s="44" t="str">
        <f t="shared" ref="DV150" si="2480">IF(AP150="","","|n"&amp;DV$2&amp;"+"&amp;AP150&amp;DV$1)</f>
        <v/>
      </c>
      <c r="DW150" s="44" t="str">
        <f t="shared" ref="DW150" si="2481">IF(AQ150="","","|n"&amp;DW$2&amp;"+"&amp;AQ150&amp;DW$1)</f>
        <v/>
      </c>
      <c r="DX150" s="44" t="str">
        <f t="shared" ref="DX150" si="2482">IF(AR150="","","|n"&amp;DX$2&amp;"+"&amp;AR150&amp;DX$1)</f>
        <v/>
      </c>
      <c r="DY150" s="44" t="str">
        <f t="shared" ref="DY150" si="2483">IF(AS150="","","|n"&amp;DY$2&amp;"+"&amp;AS150&amp;DY$1)</f>
        <v/>
      </c>
      <c r="DZ150" s="44" t="str">
        <f t="shared" ref="DZ150" si="2484">IF(AT150="","","|n"&amp;DZ$2&amp;"+"&amp;AT150&amp;DZ$1)</f>
        <v/>
      </c>
      <c r="EA150" s="44" t="str">
        <f t="shared" ref="EA150" si="2485">IF(AU150="","","|n"&amp;EA$2&amp;"+"&amp;AU150&amp;EA$1)</f>
        <v/>
      </c>
      <c r="EB150" s="44" t="str">
        <f t="shared" ref="EB150" si="2486">IF(AV150="","","|n"&amp;EB$2&amp;"+"&amp;AV150&amp;EB$1)</f>
        <v/>
      </c>
      <c r="EC150" s="44" t="str">
        <f t="shared" ref="EC150" si="2487">IF(AW150="","","|n"&amp;EC$2&amp;"+"&amp;AW150&amp;EC$1)</f>
        <v/>
      </c>
      <c r="ED150" s="44" t="str">
        <f t="shared" ref="ED150" si="2488">IF(AX150="","","|n"&amp;ED$2&amp;"+"&amp;AX150&amp;ED$1)</f>
        <v/>
      </c>
      <c r="EE150" s="44" t="str">
        <f t="shared" ref="EE150" si="2489">IF(AY150="","","|n"&amp;EE$2&amp;"+"&amp;AY150&amp;EE$1)</f>
        <v/>
      </c>
      <c r="EF150" s="44" t="str">
        <f t="shared" ref="EF150" si="2490">IF(AZ150="","","|n"&amp;EF$2&amp;"+"&amp;AZ150&amp;EF$1)</f>
        <v/>
      </c>
      <c r="EG150" s="44" t="str">
        <f t="shared" ref="EG150" si="2491">IF(BA150="","","|n"&amp;EG$2&amp;"+"&amp;BA150&amp;EG$1)</f>
        <v/>
      </c>
      <c r="EH150" s="44" t="str">
        <f t="shared" ref="EH150" si="2492">IF(BB150="","","|n"&amp;EH$2&amp;"+"&amp;BB150&amp;EH$1)</f>
        <v/>
      </c>
      <c r="EI150" s="44" t="str">
        <f t="shared" ref="EI150" si="2493">IF(BC150="","","|n"&amp;EI$2&amp;"+"&amp;BC150&amp;EI$1)</f>
        <v/>
      </c>
      <c r="EJ150" s="44" t="str">
        <f t="shared" ref="EJ150" si="2494">IF(BD150="","","|n"&amp;EJ$2&amp;"+"&amp;BD150&amp;EJ$1)</f>
        <v/>
      </c>
      <c r="EK150" s="44" t="str">
        <f t="shared" ref="EK150" si="2495">IF(BE150="","","|n"&amp;EK$2&amp;"+"&amp;BE150&amp;EK$1)</f>
        <v/>
      </c>
      <c r="EL150" s="44" t="str">
        <f t="shared" ref="EL150" si="2496">IF(BF150="","","|n"&amp;EL$2&amp;"+"&amp;BF150&amp;EL$1)</f>
        <v/>
      </c>
      <c r="EM150" s="44" t="str">
        <f t="shared" ref="EM150" si="2497">IF(BG150="","","|n"&amp;EM$2&amp;"+"&amp;BG150&amp;EM$1)</f>
        <v/>
      </c>
      <c r="EN150" s="44" t="str">
        <f t="shared" ref="EN150" si="2498">IF(BH150="","","|n"&amp;EN$2&amp;"+"&amp;BH150&amp;EN$1)</f>
        <v/>
      </c>
      <c r="EO150" s="44" t="str">
        <f t="shared" ref="EO150" si="2499">IF(BI150="","","|n"&amp;EO$2&amp;"+"&amp;BI150&amp;EO$1)</f>
        <v/>
      </c>
      <c r="EP150" s="44" t="str">
        <f t="shared" ref="EP150" si="2500">IF(BJ150="","","|n"&amp;EP$2&amp;"+"&amp;BJ150&amp;EP$1)</f>
        <v/>
      </c>
      <c r="EQ150" s="44" t="str">
        <f t="shared" ref="EQ150" si="2501">IF(BK150="","","|n"&amp;EQ$2&amp;"+"&amp;BK150&amp;EQ$1)</f>
        <v/>
      </c>
      <c r="ER150" s="44" t="str">
        <f t="shared" ref="ER150" si="2502">IF(BL150="","","|n"&amp;ER$2&amp;"+"&amp;BL150&amp;ER$1)</f>
        <v/>
      </c>
      <c r="ES150" s="44" t="str">
        <f t="shared" ref="ES150" si="2503">IF(BM150="","","|n"&amp;ES$2&amp;"+"&amp;BM150&amp;ES$1)</f>
        <v/>
      </c>
      <c r="ET150" s="44" t="str">
        <f t="shared" ref="ET150" si="2504">IF(BN150="","","|n"&amp;ET$2&amp;"+"&amp;BN150&amp;ET$1)</f>
        <v/>
      </c>
      <c r="EU150" s="44" t="str">
        <f t="shared" ref="EU150" si="2505">IF(BO150="","","|n"&amp;EU$2&amp;"+"&amp;BO150&amp;EU$1)</f>
        <v/>
      </c>
      <c r="EV150" s="44" t="str">
        <f t="shared" ref="EV150" si="2506">IF(BP150="","","|n"&amp;EV$2&amp;"+"&amp;BP150&amp;EV$1)</f>
        <v/>
      </c>
      <c r="EW150" s="44" t="str">
        <f t="shared" ref="EW150" si="2507">IF(BQ150="","","|n"&amp;EW$2&amp;"+"&amp;BQ150&amp;EW$1)</f>
        <v/>
      </c>
      <c r="EX150" s="44" t="str">
        <f t="shared" ref="EX150" si="2508">IF(BR150="","","|n"&amp;EX$2&amp;"+"&amp;BR150&amp;EX$1)</f>
        <v/>
      </c>
      <c r="EY150" s="44" t="str">
        <f t="shared" ref="EY150" si="2509">IF(BS150="","","|n"&amp;EY$2&amp;"+"&amp;BS150&amp;EY$1)</f>
        <v/>
      </c>
      <c r="EZ150" s="44" t="str">
        <f t="shared" ref="EZ150" si="2510">IF(BT150="","","|n"&amp;EZ$2&amp;"+"&amp;BT150&amp;EZ$1)</f>
        <v/>
      </c>
      <c r="FA150" s="44" t="str">
        <f t="shared" ref="FA150" si="2511">IF(BU150="","","|n"&amp;FA$2&amp;"+"&amp;BU150&amp;FA$1)</f>
        <v/>
      </c>
      <c r="FB150" s="44" t="str">
        <f t="shared" ref="FB150" si="2512">IF(BV150="","","|n"&amp;FB$2&amp;"+"&amp;BV150&amp;FB$1)</f>
        <v/>
      </c>
      <c r="FC150" s="44" t="str">
        <f t="shared" ref="FC150" si="2513">IF(BW150="","","|n"&amp;FC$2&amp;"+"&amp;BW150&amp;FC$1)</f>
        <v/>
      </c>
      <c r="FD150" s="44" t="str">
        <f t="shared" ref="FD150" si="2514">IF(BX150="","","|n"&amp;FD$2&amp;"+"&amp;BX150&amp;FD$1)</f>
        <v/>
      </c>
      <c r="FE150" s="44" t="str">
        <f t="shared" ref="FE150" si="2515">IF(BY150="","","|n"&amp;FE$2&amp;"+"&amp;BY150&amp;FE$1)</f>
        <v/>
      </c>
      <c r="FF150" s="44" t="str">
        <f t="shared" ref="FF150" si="2516">IF(BZ150="","","|n"&amp;FF$2&amp;"+"&amp;BZ150&amp;FF$1)</f>
        <v/>
      </c>
      <c r="FG150" s="44" t="str">
        <f t="shared" ref="FG150" si="2517">IF(CA150="","","|n"&amp;FG$2&amp;"+"&amp;CA150&amp;FG$1)</f>
        <v/>
      </c>
      <c r="FH150" s="44" t="str">
        <f t="shared" ref="FH150" si="2518">IF(CB150="","","|n"&amp;FH$2&amp;"+"&amp;CB150&amp;FH$1)</f>
        <v/>
      </c>
      <c r="FI150" s="44" t="str">
        <f t="shared" ref="FI150" si="2519">IF(CC150="","","|n"&amp;FI$2&amp;"+"&amp;CC150&amp;FI$1)</f>
        <v/>
      </c>
      <c r="FJ150" s="44" t="str">
        <f t="shared" ref="FJ150" si="2520">IF(CD150="","","|n"&amp;FJ$2&amp;"+"&amp;CD150&amp;FJ$1)</f>
        <v/>
      </c>
      <c r="FK150" s="44" t="str">
        <f t="shared" ref="FK150" si="2521">IF(CE150="","","|n"&amp;FK$2&amp;"+"&amp;CE150&amp;FK$1)</f>
        <v/>
      </c>
      <c r="FL150" s="44" t="str">
        <f t="shared" ref="FL150" si="2522">IF(CF150="","","|n"&amp;FL$2&amp;"+"&amp;CF150&amp;FL$1)</f>
        <v/>
      </c>
      <c r="FM150" s="44" t="str">
        <f t="shared" ref="FM150" si="2523">IF(CG150="","","|n"&amp;FM$2&amp;"+"&amp;CG150&amp;FM$1)</f>
        <v/>
      </c>
      <c r="FN150" s="44" t="str">
        <f t="shared" ref="FN150" si="2524">IF(CH150="","","|n"&amp;FN$2&amp;"+"&amp;CH150&amp;FN$1)</f>
        <v/>
      </c>
      <c r="FO150" s="44" t="str">
        <f t="shared" ref="FO150" si="2525">IF(CI150="","","|n"&amp;FO$2&amp;"+"&amp;CI150&amp;FO$1)</f>
        <v/>
      </c>
      <c r="FP150" s="44" t="str">
        <f t="shared" ref="FP150" si="2526">IF(CJ150="","","|n"&amp;FP$2&amp;"+"&amp;CJ150&amp;FP$1)</f>
        <v/>
      </c>
      <c r="FQ150" s="44" t="str">
        <f t="shared" ref="FQ150" si="2527">IF(CK150="","","|n"&amp;FQ$2&amp;"+"&amp;CK150&amp;FQ$1)</f>
        <v/>
      </c>
      <c r="FR150" s="44" t="str">
        <f t="shared" ref="FR150" si="2528">IF(CL150="","","|n"&amp;FR$2&amp;"+"&amp;CL150&amp;FR$1)</f>
        <v/>
      </c>
      <c r="FS150" s="44" t="str">
        <f t="shared" ref="FS150" si="2529">IF(CM150="","","|n"&amp;FS$2&amp;"+"&amp;CM150&amp;FS$1)</f>
        <v/>
      </c>
    </row>
    <row r="151" spans="1:175" ht="16.5">
      <c r="A151" s="74"/>
      <c r="B151" s="5" t="s">
        <v>567</v>
      </c>
      <c r="C151" s="74" t="s">
        <v>568</v>
      </c>
      <c r="T151" s="75" t="s">
        <v>569</v>
      </c>
      <c r="U151" s="56" t="str">
        <f t="shared" si="2356"/>
        <v>ReplaceableTextures\\CommandButtons\\BTNIP02.blp</v>
      </c>
      <c r="CN151" s="13" t="str">
        <f t="shared" si="2454"/>
        <v>InitUnitState('IP02',,,,,,,,,,)</v>
      </c>
      <c r="CO151" s="13" t="str">
        <f t="shared" si="2455"/>
        <v>InitUnitNormal('IP02',,,,,,,,,,)</v>
      </c>
      <c r="CP151" s="13" t="str">
        <f t="shared" si="2456"/>
        <v>InitUnitMagic('IP02',,,,,,,,,,)</v>
      </c>
      <c r="CQ151" s="13" t="str">
        <f t="shared" si="2457"/>
        <v>InitUnitAdd('IP02',,,,,,,,,,)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InitEquipData('IP02',,"",,,,,'','','','','','',"ReplaceableTextures\\CommandButtons\\BTNIP03.blp")</v>
      </c>
      <c r="CU151" s="68" t="str">
        <f t="shared" ref="CU151:CU152" si="2530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" t="str">
        <f t="shared" ref="CV151:CV152" si="2531">T151</f>
        <v>点击|Cffffc926选中指定法宝|r后，再点击|Cffffc926重铸|r，可|Cffffc926重置|r指定法宝，|Cffffc926品质不变|r。|n|n|Cff00ff7f每次重铸消耗1个补天石|r</v>
      </c>
      <c r="CW151" s="7"/>
      <c r="CX151" s="7"/>
      <c r="CY151" s="7"/>
      <c r="CZ151" s="7"/>
      <c r="DA151" s="7"/>
      <c r="DB151" s="44" t="str">
        <f t="shared" ref="DB151:DB152" si="2532">IF(V151="","","|n"&amp;DB$2&amp;"+"&amp;V151&amp;DB$1)</f>
        <v/>
      </c>
      <c r="DC151" s="44" t="str">
        <f t="shared" ref="DC151:DC152" si="2533">IF(W151="","","|n"&amp;DC$2&amp;"+"&amp;W151&amp;DC$1)</f>
        <v/>
      </c>
      <c r="DD151" s="44" t="str">
        <f t="shared" ref="DD151:DD152" si="2534">IF(X151="","","|n"&amp;DD$2&amp;"+"&amp;X151&amp;DD$1)</f>
        <v/>
      </c>
      <c r="DE151" s="44" t="str">
        <f t="shared" ref="DE151:DE152" si="2535">IF(Y151="","","|n"&amp;DE$2&amp;"+"&amp;Y151&amp;DE$1)</f>
        <v/>
      </c>
      <c r="DF151" s="44" t="str">
        <f t="shared" ref="DF151:DF152" si="2536">IF(Z151="","","|n"&amp;DF$2&amp;"+"&amp;Z151&amp;DF$1)</f>
        <v/>
      </c>
      <c r="DG151" s="44" t="str">
        <f t="shared" ref="DG151:DG152" si="2537">IF(AA151="","","|n"&amp;DG$2&amp;"+"&amp;AA151&amp;DG$1)</f>
        <v/>
      </c>
      <c r="DH151" s="44" t="str">
        <f t="shared" ref="DH151:DH152" si="2538">IF(AB151="","","|n"&amp;DH$2&amp;"+"&amp;AB151&amp;DH$1)</f>
        <v/>
      </c>
      <c r="DI151" s="44" t="str">
        <f t="shared" ref="DI151:DI152" si="2539">IF(AC151="","","|n"&amp;DI$2&amp;"+"&amp;AC151&amp;DI$1)</f>
        <v/>
      </c>
      <c r="DJ151" s="44" t="str">
        <f t="shared" ref="DJ151:DJ152" si="2540">IF(AD151="","","|n"&amp;DJ$2&amp;"+"&amp;AD151&amp;DJ$1)</f>
        <v/>
      </c>
      <c r="DK151" s="44" t="str">
        <f t="shared" ref="DK151:DK152" si="2541">IF(AE151="","","|n"&amp;DK$2&amp;"+"&amp;AE151&amp;DK$1)</f>
        <v/>
      </c>
      <c r="DL151" s="44" t="str">
        <f t="shared" ref="DL151:DL152" si="2542">IF(AF151="","","|n"&amp;DL$2&amp;"+"&amp;AF151&amp;DL$1)</f>
        <v/>
      </c>
      <c r="DM151" s="44" t="str">
        <f t="shared" ref="DM151:DM152" si="2543">IF(AG151="","","|n"&amp;DM$2&amp;"+"&amp;AG151&amp;DM$1)</f>
        <v/>
      </c>
      <c r="DN151" s="44" t="str">
        <f t="shared" ref="DN151:DN152" si="2544">IF(AH151="","","|n"&amp;DN$2&amp;"+"&amp;AH151&amp;DN$1)</f>
        <v/>
      </c>
      <c r="DO151" s="44" t="str">
        <f t="shared" ref="DO151:DO152" si="2545">IF(AI151="","","|n"&amp;DO$2&amp;"+"&amp;AI151&amp;DO$1)</f>
        <v/>
      </c>
      <c r="DP151" s="44" t="str">
        <f t="shared" ref="DP151:DP152" si="2546">IF(AJ151="","","|n"&amp;DP$2&amp;"+"&amp;AJ151&amp;DP$1)</f>
        <v/>
      </c>
      <c r="DQ151" s="44" t="str">
        <f t="shared" ref="DQ151:DQ152" si="2547">IF(AK151="","","|n"&amp;DQ$2&amp;"+"&amp;AK151&amp;DQ$1)</f>
        <v/>
      </c>
      <c r="DR151" s="44" t="str">
        <f t="shared" ref="DR151:DR152" si="2548">IF(AL151="","","|n"&amp;DR$2&amp;"+"&amp;AL151&amp;DR$1)</f>
        <v/>
      </c>
      <c r="DS151" s="44" t="str">
        <f t="shared" ref="DS151:DS152" si="2549">IF(AM151="","","|n"&amp;DS$2&amp;"+"&amp;AM151&amp;DS$1)</f>
        <v/>
      </c>
      <c r="DT151" s="44" t="str">
        <f t="shared" ref="DT151:DT152" si="2550">IF(AN151="","","|n"&amp;DT$2&amp;"+"&amp;AN151&amp;DT$1)</f>
        <v/>
      </c>
      <c r="DU151" s="44" t="str">
        <f t="shared" ref="DU151:DU152" si="2551">IF(AO151="","","|n"&amp;DU$2&amp;"+"&amp;AO151&amp;DU$1)</f>
        <v/>
      </c>
      <c r="DV151" s="44" t="str">
        <f t="shared" ref="DV151:DV152" si="2552">IF(AP151="","","|n"&amp;DV$2&amp;"+"&amp;AP151&amp;DV$1)</f>
        <v/>
      </c>
      <c r="DW151" s="44" t="str">
        <f t="shared" ref="DW151:DW152" si="2553">IF(AQ151="","","|n"&amp;DW$2&amp;"+"&amp;AQ151&amp;DW$1)</f>
        <v/>
      </c>
      <c r="DX151" s="44" t="str">
        <f t="shared" ref="DX151:DX152" si="2554">IF(AR151="","","|n"&amp;DX$2&amp;"+"&amp;AR151&amp;DX$1)</f>
        <v/>
      </c>
      <c r="DY151" s="44" t="str">
        <f t="shared" ref="DY151:DY152" si="2555">IF(AS151="","","|n"&amp;DY$2&amp;"+"&amp;AS151&amp;DY$1)</f>
        <v/>
      </c>
      <c r="DZ151" s="44" t="str">
        <f t="shared" ref="DZ151:DZ152" si="2556">IF(AT151="","","|n"&amp;DZ$2&amp;"+"&amp;AT151&amp;DZ$1)</f>
        <v/>
      </c>
      <c r="EA151" s="44" t="str">
        <f t="shared" ref="EA151:EA152" si="2557">IF(AU151="","","|n"&amp;EA$2&amp;"+"&amp;AU151&amp;EA$1)</f>
        <v/>
      </c>
      <c r="EB151" s="44" t="str">
        <f t="shared" ref="EB151:EB152" si="2558">IF(AV151="","","|n"&amp;EB$2&amp;"+"&amp;AV151&amp;EB$1)</f>
        <v/>
      </c>
      <c r="EC151" s="44" t="str">
        <f t="shared" ref="EC151:EC152" si="2559">IF(AW151="","","|n"&amp;EC$2&amp;"+"&amp;AW151&amp;EC$1)</f>
        <v/>
      </c>
      <c r="ED151" s="44" t="str">
        <f t="shared" ref="ED151:ED152" si="2560">IF(AX151="","","|n"&amp;ED$2&amp;"+"&amp;AX151&amp;ED$1)</f>
        <v/>
      </c>
      <c r="EE151" s="44" t="str">
        <f t="shared" ref="EE151:EE152" si="2561">IF(AY151="","","|n"&amp;EE$2&amp;"+"&amp;AY151&amp;EE$1)</f>
        <v/>
      </c>
      <c r="EF151" s="44" t="str">
        <f t="shared" ref="EF151:EF152" si="2562">IF(AZ151="","","|n"&amp;EF$2&amp;"+"&amp;AZ151&amp;EF$1)</f>
        <v/>
      </c>
      <c r="EG151" s="44" t="str">
        <f t="shared" ref="EG151:EG152" si="2563">IF(BA151="","","|n"&amp;EG$2&amp;"+"&amp;BA151&amp;EG$1)</f>
        <v/>
      </c>
      <c r="EH151" s="44" t="str">
        <f t="shared" ref="EH151:EH152" si="2564">IF(BB151="","","|n"&amp;EH$2&amp;"+"&amp;BB151&amp;EH$1)</f>
        <v/>
      </c>
      <c r="EI151" s="44" t="str">
        <f t="shared" ref="EI151:EI152" si="2565">IF(BC151="","","|n"&amp;EI$2&amp;"+"&amp;BC151&amp;EI$1)</f>
        <v/>
      </c>
      <c r="EJ151" s="44" t="str">
        <f t="shared" ref="EJ151:EJ152" si="2566">IF(BD151="","","|n"&amp;EJ$2&amp;"+"&amp;BD151&amp;EJ$1)</f>
        <v/>
      </c>
      <c r="EK151" s="44" t="str">
        <f t="shared" ref="EK151:EK152" si="2567">IF(BE151="","","|n"&amp;EK$2&amp;"+"&amp;BE151&amp;EK$1)</f>
        <v/>
      </c>
      <c r="EL151" s="44" t="str">
        <f t="shared" ref="EL151:EL152" si="2568">IF(BF151="","","|n"&amp;EL$2&amp;"+"&amp;BF151&amp;EL$1)</f>
        <v/>
      </c>
      <c r="EM151" s="44" t="str">
        <f t="shared" ref="EM151:EM152" si="2569">IF(BG151="","","|n"&amp;EM$2&amp;"+"&amp;BG151&amp;EM$1)</f>
        <v/>
      </c>
      <c r="EN151" s="44" t="str">
        <f t="shared" ref="EN151:EN152" si="2570">IF(BH151="","","|n"&amp;EN$2&amp;"+"&amp;BH151&amp;EN$1)</f>
        <v/>
      </c>
      <c r="EO151" s="44" t="str">
        <f t="shared" ref="EO151:EO152" si="2571">IF(BI151="","","|n"&amp;EO$2&amp;"+"&amp;BI151&amp;EO$1)</f>
        <v/>
      </c>
      <c r="EP151" s="44" t="str">
        <f t="shared" ref="EP151:EP152" si="2572">IF(BJ151="","","|n"&amp;EP$2&amp;"+"&amp;BJ151&amp;EP$1)</f>
        <v/>
      </c>
      <c r="EQ151" s="44" t="str">
        <f t="shared" ref="EQ151:EQ152" si="2573">IF(BK151="","","|n"&amp;EQ$2&amp;"+"&amp;BK151&amp;EQ$1)</f>
        <v/>
      </c>
      <c r="ER151" s="44" t="str">
        <f t="shared" ref="ER151:ER152" si="2574">IF(BL151="","","|n"&amp;ER$2&amp;"+"&amp;BL151&amp;ER$1)</f>
        <v/>
      </c>
      <c r="ES151" s="44" t="str">
        <f t="shared" ref="ES151:ES152" si="2575">IF(BM151="","","|n"&amp;ES$2&amp;"+"&amp;BM151&amp;ES$1)</f>
        <v/>
      </c>
      <c r="ET151" s="44" t="str">
        <f t="shared" ref="ET151:ET152" si="2576">IF(BN151="","","|n"&amp;ET$2&amp;"+"&amp;BN151&amp;ET$1)</f>
        <v/>
      </c>
      <c r="EU151" s="44" t="str">
        <f t="shared" ref="EU151:EU152" si="2577">IF(BO151="","","|n"&amp;EU$2&amp;"+"&amp;BO151&amp;EU$1)</f>
        <v/>
      </c>
      <c r="EV151" s="44" t="str">
        <f t="shared" ref="EV151:EV152" si="2578">IF(BP151="","","|n"&amp;EV$2&amp;"+"&amp;BP151&amp;EV$1)</f>
        <v/>
      </c>
      <c r="EW151" s="44" t="str">
        <f t="shared" ref="EW151:EW152" si="2579">IF(BQ151="","","|n"&amp;EW$2&amp;"+"&amp;BQ151&amp;EW$1)</f>
        <v/>
      </c>
      <c r="EX151" s="44" t="str">
        <f t="shared" ref="EX151:EX152" si="2580">IF(BR151="","","|n"&amp;EX$2&amp;"+"&amp;BR151&amp;EX$1)</f>
        <v/>
      </c>
      <c r="EY151" s="44" t="str">
        <f t="shared" ref="EY151:EY152" si="2581">IF(BS151="","","|n"&amp;EY$2&amp;"+"&amp;BS151&amp;EY$1)</f>
        <v/>
      </c>
      <c r="EZ151" s="44" t="str">
        <f t="shared" ref="EZ151:EZ152" si="2582">IF(BT151="","","|n"&amp;EZ$2&amp;"+"&amp;BT151&amp;EZ$1)</f>
        <v/>
      </c>
      <c r="FA151" s="44" t="str">
        <f t="shared" ref="FA151:FA152" si="2583">IF(BU151="","","|n"&amp;FA$2&amp;"+"&amp;BU151&amp;FA$1)</f>
        <v/>
      </c>
      <c r="FB151" s="44" t="str">
        <f t="shared" ref="FB151:FB152" si="2584">IF(BV151="","","|n"&amp;FB$2&amp;"+"&amp;BV151&amp;FB$1)</f>
        <v/>
      </c>
      <c r="FC151" s="44" t="str">
        <f t="shared" ref="FC151:FC152" si="2585">IF(BW151="","","|n"&amp;FC$2&amp;"+"&amp;BW151&amp;FC$1)</f>
        <v/>
      </c>
      <c r="FD151" s="44" t="str">
        <f t="shared" ref="FD151:FD152" si="2586">IF(BX151="","","|n"&amp;FD$2&amp;"+"&amp;BX151&amp;FD$1)</f>
        <v/>
      </c>
      <c r="FE151" s="44" t="str">
        <f t="shared" ref="FE151:FE152" si="2587">IF(BY151="","","|n"&amp;FE$2&amp;"+"&amp;BY151&amp;FE$1)</f>
        <v/>
      </c>
      <c r="FF151" s="44" t="str">
        <f t="shared" ref="FF151:FF152" si="2588">IF(BZ151="","","|n"&amp;FF$2&amp;"+"&amp;BZ151&amp;FF$1)</f>
        <v/>
      </c>
      <c r="FG151" s="44" t="str">
        <f t="shared" ref="FG151:FG152" si="2589">IF(CA151="","","|n"&amp;FG$2&amp;"+"&amp;CA151&amp;FG$1)</f>
        <v/>
      </c>
      <c r="FH151" s="44" t="str">
        <f t="shared" ref="FH151:FH152" si="2590">IF(CB151="","","|n"&amp;FH$2&amp;"+"&amp;CB151&amp;FH$1)</f>
        <v/>
      </c>
      <c r="FI151" s="44" t="str">
        <f t="shared" ref="FI151:FI152" si="2591">IF(CC151="","","|n"&amp;FI$2&amp;"+"&amp;CC151&amp;FI$1)</f>
        <v/>
      </c>
      <c r="FJ151" s="44" t="str">
        <f t="shared" ref="FJ151:FJ152" si="2592">IF(CD151="","","|n"&amp;FJ$2&amp;"+"&amp;CD151&amp;FJ$1)</f>
        <v/>
      </c>
      <c r="FK151" s="44" t="str">
        <f t="shared" ref="FK151:FK152" si="2593">IF(CE151="","","|n"&amp;FK$2&amp;"+"&amp;CE151&amp;FK$1)</f>
        <v/>
      </c>
      <c r="FL151" s="44" t="str">
        <f t="shared" ref="FL151:FL152" si="2594">IF(CF151="","","|n"&amp;FL$2&amp;"+"&amp;CF151&amp;FL$1)</f>
        <v/>
      </c>
      <c r="FM151" s="44" t="str">
        <f t="shared" ref="FM151:FM152" si="2595">IF(CG151="","","|n"&amp;FM$2&amp;"+"&amp;CG151&amp;FM$1)</f>
        <v/>
      </c>
      <c r="FN151" s="44" t="str">
        <f t="shared" ref="FN151:FN152" si="2596">IF(CH151="","","|n"&amp;FN$2&amp;"+"&amp;CH151&amp;FN$1)</f>
        <v/>
      </c>
      <c r="FO151" s="44" t="str">
        <f t="shared" ref="FO151:FO152" si="2597">IF(CI151="","","|n"&amp;FO$2&amp;"+"&amp;CI151&amp;FO$1)</f>
        <v/>
      </c>
      <c r="FP151" s="44" t="str">
        <f t="shared" ref="FP151:FP152" si="2598">IF(CJ151="","","|n"&amp;FP$2&amp;"+"&amp;CJ151&amp;FP$1)</f>
        <v/>
      </c>
      <c r="FQ151" s="44" t="str">
        <f t="shared" ref="FQ151:FQ152" si="2599">IF(CK151="","","|n"&amp;FQ$2&amp;"+"&amp;CK151&amp;FQ$1)</f>
        <v/>
      </c>
      <c r="FR151" s="44" t="str">
        <f t="shared" ref="FR151:FR152" si="2600">IF(CL151="","","|n"&amp;FR$2&amp;"+"&amp;CL151&amp;FR$1)</f>
        <v/>
      </c>
      <c r="FS151" s="44" t="str">
        <f t="shared" ref="FS151:FS152" si="2601">IF(CM151="","","|n"&amp;FS$2&amp;"+"&amp;CM151&amp;FS$1)</f>
        <v/>
      </c>
    </row>
    <row r="152" spans="1:175" ht="16.5">
      <c r="A152" s="74"/>
      <c r="B152" s="5" t="s">
        <v>570</v>
      </c>
      <c r="C152" s="74" t="s">
        <v>571</v>
      </c>
      <c r="T152" s="75" t="s">
        <v>572</v>
      </c>
      <c r="U152" s="56" t="str">
        <f t="shared" si="2356"/>
        <v>ReplaceableTextures\\CommandButtons\\BTNIP03.blp</v>
      </c>
      <c r="CN152" s="13" t="str">
        <f t="shared" si="2454"/>
        <v>InitUnitState('IP03',,,,,,,,,,)</v>
      </c>
      <c r="CO152" s="13" t="str">
        <f t="shared" si="2455"/>
        <v>InitUnitNormal('IP03',,,,,,,,,,)</v>
      </c>
      <c r="CP152" s="13" t="str">
        <f t="shared" si="2456"/>
        <v>InitUnitMagic('IP03',,,,,,,,,,)</v>
      </c>
      <c r="CQ152" s="13" t="str">
        <f t="shared" si="2457"/>
        <v>InitUnitAdd('IP03',,,,,,,,,,)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159&amp;CR$1&amp;")"</f>
        <v>InitEquipData('IP03',,"",,,,,'','','','','','',"ReplaceableTextures\\CommandButtons\\BTNIT01.blp")</v>
      </c>
      <c r="CU152" s="68" t="str">
        <f t="shared" si="2530"/>
        <v>|n</v>
      </c>
      <c r="CV152" s="6" t="str">
        <f t="shared" si="2531"/>
        <v>点击|Cffffc926选中指定法宝|r后，再点击|Cffffc926锻造|r，可|Cffffc926重置|r指定法宝，|Cffffc926品质提升一级|r。|n|n|Cff00ff7f每次重铸消耗1个鸿蒙结晶|r</v>
      </c>
      <c r="CW152" s="7"/>
      <c r="CX152" s="7"/>
      <c r="CY152" s="7"/>
      <c r="CZ152" s="7"/>
      <c r="DA152" s="7"/>
      <c r="DB152" s="44" t="str">
        <f t="shared" si="2532"/>
        <v/>
      </c>
      <c r="DC152" s="44" t="str">
        <f t="shared" si="2533"/>
        <v/>
      </c>
      <c r="DD152" s="44" t="str">
        <f t="shared" si="2534"/>
        <v/>
      </c>
      <c r="DE152" s="44" t="str">
        <f t="shared" si="2535"/>
        <v/>
      </c>
      <c r="DF152" s="44" t="str">
        <f t="shared" si="2536"/>
        <v/>
      </c>
      <c r="DG152" s="44" t="str">
        <f t="shared" si="2537"/>
        <v/>
      </c>
      <c r="DH152" s="44" t="str">
        <f t="shared" si="2538"/>
        <v/>
      </c>
      <c r="DI152" s="44" t="str">
        <f t="shared" si="2539"/>
        <v/>
      </c>
      <c r="DJ152" s="44" t="str">
        <f t="shared" si="2540"/>
        <v/>
      </c>
      <c r="DK152" s="44" t="str">
        <f t="shared" si="2541"/>
        <v/>
      </c>
      <c r="DL152" s="44" t="str">
        <f t="shared" si="2542"/>
        <v/>
      </c>
      <c r="DM152" s="44" t="str">
        <f t="shared" si="2543"/>
        <v/>
      </c>
      <c r="DN152" s="44" t="str">
        <f t="shared" si="2544"/>
        <v/>
      </c>
      <c r="DO152" s="44" t="str">
        <f t="shared" si="2545"/>
        <v/>
      </c>
      <c r="DP152" s="44" t="str">
        <f t="shared" si="2546"/>
        <v/>
      </c>
      <c r="DQ152" s="44" t="str">
        <f t="shared" si="2547"/>
        <v/>
      </c>
      <c r="DR152" s="44" t="str">
        <f t="shared" si="2548"/>
        <v/>
      </c>
      <c r="DS152" s="44" t="str">
        <f t="shared" si="2549"/>
        <v/>
      </c>
      <c r="DT152" s="44" t="str">
        <f t="shared" si="2550"/>
        <v/>
      </c>
      <c r="DU152" s="44" t="str">
        <f t="shared" si="2551"/>
        <v/>
      </c>
      <c r="DV152" s="44" t="str">
        <f t="shared" si="2552"/>
        <v/>
      </c>
      <c r="DW152" s="44" t="str">
        <f t="shared" si="2553"/>
        <v/>
      </c>
      <c r="DX152" s="44" t="str">
        <f t="shared" si="2554"/>
        <v/>
      </c>
      <c r="DY152" s="44" t="str">
        <f t="shared" si="2555"/>
        <v/>
      </c>
      <c r="DZ152" s="44" t="str">
        <f t="shared" si="2556"/>
        <v/>
      </c>
      <c r="EA152" s="44" t="str">
        <f t="shared" si="2557"/>
        <v/>
      </c>
      <c r="EB152" s="44" t="str">
        <f t="shared" si="2558"/>
        <v/>
      </c>
      <c r="EC152" s="44" t="str">
        <f t="shared" si="2559"/>
        <v/>
      </c>
      <c r="ED152" s="44" t="str">
        <f t="shared" si="2560"/>
        <v/>
      </c>
      <c r="EE152" s="44" t="str">
        <f t="shared" si="2561"/>
        <v/>
      </c>
      <c r="EF152" s="44" t="str">
        <f t="shared" si="2562"/>
        <v/>
      </c>
      <c r="EG152" s="44" t="str">
        <f t="shared" si="2563"/>
        <v/>
      </c>
      <c r="EH152" s="44" t="str">
        <f t="shared" si="2564"/>
        <v/>
      </c>
      <c r="EI152" s="44" t="str">
        <f t="shared" si="2565"/>
        <v/>
      </c>
      <c r="EJ152" s="44" t="str">
        <f t="shared" si="2566"/>
        <v/>
      </c>
      <c r="EK152" s="44" t="str">
        <f t="shared" si="2567"/>
        <v/>
      </c>
      <c r="EL152" s="44" t="str">
        <f t="shared" si="2568"/>
        <v/>
      </c>
      <c r="EM152" s="44" t="str">
        <f t="shared" si="2569"/>
        <v/>
      </c>
      <c r="EN152" s="44" t="str">
        <f t="shared" si="2570"/>
        <v/>
      </c>
      <c r="EO152" s="44" t="str">
        <f t="shared" si="2571"/>
        <v/>
      </c>
      <c r="EP152" s="44" t="str">
        <f t="shared" si="2572"/>
        <v/>
      </c>
      <c r="EQ152" s="44" t="str">
        <f t="shared" si="2573"/>
        <v/>
      </c>
      <c r="ER152" s="44" t="str">
        <f t="shared" si="2574"/>
        <v/>
      </c>
      <c r="ES152" s="44" t="str">
        <f t="shared" si="2575"/>
        <v/>
      </c>
      <c r="ET152" s="44" t="str">
        <f t="shared" si="2576"/>
        <v/>
      </c>
      <c r="EU152" s="44" t="str">
        <f t="shared" si="2577"/>
        <v/>
      </c>
      <c r="EV152" s="44" t="str">
        <f t="shared" si="2578"/>
        <v/>
      </c>
      <c r="EW152" s="44" t="str">
        <f t="shared" si="2579"/>
        <v/>
      </c>
      <c r="EX152" s="44" t="str">
        <f t="shared" si="2580"/>
        <v/>
      </c>
      <c r="EY152" s="44" t="str">
        <f t="shared" si="2581"/>
        <v/>
      </c>
      <c r="EZ152" s="44" t="str">
        <f t="shared" si="2582"/>
        <v/>
      </c>
      <c r="FA152" s="44" t="str">
        <f t="shared" si="2583"/>
        <v/>
      </c>
      <c r="FB152" s="44" t="str">
        <f t="shared" si="2584"/>
        <v/>
      </c>
      <c r="FC152" s="44" t="str">
        <f t="shared" si="2585"/>
        <v/>
      </c>
      <c r="FD152" s="44" t="str">
        <f t="shared" si="2586"/>
        <v/>
      </c>
      <c r="FE152" s="44" t="str">
        <f t="shared" si="2587"/>
        <v/>
      </c>
      <c r="FF152" s="44" t="str">
        <f t="shared" si="2588"/>
        <v/>
      </c>
      <c r="FG152" s="44" t="str">
        <f t="shared" si="2589"/>
        <v/>
      </c>
      <c r="FH152" s="44" t="str">
        <f t="shared" si="2590"/>
        <v/>
      </c>
      <c r="FI152" s="44" t="str">
        <f t="shared" si="2591"/>
        <v/>
      </c>
      <c r="FJ152" s="44" t="str">
        <f t="shared" si="2592"/>
        <v/>
      </c>
      <c r="FK152" s="44" t="str">
        <f t="shared" si="2593"/>
        <v/>
      </c>
      <c r="FL152" s="44" t="str">
        <f t="shared" si="2594"/>
        <v/>
      </c>
      <c r="FM152" s="44" t="str">
        <f t="shared" si="2595"/>
        <v/>
      </c>
      <c r="FN152" s="44" t="str">
        <f t="shared" si="2596"/>
        <v/>
      </c>
      <c r="FO152" s="44" t="str">
        <f t="shared" si="2597"/>
        <v/>
      </c>
      <c r="FP152" s="44" t="str">
        <f t="shared" si="2598"/>
        <v/>
      </c>
      <c r="FQ152" s="44" t="str">
        <f t="shared" si="2599"/>
        <v/>
      </c>
      <c r="FR152" s="44" t="str">
        <f t="shared" si="2600"/>
        <v/>
      </c>
      <c r="FS152" s="44" t="str">
        <f t="shared" si="2601"/>
        <v/>
      </c>
    </row>
    <row r="153" spans="1:175" ht="16.5">
      <c r="A153" s="74"/>
      <c r="B153" s="5" t="s">
        <v>573</v>
      </c>
      <c r="C153" s="74" t="s">
        <v>574</v>
      </c>
      <c r="T153" s="75" t="s">
        <v>575</v>
      </c>
      <c r="U153" s="56" t="str">
        <f t="shared" ref="U153:U156" si="2602">"ReplaceableTextures\\CommandButtons\\BTN"&amp;B153&amp;".blp"</f>
        <v>ReplaceableTextures\\CommandButtons\\BTNIP04.blp</v>
      </c>
      <c r="CN153" s="13" t="str">
        <f t="shared" si="2454"/>
        <v>InitUnitState('IP04',,,,,,,,,,)</v>
      </c>
      <c r="CO153" s="13" t="str">
        <f t="shared" si="2455"/>
        <v>InitUnitNormal('IP04',,,,,,,,,,)</v>
      </c>
      <c r="CP153" s="13" t="str">
        <f t="shared" si="2456"/>
        <v>InitUnitMagic('IP04',,,,,,,,,,)</v>
      </c>
      <c r="CQ153" s="13" t="str">
        <f t="shared" si="2457"/>
        <v>InitUnitAdd('IP04',,,,,,,,,,)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InitEquipData('IP04',,"",,,,,'','','','','','',"ReplaceableTextures\\CommandButtons\\BTNIP05.blp")</v>
      </c>
      <c r="CU153" s="68" t="str">
        <f t="shared" ref="CU153:CU158" si="2603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" t="str">
        <f t="shared" ref="CV153:CV158" si="2604">T153</f>
        <v>使用后|Cffffd24d重置|r当前|Cffff0000神兽神通【R】|r|Cfff0f0f0。|r</v>
      </c>
      <c r="CW153" s="7"/>
      <c r="CX153" s="7"/>
      <c r="CY153" s="7"/>
      <c r="CZ153" s="7"/>
      <c r="DA153" s="7"/>
      <c r="DB153" s="44" t="str">
        <f t="shared" ref="DB153:DB154" si="2605">IF(V153="","","|n"&amp;DB$2&amp;"+"&amp;V153&amp;DB$1)</f>
        <v/>
      </c>
      <c r="DC153" s="44" t="str">
        <f t="shared" ref="DC153:DC154" si="2606">IF(W153="","","|n"&amp;DC$2&amp;"+"&amp;W153&amp;DC$1)</f>
        <v/>
      </c>
      <c r="DD153" s="44" t="str">
        <f t="shared" ref="DD153:DD154" si="2607">IF(X153="","","|n"&amp;DD$2&amp;"+"&amp;X153&amp;DD$1)</f>
        <v/>
      </c>
      <c r="DE153" s="44" t="str">
        <f t="shared" ref="DE153:DE154" si="2608">IF(Y153="","","|n"&amp;DE$2&amp;"+"&amp;Y153&amp;DE$1)</f>
        <v/>
      </c>
      <c r="DF153" s="44" t="str">
        <f t="shared" ref="DF153:DF154" si="2609">IF(Z153="","","|n"&amp;DF$2&amp;"+"&amp;Z153&amp;DF$1)</f>
        <v/>
      </c>
      <c r="DG153" s="44" t="str">
        <f t="shared" ref="DG153:DG154" si="2610">IF(AA153="","","|n"&amp;DG$2&amp;"+"&amp;AA153&amp;DG$1)</f>
        <v/>
      </c>
      <c r="DH153" s="44" t="str">
        <f t="shared" ref="DH153:DH154" si="2611">IF(AB153="","","|n"&amp;DH$2&amp;"+"&amp;AB153&amp;DH$1)</f>
        <v/>
      </c>
      <c r="DI153" s="44" t="str">
        <f t="shared" ref="DI153:DI154" si="2612">IF(AC153="","","|n"&amp;DI$2&amp;"+"&amp;AC153&amp;DI$1)</f>
        <v/>
      </c>
      <c r="DJ153" s="44" t="str">
        <f t="shared" ref="DJ153:DJ154" si="2613">IF(AD153="","","|n"&amp;DJ$2&amp;"+"&amp;AD153&amp;DJ$1)</f>
        <v/>
      </c>
      <c r="DK153" s="44" t="str">
        <f t="shared" ref="DK153:DK154" si="2614">IF(AE153="","","|n"&amp;DK$2&amp;"+"&amp;AE153&amp;DK$1)</f>
        <v/>
      </c>
      <c r="DL153" s="44" t="str">
        <f t="shared" ref="DL153:DL154" si="2615">IF(AF153="","","|n"&amp;DL$2&amp;"+"&amp;AF153&amp;DL$1)</f>
        <v/>
      </c>
      <c r="DM153" s="44" t="str">
        <f t="shared" ref="DM153:DM154" si="2616">IF(AG153="","","|n"&amp;DM$2&amp;"+"&amp;AG153&amp;DM$1)</f>
        <v/>
      </c>
      <c r="DN153" s="44" t="str">
        <f t="shared" ref="DN153:DN154" si="2617">IF(AH153="","","|n"&amp;DN$2&amp;"+"&amp;AH153&amp;DN$1)</f>
        <v/>
      </c>
      <c r="DO153" s="44" t="str">
        <f t="shared" ref="DO153:DO154" si="2618">IF(AI153="","","|n"&amp;DO$2&amp;"+"&amp;AI153&amp;DO$1)</f>
        <v/>
      </c>
      <c r="DP153" s="44" t="str">
        <f t="shared" ref="DP153:DP154" si="2619">IF(AJ153="","","|n"&amp;DP$2&amp;"+"&amp;AJ153&amp;DP$1)</f>
        <v/>
      </c>
      <c r="DQ153" s="44" t="str">
        <f t="shared" ref="DQ153:DQ154" si="2620">IF(AK153="","","|n"&amp;DQ$2&amp;"+"&amp;AK153&amp;DQ$1)</f>
        <v/>
      </c>
      <c r="DR153" s="44" t="str">
        <f t="shared" ref="DR153:DR154" si="2621">IF(AL153="","","|n"&amp;DR$2&amp;"+"&amp;AL153&amp;DR$1)</f>
        <v/>
      </c>
      <c r="DS153" s="44" t="str">
        <f t="shared" ref="DS153:DS154" si="2622">IF(AM153="","","|n"&amp;DS$2&amp;"+"&amp;AM153&amp;DS$1)</f>
        <v/>
      </c>
      <c r="DT153" s="44" t="str">
        <f t="shared" ref="DT153:DT154" si="2623">IF(AN153="","","|n"&amp;DT$2&amp;"+"&amp;AN153&amp;DT$1)</f>
        <v/>
      </c>
      <c r="DU153" s="44" t="str">
        <f t="shared" ref="DU153:DU154" si="2624">IF(AO153="","","|n"&amp;DU$2&amp;"+"&amp;AO153&amp;DU$1)</f>
        <v/>
      </c>
      <c r="DV153" s="44" t="str">
        <f t="shared" ref="DV153:DV154" si="2625">IF(AP153="","","|n"&amp;DV$2&amp;"+"&amp;AP153&amp;DV$1)</f>
        <v/>
      </c>
      <c r="DW153" s="44" t="str">
        <f t="shared" ref="DW153:DW154" si="2626">IF(AQ153="","","|n"&amp;DW$2&amp;"+"&amp;AQ153&amp;DW$1)</f>
        <v/>
      </c>
      <c r="DX153" s="44" t="str">
        <f t="shared" ref="DX153:DX154" si="2627">IF(AR153="","","|n"&amp;DX$2&amp;"+"&amp;AR153&amp;DX$1)</f>
        <v/>
      </c>
      <c r="DY153" s="44" t="str">
        <f t="shared" ref="DY153:DY154" si="2628">IF(AS153="","","|n"&amp;DY$2&amp;"+"&amp;AS153&amp;DY$1)</f>
        <v/>
      </c>
      <c r="DZ153" s="44" t="str">
        <f t="shared" ref="DZ153:DZ154" si="2629">IF(AT153="","","|n"&amp;DZ$2&amp;"+"&amp;AT153&amp;DZ$1)</f>
        <v/>
      </c>
      <c r="EA153" s="44" t="str">
        <f t="shared" ref="EA153:EA154" si="2630">IF(AU153="","","|n"&amp;EA$2&amp;"+"&amp;AU153&amp;EA$1)</f>
        <v/>
      </c>
      <c r="EB153" s="44" t="str">
        <f t="shared" ref="EB153:EB154" si="2631">IF(AV153="","","|n"&amp;EB$2&amp;"+"&amp;AV153&amp;EB$1)</f>
        <v/>
      </c>
      <c r="EC153" s="44" t="str">
        <f t="shared" ref="EC153:EC154" si="2632">IF(AW153="","","|n"&amp;EC$2&amp;"+"&amp;AW153&amp;EC$1)</f>
        <v/>
      </c>
      <c r="ED153" s="44" t="str">
        <f t="shared" ref="ED153:ED154" si="2633">IF(AX153="","","|n"&amp;ED$2&amp;"+"&amp;AX153&amp;ED$1)</f>
        <v/>
      </c>
      <c r="EE153" s="44" t="str">
        <f t="shared" ref="EE153:EE154" si="2634">IF(AY153="","","|n"&amp;EE$2&amp;"+"&amp;AY153&amp;EE$1)</f>
        <v/>
      </c>
      <c r="EF153" s="44" t="str">
        <f t="shared" ref="EF153:EF154" si="2635">IF(AZ153="","","|n"&amp;EF$2&amp;"+"&amp;AZ153&amp;EF$1)</f>
        <v/>
      </c>
      <c r="EG153" s="44" t="str">
        <f t="shared" ref="EG153:EG154" si="2636">IF(BA153="","","|n"&amp;EG$2&amp;"+"&amp;BA153&amp;EG$1)</f>
        <v/>
      </c>
      <c r="EH153" s="44" t="str">
        <f t="shared" ref="EH153:EH154" si="2637">IF(BB153="","","|n"&amp;EH$2&amp;"+"&amp;BB153&amp;EH$1)</f>
        <v/>
      </c>
      <c r="EI153" s="44" t="str">
        <f t="shared" ref="EI153:EI154" si="2638">IF(BC153="","","|n"&amp;EI$2&amp;"+"&amp;BC153&amp;EI$1)</f>
        <v/>
      </c>
      <c r="EJ153" s="44" t="str">
        <f t="shared" ref="EJ153:EJ154" si="2639">IF(BD153="","","|n"&amp;EJ$2&amp;"+"&amp;BD153&amp;EJ$1)</f>
        <v/>
      </c>
      <c r="EK153" s="44" t="str">
        <f t="shared" ref="EK153:EK154" si="2640">IF(BE153="","","|n"&amp;EK$2&amp;"+"&amp;BE153&amp;EK$1)</f>
        <v/>
      </c>
      <c r="EL153" s="44" t="str">
        <f t="shared" ref="EL153:EL154" si="2641">IF(BF153="","","|n"&amp;EL$2&amp;"+"&amp;BF153&amp;EL$1)</f>
        <v/>
      </c>
      <c r="EM153" s="44" t="str">
        <f t="shared" ref="EM153:EM154" si="2642">IF(BG153="","","|n"&amp;EM$2&amp;"+"&amp;BG153&amp;EM$1)</f>
        <v/>
      </c>
      <c r="EN153" s="44" t="str">
        <f t="shared" ref="EN153:EN154" si="2643">IF(BH153="","","|n"&amp;EN$2&amp;"+"&amp;BH153&amp;EN$1)</f>
        <v/>
      </c>
      <c r="EO153" s="44" t="str">
        <f t="shared" ref="EO153:EO154" si="2644">IF(BI153="","","|n"&amp;EO$2&amp;"+"&amp;BI153&amp;EO$1)</f>
        <v/>
      </c>
      <c r="EP153" s="44" t="str">
        <f t="shared" ref="EP153:EP154" si="2645">IF(BJ153="","","|n"&amp;EP$2&amp;"+"&amp;BJ153&amp;EP$1)</f>
        <v/>
      </c>
      <c r="EQ153" s="44" t="str">
        <f t="shared" ref="EQ153:EQ154" si="2646">IF(BK153="","","|n"&amp;EQ$2&amp;"+"&amp;BK153&amp;EQ$1)</f>
        <v/>
      </c>
      <c r="ER153" s="44" t="str">
        <f t="shared" ref="ER153:ER154" si="2647">IF(BL153="","","|n"&amp;ER$2&amp;"+"&amp;BL153&amp;ER$1)</f>
        <v/>
      </c>
      <c r="ES153" s="44" t="str">
        <f t="shared" ref="ES153:ES154" si="2648">IF(BM153="","","|n"&amp;ES$2&amp;"+"&amp;BM153&amp;ES$1)</f>
        <v/>
      </c>
      <c r="ET153" s="44" t="str">
        <f t="shared" ref="ET153:ET154" si="2649">IF(BN153="","","|n"&amp;ET$2&amp;"+"&amp;BN153&amp;ET$1)</f>
        <v/>
      </c>
      <c r="EU153" s="44" t="str">
        <f t="shared" ref="EU153:EU154" si="2650">IF(BO153="","","|n"&amp;EU$2&amp;"+"&amp;BO153&amp;EU$1)</f>
        <v/>
      </c>
      <c r="EV153" s="44" t="str">
        <f t="shared" ref="EV153:EV154" si="2651">IF(BP153="","","|n"&amp;EV$2&amp;"+"&amp;BP153&amp;EV$1)</f>
        <v/>
      </c>
      <c r="EW153" s="44" t="str">
        <f t="shared" ref="EW153:EW154" si="2652">IF(BQ153="","","|n"&amp;EW$2&amp;"+"&amp;BQ153&amp;EW$1)</f>
        <v/>
      </c>
      <c r="EX153" s="44" t="str">
        <f t="shared" ref="EX153:EX154" si="2653">IF(BR153="","","|n"&amp;EX$2&amp;"+"&amp;BR153&amp;EX$1)</f>
        <v/>
      </c>
      <c r="EY153" s="44" t="str">
        <f t="shared" ref="EY153:EY154" si="2654">IF(BS153="","","|n"&amp;EY$2&amp;"+"&amp;BS153&amp;EY$1)</f>
        <v/>
      </c>
      <c r="EZ153" s="44" t="str">
        <f t="shared" ref="EZ153:EZ154" si="2655">IF(BT153="","","|n"&amp;EZ$2&amp;"+"&amp;BT153&amp;EZ$1)</f>
        <v/>
      </c>
      <c r="FA153" s="44" t="str">
        <f t="shared" ref="FA153:FA154" si="2656">IF(BU153="","","|n"&amp;FA$2&amp;"+"&amp;BU153&amp;FA$1)</f>
        <v/>
      </c>
      <c r="FB153" s="44" t="str">
        <f t="shared" ref="FB153:FB154" si="2657">IF(BV153="","","|n"&amp;FB$2&amp;"+"&amp;BV153&amp;FB$1)</f>
        <v/>
      </c>
      <c r="FC153" s="44" t="str">
        <f t="shared" ref="FC153:FC154" si="2658">IF(BW153="","","|n"&amp;FC$2&amp;"+"&amp;BW153&amp;FC$1)</f>
        <v/>
      </c>
      <c r="FD153" s="44" t="str">
        <f t="shared" ref="FD153:FD154" si="2659">IF(BX153="","","|n"&amp;FD$2&amp;"+"&amp;BX153&amp;FD$1)</f>
        <v/>
      </c>
      <c r="FE153" s="44" t="str">
        <f t="shared" ref="FE153:FE154" si="2660">IF(BY153="","","|n"&amp;FE$2&amp;"+"&amp;BY153&amp;FE$1)</f>
        <v/>
      </c>
      <c r="FF153" s="44" t="str">
        <f t="shared" ref="FF153:FF154" si="2661">IF(BZ153="","","|n"&amp;FF$2&amp;"+"&amp;BZ153&amp;FF$1)</f>
        <v/>
      </c>
      <c r="FG153" s="44" t="str">
        <f t="shared" ref="FG153:FG154" si="2662">IF(CA153="","","|n"&amp;FG$2&amp;"+"&amp;CA153&amp;FG$1)</f>
        <v/>
      </c>
      <c r="FH153" s="44" t="str">
        <f t="shared" ref="FH153:FH154" si="2663">IF(CB153="","","|n"&amp;FH$2&amp;"+"&amp;CB153&amp;FH$1)</f>
        <v/>
      </c>
      <c r="FI153" s="44" t="str">
        <f t="shared" ref="FI153:FI154" si="2664">IF(CC153="","","|n"&amp;FI$2&amp;"+"&amp;CC153&amp;FI$1)</f>
        <v/>
      </c>
      <c r="FJ153" s="44" t="str">
        <f t="shared" ref="FJ153:FJ154" si="2665">IF(CD153="","","|n"&amp;FJ$2&amp;"+"&amp;CD153&amp;FJ$1)</f>
        <v/>
      </c>
      <c r="FK153" s="44" t="str">
        <f t="shared" ref="FK153:FK154" si="2666">IF(CE153="","","|n"&amp;FK$2&amp;"+"&amp;CE153&amp;FK$1)</f>
        <v/>
      </c>
      <c r="FL153" s="44" t="str">
        <f t="shared" ref="FL153:FL154" si="2667">IF(CF153="","","|n"&amp;FL$2&amp;"+"&amp;CF153&amp;FL$1)</f>
        <v/>
      </c>
      <c r="FM153" s="44" t="str">
        <f t="shared" ref="FM153:FM154" si="2668">IF(CG153="","","|n"&amp;FM$2&amp;"+"&amp;CG153&amp;FM$1)</f>
        <v/>
      </c>
      <c r="FN153" s="44" t="str">
        <f t="shared" ref="FN153:FN154" si="2669">IF(CH153="","","|n"&amp;FN$2&amp;"+"&amp;CH153&amp;FN$1)</f>
        <v/>
      </c>
      <c r="FO153" s="44" t="str">
        <f t="shared" ref="FO153:FO154" si="2670">IF(CI153="","","|n"&amp;FO$2&amp;"+"&amp;CI153&amp;FO$1)</f>
        <v/>
      </c>
      <c r="FP153" s="44" t="str">
        <f t="shared" ref="FP153:FP154" si="2671">IF(CJ153="","","|n"&amp;FP$2&amp;"+"&amp;CJ153&amp;FP$1)</f>
        <v/>
      </c>
      <c r="FQ153" s="44" t="str">
        <f t="shared" ref="FQ153:FQ154" si="2672">IF(CK153="","","|n"&amp;FQ$2&amp;"+"&amp;CK153&amp;FQ$1)</f>
        <v/>
      </c>
      <c r="FR153" s="44" t="str">
        <f t="shared" ref="FR153:FR154" si="2673">IF(CL153="","","|n"&amp;FR$2&amp;"+"&amp;CL153&amp;FR$1)</f>
        <v/>
      </c>
      <c r="FS153" s="44" t="str">
        <f t="shared" ref="FS153:FS154" si="2674">IF(CM153="","","|n"&amp;FS$2&amp;"+"&amp;CM153&amp;FS$1)</f>
        <v/>
      </c>
    </row>
    <row r="154" spans="1:175" ht="16.5">
      <c r="A154" s="74"/>
      <c r="B154" s="5" t="s">
        <v>576</v>
      </c>
      <c r="C154" s="74" t="s">
        <v>577</v>
      </c>
      <c r="T154" s="75" t="s">
        <v>578</v>
      </c>
      <c r="U154" s="56" t="str">
        <f t="shared" si="2602"/>
        <v>ReplaceableTextures\\CommandButtons\\BTNIP05.blp</v>
      </c>
      <c r="CN154" s="13" t="str">
        <f t="shared" si="2454"/>
        <v>InitUnitState('IP05',,,,,,,,,,)</v>
      </c>
      <c r="CO154" s="13" t="str">
        <f t="shared" si="2455"/>
        <v>InitUnitNormal('IP05',,,,,,,,,,)</v>
      </c>
      <c r="CP154" s="13" t="str">
        <f t="shared" si="2456"/>
        <v>InitUnitMagic('IP05',,,,,,,,,,)</v>
      </c>
      <c r="CQ154" s="13" t="str">
        <f t="shared" si="2457"/>
        <v>InitUnitAdd('IP05',,,,,,,,,,)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InitEquipData('IP05',,"",,,,,'','','','','','',"ReplaceableTextures\\CommandButtons\\BTNIT03.blp")</v>
      </c>
      <c r="CU154" s="68" t="str">
        <f t="shared" si="2603"/>
        <v>|n</v>
      </c>
      <c r="CV154" s="6" t="str">
        <f t="shared" si="2604"/>
        <v>开启|Cffffd24d结界|r，前往虚空终止|Cffff0000封神圣战|r。</v>
      </c>
      <c r="CW154" s="7"/>
      <c r="CX154" s="7"/>
      <c r="CY154" s="7"/>
      <c r="CZ154" s="7"/>
      <c r="DA154" s="7"/>
      <c r="DB154" s="44" t="str">
        <f t="shared" si="2605"/>
        <v/>
      </c>
      <c r="DC154" s="44" t="str">
        <f t="shared" si="2606"/>
        <v/>
      </c>
      <c r="DD154" s="44" t="str">
        <f t="shared" si="2607"/>
        <v/>
      </c>
      <c r="DE154" s="44" t="str">
        <f t="shared" si="2608"/>
        <v/>
      </c>
      <c r="DF154" s="44" t="str">
        <f t="shared" si="2609"/>
        <v/>
      </c>
      <c r="DG154" s="44" t="str">
        <f t="shared" si="2610"/>
        <v/>
      </c>
      <c r="DH154" s="44" t="str">
        <f t="shared" si="2611"/>
        <v/>
      </c>
      <c r="DI154" s="44" t="str">
        <f t="shared" si="2612"/>
        <v/>
      </c>
      <c r="DJ154" s="44" t="str">
        <f t="shared" si="2613"/>
        <v/>
      </c>
      <c r="DK154" s="44" t="str">
        <f t="shared" si="2614"/>
        <v/>
      </c>
      <c r="DL154" s="44" t="str">
        <f t="shared" si="2615"/>
        <v/>
      </c>
      <c r="DM154" s="44" t="str">
        <f t="shared" si="2616"/>
        <v/>
      </c>
      <c r="DN154" s="44" t="str">
        <f t="shared" si="2617"/>
        <v/>
      </c>
      <c r="DO154" s="44" t="str">
        <f t="shared" si="2618"/>
        <v/>
      </c>
      <c r="DP154" s="44" t="str">
        <f t="shared" si="2619"/>
        <v/>
      </c>
      <c r="DQ154" s="44" t="str">
        <f t="shared" si="2620"/>
        <v/>
      </c>
      <c r="DR154" s="44" t="str">
        <f t="shared" si="2621"/>
        <v/>
      </c>
      <c r="DS154" s="44" t="str">
        <f t="shared" si="2622"/>
        <v/>
      </c>
      <c r="DT154" s="44" t="str">
        <f t="shared" si="2623"/>
        <v/>
      </c>
      <c r="DU154" s="44" t="str">
        <f t="shared" si="2624"/>
        <v/>
      </c>
      <c r="DV154" s="44" t="str">
        <f t="shared" si="2625"/>
        <v/>
      </c>
      <c r="DW154" s="44" t="str">
        <f t="shared" si="2626"/>
        <v/>
      </c>
      <c r="DX154" s="44" t="str">
        <f t="shared" si="2627"/>
        <v/>
      </c>
      <c r="DY154" s="44" t="str">
        <f t="shared" si="2628"/>
        <v/>
      </c>
      <c r="DZ154" s="44" t="str">
        <f t="shared" si="2629"/>
        <v/>
      </c>
      <c r="EA154" s="44" t="str">
        <f t="shared" si="2630"/>
        <v/>
      </c>
      <c r="EB154" s="44" t="str">
        <f t="shared" si="2631"/>
        <v/>
      </c>
      <c r="EC154" s="44" t="str">
        <f t="shared" si="2632"/>
        <v/>
      </c>
      <c r="ED154" s="44" t="str">
        <f t="shared" si="2633"/>
        <v/>
      </c>
      <c r="EE154" s="44" t="str">
        <f t="shared" si="2634"/>
        <v/>
      </c>
      <c r="EF154" s="44" t="str">
        <f t="shared" si="2635"/>
        <v/>
      </c>
      <c r="EG154" s="44" t="str">
        <f t="shared" si="2636"/>
        <v/>
      </c>
      <c r="EH154" s="44" t="str">
        <f t="shared" si="2637"/>
        <v/>
      </c>
      <c r="EI154" s="44" t="str">
        <f t="shared" si="2638"/>
        <v/>
      </c>
      <c r="EJ154" s="44" t="str">
        <f t="shared" si="2639"/>
        <v/>
      </c>
      <c r="EK154" s="44" t="str">
        <f t="shared" si="2640"/>
        <v/>
      </c>
      <c r="EL154" s="44" t="str">
        <f t="shared" si="2641"/>
        <v/>
      </c>
      <c r="EM154" s="44" t="str">
        <f t="shared" si="2642"/>
        <v/>
      </c>
      <c r="EN154" s="44" t="str">
        <f t="shared" si="2643"/>
        <v/>
      </c>
      <c r="EO154" s="44" t="str">
        <f t="shared" si="2644"/>
        <v/>
      </c>
      <c r="EP154" s="44" t="str">
        <f t="shared" si="2645"/>
        <v/>
      </c>
      <c r="EQ154" s="44" t="str">
        <f t="shared" si="2646"/>
        <v/>
      </c>
      <c r="ER154" s="44" t="str">
        <f t="shared" si="2647"/>
        <v/>
      </c>
      <c r="ES154" s="44" t="str">
        <f t="shared" si="2648"/>
        <v/>
      </c>
      <c r="ET154" s="44" t="str">
        <f t="shared" si="2649"/>
        <v/>
      </c>
      <c r="EU154" s="44" t="str">
        <f t="shared" si="2650"/>
        <v/>
      </c>
      <c r="EV154" s="44" t="str">
        <f t="shared" si="2651"/>
        <v/>
      </c>
      <c r="EW154" s="44" t="str">
        <f t="shared" si="2652"/>
        <v/>
      </c>
      <c r="EX154" s="44" t="str">
        <f t="shared" si="2653"/>
        <v/>
      </c>
      <c r="EY154" s="44" t="str">
        <f t="shared" si="2654"/>
        <v/>
      </c>
      <c r="EZ154" s="44" t="str">
        <f t="shared" si="2655"/>
        <v/>
      </c>
      <c r="FA154" s="44" t="str">
        <f t="shared" si="2656"/>
        <v/>
      </c>
      <c r="FB154" s="44" t="str">
        <f t="shared" si="2657"/>
        <v/>
      </c>
      <c r="FC154" s="44" t="str">
        <f t="shared" si="2658"/>
        <v/>
      </c>
      <c r="FD154" s="44" t="str">
        <f t="shared" si="2659"/>
        <v/>
      </c>
      <c r="FE154" s="44" t="str">
        <f t="shared" si="2660"/>
        <v/>
      </c>
      <c r="FF154" s="44" t="str">
        <f t="shared" si="2661"/>
        <v/>
      </c>
      <c r="FG154" s="44" t="str">
        <f t="shared" si="2662"/>
        <v/>
      </c>
      <c r="FH154" s="44" t="str">
        <f t="shared" si="2663"/>
        <v/>
      </c>
      <c r="FI154" s="44" t="str">
        <f t="shared" si="2664"/>
        <v/>
      </c>
      <c r="FJ154" s="44" t="str">
        <f t="shared" si="2665"/>
        <v/>
      </c>
      <c r="FK154" s="44" t="str">
        <f t="shared" si="2666"/>
        <v/>
      </c>
      <c r="FL154" s="44" t="str">
        <f t="shared" si="2667"/>
        <v/>
      </c>
      <c r="FM154" s="44" t="str">
        <f t="shared" si="2668"/>
        <v/>
      </c>
      <c r="FN154" s="44" t="str">
        <f t="shared" si="2669"/>
        <v/>
      </c>
      <c r="FO154" s="44" t="str">
        <f t="shared" si="2670"/>
        <v/>
      </c>
      <c r="FP154" s="44" t="str">
        <f t="shared" si="2671"/>
        <v/>
      </c>
      <c r="FQ154" s="44" t="str">
        <f t="shared" si="2672"/>
        <v/>
      </c>
      <c r="FR154" s="44" t="str">
        <f t="shared" si="2673"/>
        <v/>
      </c>
      <c r="FS154" s="44" t="str">
        <f t="shared" si="2674"/>
        <v/>
      </c>
    </row>
    <row r="155" spans="1:175" s="37" customFormat="1" ht="16.5">
      <c r="A155" s="74"/>
      <c r="B155" s="5" t="s">
        <v>579</v>
      </c>
      <c r="C155" s="64" t="s">
        <v>580</v>
      </c>
      <c r="D155" s="70"/>
      <c r="E155" s="70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78"/>
      <c r="Q155" s="78"/>
      <c r="R155" s="78"/>
      <c r="S155" s="78"/>
      <c r="T155" s="75" t="s">
        <v>581</v>
      </c>
      <c r="U155" s="56" t="s">
        <v>582</v>
      </c>
      <c r="V155" s="96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/>
      <c r="AP155" s="97"/>
      <c r="AQ155" s="97"/>
      <c r="AR155" s="101"/>
      <c r="AS155" s="101"/>
      <c r="AT155" s="97"/>
      <c r="AU155" s="97"/>
      <c r="AV155" s="97"/>
      <c r="AW155" s="97"/>
      <c r="AX155" s="97"/>
      <c r="AY155" s="97"/>
      <c r="AZ155" s="97"/>
      <c r="BA155" s="97"/>
      <c r="BB155" s="97"/>
      <c r="BC155" s="97"/>
      <c r="BD155" s="97"/>
      <c r="BE155" s="97"/>
      <c r="BF155" s="97"/>
      <c r="BG155" s="97"/>
      <c r="BH155" s="97"/>
      <c r="BI155" s="97"/>
      <c r="BJ155" s="97"/>
      <c r="BK155" s="97"/>
      <c r="BL155" s="97"/>
      <c r="BM155" s="97"/>
      <c r="BN155" s="97"/>
      <c r="BO155" s="97"/>
      <c r="BP155" s="97"/>
      <c r="BQ155" s="97"/>
      <c r="BR155" s="97"/>
      <c r="BS155" s="97"/>
      <c r="BT155" s="97"/>
      <c r="BU155" s="97"/>
      <c r="BV155" s="97"/>
      <c r="BW155" s="97"/>
      <c r="BX155" s="97"/>
      <c r="BY155" s="97"/>
      <c r="BZ155" s="97"/>
      <c r="CA155" s="97"/>
      <c r="CB155" s="97"/>
      <c r="CC155" s="97"/>
      <c r="CD155" s="97"/>
      <c r="CE155" s="97"/>
      <c r="CF155" s="97"/>
      <c r="CG155" s="97"/>
      <c r="CH155" s="97"/>
      <c r="CI155" s="97"/>
      <c r="CJ155" s="97"/>
      <c r="CK155" s="97"/>
      <c r="CL155" s="97"/>
      <c r="CM155" s="97"/>
      <c r="CN155" s="102" t="str">
        <f t="shared" si="2454"/>
        <v>InitUnitState('IP06',,,,,,,,,,)</v>
      </c>
      <c r="CO155" s="102" t="str">
        <f t="shared" si="2455"/>
        <v>InitUnitNormal('IP06',,,,,,,,,,)</v>
      </c>
      <c r="CP155" s="102" t="str">
        <f t="shared" si="2456"/>
        <v>InitUnitMagic('IP06',,,,,,,,,,)</v>
      </c>
      <c r="CQ155" s="102" t="str">
        <f t="shared" si="2457"/>
        <v>InitUnitAdd('IP06',,,,,,,,,,)</v>
      </c>
      <c r="CR155" s="102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InitEquipData('IP06',,"",,,,,'','','','','','',"ReplaceableTextures\\CommandButtons\\BTNIT04.blp")</v>
      </c>
      <c r="CS155" s="102"/>
      <c r="CT155" s="102"/>
      <c r="CU155" s="68" t="str">
        <f t="shared" si="2603"/>
        <v>|n</v>
      </c>
      <c r="CV155" s="37" t="str">
        <f t="shared" si="2604"/>
        <v>使用后增加|Cffffd24d300点|r境界经验。</v>
      </c>
      <c r="CW155" s="7"/>
      <c r="CX155" s="7"/>
      <c r="CY155" s="7"/>
      <c r="CZ155" s="7"/>
      <c r="DA155" s="7"/>
      <c r="DB155" s="103" t="str">
        <f t="shared" ref="DB155:FM155" si="2675">IF(V155="","","|n"&amp;DB$2&amp;"+"&amp;V155&amp;DB$1)</f>
        <v/>
      </c>
      <c r="DC155" s="103" t="str">
        <f t="shared" si="2675"/>
        <v/>
      </c>
      <c r="DD155" s="103" t="str">
        <f t="shared" si="2675"/>
        <v/>
      </c>
      <c r="DE155" s="103" t="str">
        <f t="shared" si="2675"/>
        <v/>
      </c>
      <c r="DF155" s="103" t="str">
        <f t="shared" si="2675"/>
        <v/>
      </c>
      <c r="DG155" s="103" t="str">
        <f t="shared" si="2675"/>
        <v/>
      </c>
      <c r="DH155" s="103" t="str">
        <f t="shared" si="2675"/>
        <v/>
      </c>
      <c r="DI155" s="103" t="str">
        <f t="shared" si="2675"/>
        <v/>
      </c>
      <c r="DJ155" s="103" t="str">
        <f t="shared" si="2675"/>
        <v/>
      </c>
      <c r="DK155" s="103" t="str">
        <f t="shared" si="2675"/>
        <v/>
      </c>
      <c r="DL155" s="103" t="str">
        <f t="shared" si="2675"/>
        <v/>
      </c>
      <c r="DM155" s="103" t="str">
        <f t="shared" si="2675"/>
        <v/>
      </c>
      <c r="DN155" s="103" t="str">
        <f t="shared" si="2675"/>
        <v/>
      </c>
      <c r="DO155" s="103" t="str">
        <f t="shared" si="2675"/>
        <v/>
      </c>
      <c r="DP155" s="103" t="str">
        <f t="shared" si="2675"/>
        <v/>
      </c>
      <c r="DQ155" s="103" t="str">
        <f t="shared" si="2675"/>
        <v/>
      </c>
      <c r="DR155" s="103" t="str">
        <f t="shared" si="2675"/>
        <v/>
      </c>
      <c r="DS155" s="103" t="str">
        <f t="shared" si="2675"/>
        <v/>
      </c>
      <c r="DT155" s="103" t="str">
        <f t="shared" si="2675"/>
        <v/>
      </c>
      <c r="DU155" s="103" t="str">
        <f t="shared" si="2675"/>
        <v/>
      </c>
      <c r="DV155" s="103" t="str">
        <f t="shared" si="2675"/>
        <v/>
      </c>
      <c r="DW155" s="103" t="str">
        <f t="shared" si="2675"/>
        <v/>
      </c>
      <c r="DX155" s="103" t="str">
        <f t="shared" si="2675"/>
        <v/>
      </c>
      <c r="DY155" s="103" t="str">
        <f t="shared" si="2675"/>
        <v/>
      </c>
      <c r="DZ155" s="103" t="str">
        <f t="shared" si="2675"/>
        <v/>
      </c>
      <c r="EA155" s="103" t="str">
        <f t="shared" si="2675"/>
        <v/>
      </c>
      <c r="EB155" s="103" t="str">
        <f t="shared" si="2675"/>
        <v/>
      </c>
      <c r="EC155" s="103" t="str">
        <f t="shared" si="2675"/>
        <v/>
      </c>
      <c r="ED155" s="103" t="str">
        <f t="shared" si="2675"/>
        <v/>
      </c>
      <c r="EE155" s="103" t="str">
        <f t="shared" si="2675"/>
        <v/>
      </c>
      <c r="EF155" s="103" t="str">
        <f t="shared" si="2675"/>
        <v/>
      </c>
      <c r="EG155" s="103" t="str">
        <f t="shared" si="2675"/>
        <v/>
      </c>
      <c r="EH155" s="103" t="str">
        <f t="shared" si="2675"/>
        <v/>
      </c>
      <c r="EI155" s="103" t="str">
        <f t="shared" si="2675"/>
        <v/>
      </c>
      <c r="EJ155" s="103" t="str">
        <f t="shared" si="2675"/>
        <v/>
      </c>
      <c r="EK155" s="103" t="str">
        <f t="shared" si="2675"/>
        <v/>
      </c>
      <c r="EL155" s="103" t="str">
        <f t="shared" si="2675"/>
        <v/>
      </c>
      <c r="EM155" s="103" t="str">
        <f t="shared" si="2675"/>
        <v/>
      </c>
      <c r="EN155" s="103" t="str">
        <f t="shared" si="2675"/>
        <v/>
      </c>
      <c r="EO155" s="103" t="str">
        <f t="shared" si="2675"/>
        <v/>
      </c>
      <c r="EP155" s="103" t="str">
        <f t="shared" si="2675"/>
        <v/>
      </c>
      <c r="EQ155" s="103" t="str">
        <f t="shared" si="2675"/>
        <v/>
      </c>
      <c r="ER155" s="103" t="str">
        <f t="shared" si="2675"/>
        <v/>
      </c>
      <c r="ES155" s="103" t="str">
        <f t="shared" si="2675"/>
        <v/>
      </c>
      <c r="ET155" s="103" t="str">
        <f t="shared" si="2675"/>
        <v/>
      </c>
      <c r="EU155" s="103" t="str">
        <f t="shared" si="2675"/>
        <v/>
      </c>
      <c r="EV155" s="103" t="str">
        <f t="shared" si="2675"/>
        <v/>
      </c>
      <c r="EW155" s="103" t="str">
        <f t="shared" si="2675"/>
        <v/>
      </c>
      <c r="EX155" s="103" t="str">
        <f t="shared" si="2675"/>
        <v/>
      </c>
      <c r="EY155" s="103" t="str">
        <f t="shared" si="2675"/>
        <v/>
      </c>
      <c r="EZ155" s="103" t="str">
        <f t="shared" si="2675"/>
        <v/>
      </c>
      <c r="FA155" s="103" t="str">
        <f t="shared" si="2675"/>
        <v/>
      </c>
      <c r="FB155" s="103" t="str">
        <f t="shared" si="2675"/>
        <v/>
      </c>
      <c r="FC155" s="103" t="str">
        <f t="shared" si="2675"/>
        <v/>
      </c>
      <c r="FD155" s="103" t="str">
        <f t="shared" si="2675"/>
        <v/>
      </c>
      <c r="FE155" s="103" t="str">
        <f t="shared" si="2675"/>
        <v/>
      </c>
      <c r="FF155" s="103" t="str">
        <f t="shared" si="2675"/>
        <v/>
      </c>
      <c r="FG155" s="103" t="str">
        <f t="shared" si="2675"/>
        <v/>
      </c>
      <c r="FH155" s="103" t="str">
        <f t="shared" si="2675"/>
        <v/>
      </c>
      <c r="FI155" s="103" t="str">
        <f t="shared" si="2675"/>
        <v/>
      </c>
      <c r="FJ155" s="103" t="str">
        <f t="shared" si="2675"/>
        <v/>
      </c>
      <c r="FK155" s="103" t="str">
        <f t="shared" si="2675"/>
        <v/>
      </c>
      <c r="FL155" s="103" t="str">
        <f t="shared" si="2675"/>
        <v/>
      </c>
      <c r="FM155" s="103" t="str">
        <f t="shared" si="2675"/>
        <v/>
      </c>
      <c r="FN155" s="103" t="str">
        <f t="shared" ref="FN155:FS155" si="2676">IF(CH155="","","|n"&amp;FN$2&amp;"+"&amp;CH155&amp;FN$1)</f>
        <v/>
      </c>
      <c r="FO155" s="103" t="str">
        <f t="shared" si="2676"/>
        <v/>
      </c>
      <c r="FP155" s="103" t="str">
        <f t="shared" si="2676"/>
        <v/>
      </c>
      <c r="FQ155" s="103" t="str">
        <f t="shared" si="2676"/>
        <v/>
      </c>
      <c r="FR155" s="103" t="str">
        <f t="shared" si="2676"/>
        <v/>
      </c>
      <c r="FS155" s="103" t="str">
        <f t="shared" si="2676"/>
        <v/>
      </c>
    </row>
    <row r="156" spans="1:175" s="37" customFormat="1" ht="16.5">
      <c r="A156" s="74"/>
      <c r="B156" s="5" t="s">
        <v>583</v>
      </c>
      <c r="C156" s="64" t="s">
        <v>584</v>
      </c>
      <c r="D156" s="70"/>
      <c r="E156" s="70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78"/>
      <c r="Q156" s="78"/>
      <c r="R156" s="78"/>
      <c r="S156" s="78"/>
      <c r="T156" s="75" t="s">
        <v>585</v>
      </c>
      <c r="U156" s="56" t="str">
        <f t="shared" si="2602"/>
        <v>ReplaceableTextures\\CommandButtons\\BTNIP07.blp</v>
      </c>
      <c r="V156" s="96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/>
      <c r="AP156" s="97"/>
      <c r="AQ156" s="97"/>
      <c r="AR156" s="101"/>
      <c r="AS156" s="101"/>
      <c r="AT156" s="97"/>
      <c r="AU156" s="97"/>
      <c r="AV156" s="97"/>
      <c r="AW156" s="97"/>
      <c r="AX156" s="97"/>
      <c r="AY156" s="97"/>
      <c r="AZ156" s="97"/>
      <c r="BA156" s="97"/>
      <c r="BB156" s="97"/>
      <c r="BC156" s="97"/>
      <c r="BD156" s="97"/>
      <c r="BE156" s="97"/>
      <c r="BF156" s="97"/>
      <c r="BG156" s="97"/>
      <c r="BH156" s="97"/>
      <c r="BI156" s="97"/>
      <c r="BJ156" s="97"/>
      <c r="BK156" s="97"/>
      <c r="BL156" s="97"/>
      <c r="BM156" s="97"/>
      <c r="BN156" s="97"/>
      <c r="BO156" s="97"/>
      <c r="BP156" s="97"/>
      <c r="BQ156" s="97"/>
      <c r="BR156" s="97"/>
      <c r="BS156" s="97"/>
      <c r="BT156" s="97"/>
      <c r="BU156" s="97"/>
      <c r="BV156" s="97"/>
      <c r="BW156" s="97"/>
      <c r="BX156" s="97"/>
      <c r="BY156" s="97"/>
      <c r="BZ156" s="97"/>
      <c r="CA156" s="97"/>
      <c r="CB156" s="97"/>
      <c r="CC156" s="97"/>
      <c r="CD156" s="97"/>
      <c r="CE156" s="97"/>
      <c r="CF156" s="97"/>
      <c r="CG156" s="97"/>
      <c r="CH156" s="97"/>
      <c r="CI156" s="97"/>
      <c r="CJ156" s="97"/>
      <c r="CK156" s="97"/>
      <c r="CL156" s="97"/>
      <c r="CM156" s="97"/>
      <c r="CN156" s="102" t="str">
        <f t="shared" si="2454"/>
        <v>InitUnitState('IP07',,,,,,,,,,)</v>
      </c>
      <c r="CO156" s="102" t="str">
        <f t="shared" si="2455"/>
        <v>InitUnitNormal('IP07',,,,,,,,,,)</v>
      </c>
      <c r="CP156" s="102" t="str">
        <f t="shared" si="2456"/>
        <v>InitUnitMagic('IP07',,,,,,,,,,)</v>
      </c>
      <c r="CQ156" s="102" t="str">
        <f t="shared" si="2457"/>
        <v>InitUnitAdd('IP07',,,,,,,,,,)</v>
      </c>
      <c r="CR156" s="102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InitEquipData('IP07',,"",,,,,'','','','','','',"ReplaceableTextures\\CommandButtons\\BTNIT05.blp")</v>
      </c>
      <c r="CS156" s="102"/>
      <c r="CT156" s="102"/>
      <c r="CU156" s="68" t="str">
        <f t="shared" si="2603"/>
        <v>|n</v>
      </c>
      <c r="CV156" s="37" t="str">
        <f t="shared" si="2604"/>
        <v>可抵扣|Cffffd24d1|r次抽奖消耗</v>
      </c>
      <c r="CW156" s="7"/>
      <c r="CX156" s="7"/>
      <c r="CY156" s="7"/>
      <c r="CZ156" s="7"/>
      <c r="DA156" s="7"/>
      <c r="DB156" s="103" t="str">
        <f t="shared" ref="DB156:FM156" si="2677">IF(V156="","","|n"&amp;DB$2&amp;"+"&amp;V156&amp;DB$1)</f>
        <v/>
      </c>
      <c r="DC156" s="103" t="str">
        <f t="shared" si="2677"/>
        <v/>
      </c>
      <c r="DD156" s="103" t="str">
        <f t="shared" si="2677"/>
        <v/>
      </c>
      <c r="DE156" s="103" t="str">
        <f t="shared" si="2677"/>
        <v/>
      </c>
      <c r="DF156" s="103" t="str">
        <f t="shared" si="2677"/>
        <v/>
      </c>
      <c r="DG156" s="103" t="str">
        <f t="shared" si="2677"/>
        <v/>
      </c>
      <c r="DH156" s="103" t="str">
        <f t="shared" si="2677"/>
        <v/>
      </c>
      <c r="DI156" s="103" t="str">
        <f t="shared" si="2677"/>
        <v/>
      </c>
      <c r="DJ156" s="103" t="str">
        <f t="shared" si="2677"/>
        <v/>
      </c>
      <c r="DK156" s="103" t="str">
        <f t="shared" si="2677"/>
        <v/>
      </c>
      <c r="DL156" s="103" t="str">
        <f t="shared" si="2677"/>
        <v/>
      </c>
      <c r="DM156" s="103" t="str">
        <f t="shared" si="2677"/>
        <v/>
      </c>
      <c r="DN156" s="103" t="str">
        <f t="shared" si="2677"/>
        <v/>
      </c>
      <c r="DO156" s="103" t="str">
        <f t="shared" si="2677"/>
        <v/>
      </c>
      <c r="DP156" s="103" t="str">
        <f t="shared" si="2677"/>
        <v/>
      </c>
      <c r="DQ156" s="103" t="str">
        <f t="shared" si="2677"/>
        <v/>
      </c>
      <c r="DR156" s="103" t="str">
        <f t="shared" si="2677"/>
        <v/>
      </c>
      <c r="DS156" s="103" t="str">
        <f t="shared" si="2677"/>
        <v/>
      </c>
      <c r="DT156" s="103" t="str">
        <f t="shared" si="2677"/>
        <v/>
      </c>
      <c r="DU156" s="103" t="str">
        <f t="shared" si="2677"/>
        <v/>
      </c>
      <c r="DV156" s="103" t="str">
        <f t="shared" si="2677"/>
        <v/>
      </c>
      <c r="DW156" s="103" t="str">
        <f t="shared" si="2677"/>
        <v/>
      </c>
      <c r="DX156" s="103" t="str">
        <f t="shared" si="2677"/>
        <v/>
      </c>
      <c r="DY156" s="103" t="str">
        <f t="shared" si="2677"/>
        <v/>
      </c>
      <c r="DZ156" s="103" t="str">
        <f t="shared" si="2677"/>
        <v/>
      </c>
      <c r="EA156" s="103" t="str">
        <f t="shared" si="2677"/>
        <v/>
      </c>
      <c r="EB156" s="103" t="str">
        <f t="shared" si="2677"/>
        <v/>
      </c>
      <c r="EC156" s="103" t="str">
        <f t="shared" si="2677"/>
        <v/>
      </c>
      <c r="ED156" s="103" t="str">
        <f t="shared" si="2677"/>
        <v/>
      </c>
      <c r="EE156" s="103" t="str">
        <f t="shared" si="2677"/>
        <v/>
      </c>
      <c r="EF156" s="103" t="str">
        <f t="shared" si="2677"/>
        <v/>
      </c>
      <c r="EG156" s="103" t="str">
        <f t="shared" si="2677"/>
        <v/>
      </c>
      <c r="EH156" s="103" t="str">
        <f t="shared" si="2677"/>
        <v/>
      </c>
      <c r="EI156" s="103" t="str">
        <f t="shared" si="2677"/>
        <v/>
      </c>
      <c r="EJ156" s="103" t="str">
        <f t="shared" si="2677"/>
        <v/>
      </c>
      <c r="EK156" s="103" t="str">
        <f t="shared" si="2677"/>
        <v/>
      </c>
      <c r="EL156" s="103" t="str">
        <f t="shared" si="2677"/>
        <v/>
      </c>
      <c r="EM156" s="103" t="str">
        <f t="shared" si="2677"/>
        <v/>
      </c>
      <c r="EN156" s="103" t="str">
        <f t="shared" si="2677"/>
        <v/>
      </c>
      <c r="EO156" s="103" t="str">
        <f t="shared" si="2677"/>
        <v/>
      </c>
      <c r="EP156" s="103" t="str">
        <f t="shared" si="2677"/>
        <v/>
      </c>
      <c r="EQ156" s="103" t="str">
        <f t="shared" si="2677"/>
        <v/>
      </c>
      <c r="ER156" s="103" t="str">
        <f t="shared" si="2677"/>
        <v/>
      </c>
      <c r="ES156" s="103" t="str">
        <f t="shared" si="2677"/>
        <v/>
      </c>
      <c r="ET156" s="103" t="str">
        <f t="shared" si="2677"/>
        <v/>
      </c>
      <c r="EU156" s="103" t="str">
        <f t="shared" si="2677"/>
        <v/>
      </c>
      <c r="EV156" s="103" t="str">
        <f t="shared" si="2677"/>
        <v/>
      </c>
      <c r="EW156" s="103" t="str">
        <f t="shared" si="2677"/>
        <v/>
      </c>
      <c r="EX156" s="103" t="str">
        <f t="shared" si="2677"/>
        <v/>
      </c>
      <c r="EY156" s="103" t="str">
        <f t="shared" si="2677"/>
        <v/>
      </c>
      <c r="EZ156" s="103" t="str">
        <f t="shared" si="2677"/>
        <v/>
      </c>
      <c r="FA156" s="103" t="str">
        <f t="shared" si="2677"/>
        <v/>
      </c>
      <c r="FB156" s="103" t="str">
        <f t="shared" si="2677"/>
        <v/>
      </c>
      <c r="FC156" s="103" t="str">
        <f t="shared" si="2677"/>
        <v/>
      </c>
      <c r="FD156" s="103" t="str">
        <f t="shared" si="2677"/>
        <v/>
      </c>
      <c r="FE156" s="103" t="str">
        <f t="shared" si="2677"/>
        <v/>
      </c>
      <c r="FF156" s="103" t="str">
        <f t="shared" si="2677"/>
        <v/>
      </c>
      <c r="FG156" s="103" t="str">
        <f t="shared" si="2677"/>
        <v/>
      </c>
      <c r="FH156" s="103" t="str">
        <f t="shared" si="2677"/>
        <v/>
      </c>
      <c r="FI156" s="103" t="str">
        <f t="shared" si="2677"/>
        <v/>
      </c>
      <c r="FJ156" s="103" t="str">
        <f t="shared" si="2677"/>
        <v/>
      </c>
      <c r="FK156" s="103" t="str">
        <f t="shared" si="2677"/>
        <v/>
      </c>
      <c r="FL156" s="103" t="str">
        <f t="shared" si="2677"/>
        <v/>
      </c>
      <c r="FM156" s="103" t="str">
        <f t="shared" si="2677"/>
        <v/>
      </c>
      <c r="FN156" s="103" t="str">
        <f t="shared" ref="FN156:FS156" si="2678">IF(CH156="","","|n"&amp;FN$2&amp;"+"&amp;CH156&amp;FN$1)</f>
        <v/>
      </c>
      <c r="FO156" s="103" t="str">
        <f t="shared" si="2678"/>
        <v/>
      </c>
      <c r="FP156" s="103" t="str">
        <f t="shared" si="2678"/>
        <v/>
      </c>
      <c r="FQ156" s="103" t="str">
        <f t="shared" si="2678"/>
        <v/>
      </c>
      <c r="FR156" s="103" t="str">
        <f t="shared" si="2678"/>
        <v/>
      </c>
      <c r="FS156" s="103" t="str">
        <f t="shared" si="2678"/>
        <v/>
      </c>
    </row>
    <row r="157" spans="1:175" s="37" customFormat="1" ht="16.5">
      <c r="A157" s="74"/>
      <c r="B157" s="5" t="s">
        <v>586</v>
      </c>
      <c r="C157" s="64" t="s">
        <v>587</v>
      </c>
      <c r="D157" s="70"/>
      <c r="E157" s="70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78"/>
      <c r="Q157" s="78"/>
      <c r="R157" s="78"/>
      <c r="S157" s="78"/>
      <c r="T157" s="75" t="s">
        <v>588</v>
      </c>
      <c r="U157" s="56" t="s">
        <v>589</v>
      </c>
      <c r="V157" s="96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97"/>
      <c r="AO157" s="97"/>
      <c r="AP157" s="97"/>
      <c r="AQ157" s="97"/>
      <c r="AR157" s="101"/>
      <c r="AS157" s="101"/>
      <c r="AT157" s="97"/>
      <c r="AU157" s="97"/>
      <c r="AV157" s="97"/>
      <c r="AW157" s="97"/>
      <c r="AX157" s="97"/>
      <c r="AY157" s="97"/>
      <c r="AZ157" s="97"/>
      <c r="BA157" s="97"/>
      <c r="BB157" s="97"/>
      <c r="BC157" s="97"/>
      <c r="BD157" s="97"/>
      <c r="BE157" s="97"/>
      <c r="BF157" s="97"/>
      <c r="BG157" s="97"/>
      <c r="BH157" s="97"/>
      <c r="BI157" s="97"/>
      <c r="BJ157" s="97"/>
      <c r="BK157" s="97"/>
      <c r="BL157" s="97"/>
      <c r="BM157" s="97"/>
      <c r="BN157" s="97"/>
      <c r="BO157" s="97"/>
      <c r="BP157" s="97"/>
      <c r="BQ157" s="97"/>
      <c r="BR157" s="97"/>
      <c r="BS157" s="97"/>
      <c r="BT157" s="97"/>
      <c r="BU157" s="97"/>
      <c r="BV157" s="97"/>
      <c r="BW157" s="97"/>
      <c r="BX157" s="97"/>
      <c r="BY157" s="97"/>
      <c r="BZ157" s="97"/>
      <c r="CA157" s="97"/>
      <c r="CB157" s="97"/>
      <c r="CC157" s="97"/>
      <c r="CD157" s="97"/>
      <c r="CE157" s="97"/>
      <c r="CF157" s="97"/>
      <c r="CG157" s="97"/>
      <c r="CH157" s="97"/>
      <c r="CI157" s="97"/>
      <c r="CJ157" s="97"/>
      <c r="CK157" s="97"/>
      <c r="CL157" s="97"/>
      <c r="CM157" s="97"/>
      <c r="CN157" s="102" t="str">
        <f t="shared" si="2454"/>
        <v>InitUnitState('IP08',,,,,,,,,,)</v>
      </c>
      <c r="CO157" s="102" t="str">
        <f t="shared" si="2455"/>
        <v>InitUnitNormal('IP08',,,,,,,,,,)</v>
      </c>
      <c r="CP157" s="102" t="str">
        <f t="shared" si="2456"/>
        <v>InitUnitMagic('IP08',,,,,,,,,,)</v>
      </c>
      <c r="CQ157" s="102" t="str">
        <f t="shared" si="2457"/>
        <v>InitUnitAdd('IP08',,,,,,,,,,)</v>
      </c>
      <c r="CR157" s="102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InitEquipData('IP08',,"",,,,,'','','','','','',"ReplaceableTextures\\CommandButtons\\BTNIT06.blp")</v>
      </c>
      <c r="CS157" s="102"/>
      <c r="CT157" s="102"/>
      <c r="CU157" s="68" t="str">
        <f t="shared" si="2603"/>
        <v>|n</v>
      </c>
      <c r="CV157" s="37" t="str">
        <f t="shared" si="2604"/>
        <v>使用后增加|Cffffd24d500点|r境界经验。</v>
      </c>
      <c r="CW157" s="7"/>
      <c r="CX157" s="7"/>
      <c r="CY157" s="7"/>
      <c r="CZ157" s="7"/>
      <c r="DA157" s="7"/>
      <c r="DB157" s="103" t="str">
        <f t="shared" ref="DB157:FM157" si="2679">IF(V157="","","|n"&amp;DB$2&amp;"+"&amp;V157&amp;DB$1)</f>
        <v/>
      </c>
      <c r="DC157" s="103" t="str">
        <f t="shared" si="2679"/>
        <v/>
      </c>
      <c r="DD157" s="103" t="str">
        <f t="shared" si="2679"/>
        <v/>
      </c>
      <c r="DE157" s="103" t="str">
        <f t="shared" si="2679"/>
        <v/>
      </c>
      <c r="DF157" s="103" t="str">
        <f t="shared" si="2679"/>
        <v/>
      </c>
      <c r="DG157" s="103" t="str">
        <f t="shared" si="2679"/>
        <v/>
      </c>
      <c r="DH157" s="103" t="str">
        <f t="shared" si="2679"/>
        <v/>
      </c>
      <c r="DI157" s="103" t="str">
        <f t="shared" si="2679"/>
        <v/>
      </c>
      <c r="DJ157" s="103" t="str">
        <f t="shared" si="2679"/>
        <v/>
      </c>
      <c r="DK157" s="103" t="str">
        <f t="shared" si="2679"/>
        <v/>
      </c>
      <c r="DL157" s="103" t="str">
        <f t="shared" si="2679"/>
        <v/>
      </c>
      <c r="DM157" s="103" t="str">
        <f t="shared" si="2679"/>
        <v/>
      </c>
      <c r="DN157" s="103" t="str">
        <f t="shared" si="2679"/>
        <v/>
      </c>
      <c r="DO157" s="103" t="str">
        <f t="shared" si="2679"/>
        <v/>
      </c>
      <c r="DP157" s="103" t="str">
        <f t="shared" si="2679"/>
        <v/>
      </c>
      <c r="DQ157" s="103" t="str">
        <f t="shared" si="2679"/>
        <v/>
      </c>
      <c r="DR157" s="103" t="str">
        <f t="shared" si="2679"/>
        <v/>
      </c>
      <c r="DS157" s="103" t="str">
        <f t="shared" si="2679"/>
        <v/>
      </c>
      <c r="DT157" s="103" t="str">
        <f t="shared" si="2679"/>
        <v/>
      </c>
      <c r="DU157" s="103" t="str">
        <f t="shared" si="2679"/>
        <v/>
      </c>
      <c r="DV157" s="103" t="str">
        <f t="shared" si="2679"/>
        <v/>
      </c>
      <c r="DW157" s="103" t="str">
        <f t="shared" si="2679"/>
        <v/>
      </c>
      <c r="DX157" s="103" t="str">
        <f t="shared" si="2679"/>
        <v/>
      </c>
      <c r="DY157" s="103" t="str">
        <f t="shared" si="2679"/>
        <v/>
      </c>
      <c r="DZ157" s="103" t="str">
        <f t="shared" si="2679"/>
        <v/>
      </c>
      <c r="EA157" s="103" t="str">
        <f t="shared" si="2679"/>
        <v/>
      </c>
      <c r="EB157" s="103" t="str">
        <f t="shared" si="2679"/>
        <v/>
      </c>
      <c r="EC157" s="103" t="str">
        <f t="shared" si="2679"/>
        <v/>
      </c>
      <c r="ED157" s="103" t="str">
        <f t="shared" si="2679"/>
        <v/>
      </c>
      <c r="EE157" s="103" t="str">
        <f t="shared" si="2679"/>
        <v/>
      </c>
      <c r="EF157" s="103" t="str">
        <f t="shared" si="2679"/>
        <v/>
      </c>
      <c r="EG157" s="103" t="str">
        <f t="shared" si="2679"/>
        <v/>
      </c>
      <c r="EH157" s="103" t="str">
        <f t="shared" si="2679"/>
        <v/>
      </c>
      <c r="EI157" s="103" t="str">
        <f t="shared" si="2679"/>
        <v/>
      </c>
      <c r="EJ157" s="103" t="str">
        <f t="shared" si="2679"/>
        <v/>
      </c>
      <c r="EK157" s="103" t="str">
        <f t="shared" si="2679"/>
        <v/>
      </c>
      <c r="EL157" s="103" t="str">
        <f t="shared" si="2679"/>
        <v/>
      </c>
      <c r="EM157" s="103" t="str">
        <f t="shared" si="2679"/>
        <v/>
      </c>
      <c r="EN157" s="103" t="str">
        <f t="shared" si="2679"/>
        <v/>
      </c>
      <c r="EO157" s="103" t="str">
        <f t="shared" si="2679"/>
        <v/>
      </c>
      <c r="EP157" s="103" t="str">
        <f t="shared" si="2679"/>
        <v/>
      </c>
      <c r="EQ157" s="103" t="str">
        <f t="shared" si="2679"/>
        <v/>
      </c>
      <c r="ER157" s="103" t="str">
        <f t="shared" si="2679"/>
        <v/>
      </c>
      <c r="ES157" s="103" t="str">
        <f t="shared" si="2679"/>
        <v/>
      </c>
      <c r="ET157" s="103" t="str">
        <f t="shared" si="2679"/>
        <v/>
      </c>
      <c r="EU157" s="103" t="str">
        <f t="shared" si="2679"/>
        <v/>
      </c>
      <c r="EV157" s="103" t="str">
        <f t="shared" si="2679"/>
        <v/>
      </c>
      <c r="EW157" s="103" t="str">
        <f t="shared" si="2679"/>
        <v/>
      </c>
      <c r="EX157" s="103" t="str">
        <f t="shared" si="2679"/>
        <v/>
      </c>
      <c r="EY157" s="103" t="str">
        <f t="shared" si="2679"/>
        <v/>
      </c>
      <c r="EZ157" s="103" t="str">
        <f t="shared" si="2679"/>
        <v/>
      </c>
      <c r="FA157" s="103" t="str">
        <f t="shared" si="2679"/>
        <v/>
      </c>
      <c r="FB157" s="103" t="str">
        <f t="shared" si="2679"/>
        <v/>
      </c>
      <c r="FC157" s="103" t="str">
        <f t="shared" si="2679"/>
        <v/>
      </c>
      <c r="FD157" s="103" t="str">
        <f t="shared" si="2679"/>
        <v/>
      </c>
      <c r="FE157" s="103" t="str">
        <f t="shared" si="2679"/>
        <v/>
      </c>
      <c r="FF157" s="103" t="str">
        <f t="shared" si="2679"/>
        <v/>
      </c>
      <c r="FG157" s="103" t="str">
        <f t="shared" si="2679"/>
        <v/>
      </c>
      <c r="FH157" s="103" t="str">
        <f t="shared" si="2679"/>
        <v/>
      </c>
      <c r="FI157" s="103" t="str">
        <f t="shared" si="2679"/>
        <v/>
      </c>
      <c r="FJ157" s="103" t="str">
        <f t="shared" si="2679"/>
        <v/>
      </c>
      <c r="FK157" s="103" t="str">
        <f t="shared" si="2679"/>
        <v/>
      </c>
      <c r="FL157" s="103" t="str">
        <f t="shared" si="2679"/>
        <v/>
      </c>
      <c r="FM157" s="103" t="str">
        <f t="shared" si="2679"/>
        <v/>
      </c>
      <c r="FN157" s="103" t="str">
        <f t="shared" ref="FN157:FS157" si="2680">IF(CH157="","","|n"&amp;FN$2&amp;"+"&amp;CH157&amp;FN$1)</f>
        <v/>
      </c>
      <c r="FO157" s="103" t="str">
        <f t="shared" si="2680"/>
        <v/>
      </c>
      <c r="FP157" s="103" t="str">
        <f t="shared" si="2680"/>
        <v/>
      </c>
      <c r="FQ157" s="103" t="str">
        <f t="shared" si="2680"/>
        <v/>
      </c>
      <c r="FR157" s="103" t="str">
        <f t="shared" si="2680"/>
        <v/>
      </c>
      <c r="FS157" s="103" t="str">
        <f t="shared" si="2680"/>
        <v/>
      </c>
    </row>
    <row r="158" spans="1:175" s="37" customFormat="1" ht="16.5">
      <c r="A158" s="74"/>
      <c r="B158" s="5" t="s">
        <v>590</v>
      </c>
      <c r="C158" s="64" t="s">
        <v>591</v>
      </c>
      <c r="D158" s="70"/>
      <c r="E158" s="70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78"/>
      <c r="Q158" s="78"/>
      <c r="R158" s="78"/>
      <c r="S158" s="78"/>
      <c r="T158" s="75" t="s">
        <v>592</v>
      </c>
      <c r="U158" s="56" t="s">
        <v>593</v>
      </c>
      <c r="V158" s="96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7"/>
      <c r="AL158" s="97"/>
      <c r="AM158" s="97"/>
      <c r="AN158" s="97"/>
      <c r="AO158" s="97"/>
      <c r="AP158" s="97"/>
      <c r="AQ158" s="97"/>
      <c r="AR158" s="101"/>
      <c r="AS158" s="101"/>
      <c r="AT158" s="97"/>
      <c r="AU158" s="97"/>
      <c r="AV158" s="97"/>
      <c r="AW158" s="97"/>
      <c r="AX158" s="97"/>
      <c r="AY158" s="97"/>
      <c r="AZ158" s="97"/>
      <c r="BA158" s="97"/>
      <c r="BB158" s="97"/>
      <c r="BC158" s="97"/>
      <c r="BD158" s="97"/>
      <c r="BE158" s="97"/>
      <c r="BF158" s="97"/>
      <c r="BG158" s="97"/>
      <c r="BH158" s="97"/>
      <c r="BI158" s="97"/>
      <c r="BJ158" s="97"/>
      <c r="BK158" s="97"/>
      <c r="BL158" s="97"/>
      <c r="BM158" s="97"/>
      <c r="BN158" s="97"/>
      <c r="BO158" s="97"/>
      <c r="BP158" s="97"/>
      <c r="BQ158" s="97"/>
      <c r="BR158" s="97"/>
      <c r="BS158" s="97"/>
      <c r="BT158" s="97"/>
      <c r="BU158" s="97"/>
      <c r="BV158" s="97"/>
      <c r="BW158" s="97"/>
      <c r="BX158" s="97"/>
      <c r="BY158" s="97"/>
      <c r="BZ158" s="97"/>
      <c r="CA158" s="97"/>
      <c r="CB158" s="97"/>
      <c r="CC158" s="97"/>
      <c r="CD158" s="97"/>
      <c r="CE158" s="97"/>
      <c r="CF158" s="97"/>
      <c r="CG158" s="97"/>
      <c r="CH158" s="97"/>
      <c r="CI158" s="97"/>
      <c r="CJ158" s="97"/>
      <c r="CK158" s="97"/>
      <c r="CL158" s="97"/>
      <c r="CM158" s="97"/>
      <c r="CN158" s="102" t="str">
        <f t="shared" si="2454"/>
        <v>InitUnitState('IP09',,,,,,,,,,)</v>
      </c>
      <c r="CO158" s="102" t="str">
        <f t="shared" si="2455"/>
        <v>InitUnitNormal('IP09',,,,,,,,,,)</v>
      </c>
      <c r="CP158" s="102" t="str">
        <f t="shared" si="2456"/>
        <v>InitUnitMagic('IP09',,,,,,,,,,)</v>
      </c>
      <c r="CQ158" s="102" t="str">
        <f t="shared" si="2457"/>
        <v>InitUnitAdd('IP09',,,,,,,,,,)</v>
      </c>
      <c r="CR158" s="102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InitEquipData('IP09',,"",,,,,'','','','','','',"ReplaceableTextures\\CommandButtons\\BTNIT07.blp")</v>
      </c>
      <c r="CS158" s="102"/>
      <c r="CT158" s="102"/>
      <c r="CU158" s="68" t="str">
        <f t="shared" si="2603"/>
        <v>|n</v>
      </c>
      <c r="CV158" s="37" t="str">
        <f t="shared" si="2604"/>
        <v>使用后增加|Cffffd24d700点|r境界经验。</v>
      </c>
      <c r="CW158" s="7"/>
      <c r="CX158" s="7"/>
      <c r="CY158" s="7"/>
      <c r="CZ158" s="7"/>
      <c r="DA158" s="7"/>
      <c r="DB158" s="103" t="str">
        <f t="shared" ref="DB158:FM158" si="2681">IF(V158="","","|n"&amp;DB$2&amp;"+"&amp;V158&amp;DB$1)</f>
        <v/>
      </c>
      <c r="DC158" s="103" t="str">
        <f t="shared" si="2681"/>
        <v/>
      </c>
      <c r="DD158" s="103" t="str">
        <f t="shared" si="2681"/>
        <v/>
      </c>
      <c r="DE158" s="103" t="str">
        <f t="shared" si="2681"/>
        <v/>
      </c>
      <c r="DF158" s="103" t="str">
        <f t="shared" si="2681"/>
        <v/>
      </c>
      <c r="DG158" s="103" t="str">
        <f t="shared" si="2681"/>
        <v/>
      </c>
      <c r="DH158" s="103" t="str">
        <f t="shared" si="2681"/>
        <v/>
      </c>
      <c r="DI158" s="103" t="str">
        <f t="shared" si="2681"/>
        <v/>
      </c>
      <c r="DJ158" s="103" t="str">
        <f t="shared" si="2681"/>
        <v/>
      </c>
      <c r="DK158" s="103" t="str">
        <f t="shared" si="2681"/>
        <v/>
      </c>
      <c r="DL158" s="103" t="str">
        <f t="shared" si="2681"/>
        <v/>
      </c>
      <c r="DM158" s="103" t="str">
        <f t="shared" si="2681"/>
        <v/>
      </c>
      <c r="DN158" s="103" t="str">
        <f t="shared" si="2681"/>
        <v/>
      </c>
      <c r="DO158" s="103" t="str">
        <f t="shared" si="2681"/>
        <v/>
      </c>
      <c r="DP158" s="103" t="str">
        <f t="shared" si="2681"/>
        <v/>
      </c>
      <c r="DQ158" s="103" t="str">
        <f t="shared" si="2681"/>
        <v/>
      </c>
      <c r="DR158" s="103" t="str">
        <f t="shared" si="2681"/>
        <v/>
      </c>
      <c r="DS158" s="103" t="str">
        <f t="shared" si="2681"/>
        <v/>
      </c>
      <c r="DT158" s="103" t="str">
        <f t="shared" si="2681"/>
        <v/>
      </c>
      <c r="DU158" s="103" t="str">
        <f t="shared" si="2681"/>
        <v/>
      </c>
      <c r="DV158" s="103" t="str">
        <f t="shared" si="2681"/>
        <v/>
      </c>
      <c r="DW158" s="103" t="str">
        <f t="shared" si="2681"/>
        <v/>
      </c>
      <c r="DX158" s="103" t="str">
        <f t="shared" si="2681"/>
        <v/>
      </c>
      <c r="DY158" s="103" t="str">
        <f t="shared" si="2681"/>
        <v/>
      </c>
      <c r="DZ158" s="103" t="str">
        <f t="shared" si="2681"/>
        <v/>
      </c>
      <c r="EA158" s="103" t="str">
        <f t="shared" si="2681"/>
        <v/>
      </c>
      <c r="EB158" s="103" t="str">
        <f t="shared" si="2681"/>
        <v/>
      </c>
      <c r="EC158" s="103" t="str">
        <f t="shared" si="2681"/>
        <v/>
      </c>
      <c r="ED158" s="103" t="str">
        <f t="shared" si="2681"/>
        <v/>
      </c>
      <c r="EE158" s="103" t="str">
        <f t="shared" si="2681"/>
        <v/>
      </c>
      <c r="EF158" s="103" t="str">
        <f t="shared" si="2681"/>
        <v/>
      </c>
      <c r="EG158" s="103" t="str">
        <f t="shared" si="2681"/>
        <v/>
      </c>
      <c r="EH158" s="103" t="str">
        <f t="shared" si="2681"/>
        <v/>
      </c>
      <c r="EI158" s="103" t="str">
        <f t="shared" si="2681"/>
        <v/>
      </c>
      <c r="EJ158" s="103" t="str">
        <f t="shared" si="2681"/>
        <v/>
      </c>
      <c r="EK158" s="103" t="str">
        <f t="shared" si="2681"/>
        <v/>
      </c>
      <c r="EL158" s="103" t="str">
        <f t="shared" si="2681"/>
        <v/>
      </c>
      <c r="EM158" s="103" t="str">
        <f t="shared" si="2681"/>
        <v/>
      </c>
      <c r="EN158" s="103" t="str">
        <f t="shared" si="2681"/>
        <v/>
      </c>
      <c r="EO158" s="103" t="str">
        <f t="shared" si="2681"/>
        <v/>
      </c>
      <c r="EP158" s="103" t="str">
        <f t="shared" si="2681"/>
        <v/>
      </c>
      <c r="EQ158" s="103" t="str">
        <f t="shared" si="2681"/>
        <v/>
      </c>
      <c r="ER158" s="103" t="str">
        <f t="shared" si="2681"/>
        <v/>
      </c>
      <c r="ES158" s="103" t="str">
        <f t="shared" si="2681"/>
        <v/>
      </c>
      <c r="ET158" s="103" t="str">
        <f t="shared" si="2681"/>
        <v/>
      </c>
      <c r="EU158" s="103" t="str">
        <f t="shared" si="2681"/>
        <v/>
      </c>
      <c r="EV158" s="103" t="str">
        <f t="shared" si="2681"/>
        <v/>
      </c>
      <c r="EW158" s="103" t="str">
        <f t="shared" si="2681"/>
        <v/>
      </c>
      <c r="EX158" s="103" t="str">
        <f t="shared" si="2681"/>
        <v/>
      </c>
      <c r="EY158" s="103" t="str">
        <f t="shared" si="2681"/>
        <v/>
      </c>
      <c r="EZ158" s="103" t="str">
        <f t="shared" si="2681"/>
        <v/>
      </c>
      <c r="FA158" s="103" t="str">
        <f t="shared" si="2681"/>
        <v/>
      </c>
      <c r="FB158" s="103" t="str">
        <f t="shared" si="2681"/>
        <v/>
      </c>
      <c r="FC158" s="103" t="str">
        <f t="shared" si="2681"/>
        <v/>
      </c>
      <c r="FD158" s="103" t="str">
        <f t="shared" si="2681"/>
        <v/>
      </c>
      <c r="FE158" s="103" t="str">
        <f t="shared" si="2681"/>
        <v/>
      </c>
      <c r="FF158" s="103" t="str">
        <f t="shared" si="2681"/>
        <v/>
      </c>
      <c r="FG158" s="103" t="str">
        <f t="shared" si="2681"/>
        <v/>
      </c>
      <c r="FH158" s="103" t="str">
        <f t="shared" si="2681"/>
        <v/>
      </c>
      <c r="FI158" s="103" t="str">
        <f t="shared" si="2681"/>
        <v/>
      </c>
      <c r="FJ158" s="103" t="str">
        <f t="shared" si="2681"/>
        <v/>
      </c>
      <c r="FK158" s="103" t="str">
        <f t="shared" si="2681"/>
        <v/>
      </c>
      <c r="FL158" s="103" t="str">
        <f t="shared" si="2681"/>
        <v/>
      </c>
      <c r="FM158" s="103" t="str">
        <f t="shared" si="2681"/>
        <v/>
      </c>
      <c r="FN158" s="103" t="str">
        <f t="shared" ref="FN158:FS158" si="2682">IF(CH158="","","|n"&amp;FN$2&amp;"+"&amp;CH158&amp;FN$1)</f>
        <v/>
      </c>
      <c r="FO158" s="103" t="str">
        <f t="shared" si="2682"/>
        <v/>
      </c>
      <c r="FP158" s="103" t="str">
        <f t="shared" si="2682"/>
        <v/>
      </c>
      <c r="FQ158" s="103" t="str">
        <f t="shared" si="2682"/>
        <v/>
      </c>
      <c r="FR158" s="103" t="str">
        <f t="shared" si="2682"/>
        <v/>
      </c>
      <c r="FS158" s="103" t="str">
        <f t="shared" si="2682"/>
        <v/>
      </c>
    </row>
    <row r="159" spans="1:175" ht="71.25">
      <c r="A159" s="74"/>
      <c r="B159" s="5" t="s">
        <v>594</v>
      </c>
      <c r="C159" s="74" t="s">
        <v>595</v>
      </c>
      <c r="R159" s="38">
        <v>-8086</v>
      </c>
      <c r="S159" s="38">
        <v>-3245</v>
      </c>
      <c r="T159" s="99" t="str">
        <f>"渡过该劫后可结成|CffCCCCCC低级道果|r。|n|n|CffCCCCCC低级道果：|r"&amp;CU78</f>
        <v>渡过该劫后可结成|CffCCCCCC低级道果|r。|n|n|CffCCCCCC低级道果：|r|n攻击+7500|n生命值+30000|n物理伤害+15%|n法术伤害+15%|n杀敌攻击+8|n杀敌业力+1|n杀敌生命+30|n</v>
      </c>
      <c r="U159" s="56" t="str">
        <f t="shared" ref="U159:U172" si="2683">"ReplaceableTextures\\CommandButtons\\BTN"&amp;B159&amp;".blp"</f>
        <v>ReplaceableTextures\\CommandButtons\\BTNIT01.blp</v>
      </c>
      <c r="CN159" s="13" t="str">
        <f t="shared" ref="CN159:CN186" si="2684">"InitUnitState('"&amp;B159&amp;"',"&amp;V159&amp;","&amp;W159&amp;","&amp;X159&amp;","&amp;Y159&amp;","&amp;Z159&amp;","&amp;AA159&amp;","&amp;AB159&amp;","&amp;AC159&amp;","&amp;AD159&amp;","&amp;AE159&amp;")"</f>
        <v>InitUnitState('IT01',,,,,,,,,,)</v>
      </c>
      <c r="CO159" s="13" t="str">
        <f t="shared" ref="CO159:CO186" si="2685">"InitUnitNormal('"&amp;B159&amp;"',"&amp;AF159&amp;","&amp;AG159&amp;","&amp;AH159&amp;","&amp;AI159&amp;","&amp;AJ159&amp;","&amp;AK159&amp;","&amp;AL159&amp;","&amp;AM159&amp;","&amp;AN159&amp;","&amp;AO159&amp;")"</f>
        <v>InitUnitNormal('IT01',,,,,,,,,,)</v>
      </c>
      <c r="CP159" s="13" t="str">
        <f t="shared" ref="CP159:CP186" si="2686">"InitUnitMagic('"&amp;B159&amp;"',"&amp;AP159&amp;","&amp;AQ159&amp;","&amp;AR159&amp;","&amp;AS159&amp;","&amp;AT159&amp;","&amp;AU159&amp;","&amp;AV159&amp;","&amp;AW159&amp;","&amp;BI159&amp;","&amp;BJ159&amp;")"</f>
        <v>InitUnitMagic('IT01',,,,,,,,,,)</v>
      </c>
      <c r="CQ159" s="13" t="str">
        <f t="shared" ref="CQ159:CQ186" si="2687">"InitUnitAdd('"&amp;B159&amp;"',"&amp;BK159&amp;","&amp;BL159&amp;","&amp;BM159&amp;","&amp;BN159&amp;","&amp;BO159&amp;","&amp;BP159&amp;","&amp;BQ159&amp;","&amp;BR159&amp;","&amp;BS159&amp;","&amp;BT159&amp;")"</f>
        <v>InitUnitAdd('IT01',,,,,,,,,,)</v>
      </c>
      <c r="CR159" s="13" t="str">
        <f t="shared" ref="CR159:CR167" si="2688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InitEquipData('IT01',,"",,,,,'','','','','','',"ReplaceableTextures\\CommandButtons\\BTNIT02.blp")</v>
      </c>
      <c r="CU159" s="68" t="str">
        <f t="shared" ref="CU159" si="2689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" t="str">
        <f t="shared" ref="CV159:CV160" si="2690">T159</f>
        <v>渡过该劫后可结成|CffCCCCCC低级道果|r。|n|n|CffCCCCCC低级道果：|r|n攻击+7500|n生命值+30000|n物理伤害+15%|n法术伤害+15%|n杀敌攻击+8|n杀敌业力+1|n杀敌生命+30|n</v>
      </c>
      <c r="CW159" s="7"/>
      <c r="CX159" s="7"/>
      <c r="CY159" s="7"/>
      <c r="CZ159" s="7"/>
      <c r="DA159" s="7"/>
      <c r="DB159" s="44" t="str">
        <f t="shared" ref="DB159" si="2691">IF(V159="","","|n"&amp;DB$2&amp;"+"&amp;V159&amp;DB$1)</f>
        <v/>
      </c>
      <c r="DC159" s="44" t="str">
        <f t="shared" ref="DC159" si="2692">IF(W159="","","|n"&amp;DC$2&amp;"+"&amp;W159&amp;DC$1)</f>
        <v/>
      </c>
      <c r="DD159" s="44" t="str">
        <f t="shared" ref="DD159" si="2693">IF(X159="","","|n"&amp;DD$2&amp;"+"&amp;X159&amp;DD$1)</f>
        <v/>
      </c>
      <c r="DE159" s="44" t="str">
        <f t="shared" ref="DE159" si="2694">IF(Y159="","","|n"&amp;DE$2&amp;"+"&amp;Y159&amp;DE$1)</f>
        <v/>
      </c>
      <c r="DF159" s="44" t="str">
        <f t="shared" ref="DF159" si="2695">IF(Z159="","","|n"&amp;DF$2&amp;"+"&amp;Z159&amp;DF$1)</f>
        <v/>
      </c>
      <c r="DG159" s="44" t="str">
        <f t="shared" ref="DG159" si="2696">IF(AA159="","","|n"&amp;DG$2&amp;"+"&amp;AA159&amp;DG$1)</f>
        <v/>
      </c>
      <c r="DH159" s="44" t="str">
        <f t="shared" ref="DH159" si="2697">IF(AB159="","","|n"&amp;DH$2&amp;"+"&amp;AB159&amp;DH$1)</f>
        <v/>
      </c>
      <c r="DI159" s="44" t="str">
        <f t="shared" ref="DI159" si="2698">IF(AC159="","","|n"&amp;DI$2&amp;"+"&amp;AC159&amp;DI$1)</f>
        <v/>
      </c>
      <c r="DJ159" s="44" t="str">
        <f t="shared" ref="DJ159" si="2699">IF(AD159="","","|n"&amp;DJ$2&amp;"+"&amp;AD159&amp;DJ$1)</f>
        <v/>
      </c>
      <c r="DK159" s="44" t="str">
        <f t="shared" ref="DK159" si="2700">IF(AE159="","","|n"&amp;DK$2&amp;"+"&amp;AE159&amp;DK$1)</f>
        <v/>
      </c>
      <c r="DL159" s="44" t="str">
        <f t="shared" ref="DL159" si="2701">IF(AF159="","","|n"&amp;DL$2&amp;"+"&amp;AF159&amp;DL$1)</f>
        <v/>
      </c>
      <c r="DM159" s="44" t="str">
        <f t="shared" ref="DM159" si="2702">IF(AG159="","","|n"&amp;DM$2&amp;"+"&amp;AG159&amp;DM$1)</f>
        <v/>
      </c>
      <c r="DN159" s="44" t="str">
        <f t="shared" ref="DN159" si="2703">IF(AH159="","","|n"&amp;DN$2&amp;"+"&amp;AH159&amp;DN$1)</f>
        <v/>
      </c>
      <c r="DO159" s="44" t="str">
        <f t="shared" ref="DO159" si="2704">IF(AI159="","","|n"&amp;DO$2&amp;"+"&amp;AI159&amp;DO$1)</f>
        <v/>
      </c>
      <c r="DP159" s="44" t="str">
        <f t="shared" ref="DP159" si="2705">IF(AJ159="","","|n"&amp;DP$2&amp;"+"&amp;AJ159&amp;DP$1)</f>
        <v/>
      </c>
      <c r="DQ159" s="44" t="str">
        <f t="shared" ref="DQ159" si="2706">IF(AK159="","","|n"&amp;DQ$2&amp;"+"&amp;AK159&amp;DQ$1)</f>
        <v/>
      </c>
      <c r="DR159" s="44" t="str">
        <f t="shared" ref="DR159" si="2707">IF(AL159="","","|n"&amp;DR$2&amp;"+"&amp;AL159&amp;DR$1)</f>
        <v/>
      </c>
      <c r="DS159" s="44" t="str">
        <f t="shared" ref="DS159" si="2708">IF(AM159="","","|n"&amp;DS$2&amp;"+"&amp;AM159&amp;DS$1)</f>
        <v/>
      </c>
      <c r="DT159" s="44" t="str">
        <f t="shared" ref="DT159" si="2709">IF(AN159="","","|n"&amp;DT$2&amp;"+"&amp;AN159&amp;DT$1)</f>
        <v/>
      </c>
      <c r="DU159" s="44" t="str">
        <f t="shared" ref="DU159" si="2710">IF(AO159="","","|n"&amp;DU$2&amp;"+"&amp;AO159&amp;DU$1)</f>
        <v/>
      </c>
      <c r="DV159" s="44" t="str">
        <f t="shared" ref="DV159" si="2711">IF(AP159="","","|n"&amp;DV$2&amp;"+"&amp;AP159&amp;DV$1)</f>
        <v/>
      </c>
      <c r="DW159" s="44" t="str">
        <f t="shared" ref="DW159" si="2712">IF(AQ159="","","|n"&amp;DW$2&amp;"+"&amp;AQ159&amp;DW$1)</f>
        <v/>
      </c>
      <c r="DX159" s="44" t="str">
        <f t="shared" ref="DX159" si="2713">IF(AR159="","","|n"&amp;DX$2&amp;"+"&amp;AR159&amp;DX$1)</f>
        <v/>
      </c>
      <c r="DY159" s="44" t="str">
        <f t="shared" ref="DY159" si="2714">IF(AS159="","","|n"&amp;DY$2&amp;"+"&amp;AS159&amp;DY$1)</f>
        <v/>
      </c>
      <c r="DZ159" s="44" t="str">
        <f t="shared" ref="DZ159" si="2715">IF(AT159="","","|n"&amp;DZ$2&amp;"+"&amp;AT159&amp;DZ$1)</f>
        <v/>
      </c>
      <c r="EA159" s="44" t="str">
        <f t="shared" ref="EA159" si="2716">IF(AU159="","","|n"&amp;EA$2&amp;"+"&amp;AU159&amp;EA$1)</f>
        <v/>
      </c>
      <c r="EB159" s="44" t="str">
        <f t="shared" ref="EB159" si="2717">IF(AV159="","","|n"&amp;EB$2&amp;"+"&amp;AV159&amp;EB$1)</f>
        <v/>
      </c>
      <c r="EC159" s="44" t="str">
        <f t="shared" ref="EC159" si="2718">IF(AW159="","","|n"&amp;EC$2&amp;"+"&amp;AW159&amp;EC$1)</f>
        <v/>
      </c>
      <c r="ED159" s="44" t="str">
        <f t="shared" ref="ED159" si="2719">IF(AX159="","","|n"&amp;ED$2&amp;"+"&amp;AX159&amp;ED$1)</f>
        <v/>
      </c>
      <c r="EE159" s="44" t="str">
        <f t="shared" ref="EE159" si="2720">IF(AY159="","","|n"&amp;EE$2&amp;"+"&amp;AY159&amp;EE$1)</f>
        <v/>
      </c>
      <c r="EF159" s="44" t="str">
        <f t="shared" ref="EF159" si="2721">IF(AZ159="","","|n"&amp;EF$2&amp;"+"&amp;AZ159&amp;EF$1)</f>
        <v/>
      </c>
      <c r="EG159" s="44" t="str">
        <f t="shared" ref="EG159" si="2722">IF(BA159="","","|n"&amp;EG$2&amp;"+"&amp;BA159&amp;EG$1)</f>
        <v/>
      </c>
      <c r="EH159" s="44" t="str">
        <f t="shared" ref="EH159" si="2723">IF(BB159="","","|n"&amp;EH$2&amp;"+"&amp;BB159&amp;EH$1)</f>
        <v/>
      </c>
      <c r="EI159" s="44" t="str">
        <f t="shared" ref="EI159" si="2724">IF(BC159="","","|n"&amp;EI$2&amp;"+"&amp;BC159&amp;EI$1)</f>
        <v/>
      </c>
      <c r="EJ159" s="44" t="str">
        <f t="shared" ref="EJ159" si="2725">IF(BD159="","","|n"&amp;EJ$2&amp;"+"&amp;BD159&amp;EJ$1)</f>
        <v/>
      </c>
      <c r="EK159" s="44" t="str">
        <f t="shared" ref="EK159" si="2726">IF(BE159="","","|n"&amp;EK$2&amp;"+"&amp;BE159&amp;EK$1)</f>
        <v/>
      </c>
      <c r="EL159" s="44" t="str">
        <f t="shared" ref="EL159" si="2727">IF(BF159="","","|n"&amp;EL$2&amp;"+"&amp;BF159&amp;EL$1)</f>
        <v/>
      </c>
      <c r="EM159" s="44" t="str">
        <f t="shared" ref="EM159" si="2728">IF(BG159="","","|n"&amp;EM$2&amp;"+"&amp;BG159&amp;EM$1)</f>
        <v/>
      </c>
      <c r="EN159" s="44" t="str">
        <f t="shared" ref="EN159" si="2729">IF(BH159="","","|n"&amp;EN$2&amp;"+"&amp;BH159&amp;EN$1)</f>
        <v/>
      </c>
      <c r="EO159" s="44" t="str">
        <f t="shared" ref="EO159" si="2730">IF(BI159="","","|n"&amp;EO$2&amp;"+"&amp;BI159&amp;EO$1)</f>
        <v/>
      </c>
      <c r="EP159" s="44" t="str">
        <f t="shared" ref="EP159" si="2731">IF(BJ159="","","|n"&amp;EP$2&amp;"+"&amp;BJ159&amp;EP$1)</f>
        <v/>
      </c>
      <c r="EQ159" s="44" t="str">
        <f t="shared" ref="EQ159" si="2732">IF(BK159="","","|n"&amp;EQ$2&amp;"+"&amp;BK159&amp;EQ$1)</f>
        <v/>
      </c>
      <c r="ER159" s="44" t="str">
        <f t="shared" ref="ER159" si="2733">IF(BL159="","","|n"&amp;ER$2&amp;"+"&amp;BL159&amp;ER$1)</f>
        <v/>
      </c>
      <c r="ES159" s="44" t="str">
        <f t="shared" ref="ES159" si="2734">IF(BM159="","","|n"&amp;ES$2&amp;"+"&amp;BM159&amp;ES$1)</f>
        <v/>
      </c>
      <c r="ET159" s="44" t="str">
        <f t="shared" ref="ET159" si="2735">IF(BN159="","","|n"&amp;ET$2&amp;"+"&amp;BN159&amp;ET$1)</f>
        <v/>
      </c>
      <c r="EU159" s="44" t="str">
        <f t="shared" ref="EU159" si="2736">IF(BO159="","","|n"&amp;EU$2&amp;"+"&amp;BO159&amp;EU$1)</f>
        <v/>
      </c>
      <c r="EV159" s="44" t="str">
        <f t="shared" ref="EV159" si="2737">IF(BP159="","","|n"&amp;EV$2&amp;"+"&amp;BP159&amp;EV$1)</f>
        <v/>
      </c>
      <c r="EW159" s="44" t="str">
        <f t="shared" ref="EW159" si="2738">IF(BQ159="","","|n"&amp;EW$2&amp;"+"&amp;BQ159&amp;EW$1)</f>
        <v/>
      </c>
      <c r="EX159" s="44" t="str">
        <f t="shared" ref="EX159" si="2739">IF(BR159="","","|n"&amp;EX$2&amp;"+"&amp;BR159&amp;EX$1)</f>
        <v/>
      </c>
      <c r="EY159" s="44" t="str">
        <f t="shared" ref="EY159" si="2740">IF(BS159="","","|n"&amp;EY$2&amp;"+"&amp;BS159&amp;EY$1)</f>
        <v/>
      </c>
      <c r="EZ159" s="44" t="str">
        <f t="shared" ref="EZ159" si="2741">IF(BT159="","","|n"&amp;EZ$2&amp;"+"&amp;BT159&amp;EZ$1)</f>
        <v/>
      </c>
      <c r="FA159" s="44" t="str">
        <f t="shared" ref="FA159" si="2742">IF(BU159="","","|n"&amp;FA$2&amp;"+"&amp;BU159&amp;FA$1)</f>
        <v/>
      </c>
      <c r="FB159" s="44" t="str">
        <f t="shared" ref="FB159" si="2743">IF(BV159="","","|n"&amp;FB$2&amp;"+"&amp;BV159&amp;FB$1)</f>
        <v/>
      </c>
      <c r="FC159" s="44" t="str">
        <f t="shared" ref="FC159" si="2744">IF(BW159="","","|n"&amp;FC$2&amp;"+"&amp;BW159&amp;FC$1)</f>
        <v/>
      </c>
      <c r="FD159" s="44" t="str">
        <f t="shared" ref="FD159" si="2745">IF(BX159="","","|n"&amp;FD$2&amp;"+"&amp;BX159&amp;FD$1)</f>
        <v/>
      </c>
      <c r="FE159" s="44" t="str">
        <f t="shared" ref="FE159" si="2746">IF(BY159="","","|n"&amp;FE$2&amp;"+"&amp;BY159&amp;FE$1)</f>
        <v/>
      </c>
      <c r="FF159" s="44" t="str">
        <f t="shared" ref="FF159" si="2747">IF(BZ159="","","|n"&amp;FF$2&amp;"+"&amp;BZ159&amp;FF$1)</f>
        <v/>
      </c>
      <c r="FG159" s="44" t="str">
        <f t="shared" ref="FG159" si="2748">IF(CA159="","","|n"&amp;FG$2&amp;"+"&amp;CA159&amp;FG$1)</f>
        <v/>
      </c>
      <c r="FH159" s="44" t="str">
        <f t="shared" ref="FH159" si="2749">IF(CB159="","","|n"&amp;FH$2&amp;"+"&amp;CB159&amp;FH$1)</f>
        <v/>
      </c>
      <c r="FI159" s="44" t="str">
        <f t="shared" ref="FI159" si="2750">IF(CC159="","","|n"&amp;FI$2&amp;"+"&amp;CC159&amp;FI$1)</f>
        <v/>
      </c>
      <c r="FJ159" s="44" t="str">
        <f t="shared" ref="FJ159" si="2751">IF(CD159="","","|n"&amp;FJ$2&amp;"+"&amp;CD159&amp;FJ$1)</f>
        <v/>
      </c>
      <c r="FK159" s="44" t="str">
        <f t="shared" ref="FK159" si="2752">IF(CE159="","","|n"&amp;FK$2&amp;"+"&amp;CE159&amp;FK$1)</f>
        <v/>
      </c>
      <c r="FL159" s="44" t="str">
        <f t="shared" ref="FL159" si="2753">IF(CF159="","","|n"&amp;FL$2&amp;"+"&amp;CF159&amp;FL$1)</f>
        <v/>
      </c>
      <c r="FM159" s="44" t="str">
        <f t="shared" ref="FM159" si="2754">IF(CG159="","","|n"&amp;FM$2&amp;"+"&amp;CG159&amp;FM$1)</f>
        <v/>
      </c>
      <c r="FN159" s="44" t="str">
        <f t="shared" ref="FN159" si="2755">IF(CH159="","","|n"&amp;FN$2&amp;"+"&amp;CH159&amp;FN$1)</f>
        <v/>
      </c>
      <c r="FO159" s="44" t="str">
        <f t="shared" ref="FO159" si="2756">IF(CI159="","","|n"&amp;FO$2&amp;"+"&amp;CI159&amp;FO$1)</f>
        <v/>
      </c>
      <c r="FP159" s="44" t="str">
        <f t="shared" ref="FP159" si="2757">IF(CJ159="","","|n"&amp;FP$2&amp;"+"&amp;CJ159&amp;FP$1)</f>
        <v/>
      </c>
      <c r="FQ159" s="44" t="str">
        <f t="shared" ref="FQ159" si="2758">IF(CK159="","","|n"&amp;FQ$2&amp;"+"&amp;CK159&amp;FQ$1)</f>
        <v/>
      </c>
      <c r="FR159" s="44" t="str">
        <f t="shared" ref="FR159" si="2759">IF(CL159="","","|n"&amp;FR$2&amp;"+"&amp;CL159&amp;FR$1)</f>
        <v/>
      </c>
      <c r="FS159" s="44" t="str">
        <f t="shared" ref="FS159" si="2760">IF(CM159="","","|n"&amp;FS$2&amp;"+"&amp;CM159&amp;FS$1)</f>
        <v/>
      </c>
    </row>
    <row r="160" spans="1:175" ht="71.25">
      <c r="A160" s="74"/>
      <c r="B160" s="5" t="s">
        <v>596</v>
      </c>
      <c r="C160" s="74" t="s">
        <v>597</v>
      </c>
      <c r="R160" s="38">
        <v>-7991</v>
      </c>
      <c r="S160" s="38">
        <v>-2312</v>
      </c>
      <c r="T160" s="99" t="str">
        <f>"渡过该劫后可结成|CffCCCCCC中级道果|r。|n|n|CffCCCCCC中级道果：|r"&amp;CU79</f>
        <v>渡过该劫后可结成|CffCCCCCC中级道果|r。|n|n|CffCCCCCC中级道果：|r|n攻击+18000|n生命值+72000|n物理伤害+15%|n法术伤害+15%|n杀敌攻击+8|n杀敌业力+1|n杀敌生命+30|n</v>
      </c>
      <c r="U160" s="56" t="str">
        <f t="shared" si="2683"/>
        <v>ReplaceableTextures\\CommandButtons\\BTNIT02.blp</v>
      </c>
      <c r="CN160" s="13" t="str">
        <f t="shared" si="2684"/>
        <v>InitUnitState('IT02',,,,,,,,,,)</v>
      </c>
      <c r="CO160" s="13" t="str">
        <f t="shared" si="2685"/>
        <v>InitUnitNormal('IT02',,,,,,,,,,)</v>
      </c>
      <c r="CP160" s="13" t="str">
        <f t="shared" si="2686"/>
        <v>InitUnitMagic('IT02',,,,,,,,,,)</v>
      </c>
      <c r="CQ160" s="13" t="str">
        <f t="shared" si="2687"/>
        <v>InitUnitAdd('IT02',,,,,,,,,,)</v>
      </c>
      <c r="CR160" s="13" t="str">
        <f t="shared" si="2688"/>
        <v>InitEquipData('IT02',,"",,,,,'','','','','','',"ReplaceableTextures\\CommandButtons\\BTNIT03.blp")</v>
      </c>
      <c r="CU160" s="68" t="str">
        <f t="shared" ref="CU160:CU168" si="2761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6" t="str">
        <f t="shared" si="2690"/>
        <v>渡过该劫后可结成|CffCCCCCC中级道果|r。|n|n|CffCCCCCC中级道果：|r|n攻击+18000|n生命值+72000|n物理伤害+15%|n法术伤害+15%|n杀敌攻击+8|n杀敌业力+1|n杀敌生命+30|n</v>
      </c>
      <c r="CW160" s="7"/>
      <c r="CX160" s="7"/>
      <c r="CY160" s="7"/>
      <c r="CZ160" s="7"/>
      <c r="DA160" s="7"/>
      <c r="DB160" s="44" t="str">
        <f t="shared" ref="DB160:DB168" si="2762">IF(V160="","","|n"&amp;DB$2&amp;"+"&amp;V160&amp;DB$1)</f>
        <v/>
      </c>
      <c r="DC160" s="44" t="str">
        <f t="shared" ref="DC160:DC168" si="2763">IF(W160="","","|n"&amp;DC$2&amp;"+"&amp;W160&amp;DC$1)</f>
        <v/>
      </c>
      <c r="DD160" s="44" t="str">
        <f t="shared" ref="DD160:DD168" si="2764">IF(X160="","","|n"&amp;DD$2&amp;"+"&amp;X160&amp;DD$1)</f>
        <v/>
      </c>
      <c r="DE160" s="44" t="str">
        <f t="shared" ref="DE160:DE168" si="2765">IF(Y160="","","|n"&amp;DE$2&amp;"+"&amp;Y160&amp;DE$1)</f>
        <v/>
      </c>
      <c r="DF160" s="44" t="str">
        <f t="shared" ref="DF160:DF168" si="2766">IF(Z160="","","|n"&amp;DF$2&amp;"+"&amp;Z160&amp;DF$1)</f>
        <v/>
      </c>
      <c r="DG160" s="44" t="str">
        <f t="shared" ref="DG160:DG168" si="2767">IF(AA160="","","|n"&amp;DG$2&amp;"+"&amp;AA160&amp;DG$1)</f>
        <v/>
      </c>
      <c r="DH160" s="44" t="str">
        <f t="shared" ref="DH160:DH168" si="2768">IF(AB160="","","|n"&amp;DH$2&amp;"+"&amp;AB160&amp;DH$1)</f>
        <v/>
      </c>
      <c r="DI160" s="44" t="str">
        <f t="shared" ref="DI160:DI168" si="2769">IF(AC160="","","|n"&amp;DI$2&amp;"+"&amp;AC160&amp;DI$1)</f>
        <v/>
      </c>
      <c r="DJ160" s="44" t="str">
        <f t="shared" ref="DJ160:DJ168" si="2770">IF(AD160="","","|n"&amp;DJ$2&amp;"+"&amp;AD160&amp;DJ$1)</f>
        <v/>
      </c>
      <c r="DK160" s="44" t="str">
        <f t="shared" ref="DK160:DK168" si="2771">IF(AE160="","","|n"&amp;DK$2&amp;"+"&amp;AE160&amp;DK$1)</f>
        <v/>
      </c>
      <c r="DL160" s="44" t="str">
        <f t="shared" ref="DL160:DL168" si="2772">IF(AF160="","","|n"&amp;DL$2&amp;"+"&amp;AF160&amp;DL$1)</f>
        <v/>
      </c>
      <c r="DM160" s="44" t="str">
        <f t="shared" ref="DM160:DM168" si="2773">IF(AG160="","","|n"&amp;DM$2&amp;"+"&amp;AG160&amp;DM$1)</f>
        <v/>
      </c>
      <c r="DN160" s="44" t="str">
        <f t="shared" ref="DN160:DN168" si="2774">IF(AH160="","","|n"&amp;DN$2&amp;"+"&amp;AH160&amp;DN$1)</f>
        <v/>
      </c>
      <c r="DO160" s="44" t="str">
        <f t="shared" ref="DO160:DO168" si="2775">IF(AI160="","","|n"&amp;DO$2&amp;"+"&amp;AI160&amp;DO$1)</f>
        <v/>
      </c>
      <c r="DP160" s="44" t="str">
        <f t="shared" ref="DP160:DP168" si="2776">IF(AJ160="","","|n"&amp;DP$2&amp;"+"&amp;AJ160&amp;DP$1)</f>
        <v/>
      </c>
      <c r="DQ160" s="44" t="str">
        <f t="shared" ref="DQ160:DQ168" si="2777">IF(AK160="","","|n"&amp;DQ$2&amp;"+"&amp;AK160&amp;DQ$1)</f>
        <v/>
      </c>
      <c r="DR160" s="44" t="str">
        <f t="shared" ref="DR160:DR168" si="2778">IF(AL160="","","|n"&amp;DR$2&amp;"+"&amp;AL160&amp;DR$1)</f>
        <v/>
      </c>
      <c r="DS160" s="44" t="str">
        <f t="shared" ref="DS160:DS168" si="2779">IF(AM160="","","|n"&amp;DS$2&amp;"+"&amp;AM160&amp;DS$1)</f>
        <v/>
      </c>
      <c r="DT160" s="44" t="str">
        <f t="shared" ref="DT160:DT168" si="2780">IF(AN160="","","|n"&amp;DT$2&amp;"+"&amp;AN160&amp;DT$1)</f>
        <v/>
      </c>
      <c r="DU160" s="44" t="str">
        <f t="shared" ref="DU160:DU168" si="2781">IF(AO160="","","|n"&amp;DU$2&amp;"+"&amp;AO160&amp;DU$1)</f>
        <v/>
      </c>
      <c r="DV160" s="44" t="str">
        <f t="shared" ref="DV160:DV168" si="2782">IF(AP160="","","|n"&amp;DV$2&amp;"+"&amp;AP160&amp;DV$1)</f>
        <v/>
      </c>
      <c r="DW160" s="44" t="str">
        <f t="shared" ref="DW160:DW168" si="2783">IF(AQ160="","","|n"&amp;DW$2&amp;"+"&amp;AQ160&amp;DW$1)</f>
        <v/>
      </c>
      <c r="DX160" s="44" t="str">
        <f t="shared" ref="DX160:DX168" si="2784">IF(AR160="","","|n"&amp;DX$2&amp;"+"&amp;AR160&amp;DX$1)</f>
        <v/>
      </c>
      <c r="DY160" s="44" t="str">
        <f t="shared" ref="DY160:DY168" si="2785">IF(AS160="","","|n"&amp;DY$2&amp;"+"&amp;AS160&amp;DY$1)</f>
        <v/>
      </c>
      <c r="DZ160" s="44" t="str">
        <f t="shared" ref="DZ160:DZ168" si="2786">IF(AT160="","","|n"&amp;DZ$2&amp;"+"&amp;AT160&amp;DZ$1)</f>
        <v/>
      </c>
      <c r="EA160" s="44" t="str">
        <f t="shared" ref="EA160:EA168" si="2787">IF(AU160="","","|n"&amp;EA$2&amp;"+"&amp;AU160&amp;EA$1)</f>
        <v/>
      </c>
      <c r="EB160" s="44" t="str">
        <f t="shared" ref="EB160:EB168" si="2788">IF(AV160="","","|n"&amp;EB$2&amp;"+"&amp;AV160&amp;EB$1)</f>
        <v/>
      </c>
      <c r="EC160" s="44" t="str">
        <f t="shared" ref="EC160:EC168" si="2789">IF(AW160="","","|n"&amp;EC$2&amp;"+"&amp;AW160&amp;EC$1)</f>
        <v/>
      </c>
      <c r="ED160" s="44" t="str">
        <f t="shared" ref="ED160:ED168" si="2790">IF(AX160="","","|n"&amp;ED$2&amp;"+"&amp;AX160&amp;ED$1)</f>
        <v/>
      </c>
      <c r="EE160" s="44" t="str">
        <f t="shared" ref="EE160:EE168" si="2791">IF(AY160="","","|n"&amp;EE$2&amp;"+"&amp;AY160&amp;EE$1)</f>
        <v/>
      </c>
      <c r="EF160" s="44" t="str">
        <f t="shared" ref="EF160:EF168" si="2792">IF(AZ160="","","|n"&amp;EF$2&amp;"+"&amp;AZ160&amp;EF$1)</f>
        <v/>
      </c>
      <c r="EG160" s="44" t="str">
        <f t="shared" ref="EG160:EG168" si="2793">IF(BA160="","","|n"&amp;EG$2&amp;"+"&amp;BA160&amp;EG$1)</f>
        <v/>
      </c>
      <c r="EH160" s="44" t="str">
        <f t="shared" ref="EH160:EH168" si="2794">IF(BB160="","","|n"&amp;EH$2&amp;"+"&amp;BB160&amp;EH$1)</f>
        <v/>
      </c>
      <c r="EI160" s="44" t="str">
        <f t="shared" ref="EI160:EI168" si="2795">IF(BC160="","","|n"&amp;EI$2&amp;"+"&amp;BC160&amp;EI$1)</f>
        <v/>
      </c>
      <c r="EJ160" s="44" t="str">
        <f t="shared" ref="EJ160:EJ168" si="2796">IF(BD160="","","|n"&amp;EJ$2&amp;"+"&amp;BD160&amp;EJ$1)</f>
        <v/>
      </c>
      <c r="EK160" s="44" t="str">
        <f t="shared" ref="EK160:EK168" si="2797">IF(BE160="","","|n"&amp;EK$2&amp;"+"&amp;BE160&amp;EK$1)</f>
        <v/>
      </c>
      <c r="EL160" s="44" t="str">
        <f t="shared" ref="EL160:EL168" si="2798">IF(BF160="","","|n"&amp;EL$2&amp;"+"&amp;BF160&amp;EL$1)</f>
        <v/>
      </c>
      <c r="EM160" s="44" t="str">
        <f t="shared" ref="EM160:EM168" si="2799">IF(BG160="","","|n"&amp;EM$2&amp;"+"&amp;BG160&amp;EM$1)</f>
        <v/>
      </c>
      <c r="EN160" s="44" t="str">
        <f t="shared" ref="EN160:EN168" si="2800">IF(BH160="","","|n"&amp;EN$2&amp;"+"&amp;BH160&amp;EN$1)</f>
        <v/>
      </c>
      <c r="EO160" s="44" t="str">
        <f t="shared" ref="EO160:EO168" si="2801">IF(BI160="","","|n"&amp;EO$2&amp;"+"&amp;BI160&amp;EO$1)</f>
        <v/>
      </c>
      <c r="EP160" s="44" t="str">
        <f t="shared" ref="EP160:EP168" si="2802">IF(BJ160="","","|n"&amp;EP$2&amp;"+"&amp;BJ160&amp;EP$1)</f>
        <v/>
      </c>
      <c r="EQ160" s="44" t="str">
        <f t="shared" ref="EQ160:EQ168" si="2803">IF(BK160="","","|n"&amp;EQ$2&amp;"+"&amp;BK160&amp;EQ$1)</f>
        <v/>
      </c>
      <c r="ER160" s="44" t="str">
        <f t="shared" ref="ER160:ER168" si="2804">IF(BL160="","","|n"&amp;ER$2&amp;"+"&amp;BL160&amp;ER$1)</f>
        <v/>
      </c>
      <c r="ES160" s="44" t="str">
        <f t="shared" ref="ES160:ES168" si="2805">IF(BM160="","","|n"&amp;ES$2&amp;"+"&amp;BM160&amp;ES$1)</f>
        <v/>
      </c>
      <c r="ET160" s="44" t="str">
        <f t="shared" ref="ET160:ET168" si="2806">IF(BN160="","","|n"&amp;ET$2&amp;"+"&amp;BN160&amp;ET$1)</f>
        <v/>
      </c>
      <c r="EU160" s="44" t="str">
        <f t="shared" ref="EU160:EU168" si="2807">IF(BO160="","","|n"&amp;EU$2&amp;"+"&amp;BO160&amp;EU$1)</f>
        <v/>
      </c>
      <c r="EV160" s="44" t="str">
        <f t="shared" ref="EV160:EV168" si="2808">IF(BP160="","","|n"&amp;EV$2&amp;"+"&amp;BP160&amp;EV$1)</f>
        <v/>
      </c>
      <c r="EW160" s="44" t="str">
        <f t="shared" ref="EW160:EW168" si="2809">IF(BQ160="","","|n"&amp;EW$2&amp;"+"&amp;BQ160&amp;EW$1)</f>
        <v/>
      </c>
      <c r="EX160" s="44" t="str">
        <f t="shared" ref="EX160:EX168" si="2810">IF(BR160="","","|n"&amp;EX$2&amp;"+"&amp;BR160&amp;EX$1)</f>
        <v/>
      </c>
      <c r="EY160" s="44" t="str">
        <f t="shared" ref="EY160:EY168" si="2811">IF(BS160="","","|n"&amp;EY$2&amp;"+"&amp;BS160&amp;EY$1)</f>
        <v/>
      </c>
      <c r="EZ160" s="44" t="str">
        <f t="shared" ref="EZ160:EZ168" si="2812">IF(BT160="","","|n"&amp;EZ$2&amp;"+"&amp;BT160&amp;EZ$1)</f>
        <v/>
      </c>
      <c r="FA160" s="44" t="str">
        <f t="shared" ref="FA160:FA168" si="2813">IF(BU160="","","|n"&amp;FA$2&amp;"+"&amp;BU160&amp;FA$1)</f>
        <v/>
      </c>
      <c r="FB160" s="44" t="str">
        <f t="shared" ref="FB160:FB168" si="2814">IF(BV160="","","|n"&amp;FB$2&amp;"+"&amp;BV160&amp;FB$1)</f>
        <v/>
      </c>
      <c r="FC160" s="44" t="str">
        <f t="shared" ref="FC160:FC168" si="2815">IF(BW160="","","|n"&amp;FC$2&amp;"+"&amp;BW160&amp;FC$1)</f>
        <v/>
      </c>
      <c r="FD160" s="44" t="str">
        <f t="shared" ref="FD160:FD168" si="2816">IF(BX160="","","|n"&amp;FD$2&amp;"+"&amp;BX160&amp;FD$1)</f>
        <v/>
      </c>
      <c r="FE160" s="44" t="str">
        <f t="shared" ref="FE160:FE168" si="2817">IF(BY160="","","|n"&amp;FE$2&amp;"+"&amp;BY160&amp;FE$1)</f>
        <v/>
      </c>
      <c r="FF160" s="44" t="str">
        <f t="shared" ref="FF160:FF168" si="2818">IF(BZ160="","","|n"&amp;FF$2&amp;"+"&amp;BZ160&amp;FF$1)</f>
        <v/>
      </c>
      <c r="FG160" s="44" t="str">
        <f t="shared" ref="FG160:FG168" si="2819">IF(CA160="","","|n"&amp;FG$2&amp;"+"&amp;CA160&amp;FG$1)</f>
        <v/>
      </c>
      <c r="FH160" s="44" t="str">
        <f t="shared" ref="FH160:FH168" si="2820">IF(CB160="","","|n"&amp;FH$2&amp;"+"&amp;CB160&amp;FH$1)</f>
        <v/>
      </c>
      <c r="FI160" s="44" t="str">
        <f t="shared" ref="FI160:FI168" si="2821">IF(CC160="","","|n"&amp;FI$2&amp;"+"&amp;CC160&amp;FI$1)</f>
        <v/>
      </c>
      <c r="FJ160" s="44" t="str">
        <f t="shared" ref="FJ160:FJ168" si="2822">IF(CD160="","","|n"&amp;FJ$2&amp;"+"&amp;CD160&amp;FJ$1)</f>
        <v/>
      </c>
      <c r="FK160" s="44" t="str">
        <f t="shared" ref="FK160:FK168" si="2823">IF(CE160="","","|n"&amp;FK$2&amp;"+"&amp;CE160&amp;FK$1)</f>
        <v/>
      </c>
      <c r="FL160" s="44" t="str">
        <f t="shared" ref="FL160:FL168" si="2824">IF(CF160="","","|n"&amp;FL$2&amp;"+"&amp;CF160&amp;FL$1)</f>
        <v/>
      </c>
      <c r="FM160" s="44" t="str">
        <f t="shared" ref="FM160:FM168" si="2825">IF(CG160="","","|n"&amp;FM$2&amp;"+"&amp;CG160&amp;FM$1)</f>
        <v/>
      </c>
      <c r="FN160" s="44" t="str">
        <f t="shared" ref="FN160:FN168" si="2826">IF(CH160="","","|n"&amp;FN$2&amp;"+"&amp;CH160&amp;FN$1)</f>
        <v/>
      </c>
      <c r="FO160" s="44" t="str">
        <f t="shared" ref="FO160:FO168" si="2827">IF(CI160="","","|n"&amp;FO$2&amp;"+"&amp;CI160&amp;FO$1)</f>
        <v/>
      </c>
      <c r="FP160" s="44" t="str">
        <f t="shared" ref="FP160:FP168" si="2828">IF(CJ160="","","|n"&amp;FP$2&amp;"+"&amp;CJ160&amp;FP$1)</f>
        <v/>
      </c>
      <c r="FQ160" s="44" t="str">
        <f t="shared" ref="FQ160:FQ168" si="2829">IF(CK160="","","|n"&amp;FQ$2&amp;"+"&amp;CK160&amp;FQ$1)</f>
        <v/>
      </c>
      <c r="FR160" s="44" t="str">
        <f t="shared" ref="FR160:FR168" si="2830">IF(CL160="","","|n"&amp;FR$2&amp;"+"&amp;CL160&amp;FR$1)</f>
        <v/>
      </c>
      <c r="FS160" s="44" t="str">
        <f t="shared" ref="FS160:FS168" si="2831">IF(CM160="","","|n"&amp;FS$2&amp;"+"&amp;CM160&amp;FS$1)</f>
        <v/>
      </c>
    </row>
    <row r="161" spans="1:175" ht="16.5">
      <c r="A161" s="74"/>
      <c r="B161" s="5" t="s">
        <v>598</v>
      </c>
      <c r="C161" s="74" t="s">
        <v>599</v>
      </c>
      <c r="R161" s="38">
        <v>-8089</v>
      </c>
      <c r="S161" s="38">
        <v>-1230</v>
      </c>
      <c r="T161" s="100" t="str">
        <f>"渡过该劫后可结成|Cff00ff7f高级道果|r。|n|n|Cff00ff7f高级道果：|r"&amp;CU80</f>
        <v>渡过该劫后可结成|Cff00ff7f高级道果|r。|n|n|Cff00ff7f高级道果：|r|n攻击+37500|n生命值+150000|n物理伤害+15%|n法术伤害+15%|n杀敌攻击+8|n杀敌业力+1|n杀敌生命+30|n</v>
      </c>
      <c r="U161" s="56" t="str">
        <f t="shared" si="2683"/>
        <v>ReplaceableTextures\\CommandButtons\\BTNIT03.blp</v>
      </c>
      <c r="CN161" s="13" t="str">
        <f t="shared" si="2684"/>
        <v>InitUnitState('IT03',,,,,,,,,,)</v>
      </c>
      <c r="CO161" s="13" t="str">
        <f t="shared" si="2685"/>
        <v>InitUnitNormal('IT03',,,,,,,,,,)</v>
      </c>
      <c r="CP161" s="13" t="str">
        <f t="shared" si="2686"/>
        <v>InitUnitMagic('IT03',,,,,,,,,,)</v>
      </c>
      <c r="CQ161" s="13" t="str">
        <f t="shared" si="2687"/>
        <v>InitUnitAdd('IT03',,,,,,,,,,)</v>
      </c>
      <c r="CR161" s="13" t="str">
        <f t="shared" si="2688"/>
        <v>InitEquipData('IT03',,"",,,,,'','','','','','',"ReplaceableTextures\\CommandButtons\\BTNIT04.blp")</v>
      </c>
      <c r="CU161" s="68" t="str">
        <f t="shared" si="2761"/>
        <v>|n</v>
      </c>
      <c r="CV161" s="6" t="str">
        <f t="shared" ref="CV161:CV168" si="2832">T161</f>
        <v>渡过该劫后可结成|Cff00ff7f高级道果|r。|n|n|Cff00ff7f高级道果：|r|n攻击+37500|n生命值+150000|n物理伤害+15%|n法术伤害+15%|n杀敌攻击+8|n杀敌业力+1|n杀敌生命+30|n</v>
      </c>
      <c r="CW161" s="7"/>
      <c r="CX161" s="7"/>
      <c r="CY161" s="7"/>
      <c r="CZ161" s="7"/>
      <c r="DA161" s="7"/>
      <c r="DB161" s="44" t="str">
        <f t="shared" si="2762"/>
        <v/>
      </c>
      <c r="DC161" s="44" t="str">
        <f t="shared" si="2763"/>
        <v/>
      </c>
      <c r="DD161" s="44" t="str">
        <f t="shared" si="2764"/>
        <v/>
      </c>
      <c r="DE161" s="44" t="str">
        <f t="shared" si="2765"/>
        <v/>
      </c>
      <c r="DF161" s="44" t="str">
        <f t="shared" si="2766"/>
        <v/>
      </c>
      <c r="DG161" s="44" t="str">
        <f t="shared" si="2767"/>
        <v/>
      </c>
      <c r="DH161" s="44" t="str">
        <f t="shared" si="2768"/>
        <v/>
      </c>
      <c r="DI161" s="44" t="str">
        <f t="shared" si="2769"/>
        <v/>
      </c>
      <c r="DJ161" s="44" t="str">
        <f t="shared" si="2770"/>
        <v/>
      </c>
      <c r="DK161" s="44" t="str">
        <f t="shared" si="2771"/>
        <v/>
      </c>
      <c r="DL161" s="44" t="str">
        <f t="shared" si="2772"/>
        <v/>
      </c>
      <c r="DM161" s="44" t="str">
        <f t="shared" si="2773"/>
        <v/>
      </c>
      <c r="DN161" s="44" t="str">
        <f t="shared" si="2774"/>
        <v/>
      </c>
      <c r="DO161" s="44" t="str">
        <f t="shared" si="2775"/>
        <v/>
      </c>
      <c r="DP161" s="44" t="str">
        <f t="shared" si="2776"/>
        <v/>
      </c>
      <c r="DQ161" s="44" t="str">
        <f t="shared" si="2777"/>
        <v/>
      </c>
      <c r="DR161" s="44" t="str">
        <f t="shared" si="2778"/>
        <v/>
      </c>
      <c r="DS161" s="44" t="str">
        <f t="shared" si="2779"/>
        <v/>
      </c>
      <c r="DT161" s="44" t="str">
        <f t="shared" si="2780"/>
        <v/>
      </c>
      <c r="DU161" s="44" t="str">
        <f t="shared" si="2781"/>
        <v/>
      </c>
      <c r="DV161" s="44" t="str">
        <f t="shared" si="2782"/>
        <v/>
      </c>
      <c r="DW161" s="44" t="str">
        <f t="shared" si="2783"/>
        <v/>
      </c>
      <c r="DX161" s="44" t="str">
        <f t="shared" si="2784"/>
        <v/>
      </c>
      <c r="DY161" s="44" t="str">
        <f t="shared" si="2785"/>
        <v/>
      </c>
      <c r="DZ161" s="44" t="str">
        <f t="shared" si="2786"/>
        <v/>
      </c>
      <c r="EA161" s="44" t="str">
        <f t="shared" si="2787"/>
        <v/>
      </c>
      <c r="EB161" s="44" t="str">
        <f t="shared" si="2788"/>
        <v/>
      </c>
      <c r="EC161" s="44" t="str">
        <f t="shared" si="2789"/>
        <v/>
      </c>
      <c r="ED161" s="44" t="str">
        <f t="shared" si="2790"/>
        <v/>
      </c>
      <c r="EE161" s="44" t="str">
        <f t="shared" si="2791"/>
        <v/>
      </c>
      <c r="EF161" s="44" t="str">
        <f t="shared" si="2792"/>
        <v/>
      </c>
      <c r="EG161" s="44" t="str">
        <f t="shared" si="2793"/>
        <v/>
      </c>
      <c r="EH161" s="44" t="str">
        <f t="shared" si="2794"/>
        <v/>
      </c>
      <c r="EI161" s="44" t="str">
        <f t="shared" si="2795"/>
        <v/>
      </c>
      <c r="EJ161" s="44" t="str">
        <f t="shared" si="2796"/>
        <v/>
      </c>
      <c r="EK161" s="44" t="str">
        <f t="shared" si="2797"/>
        <v/>
      </c>
      <c r="EL161" s="44" t="str">
        <f t="shared" si="2798"/>
        <v/>
      </c>
      <c r="EM161" s="44" t="str">
        <f t="shared" si="2799"/>
        <v/>
      </c>
      <c r="EN161" s="44" t="str">
        <f t="shared" si="2800"/>
        <v/>
      </c>
      <c r="EO161" s="44" t="str">
        <f t="shared" si="2801"/>
        <v/>
      </c>
      <c r="EP161" s="44" t="str">
        <f t="shared" si="2802"/>
        <v/>
      </c>
      <c r="EQ161" s="44" t="str">
        <f t="shared" si="2803"/>
        <v/>
      </c>
      <c r="ER161" s="44" t="str">
        <f t="shared" si="2804"/>
        <v/>
      </c>
      <c r="ES161" s="44" t="str">
        <f t="shared" si="2805"/>
        <v/>
      </c>
      <c r="ET161" s="44" t="str">
        <f t="shared" si="2806"/>
        <v/>
      </c>
      <c r="EU161" s="44" t="str">
        <f t="shared" si="2807"/>
        <v/>
      </c>
      <c r="EV161" s="44" t="str">
        <f t="shared" si="2808"/>
        <v/>
      </c>
      <c r="EW161" s="44" t="str">
        <f t="shared" si="2809"/>
        <v/>
      </c>
      <c r="EX161" s="44" t="str">
        <f t="shared" si="2810"/>
        <v/>
      </c>
      <c r="EY161" s="44" t="str">
        <f t="shared" si="2811"/>
        <v/>
      </c>
      <c r="EZ161" s="44" t="str">
        <f t="shared" si="2812"/>
        <v/>
      </c>
      <c r="FA161" s="44" t="str">
        <f t="shared" si="2813"/>
        <v/>
      </c>
      <c r="FB161" s="44" t="str">
        <f t="shared" si="2814"/>
        <v/>
      </c>
      <c r="FC161" s="44" t="str">
        <f t="shared" si="2815"/>
        <v/>
      </c>
      <c r="FD161" s="44" t="str">
        <f t="shared" si="2816"/>
        <v/>
      </c>
      <c r="FE161" s="44" t="str">
        <f t="shared" si="2817"/>
        <v/>
      </c>
      <c r="FF161" s="44" t="str">
        <f t="shared" si="2818"/>
        <v/>
      </c>
      <c r="FG161" s="44" t="str">
        <f t="shared" si="2819"/>
        <v/>
      </c>
      <c r="FH161" s="44" t="str">
        <f t="shared" si="2820"/>
        <v/>
      </c>
      <c r="FI161" s="44" t="str">
        <f t="shared" si="2821"/>
        <v/>
      </c>
      <c r="FJ161" s="44" t="str">
        <f t="shared" si="2822"/>
        <v/>
      </c>
      <c r="FK161" s="44" t="str">
        <f t="shared" si="2823"/>
        <v/>
      </c>
      <c r="FL161" s="44" t="str">
        <f t="shared" si="2824"/>
        <v/>
      </c>
      <c r="FM161" s="44" t="str">
        <f t="shared" si="2825"/>
        <v/>
      </c>
      <c r="FN161" s="44" t="str">
        <f t="shared" si="2826"/>
        <v/>
      </c>
      <c r="FO161" s="44" t="str">
        <f t="shared" si="2827"/>
        <v/>
      </c>
      <c r="FP161" s="44" t="str">
        <f t="shared" si="2828"/>
        <v/>
      </c>
      <c r="FQ161" s="44" t="str">
        <f t="shared" si="2829"/>
        <v/>
      </c>
      <c r="FR161" s="44" t="str">
        <f t="shared" si="2830"/>
        <v/>
      </c>
      <c r="FS161" s="44" t="str">
        <f t="shared" si="2831"/>
        <v/>
      </c>
    </row>
    <row r="162" spans="1:175" ht="16.5">
      <c r="A162" s="74"/>
      <c r="B162" s="5" t="s">
        <v>600</v>
      </c>
      <c r="C162" s="74" t="s">
        <v>601</v>
      </c>
      <c r="R162" s="38">
        <v>-7794</v>
      </c>
      <c r="S162" s="38">
        <v>195</v>
      </c>
      <c r="T162" s="100" t="str">
        <f>"渡过该劫后可结成|Cff00ff7f黄级道果|r。|n|n|Cff00ff7f黄级道果：|r"&amp;CU81</f>
        <v>渡过该劫后可结成|Cff00ff7f黄级道果|r。|n|n|Cff00ff7f黄级道果：|r|n攻击+60000|n生命值+240000|n物理伤害+20%|n法术伤害+20%|n杀敌攻击+8|n杀敌业力+1|n杀敌生命+30|n</v>
      </c>
      <c r="U162" s="56" t="str">
        <f t="shared" si="2683"/>
        <v>ReplaceableTextures\\CommandButtons\\BTNIT04.blp</v>
      </c>
      <c r="CN162" s="13" t="str">
        <f t="shared" si="2684"/>
        <v>InitUnitState('IT04',,,,,,,,,,)</v>
      </c>
      <c r="CO162" s="13" t="str">
        <f t="shared" si="2685"/>
        <v>InitUnitNormal('IT04',,,,,,,,,,)</v>
      </c>
      <c r="CP162" s="13" t="str">
        <f t="shared" si="2686"/>
        <v>InitUnitMagic('IT04',,,,,,,,,,)</v>
      </c>
      <c r="CQ162" s="13" t="str">
        <f t="shared" si="2687"/>
        <v>InitUnitAdd('IT04',,,,,,,,,,)</v>
      </c>
      <c r="CR162" s="13" t="str">
        <f t="shared" si="2688"/>
        <v>InitEquipData('IT04',,"",,,,,'','','','','','',"ReplaceableTextures\\CommandButtons\\BTNIT05.blp")</v>
      </c>
      <c r="CU162" s="68" t="str">
        <f t="shared" si="2761"/>
        <v>|n</v>
      </c>
      <c r="CV162" s="6" t="str">
        <f t="shared" si="2832"/>
        <v>渡过该劫后可结成|Cff00ff7f黄级道果|r。|n|n|Cff00ff7f黄级道果：|r|n攻击+60000|n生命值+240000|n物理伤害+20%|n法术伤害+20%|n杀敌攻击+8|n杀敌业力+1|n杀敌生命+30|n</v>
      </c>
      <c r="CW162" s="7"/>
      <c r="CX162" s="7"/>
      <c r="CY162" s="7"/>
      <c r="CZ162" s="7"/>
      <c r="DA162" s="7"/>
      <c r="DB162" s="44" t="str">
        <f t="shared" si="2762"/>
        <v/>
      </c>
      <c r="DC162" s="44" t="str">
        <f t="shared" si="2763"/>
        <v/>
      </c>
      <c r="DD162" s="44" t="str">
        <f t="shared" si="2764"/>
        <v/>
      </c>
      <c r="DE162" s="44" t="str">
        <f t="shared" si="2765"/>
        <v/>
      </c>
      <c r="DF162" s="44" t="str">
        <f t="shared" si="2766"/>
        <v/>
      </c>
      <c r="DG162" s="44" t="str">
        <f t="shared" si="2767"/>
        <v/>
      </c>
      <c r="DH162" s="44" t="str">
        <f t="shared" si="2768"/>
        <v/>
      </c>
      <c r="DI162" s="44" t="str">
        <f t="shared" si="2769"/>
        <v/>
      </c>
      <c r="DJ162" s="44" t="str">
        <f t="shared" si="2770"/>
        <v/>
      </c>
      <c r="DK162" s="44" t="str">
        <f t="shared" si="2771"/>
        <v/>
      </c>
      <c r="DL162" s="44" t="str">
        <f t="shared" si="2772"/>
        <v/>
      </c>
      <c r="DM162" s="44" t="str">
        <f t="shared" si="2773"/>
        <v/>
      </c>
      <c r="DN162" s="44" t="str">
        <f t="shared" si="2774"/>
        <v/>
      </c>
      <c r="DO162" s="44" t="str">
        <f t="shared" si="2775"/>
        <v/>
      </c>
      <c r="DP162" s="44" t="str">
        <f t="shared" si="2776"/>
        <v/>
      </c>
      <c r="DQ162" s="44" t="str">
        <f t="shared" si="2777"/>
        <v/>
      </c>
      <c r="DR162" s="44" t="str">
        <f t="shared" si="2778"/>
        <v/>
      </c>
      <c r="DS162" s="44" t="str">
        <f t="shared" si="2779"/>
        <v/>
      </c>
      <c r="DT162" s="44" t="str">
        <f t="shared" si="2780"/>
        <v/>
      </c>
      <c r="DU162" s="44" t="str">
        <f t="shared" si="2781"/>
        <v/>
      </c>
      <c r="DV162" s="44" t="str">
        <f t="shared" si="2782"/>
        <v/>
      </c>
      <c r="DW162" s="44" t="str">
        <f t="shared" si="2783"/>
        <v/>
      </c>
      <c r="DX162" s="44" t="str">
        <f t="shared" si="2784"/>
        <v/>
      </c>
      <c r="DY162" s="44" t="str">
        <f t="shared" si="2785"/>
        <v/>
      </c>
      <c r="DZ162" s="44" t="str">
        <f t="shared" si="2786"/>
        <v/>
      </c>
      <c r="EA162" s="44" t="str">
        <f t="shared" si="2787"/>
        <v/>
      </c>
      <c r="EB162" s="44" t="str">
        <f t="shared" si="2788"/>
        <v/>
      </c>
      <c r="EC162" s="44" t="str">
        <f t="shared" si="2789"/>
        <v/>
      </c>
      <c r="ED162" s="44" t="str">
        <f t="shared" si="2790"/>
        <v/>
      </c>
      <c r="EE162" s="44" t="str">
        <f t="shared" si="2791"/>
        <v/>
      </c>
      <c r="EF162" s="44" t="str">
        <f t="shared" si="2792"/>
        <v/>
      </c>
      <c r="EG162" s="44" t="str">
        <f t="shared" si="2793"/>
        <v/>
      </c>
      <c r="EH162" s="44" t="str">
        <f t="shared" si="2794"/>
        <v/>
      </c>
      <c r="EI162" s="44" t="str">
        <f t="shared" si="2795"/>
        <v/>
      </c>
      <c r="EJ162" s="44" t="str">
        <f t="shared" si="2796"/>
        <v/>
      </c>
      <c r="EK162" s="44" t="str">
        <f t="shared" si="2797"/>
        <v/>
      </c>
      <c r="EL162" s="44" t="str">
        <f t="shared" si="2798"/>
        <v/>
      </c>
      <c r="EM162" s="44" t="str">
        <f t="shared" si="2799"/>
        <v/>
      </c>
      <c r="EN162" s="44" t="str">
        <f t="shared" si="2800"/>
        <v/>
      </c>
      <c r="EO162" s="44" t="str">
        <f t="shared" si="2801"/>
        <v/>
      </c>
      <c r="EP162" s="44" t="str">
        <f t="shared" si="2802"/>
        <v/>
      </c>
      <c r="EQ162" s="44" t="str">
        <f t="shared" si="2803"/>
        <v/>
      </c>
      <c r="ER162" s="44" t="str">
        <f t="shared" si="2804"/>
        <v/>
      </c>
      <c r="ES162" s="44" t="str">
        <f t="shared" si="2805"/>
        <v/>
      </c>
      <c r="ET162" s="44" t="str">
        <f t="shared" si="2806"/>
        <v/>
      </c>
      <c r="EU162" s="44" t="str">
        <f t="shared" si="2807"/>
        <v/>
      </c>
      <c r="EV162" s="44" t="str">
        <f t="shared" si="2808"/>
        <v/>
      </c>
      <c r="EW162" s="44" t="str">
        <f t="shared" si="2809"/>
        <v/>
      </c>
      <c r="EX162" s="44" t="str">
        <f t="shared" si="2810"/>
        <v/>
      </c>
      <c r="EY162" s="44" t="str">
        <f t="shared" si="2811"/>
        <v/>
      </c>
      <c r="EZ162" s="44" t="str">
        <f t="shared" si="2812"/>
        <v/>
      </c>
      <c r="FA162" s="44" t="str">
        <f t="shared" si="2813"/>
        <v/>
      </c>
      <c r="FB162" s="44" t="str">
        <f t="shared" si="2814"/>
        <v/>
      </c>
      <c r="FC162" s="44" t="str">
        <f t="shared" si="2815"/>
        <v/>
      </c>
      <c r="FD162" s="44" t="str">
        <f t="shared" si="2816"/>
        <v/>
      </c>
      <c r="FE162" s="44" t="str">
        <f t="shared" si="2817"/>
        <v/>
      </c>
      <c r="FF162" s="44" t="str">
        <f t="shared" si="2818"/>
        <v/>
      </c>
      <c r="FG162" s="44" t="str">
        <f t="shared" si="2819"/>
        <v/>
      </c>
      <c r="FH162" s="44" t="str">
        <f t="shared" si="2820"/>
        <v/>
      </c>
      <c r="FI162" s="44" t="str">
        <f t="shared" si="2821"/>
        <v/>
      </c>
      <c r="FJ162" s="44" t="str">
        <f t="shared" si="2822"/>
        <v/>
      </c>
      <c r="FK162" s="44" t="str">
        <f t="shared" si="2823"/>
        <v/>
      </c>
      <c r="FL162" s="44" t="str">
        <f t="shared" si="2824"/>
        <v/>
      </c>
      <c r="FM162" s="44" t="str">
        <f t="shared" si="2825"/>
        <v/>
      </c>
      <c r="FN162" s="44" t="str">
        <f t="shared" si="2826"/>
        <v/>
      </c>
      <c r="FO162" s="44" t="str">
        <f t="shared" si="2827"/>
        <v/>
      </c>
      <c r="FP162" s="44" t="str">
        <f t="shared" si="2828"/>
        <v/>
      </c>
      <c r="FQ162" s="44" t="str">
        <f t="shared" si="2829"/>
        <v/>
      </c>
      <c r="FR162" s="44" t="str">
        <f t="shared" si="2830"/>
        <v/>
      </c>
      <c r="FS162" s="44" t="str">
        <f t="shared" si="2831"/>
        <v/>
      </c>
    </row>
    <row r="163" spans="1:175" ht="16.5">
      <c r="A163" s="74"/>
      <c r="B163" s="5" t="s">
        <v>602</v>
      </c>
      <c r="C163" s="74" t="s">
        <v>603</v>
      </c>
      <c r="R163" s="38">
        <v>-8110</v>
      </c>
      <c r="S163" s="38">
        <v>1810</v>
      </c>
      <c r="T163" s="100" t="str">
        <f>"渡过该劫后可结成|Cff00bfff玄级道果|r。|n|n|Cff00bfff玄级道果：|r"&amp;CU82</f>
        <v>渡过该劫后可结成|Cff00bfff玄级道果|r。|n|n|Cff00bfff玄级道果：|r|n攻击+82500|n生命值+330000|n物理伤害+20%|n法术伤害+20%|n杀敌攻击+8|n杀敌业力+1|n杀敌生命+30|n</v>
      </c>
      <c r="U163" s="56" t="str">
        <f t="shared" si="2683"/>
        <v>ReplaceableTextures\\CommandButtons\\BTNIT05.blp</v>
      </c>
      <c r="CN163" s="13" t="str">
        <f t="shared" si="2684"/>
        <v>InitUnitState('IT05',,,,,,,,,,)</v>
      </c>
      <c r="CO163" s="13" t="str">
        <f t="shared" si="2685"/>
        <v>InitUnitNormal('IT05',,,,,,,,,,)</v>
      </c>
      <c r="CP163" s="13" t="str">
        <f t="shared" si="2686"/>
        <v>InitUnitMagic('IT05',,,,,,,,,,)</v>
      </c>
      <c r="CQ163" s="13" t="str">
        <f t="shared" si="2687"/>
        <v>InitUnitAdd('IT05',,,,,,,,,,)</v>
      </c>
      <c r="CR163" s="13" t="str">
        <f t="shared" si="2688"/>
        <v>InitEquipData('IT05',,"",,,,,'','','','','','',"ReplaceableTextures\\CommandButtons\\BTNIT06.blp")</v>
      </c>
      <c r="CU163" s="68" t="str">
        <f t="shared" si="2761"/>
        <v>|n</v>
      </c>
      <c r="CV163" s="6" t="str">
        <f t="shared" si="2832"/>
        <v>渡过该劫后可结成|Cff00bfff玄级道果|r。|n|n|Cff00bfff玄级道果：|r|n攻击+82500|n生命值+330000|n物理伤害+20%|n法术伤害+20%|n杀敌攻击+8|n杀敌业力+1|n杀敌生命+30|n</v>
      </c>
      <c r="CW163" s="7"/>
      <c r="CX163" s="7"/>
      <c r="CY163" s="7"/>
      <c r="CZ163" s="7"/>
      <c r="DA163" s="7"/>
      <c r="DB163" s="44" t="str">
        <f t="shared" si="2762"/>
        <v/>
      </c>
      <c r="DC163" s="44" t="str">
        <f t="shared" si="2763"/>
        <v/>
      </c>
      <c r="DD163" s="44" t="str">
        <f t="shared" si="2764"/>
        <v/>
      </c>
      <c r="DE163" s="44" t="str">
        <f t="shared" si="2765"/>
        <v/>
      </c>
      <c r="DF163" s="44" t="str">
        <f t="shared" si="2766"/>
        <v/>
      </c>
      <c r="DG163" s="44" t="str">
        <f t="shared" si="2767"/>
        <v/>
      </c>
      <c r="DH163" s="44" t="str">
        <f t="shared" si="2768"/>
        <v/>
      </c>
      <c r="DI163" s="44" t="str">
        <f t="shared" si="2769"/>
        <v/>
      </c>
      <c r="DJ163" s="44" t="str">
        <f t="shared" si="2770"/>
        <v/>
      </c>
      <c r="DK163" s="44" t="str">
        <f t="shared" si="2771"/>
        <v/>
      </c>
      <c r="DL163" s="44" t="str">
        <f t="shared" si="2772"/>
        <v/>
      </c>
      <c r="DM163" s="44" t="str">
        <f t="shared" si="2773"/>
        <v/>
      </c>
      <c r="DN163" s="44" t="str">
        <f t="shared" si="2774"/>
        <v/>
      </c>
      <c r="DO163" s="44" t="str">
        <f t="shared" si="2775"/>
        <v/>
      </c>
      <c r="DP163" s="44" t="str">
        <f t="shared" si="2776"/>
        <v/>
      </c>
      <c r="DQ163" s="44" t="str">
        <f t="shared" si="2777"/>
        <v/>
      </c>
      <c r="DR163" s="44" t="str">
        <f t="shared" si="2778"/>
        <v/>
      </c>
      <c r="DS163" s="44" t="str">
        <f t="shared" si="2779"/>
        <v/>
      </c>
      <c r="DT163" s="44" t="str">
        <f t="shared" si="2780"/>
        <v/>
      </c>
      <c r="DU163" s="44" t="str">
        <f t="shared" si="2781"/>
        <v/>
      </c>
      <c r="DV163" s="44" t="str">
        <f t="shared" si="2782"/>
        <v/>
      </c>
      <c r="DW163" s="44" t="str">
        <f t="shared" si="2783"/>
        <v/>
      </c>
      <c r="DX163" s="44" t="str">
        <f t="shared" si="2784"/>
        <v/>
      </c>
      <c r="DY163" s="44" t="str">
        <f t="shared" si="2785"/>
        <v/>
      </c>
      <c r="DZ163" s="44" t="str">
        <f t="shared" si="2786"/>
        <v/>
      </c>
      <c r="EA163" s="44" t="str">
        <f t="shared" si="2787"/>
        <v/>
      </c>
      <c r="EB163" s="44" t="str">
        <f t="shared" si="2788"/>
        <v/>
      </c>
      <c r="EC163" s="44" t="str">
        <f t="shared" si="2789"/>
        <v/>
      </c>
      <c r="ED163" s="44" t="str">
        <f t="shared" si="2790"/>
        <v/>
      </c>
      <c r="EE163" s="44" t="str">
        <f t="shared" si="2791"/>
        <v/>
      </c>
      <c r="EF163" s="44" t="str">
        <f t="shared" si="2792"/>
        <v/>
      </c>
      <c r="EG163" s="44" t="str">
        <f t="shared" si="2793"/>
        <v/>
      </c>
      <c r="EH163" s="44" t="str">
        <f t="shared" si="2794"/>
        <v/>
      </c>
      <c r="EI163" s="44" t="str">
        <f t="shared" si="2795"/>
        <v/>
      </c>
      <c r="EJ163" s="44" t="str">
        <f t="shared" si="2796"/>
        <v/>
      </c>
      <c r="EK163" s="44" t="str">
        <f t="shared" si="2797"/>
        <v/>
      </c>
      <c r="EL163" s="44" t="str">
        <f t="shared" si="2798"/>
        <v/>
      </c>
      <c r="EM163" s="44" t="str">
        <f t="shared" si="2799"/>
        <v/>
      </c>
      <c r="EN163" s="44" t="str">
        <f t="shared" si="2800"/>
        <v/>
      </c>
      <c r="EO163" s="44" t="str">
        <f t="shared" si="2801"/>
        <v/>
      </c>
      <c r="EP163" s="44" t="str">
        <f t="shared" si="2802"/>
        <v/>
      </c>
      <c r="EQ163" s="44" t="str">
        <f t="shared" si="2803"/>
        <v/>
      </c>
      <c r="ER163" s="44" t="str">
        <f t="shared" si="2804"/>
        <v/>
      </c>
      <c r="ES163" s="44" t="str">
        <f t="shared" si="2805"/>
        <v/>
      </c>
      <c r="ET163" s="44" t="str">
        <f t="shared" si="2806"/>
        <v/>
      </c>
      <c r="EU163" s="44" t="str">
        <f t="shared" si="2807"/>
        <v/>
      </c>
      <c r="EV163" s="44" t="str">
        <f t="shared" si="2808"/>
        <v/>
      </c>
      <c r="EW163" s="44" t="str">
        <f t="shared" si="2809"/>
        <v/>
      </c>
      <c r="EX163" s="44" t="str">
        <f t="shared" si="2810"/>
        <v/>
      </c>
      <c r="EY163" s="44" t="str">
        <f t="shared" si="2811"/>
        <v/>
      </c>
      <c r="EZ163" s="44" t="str">
        <f t="shared" si="2812"/>
        <v/>
      </c>
      <c r="FA163" s="44" t="str">
        <f t="shared" si="2813"/>
        <v/>
      </c>
      <c r="FB163" s="44" t="str">
        <f t="shared" si="2814"/>
        <v/>
      </c>
      <c r="FC163" s="44" t="str">
        <f t="shared" si="2815"/>
        <v/>
      </c>
      <c r="FD163" s="44" t="str">
        <f t="shared" si="2816"/>
        <v/>
      </c>
      <c r="FE163" s="44" t="str">
        <f t="shared" si="2817"/>
        <v/>
      </c>
      <c r="FF163" s="44" t="str">
        <f t="shared" si="2818"/>
        <v/>
      </c>
      <c r="FG163" s="44" t="str">
        <f t="shared" si="2819"/>
        <v/>
      </c>
      <c r="FH163" s="44" t="str">
        <f t="shared" si="2820"/>
        <v/>
      </c>
      <c r="FI163" s="44" t="str">
        <f t="shared" si="2821"/>
        <v/>
      </c>
      <c r="FJ163" s="44" t="str">
        <f t="shared" si="2822"/>
        <v/>
      </c>
      <c r="FK163" s="44" t="str">
        <f t="shared" si="2823"/>
        <v/>
      </c>
      <c r="FL163" s="44" t="str">
        <f t="shared" si="2824"/>
        <v/>
      </c>
      <c r="FM163" s="44" t="str">
        <f t="shared" si="2825"/>
        <v/>
      </c>
      <c r="FN163" s="44" t="str">
        <f t="shared" si="2826"/>
        <v/>
      </c>
      <c r="FO163" s="44" t="str">
        <f t="shared" si="2827"/>
        <v/>
      </c>
      <c r="FP163" s="44" t="str">
        <f t="shared" si="2828"/>
        <v/>
      </c>
      <c r="FQ163" s="44" t="str">
        <f t="shared" si="2829"/>
        <v/>
      </c>
      <c r="FR163" s="44" t="str">
        <f t="shared" si="2830"/>
        <v/>
      </c>
      <c r="FS163" s="44" t="str">
        <f t="shared" si="2831"/>
        <v/>
      </c>
    </row>
    <row r="164" spans="1:175" ht="16.5">
      <c r="A164" s="74"/>
      <c r="B164" s="5" t="s">
        <v>604</v>
      </c>
      <c r="C164" s="74" t="s">
        <v>605</v>
      </c>
      <c r="R164" s="38">
        <v>-7896</v>
      </c>
      <c r="S164" s="38">
        <v>3839</v>
      </c>
      <c r="T164" s="100" t="str">
        <f>"渡过该劫后可结成|Cff00bfff地级道果|r。|n|n|Cff00bfff地级道果：|r"&amp;CU83</f>
        <v>渡过该劫后可结成|Cff00bfff地级道果|r。|n|n|Cff00bfff地级道果：|r|n攻击+120000|n生命值+480000|n物理伤害+20%|n法术伤害+20%|n杀敌攻击+8|n杀敌业力+1|n杀敌生命+30|n</v>
      </c>
      <c r="U164" s="56" t="str">
        <f t="shared" si="2683"/>
        <v>ReplaceableTextures\\CommandButtons\\BTNIT06.blp</v>
      </c>
      <c r="CN164" s="13" t="str">
        <f t="shared" si="2684"/>
        <v>InitUnitState('IT06',,,,,,,,,,)</v>
      </c>
      <c r="CO164" s="13" t="str">
        <f t="shared" si="2685"/>
        <v>InitUnitNormal('IT06',,,,,,,,,,)</v>
      </c>
      <c r="CP164" s="13" t="str">
        <f t="shared" si="2686"/>
        <v>InitUnitMagic('IT06',,,,,,,,,,)</v>
      </c>
      <c r="CQ164" s="13" t="str">
        <f t="shared" si="2687"/>
        <v>InitUnitAdd('IT06',,,,,,,,,,)</v>
      </c>
      <c r="CR164" s="13" t="str">
        <f t="shared" si="2688"/>
        <v>InitEquipData('IT06',,"",,,,,'','','','','','',"ReplaceableTextures\\CommandButtons\\BTNIT07.blp")</v>
      </c>
      <c r="CU164" s="68" t="str">
        <f t="shared" si="2761"/>
        <v>|n</v>
      </c>
      <c r="CV164" s="6" t="str">
        <f t="shared" si="2832"/>
        <v>渡过该劫后可结成|Cff00bfff地级道果|r。|n|n|Cff00bfff地级道果：|r|n攻击+120000|n生命值+480000|n物理伤害+20%|n法术伤害+20%|n杀敌攻击+8|n杀敌业力+1|n杀敌生命+30|n</v>
      </c>
      <c r="CW164" s="7"/>
      <c r="CX164" s="7"/>
      <c r="CY164" s="7"/>
      <c r="CZ164" s="7"/>
      <c r="DA164" s="7"/>
      <c r="DB164" s="44" t="str">
        <f t="shared" si="2762"/>
        <v/>
      </c>
      <c r="DC164" s="44" t="str">
        <f t="shared" si="2763"/>
        <v/>
      </c>
      <c r="DD164" s="44" t="str">
        <f t="shared" si="2764"/>
        <v/>
      </c>
      <c r="DE164" s="44" t="str">
        <f t="shared" si="2765"/>
        <v/>
      </c>
      <c r="DF164" s="44" t="str">
        <f t="shared" si="2766"/>
        <v/>
      </c>
      <c r="DG164" s="44" t="str">
        <f t="shared" si="2767"/>
        <v/>
      </c>
      <c r="DH164" s="44" t="str">
        <f t="shared" si="2768"/>
        <v/>
      </c>
      <c r="DI164" s="44" t="str">
        <f t="shared" si="2769"/>
        <v/>
      </c>
      <c r="DJ164" s="44" t="str">
        <f t="shared" si="2770"/>
        <v/>
      </c>
      <c r="DK164" s="44" t="str">
        <f t="shared" si="2771"/>
        <v/>
      </c>
      <c r="DL164" s="44" t="str">
        <f t="shared" si="2772"/>
        <v/>
      </c>
      <c r="DM164" s="44" t="str">
        <f t="shared" si="2773"/>
        <v/>
      </c>
      <c r="DN164" s="44" t="str">
        <f t="shared" si="2774"/>
        <v/>
      </c>
      <c r="DO164" s="44" t="str">
        <f t="shared" si="2775"/>
        <v/>
      </c>
      <c r="DP164" s="44" t="str">
        <f t="shared" si="2776"/>
        <v/>
      </c>
      <c r="DQ164" s="44" t="str">
        <f t="shared" si="2777"/>
        <v/>
      </c>
      <c r="DR164" s="44" t="str">
        <f t="shared" si="2778"/>
        <v/>
      </c>
      <c r="DS164" s="44" t="str">
        <f t="shared" si="2779"/>
        <v/>
      </c>
      <c r="DT164" s="44" t="str">
        <f t="shared" si="2780"/>
        <v/>
      </c>
      <c r="DU164" s="44" t="str">
        <f t="shared" si="2781"/>
        <v/>
      </c>
      <c r="DV164" s="44" t="str">
        <f t="shared" si="2782"/>
        <v/>
      </c>
      <c r="DW164" s="44" t="str">
        <f t="shared" si="2783"/>
        <v/>
      </c>
      <c r="DX164" s="44" t="str">
        <f t="shared" si="2784"/>
        <v/>
      </c>
      <c r="DY164" s="44" t="str">
        <f t="shared" si="2785"/>
        <v/>
      </c>
      <c r="DZ164" s="44" t="str">
        <f t="shared" si="2786"/>
        <v/>
      </c>
      <c r="EA164" s="44" t="str">
        <f t="shared" si="2787"/>
        <v/>
      </c>
      <c r="EB164" s="44" t="str">
        <f t="shared" si="2788"/>
        <v/>
      </c>
      <c r="EC164" s="44" t="str">
        <f t="shared" si="2789"/>
        <v/>
      </c>
      <c r="ED164" s="44" t="str">
        <f t="shared" si="2790"/>
        <v/>
      </c>
      <c r="EE164" s="44" t="str">
        <f t="shared" si="2791"/>
        <v/>
      </c>
      <c r="EF164" s="44" t="str">
        <f t="shared" si="2792"/>
        <v/>
      </c>
      <c r="EG164" s="44" t="str">
        <f t="shared" si="2793"/>
        <v/>
      </c>
      <c r="EH164" s="44" t="str">
        <f t="shared" si="2794"/>
        <v/>
      </c>
      <c r="EI164" s="44" t="str">
        <f t="shared" si="2795"/>
        <v/>
      </c>
      <c r="EJ164" s="44" t="str">
        <f t="shared" si="2796"/>
        <v/>
      </c>
      <c r="EK164" s="44" t="str">
        <f t="shared" si="2797"/>
        <v/>
      </c>
      <c r="EL164" s="44" t="str">
        <f t="shared" si="2798"/>
        <v/>
      </c>
      <c r="EM164" s="44" t="str">
        <f t="shared" si="2799"/>
        <v/>
      </c>
      <c r="EN164" s="44" t="str">
        <f t="shared" si="2800"/>
        <v/>
      </c>
      <c r="EO164" s="44" t="str">
        <f t="shared" si="2801"/>
        <v/>
      </c>
      <c r="EP164" s="44" t="str">
        <f t="shared" si="2802"/>
        <v/>
      </c>
      <c r="EQ164" s="44" t="str">
        <f t="shared" si="2803"/>
        <v/>
      </c>
      <c r="ER164" s="44" t="str">
        <f t="shared" si="2804"/>
        <v/>
      </c>
      <c r="ES164" s="44" t="str">
        <f t="shared" si="2805"/>
        <v/>
      </c>
      <c r="ET164" s="44" t="str">
        <f t="shared" si="2806"/>
        <v/>
      </c>
      <c r="EU164" s="44" t="str">
        <f t="shared" si="2807"/>
        <v/>
      </c>
      <c r="EV164" s="44" t="str">
        <f t="shared" si="2808"/>
        <v/>
      </c>
      <c r="EW164" s="44" t="str">
        <f t="shared" si="2809"/>
        <v/>
      </c>
      <c r="EX164" s="44" t="str">
        <f t="shared" si="2810"/>
        <v/>
      </c>
      <c r="EY164" s="44" t="str">
        <f t="shared" si="2811"/>
        <v/>
      </c>
      <c r="EZ164" s="44" t="str">
        <f t="shared" si="2812"/>
        <v/>
      </c>
      <c r="FA164" s="44" t="str">
        <f t="shared" si="2813"/>
        <v/>
      </c>
      <c r="FB164" s="44" t="str">
        <f t="shared" si="2814"/>
        <v/>
      </c>
      <c r="FC164" s="44" t="str">
        <f t="shared" si="2815"/>
        <v/>
      </c>
      <c r="FD164" s="44" t="str">
        <f t="shared" si="2816"/>
        <v/>
      </c>
      <c r="FE164" s="44" t="str">
        <f t="shared" si="2817"/>
        <v/>
      </c>
      <c r="FF164" s="44" t="str">
        <f t="shared" si="2818"/>
        <v/>
      </c>
      <c r="FG164" s="44" t="str">
        <f t="shared" si="2819"/>
        <v/>
      </c>
      <c r="FH164" s="44" t="str">
        <f t="shared" si="2820"/>
        <v/>
      </c>
      <c r="FI164" s="44" t="str">
        <f t="shared" si="2821"/>
        <v/>
      </c>
      <c r="FJ164" s="44" t="str">
        <f t="shared" si="2822"/>
        <v/>
      </c>
      <c r="FK164" s="44" t="str">
        <f t="shared" si="2823"/>
        <v/>
      </c>
      <c r="FL164" s="44" t="str">
        <f t="shared" si="2824"/>
        <v/>
      </c>
      <c r="FM164" s="44" t="str">
        <f t="shared" si="2825"/>
        <v/>
      </c>
      <c r="FN164" s="44" t="str">
        <f t="shared" si="2826"/>
        <v/>
      </c>
      <c r="FO164" s="44" t="str">
        <f t="shared" si="2827"/>
        <v/>
      </c>
      <c r="FP164" s="44" t="str">
        <f t="shared" si="2828"/>
        <v/>
      </c>
      <c r="FQ164" s="44" t="str">
        <f t="shared" si="2829"/>
        <v/>
      </c>
      <c r="FR164" s="44" t="str">
        <f t="shared" si="2830"/>
        <v/>
      </c>
      <c r="FS164" s="44" t="str">
        <f t="shared" si="2831"/>
        <v/>
      </c>
    </row>
    <row r="165" spans="1:175" ht="16.5">
      <c r="A165" s="74"/>
      <c r="B165" s="5" t="s">
        <v>606</v>
      </c>
      <c r="C165" s="74" t="s">
        <v>607</v>
      </c>
      <c r="R165" s="38">
        <v>-7896</v>
      </c>
      <c r="S165" s="38">
        <v>5906</v>
      </c>
      <c r="T165" s="100" t="str">
        <f>"渡过该劫后可结成|Cffffc926天级道果|r。|n|n|Cffffc926天级道果：|r"&amp;CU84</f>
        <v>渡过该劫后可结成|Cffffc926天级道果|r。|n|n|Cffffc926天级道果：|r|n攻击+180000|n生命值+720000|n物理伤害+25%|n法术伤害+25%|n杀敌攻击+8|n杀敌业力+1|n杀敌生命+30|n</v>
      </c>
      <c r="U165" s="56" t="str">
        <f t="shared" si="2683"/>
        <v>ReplaceableTextures\\CommandButtons\\BTNIT07.blp</v>
      </c>
      <c r="CN165" s="13" t="str">
        <f t="shared" si="2684"/>
        <v>InitUnitState('IT07',,,,,,,,,,)</v>
      </c>
      <c r="CO165" s="13" t="str">
        <f t="shared" si="2685"/>
        <v>InitUnitNormal('IT07',,,,,,,,,,)</v>
      </c>
      <c r="CP165" s="13" t="str">
        <f t="shared" si="2686"/>
        <v>InitUnitMagic('IT07',,,,,,,,,,)</v>
      </c>
      <c r="CQ165" s="13" t="str">
        <f t="shared" si="2687"/>
        <v>InitUnitAdd('IT07',,,,,,,,,,)</v>
      </c>
      <c r="CR165" s="13" t="str">
        <f t="shared" si="2688"/>
        <v>InitEquipData('IT07',,"",,,,,'','','','','','',"ReplaceableTextures\\CommandButtons\\BTNIT08.blp")</v>
      </c>
      <c r="CU165" s="68" t="str">
        <f t="shared" si="2761"/>
        <v>|n</v>
      </c>
      <c r="CV165" s="6" t="str">
        <f t="shared" si="2832"/>
        <v>渡过该劫后可结成|Cffffc926天级道果|r。|n|n|Cffffc926天级道果：|r|n攻击+180000|n生命值+720000|n物理伤害+25%|n法术伤害+25%|n杀敌攻击+8|n杀敌业力+1|n杀敌生命+30|n</v>
      </c>
      <c r="CW165" s="7"/>
      <c r="CX165" s="7"/>
      <c r="CY165" s="7"/>
      <c r="CZ165" s="7"/>
      <c r="DA165" s="7"/>
      <c r="DB165" s="44" t="str">
        <f t="shared" si="2762"/>
        <v/>
      </c>
      <c r="DC165" s="44" t="str">
        <f t="shared" si="2763"/>
        <v/>
      </c>
      <c r="DD165" s="44" t="str">
        <f t="shared" si="2764"/>
        <v/>
      </c>
      <c r="DE165" s="44" t="str">
        <f t="shared" si="2765"/>
        <v/>
      </c>
      <c r="DF165" s="44" t="str">
        <f t="shared" si="2766"/>
        <v/>
      </c>
      <c r="DG165" s="44" t="str">
        <f t="shared" si="2767"/>
        <v/>
      </c>
      <c r="DH165" s="44" t="str">
        <f t="shared" si="2768"/>
        <v/>
      </c>
      <c r="DI165" s="44" t="str">
        <f t="shared" si="2769"/>
        <v/>
      </c>
      <c r="DJ165" s="44" t="str">
        <f t="shared" si="2770"/>
        <v/>
      </c>
      <c r="DK165" s="44" t="str">
        <f t="shared" si="2771"/>
        <v/>
      </c>
      <c r="DL165" s="44" t="str">
        <f t="shared" si="2772"/>
        <v/>
      </c>
      <c r="DM165" s="44" t="str">
        <f t="shared" si="2773"/>
        <v/>
      </c>
      <c r="DN165" s="44" t="str">
        <f t="shared" si="2774"/>
        <v/>
      </c>
      <c r="DO165" s="44" t="str">
        <f t="shared" si="2775"/>
        <v/>
      </c>
      <c r="DP165" s="44" t="str">
        <f t="shared" si="2776"/>
        <v/>
      </c>
      <c r="DQ165" s="44" t="str">
        <f t="shared" si="2777"/>
        <v/>
      </c>
      <c r="DR165" s="44" t="str">
        <f t="shared" si="2778"/>
        <v/>
      </c>
      <c r="DS165" s="44" t="str">
        <f t="shared" si="2779"/>
        <v/>
      </c>
      <c r="DT165" s="44" t="str">
        <f t="shared" si="2780"/>
        <v/>
      </c>
      <c r="DU165" s="44" t="str">
        <f t="shared" si="2781"/>
        <v/>
      </c>
      <c r="DV165" s="44" t="str">
        <f t="shared" si="2782"/>
        <v/>
      </c>
      <c r="DW165" s="44" t="str">
        <f t="shared" si="2783"/>
        <v/>
      </c>
      <c r="DX165" s="44" t="str">
        <f t="shared" si="2784"/>
        <v/>
      </c>
      <c r="DY165" s="44" t="str">
        <f t="shared" si="2785"/>
        <v/>
      </c>
      <c r="DZ165" s="44" t="str">
        <f t="shared" si="2786"/>
        <v/>
      </c>
      <c r="EA165" s="44" t="str">
        <f t="shared" si="2787"/>
        <v/>
      </c>
      <c r="EB165" s="44" t="str">
        <f t="shared" si="2788"/>
        <v/>
      </c>
      <c r="EC165" s="44" t="str">
        <f t="shared" si="2789"/>
        <v/>
      </c>
      <c r="ED165" s="44" t="str">
        <f t="shared" si="2790"/>
        <v/>
      </c>
      <c r="EE165" s="44" t="str">
        <f t="shared" si="2791"/>
        <v/>
      </c>
      <c r="EF165" s="44" t="str">
        <f t="shared" si="2792"/>
        <v/>
      </c>
      <c r="EG165" s="44" t="str">
        <f t="shared" si="2793"/>
        <v/>
      </c>
      <c r="EH165" s="44" t="str">
        <f t="shared" si="2794"/>
        <v/>
      </c>
      <c r="EI165" s="44" t="str">
        <f t="shared" si="2795"/>
        <v/>
      </c>
      <c r="EJ165" s="44" t="str">
        <f t="shared" si="2796"/>
        <v/>
      </c>
      <c r="EK165" s="44" t="str">
        <f t="shared" si="2797"/>
        <v/>
      </c>
      <c r="EL165" s="44" t="str">
        <f t="shared" si="2798"/>
        <v/>
      </c>
      <c r="EM165" s="44" t="str">
        <f t="shared" si="2799"/>
        <v/>
      </c>
      <c r="EN165" s="44" t="str">
        <f t="shared" si="2800"/>
        <v/>
      </c>
      <c r="EO165" s="44" t="str">
        <f t="shared" si="2801"/>
        <v/>
      </c>
      <c r="EP165" s="44" t="str">
        <f t="shared" si="2802"/>
        <v/>
      </c>
      <c r="EQ165" s="44" t="str">
        <f t="shared" si="2803"/>
        <v/>
      </c>
      <c r="ER165" s="44" t="str">
        <f t="shared" si="2804"/>
        <v/>
      </c>
      <c r="ES165" s="44" t="str">
        <f t="shared" si="2805"/>
        <v/>
      </c>
      <c r="ET165" s="44" t="str">
        <f t="shared" si="2806"/>
        <v/>
      </c>
      <c r="EU165" s="44" t="str">
        <f t="shared" si="2807"/>
        <v/>
      </c>
      <c r="EV165" s="44" t="str">
        <f t="shared" si="2808"/>
        <v/>
      </c>
      <c r="EW165" s="44" t="str">
        <f t="shared" si="2809"/>
        <v/>
      </c>
      <c r="EX165" s="44" t="str">
        <f t="shared" si="2810"/>
        <v/>
      </c>
      <c r="EY165" s="44" t="str">
        <f t="shared" si="2811"/>
        <v/>
      </c>
      <c r="EZ165" s="44" t="str">
        <f t="shared" si="2812"/>
        <v/>
      </c>
      <c r="FA165" s="44" t="str">
        <f t="shared" si="2813"/>
        <v/>
      </c>
      <c r="FB165" s="44" t="str">
        <f t="shared" si="2814"/>
        <v/>
      </c>
      <c r="FC165" s="44" t="str">
        <f t="shared" si="2815"/>
        <v/>
      </c>
      <c r="FD165" s="44" t="str">
        <f t="shared" si="2816"/>
        <v/>
      </c>
      <c r="FE165" s="44" t="str">
        <f t="shared" si="2817"/>
        <v/>
      </c>
      <c r="FF165" s="44" t="str">
        <f t="shared" si="2818"/>
        <v/>
      </c>
      <c r="FG165" s="44" t="str">
        <f t="shared" si="2819"/>
        <v/>
      </c>
      <c r="FH165" s="44" t="str">
        <f t="shared" si="2820"/>
        <v/>
      </c>
      <c r="FI165" s="44" t="str">
        <f t="shared" si="2821"/>
        <v/>
      </c>
      <c r="FJ165" s="44" t="str">
        <f t="shared" si="2822"/>
        <v/>
      </c>
      <c r="FK165" s="44" t="str">
        <f t="shared" si="2823"/>
        <v/>
      </c>
      <c r="FL165" s="44" t="str">
        <f t="shared" si="2824"/>
        <v/>
      </c>
      <c r="FM165" s="44" t="str">
        <f t="shared" si="2825"/>
        <v/>
      </c>
      <c r="FN165" s="44" t="str">
        <f t="shared" si="2826"/>
        <v/>
      </c>
      <c r="FO165" s="44" t="str">
        <f t="shared" si="2827"/>
        <v/>
      </c>
      <c r="FP165" s="44" t="str">
        <f t="shared" si="2828"/>
        <v/>
      </c>
      <c r="FQ165" s="44" t="str">
        <f t="shared" si="2829"/>
        <v/>
      </c>
      <c r="FR165" s="44" t="str">
        <f t="shared" si="2830"/>
        <v/>
      </c>
      <c r="FS165" s="44" t="str">
        <f t="shared" si="2831"/>
        <v/>
      </c>
    </row>
    <row r="166" spans="1:175" ht="16.5">
      <c r="A166" s="74" t="s">
        <v>608</v>
      </c>
      <c r="B166" s="5" t="s">
        <v>609</v>
      </c>
      <c r="C166" s="74" t="s">
        <v>610</v>
      </c>
      <c r="R166" s="38">
        <v>-7970</v>
      </c>
      <c r="S166" s="38">
        <v>7965</v>
      </c>
      <c r="T166" s="100" t="str">
        <f>"渡过该劫后可结成|Cffffc926仙品道果|r。|n|n|Cffffc926仙品道果：|r"&amp;CU85</f>
        <v>渡过该劫后可结成|Cffffc926仙品道果|r。|n|n|Cffffc926仙品道果：|r|n攻击+300000|n生命值+1200000|n物理伤害+25%|n法术伤害+25%|n杀敌攻击+8|n杀敌业力+1|n杀敌生命+30|n</v>
      </c>
      <c r="U166" s="56" t="str">
        <f t="shared" si="2683"/>
        <v>ReplaceableTextures\\CommandButtons\\BTNIT08.blp</v>
      </c>
      <c r="CN166" s="13" t="str">
        <f t="shared" si="2684"/>
        <v>InitUnitState('IT08',,,,,,,,,,)</v>
      </c>
      <c r="CO166" s="13" t="str">
        <f t="shared" si="2685"/>
        <v>InitUnitNormal('IT08',,,,,,,,,,)</v>
      </c>
      <c r="CP166" s="13" t="str">
        <f t="shared" si="2686"/>
        <v>InitUnitMagic('IT08',,,,,,,,,,)</v>
      </c>
      <c r="CQ166" s="13" t="str">
        <f t="shared" si="2687"/>
        <v>InitUnitAdd('IT08',,,,,,,,,,)</v>
      </c>
      <c r="CR166" s="13" t="str">
        <f t="shared" si="2688"/>
        <v>InitEquipData('IT08',,".",,,,,'','','','','','',"ReplaceableTextures\\CommandButtons\\BTNIT09.blp")</v>
      </c>
      <c r="CU166" s="68" t="str">
        <f t="shared" si="2761"/>
        <v>|n</v>
      </c>
      <c r="CV166" s="6" t="str">
        <f t="shared" si="2832"/>
        <v>渡过该劫后可结成|Cffffc926仙品道果|r。|n|n|Cffffc926仙品道果：|r|n攻击+300000|n生命值+1200000|n物理伤害+25%|n法术伤害+25%|n杀敌攻击+8|n杀敌业力+1|n杀敌生命+30|n</v>
      </c>
      <c r="CW166" s="7"/>
      <c r="CX166" s="7"/>
      <c r="CY166" s="7"/>
      <c r="CZ166" s="7"/>
      <c r="DA166" s="7"/>
      <c r="DB166" s="44" t="str">
        <f t="shared" si="2762"/>
        <v/>
      </c>
      <c r="DC166" s="44" t="str">
        <f t="shared" si="2763"/>
        <v/>
      </c>
      <c r="DD166" s="44" t="str">
        <f t="shared" si="2764"/>
        <v/>
      </c>
      <c r="DE166" s="44" t="str">
        <f t="shared" si="2765"/>
        <v/>
      </c>
      <c r="DF166" s="44" t="str">
        <f t="shared" si="2766"/>
        <v/>
      </c>
      <c r="DG166" s="44" t="str">
        <f t="shared" si="2767"/>
        <v/>
      </c>
      <c r="DH166" s="44" t="str">
        <f t="shared" si="2768"/>
        <v/>
      </c>
      <c r="DI166" s="44" t="str">
        <f t="shared" si="2769"/>
        <v/>
      </c>
      <c r="DJ166" s="44" t="str">
        <f t="shared" si="2770"/>
        <v/>
      </c>
      <c r="DK166" s="44" t="str">
        <f t="shared" si="2771"/>
        <v/>
      </c>
      <c r="DL166" s="44" t="str">
        <f t="shared" si="2772"/>
        <v/>
      </c>
      <c r="DM166" s="44" t="str">
        <f t="shared" si="2773"/>
        <v/>
      </c>
      <c r="DN166" s="44" t="str">
        <f t="shared" si="2774"/>
        <v/>
      </c>
      <c r="DO166" s="44" t="str">
        <f t="shared" si="2775"/>
        <v/>
      </c>
      <c r="DP166" s="44" t="str">
        <f t="shared" si="2776"/>
        <v/>
      </c>
      <c r="DQ166" s="44" t="str">
        <f t="shared" si="2777"/>
        <v/>
      </c>
      <c r="DR166" s="44" t="str">
        <f t="shared" si="2778"/>
        <v/>
      </c>
      <c r="DS166" s="44" t="str">
        <f t="shared" si="2779"/>
        <v/>
      </c>
      <c r="DT166" s="44" t="str">
        <f t="shared" si="2780"/>
        <v/>
      </c>
      <c r="DU166" s="44" t="str">
        <f t="shared" si="2781"/>
        <v/>
      </c>
      <c r="DV166" s="44" t="str">
        <f t="shared" si="2782"/>
        <v/>
      </c>
      <c r="DW166" s="44" t="str">
        <f t="shared" si="2783"/>
        <v/>
      </c>
      <c r="DX166" s="44" t="str">
        <f t="shared" si="2784"/>
        <v/>
      </c>
      <c r="DY166" s="44" t="str">
        <f t="shared" si="2785"/>
        <v/>
      </c>
      <c r="DZ166" s="44" t="str">
        <f t="shared" si="2786"/>
        <v/>
      </c>
      <c r="EA166" s="44" t="str">
        <f t="shared" si="2787"/>
        <v/>
      </c>
      <c r="EB166" s="44" t="str">
        <f t="shared" si="2788"/>
        <v/>
      </c>
      <c r="EC166" s="44" t="str">
        <f t="shared" si="2789"/>
        <v/>
      </c>
      <c r="ED166" s="44" t="str">
        <f t="shared" si="2790"/>
        <v/>
      </c>
      <c r="EE166" s="44" t="str">
        <f t="shared" si="2791"/>
        <v/>
      </c>
      <c r="EF166" s="44" t="str">
        <f t="shared" si="2792"/>
        <v/>
      </c>
      <c r="EG166" s="44" t="str">
        <f t="shared" si="2793"/>
        <v/>
      </c>
      <c r="EH166" s="44" t="str">
        <f t="shared" si="2794"/>
        <v/>
      </c>
      <c r="EI166" s="44" t="str">
        <f t="shared" si="2795"/>
        <v/>
      </c>
      <c r="EJ166" s="44" t="str">
        <f t="shared" si="2796"/>
        <v/>
      </c>
      <c r="EK166" s="44" t="str">
        <f t="shared" si="2797"/>
        <v/>
      </c>
      <c r="EL166" s="44" t="str">
        <f t="shared" si="2798"/>
        <v/>
      </c>
      <c r="EM166" s="44" t="str">
        <f t="shared" si="2799"/>
        <v/>
      </c>
      <c r="EN166" s="44" t="str">
        <f t="shared" si="2800"/>
        <v/>
      </c>
      <c r="EO166" s="44" t="str">
        <f t="shared" si="2801"/>
        <v/>
      </c>
      <c r="EP166" s="44" t="str">
        <f t="shared" si="2802"/>
        <v/>
      </c>
      <c r="EQ166" s="44" t="str">
        <f t="shared" si="2803"/>
        <v/>
      </c>
      <c r="ER166" s="44" t="str">
        <f t="shared" si="2804"/>
        <v/>
      </c>
      <c r="ES166" s="44" t="str">
        <f t="shared" si="2805"/>
        <v/>
      </c>
      <c r="ET166" s="44" t="str">
        <f t="shared" si="2806"/>
        <v/>
      </c>
      <c r="EU166" s="44" t="str">
        <f t="shared" si="2807"/>
        <v/>
      </c>
      <c r="EV166" s="44" t="str">
        <f t="shared" si="2808"/>
        <v/>
      </c>
      <c r="EW166" s="44" t="str">
        <f t="shared" si="2809"/>
        <v/>
      </c>
      <c r="EX166" s="44" t="str">
        <f t="shared" si="2810"/>
        <v/>
      </c>
      <c r="EY166" s="44" t="str">
        <f t="shared" si="2811"/>
        <v/>
      </c>
      <c r="EZ166" s="44" t="str">
        <f t="shared" si="2812"/>
        <v/>
      </c>
      <c r="FA166" s="44" t="str">
        <f t="shared" si="2813"/>
        <v/>
      </c>
      <c r="FB166" s="44" t="str">
        <f t="shared" si="2814"/>
        <v/>
      </c>
      <c r="FC166" s="44" t="str">
        <f t="shared" si="2815"/>
        <v/>
      </c>
      <c r="FD166" s="44" t="str">
        <f t="shared" si="2816"/>
        <v/>
      </c>
      <c r="FE166" s="44" t="str">
        <f t="shared" si="2817"/>
        <v/>
      </c>
      <c r="FF166" s="44" t="str">
        <f t="shared" si="2818"/>
        <v/>
      </c>
      <c r="FG166" s="44" t="str">
        <f t="shared" si="2819"/>
        <v/>
      </c>
      <c r="FH166" s="44" t="str">
        <f t="shared" si="2820"/>
        <v/>
      </c>
      <c r="FI166" s="44" t="str">
        <f t="shared" si="2821"/>
        <v/>
      </c>
      <c r="FJ166" s="44" t="str">
        <f t="shared" si="2822"/>
        <v/>
      </c>
      <c r="FK166" s="44" t="str">
        <f t="shared" si="2823"/>
        <v/>
      </c>
      <c r="FL166" s="44" t="str">
        <f t="shared" si="2824"/>
        <v/>
      </c>
      <c r="FM166" s="44" t="str">
        <f t="shared" si="2825"/>
        <v/>
      </c>
      <c r="FN166" s="44" t="str">
        <f t="shared" si="2826"/>
        <v/>
      </c>
      <c r="FO166" s="44" t="str">
        <f t="shared" si="2827"/>
        <v/>
      </c>
      <c r="FP166" s="44" t="str">
        <f t="shared" si="2828"/>
        <v/>
      </c>
      <c r="FQ166" s="44" t="str">
        <f t="shared" si="2829"/>
        <v/>
      </c>
      <c r="FR166" s="44" t="str">
        <f t="shared" si="2830"/>
        <v/>
      </c>
      <c r="FS166" s="44" t="str">
        <f t="shared" si="2831"/>
        <v/>
      </c>
    </row>
    <row r="167" spans="1:175" ht="16.5">
      <c r="A167" s="74"/>
      <c r="B167" s="5" t="s">
        <v>611</v>
      </c>
      <c r="C167" s="74" t="s">
        <v>612</v>
      </c>
      <c r="R167" s="38">
        <v>2100</v>
      </c>
      <c r="S167" s="38">
        <v>-5120</v>
      </c>
      <c r="T167" s="100" t="str">
        <f>"渡过该劫后可结成|Cffff0000至圣道果|r。|n|n|Cffff0000至圣道果：|r"&amp;CU86</f>
        <v>渡过该劫后可结成|Cffff0000至圣道果|r。|n|n|Cffff0000至圣道果：|r|n攻击+450000|n生命值+1800000|n物理伤害+25%|n法术伤害+25%|n杀敌攻击+8|n杀敌业力+1|n杀敌生命+30|n</v>
      </c>
      <c r="U167" s="56" t="str">
        <f t="shared" si="2683"/>
        <v>ReplaceableTextures\\CommandButtons\\BTNIT09.blp</v>
      </c>
      <c r="CN167" s="13" t="str">
        <f t="shared" si="2684"/>
        <v>InitUnitState('IT09',,,,,,,,,,)</v>
      </c>
      <c r="CO167" s="13" t="str">
        <f t="shared" si="2685"/>
        <v>InitUnitNormal('IT09',,,,,,,,,,)</v>
      </c>
      <c r="CP167" s="13" t="str">
        <f t="shared" si="2686"/>
        <v>InitUnitMagic('IT09',,,,,,,,,,)</v>
      </c>
      <c r="CQ167" s="13" t="str">
        <f t="shared" si="2687"/>
        <v>InitUnitAdd('IT09',,,,,,,,,,)</v>
      </c>
      <c r="CR167" s="13" t="str">
        <f t="shared" si="2688"/>
        <v>InitEquipData('IT09',,"",,,,,'','','','','','',"ReplaceableTextures\\CommandButtons\\BTNIT10.blp")</v>
      </c>
      <c r="CU167" s="68" t="str">
        <f t="shared" si="2761"/>
        <v>|n</v>
      </c>
      <c r="CV167" s="6" t="str">
        <f t="shared" si="2832"/>
        <v>渡过该劫后可结成|Cffff0000至圣道果|r。|n|n|Cffff0000至圣道果：|r|n攻击+450000|n生命值+1800000|n物理伤害+25%|n法术伤害+25%|n杀敌攻击+8|n杀敌业力+1|n杀敌生命+30|n</v>
      </c>
      <c r="CW167" s="7"/>
      <c r="CX167" s="7"/>
      <c r="CY167" s="7"/>
      <c r="CZ167" s="7"/>
      <c r="DA167" s="7"/>
      <c r="DB167" s="44" t="str">
        <f t="shared" si="2762"/>
        <v/>
      </c>
      <c r="DC167" s="44" t="str">
        <f t="shared" si="2763"/>
        <v/>
      </c>
      <c r="DD167" s="44" t="str">
        <f t="shared" si="2764"/>
        <v/>
      </c>
      <c r="DE167" s="44" t="str">
        <f t="shared" si="2765"/>
        <v/>
      </c>
      <c r="DF167" s="44" t="str">
        <f t="shared" si="2766"/>
        <v/>
      </c>
      <c r="DG167" s="44" t="str">
        <f t="shared" si="2767"/>
        <v/>
      </c>
      <c r="DH167" s="44" t="str">
        <f t="shared" si="2768"/>
        <v/>
      </c>
      <c r="DI167" s="44" t="str">
        <f t="shared" si="2769"/>
        <v/>
      </c>
      <c r="DJ167" s="44" t="str">
        <f t="shared" si="2770"/>
        <v/>
      </c>
      <c r="DK167" s="44" t="str">
        <f t="shared" si="2771"/>
        <v/>
      </c>
      <c r="DL167" s="44" t="str">
        <f t="shared" si="2772"/>
        <v/>
      </c>
      <c r="DM167" s="44" t="str">
        <f t="shared" si="2773"/>
        <v/>
      </c>
      <c r="DN167" s="44" t="str">
        <f t="shared" si="2774"/>
        <v/>
      </c>
      <c r="DO167" s="44" t="str">
        <f t="shared" si="2775"/>
        <v/>
      </c>
      <c r="DP167" s="44" t="str">
        <f t="shared" si="2776"/>
        <v/>
      </c>
      <c r="DQ167" s="44" t="str">
        <f t="shared" si="2777"/>
        <v/>
      </c>
      <c r="DR167" s="44" t="str">
        <f t="shared" si="2778"/>
        <v/>
      </c>
      <c r="DS167" s="44" t="str">
        <f t="shared" si="2779"/>
        <v/>
      </c>
      <c r="DT167" s="44" t="str">
        <f t="shared" si="2780"/>
        <v/>
      </c>
      <c r="DU167" s="44" t="str">
        <f t="shared" si="2781"/>
        <v/>
      </c>
      <c r="DV167" s="44" t="str">
        <f t="shared" si="2782"/>
        <v/>
      </c>
      <c r="DW167" s="44" t="str">
        <f t="shared" si="2783"/>
        <v/>
      </c>
      <c r="DX167" s="44" t="str">
        <f t="shared" si="2784"/>
        <v/>
      </c>
      <c r="DY167" s="44" t="str">
        <f t="shared" si="2785"/>
        <v/>
      </c>
      <c r="DZ167" s="44" t="str">
        <f t="shared" si="2786"/>
        <v/>
      </c>
      <c r="EA167" s="44" t="str">
        <f t="shared" si="2787"/>
        <v/>
      </c>
      <c r="EB167" s="44" t="str">
        <f t="shared" si="2788"/>
        <v/>
      </c>
      <c r="EC167" s="44" t="str">
        <f t="shared" si="2789"/>
        <v/>
      </c>
      <c r="ED167" s="44" t="str">
        <f t="shared" si="2790"/>
        <v/>
      </c>
      <c r="EE167" s="44" t="str">
        <f t="shared" si="2791"/>
        <v/>
      </c>
      <c r="EF167" s="44" t="str">
        <f t="shared" si="2792"/>
        <v/>
      </c>
      <c r="EG167" s="44" t="str">
        <f t="shared" si="2793"/>
        <v/>
      </c>
      <c r="EH167" s="44" t="str">
        <f t="shared" si="2794"/>
        <v/>
      </c>
      <c r="EI167" s="44" t="str">
        <f t="shared" si="2795"/>
        <v/>
      </c>
      <c r="EJ167" s="44" t="str">
        <f t="shared" si="2796"/>
        <v/>
      </c>
      <c r="EK167" s="44" t="str">
        <f t="shared" si="2797"/>
        <v/>
      </c>
      <c r="EL167" s="44" t="str">
        <f t="shared" si="2798"/>
        <v/>
      </c>
      <c r="EM167" s="44" t="str">
        <f t="shared" si="2799"/>
        <v/>
      </c>
      <c r="EN167" s="44" t="str">
        <f t="shared" si="2800"/>
        <v/>
      </c>
      <c r="EO167" s="44" t="str">
        <f t="shared" si="2801"/>
        <v/>
      </c>
      <c r="EP167" s="44" t="str">
        <f t="shared" si="2802"/>
        <v/>
      </c>
      <c r="EQ167" s="44" t="str">
        <f t="shared" si="2803"/>
        <v/>
      </c>
      <c r="ER167" s="44" t="str">
        <f t="shared" si="2804"/>
        <v/>
      </c>
      <c r="ES167" s="44" t="str">
        <f t="shared" si="2805"/>
        <v/>
      </c>
      <c r="ET167" s="44" t="str">
        <f t="shared" si="2806"/>
        <v/>
      </c>
      <c r="EU167" s="44" t="str">
        <f t="shared" si="2807"/>
        <v/>
      </c>
      <c r="EV167" s="44" t="str">
        <f t="shared" si="2808"/>
        <v/>
      </c>
      <c r="EW167" s="44" t="str">
        <f t="shared" si="2809"/>
        <v/>
      </c>
      <c r="EX167" s="44" t="str">
        <f t="shared" si="2810"/>
        <v/>
      </c>
      <c r="EY167" s="44" t="str">
        <f t="shared" si="2811"/>
        <v/>
      </c>
      <c r="EZ167" s="44" t="str">
        <f t="shared" si="2812"/>
        <v/>
      </c>
      <c r="FA167" s="44" t="str">
        <f t="shared" si="2813"/>
        <v/>
      </c>
      <c r="FB167" s="44" t="str">
        <f t="shared" si="2814"/>
        <v/>
      </c>
      <c r="FC167" s="44" t="str">
        <f t="shared" si="2815"/>
        <v/>
      </c>
      <c r="FD167" s="44" t="str">
        <f t="shared" si="2816"/>
        <v/>
      </c>
      <c r="FE167" s="44" t="str">
        <f t="shared" si="2817"/>
        <v/>
      </c>
      <c r="FF167" s="44" t="str">
        <f t="shared" si="2818"/>
        <v/>
      </c>
      <c r="FG167" s="44" t="str">
        <f t="shared" si="2819"/>
        <v/>
      </c>
      <c r="FH167" s="44" t="str">
        <f t="shared" si="2820"/>
        <v/>
      </c>
      <c r="FI167" s="44" t="str">
        <f t="shared" si="2821"/>
        <v/>
      </c>
      <c r="FJ167" s="44" t="str">
        <f t="shared" si="2822"/>
        <v/>
      </c>
      <c r="FK167" s="44" t="str">
        <f t="shared" si="2823"/>
        <v/>
      </c>
      <c r="FL167" s="44" t="str">
        <f t="shared" si="2824"/>
        <v/>
      </c>
      <c r="FM167" s="44" t="str">
        <f t="shared" si="2825"/>
        <v/>
      </c>
      <c r="FN167" s="44" t="str">
        <f t="shared" si="2826"/>
        <v/>
      </c>
      <c r="FO167" s="44" t="str">
        <f t="shared" si="2827"/>
        <v/>
      </c>
      <c r="FP167" s="44" t="str">
        <f t="shared" si="2828"/>
        <v/>
      </c>
      <c r="FQ167" s="44" t="str">
        <f t="shared" si="2829"/>
        <v/>
      </c>
      <c r="FR167" s="44" t="str">
        <f t="shared" si="2830"/>
        <v/>
      </c>
      <c r="FS167" s="44" t="str">
        <f t="shared" si="2831"/>
        <v/>
      </c>
    </row>
    <row r="168" spans="1:175" ht="16.5">
      <c r="A168" s="74"/>
      <c r="B168" s="5" t="s">
        <v>613</v>
      </c>
      <c r="C168" s="74" t="s">
        <v>614</v>
      </c>
      <c r="R168" s="38">
        <v>2268</v>
      </c>
      <c r="S168" s="38">
        <v>-8065</v>
      </c>
      <c r="T168" s="100" t="str">
        <f>"渡过该劫后可结成|Cffff0000混沌道果|r。|n|n|Cffff0000混沌道果：|r"&amp;CU87</f>
        <v>渡过该劫后可结成|Cffff0000混沌道果|r。|n|n|Cffff0000混沌道果：|r|n攻击+750000|n生命值+3000000|n物理伤害+30%|n法术伤害+30%|n杀敌攻击+8|n杀敌业力+1|n杀敌生命+30|n</v>
      </c>
      <c r="U168" s="56" t="str">
        <f t="shared" si="2683"/>
        <v>ReplaceableTextures\\CommandButtons\\BTNIT10.blp</v>
      </c>
      <c r="CN168" s="13" t="str">
        <f t="shared" si="2684"/>
        <v>InitUnitState('IT10',,,,,,,,,,)</v>
      </c>
      <c r="CO168" s="13" t="str">
        <f t="shared" si="2685"/>
        <v>InitUnitNormal('IT10',,,,,,,,,,)</v>
      </c>
      <c r="CP168" s="13" t="str">
        <f t="shared" si="2686"/>
        <v>InitUnitMagic('IT10',,,,,,,,,,)</v>
      </c>
      <c r="CQ168" s="13" t="str">
        <f t="shared" si="2687"/>
        <v>InitUnitAdd('IT10',,,,,,,,,,)</v>
      </c>
      <c r="CR168" s="13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177&amp;CR$1&amp;")"</f>
        <v>InitEquipData('IT10',,"",,,,,'','','','','','',"ReplaceableTextures\\CommandButtons\\BTN002.blp")</v>
      </c>
      <c r="CU168" s="68" t="str">
        <f t="shared" si="2761"/>
        <v>|n</v>
      </c>
      <c r="CV168" s="6" t="str">
        <f t="shared" si="2832"/>
        <v>渡过该劫后可结成|Cffff0000混沌道果|r。|n|n|Cffff0000混沌道果：|r|n攻击+750000|n生命值+3000000|n物理伤害+30%|n法术伤害+30%|n杀敌攻击+8|n杀敌业力+1|n杀敌生命+30|n</v>
      </c>
      <c r="CW168" s="7"/>
      <c r="CX168" s="7"/>
      <c r="CY168" s="7"/>
      <c r="CZ168" s="7"/>
      <c r="DA168" s="7"/>
      <c r="DB168" s="44" t="str">
        <f t="shared" si="2762"/>
        <v/>
      </c>
      <c r="DC168" s="44" t="str">
        <f t="shared" si="2763"/>
        <v/>
      </c>
      <c r="DD168" s="44" t="str">
        <f t="shared" si="2764"/>
        <v/>
      </c>
      <c r="DE168" s="44" t="str">
        <f t="shared" si="2765"/>
        <v/>
      </c>
      <c r="DF168" s="44" t="str">
        <f t="shared" si="2766"/>
        <v/>
      </c>
      <c r="DG168" s="44" t="str">
        <f t="shared" si="2767"/>
        <v/>
      </c>
      <c r="DH168" s="44" t="str">
        <f t="shared" si="2768"/>
        <v/>
      </c>
      <c r="DI168" s="44" t="str">
        <f t="shared" si="2769"/>
        <v/>
      </c>
      <c r="DJ168" s="44" t="str">
        <f t="shared" si="2770"/>
        <v/>
      </c>
      <c r="DK168" s="44" t="str">
        <f t="shared" si="2771"/>
        <v/>
      </c>
      <c r="DL168" s="44" t="str">
        <f t="shared" si="2772"/>
        <v/>
      </c>
      <c r="DM168" s="44" t="str">
        <f t="shared" si="2773"/>
        <v/>
      </c>
      <c r="DN168" s="44" t="str">
        <f t="shared" si="2774"/>
        <v/>
      </c>
      <c r="DO168" s="44" t="str">
        <f t="shared" si="2775"/>
        <v/>
      </c>
      <c r="DP168" s="44" t="str">
        <f t="shared" si="2776"/>
        <v/>
      </c>
      <c r="DQ168" s="44" t="str">
        <f t="shared" si="2777"/>
        <v/>
      </c>
      <c r="DR168" s="44" t="str">
        <f t="shared" si="2778"/>
        <v/>
      </c>
      <c r="DS168" s="44" t="str">
        <f t="shared" si="2779"/>
        <v/>
      </c>
      <c r="DT168" s="44" t="str">
        <f t="shared" si="2780"/>
        <v/>
      </c>
      <c r="DU168" s="44" t="str">
        <f t="shared" si="2781"/>
        <v/>
      </c>
      <c r="DV168" s="44" t="str">
        <f t="shared" si="2782"/>
        <v/>
      </c>
      <c r="DW168" s="44" t="str">
        <f t="shared" si="2783"/>
        <v/>
      </c>
      <c r="DX168" s="44" t="str">
        <f t="shared" si="2784"/>
        <v/>
      </c>
      <c r="DY168" s="44" t="str">
        <f t="shared" si="2785"/>
        <v/>
      </c>
      <c r="DZ168" s="44" t="str">
        <f t="shared" si="2786"/>
        <v/>
      </c>
      <c r="EA168" s="44" t="str">
        <f t="shared" si="2787"/>
        <v/>
      </c>
      <c r="EB168" s="44" t="str">
        <f t="shared" si="2788"/>
        <v/>
      </c>
      <c r="EC168" s="44" t="str">
        <f t="shared" si="2789"/>
        <v/>
      </c>
      <c r="ED168" s="44" t="str">
        <f t="shared" si="2790"/>
        <v/>
      </c>
      <c r="EE168" s="44" t="str">
        <f t="shared" si="2791"/>
        <v/>
      </c>
      <c r="EF168" s="44" t="str">
        <f t="shared" si="2792"/>
        <v/>
      </c>
      <c r="EG168" s="44" t="str">
        <f t="shared" si="2793"/>
        <v/>
      </c>
      <c r="EH168" s="44" t="str">
        <f t="shared" si="2794"/>
        <v/>
      </c>
      <c r="EI168" s="44" t="str">
        <f t="shared" si="2795"/>
        <v/>
      </c>
      <c r="EJ168" s="44" t="str">
        <f t="shared" si="2796"/>
        <v/>
      </c>
      <c r="EK168" s="44" t="str">
        <f t="shared" si="2797"/>
        <v/>
      </c>
      <c r="EL168" s="44" t="str">
        <f t="shared" si="2798"/>
        <v/>
      </c>
      <c r="EM168" s="44" t="str">
        <f t="shared" si="2799"/>
        <v/>
      </c>
      <c r="EN168" s="44" t="str">
        <f t="shared" si="2800"/>
        <v/>
      </c>
      <c r="EO168" s="44" t="str">
        <f t="shared" si="2801"/>
        <v/>
      </c>
      <c r="EP168" s="44" t="str">
        <f t="shared" si="2802"/>
        <v/>
      </c>
      <c r="EQ168" s="44" t="str">
        <f t="shared" si="2803"/>
        <v/>
      </c>
      <c r="ER168" s="44" t="str">
        <f t="shared" si="2804"/>
        <v/>
      </c>
      <c r="ES168" s="44" t="str">
        <f t="shared" si="2805"/>
        <v/>
      </c>
      <c r="ET168" s="44" t="str">
        <f t="shared" si="2806"/>
        <v/>
      </c>
      <c r="EU168" s="44" t="str">
        <f t="shared" si="2807"/>
        <v/>
      </c>
      <c r="EV168" s="44" t="str">
        <f t="shared" si="2808"/>
        <v/>
      </c>
      <c r="EW168" s="44" t="str">
        <f t="shared" si="2809"/>
        <v/>
      </c>
      <c r="EX168" s="44" t="str">
        <f t="shared" si="2810"/>
        <v/>
      </c>
      <c r="EY168" s="44" t="str">
        <f t="shared" si="2811"/>
        <v/>
      </c>
      <c r="EZ168" s="44" t="str">
        <f t="shared" si="2812"/>
        <v/>
      </c>
      <c r="FA168" s="44" t="str">
        <f t="shared" si="2813"/>
        <v/>
      </c>
      <c r="FB168" s="44" t="str">
        <f t="shared" si="2814"/>
        <v/>
      </c>
      <c r="FC168" s="44" t="str">
        <f t="shared" si="2815"/>
        <v/>
      </c>
      <c r="FD168" s="44" t="str">
        <f t="shared" si="2816"/>
        <v/>
      </c>
      <c r="FE168" s="44" t="str">
        <f t="shared" si="2817"/>
        <v/>
      </c>
      <c r="FF168" s="44" t="str">
        <f t="shared" si="2818"/>
        <v/>
      </c>
      <c r="FG168" s="44" t="str">
        <f t="shared" si="2819"/>
        <v/>
      </c>
      <c r="FH168" s="44" t="str">
        <f t="shared" si="2820"/>
        <v/>
      </c>
      <c r="FI168" s="44" t="str">
        <f t="shared" si="2821"/>
        <v/>
      </c>
      <c r="FJ168" s="44" t="str">
        <f t="shared" si="2822"/>
        <v/>
      </c>
      <c r="FK168" s="44" t="str">
        <f t="shared" si="2823"/>
        <v/>
      </c>
      <c r="FL168" s="44" t="str">
        <f t="shared" si="2824"/>
        <v/>
      </c>
      <c r="FM168" s="44" t="str">
        <f t="shared" si="2825"/>
        <v/>
      </c>
      <c r="FN168" s="44" t="str">
        <f t="shared" si="2826"/>
        <v/>
      </c>
      <c r="FO168" s="44" t="str">
        <f t="shared" si="2827"/>
        <v/>
      </c>
      <c r="FP168" s="44" t="str">
        <f t="shared" si="2828"/>
        <v/>
      </c>
      <c r="FQ168" s="44" t="str">
        <f t="shared" si="2829"/>
        <v/>
      </c>
      <c r="FR168" s="44" t="str">
        <f t="shared" si="2830"/>
        <v/>
      </c>
      <c r="FS168" s="44" t="str">
        <f t="shared" si="2831"/>
        <v/>
      </c>
    </row>
    <row r="169" spans="1:175" ht="16.5">
      <c r="A169" s="74" t="s">
        <v>608</v>
      </c>
      <c r="B169" s="5" t="s">
        <v>615</v>
      </c>
      <c r="C169" s="74" t="s">
        <v>616</v>
      </c>
      <c r="T169" s="74" t="s">
        <v>617</v>
      </c>
      <c r="U169" s="56" t="str">
        <f t="shared" si="2683"/>
        <v>ReplaceableTextures\\CommandButtons\\BTNIT11.blp</v>
      </c>
      <c r="CN169" s="13" t="str">
        <f t="shared" si="2684"/>
        <v>InitUnitState('IT11',,,,,,,,,,)</v>
      </c>
      <c r="CO169" s="13" t="str">
        <f t="shared" si="2685"/>
        <v>InitUnitNormal('IT11',,,,,,,,,,)</v>
      </c>
      <c r="CP169" s="13" t="str">
        <f t="shared" si="2686"/>
        <v>InitUnitMagic('IT11',,,,,,,,,,)</v>
      </c>
      <c r="CQ169" s="13" t="str">
        <f t="shared" si="2687"/>
        <v>InitUnitAdd('IT11',,,,,,,,,,)</v>
      </c>
      <c r="CR169" s="13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InitEquipData('IT11',,".",,,,,'','','','','','',"ReplaceableTextures\\CommandButtons\\BTNIT12.blp")</v>
      </c>
      <c r="CU169" s="68" t="str">
        <f t="shared" ref="CU169:CU180" si="2833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6" t="str">
        <f t="shared" ref="CV169:CV180" si="2834">T169</f>
        <v>境界挑战11</v>
      </c>
      <c r="CW169" s="7"/>
      <c r="CX169" s="7"/>
      <c r="CY169" s="7"/>
      <c r="CZ169" s="7"/>
      <c r="DA169" s="7"/>
      <c r="DB169" s="44" t="str">
        <f t="shared" ref="DB169:DB171" si="2835">IF(V169="","","|n"&amp;DB$2&amp;"+"&amp;V169&amp;DB$1)</f>
        <v/>
      </c>
      <c r="DC169" s="44" t="str">
        <f t="shared" ref="DC169:DC171" si="2836">IF(W169="","","|n"&amp;DC$2&amp;"+"&amp;W169&amp;DC$1)</f>
        <v/>
      </c>
      <c r="DD169" s="44" t="str">
        <f t="shared" ref="DD169:DD171" si="2837">IF(X169="","","|n"&amp;DD$2&amp;"+"&amp;X169&amp;DD$1)</f>
        <v/>
      </c>
      <c r="DE169" s="44" t="str">
        <f t="shared" ref="DE169:DE171" si="2838">IF(Y169="","","|n"&amp;DE$2&amp;"+"&amp;Y169&amp;DE$1)</f>
        <v/>
      </c>
      <c r="DF169" s="44" t="str">
        <f t="shared" ref="DF169:DF171" si="2839">IF(Z169="","","|n"&amp;DF$2&amp;"+"&amp;Z169&amp;DF$1)</f>
        <v/>
      </c>
      <c r="DG169" s="44" t="str">
        <f t="shared" ref="DG169:DG171" si="2840">IF(AA169="","","|n"&amp;DG$2&amp;"+"&amp;AA169&amp;DG$1)</f>
        <v/>
      </c>
      <c r="DH169" s="44" t="str">
        <f t="shared" ref="DH169:DH171" si="2841">IF(AB169="","","|n"&amp;DH$2&amp;"+"&amp;AB169&amp;DH$1)</f>
        <v/>
      </c>
      <c r="DI169" s="44" t="str">
        <f t="shared" ref="DI169:DI171" si="2842">IF(AC169="","","|n"&amp;DI$2&amp;"+"&amp;AC169&amp;DI$1)</f>
        <v/>
      </c>
      <c r="DJ169" s="44" t="str">
        <f t="shared" ref="DJ169:DJ171" si="2843">IF(AD169="","","|n"&amp;DJ$2&amp;"+"&amp;AD169&amp;DJ$1)</f>
        <v/>
      </c>
      <c r="DK169" s="44" t="str">
        <f t="shared" ref="DK169:DK171" si="2844">IF(AE169="","","|n"&amp;DK$2&amp;"+"&amp;AE169&amp;DK$1)</f>
        <v/>
      </c>
      <c r="DL169" s="44" t="str">
        <f t="shared" ref="DL169:DL171" si="2845">IF(AF169="","","|n"&amp;DL$2&amp;"+"&amp;AF169&amp;DL$1)</f>
        <v/>
      </c>
      <c r="DM169" s="44" t="str">
        <f t="shared" ref="DM169:DM171" si="2846">IF(AG169="","","|n"&amp;DM$2&amp;"+"&amp;AG169&amp;DM$1)</f>
        <v/>
      </c>
      <c r="DN169" s="44" t="str">
        <f t="shared" ref="DN169:DN171" si="2847">IF(AH169="","","|n"&amp;DN$2&amp;"+"&amp;AH169&amp;DN$1)</f>
        <v/>
      </c>
      <c r="DO169" s="44" t="str">
        <f t="shared" ref="DO169:DO171" si="2848">IF(AI169="","","|n"&amp;DO$2&amp;"+"&amp;AI169&amp;DO$1)</f>
        <v/>
      </c>
      <c r="DP169" s="44" t="str">
        <f t="shared" ref="DP169:DP171" si="2849">IF(AJ169="","","|n"&amp;DP$2&amp;"+"&amp;AJ169&amp;DP$1)</f>
        <v/>
      </c>
      <c r="DQ169" s="44" t="str">
        <f t="shared" ref="DQ169:DQ171" si="2850">IF(AK169="","","|n"&amp;DQ$2&amp;"+"&amp;AK169&amp;DQ$1)</f>
        <v/>
      </c>
      <c r="DR169" s="44" t="str">
        <f t="shared" ref="DR169:DR171" si="2851">IF(AL169="","","|n"&amp;DR$2&amp;"+"&amp;AL169&amp;DR$1)</f>
        <v/>
      </c>
      <c r="DS169" s="44" t="str">
        <f t="shared" ref="DS169:DS171" si="2852">IF(AM169="","","|n"&amp;DS$2&amp;"+"&amp;AM169&amp;DS$1)</f>
        <v/>
      </c>
      <c r="DT169" s="44" t="str">
        <f t="shared" ref="DT169:DT171" si="2853">IF(AN169="","","|n"&amp;DT$2&amp;"+"&amp;AN169&amp;DT$1)</f>
        <v/>
      </c>
      <c r="DU169" s="44" t="str">
        <f t="shared" ref="DU169:DU171" si="2854">IF(AO169="","","|n"&amp;DU$2&amp;"+"&amp;AO169&amp;DU$1)</f>
        <v/>
      </c>
      <c r="DV169" s="44" t="str">
        <f t="shared" ref="DV169:DV171" si="2855">IF(AP169="","","|n"&amp;DV$2&amp;"+"&amp;AP169&amp;DV$1)</f>
        <v/>
      </c>
      <c r="DW169" s="44" t="str">
        <f t="shared" ref="DW169:DW171" si="2856">IF(AQ169="","","|n"&amp;DW$2&amp;"+"&amp;AQ169&amp;DW$1)</f>
        <v/>
      </c>
      <c r="DX169" s="44" t="str">
        <f t="shared" ref="DX169:DX171" si="2857">IF(AR169="","","|n"&amp;DX$2&amp;"+"&amp;AR169&amp;DX$1)</f>
        <v/>
      </c>
      <c r="DY169" s="44" t="str">
        <f t="shared" ref="DY169:DY171" si="2858">IF(AS169="","","|n"&amp;DY$2&amp;"+"&amp;AS169&amp;DY$1)</f>
        <v/>
      </c>
      <c r="DZ169" s="44" t="str">
        <f t="shared" ref="DZ169:DZ171" si="2859">IF(AT169="","","|n"&amp;DZ$2&amp;"+"&amp;AT169&amp;DZ$1)</f>
        <v/>
      </c>
      <c r="EA169" s="44" t="str">
        <f t="shared" ref="EA169:EA171" si="2860">IF(AU169="","","|n"&amp;EA$2&amp;"+"&amp;AU169&amp;EA$1)</f>
        <v/>
      </c>
      <c r="EB169" s="44" t="str">
        <f t="shared" ref="EB169:EB171" si="2861">IF(AV169="","","|n"&amp;EB$2&amp;"+"&amp;AV169&amp;EB$1)</f>
        <v/>
      </c>
      <c r="EC169" s="44" t="str">
        <f t="shared" ref="EC169:EC171" si="2862">IF(AW169="","","|n"&amp;EC$2&amp;"+"&amp;AW169&amp;EC$1)</f>
        <v/>
      </c>
      <c r="ED169" s="44" t="str">
        <f t="shared" ref="ED169:ED171" si="2863">IF(AX169="","","|n"&amp;ED$2&amp;"+"&amp;AX169&amp;ED$1)</f>
        <v/>
      </c>
      <c r="EE169" s="44" t="str">
        <f t="shared" ref="EE169:EE171" si="2864">IF(AY169="","","|n"&amp;EE$2&amp;"+"&amp;AY169&amp;EE$1)</f>
        <v/>
      </c>
      <c r="EF169" s="44" t="str">
        <f t="shared" ref="EF169:EF171" si="2865">IF(AZ169="","","|n"&amp;EF$2&amp;"+"&amp;AZ169&amp;EF$1)</f>
        <v/>
      </c>
      <c r="EG169" s="44" t="str">
        <f t="shared" ref="EG169:EG171" si="2866">IF(BA169="","","|n"&amp;EG$2&amp;"+"&amp;BA169&amp;EG$1)</f>
        <v/>
      </c>
      <c r="EH169" s="44" t="str">
        <f t="shared" ref="EH169:EH171" si="2867">IF(BB169="","","|n"&amp;EH$2&amp;"+"&amp;BB169&amp;EH$1)</f>
        <v/>
      </c>
      <c r="EI169" s="44" t="str">
        <f t="shared" ref="EI169:EI171" si="2868">IF(BC169="","","|n"&amp;EI$2&amp;"+"&amp;BC169&amp;EI$1)</f>
        <v/>
      </c>
      <c r="EJ169" s="44" t="str">
        <f t="shared" ref="EJ169:EJ171" si="2869">IF(BD169="","","|n"&amp;EJ$2&amp;"+"&amp;BD169&amp;EJ$1)</f>
        <v/>
      </c>
      <c r="EK169" s="44" t="str">
        <f t="shared" ref="EK169:EK171" si="2870">IF(BE169="","","|n"&amp;EK$2&amp;"+"&amp;BE169&amp;EK$1)</f>
        <v/>
      </c>
      <c r="EL169" s="44" t="str">
        <f t="shared" ref="EL169:EL171" si="2871">IF(BF169="","","|n"&amp;EL$2&amp;"+"&amp;BF169&amp;EL$1)</f>
        <v/>
      </c>
      <c r="EM169" s="44" t="str">
        <f t="shared" ref="EM169:EM171" si="2872">IF(BG169="","","|n"&amp;EM$2&amp;"+"&amp;BG169&amp;EM$1)</f>
        <v/>
      </c>
      <c r="EN169" s="44" t="str">
        <f t="shared" ref="EN169:EN171" si="2873">IF(BH169="","","|n"&amp;EN$2&amp;"+"&amp;BH169&amp;EN$1)</f>
        <v/>
      </c>
      <c r="EO169" s="44" t="str">
        <f t="shared" ref="EO169:EO171" si="2874">IF(BI169="","","|n"&amp;EO$2&amp;"+"&amp;BI169&amp;EO$1)</f>
        <v/>
      </c>
      <c r="EP169" s="44" t="str">
        <f t="shared" ref="EP169:EP171" si="2875">IF(BJ169="","","|n"&amp;EP$2&amp;"+"&amp;BJ169&amp;EP$1)</f>
        <v/>
      </c>
      <c r="EQ169" s="44" t="str">
        <f t="shared" ref="EQ169:EQ171" si="2876">IF(BK169="","","|n"&amp;EQ$2&amp;"+"&amp;BK169&amp;EQ$1)</f>
        <v/>
      </c>
      <c r="ER169" s="44" t="str">
        <f t="shared" ref="ER169:ER171" si="2877">IF(BL169="","","|n"&amp;ER$2&amp;"+"&amp;BL169&amp;ER$1)</f>
        <v/>
      </c>
      <c r="ES169" s="44" t="str">
        <f t="shared" ref="ES169:ES171" si="2878">IF(BM169="","","|n"&amp;ES$2&amp;"+"&amp;BM169&amp;ES$1)</f>
        <v/>
      </c>
      <c r="ET169" s="44" t="str">
        <f t="shared" ref="ET169:ET171" si="2879">IF(BN169="","","|n"&amp;ET$2&amp;"+"&amp;BN169&amp;ET$1)</f>
        <v/>
      </c>
      <c r="EU169" s="44" t="str">
        <f t="shared" ref="EU169:EU171" si="2880">IF(BO169="","","|n"&amp;EU$2&amp;"+"&amp;BO169&amp;EU$1)</f>
        <v/>
      </c>
      <c r="EV169" s="44" t="str">
        <f t="shared" ref="EV169:EV171" si="2881">IF(BP169="","","|n"&amp;EV$2&amp;"+"&amp;BP169&amp;EV$1)</f>
        <v/>
      </c>
      <c r="EW169" s="44" t="str">
        <f t="shared" ref="EW169:EW171" si="2882">IF(BQ169="","","|n"&amp;EW$2&amp;"+"&amp;BQ169&amp;EW$1)</f>
        <v/>
      </c>
      <c r="EX169" s="44" t="str">
        <f t="shared" ref="EX169:EX171" si="2883">IF(BR169="","","|n"&amp;EX$2&amp;"+"&amp;BR169&amp;EX$1)</f>
        <v/>
      </c>
      <c r="EY169" s="44" t="str">
        <f t="shared" ref="EY169:EY171" si="2884">IF(BS169="","","|n"&amp;EY$2&amp;"+"&amp;BS169&amp;EY$1)</f>
        <v/>
      </c>
      <c r="EZ169" s="44" t="str">
        <f t="shared" ref="EZ169:EZ171" si="2885">IF(BT169="","","|n"&amp;EZ$2&amp;"+"&amp;BT169&amp;EZ$1)</f>
        <v/>
      </c>
      <c r="FA169" s="44" t="str">
        <f t="shared" ref="FA169:FA171" si="2886">IF(BU169="","","|n"&amp;FA$2&amp;"+"&amp;BU169&amp;FA$1)</f>
        <v/>
      </c>
      <c r="FB169" s="44" t="str">
        <f t="shared" ref="FB169:FB171" si="2887">IF(BV169="","","|n"&amp;FB$2&amp;"+"&amp;BV169&amp;FB$1)</f>
        <v/>
      </c>
      <c r="FC169" s="44" t="str">
        <f t="shared" ref="FC169:FC171" si="2888">IF(BW169="","","|n"&amp;FC$2&amp;"+"&amp;BW169&amp;FC$1)</f>
        <v/>
      </c>
      <c r="FD169" s="44" t="str">
        <f t="shared" ref="FD169:FD171" si="2889">IF(BX169="","","|n"&amp;FD$2&amp;"+"&amp;BX169&amp;FD$1)</f>
        <v/>
      </c>
      <c r="FE169" s="44" t="str">
        <f t="shared" ref="FE169:FE171" si="2890">IF(BY169="","","|n"&amp;FE$2&amp;"+"&amp;BY169&amp;FE$1)</f>
        <v/>
      </c>
      <c r="FF169" s="44" t="str">
        <f t="shared" ref="FF169:FF171" si="2891">IF(BZ169="","","|n"&amp;FF$2&amp;"+"&amp;BZ169&amp;FF$1)</f>
        <v/>
      </c>
      <c r="FG169" s="44" t="str">
        <f t="shared" ref="FG169:FG171" si="2892">IF(CA169="","","|n"&amp;FG$2&amp;"+"&amp;CA169&amp;FG$1)</f>
        <v/>
      </c>
      <c r="FH169" s="44" t="str">
        <f t="shared" ref="FH169:FH171" si="2893">IF(CB169="","","|n"&amp;FH$2&amp;"+"&amp;CB169&amp;FH$1)</f>
        <v/>
      </c>
      <c r="FI169" s="44" t="str">
        <f t="shared" ref="FI169:FI171" si="2894">IF(CC169="","","|n"&amp;FI$2&amp;"+"&amp;CC169&amp;FI$1)</f>
        <v/>
      </c>
      <c r="FJ169" s="44" t="str">
        <f t="shared" ref="FJ169:FJ171" si="2895">IF(CD169="","","|n"&amp;FJ$2&amp;"+"&amp;CD169&amp;FJ$1)</f>
        <v/>
      </c>
      <c r="FK169" s="44" t="str">
        <f t="shared" ref="FK169:FK171" si="2896">IF(CE169="","","|n"&amp;FK$2&amp;"+"&amp;CE169&amp;FK$1)</f>
        <v/>
      </c>
      <c r="FL169" s="44" t="str">
        <f t="shared" ref="FL169:FL171" si="2897">IF(CF169="","","|n"&amp;FL$2&amp;"+"&amp;CF169&amp;FL$1)</f>
        <v/>
      </c>
      <c r="FM169" s="44" t="str">
        <f t="shared" ref="FM169:FM171" si="2898">IF(CG169="","","|n"&amp;FM$2&amp;"+"&amp;CG169&amp;FM$1)</f>
        <v/>
      </c>
      <c r="FN169" s="44" t="str">
        <f t="shared" ref="FN169:FN171" si="2899">IF(CH169="","","|n"&amp;FN$2&amp;"+"&amp;CH169&amp;FN$1)</f>
        <v/>
      </c>
      <c r="FO169" s="44" t="str">
        <f t="shared" ref="FO169:FO171" si="2900">IF(CI169="","","|n"&amp;FO$2&amp;"+"&amp;CI169&amp;FO$1)</f>
        <v/>
      </c>
      <c r="FP169" s="44" t="str">
        <f t="shared" ref="FP169:FP171" si="2901">IF(CJ169="","","|n"&amp;FP$2&amp;"+"&amp;CJ169&amp;FP$1)</f>
        <v/>
      </c>
      <c r="FQ169" s="44" t="str">
        <f t="shared" ref="FQ169:FQ171" si="2902">IF(CK169="","","|n"&amp;FQ$2&amp;"+"&amp;CK169&amp;FQ$1)</f>
        <v/>
      </c>
      <c r="FR169" s="44" t="str">
        <f t="shared" ref="FR169:FR171" si="2903">IF(CL169="","","|n"&amp;FR$2&amp;"+"&amp;CL169&amp;FR$1)</f>
        <v/>
      </c>
      <c r="FS169" s="44" t="str">
        <f t="shared" ref="FS169:FS171" si="2904">IF(CM169="","","|n"&amp;FS$2&amp;"+"&amp;CM169&amp;FS$1)</f>
        <v/>
      </c>
    </row>
    <row r="170" spans="1:175" ht="16.5">
      <c r="A170" s="74"/>
      <c r="B170" s="5" t="s">
        <v>618</v>
      </c>
      <c r="C170" s="74" t="s">
        <v>619</v>
      </c>
      <c r="T170" s="74" t="s">
        <v>620</v>
      </c>
      <c r="U170" s="56" t="str">
        <f t="shared" si="2683"/>
        <v>ReplaceableTextures\\CommandButtons\\BTNIT12.blp</v>
      </c>
      <c r="CN170" s="13" t="str">
        <f t="shared" si="2684"/>
        <v>InitUnitState('IT12',,,,,,,,,,)</v>
      </c>
      <c r="CO170" s="13" t="str">
        <f t="shared" si="2685"/>
        <v>InitUnitNormal('IT12',,,,,,,,,,)</v>
      </c>
      <c r="CP170" s="13" t="str">
        <f t="shared" si="2686"/>
        <v>InitUnitMagic('IT12',,,,,,,,,,)</v>
      </c>
      <c r="CQ170" s="13" t="str">
        <f t="shared" si="2687"/>
        <v>InitUnitAdd('IT12',,,,,,,,,,)</v>
      </c>
      <c r="CR170" s="13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InitEquipData('IT12',,"",,,,,'','','','','','',"ReplaceableTextures\\CommandButtons\\BTNIT13.blp")</v>
      </c>
      <c r="CU170" s="68" t="str">
        <f t="shared" si="2833"/>
        <v>|n</v>
      </c>
      <c r="CV170" s="6" t="str">
        <f t="shared" si="2834"/>
        <v>境界挑战12</v>
      </c>
      <c r="CW170" s="7"/>
      <c r="CX170" s="7"/>
      <c r="CY170" s="7"/>
      <c r="CZ170" s="7"/>
      <c r="DA170" s="7"/>
      <c r="DB170" s="44" t="str">
        <f t="shared" si="2835"/>
        <v/>
      </c>
      <c r="DC170" s="44" t="str">
        <f t="shared" si="2836"/>
        <v/>
      </c>
      <c r="DD170" s="44" t="str">
        <f t="shared" si="2837"/>
        <v/>
      </c>
      <c r="DE170" s="44" t="str">
        <f t="shared" si="2838"/>
        <v/>
      </c>
      <c r="DF170" s="44" t="str">
        <f t="shared" si="2839"/>
        <v/>
      </c>
      <c r="DG170" s="44" t="str">
        <f t="shared" si="2840"/>
        <v/>
      </c>
      <c r="DH170" s="44" t="str">
        <f t="shared" si="2841"/>
        <v/>
      </c>
      <c r="DI170" s="44" t="str">
        <f t="shared" si="2842"/>
        <v/>
      </c>
      <c r="DJ170" s="44" t="str">
        <f t="shared" si="2843"/>
        <v/>
      </c>
      <c r="DK170" s="44" t="str">
        <f t="shared" si="2844"/>
        <v/>
      </c>
      <c r="DL170" s="44" t="str">
        <f t="shared" si="2845"/>
        <v/>
      </c>
      <c r="DM170" s="44" t="str">
        <f t="shared" si="2846"/>
        <v/>
      </c>
      <c r="DN170" s="44" t="str">
        <f t="shared" si="2847"/>
        <v/>
      </c>
      <c r="DO170" s="44" t="str">
        <f t="shared" si="2848"/>
        <v/>
      </c>
      <c r="DP170" s="44" t="str">
        <f t="shared" si="2849"/>
        <v/>
      </c>
      <c r="DQ170" s="44" t="str">
        <f t="shared" si="2850"/>
        <v/>
      </c>
      <c r="DR170" s="44" t="str">
        <f t="shared" si="2851"/>
        <v/>
      </c>
      <c r="DS170" s="44" t="str">
        <f t="shared" si="2852"/>
        <v/>
      </c>
      <c r="DT170" s="44" t="str">
        <f t="shared" si="2853"/>
        <v/>
      </c>
      <c r="DU170" s="44" t="str">
        <f t="shared" si="2854"/>
        <v/>
      </c>
      <c r="DV170" s="44" t="str">
        <f t="shared" si="2855"/>
        <v/>
      </c>
      <c r="DW170" s="44" t="str">
        <f t="shared" si="2856"/>
        <v/>
      </c>
      <c r="DX170" s="44" t="str">
        <f t="shared" si="2857"/>
        <v/>
      </c>
      <c r="DY170" s="44" t="str">
        <f t="shared" si="2858"/>
        <v/>
      </c>
      <c r="DZ170" s="44" t="str">
        <f t="shared" si="2859"/>
        <v/>
      </c>
      <c r="EA170" s="44" t="str">
        <f t="shared" si="2860"/>
        <v/>
      </c>
      <c r="EB170" s="44" t="str">
        <f t="shared" si="2861"/>
        <v/>
      </c>
      <c r="EC170" s="44" t="str">
        <f t="shared" si="2862"/>
        <v/>
      </c>
      <c r="ED170" s="44" t="str">
        <f t="shared" si="2863"/>
        <v/>
      </c>
      <c r="EE170" s="44" t="str">
        <f t="shared" si="2864"/>
        <v/>
      </c>
      <c r="EF170" s="44" t="str">
        <f t="shared" si="2865"/>
        <v/>
      </c>
      <c r="EG170" s="44" t="str">
        <f t="shared" si="2866"/>
        <v/>
      </c>
      <c r="EH170" s="44" t="str">
        <f t="shared" si="2867"/>
        <v/>
      </c>
      <c r="EI170" s="44" t="str">
        <f t="shared" si="2868"/>
        <v/>
      </c>
      <c r="EJ170" s="44" t="str">
        <f t="shared" si="2869"/>
        <v/>
      </c>
      <c r="EK170" s="44" t="str">
        <f t="shared" si="2870"/>
        <v/>
      </c>
      <c r="EL170" s="44" t="str">
        <f t="shared" si="2871"/>
        <v/>
      </c>
      <c r="EM170" s="44" t="str">
        <f t="shared" si="2872"/>
        <v/>
      </c>
      <c r="EN170" s="44" t="str">
        <f t="shared" si="2873"/>
        <v/>
      </c>
      <c r="EO170" s="44" t="str">
        <f t="shared" si="2874"/>
        <v/>
      </c>
      <c r="EP170" s="44" t="str">
        <f t="shared" si="2875"/>
        <v/>
      </c>
      <c r="EQ170" s="44" t="str">
        <f t="shared" si="2876"/>
        <v/>
      </c>
      <c r="ER170" s="44" t="str">
        <f t="shared" si="2877"/>
        <v/>
      </c>
      <c r="ES170" s="44" t="str">
        <f t="shared" si="2878"/>
        <v/>
      </c>
      <c r="ET170" s="44" t="str">
        <f t="shared" si="2879"/>
        <v/>
      </c>
      <c r="EU170" s="44" t="str">
        <f t="shared" si="2880"/>
        <v/>
      </c>
      <c r="EV170" s="44" t="str">
        <f t="shared" si="2881"/>
        <v/>
      </c>
      <c r="EW170" s="44" t="str">
        <f t="shared" si="2882"/>
        <v/>
      </c>
      <c r="EX170" s="44" t="str">
        <f t="shared" si="2883"/>
        <v/>
      </c>
      <c r="EY170" s="44" t="str">
        <f t="shared" si="2884"/>
        <v/>
      </c>
      <c r="EZ170" s="44" t="str">
        <f t="shared" si="2885"/>
        <v/>
      </c>
      <c r="FA170" s="44" t="str">
        <f t="shared" si="2886"/>
        <v/>
      </c>
      <c r="FB170" s="44" t="str">
        <f t="shared" si="2887"/>
        <v/>
      </c>
      <c r="FC170" s="44" t="str">
        <f t="shared" si="2888"/>
        <v/>
      </c>
      <c r="FD170" s="44" t="str">
        <f t="shared" si="2889"/>
        <v/>
      </c>
      <c r="FE170" s="44" t="str">
        <f t="shared" si="2890"/>
        <v/>
      </c>
      <c r="FF170" s="44" t="str">
        <f t="shared" si="2891"/>
        <v/>
      </c>
      <c r="FG170" s="44" t="str">
        <f t="shared" si="2892"/>
        <v/>
      </c>
      <c r="FH170" s="44" t="str">
        <f t="shared" si="2893"/>
        <v/>
      </c>
      <c r="FI170" s="44" t="str">
        <f t="shared" si="2894"/>
        <v/>
      </c>
      <c r="FJ170" s="44" t="str">
        <f t="shared" si="2895"/>
        <v/>
      </c>
      <c r="FK170" s="44" t="str">
        <f t="shared" si="2896"/>
        <v/>
      </c>
      <c r="FL170" s="44" t="str">
        <f t="shared" si="2897"/>
        <v/>
      </c>
      <c r="FM170" s="44" t="str">
        <f t="shared" si="2898"/>
        <v/>
      </c>
      <c r="FN170" s="44" t="str">
        <f t="shared" si="2899"/>
        <v/>
      </c>
      <c r="FO170" s="44" t="str">
        <f t="shared" si="2900"/>
        <v/>
      </c>
      <c r="FP170" s="44" t="str">
        <f t="shared" si="2901"/>
        <v/>
      </c>
      <c r="FQ170" s="44" t="str">
        <f t="shared" si="2902"/>
        <v/>
      </c>
      <c r="FR170" s="44" t="str">
        <f t="shared" si="2903"/>
        <v/>
      </c>
      <c r="FS170" s="44" t="str">
        <f t="shared" si="2904"/>
        <v/>
      </c>
    </row>
    <row r="171" spans="1:175" ht="16.5">
      <c r="A171" s="74"/>
      <c r="B171" s="5" t="s">
        <v>621</v>
      </c>
      <c r="C171" s="74" t="s">
        <v>622</v>
      </c>
      <c r="T171" s="74" t="s">
        <v>623</v>
      </c>
      <c r="U171" s="56" t="str">
        <f t="shared" si="2683"/>
        <v>ReplaceableTextures\\CommandButtons\\BTNIT13.blp</v>
      </c>
      <c r="CN171" s="13" t="str">
        <f t="shared" si="2684"/>
        <v>InitUnitState('IT13',,,,,,,,,,)</v>
      </c>
      <c r="CO171" s="13" t="str">
        <f t="shared" si="2685"/>
        <v>InitUnitNormal('IT13',,,,,,,,,,)</v>
      </c>
      <c r="CP171" s="13" t="str">
        <f t="shared" si="2686"/>
        <v>InitUnitMagic('IT13',,,,,,,,,,)</v>
      </c>
      <c r="CQ171" s="13" t="str">
        <f t="shared" si="2687"/>
        <v>InitUnitAdd('IT13',,,,,,,,,,)</v>
      </c>
      <c r="CR171" s="13" t="e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#REF!&amp;CR$1&amp;")"</f>
        <v>#REF!</v>
      </c>
      <c r="CU171" s="68" t="str">
        <f t="shared" si="2833"/>
        <v>|n</v>
      </c>
      <c r="CV171" s="6" t="str">
        <f t="shared" si="2834"/>
        <v>境界挑战13</v>
      </c>
      <c r="CW171" s="7"/>
      <c r="CX171" s="7"/>
      <c r="CY171" s="7"/>
      <c r="CZ171" s="7"/>
      <c r="DA171" s="7"/>
      <c r="DB171" s="44" t="str">
        <f t="shared" si="2835"/>
        <v/>
      </c>
      <c r="DC171" s="44" t="str">
        <f t="shared" si="2836"/>
        <v/>
      </c>
      <c r="DD171" s="44" t="str">
        <f t="shared" si="2837"/>
        <v/>
      </c>
      <c r="DE171" s="44" t="str">
        <f t="shared" si="2838"/>
        <v/>
      </c>
      <c r="DF171" s="44" t="str">
        <f t="shared" si="2839"/>
        <v/>
      </c>
      <c r="DG171" s="44" t="str">
        <f t="shared" si="2840"/>
        <v/>
      </c>
      <c r="DH171" s="44" t="str">
        <f t="shared" si="2841"/>
        <v/>
      </c>
      <c r="DI171" s="44" t="str">
        <f t="shared" si="2842"/>
        <v/>
      </c>
      <c r="DJ171" s="44" t="str">
        <f t="shared" si="2843"/>
        <v/>
      </c>
      <c r="DK171" s="44" t="str">
        <f t="shared" si="2844"/>
        <v/>
      </c>
      <c r="DL171" s="44" t="str">
        <f t="shared" si="2845"/>
        <v/>
      </c>
      <c r="DM171" s="44" t="str">
        <f t="shared" si="2846"/>
        <v/>
      </c>
      <c r="DN171" s="44" t="str">
        <f t="shared" si="2847"/>
        <v/>
      </c>
      <c r="DO171" s="44" t="str">
        <f t="shared" si="2848"/>
        <v/>
      </c>
      <c r="DP171" s="44" t="str">
        <f t="shared" si="2849"/>
        <v/>
      </c>
      <c r="DQ171" s="44" t="str">
        <f t="shared" si="2850"/>
        <v/>
      </c>
      <c r="DR171" s="44" t="str">
        <f t="shared" si="2851"/>
        <v/>
      </c>
      <c r="DS171" s="44" t="str">
        <f t="shared" si="2852"/>
        <v/>
      </c>
      <c r="DT171" s="44" t="str">
        <f t="shared" si="2853"/>
        <v/>
      </c>
      <c r="DU171" s="44" t="str">
        <f t="shared" si="2854"/>
        <v/>
      </c>
      <c r="DV171" s="44" t="str">
        <f t="shared" si="2855"/>
        <v/>
      </c>
      <c r="DW171" s="44" t="str">
        <f t="shared" si="2856"/>
        <v/>
      </c>
      <c r="DX171" s="44" t="str">
        <f t="shared" si="2857"/>
        <v/>
      </c>
      <c r="DY171" s="44" t="str">
        <f t="shared" si="2858"/>
        <v/>
      </c>
      <c r="DZ171" s="44" t="str">
        <f t="shared" si="2859"/>
        <v/>
      </c>
      <c r="EA171" s="44" t="str">
        <f t="shared" si="2860"/>
        <v/>
      </c>
      <c r="EB171" s="44" t="str">
        <f t="shared" si="2861"/>
        <v/>
      </c>
      <c r="EC171" s="44" t="str">
        <f t="shared" si="2862"/>
        <v/>
      </c>
      <c r="ED171" s="44" t="str">
        <f t="shared" si="2863"/>
        <v/>
      </c>
      <c r="EE171" s="44" t="str">
        <f t="shared" si="2864"/>
        <v/>
      </c>
      <c r="EF171" s="44" t="str">
        <f t="shared" si="2865"/>
        <v/>
      </c>
      <c r="EG171" s="44" t="str">
        <f t="shared" si="2866"/>
        <v/>
      </c>
      <c r="EH171" s="44" t="str">
        <f t="shared" si="2867"/>
        <v/>
      </c>
      <c r="EI171" s="44" t="str">
        <f t="shared" si="2868"/>
        <v/>
      </c>
      <c r="EJ171" s="44" t="str">
        <f t="shared" si="2869"/>
        <v/>
      </c>
      <c r="EK171" s="44" t="str">
        <f t="shared" si="2870"/>
        <v/>
      </c>
      <c r="EL171" s="44" t="str">
        <f t="shared" si="2871"/>
        <v/>
      </c>
      <c r="EM171" s="44" t="str">
        <f t="shared" si="2872"/>
        <v/>
      </c>
      <c r="EN171" s="44" t="str">
        <f t="shared" si="2873"/>
        <v/>
      </c>
      <c r="EO171" s="44" t="str">
        <f t="shared" si="2874"/>
        <v/>
      </c>
      <c r="EP171" s="44" t="str">
        <f t="shared" si="2875"/>
        <v/>
      </c>
      <c r="EQ171" s="44" t="str">
        <f t="shared" si="2876"/>
        <v/>
      </c>
      <c r="ER171" s="44" t="str">
        <f t="shared" si="2877"/>
        <v/>
      </c>
      <c r="ES171" s="44" t="str">
        <f t="shared" si="2878"/>
        <v/>
      </c>
      <c r="ET171" s="44" t="str">
        <f t="shared" si="2879"/>
        <v/>
      </c>
      <c r="EU171" s="44" t="str">
        <f t="shared" si="2880"/>
        <v/>
      </c>
      <c r="EV171" s="44" t="str">
        <f t="shared" si="2881"/>
        <v/>
      </c>
      <c r="EW171" s="44" t="str">
        <f t="shared" si="2882"/>
        <v/>
      </c>
      <c r="EX171" s="44" t="str">
        <f t="shared" si="2883"/>
        <v/>
      </c>
      <c r="EY171" s="44" t="str">
        <f t="shared" si="2884"/>
        <v/>
      </c>
      <c r="EZ171" s="44" t="str">
        <f t="shared" si="2885"/>
        <v/>
      </c>
      <c r="FA171" s="44" t="str">
        <f t="shared" si="2886"/>
        <v/>
      </c>
      <c r="FB171" s="44" t="str">
        <f t="shared" si="2887"/>
        <v/>
      </c>
      <c r="FC171" s="44" t="str">
        <f t="shared" si="2888"/>
        <v/>
      </c>
      <c r="FD171" s="44" t="str">
        <f t="shared" si="2889"/>
        <v/>
      </c>
      <c r="FE171" s="44" t="str">
        <f t="shared" si="2890"/>
        <v/>
      </c>
      <c r="FF171" s="44" t="str">
        <f t="shared" si="2891"/>
        <v/>
      </c>
      <c r="FG171" s="44" t="str">
        <f t="shared" si="2892"/>
        <v/>
      </c>
      <c r="FH171" s="44" t="str">
        <f t="shared" si="2893"/>
        <v/>
      </c>
      <c r="FI171" s="44" t="str">
        <f t="shared" si="2894"/>
        <v/>
      </c>
      <c r="FJ171" s="44" t="str">
        <f t="shared" si="2895"/>
        <v/>
      </c>
      <c r="FK171" s="44" t="str">
        <f t="shared" si="2896"/>
        <v/>
      </c>
      <c r="FL171" s="44" t="str">
        <f t="shared" si="2897"/>
        <v/>
      </c>
      <c r="FM171" s="44" t="str">
        <f t="shared" si="2898"/>
        <v/>
      </c>
      <c r="FN171" s="44" t="str">
        <f t="shared" si="2899"/>
        <v/>
      </c>
      <c r="FO171" s="44" t="str">
        <f t="shared" si="2900"/>
        <v/>
      </c>
      <c r="FP171" s="44" t="str">
        <f t="shared" si="2901"/>
        <v/>
      </c>
      <c r="FQ171" s="44" t="str">
        <f t="shared" si="2902"/>
        <v/>
      </c>
      <c r="FR171" s="44" t="str">
        <f t="shared" si="2903"/>
        <v/>
      </c>
      <c r="FS171" s="44" t="str">
        <f t="shared" si="2904"/>
        <v/>
      </c>
    </row>
    <row r="172" spans="1:175" ht="16.5">
      <c r="A172" s="74"/>
      <c r="B172" s="5" t="s">
        <v>624</v>
      </c>
      <c r="C172" s="74" t="s">
        <v>625</v>
      </c>
      <c r="T172" s="74" t="s">
        <v>625</v>
      </c>
      <c r="U172" s="56" t="str">
        <f t="shared" si="2683"/>
        <v>ReplaceableTextures\\CommandButtons\\BTNIT14.blp</v>
      </c>
      <c r="CN172" s="13" t="str">
        <f t="shared" si="2684"/>
        <v>InitUnitState('IT14',,,,,,,,,,)</v>
      </c>
      <c r="CO172" s="13" t="str">
        <f t="shared" si="2685"/>
        <v>InitUnitNormal('IT14',,,,,,,,,,)</v>
      </c>
      <c r="CP172" s="13" t="str">
        <f t="shared" si="2686"/>
        <v>InitUnitMagic('IT14',,,,,,,,,,)</v>
      </c>
      <c r="CQ172" s="13" t="str">
        <f t="shared" si="2687"/>
        <v>InitUnitAdd('IT14',,,,,,,,,,)</v>
      </c>
      <c r="CR172" s="13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186&amp;CR$1&amp;")"</f>
        <v>InitEquipData('IT14',,"",,,,,'','','','','','',"ReplaceableTextures\\CommandButtons\\BTNIH00.blp")</v>
      </c>
      <c r="CU172" s="68" t="str">
        <f t="shared" si="2833"/>
        <v>|n</v>
      </c>
      <c r="CV172" s="6" t="str">
        <f t="shared" si="2834"/>
        <v>境界挑战14</v>
      </c>
      <c r="CW172" s="7"/>
      <c r="CX172" s="7"/>
      <c r="CY172" s="7"/>
      <c r="CZ172" s="7"/>
      <c r="DA172" s="7"/>
      <c r="DB172" s="44" t="str">
        <f t="shared" ref="DB172:EG173" si="2905">IF(V172="","","|n"&amp;DB$2&amp;"+"&amp;V172&amp;DB$1)</f>
        <v/>
      </c>
      <c r="DC172" s="44" t="str">
        <f t="shared" si="2905"/>
        <v/>
      </c>
      <c r="DD172" s="44" t="str">
        <f t="shared" si="2905"/>
        <v/>
      </c>
      <c r="DE172" s="44" t="str">
        <f t="shared" si="2905"/>
        <v/>
      </c>
      <c r="DF172" s="44" t="str">
        <f t="shared" si="2905"/>
        <v/>
      </c>
      <c r="DG172" s="44" t="str">
        <f t="shared" si="2905"/>
        <v/>
      </c>
      <c r="DH172" s="44" t="str">
        <f t="shared" si="2905"/>
        <v/>
      </c>
      <c r="DI172" s="44" t="str">
        <f t="shared" si="2905"/>
        <v/>
      </c>
      <c r="DJ172" s="44" t="str">
        <f t="shared" si="2905"/>
        <v/>
      </c>
      <c r="DK172" s="44" t="str">
        <f t="shared" si="2905"/>
        <v/>
      </c>
      <c r="DL172" s="44" t="str">
        <f t="shared" si="2905"/>
        <v/>
      </c>
      <c r="DM172" s="44" t="str">
        <f t="shared" si="2905"/>
        <v/>
      </c>
      <c r="DN172" s="44" t="str">
        <f t="shared" si="2905"/>
        <v/>
      </c>
      <c r="DO172" s="44" t="str">
        <f t="shared" si="2905"/>
        <v/>
      </c>
      <c r="DP172" s="44" t="str">
        <f t="shared" si="2905"/>
        <v/>
      </c>
      <c r="DQ172" s="44" t="str">
        <f t="shared" si="2905"/>
        <v/>
      </c>
      <c r="DR172" s="44" t="str">
        <f t="shared" si="2905"/>
        <v/>
      </c>
      <c r="DS172" s="44" t="str">
        <f t="shared" si="2905"/>
        <v/>
      </c>
      <c r="DT172" s="44" t="str">
        <f t="shared" si="2905"/>
        <v/>
      </c>
      <c r="DU172" s="44" t="str">
        <f t="shared" si="2905"/>
        <v/>
      </c>
      <c r="DV172" s="44" t="str">
        <f t="shared" si="2905"/>
        <v/>
      </c>
      <c r="DW172" s="44" t="str">
        <f t="shared" si="2905"/>
        <v/>
      </c>
      <c r="DX172" s="44" t="str">
        <f t="shared" si="2905"/>
        <v/>
      </c>
      <c r="DY172" s="44" t="str">
        <f t="shared" si="2905"/>
        <v/>
      </c>
      <c r="DZ172" s="44" t="str">
        <f t="shared" si="2905"/>
        <v/>
      </c>
      <c r="EA172" s="44" t="str">
        <f t="shared" si="2905"/>
        <v/>
      </c>
      <c r="EB172" s="44" t="str">
        <f t="shared" si="2905"/>
        <v/>
      </c>
      <c r="EC172" s="44" t="str">
        <f t="shared" si="2905"/>
        <v/>
      </c>
      <c r="ED172" s="44" t="str">
        <f t="shared" si="2905"/>
        <v/>
      </c>
      <c r="EE172" s="44" t="str">
        <f t="shared" si="2905"/>
        <v/>
      </c>
      <c r="EF172" s="44" t="str">
        <f t="shared" si="2905"/>
        <v/>
      </c>
      <c r="EG172" s="44" t="str">
        <f t="shared" si="2905"/>
        <v/>
      </c>
      <c r="EH172" s="44" t="str">
        <f t="shared" ref="EH172:FM173" si="2906">IF(BB172="","","|n"&amp;EH$2&amp;"+"&amp;BB172&amp;EH$1)</f>
        <v/>
      </c>
      <c r="EI172" s="44" t="str">
        <f t="shared" si="2906"/>
        <v/>
      </c>
      <c r="EJ172" s="44" t="str">
        <f t="shared" si="2906"/>
        <v/>
      </c>
      <c r="EK172" s="44" t="str">
        <f t="shared" si="2906"/>
        <v/>
      </c>
      <c r="EL172" s="44" t="str">
        <f t="shared" si="2906"/>
        <v/>
      </c>
      <c r="EM172" s="44" t="str">
        <f t="shared" si="2906"/>
        <v/>
      </c>
      <c r="EN172" s="44" t="str">
        <f t="shared" si="2906"/>
        <v/>
      </c>
      <c r="EO172" s="44" t="str">
        <f t="shared" si="2906"/>
        <v/>
      </c>
      <c r="EP172" s="44" t="str">
        <f t="shared" si="2906"/>
        <v/>
      </c>
      <c r="EQ172" s="44" t="str">
        <f t="shared" si="2906"/>
        <v/>
      </c>
      <c r="ER172" s="44" t="str">
        <f t="shared" si="2906"/>
        <v/>
      </c>
      <c r="ES172" s="44" t="str">
        <f t="shared" si="2906"/>
        <v/>
      </c>
      <c r="ET172" s="44" t="str">
        <f t="shared" si="2906"/>
        <v/>
      </c>
      <c r="EU172" s="44" t="str">
        <f t="shared" si="2906"/>
        <v/>
      </c>
      <c r="EV172" s="44" t="str">
        <f t="shared" si="2906"/>
        <v/>
      </c>
      <c r="EW172" s="44" t="str">
        <f t="shared" si="2906"/>
        <v/>
      </c>
      <c r="EX172" s="44" t="str">
        <f t="shared" si="2906"/>
        <v/>
      </c>
      <c r="EY172" s="44" t="str">
        <f t="shared" si="2906"/>
        <v/>
      </c>
      <c r="EZ172" s="44" t="str">
        <f t="shared" si="2906"/>
        <v/>
      </c>
      <c r="FA172" s="44" t="str">
        <f t="shared" si="2906"/>
        <v/>
      </c>
      <c r="FB172" s="44" t="str">
        <f t="shared" si="2906"/>
        <v/>
      </c>
      <c r="FC172" s="44" t="str">
        <f t="shared" si="2906"/>
        <v/>
      </c>
      <c r="FD172" s="44" t="str">
        <f t="shared" si="2906"/>
        <v/>
      </c>
      <c r="FE172" s="44" t="str">
        <f t="shared" si="2906"/>
        <v/>
      </c>
      <c r="FF172" s="44" t="str">
        <f t="shared" si="2906"/>
        <v/>
      </c>
      <c r="FG172" s="44" t="str">
        <f t="shared" si="2906"/>
        <v/>
      </c>
      <c r="FH172" s="44" t="str">
        <f t="shared" si="2906"/>
        <v/>
      </c>
      <c r="FI172" s="44" t="str">
        <f t="shared" si="2906"/>
        <v/>
      </c>
      <c r="FJ172" s="44" t="str">
        <f t="shared" si="2906"/>
        <v/>
      </c>
      <c r="FK172" s="44" t="str">
        <f t="shared" si="2906"/>
        <v/>
      </c>
      <c r="FL172" s="44" t="str">
        <f t="shared" si="2906"/>
        <v/>
      </c>
      <c r="FM172" s="44" t="str">
        <f t="shared" si="2906"/>
        <v/>
      </c>
      <c r="FN172" s="44" t="str">
        <f t="shared" ref="FN172:FS173" si="2907">IF(CH172="","","|n"&amp;FN$2&amp;"+"&amp;CH172&amp;FN$1)</f>
        <v/>
      </c>
      <c r="FO172" s="44" t="str">
        <f t="shared" si="2907"/>
        <v/>
      </c>
      <c r="FP172" s="44" t="str">
        <f t="shared" si="2907"/>
        <v/>
      </c>
      <c r="FQ172" s="44" t="str">
        <f t="shared" si="2907"/>
        <v/>
      </c>
      <c r="FR172" s="44" t="str">
        <f t="shared" si="2907"/>
        <v/>
      </c>
      <c r="FS172" s="44" t="str">
        <f t="shared" si="2907"/>
        <v/>
      </c>
    </row>
    <row r="173" spans="1:175" s="37" customFormat="1" ht="16.5">
      <c r="A173" s="74"/>
      <c r="B173" s="5" t="s">
        <v>626</v>
      </c>
      <c r="C173" s="74" t="s">
        <v>627</v>
      </c>
      <c r="D173" s="70"/>
      <c r="E173" s="70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78"/>
      <c r="Q173" s="78"/>
      <c r="R173" s="78"/>
      <c r="S173" s="78"/>
      <c r="T173" s="74" t="s">
        <v>628</v>
      </c>
      <c r="U173" s="56" t="str">
        <f t="shared" ref="U173:U175" si="2908">"ReplaceableTextures\\CommandButtons\\BTN"&amp;B173&amp;".blp"</f>
        <v>ReplaceableTextures\\CommandButtons\\BTNIZ0A.blp</v>
      </c>
      <c r="V173" s="96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43"/>
      <c r="AS173" s="43"/>
      <c r="AT173" s="97"/>
      <c r="AU173" s="97"/>
      <c r="AV173" s="97"/>
      <c r="AW173" s="97"/>
      <c r="AX173" s="97"/>
      <c r="AY173" s="97"/>
      <c r="AZ173" s="97"/>
      <c r="BA173" s="97"/>
      <c r="BB173" s="97"/>
      <c r="BC173" s="97"/>
      <c r="BD173" s="97"/>
      <c r="BE173" s="97"/>
      <c r="BF173" s="97"/>
      <c r="BG173" s="97"/>
      <c r="BH173" s="97"/>
      <c r="BI173" s="97"/>
      <c r="BJ173" s="97"/>
      <c r="BK173" s="97"/>
      <c r="BL173" s="97"/>
      <c r="BM173" s="97"/>
      <c r="BN173" s="97"/>
      <c r="BO173" s="97"/>
      <c r="BP173" s="97"/>
      <c r="BQ173" s="97"/>
      <c r="BR173" s="97"/>
      <c r="BS173" s="97"/>
      <c r="BT173" s="97"/>
      <c r="BU173" s="97"/>
      <c r="BV173" s="97"/>
      <c r="BW173" s="97"/>
      <c r="BX173" s="97"/>
      <c r="BY173" s="97"/>
      <c r="BZ173" s="97"/>
      <c r="CA173" s="97"/>
      <c r="CB173" s="97"/>
      <c r="CC173" s="97"/>
      <c r="CD173" s="97"/>
      <c r="CE173" s="97"/>
      <c r="CF173" s="97"/>
      <c r="CG173" s="97"/>
      <c r="CH173" s="97"/>
      <c r="CI173" s="97"/>
      <c r="CJ173" s="97"/>
      <c r="CK173" s="97"/>
      <c r="CL173" s="97"/>
      <c r="CM173" s="97"/>
      <c r="CN173" s="102" t="str">
        <f t="shared" ref="CN173" si="2909">"InitUnitState('"&amp;B173&amp;"',"&amp;V173&amp;","&amp;W173&amp;","&amp;X173&amp;","&amp;Y173&amp;","&amp;Z173&amp;","&amp;AA173&amp;","&amp;AB173&amp;","&amp;AC173&amp;","&amp;AD173&amp;","&amp;AE173&amp;")"</f>
        <v>InitUnitState('IZ0A',,,,,,,,,,)</v>
      </c>
      <c r="CO173" s="102" t="str">
        <f t="shared" ref="CO173" si="2910">"InitUnitNormal('"&amp;B173&amp;"',"&amp;AF173&amp;","&amp;AG173&amp;","&amp;AH173&amp;","&amp;AI173&amp;","&amp;AJ173&amp;","&amp;AK173&amp;","&amp;AL173&amp;","&amp;AM173&amp;","&amp;AN173&amp;","&amp;AO173&amp;")"</f>
        <v>InitUnitNormal('IZ0A',,,,,,,,,,)</v>
      </c>
      <c r="CP173" s="102" t="str">
        <f t="shared" ref="CP173" si="2911">"InitUnitMagic('"&amp;B173&amp;"',"&amp;AP173&amp;","&amp;AQ173&amp;","&amp;AR173&amp;","&amp;AS173&amp;","&amp;AT173&amp;","&amp;AU173&amp;","&amp;AV173&amp;","&amp;AW173&amp;","&amp;BI173&amp;","&amp;BJ173&amp;")"</f>
        <v>InitUnitMagic('IZ0A',,,,,,,,,,)</v>
      </c>
      <c r="CQ173" s="102" t="str">
        <f t="shared" ref="CQ173" si="2912">"InitUnitAdd('"&amp;B173&amp;"',"&amp;BK173&amp;","&amp;BL173&amp;","&amp;BM173&amp;","&amp;BN173&amp;","&amp;BO173&amp;","&amp;BP173&amp;","&amp;BQ173&amp;","&amp;BR173&amp;","&amp;BS173&amp;","&amp;BT173&amp;")"</f>
        <v>InitUnitAdd('IZ0A',,,,,,,,,,)</v>
      </c>
      <c r="CR173" s="102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175&amp;CR$1&amp;")"</f>
        <v>InitEquipData('IZ0A',,"",,,,,'','','','','','',"ReplaceableTextures\\CommandButtons\\BTNIZ01.blp")</v>
      </c>
      <c r="CS173" s="102"/>
      <c r="CT173" s="102"/>
      <c r="CU173" s="68" t="str">
        <f t="shared" ref="CU173" si="2913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7" t="str">
        <f t="shared" ref="CV173" si="2914">T173</f>
        <v>延缓敌军2分钟进攻时间。|n|n|Cff999999狗策划一直不想做这个功能，你们就省着点用吧~（逃|r</v>
      </c>
      <c r="CW173" s="7"/>
      <c r="CX173" s="7"/>
      <c r="CY173" s="7"/>
      <c r="CZ173" s="7"/>
      <c r="DA173" s="7"/>
      <c r="DB173" s="103" t="str">
        <f t="shared" si="2905"/>
        <v/>
      </c>
      <c r="DC173" s="103" t="str">
        <f t="shared" si="2905"/>
        <v/>
      </c>
      <c r="DD173" s="103" t="str">
        <f t="shared" si="2905"/>
        <v/>
      </c>
      <c r="DE173" s="103" t="str">
        <f t="shared" si="2905"/>
        <v/>
      </c>
      <c r="DF173" s="103" t="str">
        <f t="shared" si="2905"/>
        <v/>
      </c>
      <c r="DG173" s="103" t="str">
        <f t="shared" si="2905"/>
        <v/>
      </c>
      <c r="DH173" s="103" t="str">
        <f t="shared" si="2905"/>
        <v/>
      </c>
      <c r="DI173" s="103" t="str">
        <f t="shared" si="2905"/>
        <v/>
      </c>
      <c r="DJ173" s="103" t="str">
        <f t="shared" si="2905"/>
        <v/>
      </c>
      <c r="DK173" s="103" t="str">
        <f t="shared" si="2905"/>
        <v/>
      </c>
      <c r="DL173" s="103" t="str">
        <f t="shared" si="2905"/>
        <v/>
      </c>
      <c r="DM173" s="103" t="str">
        <f t="shared" si="2905"/>
        <v/>
      </c>
      <c r="DN173" s="103" t="str">
        <f t="shared" si="2905"/>
        <v/>
      </c>
      <c r="DO173" s="103" t="str">
        <f t="shared" si="2905"/>
        <v/>
      </c>
      <c r="DP173" s="103" t="str">
        <f t="shared" si="2905"/>
        <v/>
      </c>
      <c r="DQ173" s="103" t="str">
        <f t="shared" si="2905"/>
        <v/>
      </c>
      <c r="DR173" s="103" t="str">
        <f t="shared" si="2905"/>
        <v/>
      </c>
      <c r="DS173" s="103" t="str">
        <f t="shared" si="2905"/>
        <v/>
      </c>
      <c r="DT173" s="103" t="str">
        <f t="shared" si="2905"/>
        <v/>
      </c>
      <c r="DU173" s="103" t="str">
        <f t="shared" si="2905"/>
        <v/>
      </c>
      <c r="DV173" s="103" t="str">
        <f t="shared" si="2905"/>
        <v/>
      </c>
      <c r="DW173" s="103" t="str">
        <f t="shared" si="2905"/>
        <v/>
      </c>
      <c r="DX173" s="103" t="str">
        <f t="shared" si="2905"/>
        <v/>
      </c>
      <c r="DY173" s="103" t="str">
        <f t="shared" si="2905"/>
        <v/>
      </c>
      <c r="DZ173" s="103" t="str">
        <f t="shared" si="2905"/>
        <v/>
      </c>
      <c r="EA173" s="103" t="str">
        <f t="shared" si="2905"/>
        <v/>
      </c>
      <c r="EB173" s="103" t="str">
        <f t="shared" si="2905"/>
        <v/>
      </c>
      <c r="EC173" s="103" t="str">
        <f t="shared" si="2905"/>
        <v/>
      </c>
      <c r="ED173" s="103" t="str">
        <f t="shared" si="2905"/>
        <v/>
      </c>
      <c r="EE173" s="103" t="str">
        <f t="shared" si="2905"/>
        <v/>
      </c>
      <c r="EF173" s="103" t="str">
        <f t="shared" si="2905"/>
        <v/>
      </c>
      <c r="EG173" s="103" t="str">
        <f t="shared" si="2905"/>
        <v/>
      </c>
      <c r="EH173" s="103" t="str">
        <f t="shared" si="2906"/>
        <v/>
      </c>
      <c r="EI173" s="103" t="str">
        <f t="shared" si="2906"/>
        <v/>
      </c>
      <c r="EJ173" s="103" t="str">
        <f t="shared" si="2906"/>
        <v/>
      </c>
      <c r="EK173" s="103" t="str">
        <f t="shared" si="2906"/>
        <v/>
      </c>
      <c r="EL173" s="103" t="str">
        <f t="shared" si="2906"/>
        <v/>
      </c>
      <c r="EM173" s="103" t="str">
        <f t="shared" si="2906"/>
        <v/>
      </c>
      <c r="EN173" s="103" t="str">
        <f t="shared" si="2906"/>
        <v/>
      </c>
      <c r="EO173" s="103" t="str">
        <f t="shared" si="2906"/>
        <v/>
      </c>
      <c r="EP173" s="103" t="str">
        <f t="shared" si="2906"/>
        <v/>
      </c>
      <c r="EQ173" s="103" t="str">
        <f t="shared" si="2906"/>
        <v/>
      </c>
      <c r="ER173" s="103" t="str">
        <f t="shared" si="2906"/>
        <v/>
      </c>
      <c r="ES173" s="103" t="str">
        <f t="shared" si="2906"/>
        <v/>
      </c>
      <c r="ET173" s="103" t="str">
        <f t="shared" si="2906"/>
        <v/>
      </c>
      <c r="EU173" s="103" t="str">
        <f t="shared" si="2906"/>
        <v/>
      </c>
      <c r="EV173" s="103" t="str">
        <f t="shared" si="2906"/>
        <v/>
      </c>
      <c r="EW173" s="103" t="str">
        <f t="shared" si="2906"/>
        <v/>
      </c>
      <c r="EX173" s="103" t="str">
        <f t="shared" si="2906"/>
        <v/>
      </c>
      <c r="EY173" s="103" t="str">
        <f t="shared" si="2906"/>
        <v/>
      </c>
      <c r="EZ173" s="103" t="str">
        <f t="shared" si="2906"/>
        <v/>
      </c>
      <c r="FA173" s="103" t="str">
        <f t="shared" si="2906"/>
        <v/>
      </c>
      <c r="FB173" s="103" t="str">
        <f t="shared" si="2906"/>
        <v/>
      </c>
      <c r="FC173" s="103" t="str">
        <f t="shared" si="2906"/>
        <v/>
      </c>
      <c r="FD173" s="103" t="str">
        <f t="shared" si="2906"/>
        <v/>
      </c>
      <c r="FE173" s="103" t="str">
        <f t="shared" si="2906"/>
        <v/>
      </c>
      <c r="FF173" s="103" t="str">
        <f t="shared" si="2906"/>
        <v/>
      </c>
      <c r="FG173" s="103" t="str">
        <f t="shared" si="2906"/>
        <v/>
      </c>
      <c r="FH173" s="103" t="str">
        <f t="shared" si="2906"/>
        <v/>
      </c>
      <c r="FI173" s="103" t="str">
        <f t="shared" si="2906"/>
        <v/>
      </c>
      <c r="FJ173" s="103" t="str">
        <f t="shared" si="2906"/>
        <v/>
      </c>
      <c r="FK173" s="103" t="str">
        <f t="shared" si="2906"/>
        <v/>
      </c>
      <c r="FL173" s="103" t="str">
        <f t="shared" si="2906"/>
        <v/>
      </c>
      <c r="FM173" s="103" t="str">
        <f t="shared" si="2906"/>
        <v/>
      </c>
      <c r="FN173" s="103" t="str">
        <f t="shared" si="2907"/>
        <v/>
      </c>
      <c r="FO173" s="103" t="str">
        <f t="shared" si="2907"/>
        <v/>
      </c>
      <c r="FP173" s="103" t="str">
        <f t="shared" si="2907"/>
        <v/>
      </c>
      <c r="FQ173" s="103" t="str">
        <f t="shared" si="2907"/>
        <v/>
      </c>
      <c r="FR173" s="103" t="str">
        <f t="shared" si="2907"/>
        <v/>
      </c>
      <c r="FS173" s="103" t="str">
        <f t="shared" si="2907"/>
        <v/>
      </c>
    </row>
    <row r="174" spans="1:175" s="37" customFormat="1" ht="16.5">
      <c r="A174" s="74"/>
      <c r="B174" s="5" t="s">
        <v>629</v>
      </c>
      <c r="C174" s="74" t="s">
        <v>630</v>
      </c>
      <c r="D174" s="70"/>
      <c r="E174" s="70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78"/>
      <c r="Q174" s="78"/>
      <c r="R174" s="78"/>
      <c r="S174" s="78"/>
      <c r="T174" s="100" t="s">
        <v>631</v>
      </c>
      <c r="U174" s="56" t="str">
        <f t="shared" ref="U174" si="2915">"ReplaceableTextures\\CommandButtons\\BTN"&amp;B174&amp;".blp"</f>
        <v>ReplaceableTextures\\CommandButtons\\BTNIZ0B.blp</v>
      </c>
      <c r="V174" s="96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43"/>
      <c r="AS174" s="43"/>
      <c r="AT174" s="97"/>
      <c r="AU174" s="97"/>
      <c r="AV174" s="97"/>
      <c r="AW174" s="97"/>
      <c r="AX174" s="97"/>
      <c r="AY174" s="97"/>
      <c r="AZ174" s="97"/>
      <c r="BA174" s="97"/>
      <c r="BB174" s="97"/>
      <c r="BC174" s="97"/>
      <c r="BD174" s="97"/>
      <c r="BE174" s="97"/>
      <c r="BF174" s="97"/>
      <c r="BG174" s="97"/>
      <c r="BH174" s="97"/>
      <c r="BI174" s="97"/>
      <c r="BJ174" s="97"/>
      <c r="BK174" s="97"/>
      <c r="BL174" s="97"/>
      <c r="BM174" s="97"/>
      <c r="BN174" s="97"/>
      <c r="BO174" s="97"/>
      <c r="BP174" s="97"/>
      <c r="BQ174" s="97"/>
      <c r="BR174" s="97"/>
      <c r="BS174" s="97"/>
      <c r="BT174" s="97"/>
      <c r="BU174" s="97"/>
      <c r="BV174" s="97"/>
      <c r="BW174" s="97"/>
      <c r="BX174" s="97"/>
      <c r="BY174" s="97"/>
      <c r="BZ174" s="97"/>
      <c r="CA174" s="97"/>
      <c r="CB174" s="97"/>
      <c r="CC174" s="97"/>
      <c r="CD174" s="97"/>
      <c r="CE174" s="97"/>
      <c r="CF174" s="97"/>
      <c r="CG174" s="97"/>
      <c r="CH174" s="97"/>
      <c r="CI174" s="97"/>
      <c r="CJ174" s="97"/>
      <c r="CK174" s="97"/>
      <c r="CL174" s="97"/>
      <c r="CM174" s="97"/>
      <c r="CN174" s="102" t="str">
        <f t="shared" ref="CN174" si="2916">"InitUnitState('"&amp;B174&amp;"',"&amp;V174&amp;","&amp;W174&amp;","&amp;X174&amp;","&amp;Y174&amp;","&amp;Z174&amp;","&amp;AA174&amp;","&amp;AB174&amp;","&amp;AC174&amp;","&amp;AD174&amp;","&amp;AE174&amp;")"</f>
        <v>InitUnitState('IZ0B',,,,,,,,,,)</v>
      </c>
      <c r="CO174" s="102" t="str">
        <f t="shared" ref="CO174" si="2917">"InitUnitNormal('"&amp;B174&amp;"',"&amp;AF174&amp;","&amp;AG174&amp;","&amp;AH174&amp;","&amp;AI174&amp;","&amp;AJ174&amp;","&amp;AK174&amp;","&amp;AL174&amp;","&amp;AM174&amp;","&amp;AN174&amp;","&amp;AO174&amp;")"</f>
        <v>InitUnitNormal('IZ0B',,,,,,,,,,)</v>
      </c>
      <c r="CP174" s="102" t="str">
        <f t="shared" ref="CP174" si="2918">"InitUnitMagic('"&amp;B174&amp;"',"&amp;AP174&amp;","&amp;AQ174&amp;","&amp;AR174&amp;","&amp;AS174&amp;","&amp;AT174&amp;","&amp;AU174&amp;","&amp;AV174&amp;","&amp;AW174&amp;","&amp;BI174&amp;","&amp;BJ174&amp;")"</f>
        <v>InitUnitMagic('IZ0B',,,,,,,,,,)</v>
      </c>
      <c r="CQ174" s="102" t="str">
        <f t="shared" ref="CQ174" si="2919">"InitUnitAdd('"&amp;B174&amp;"',"&amp;BK174&amp;","&amp;BL174&amp;","&amp;BM174&amp;","&amp;BN174&amp;","&amp;BO174&amp;","&amp;BP174&amp;","&amp;BQ174&amp;","&amp;BR174&amp;","&amp;BS174&amp;","&amp;BT174&amp;")"</f>
        <v>InitUnitAdd('IZ0B',,,,,,,,,,)</v>
      </c>
      <c r="CR174" s="102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InitEquipData('IZ0B',,"",,,,,'','','','','','',"ReplaceableTextures\\CommandButtons\\BTN001.blp")</v>
      </c>
      <c r="CS174" s="102"/>
      <c r="CT174" s="102"/>
      <c r="CU174" s="68" t="str">
        <f t="shared" ref="CU174" si="2920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7" t="str">
        <f t="shared" ref="CV174" si="2921">T174</f>
        <v>击杀|Cffff0000脉灵法相|r，|Cffffd24d随机突破1级|r奇经八脉。|n|n|Cff00ff7f难2及以上开放，奖励永久存档。|r|n|n|Cff999999经脉乃诸法之本，突破奇经八脉，将天地灵气转化为自身的真气，以获得永久提升。|r</v>
      </c>
      <c r="CW174" s="7"/>
      <c r="CX174" s="7"/>
      <c r="CY174" s="7"/>
      <c r="CZ174" s="7"/>
      <c r="DA174" s="7"/>
      <c r="DB174" s="103" t="str">
        <f t="shared" ref="DB174" si="2922">IF(V174="","","|n"&amp;DB$2&amp;"+"&amp;V174&amp;DB$1)</f>
        <v/>
      </c>
      <c r="DC174" s="103" t="str">
        <f t="shared" ref="DC174" si="2923">IF(W174="","","|n"&amp;DC$2&amp;"+"&amp;W174&amp;DC$1)</f>
        <v/>
      </c>
      <c r="DD174" s="103" t="str">
        <f t="shared" ref="DD174" si="2924">IF(X174="","","|n"&amp;DD$2&amp;"+"&amp;X174&amp;DD$1)</f>
        <v/>
      </c>
      <c r="DE174" s="103" t="str">
        <f t="shared" ref="DE174" si="2925">IF(Y174="","","|n"&amp;DE$2&amp;"+"&amp;Y174&amp;DE$1)</f>
        <v/>
      </c>
      <c r="DF174" s="103" t="str">
        <f t="shared" ref="DF174" si="2926">IF(Z174="","","|n"&amp;DF$2&amp;"+"&amp;Z174&amp;DF$1)</f>
        <v/>
      </c>
      <c r="DG174" s="103" t="str">
        <f t="shared" ref="DG174" si="2927">IF(AA174="","","|n"&amp;DG$2&amp;"+"&amp;AA174&amp;DG$1)</f>
        <v/>
      </c>
      <c r="DH174" s="103" t="str">
        <f t="shared" ref="DH174" si="2928">IF(AB174="","","|n"&amp;DH$2&amp;"+"&amp;AB174&amp;DH$1)</f>
        <v/>
      </c>
      <c r="DI174" s="103" t="str">
        <f t="shared" ref="DI174" si="2929">IF(AC174="","","|n"&amp;DI$2&amp;"+"&amp;AC174&amp;DI$1)</f>
        <v/>
      </c>
      <c r="DJ174" s="103" t="str">
        <f t="shared" ref="DJ174" si="2930">IF(AD174="","","|n"&amp;DJ$2&amp;"+"&amp;AD174&amp;DJ$1)</f>
        <v/>
      </c>
      <c r="DK174" s="103" t="str">
        <f t="shared" ref="DK174" si="2931">IF(AE174="","","|n"&amp;DK$2&amp;"+"&amp;AE174&amp;DK$1)</f>
        <v/>
      </c>
      <c r="DL174" s="103" t="str">
        <f t="shared" ref="DL174" si="2932">IF(AF174="","","|n"&amp;DL$2&amp;"+"&amp;AF174&amp;DL$1)</f>
        <v/>
      </c>
      <c r="DM174" s="103" t="str">
        <f t="shared" ref="DM174" si="2933">IF(AG174="","","|n"&amp;DM$2&amp;"+"&amp;AG174&amp;DM$1)</f>
        <v/>
      </c>
      <c r="DN174" s="103" t="str">
        <f t="shared" ref="DN174" si="2934">IF(AH174="","","|n"&amp;DN$2&amp;"+"&amp;AH174&amp;DN$1)</f>
        <v/>
      </c>
      <c r="DO174" s="103" t="str">
        <f t="shared" ref="DO174" si="2935">IF(AI174="","","|n"&amp;DO$2&amp;"+"&amp;AI174&amp;DO$1)</f>
        <v/>
      </c>
      <c r="DP174" s="103" t="str">
        <f t="shared" ref="DP174" si="2936">IF(AJ174="","","|n"&amp;DP$2&amp;"+"&amp;AJ174&amp;DP$1)</f>
        <v/>
      </c>
      <c r="DQ174" s="103" t="str">
        <f t="shared" ref="DQ174" si="2937">IF(AK174="","","|n"&amp;DQ$2&amp;"+"&amp;AK174&amp;DQ$1)</f>
        <v/>
      </c>
      <c r="DR174" s="103" t="str">
        <f t="shared" ref="DR174" si="2938">IF(AL174="","","|n"&amp;DR$2&amp;"+"&amp;AL174&amp;DR$1)</f>
        <v/>
      </c>
      <c r="DS174" s="103" t="str">
        <f t="shared" ref="DS174" si="2939">IF(AM174="","","|n"&amp;DS$2&amp;"+"&amp;AM174&amp;DS$1)</f>
        <v/>
      </c>
      <c r="DT174" s="103" t="str">
        <f t="shared" ref="DT174" si="2940">IF(AN174="","","|n"&amp;DT$2&amp;"+"&amp;AN174&amp;DT$1)</f>
        <v/>
      </c>
      <c r="DU174" s="103" t="str">
        <f t="shared" ref="DU174" si="2941">IF(AO174="","","|n"&amp;DU$2&amp;"+"&amp;AO174&amp;DU$1)</f>
        <v/>
      </c>
      <c r="DV174" s="103" t="str">
        <f t="shared" ref="DV174" si="2942">IF(AP174="","","|n"&amp;DV$2&amp;"+"&amp;AP174&amp;DV$1)</f>
        <v/>
      </c>
      <c r="DW174" s="103" t="str">
        <f t="shared" ref="DW174" si="2943">IF(AQ174="","","|n"&amp;DW$2&amp;"+"&amp;AQ174&amp;DW$1)</f>
        <v/>
      </c>
      <c r="DX174" s="103" t="str">
        <f t="shared" ref="DX174" si="2944">IF(AR174="","","|n"&amp;DX$2&amp;"+"&amp;AR174&amp;DX$1)</f>
        <v/>
      </c>
      <c r="DY174" s="103" t="str">
        <f t="shared" ref="DY174" si="2945">IF(AS174="","","|n"&amp;DY$2&amp;"+"&amp;AS174&amp;DY$1)</f>
        <v/>
      </c>
      <c r="DZ174" s="103" t="str">
        <f t="shared" ref="DZ174" si="2946">IF(AT174="","","|n"&amp;DZ$2&amp;"+"&amp;AT174&amp;DZ$1)</f>
        <v/>
      </c>
      <c r="EA174" s="103" t="str">
        <f t="shared" ref="EA174" si="2947">IF(AU174="","","|n"&amp;EA$2&amp;"+"&amp;AU174&amp;EA$1)</f>
        <v/>
      </c>
      <c r="EB174" s="103" t="str">
        <f t="shared" ref="EB174" si="2948">IF(AV174="","","|n"&amp;EB$2&amp;"+"&amp;AV174&amp;EB$1)</f>
        <v/>
      </c>
      <c r="EC174" s="103" t="str">
        <f t="shared" ref="EC174" si="2949">IF(AW174="","","|n"&amp;EC$2&amp;"+"&amp;AW174&amp;EC$1)</f>
        <v/>
      </c>
      <c r="ED174" s="103" t="str">
        <f t="shared" ref="ED174" si="2950">IF(AX174="","","|n"&amp;ED$2&amp;"+"&amp;AX174&amp;ED$1)</f>
        <v/>
      </c>
      <c r="EE174" s="103" t="str">
        <f t="shared" ref="EE174" si="2951">IF(AY174="","","|n"&amp;EE$2&amp;"+"&amp;AY174&amp;EE$1)</f>
        <v/>
      </c>
      <c r="EF174" s="103" t="str">
        <f t="shared" ref="EF174" si="2952">IF(AZ174="","","|n"&amp;EF$2&amp;"+"&amp;AZ174&amp;EF$1)</f>
        <v/>
      </c>
      <c r="EG174" s="103" t="str">
        <f t="shared" ref="EG174" si="2953">IF(BA174="","","|n"&amp;EG$2&amp;"+"&amp;BA174&amp;EG$1)</f>
        <v/>
      </c>
      <c r="EH174" s="103" t="str">
        <f t="shared" ref="EH174" si="2954">IF(BB174="","","|n"&amp;EH$2&amp;"+"&amp;BB174&amp;EH$1)</f>
        <v/>
      </c>
      <c r="EI174" s="103" t="str">
        <f t="shared" ref="EI174" si="2955">IF(BC174="","","|n"&amp;EI$2&amp;"+"&amp;BC174&amp;EI$1)</f>
        <v/>
      </c>
      <c r="EJ174" s="103" t="str">
        <f t="shared" ref="EJ174" si="2956">IF(BD174="","","|n"&amp;EJ$2&amp;"+"&amp;BD174&amp;EJ$1)</f>
        <v/>
      </c>
      <c r="EK174" s="103" t="str">
        <f t="shared" ref="EK174" si="2957">IF(BE174="","","|n"&amp;EK$2&amp;"+"&amp;BE174&amp;EK$1)</f>
        <v/>
      </c>
      <c r="EL174" s="103" t="str">
        <f t="shared" ref="EL174" si="2958">IF(BF174="","","|n"&amp;EL$2&amp;"+"&amp;BF174&amp;EL$1)</f>
        <v/>
      </c>
      <c r="EM174" s="103" t="str">
        <f t="shared" ref="EM174" si="2959">IF(BG174="","","|n"&amp;EM$2&amp;"+"&amp;BG174&amp;EM$1)</f>
        <v/>
      </c>
      <c r="EN174" s="103" t="str">
        <f t="shared" ref="EN174" si="2960">IF(BH174="","","|n"&amp;EN$2&amp;"+"&amp;BH174&amp;EN$1)</f>
        <v/>
      </c>
      <c r="EO174" s="103" t="str">
        <f t="shared" ref="EO174" si="2961">IF(BI174="","","|n"&amp;EO$2&amp;"+"&amp;BI174&amp;EO$1)</f>
        <v/>
      </c>
      <c r="EP174" s="103" t="str">
        <f t="shared" ref="EP174" si="2962">IF(BJ174="","","|n"&amp;EP$2&amp;"+"&amp;BJ174&amp;EP$1)</f>
        <v/>
      </c>
      <c r="EQ174" s="103" t="str">
        <f t="shared" ref="EQ174" si="2963">IF(BK174="","","|n"&amp;EQ$2&amp;"+"&amp;BK174&amp;EQ$1)</f>
        <v/>
      </c>
      <c r="ER174" s="103" t="str">
        <f t="shared" ref="ER174" si="2964">IF(BL174="","","|n"&amp;ER$2&amp;"+"&amp;BL174&amp;ER$1)</f>
        <v/>
      </c>
      <c r="ES174" s="103" t="str">
        <f t="shared" ref="ES174" si="2965">IF(BM174="","","|n"&amp;ES$2&amp;"+"&amp;BM174&amp;ES$1)</f>
        <v/>
      </c>
      <c r="ET174" s="103" t="str">
        <f t="shared" ref="ET174" si="2966">IF(BN174="","","|n"&amp;ET$2&amp;"+"&amp;BN174&amp;ET$1)</f>
        <v/>
      </c>
      <c r="EU174" s="103" t="str">
        <f t="shared" ref="EU174" si="2967">IF(BO174="","","|n"&amp;EU$2&amp;"+"&amp;BO174&amp;EU$1)</f>
        <v/>
      </c>
      <c r="EV174" s="103" t="str">
        <f t="shared" ref="EV174" si="2968">IF(BP174="","","|n"&amp;EV$2&amp;"+"&amp;BP174&amp;EV$1)</f>
        <v/>
      </c>
      <c r="EW174" s="103" t="str">
        <f t="shared" ref="EW174" si="2969">IF(BQ174="","","|n"&amp;EW$2&amp;"+"&amp;BQ174&amp;EW$1)</f>
        <v/>
      </c>
      <c r="EX174" s="103" t="str">
        <f t="shared" ref="EX174" si="2970">IF(BR174="","","|n"&amp;EX$2&amp;"+"&amp;BR174&amp;EX$1)</f>
        <v/>
      </c>
      <c r="EY174" s="103" t="str">
        <f t="shared" ref="EY174" si="2971">IF(BS174="","","|n"&amp;EY$2&amp;"+"&amp;BS174&amp;EY$1)</f>
        <v/>
      </c>
      <c r="EZ174" s="103" t="str">
        <f t="shared" ref="EZ174" si="2972">IF(BT174="","","|n"&amp;EZ$2&amp;"+"&amp;BT174&amp;EZ$1)</f>
        <v/>
      </c>
      <c r="FA174" s="103" t="str">
        <f t="shared" ref="FA174" si="2973">IF(BU174="","","|n"&amp;FA$2&amp;"+"&amp;BU174&amp;FA$1)</f>
        <v/>
      </c>
      <c r="FB174" s="103" t="str">
        <f t="shared" ref="FB174" si="2974">IF(BV174="","","|n"&amp;FB$2&amp;"+"&amp;BV174&amp;FB$1)</f>
        <v/>
      </c>
      <c r="FC174" s="103" t="str">
        <f t="shared" ref="FC174" si="2975">IF(BW174="","","|n"&amp;FC$2&amp;"+"&amp;BW174&amp;FC$1)</f>
        <v/>
      </c>
      <c r="FD174" s="103" t="str">
        <f t="shared" ref="FD174" si="2976">IF(BX174="","","|n"&amp;FD$2&amp;"+"&amp;BX174&amp;FD$1)</f>
        <v/>
      </c>
      <c r="FE174" s="103" t="str">
        <f t="shared" ref="FE174" si="2977">IF(BY174="","","|n"&amp;FE$2&amp;"+"&amp;BY174&amp;FE$1)</f>
        <v/>
      </c>
      <c r="FF174" s="103" t="str">
        <f t="shared" ref="FF174" si="2978">IF(BZ174="","","|n"&amp;FF$2&amp;"+"&amp;BZ174&amp;FF$1)</f>
        <v/>
      </c>
      <c r="FG174" s="103" t="str">
        <f t="shared" ref="FG174" si="2979">IF(CA174="","","|n"&amp;FG$2&amp;"+"&amp;CA174&amp;FG$1)</f>
        <v/>
      </c>
      <c r="FH174" s="103" t="str">
        <f t="shared" ref="FH174" si="2980">IF(CB174="","","|n"&amp;FH$2&amp;"+"&amp;CB174&amp;FH$1)</f>
        <v/>
      </c>
      <c r="FI174" s="103" t="str">
        <f t="shared" ref="FI174" si="2981">IF(CC174="","","|n"&amp;FI$2&amp;"+"&amp;CC174&amp;FI$1)</f>
        <v/>
      </c>
      <c r="FJ174" s="103" t="str">
        <f t="shared" ref="FJ174" si="2982">IF(CD174="","","|n"&amp;FJ$2&amp;"+"&amp;CD174&amp;FJ$1)</f>
        <v/>
      </c>
      <c r="FK174" s="103" t="str">
        <f t="shared" ref="FK174" si="2983">IF(CE174="","","|n"&amp;FK$2&amp;"+"&amp;CE174&amp;FK$1)</f>
        <v/>
      </c>
      <c r="FL174" s="103" t="str">
        <f t="shared" ref="FL174" si="2984">IF(CF174="","","|n"&amp;FL$2&amp;"+"&amp;CF174&amp;FL$1)</f>
        <v/>
      </c>
      <c r="FM174" s="103" t="str">
        <f t="shared" ref="FM174" si="2985">IF(CG174="","","|n"&amp;FM$2&amp;"+"&amp;CG174&amp;FM$1)</f>
        <v/>
      </c>
      <c r="FN174" s="103" t="str">
        <f t="shared" ref="FN174" si="2986">IF(CH174="","","|n"&amp;FN$2&amp;"+"&amp;CH174&amp;FN$1)</f>
        <v/>
      </c>
      <c r="FO174" s="103" t="str">
        <f t="shared" ref="FO174" si="2987">IF(CI174="","","|n"&amp;FO$2&amp;"+"&amp;CI174&amp;FO$1)</f>
        <v/>
      </c>
      <c r="FP174" s="103" t="str">
        <f t="shared" ref="FP174" si="2988">IF(CJ174="","","|n"&amp;FP$2&amp;"+"&amp;CJ174&amp;FP$1)</f>
        <v/>
      </c>
      <c r="FQ174" s="103" t="str">
        <f t="shared" ref="FQ174" si="2989">IF(CK174="","","|n"&amp;FQ$2&amp;"+"&amp;CK174&amp;FQ$1)</f>
        <v/>
      </c>
      <c r="FR174" s="103" t="str">
        <f t="shared" ref="FR174" si="2990">IF(CL174="","","|n"&amp;FR$2&amp;"+"&amp;CL174&amp;FR$1)</f>
        <v/>
      </c>
      <c r="FS174" s="103" t="str">
        <f t="shared" ref="FS174" si="2991">IF(CM174="","","|n"&amp;FS$2&amp;"+"&amp;CM174&amp;FS$1)</f>
        <v/>
      </c>
    </row>
    <row r="175" spans="1:175" s="37" customFormat="1" ht="16.5">
      <c r="A175" s="74"/>
      <c r="B175" s="5" t="s">
        <v>632</v>
      </c>
      <c r="C175" s="74" t="s">
        <v>633</v>
      </c>
      <c r="D175" s="70"/>
      <c r="E175" s="70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78"/>
      <c r="Q175" s="78"/>
      <c r="R175" s="78"/>
      <c r="S175" s="78"/>
      <c r="T175" s="74" t="s">
        <v>634</v>
      </c>
      <c r="U175" s="56" t="str">
        <f t="shared" si="2908"/>
        <v>ReplaceableTextures\\CommandButtons\\BTNIZ01.blp</v>
      </c>
      <c r="V175" s="96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43"/>
      <c r="AS175" s="43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H175" s="97"/>
      <c r="BI175" s="97"/>
      <c r="BJ175" s="97"/>
      <c r="BK175" s="97"/>
      <c r="BL175" s="97"/>
      <c r="BM175" s="97"/>
      <c r="BN175" s="97"/>
      <c r="BO175" s="97"/>
      <c r="BP175" s="97"/>
      <c r="BQ175" s="97"/>
      <c r="BR175" s="97"/>
      <c r="BS175" s="97"/>
      <c r="BT175" s="97"/>
      <c r="BU175" s="97"/>
      <c r="BV175" s="97"/>
      <c r="BW175" s="97"/>
      <c r="BX175" s="97"/>
      <c r="BY175" s="97"/>
      <c r="BZ175" s="97"/>
      <c r="CA175" s="97"/>
      <c r="CB175" s="97"/>
      <c r="CC175" s="97"/>
      <c r="CD175" s="97"/>
      <c r="CE175" s="97"/>
      <c r="CF175" s="97"/>
      <c r="CG175" s="97"/>
      <c r="CH175" s="97"/>
      <c r="CI175" s="97"/>
      <c r="CJ175" s="97"/>
      <c r="CK175" s="97"/>
      <c r="CL175" s="97"/>
      <c r="CM175" s="97"/>
      <c r="CN175" s="102" t="str">
        <f t="shared" si="2684"/>
        <v>InitUnitState('IZ01',,,,,,,,,,)</v>
      </c>
      <c r="CO175" s="102" t="str">
        <f t="shared" si="2685"/>
        <v>InitUnitNormal('IZ01',,,,,,,,,,)</v>
      </c>
      <c r="CP175" s="102" t="str">
        <f t="shared" si="2686"/>
        <v>InitUnitMagic('IZ01',,,,,,,,,,)</v>
      </c>
      <c r="CQ175" s="102" t="str">
        <f t="shared" si="2687"/>
        <v>InitUnitAdd('IZ01',,,,,,,,,,)</v>
      </c>
      <c r="CR175" s="102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InitEquipData('IZ01',,"",,,,,'','','','','','',"ReplaceableTextures\\CommandButtons\\BTN001.blp")</v>
      </c>
      <c r="CS175" s="102"/>
      <c r="CT175" s="102"/>
      <c r="CU175" s="68" t="str">
        <f t="shared" si="2833"/>
        <v>|n</v>
      </c>
      <c r="CV175" s="37" t="str">
        <f t="shared" si="2834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5" s="7"/>
      <c r="CX175" s="7"/>
      <c r="CY175" s="7"/>
      <c r="CZ175" s="7"/>
      <c r="DA175" s="7"/>
      <c r="DB175" s="103" t="str">
        <f t="shared" ref="DB175:FM175" si="2992">IF(V175="","","|n"&amp;DB$2&amp;"+"&amp;V175&amp;DB$1)</f>
        <v/>
      </c>
      <c r="DC175" s="103" t="str">
        <f t="shared" si="2992"/>
        <v/>
      </c>
      <c r="DD175" s="103" t="str">
        <f t="shared" si="2992"/>
        <v/>
      </c>
      <c r="DE175" s="103" t="str">
        <f t="shared" si="2992"/>
        <v/>
      </c>
      <c r="DF175" s="103" t="str">
        <f t="shared" si="2992"/>
        <v/>
      </c>
      <c r="DG175" s="103" t="str">
        <f t="shared" si="2992"/>
        <v/>
      </c>
      <c r="DH175" s="103" t="str">
        <f t="shared" si="2992"/>
        <v/>
      </c>
      <c r="DI175" s="103" t="str">
        <f t="shared" si="2992"/>
        <v/>
      </c>
      <c r="DJ175" s="103" t="str">
        <f t="shared" si="2992"/>
        <v/>
      </c>
      <c r="DK175" s="103" t="str">
        <f t="shared" si="2992"/>
        <v/>
      </c>
      <c r="DL175" s="103" t="str">
        <f t="shared" si="2992"/>
        <v/>
      </c>
      <c r="DM175" s="103" t="str">
        <f t="shared" si="2992"/>
        <v/>
      </c>
      <c r="DN175" s="103" t="str">
        <f t="shared" si="2992"/>
        <v/>
      </c>
      <c r="DO175" s="103" t="str">
        <f t="shared" si="2992"/>
        <v/>
      </c>
      <c r="DP175" s="103" t="str">
        <f t="shared" si="2992"/>
        <v/>
      </c>
      <c r="DQ175" s="103" t="str">
        <f t="shared" si="2992"/>
        <v/>
      </c>
      <c r="DR175" s="103" t="str">
        <f t="shared" si="2992"/>
        <v/>
      </c>
      <c r="DS175" s="103" t="str">
        <f t="shared" si="2992"/>
        <v/>
      </c>
      <c r="DT175" s="103" t="str">
        <f t="shared" si="2992"/>
        <v/>
      </c>
      <c r="DU175" s="103" t="str">
        <f t="shared" si="2992"/>
        <v/>
      </c>
      <c r="DV175" s="103" t="str">
        <f t="shared" si="2992"/>
        <v/>
      </c>
      <c r="DW175" s="103" t="str">
        <f t="shared" si="2992"/>
        <v/>
      </c>
      <c r="DX175" s="103" t="str">
        <f t="shared" si="2992"/>
        <v/>
      </c>
      <c r="DY175" s="103" t="str">
        <f t="shared" si="2992"/>
        <v/>
      </c>
      <c r="DZ175" s="103" t="str">
        <f t="shared" si="2992"/>
        <v/>
      </c>
      <c r="EA175" s="103" t="str">
        <f t="shared" si="2992"/>
        <v/>
      </c>
      <c r="EB175" s="103" t="str">
        <f t="shared" si="2992"/>
        <v/>
      </c>
      <c r="EC175" s="103" t="str">
        <f t="shared" si="2992"/>
        <v/>
      </c>
      <c r="ED175" s="103" t="str">
        <f t="shared" si="2992"/>
        <v/>
      </c>
      <c r="EE175" s="103" t="str">
        <f t="shared" si="2992"/>
        <v/>
      </c>
      <c r="EF175" s="103" t="str">
        <f t="shared" si="2992"/>
        <v/>
      </c>
      <c r="EG175" s="103" t="str">
        <f t="shared" si="2992"/>
        <v/>
      </c>
      <c r="EH175" s="103" t="str">
        <f t="shared" si="2992"/>
        <v/>
      </c>
      <c r="EI175" s="103" t="str">
        <f t="shared" si="2992"/>
        <v/>
      </c>
      <c r="EJ175" s="103" t="str">
        <f t="shared" si="2992"/>
        <v/>
      </c>
      <c r="EK175" s="103" t="str">
        <f t="shared" si="2992"/>
        <v/>
      </c>
      <c r="EL175" s="103" t="str">
        <f t="shared" si="2992"/>
        <v/>
      </c>
      <c r="EM175" s="103" t="str">
        <f t="shared" si="2992"/>
        <v/>
      </c>
      <c r="EN175" s="103" t="str">
        <f t="shared" si="2992"/>
        <v/>
      </c>
      <c r="EO175" s="103" t="str">
        <f t="shared" si="2992"/>
        <v/>
      </c>
      <c r="EP175" s="103" t="str">
        <f t="shared" si="2992"/>
        <v/>
      </c>
      <c r="EQ175" s="103" t="str">
        <f t="shared" si="2992"/>
        <v/>
      </c>
      <c r="ER175" s="103" t="str">
        <f t="shared" si="2992"/>
        <v/>
      </c>
      <c r="ES175" s="103" t="str">
        <f t="shared" si="2992"/>
        <v/>
      </c>
      <c r="ET175" s="103" t="str">
        <f t="shared" si="2992"/>
        <v/>
      </c>
      <c r="EU175" s="103" t="str">
        <f t="shared" si="2992"/>
        <v/>
      </c>
      <c r="EV175" s="103" t="str">
        <f t="shared" si="2992"/>
        <v/>
      </c>
      <c r="EW175" s="103" t="str">
        <f t="shared" si="2992"/>
        <v/>
      </c>
      <c r="EX175" s="103" t="str">
        <f t="shared" si="2992"/>
        <v/>
      </c>
      <c r="EY175" s="103" t="str">
        <f t="shared" si="2992"/>
        <v/>
      </c>
      <c r="EZ175" s="103" t="str">
        <f t="shared" si="2992"/>
        <v/>
      </c>
      <c r="FA175" s="103" t="str">
        <f t="shared" si="2992"/>
        <v/>
      </c>
      <c r="FB175" s="103" t="str">
        <f t="shared" si="2992"/>
        <v/>
      </c>
      <c r="FC175" s="103" t="str">
        <f t="shared" si="2992"/>
        <v/>
      </c>
      <c r="FD175" s="103" t="str">
        <f t="shared" si="2992"/>
        <v/>
      </c>
      <c r="FE175" s="103" t="str">
        <f t="shared" si="2992"/>
        <v/>
      </c>
      <c r="FF175" s="103" t="str">
        <f t="shared" si="2992"/>
        <v/>
      </c>
      <c r="FG175" s="103" t="str">
        <f t="shared" si="2992"/>
        <v/>
      </c>
      <c r="FH175" s="103" t="str">
        <f t="shared" si="2992"/>
        <v/>
      </c>
      <c r="FI175" s="103" t="str">
        <f t="shared" si="2992"/>
        <v/>
      </c>
      <c r="FJ175" s="103" t="str">
        <f t="shared" si="2992"/>
        <v/>
      </c>
      <c r="FK175" s="103" t="str">
        <f t="shared" si="2992"/>
        <v/>
      </c>
      <c r="FL175" s="103" t="str">
        <f t="shared" si="2992"/>
        <v/>
      </c>
      <c r="FM175" s="103" t="str">
        <f t="shared" si="2992"/>
        <v/>
      </c>
      <c r="FN175" s="103" t="str">
        <f t="shared" ref="FN175:FS175" si="2993">IF(CH175="","","|n"&amp;FN$2&amp;"+"&amp;CH175&amp;FN$1)</f>
        <v/>
      </c>
      <c r="FO175" s="103" t="str">
        <f t="shared" si="2993"/>
        <v/>
      </c>
      <c r="FP175" s="103" t="str">
        <f t="shared" si="2993"/>
        <v/>
      </c>
      <c r="FQ175" s="103" t="str">
        <f t="shared" si="2993"/>
        <v/>
      </c>
      <c r="FR175" s="103" t="str">
        <f t="shared" si="2993"/>
        <v/>
      </c>
      <c r="FS175" s="103" t="str">
        <f t="shared" si="2993"/>
        <v/>
      </c>
    </row>
    <row r="176" spans="1:175" ht="16.5">
      <c r="A176" s="74"/>
      <c r="B176" s="5" t="s">
        <v>635</v>
      </c>
      <c r="C176" s="74" t="s">
        <v>636</v>
      </c>
      <c r="T176" s="3" t="s">
        <v>637</v>
      </c>
      <c r="U176" s="56" t="s">
        <v>434</v>
      </c>
      <c r="CN176" s="13" t="str">
        <f t="shared" si="2684"/>
        <v>InitUnitState('IS01',,,,,,,,,,)</v>
      </c>
      <c r="CO176" s="13" t="str">
        <f t="shared" si="2685"/>
        <v>InitUnitNormal('IS01',,,,,,,,,,)</v>
      </c>
      <c r="CP176" s="13" t="str">
        <f t="shared" si="2686"/>
        <v>InitUnitMagic('IS01',,,,,,,,,,)</v>
      </c>
      <c r="CQ176" s="13" t="str">
        <f t="shared" si="2687"/>
        <v>InitUnitAdd('IS01',,,,,,,,,,)</v>
      </c>
      <c r="CR176" s="13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InitEquipData('IS01',,"",,,,,'','','','','','',"ReplaceableTextures\\CommandButtons\\BTN002.blp")</v>
      </c>
      <c r="CU176" s="68" t="str">
        <f t="shared" si="2833"/>
        <v>|n</v>
      </c>
      <c r="CV176" s="6" t="str">
        <f t="shared" si="2834"/>
        <v>学习或重置当前|cffffd24dQ技能|r。|n|cffffcc00抽取消耗：|r2000金币*次数|n|cffffcc00抽取次数：|r0/10|n|n|cff00ff7f单局最多抽取10次|r</v>
      </c>
      <c r="CW176" s="7"/>
      <c r="CX176" s="7"/>
      <c r="CY176" s="7"/>
      <c r="CZ176" s="7"/>
      <c r="DA176" s="7"/>
      <c r="DB176" s="44" t="str">
        <f t="shared" ref="DB176:DK177" si="2994">IF(V176="","","|n"&amp;DB$2&amp;"+"&amp;V176&amp;DB$1)</f>
        <v/>
      </c>
      <c r="DC176" s="44" t="str">
        <f t="shared" si="2994"/>
        <v/>
      </c>
      <c r="DD176" s="44" t="str">
        <f t="shared" si="2994"/>
        <v/>
      </c>
      <c r="DE176" s="44" t="str">
        <f t="shared" si="2994"/>
        <v/>
      </c>
      <c r="DF176" s="44" t="str">
        <f t="shared" si="2994"/>
        <v/>
      </c>
      <c r="DG176" s="44" t="str">
        <f t="shared" si="2994"/>
        <v/>
      </c>
      <c r="DH176" s="44" t="str">
        <f t="shared" si="2994"/>
        <v/>
      </c>
      <c r="DI176" s="44" t="str">
        <f t="shared" si="2994"/>
        <v/>
      </c>
      <c r="DJ176" s="44" t="str">
        <f t="shared" si="2994"/>
        <v/>
      </c>
      <c r="DK176" s="44" t="str">
        <f t="shared" si="2994"/>
        <v/>
      </c>
      <c r="DL176" s="44" t="str">
        <f t="shared" ref="DL176:DU177" si="2995">IF(AF176="","","|n"&amp;DL$2&amp;"+"&amp;AF176&amp;DL$1)</f>
        <v/>
      </c>
      <c r="DM176" s="44" t="str">
        <f t="shared" si="2995"/>
        <v/>
      </c>
      <c r="DN176" s="44" t="str">
        <f t="shared" si="2995"/>
        <v/>
      </c>
      <c r="DO176" s="44" t="str">
        <f t="shared" si="2995"/>
        <v/>
      </c>
      <c r="DP176" s="44" t="str">
        <f t="shared" si="2995"/>
        <v/>
      </c>
      <c r="DQ176" s="44" t="str">
        <f t="shared" si="2995"/>
        <v/>
      </c>
      <c r="DR176" s="44" t="str">
        <f t="shared" si="2995"/>
        <v/>
      </c>
      <c r="DS176" s="44" t="str">
        <f t="shared" si="2995"/>
        <v/>
      </c>
      <c r="DT176" s="44" t="str">
        <f t="shared" si="2995"/>
        <v/>
      </c>
      <c r="DU176" s="44" t="str">
        <f t="shared" si="2995"/>
        <v/>
      </c>
      <c r="DV176" s="44" t="str">
        <f t="shared" ref="DV176:EE177" si="2996">IF(AP176="","","|n"&amp;DV$2&amp;"+"&amp;AP176&amp;DV$1)</f>
        <v/>
      </c>
      <c r="DW176" s="44" t="str">
        <f t="shared" si="2996"/>
        <v/>
      </c>
      <c r="DX176" s="44" t="str">
        <f t="shared" si="2996"/>
        <v/>
      </c>
      <c r="DY176" s="44" t="str">
        <f t="shared" si="2996"/>
        <v/>
      </c>
      <c r="DZ176" s="44" t="str">
        <f t="shared" si="2996"/>
        <v/>
      </c>
      <c r="EA176" s="44" t="str">
        <f t="shared" si="2996"/>
        <v/>
      </c>
      <c r="EB176" s="44" t="str">
        <f t="shared" si="2996"/>
        <v/>
      </c>
      <c r="EC176" s="44" t="str">
        <f t="shared" si="2996"/>
        <v/>
      </c>
      <c r="ED176" s="44" t="str">
        <f t="shared" si="2996"/>
        <v/>
      </c>
      <c r="EE176" s="44" t="str">
        <f t="shared" si="2996"/>
        <v/>
      </c>
      <c r="EF176" s="44" t="str">
        <f t="shared" ref="EF176:EO177" si="2997">IF(AZ176="","","|n"&amp;EF$2&amp;"+"&amp;AZ176&amp;EF$1)</f>
        <v/>
      </c>
      <c r="EG176" s="44" t="str">
        <f t="shared" si="2997"/>
        <v/>
      </c>
      <c r="EH176" s="44" t="str">
        <f t="shared" si="2997"/>
        <v/>
      </c>
      <c r="EI176" s="44" t="str">
        <f t="shared" si="2997"/>
        <v/>
      </c>
      <c r="EJ176" s="44" t="str">
        <f t="shared" si="2997"/>
        <v/>
      </c>
      <c r="EK176" s="44" t="str">
        <f t="shared" si="2997"/>
        <v/>
      </c>
      <c r="EL176" s="44" t="str">
        <f t="shared" si="2997"/>
        <v/>
      </c>
      <c r="EM176" s="44" t="str">
        <f t="shared" si="2997"/>
        <v/>
      </c>
      <c r="EN176" s="44" t="str">
        <f t="shared" si="2997"/>
        <v/>
      </c>
      <c r="EO176" s="44" t="str">
        <f t="shared" si="2997"/>
        <v/>
      </c>
      <c r="EP176" s="44" t="str">
        <f t="shared" ref="EP176:EY177" si="2998">IF(BJ176="","","|n"&amp;EP$2&amp;"+"&amp;BJ176&amp;EP$1)</f>
        <v/>
      </c>
      <c r="EQ176" s="44" t="str">
        <f t="shared" si="2998"/>
        <v/>
      </c>
      <c r="ER176" s="44" t="str">
        <f t="shared" si="2998"/>
        <v/>
      </c>
      <c r="ES176" s="44" t="str">
        <f t="shared" si="2998"/>
        <v/>
      </c>
      <c r="ET176" s="44" t="str">
        <f t="shared" si="2998"/>
        <v/>
      </c>
      <c r="EU176" s="44" t="str">
        <f t="shared" si="2998"/>
        <v/>
      </c>
      <c r="EV176" s="44" t="str">
        <f t="shared" si="2998"/>
        <v/>
      </c>
      <c r="EW176" s="44" t="str">
        <f t="shared" si="2998"/>
        <v/>
      </c>
      <c r="EX176" s="44" t="str">
        <f t="shared" si="2998"/>
        <v/>
      </c>
      <c r="EY176" s="44" t="str">
        <f t="shared" si="2998"/>
        <v/>
      </c>
      <c r="EZ176" s="44" t="str">
        <f t="shared" ref="EZ176:FI177" si="2999">IF(BT176="","","|n"&amp;EZ$2&amp;"+"&amp;BT176&amp;EZ$1)</f>
        <v/>
      </c>
      <c r="FA176" s="44" t="str">
        <f t="shared" si="2999"/>
        <v/>
      </c>
      <c r="FB176" s="44" t="str">
        <f t="shared" si="2999"/>
        <v/>
      </c>
      <c r="FC176" s="44" t="str">
        <f t="shared" si="2999"/>
        <v/>
      </c>
      <c r="FD176" s="44" t="str">
        <f t="shared" si="2999"/>
        <v/>
      </c>
      <c r="FE176" s="44" t="str">
        <f t="shared" si="2999"/>
        <v/>
      </c>
      <c r="FF176" s="44" t="str">
        <f t="shared" si="2999"/>
        <v/>
      </c>
      <c r="FG176" s="44" t="str">
        <f t="shared" si="2999"/>
        <v/>
      </c>
      <c r="FH176" s="44" t="str">
        <f t="shared" si="2999"/>
        <v/>
      </c>
      <c r="FI176" s="44" t="str">
        <f t="shared" si="2999"/>
        <v/>
      </c>
      <c r="FJ176" s="44" t="str">
        <f t="shared" ref="FJ176:FS177" si="3000">IF(CD176="","","|n"&amp;FJ$2&amp;"+"&amp;CD176&amp;FJ$1)</f>
        <v/>
      </c>
      <c r="FK176" s="44" t="str">
        <f t="shared" si="3000"/>
        <v/>
      </c>
      <c r="FL176" s="44" t="str">
        <f t="shared" si="3000"/>
        <v/>
      </c>
      <c r="FM176" s="44" t="str">
        <f t="shared" si="3000"/>
        <v/>
      </c>
      <c r="FN176" s="44" t="str">
        <f t="shared" si="3000"/>
        <v/>
      </c>
      <c r="FO176" s="44" t="str">
        <f t="shared" si="3000"/>
        <v/>
      </c>
      <c r="FP176" s="44" t="str">
        <f t="shared" si="3000"/>
        <v/>
      </c>
      <c r="FQ176" s="44" t="str">
        <f t="shared" si="3000"/>
        <v/>
      </c>
      <c r="FR176" s="44" t="str">
        <f t="shared" si="3000"/>
        <v/>
      </c>
      <c r="FS176" s="44" t="str">
        <f t="shared" si="3000"/>
        <v/>
      </c>
    </row>
    <row r="177" spans="1:175" ht="16.5">
      <c r="A177" s="74"/>
      <c r="B177" s="5" t="s">
        <v>638</v>
      </c>
      <c r="C177" s="74" t="s">
        <v>639</v>
      </c>
      <c r="T177" s="3" t="s">
        <v>640</v>
      </c>
      <c r="U177" s="56" t="s">
        <v>641</v>
      </c>
      <c r="CN177" s="13" t="str">
        <f t="shared" si="2684"/>
        <v>InitUnitState('IS02',,,,,,,,,,)</v>
      </c>
      <c r="CO177" s="13" t="str">
        <f t="shared" si="2685"/>
        <v>InitUnitNormal('IS02',,,,,,,,,,)</v>
      </c>
      <c r="CP177" s="13" t="str">
        <f t="shared" si="2686"/>
        <v>InitUnitMagic('IS02',,,,,,,,,,)</v>
      </c>
      <c r="CQ177" s="13" t="str">
        <f t="shared" si="2687"/>
        <v>InitUnitAdd('IS02',,,,,,,,,,)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InitEquipData('IS02',,"",,,,,'','','','','','',"ReplaceableTextures\\CommandButtons\\BTN003.blp")</v>
      </c>
      <c r="CU177" s="68" t="str">
        <f t="shared" si="2833"/>
        <v>|n</v>
      </c>
      <c r="CV177" s="6" t="str">
        <f t="shared" si="2834"/>
        <v>学习或重置当前|cffffd24dW技能|r。|n|cffffcc00抽取消耗：|r5000金币*次数|n|cffffcc00抽取次数：|r0/10|n|n|cff00ff7f单局最多抽取10次|r</v>
      </c>
      <c r="CW177" s="7"/>
      <c r="CX177" s="7"/>
      <c r="CY177" s="7"/>
      <c r="CZ177" s="7"/>
      <c r="DA177" s="7"/>
      <c r="DB177" s="44" t="str">
        <f t="shared" si="2994"/>
        <v/>
      </c>
      <c r="DC177" s="44" t="str">
        <f t="shared" si="2994"/>
        <v/>
      </c>
      <c r="DD177" s="44" t="str">
        <f t="shared" si="2994"/>
        <v/>
      </c>
      <c r="DE177" s="44" t="str">
        <f t="shared" si="2994"/>
        <v/>
      </c>
      <c r="DF177" s="44" t="str">
        <f t="shared" si="2994"/>
        <v/>
      </c>
      <c r="DG177" s="44" t="str">
        <f t="shared" si="2994"/>
        <v/>
      </c>
      <c r="DH177" s="44" t="str">
        <f t="shared" si="2994"/>
        <v/>
      </c>
      <c r="DI177" s="44" t="str">
        <f t="shared" si="2994"/>
        <v/>
      </c>
      <c r="DJ177" s="44" t="str">
        <f t="shared" si="2994"/>
        <v/>
      </c>
      <c r="DK177" s="44" t="str">
        <f t="shared" si="2994"/>
        <v/>
      </c>
      <c r="DL177" s="44" t="str">
        <f t="shared" si="2995"/>
        <v/>
      </c>
      <c r="DM177" s="44" t="str">
        <f t="shared" si="2995"/>
        <v/>
      </c>
      <c r="DN177" s="44" t="str">
        <f t="shared" si="2995"/>
        <v/>
      </c>
      <c r="DO177" s="44" t="str">
        <f t="shared" si="2995"/>
        <v/>
      </c>
      <c r="DP177" s="44" t="str">
        <f t="shared" si="2995"/>
        <v/>
      </c>
      <c r="DQ177" s="44" t="str">
        <f t="shared" si="2995"/>
        <v/>
      </c>
      <c r="DR177" s="44" t="str">
        <f t="shared" si="2995"/>
        <v/>
      </c>
      <c r="DS177" s="44" t="str">
        <f t="shared" si="2995"/>
        <v/>
      </c>
      <c r="DT177" s="44" t="str">
        <f t="shared" si="2995"/>
        <v/>
      </c>
      <c r="DU177" s="44" t="str">
        <f t="shared" si="2995"/>
        <v/>
      </c>
      <c r="DV177" s="44" t="str">
        <f t="shared" si="2996"/>
        <v/>
      </c>
      <c r="DW177" s="44" t="str">
        <f t="shared" si="2996"/>
        <v/>
      </c>
      <c r="DX177" s="44" t="str">
        <f t="shared" si="2996"/>
        <v/>
      </c>
      <c r="DY177" s="44" t="str">
        <f t="shared" si="2996"/>
        <v/>
      </c>
      <c r="DZ177" s="44" t="str">
        <f t="shared" si="2996"/>
        <v/>
      </c>
      <c r="EA177" s="44" t="str">
        <f t="shared" si="2996"/>
        <v/>
      </c>
      <c r="EB177" s="44" t="str">
        <f t="shared" si="2996"/>
        <v/>
      </c>
      <c r="EC177" s="44" t="str">
        <f t="shared" si="2996"/>
        <v/>
      </c>
      <c r="ED177" s="44" t="str">
        <f t="shared" si="2996"/>
        <v/>
      </c>
      <c r="EE177" s="44" t="str">
        <f t="shared" si="2996"/>
        <v/>
      </c>
      <c r="EF177" s="44" t="str">
        <f t="shared" si="2997"/>
        <v/>
      </c>
      <c r="EG177" s="44" t="str">
        <f t="shared" si="2997"/>
        <v/>
      </c>
      <c r="EH177" s="44" t="str">
        <f t="shared" si="2997"/>
        <v/>
      </c>
      <c r="EI177" s="44" t="str">
        <f t="shared" si="2997"/>
        <v/>
      </c>
      <c r="EJ177" s="44" t="str">
        <f t="shared" si="2997"/>
        <v/>
      </c>
      <c r="EK177" s="44" t="str">
        <f t="shared" si="2997"/>
        <v/>
      </c>
      <c r="EL177" s="44" t="str">
        <f t="shared" si="2997"/>
        <v/>
      </c>
      <c r="EM177" s="44" t="str">
        <f t="shared" si="2997"/>
        <v/>
      </c>
      <c r="EN177" s="44" t="str">
        <f t="shared" si="2997"/>
        <v/>
      </c>
      <c r="EO177" s="44" t="str">
        <f t="shared" si="2997"/>
        <v/>
      </c>
      <c r="EP177" s="44" t="str">
        <f t="shared" si="2998"/>
        <v/>
      </c>
      <c r="EQ177" s="44" t="str">
        <f t="shared" si="2998"/>
        <v/>
      </c>
      <c r="ER177" s="44" t="str">
        <f t="shared" si="2998"/>
        <v/>
      </c>
      <c r="ES177" s="44" t="str">
        <f t="shared" si="2998"/>
        <v/>
      </c>
      <c r="ET177" s="44" t="str">
        <f t="shared" si="2998"/>
        <v/>
      </c>
      <c r="EU177" s="44" t="str">
        <f t="shared" si="2998"/>
        <v/>
      </c>
      <c r="EV177" s="44" t="str">
        <f t="shared" si="2998"/>
        <v/>
      </c>
      <c r="EW177" s="44" t="str">
        <f t="shared" si="2998"/>
        <v/>
      </c>
      <c r="EX177" s="44" t="str">
        <f t="shared" si="2998"/>
        <v/>
      </c>
      <c r="EY177" s="44" t="str">
        <f t="shared" si="2998"/>
        <v/>
      </c>
      <c r="EZ177" s="44" t="str">
        <f t="shared" si="2999"/>
        <v/>
      </c>
      <c r="FA177" s="44" t="str">
        <f t="shared" si="2999"/>
        <v/>
      </c>
      <c r="FB177" s="44" t="str">
        <f t="shared" si="2999"/>
        <v/>
      </c>
      <c r="FC177" s="44" t="str">
        <f t="shared" si="2999"/>
        <v/>
      </c>
      <c r="FD177" s="44" t="str">
        <f t="shared" si="2999"/>
        <v/>
      </c>
      <c r="FE177" s="44" t="str">
        <f t="shared" si="2999"/>
        <v/>
      </c>
      <c r="FF177" s="44" t="str">
        <f t="shared" si="2999"/>
        <v/>
      </c>
      <c r="FG177" s="44" t="str">
        <f t="shared" si="2999"/>
        <v/>
      </c>
      <c r="FH177" s="44" t="str">
        <f t="shared" si="2999"/>
        <v/>
      </c>
      <c r="FI177" s="44" t="str">
        <f t="shared" si="2999"/>
        <v/>
      </c>
      <c r="FJ177" s="44" t="str">
        <f t="shared" si="3000"/>
        <v/>
      </c>
      <c r="FK177" s="44" t="str">
        <f t="shared" si="3000"/>
        <v/>
      </c>
      <c r="FL177" s="44" t="str">
        <f t="shared" si="3000"/>
        <v/>
      </c>
      <c r="FM177" s="44" t="str">
        <f t="shared" si="3000"/>
        <v/>
      </c>
      <c r="FN177" s="44" t="str">
        <f t="shared" si="3000"/>
        <v/>
      </c>
      <c r="FO177" s="44" t="str">
        <f t="shared" si="3000"/>
        <v/>
      </c>
      <c r="FP177" s="44" t="str">
        <f t="shared" si="3000"/>
        <v/>
      </c>
      <c r="FQ177" s="44" t="str">
        <f t="shared" si="3000"/>
        <v/>
      </c>
      <c r="FR177" s="44" t="str">
        <f t="shared" si="3000"/>
        <v/>
      </c>
      <c r="FS177" s="44" t="str">
        <f t="shared" si="3000"/>
        <v/>
      </c>
    </row>
    <row r="178" spans="1:175" ht="16.5">
      <c r="A178" s="74"/>
      <c r="B178" s="5" t="s">
        <v>642</v>
      </c>
      <c r="C178" s="74" t="s">
        <v>643</v>
      </c>
      <c r="T178" s="3" t="s">
        <v>644</v>
      </c>
      <c r="U178" s="56" t="s">
        <v>645</v>
      </c>
      <c r="CN178" s="13" t="str">
        <f t="shared" si="2684"/>
        <v>InitUnitState('IS03',,,,,,,,,,)</v>
      </c>
      <c r="CO178" s="13" t="str">
        <f t="shared" si="2685"/>
        <v>InitUnitNormal('IS03',,,,,,,,,,)</v>
      </c>
      <c r="CP178" s="13" t="str">
        <f t="shared" si="2686"/>
        <v>InitUnitMagic('IS03',,,,,,,,,,)</v>
      </c>
      <c r="CQ178" s="13" t="str">
        <f t="shared" si="2687"/>
        <v>InitUnitAdd('IS03',,,,,,,,,,)</v>
      </c>
      <c r="CR178" s="13" t="e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#REF!&amp;CR$1&amp;")"</f>
        <v>#REF!</v>
      </c>
      <c r="CU178" s="68" t="str">
        <f t="shared" si="2833"/>
        <v>|n</v>
      </c>
      <c r="CV178" s="6" t="str">
        <f t="shared" si="2834"/>
        <v>学习或重置当前|cffffd24dE技能|r。|n|cffffcc00抽取消耗：|r20000金币*次数|n|cffffcc00抽取次数：|r0/10|n|n|cff00ff7f单局最多抽取10次|r</v>
      </c>
      <c r="CW178" s="7"/>
      <c r="CX178" s="7"/>
      <c r="CY178" s="7"/>
      <c r="CZ178" s="7"/>
      <c r="DA178" s="7"/>
      <c r="DB178" s="44" t="str">
        <f t="shared" ref="DB178:DK180" si="3001">IF(V178="","","|n"&amp;DB$2&amp;"+"&amp;V178&amp;DB$1)</f>
        <v/>
      </c>
      <c r="DC178" s="44" t="str">
        <f t="shared" si="3001"/>
        <v/>
      </c>
      <c r="DD178" s="44" t="str">
        <f t="shared" si="3001"/>
        <v/>
      </c>
      <c r="DE178" s="44" t="str">
        <f t="shared" si="3001"/>
        <v/>
      </c>
      <c r="DF178" s="44" t="str">
        <f t="shared" si="3001"/>
        <v/>
      </c>
      <c r="DG178" s="44" t="str">
        <f t="shared" si="3001"/>
        <v/>
      </c>
      <c r="DH178" s="44" t="str">
        <f t="shared" si="3001"/>
        <v/>
      </c>
      <c r="DI178" s="44" t="str">
        <f t="shared" si="3001"/>
        <v/>
      </c>
      <c r="DJ178" s="44" t="str">
        <f t="shared" si="3001"/>
        <v/>
      </c>
      <c r="DK178" s="44" t="str">
        <f t="shared" si="3001"/>
        <v/>
      </c>
      <c r="DL178" s="44" t="str">
        <f t="shared" ref="DL178:DU180" si="3002">IF(AF178="","","|n"&amp;DL$2&amp;"+"&amp;AF178&amp;DL$1)</f>
        <v/>
      </c>
      <c r="DM178" s="44" t="str">
        <f t="shared" si="3002"/>
        <v/>
      </c>
      <c r="DN178" s="44" t="str">
        <f t="shared" si="3002"/>
        <v/>
      </c>
      <c r="DO178" s="44" t="str">
        <f t="shared" si="3002"/>
        <v/>
      </c>
      <c r="DP178" s="44" t="str">
        <f t="shared" si="3002"/>
        <v/>
      </c>
      <c r="DQ178" s="44" t="str">
        <f t="shared" si="3002"/>
        <v/>
      </c>
      <c r="DR178" s="44" t="str">
        <f t="shared" si="3002"/>
        <v/>
      </c>
      <c r="DS178" s="44" t="str">
        <f t="shared" si="3002"/>
        <v/>
      </c>
      <c r="DT178" s="44" t="str">
        <f t="shared" si="3002"/>
        <v/>
      </c>
      <c r="DU178" s="44" t="str">
        <f t="shared" si="3002"/>
        <v/>
      </c>
      <c r="DV178" s="44" t="str">
        <f t="shared" ref="DV178:EE180" si="3003">IF(AP178="","","|n"&amp;DV$2&amp;"+"&amp;AP178&amp;DV$1)</f>
        <v/>
      </c>
      <c r="DW178" s="44" t="str">
        <f t="shared" si="3003"/>
        <v/>
      </c>
      <c r="DX178" s="44" t="str">
        <f t="shared" si="3003"/>
        <v/>
      </c>
      <c r="DY178" s="44" t="str">
        <f t="shared" si="3003"/>
        <v/>
      </c>
      <c r="DZ178" s="44" t="str">
        <f t="shared" si="3003"/>
        <v/>
      </c>
      <c r="EA178" s="44" t="str">
        <f t="shared" si="3003"/>
        <v/>
      </c>
      <c r="EB178" s="44" t="str">
        <f t="shared" si="3003"/>
        <v/>
      </c>
      <c r="EC178" s="44" t="str">
        <f t="shared" si="3003"/>
        <v/>
      </c>
      <c r="ED178" s="44" t="str">
        <f t="shared" si="3003"/>
        <v/>
      </c>
      <c r="EE178" s="44" t="str">
        <f t="shared" si="3003"/>
        <v/>
      </c>
      <c r="EF178" s="44" t="str">
        <f t="shared" ref="EF178:EO180" si="3004">IF(AZ178="","","|n"&amp;EF$2&amp;"+"&amp;AZ178&amp;EF$1)</f>
        <v/>
      </c>
      <c r="EG178" s="44" t="str">
        <f t="shared" si="3004"/>
        <v/>
      </c>
      <c r="EH178" s="44" t="str">
        <f t="shared" si="3004"/>
        <v/>
      </c>
      <c r="EI178" s="44" t="str">
        <f t="shared" si="3004"/>
        <v/>
      </c>
      <c r="EJ178" s="44" t="str">
        <f t="shared" si="3004"/>
        <v/>
      </c>
      <c r="EK178" s="44" t="str">
        <f t="shared" si="3004"/>
        <v/>
      </c>
      <c r="EL178" s="44" t="str">
        <f t="shared" si="3004"/>
        <v/>
      </c>
      <c r="EM178" s="44" t="str">
        <f t="shared" si="3004"/>
        <v/>
      </c>
      <c r="EN178" s="44" t="str">
        <f t="shared" si="3004"/>
        <v/>
      </c>
      <c r="EO178" s="44" t="str">
        <f t="shared" si="3004"/>
        <v/>
      </c>
      <c r="EP178" s="44" t="str">
        <f t="shared" ref="EP178:EY180" si="3005">IF(BJ178="","","|n"&amp;EP$2&amp;"+"&amp;BJ178&amp;EP$1)</f>
        <v/>
      </c>
      <c r="EQ178" s="44" t="str">
        <f t="shared" si="3005"/>
        <v/>
      </c>
      <c r="ER178" s="44" t="str">
        <f t="shared" si="3005"/>
        <v/>
      </c>
      <c r="ES178" s="44" t="str">
        <f t="shared" si="3005"/>
        <v/>
      </c>
      <c r="ET178" s="44" t="str">
        <f t="shared" si="3005"/>
        <v/>
      </c>
      <c r="EU178" s="44" t="str">
        <f t="shared" si="3005"/>
        <v/>
      </c>
      <c r="EV178" s="44" t="str">
        <f t="shared" si="3005"/>
        <v/>
      </c>
      <c r="EW178" s="44" t="str">
        <f t="shared" si="3005"/>
        <v/>
      </c>
      <c r="EX178" s="44" t="str">
        <f t="shared" si="3005"/>
        <v/>
      </c>
      <c r="EY178" s="44" t="str">
        <f t="shared" si="3005"/>
        <v/>
      </c>
      <c r="EZ178" s="44" t="str">
        <f t="shared" ref="EZ178:FI180" si="3006">IF(BT178="","","|n"&amp;EZ$2&amp;"+"&amp;BT178&amp;EZ$1)</f>
        <v/>
      </c>
      <c r="FA178" s="44" t="str">
        <f t="shared" si="3006"/>
        <v/>
      </c>
      <c r="FB178" s="44" t="str">
        <f t="shared" si="3006"/>
        <v/>
      </c>
      <c r="FC178" s="44" t="str">
        <f t="shared" si="3006"/>
        <v/>
      </c>
      <c r="FD178" s="44" t="str">
        <f t="shared" si="3006"/>
        <v/>
      </c>
      <c r="FE178" s="44" t="str">
        <f t="shared" si="3006"/>
        <v/>
      </c>
      <c r="FF178" s="44" t="str">
        <f t="shared" si="3006"/>
        <v/>
      </c>
      <c r="FG178" s="44" t="str">
        <f t="shared" si="3006"/>
        <v/>
      </c>
      <c r="FH178" s="44" t="str">
        <f t="shared" si="3006"/>
        <v/>
      </c>
      <c r="FI178" s="44" t="str">
        <f t="shared" si="3006"/>
        <v/>
      </c>
      <c r="FJ178" s="44" t="str">
        <f t="shared" ref="FJ178:FS180" si="3007">IF(CD178="","","|n"&amp;FJ$2&amp;"+"&amp;CD178&amp;FJ$1)</f>
        <v/>
      </c>
      <c r="FK178" s="44" t="str">
        <f t="shared" si="3007"/>
        <v/>
      </c>
      <c r="FL178" s="44" t="str">
        <f t="shared" si="3007"/>
        <v/>
      </c>
      <c r="FM178" s="44" t="str">
        <f t="shared" si="3007"/>
        <v/>
      </c>
      <c r="FN178" s="44" t="str">
        <f t="shared" si="3007"/>
        <v/>
      </c>
      <c r="FO178" s="44" t="str">
        <f t="shared" si="3007"/>
        <v/>
      </c>
      <c r="FP178" s="44" t="str">
        <f t="shared" si="3007"/>
        <v/>
      </c>
      <c r="FQ178" s="44" t="str">
        <f t="shared" si="3007"/>
        <v/>
      </c>
      <c r="FR178" s="44" t="str">
        <f t="shared" si="3007"/>
        <v/>
      </c>
      <c r="FS178" s="44" t="str">
        <f t="shared" si="3007"/>
        <v/>
      </c>
    </row>
    <row r="179" spans="1:175" ht="16.5">
      <c r="A179" s="74"/>
      <c r="B179" s="5" t="s">
        <v>646</v>
      </c>
      <c r="C179" s="74" t="s">
        <v>647</v>
      </c>
      <c r="T179" s="74" t="s">
        <v>648</v>
      </c>
      <c r="U179" s="56" t="s">
        <v>649</v>
      </c>
      <c r="CN179" s="13" t="str">
        <f t="shared" si="2684"/>
        <v>InitUnitState('IS21',,,,,,,,,,)</v>
      </c>
      <c r="CO179" s="13" t="str">
        <f t="shared" si="2685"/>
        <v>InitUnitNormal('IS21',,,,,,,,,,)</v>
      </c>
      <c r="CP179" s="13" t="str">
        <f t="shared" si="2686"/>
        <v>InitUnitMagic('IS21',,,,,,,,,,)</v>
      </c>
      <c r="CQ179" s="13" t="str">
        <f t="shared" si="2687"/>
        <v>InitUnitAdd('IS21',,,,,,,,,,)</v>
      </c>
      <c r="CR179" s="13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InitEquipData('IS21',,"",,,,,'','','','','','',"ReplaceableTextures\\CommandButtons\\BTNIN02.blp")</v>
      </c>
      <c r="CU179" s="68" t="str">
        <f t="shared" si="2833"/>
        <v>|n</v>
      </c>
      <c r="CV179" s="6" t="str">
        <f t="shared" si="2834"/>
        <v>为|Cffffd24dQ技能|r附魔一条|Cffffd24d随机属性|r。</v>
      </c>
      <c r="CW179" s="7"/>
      <c r="CX179" s="7"/>
      <c r="CY179" s="7"/>
      <c r="CZ179" s="7"/>
      <c r="DA179" s="7"/>
      <c r="DB179" s="44" t="str">
        <f t="shared" si="3001"/>
        <v/>
      </c>
      <c r="DC179" s="44" t="str">
        <f t="shared" si="3001"/>
        <v/>
      </c>
      <c r="DD179" s="44" t="str">
        <f t="shared" si="3001"/>
        <v/>
      </c>
      <c r="DE179" s="44" t="str">
        <f t="shared" si="3001"/>
        <v/>
      </c>
      <c r="DF179" s="44" t="str">
        <f t="shared" si="3001"/>
        <v/>
      </c>
      <c r="DG179" s="44" t="str">
        <f t="shared" si="3001"/>
        <v/>
      </c>
      <c r="DH179" s="44" t="str">
        <f t="shared" si="3001"/>
        <v/>
      </c>
      <c r="DI179" s="44" t="str">
        <f t="shared" si="3001"/>
        <v/>
      </c>
      <c r="DJ179" s="44" t="str">
        <f t="shared" si="3001"/>
        <v/>
      </c>
      <c r="DK179" s="44" t="str">
        <f t="shared" si="3001"/>
        <v/>
      </c>
      <c r="DL179" s="44" t="str">
        <f t="shared" si="3002"/>
        <v/>
      </c>
      <c r="DM179" s="44" t="str">
        <f t="shared" si="3002"/>
        <v/>
      </c>
      <c r="DN179" s="44" t="str">
        <f t="shared" si="3002"/>
        <v/>
      </c>
      <c r="DO179" s="44" t="str">
        <f t="shared" si="3002"/>
        <v/>
      </c>
      <c r="DP179" s="44" t="str">
        <f t="shared" si="3002"/>
        <v/>
      </c>
      <c r="DQ179" s="44" t="str">
        <f t="shared" si="3002"/>
        <v/>
      </c>
      <c r="DR179" s="44" t="str">
        <f t="shared" si="3002"/>
        <v/>
      </c>
      <c r="DS179" s="44" t="str">
        <f t="shared" si="3002"/>
        <v/>
      </c>
      <c r="DT179" s="44" t="str">
        <f t="shared" si="3002"/>
        <v/>
      </c>
      <c r="DU179" s="44" t="str">
        <f t="shared" si="3002"/>
        <v/>
      </c>
      <c r="DV179" s="44" t="str">
        <f t="shared" si="3003"/>
        <v/>
      </c>
      <c r="DW179" s="44" t="str">
        <f t="shared" si="3003"/>
        <v/>
      </c>
      <c r="DX179" s="44" t="str">
        <f t="shared" si="3003"/>
        <v/>
      </c>
      <c r="DY179" s="44" t="str">
        <f t="shared" si="3003"/>
        <v/>
      </c>
      <c r="DZ179" s="44" t="str">
        <f t="shared" si="3003"/>
        <v/>
      </c>
      <c r="EA179" s="44" t="str">
        <f t="shared" si="3003"/>
        <v/>
      </c>
      <c r="EB179" s="44" t="str">
        <f t="shared" si="3003"/>
        <v/>
      </c>
      <c r="EC179" s="44" t="str">
        <f t="shared" si="3003"/>
        <v/>
      </c>
      <c r="ED179" s="44" t="str">
        <f t="shared" si="3003"/>
        <v/>
      </c>
      <c r="EE179" s="44" t="str">
        <f t="shared" si="3003"/>
        <v/>
      </c>
      <c r="EF179" s="44" t="str">
        <f t="shared" si="3004"/>
        <v/>
      </c>
      <c r="EG179" s="44" t="str">
        <f t="shared" si="3004"/>
        <v/>
      </c>
      <c r="EH179" s="44" t="str">
        <f t="shared" si="3004"/>
        <v/>
      </c>
      <c r="EI179" s="44" t="str">
        <f t="shared" si="3004"/>
        <v/>
      </c>
      <c r="EJ179" s="44" t="str">
        <f t="shared" si="3004"/>
        <v/>
      </c>
      <c r="EK179" s="44" t="str">
        <f t="shared" si="3004"/>
        <v/>
      </c>
      <c r="EL179" s="44" t="str">
        <f t="shared" si="3004"/>
        <v/>
      </c>
      <c r="EM179" s="44" t="str">
        <f t="shared" si="3004"/>
        <v/>
      </c>
      <c r="EN179" s="44" t="str">
        <f t="shared" si="3004"/>
        <v/>
      </c>
      <c r="EO179" s="44" t="str">
        <f t="shared" si="3004"/>
        <v/>
      </c>
      <c r="EP179" s="44" t="str">
        <f t="shared" si="3005"/>
        <v/>
      </c>
      <c r="EQ179" s="44" t="str">
        <f t="shared" si="3005"/>
        <v/>
      </c>
      <c r="ER179" s="44" t="str">
        <f t="shared" si="3005"/>
        <v/>
      </c>
      <c r="ES179" s="44" t="str">
        <f t="shared" si="3005"/>
        <v/>
      </c>
      <c r="ET179" s="44" t="str">
        <f t="shared" si="3005"/>
        <v/>
      </c>
      <c r="EU179" s="44" t="str">
        <f t="shared" si="3005"/>
        <v/>
      </c>
      <c r="EV179" s="44" t="str">
        <f t="shared" si="3005"/>
        <v/>
      </c>
      <c r="EW179" s="44" t="str">
        <f t="shared" si="3005"/>
        <v/>
      </c>
      <c r="EX179" s="44" t="str">
        <f t="shared" si="3005"/>
        <v/>
      </c>
      <c r="EY179" s="44" t="str">
        <f t="shared" si="3005"/>
        <v/>
      </c>
      <c r="EZ179" s="44" t="str">
        <f t="shared" si="3006"/>
        <v/>
      </c>
      <c r="FA179" s="44" t="str">
        <f t="shared" si="3006"/>
        <v/>
      </c>
      <c r="FB179" s="44" t="str">
        <f t="shared" si="3006"/>
        <v/>
      </c>
      <c r="FC179" s="44" t="str">
        <f t="shared" si="3006"/>
        <v/>
      </c>
      <c r="FD179" s="44" t="str">
        <f t="shared" si="3006"/>
        <v/>
      </c>
      <c r="FE179" s="44" t="str">
        <f t="shared" si="3006"/>
        <v/>
      </c>
      <c r="FF179" s="44" t="str">
        <f t="shared" si="3006"/>
        <v/>
      </c>
      <c r="FG179" s="44" t="str">
        <f t="shared" si="3006"/>
        <v/>
      </c>
      <c r="FH179" s="44" t="str">
        <f t="shared" si="3006"/>
        <v/>
      </c>
      <c r="FI179" s="44" t="str">
        <f t="shared" si="3006"/>
        <v/>
      </c>
      <c r="FJ179" s="44" t="str">
        <f t="shared" si="3007"/>
        <v/>
      </c>
      <c r="FK179" s="44" t="str">
        <f t="shared" si="3007"/>
        <v/>
      </c>
      <c r="FL179" s="44" t="str">
        <f t="shared" si="3007"/>
        <v/>
      </c>
      <c r="FM179" s="44" t="str">
        <f t="shared" si="3007"/>
        <v/>
      </c>
      <c r="FN179" s="44" t="str">
        <f t="shared" si="3007"/>
        <v/>
      </c>
      <c r="FO179" s="44" t="str">
        <f t="shared" si="3007"/>
        <v/>
      </c>
      <c r="FP179" s="44" t="str">
        <f t="shared" si="3007"/>
        <v/>
      </c>
      <c r="FQ179" s="44" t="str">
        <f t="shared" si="3007"/>
        <v/>
      </c>
      <c r="FR179" s="44" t="str">
        <f t="shared" si="3007"/>
        <v/>
      </c>
      <c r="FS179" s="44" t="str">
        <f t="shared" si="3007"/>
        <v/>
      </c>
    </row>
    <row r="180" spans="1:175" ht="16.5">
      <c r="A180" s="74"/>
      <c r="B180" s="5" t="s">
        <v>650</v>
      </c>
      <c r="C180" s="74" t="s">
        <v>651</v>
      </c>
      <c r="T180" s="74" t="s">
        <v>648</v>
      </c>
      <c r="U180" s="56" t="s">
        <v>652</v>
      </c>
      <c r="CN180" s="13" t="str">
        <f t="shared" si="2684"/>
        <v>InitUnitState('IS22',,,,,,,,,,)</v>
      </c>
      <c r="CO180" s="13" t="str">
        <f t="shared" si="2685"/>
        <v>InitUnitNormal('IS22',,,,,,,,,,)</v>
      </c>
      <c r="CP180" s="13" t="str">
        <f t="shared" si="2686"/>
        <v>InitUnitMagic('IS22',,,,,,,,,,)</v>
      </c>
      <c r="CQ180" s="13" t="str">
        <f t="shared" si="2687"/>
        <v>InitUnitAdd('IS22',,,,,,,,,,)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InitEquipData('IS22',,"",,,,,'','','','','','',"ReplaceableTextures\\CommandButtons\\BTNIN03.blp")</v>
      </c>
      <c r="CU180" s="68" t="str">
        <f t="shared" si="2833"/>
        <v>|n</v>
      </c>
      <c r="CV180" s="6" t="str">
        <f t="shared" si="2834"/>
        <v>为|Cffffd24dQ技能|r附魔一条|Cffffd24d随机属性|r。</v>
      </c>
      <c r="CW180" s="7"/>
      <c r="CX180" s="7"/>
      <c r="CY180" s="7"/>
      <c r="CZ180" s="7"/>
      <c r="DA180" s="7"/>
      <c r="DB180" s="44" t="str">
        <f t="shared" si="3001"/>
        <v/>
      </c>
      <c r="DC180" s="44" t="str">
        <f t="shared" si="3001"/>
        <v/>
      </c>
      <c r="DD180" s="44" t="str">
        <f t="shared" si="3001"/>
        <v/>
      </c>
      <c r="DE180" s="44" t="str">
        <f t="shared" si="3001"/>
        <v/>
      </c>
      <c r="DF180" s="44" t="str">
        <f t="shared" si="3001"/>
        <v/>
      </c>
      <c r="DG180" s="44" t="str">
        <f t="shared" si="3001"/>
        <v/>
      </c>
      <c r="DH180" s="44" t="str">
        <f t="shared" si="3001"/>
        <v/>
      </c>
      <c r="DI180" s="44" t="str">
        <f t="shared" si="3001"/>
        <v/>
      </c>
      <c r="DJ180" s="44" t="str">
        <f t="shared" si="3001"/>
        <v/>
      </c>
      <c r="DK180" s="44" t="str">
        <f t="shared" si="3001"/>
        <v/>
      </c>
      <c r="DL180" s="44" t="str">
        <f t="shared" si="3002"/>
        <v/>
      </c>
      <c r="DM180" s="44" t="str">
        <f t="shared" si="3002"/>
        <v/>
      </c>
      <c r="DN180" s="44" t="str">
        <f t="shared" si="3002"/>
        <v/>
      </c>
      <c r="DO180" s="44" t="str">
        <f t="shared" si="3002"/>
        <v/>
      </c>
      <c r="DP180" s="44" t="str">
        <f t="shared" si="3002"/>
        <v/>
      </c>
      <c r="DQ180" s="44" t="str">
        <f t="shared" si="3002"/>
        <v/>
      </c>
      <c r="DR180" s="44" t="str">
        <f t="shared" si="3002"/>
        <v/>
      </c>
      <c r="DS180" s="44" t="str">
        <f t="shared" si="3002"/>
        <v/>
      </c>
      <c r="DT180" s="44" t="str">
        <f t="shared" si="3002"/>
        <v/>
      </c>
      <c r="DU180" s="44" t="str">
        <f t="shared" si="3002"/>
        <v/>
      </c>
      <c r="DV180" s="44" t="str">
        <f t="shared" si="3003"/>
        <v/>
      </c>
      <c r="DW180" s="44" t="str">
        <f t="shared" si="3003"/>
        <v/>
      </c>
      <c r="DX180" s="44" t="str">
        <f t="shared" si="3003"/>
        <v/>
      </c>
      <c r="DY180" s="44" t="str">
        <f t="shared" si="3003"/>
        <v/>
      </c>
      <c r="DZ180" s="44" t="str">
        <f t="shared" si="3003"/>
        <v/>
      </c>
      <c r="EA180" s="44" t="str">
        <f t="shared" si="3003"/>
        <v/>
      </c>
      <c r="EB180" s="44" t="str">
        <f t="shared" si="3003"/>
        <v/>
      </c>
      <c r="EC180" s="44" t="str">
        <f t="shared" si="3003"/>
        <v/>
      </c>
      <c r="ED180" s="44" t="str">
        <f t="shared" si="3003"/>
        <v/>
      </c>
      <c r="EE180" s="44" t="str">
        <f t="shared" si="3003"/>
        <v/>
      </c>
      <c r="EF180" s="44" t="str">
        <f t="shared" si="3004"/>
        <v/>
      </c>
      <c r="EG180" s="44" t="str">
        <f t="shared" si="3004"/>
        <v/>
      </c>
      <c r="EH180" s="44" t="str">
        <f t="shared" si="3004"/>
        <v/>
      </c>
      <c r="EI180" s="44" t="str">
        <f t="shared" si="3004"/>
        <v/>
      </c>
      <c r="EJ180" s="44" t="str">
        <f t="shared" si="3004"/>
        <v/>
      </c>
      <c r="EK180" s="44" t="str">
        <f t="shared" si="3004"/>
        <v/>
      </c>
      <c r="EL180" s="44" t="str">
        <f t="shared" si="3004"/>
        <v/>
      </c>
      <c r="EM180" s="44" t="str">
        <f t="shared" si="3004"/>
        <v/>
      </c>
      <c r="EN180" s="44" t="str">
        <f t="shared" si="3004"/>
        <v/>
      </c>
      <c r="EO180" s="44" t="str">
        <f t="shared" si="3004"/>
        <v/>
      </c>
      <c r="EP180" s="44" t="str">
        <f t="shared" si="3005"/>
        <v/>
      </c>
      <c r="EQ180" s="44" t="str">
        <f t="shared" si="3005"/>
        <v/>
      </c>
      <c r="ER180" s="44" t="str">
        <f t="shared" si="3005"/>
        <v/>
      </c>
      <c r="ES180" s="44" t="str">
        <f t="shared" si="3005"/>
        <v/>
      </c>
      <c r="ET180" s="44" t="str">
        <f t="shared" si="3005"/>
        <v/>
      </c>
      <c r="EU180" s="44" t="str">
        <f t="shared" si="3005"/>
        <v/>
      </c>
      <c r="EV180" s="44" t="str">
        <f t="shared" si="3005"/>
        <v/>
      </c>
      <c r="EW180" s="44" t="str">
        <f t="shared" si="3005"/>
        <v/>
      </c>
      <c r="EX180" s="44" t="str">
        <f t="shared" si="3005"/>
        <v/>
      </c>
      <c r="EY180" s="44" t="str">
        <f t="shared" si="3005"/>
        <v/>
      </c>
      <c r="EZ180" s="44" t="str">
        <f t="shared" si="3006"/>
        <v/>
      </c>
      <c r="FA180" s="44" t="str">
        <f t="shared" si="3006"/>
        <v/>
      </c>
      <c r="FB180" s="44" t="str">
        <f t="shared" si="3006"/>
        <v/>
      </c>
      <c r="FC180" s="44" t="str">
        <f t="shared" si="3006"/>
        <v/>
      </c>
      <c r="FD180" s="44" t="str">
        <f t="shared" si="3006"/>
        <v/>
      </c>
      <c r="FE180" s="44" t="str">
        <f t="shared" si="3006"/>
        <v/>
      </c>
      <c r="FF180" s="44" t="str">
        <f t="shared" si="3006"/>
        <v/>
      </c>
      <c r="FG180" s="44" t="str">
        <f t="shared" si="3006"/>
        <v/>
      </c>
      <c r="FH180" s="44" t="str">
        <f t="shared" si="3006"/>
        <v/>
      </c>
      <c r="FI180" s="44" t="str">
        <f t="shared" si="3006"/>
        <v/>
      </c>
      <c r="FJ180" s="44" t="str">
        <f t="shared" si="3007"/>
        <v/>
      </c>
      <c r="FK180" s="44" t="str">
        <f t="shared" si="3007"/>
        <v/>
      </c>
      <c r="FL180" s="44" t="str">
        <f t="shared" si="3007"/>
        <v/>
      </c>
      <c r="FM180" s="44" t="str">
        <f t="shared" si="3007"/>
        <v/>
      </c>
      <c r="FN180" s="44" t="str">
        <f t="shared" si="3007"/>
        <v/>
      </c>
      <c r="FO180" s="44" t="str">
        <f t="shared" si="3007"/>
        <v/>
      </c>
      <c r="FP180" s="44" t="str">
        <f t="shared" si="3007"/>
        <v/>
      </c>
      <c r="FQ180" s="44" t="str">
        <f t="shared" si="3007"/>
        <v/>
      </c>
      <c r="FR180" s="44" t="str">
        <f t="shared" si="3007"/>
        <v/>
      </c>
      <c r="FS180" s="44" t="str">
        <f t="shared" si="3007"/>
        <v/>
      </c>
    </row>
    <row r="181" spans="1:175" ht="16.5">
      <c r="A181" s="74"/>
      <c r="B181" s="5" t="s">
        <v>653</v>
      </c>
      <c r="C181" s="74" t="s">
        <v>654</v>
      </c>
      <c r="T181" s="74" t="s">
        <v>648</v>
      </c>
      <c r="U181" s="56" t="s">
        <v>446</v>
      </c>
      <c r="CN181" s="13" t="str">
        <f t="shared" si="2684"/>
        <v>InitUnitState('IS23',,,,,,,,,,)</v>
      </c>
      <c r="CO181" s="13" t="str">
        <f t="shared" si="2685"/>
        <v>InitUnitNormal('IS23',,,,,,,,,,)</v>
      </c>
      <c r="CP181" s="13" t="str">
        <f t="shared" si="2686"/>
        <v>InitUnitMagic('IS23',,,,,,,,,,)</v>
      </c>
      <c r="CQ181" s="13" t="str">
        <f t="shared" si="2687"/>
        <v>InitUnitAdd('IS23',,,,,,,,,,)</v>
      </c>
      <c r="CR181" s="13" t="e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#REF!&amp;CR$1&amp;")"</f>
        <v>#REF!</v>
      </c>
      <c r="CU181" s="68" t="str">
        <f t="shared" ref="CU181:CU184" si="3008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6" t="str">
        <f t="shared" ref="CV181:CV184" si="3009">T181</f>
        <v>为|Cffffd24dQ技能|r附魔一条|Cffffd24d随机属性|r。</v>
      </c>
      <c r="CW181" s="7"/>
      <c r="CX181" s="7"/>
      <c r="CY181" s="7"/>
      <c r="CZ181" s="7"/>
      <c r="DA181" s="7"/>
      <c r="DB181" s="44" t="str">
        <f t="shared" ref="DB181" si="3010">IF(V181="","","|n"&amp;DB$2&amp;"+"&amp;V181&amp;DB$1)</f>
        <v/>
      </c>
      <c r="DC181" s="44" t="str">
        <f t="shared" ref="DC181" si="3011">IF(W181="","","|n"&amp;DC$2&amp;"+"&amp;W181&amp;DC$1)</f>
        <v/>
      </c>
      <c r="DD181" s="44" t="str">
        <f t="shared" ref="DD181" si="3012">IF(X181="","","|n"&amp;DD$2&amp;"+"&amp;X181&amp;DD$1)</f>
        <v/>
      </c>
      <c r="DE181" s="44" t="str">
        <f t="shared" ref="DE181" si="3013">IF(Y181="","","|n"&amp;DE$2&amp;"+"&amp;Y181&amp;DE$1)</f>
        <v/>
      </c>
      <c r="DF181" s="44" t="str">
        <f t="shared" ref="DF181" si="3014">IF(Z181="","","|n"&amp;DF$2&amp;"+"&amp;Z181&amp;DF$1)</f>
        <v/>
      </c>
      <c r="DG181" s="44" t="str">
        <f t="shared" ref="DG181" si="3015">IF(AA181="","","|n"&amp;DG$2&amp;"+"&amp;AA181&amp;DG$1)</f>
        <v/>
      </c>
      <c r="DH181" s="44" t="str">
        <f t="shared" ref="DH181" si="3016">IF(AB181="","","|n"&amp;DH$2&amp;"+"&amp;AB181&amp;DH$1)</f>
        <v/>
      </c>
      <c r="DI181" s="44" t="str">
        <f t="shared" ref="DI181" si="3017">IF(AC181="","","|n"&amp;DI$2&amp;"+"&amp;AC181&amp;DI$1)</f>
        <v/>
      </c>
      <c r="DJ181" s="44" t="str">
        <f t="shared" ref="DJ181" si="3018">IF(AD181="","","|n"&amp;DJ$2&amp;"+"&amp;AD181&amp;DJ$1)</f>
        <v/>
      </c>
      <c r="DK181" s="44" t="str">
        <f t="shared" ref="DK181" si="3019">IF(AE181="","","|n"&amp;DK$2&amp;"+"&amp;AE181&amp;DK$1)</f>
        <v/>
      </c>
      <c r="DL181" s="44" t="str">
        <f t="shared" ref="DL181" si="3020">IF(AF181="","","|n"&amp;DL$2&amp;"+"&amp;AF181&amp;DL$1)</f>
        <v/>
      </c>
      <c r="DM181" s="44" t="str">
        <f t="shared" ref="DM181" si="3021">IF(AG181="","","|n"&amp;DM$2&amp;"+"&amp;AG181&amp;DM$1)</f>
        <v/>
      </c>
      <c r="DN181" s="44" t="str">
        <f t="shared" ref="DN181" si="3022">IF(AH181="","","|n"&amp;DN$2&amp;"+"&amp;AH181&amp;DN$1)</f>
        <v/>
      </c>
      <c r="DO181" s="44" t="str">
        <f t="shared" ref="DO181" si="3023">IF(AI181="","","|n"&amp;DO$2&amp;"+"&amp;AI181&amp;DO$1)</f>
        <v/>
      </c>
      <c r="DP181" s="44" t="str">
        <f t="shared" ref="DP181" si="3024">IF(AJ181="","","|n"&amp;DP$2&amp;"+"&amp;AJ181&amp;DP$1)</f>
        <v/>
      </c>
      <c r="DQ181" s="44" t="str">
        <f t="shared" ref="DQ181" si="3025">IF(AK181="","","|n"&amp;DQ$2&amp;"+"&amp;AK181&amp;DQ$1)</f>
        <v/>
      </c>
      <c r="DR181" s="44" t="str">
        <f t="shared" ref="DR181" si="3026">IF(AL181="","","|n"&amp;DR$2&amp;"+"&amp;AL181&amp;DR$1)</f>
        <v/>
      </c>
      <c r="DS181" s="44" t="str">
        <f t="shared" ref="DS181" si="3027">IF(AM181="","","|n"&amp;DS$2&amp;"+"&amp;AM181&amp;DS$1)</f>
        <v/>
      </c>
      <c r="DT181" s="44" t="str">
        <f t="shared" ref="DT181" si="3028">IF(AN181="","","|n"&amp;DT$2&amp;"+"&amp;AN181&amp;DT$1)</f>
        <v/>
      </c>
      <c r="DU181" s="44" t="str">
        <f t="shared" ref="DU181" si="3029">IF(AO181="","","|n"&amp;DU$2&amp;"+"&amp;AO181&amp;DU$1)</f>
        <v/>
      </c>
      <c r="DV181" s="44" t="str">
        <f t="shared" ref="DV181" si="3030">IF(AP181="","","|n"&amp;DV$2&amp;"+"&amp;AP181&amp;DV$1)</f>
        <v/>
      </c>
      <c r="DW181" s="44" t="str">
        <f t="shared" ref="DW181" si="3031">IF(AQ181="","","|n"&amp;DW$2&amp;"+"&amp;AQ181&amp;DW$1)</f>
        <v/>
      </c>
      <c r="DX181" s="44" t="str">
        <f t="shared" ref="DX181" si="3032">IF(AR181="","","|n"&amp;DX$2&amp;"+"&amp;AR181&amp;DX$1)</f>
        <v/>
      </c>
      <c r="DY181" s="44" t="str">
        <f t="shared" ref="DY181" si="3033">IF(AS181="","","|n"&amp;DY$2&amp;"+"&amp;AS181&amp;DY$1)</f>
        <v/>
      </c>
      <c r="DZ181" s="44" t="str">
        <f t="shared" ref="DZ181" si="3034">IF(AT181="","","|n"&amp;DZ$2&amp;"+"&amp;AT181&amp;DZ$1)</f>
        <v/>
      </c>
      <c r="EA181" s="44" t="str">
        <f t="shared" ref="EA181" si="3035">IF(AU181="","","|n"&amp;EA$2&amp;"+"&amp;AU181&amp;EA$1)</f>
        <v/>
      </c>
      <c r="EB181" s="44" t="str">
        <f t="shared" ref="EB181" si="3036">IF(AV181="","","|n"&amp;EB$2&amp;"+"&amp;AV181&amp;EB$1)</f>
        <v/>
      </c>
      <c r="EC181" s="44" t="str">
        <f t="shared" ref="EC181" si="3037">IF(AW181="","","|n"&amp;EC$2&amp;"+"&amp;AW181&amp;EC$1)</f>
        <v/>
      </c>
      <c r="ED181" s="44" t="str">
        <f t="shared" ref="ED181" si="3038">IF(AX181="","","|n"&amp;ED$2&amp;"+"&amp;AX181&amp;ED$1)</f>
        <v/>
      </c>
      <c r="EE181" s="44" t="str">
        <f t="shared" ref="EE181" si="3039">IF(AY181="","","|n"&amp;EE$2&amp;"+"&amp;AY181&amp;EE$1)</f>
        <v/>
      </c>
      <c r="EF181" s="44" t="str">
        <f t="shared" ref="EF181" si="3040">IF(AZ181="","","|n"&amp;EF$2&amp;"+"&amp;AZ181&amp;EF$1)</f>
        <v/>
      </c>
      <c r="EG181" s="44" t="str">
        <f t="shared" ref="EG181" si="3041">IF(BA181="","","|n"&amp;EG$2&amp;"+"&amp;BA181&amp;EG$1)</f>
        <v/>
      </c>
      <c r="EH181" s="44" t="str">
        <f t="shared" ref="EH181" si="3042">IF(BB181="","","|n"&amp;EH$2&amp;"+"&amp;BB181&amp;EH$1)</f>
        <v/>
      </c>
      <c r="EI181" s="44" t="str">
        <f t="shared" ref="EI181" si="3043">IF(BC181="","","|n"&amp;EI$2&amp;"+"&amp;BC181&amp;EI$1)</f>
        <v/>
      </c>
      <c r="EJ181" s="44" t="str">
        <f t="shared" ref="EJ181" si="3044">IF(BD181="","","|n"&amp;EJ$2&amp;"+"&amp;BD181&amp;EJ$1)</f>
        <v/>
      </c>
      <c r="EK181" s="44" t="str">
        <f t="shared" ref="EK181" si="3045">IF(BE181="","","|n"&amp;EK$2&amp;"+"&amp;BE181&amp;EK$1)</f>
        <v/>
      </c>
      <c r="EL181" s="44" t="str">
        <f t="shared" ref="EL181" si="3046">IF(BF181="","","|n"&amp;EL$2&amp;"+"&amp;BF181&amp;EL$1)</f>
        <v/>
      </c>
      <c r="EM181" s="44" t="str">
        <f t="shared" ref="EM181" si="3047">IF(BG181="","","|n"&amp;EM$2&amp;"+"&amp;BG181&amp;EM$1)</f>
        <v/>
      </c>
      <c r="EN181" s="44" t="str">
        <f t="shared" ref="EN181" si="3048">IF(BH181="","","|n"&amp;EN$2&amp;"+"&amp;BH181&amp;EN$1)</f>
        <v/>
      </c>
      <c r="EO181" s="44" t="str">
        <f t="shared" ref="EO181" si="3049">IF(BI181="","","|n"&amp;EO$2&amp;"+"&amp;BI181&amp;EO$1)</f>
        <v/>
      </c>
      <c r="EP181" s="44" t="str">
        <f t="shared" ref="EP181" si="3050">IF(BJ181="","","|n"&amp;EP$2&amp;"+"&amp;BJ181&amp;EP$1)</f>
        <v/>
      </c>
      <c r="EQ181" s="44" t="str">
        <f t="shared" ref="EQ181" si="3051">IF(BK181="","","|n"&amp;EQ$2&amp;"+"&amp;BK181&amp;EQ$1)</f>
        <v/>
      </c>
      <c r="ER181" s="44" t="str">
        <f t="shared" ref="ER181" si="3052">IF(BL181="","","|n"&amp;ER$2&amp;"+"&amp;BL181&amp;ER$1)</f>
        <v/>
      </c>
      <c r="ES181" s="44" t="str">
        <f t="shared" ref="ES181" si="3053">IF(BM181="","","|n"&amp;ES$2&amp;"+"&amp;BM181&amp;ES$1)</f>
        <v/>
      </c>
      <c r="ET181" s="44" t="str">
        <f t="shared" ref="ET181" si="3054">IF(BN181="","","|n"&amp;ET$2&amp;"+"&amp;BN181&amp;ET$1)</f>
        <v/>
      </c>
      <c r="EU181" s="44" t="str">
        <f t="shared" ref="EU181" si="3055">IF(BO181="","","|n"&amp;EU$2&amp;"+"&amp;BO181&amp;EU$1)</f>
        <v/>
      </c>
      <c r="EV181" s="44" t="str">
        <f t="shared" ref="EV181" si="3056">IF(BP181="","","|n"&amp;EV$2&amp;"+"&amp;BP181&amp;EV$1)</f>
        <v/>
      </c>
      <c r="EW181" s="44" t="str">
        <f t="shared" ref="EW181" si="3057">IF(BQ181="","","|n"&amp;EW$2&amp;"+"&amp;BQ181&amp;EW$1)</f>
        <v/>
      </c>
      <c r="EX181" s="44" t="str">
        <f t="shared" ref="EX181" si="3058">IF(BR181="","","|n"&amp;EX$2&amp;"+"&amp;BR181&amp;EX$1)</f>
        <v/>
      </c>
      <c r="EY181" s="44" t="str">
        <f t="shared" ref="EY181" si="3059">IF(BS181="","","|n"&amp;EY$2&amp;"+"&amp;BS181&amp;EY$1)</f>
        <v/>
      </c>
      <c r="EZ181" s="44" t="str">
        <f t="shared" ref="EZ181" si="3060">IF(BT181="","","|n"&amp;EZ$2&amp;"+"&amp;BT181&amp;EZ$1)</f>
        <v/>
      </c>
      <c r="FA181" s="44" t="str">
        <f t="shared" ref="FA181" si="3061">IF(BU181="","","|n"&amp;FA$2&amp;"+"&amp;BU181&amp;FA$1)</f>
        <v/>
      </c>
      <c r="FB181" s="44" t="str">
        <f t="shared" ref="FB181" si="3062">IF(BV181="","","|n"&amp;FB$2&amp;"+"&amp;BV181&amp;FB$1)</f>
        <v/>
      </c>
      <c r="FC181" s="44" t="str">
        <f t="shared" ref="FC181" si="3063">IF(BW181="","","|n"&amp;FC$2&amp;"+"&amp;BW181&amp;FC$1)</f>
        <v/>
      </c>
      <c r="FD181" s="44" t="str">
        <f t="shared" ref="FD181" si="3064">IF(BX181="","","|n"&amp;FD$2&amp;"+"&amp;BX181&amp;FD$1)</f>
        <v/>
      </c>
      <c r="FE181" s="44" t="str">
        <f t="shared" ref="FE181" si="3065">IF(BY181="","","|n"&amp;FE$2&amp;"+"&amp;BY181&amp;FE$1)</f>
        <v/>
      </c>
      <c r="FF181" s="44" t="str">
        <f t="shared" ref="FF181" si="3066">IF(BZ181="","","|n"&amp;FF$2&amp;"+"&amp;BZ181&amp;FF$1)</f>
        <v/>
      </c>
      <c r="FG181" s="44" t="str">
        <f t="shared" ref="FG181" si="3067">IF(CA181="","","|n"&amp;FG$2&amp;"+"&amp;CA181&amp;FG$1)</f>
        <v/>
      </c>
      <c r="FH181" s="44" t="str">
        <f t="shared" ref="FH181" si="3068">IF(CB181="","","|n"&amp;FH$2&amp;"+"&amp;CB181&amp;FH$1)</f>
        <v/>
      </c>
      <c r="FI181" s="44" t="str">
        <f t="shared" ref="FI181" si="3069">IF(CC181="","","|n"&amp;FI$2&amp;"+"&amp;CC181&amp;FI$1)</f>
        <v/>
      </c>
      <c r="FJ181" s="44" t="str">
        <f t="shared" ref="FJ181" si="3070">IF(CD181="","","|n"&amp;FJ$2&amp;"+"&amp;CD181&amp;FJ$1)</f>
        <v/>
      </c>
      <c r="FK181" s="44" t="str">
        <f t="shared" ref="FK181" si="3071">IF(CE181="","","|n"&amp;FK$2&amp;"+"&amp;CE181&amp;FK$1)</f>
        <v/>
      </c>
      <c r="FL181" s="44" t="str">
        <f t="shared" ref="FL181" si="3072">IF(CF181="","","|n"&amp;FL$2&amp;"+"&amp;CF181&amp;FL$1)</f>
        <v/>
      </c>
      <c r="FM181" s="44" t="str">
        <f t="shared" ref="FM181" si="3073">IF(CG181="","","|n"&amp;FM$2&amp;"+"&amp;CG181&amp;FM$1)</f>
        <v/>
      </c>
      <c r="FN181" s="44" t="str">
        <f t="shared" ref="FN181" si="3074">IF(CH181="","","|n"&amp;FN$2&amp;"+"&amp;CH181&amp;FN$1)</f>
        <v/>
      </c>
      <c r="FO181" s="44" t="str">
        <f t="shared" ref="FO181" si="3075">IF(CI181="","","|n"&amp;FO$2&amp;"+"&amp;CI181&amp;FO$1)</f>
        <v/>
      </c>
      <c r="FP181" s="44" t="str">
        <f t="shared" ref="FP181" si="3076">IF(CJ181="","","|n"&amp;FP$2&amp;"+"&amp;CJ181&amp;FP$1)</f>
        <v/>
      </c>
      <c r="FQ181" s="44" t="str">
        <f t="shared" ref="FQ181" si="3077">IF(CK181="","","|n"&amp;FQ$2&amp;"+"&amp;CK181&amp;FQ$1)</f>
        <v/>
      </c>
      <c r="FR181" s="44" t="str">
        <f t="shared" ref="FR181" si="3078">IF(CL181="","","|n"&amp;FR$2&amp;"+"&amp;CL181&amp;FR$1)</f>
        <v/>
      </c>
      <c r="FS181" s="44" t="str">
        <f t="shared" ref="FS181" si="3079">IF(CM181="","","|n"&amp;FS$2&amp;"+"&amp;CM181&amp;FS$1)</f>
        <v/>
      </c>
    </row>
    <row r="182" spans="1:175" s="37" customFormat="1" ht="16.5">
      <c r="A182" s="74"/>
      <c r="B182" s="5" t="s">
        <v>655</v>
      </c>
      <c r="C182" s="64" t="s">
        <v>656</v>
      </c>
      <c r="D182" s="70"/>
      <c r="E182" s="70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78"/>
      <c r="Q182" s="78"/>
      <c r="R182" s="78"/>
      <c r="S182" s="78"/>
      <c r="T182" s="74" t="s">
        <v>648</v>
      </c>
      <c r="U182" s="56" t="s">
        <v>657</v>
      </c>
      <c r="V182" s="96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101"/>
      <c r="AS182" s="101"/>
      <c r="AT182" s="97"/>
      <c r="AU182" s="97"/>
      <c r="AV182" s="97"/>
      <c r="AW182" s="97"/>
      <c r="AX182" s="97"/>
      <c r="AY182" s="97"/>
      <c r="AZ182" s="97"/>
      <c r="BA182" s="97"/>
      <c r="BB182" s="97"/>
      <c r="BC182" s="97"/>
      <c r="BD182" s="97"/>
      <c r="BE182" s="97"/>
      <c r="BF182" s="97"/>
      <c r="BG182" s="97"/>
      <c r="BH182" s="97"/>
      <c r="BI182" s="97"/>
      <c r="BJ182" s="97"/>
      <c r="BK182" s="97"/>
      <c r="BL182" s="97"/>
      <c r="BM182" s="97"/>
      <c r="BN182" s="97"/>
      <c r="BO182" s="97"/>
      <c r="BP182" s="97"/>
      <c r="BQ182" s="97"/>
      <c r="BR182" s="97"/>
      <c r="BS182" s="97"/>
      <c r="BT182" s="97"/>
      <c r="BU182" s="97"/>
      <c r="BV182" s="97"/>
      <c r="BW182" s="97"/>
      <c r="BX182" s="97"/>
      <c r="BY182" s="97"/>
      <c r="BZ182" s="97"/>
      <c r="CA182" s="97"/>
      <c r="CB182" s="97"/>
      <c r="CC182" s="97"/>
      <c r="CD182" s="97"/>
      <c r="CE182" s="97"/>
      <c r="CF182" s="97"/>
      <c r="CG182" s="97"/>
      <c r="CH182" s="97"/>
      <c r="CI182" s="97"/>
      <c r="CJ182" s="97"/>
      <c r="CK182" s="97"/>
      <c r="CL182" s="97"/>
      <c r="CM182" s="97"/>
      <c r="CN182" s="102" t="str">
        <f t="shared" si="2684"/>
        <v>InitUnitState('IS24',,,,,,,,,,)</v>
      </c>
      <c r="CO182" s="102" t="str">
        <f t="shared" si="2685"/>
        <v>InitUnitNormal('IS24',,,,,,,,,,)</v>
      </c>
      <c r="CP182" s="102" t="str">
        <f t="shared" si="2686"/>
        <v>InitUnitMagic('IS24',,,,,,,,,,)</v>
      </c>
      <c r="CQ182" s="102" t="str">
        <f t="shared" si="2687"/>
        <v>InitUnitAdd('IS24',,,,,,,,,,)</v>
      </c>
      <c r="CR182" s="102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InitEquipData('IS24',,"",,,,,'','','','','','',"ReplaceableTextures\\CommandButtons\\BTN010.blp")</v>
      </c>
      <c r="CS182" s="102"/>
      <c r="CT182" s="102"/>
      <c r="CU182" s="68" t="str">
        <f t="shared" si="3008"/>
        <v>|n</v>
      </c>
      <c r="CV182" s="37" t="str">
        <f t="shared" si="3009"/>
        <v>为|Cffffd24dQ技能|r附魔一条|Cffffd24d随机属性|r。</v>
      </c>
      <c r="CW182" s="7"/>
      <c r="CX182" s="7"/>
      <c r="CY182" s="7"/>
      <c r="CZ182" s="7"/>
      <c r="DA182" s="7"/>
      <c r="DB182" s="103" t="str">
        <f t="shared" ref="DB182:FM182" si="3080">IF(V182="","","|n"&amp;DB$2&amp;"+"&amp;V182&amp;DB$1)</f>
        <v/>
      </c>
      <c r="DC182" s="103" t="str">
        <f t="shared" si="3080"/>
        <v/>
      </c>
      <c r="DD182" s="103" t="str">
        <f t="shared" si="3080"/>
        <v/>
      </c>
      <c r="DE182" s="103" t="str">
        <f t="shared" si="3080"/>
        <v/>
      </c>
      <c r="DF182" s="103" t="str">
        <f t="shared" si="3080"/>
        <v/>
      </c>
      <c r="DG182" s="103" t="str">
        <f t="shared" si="3080"/>
        <v/>
      </c>
      <c r="DH182" s="103" t="str">
        <f t="shared" si="3080"/>
        <v/>
      </c>
      <c r="DI182" s="103" t="str">
        <f t="shared" si="3080"/>
        <v/>
      </c>
      <c r="DJ182" s="103" t="str">
        <f t="shared" si="3080"/>
        <v/>
      </c>
      <c r="DK182" s="103" t="str">
        <f t="shared" si="3080"/>
        <v/>
      </c>
      <c r="DL182" s="103" t="str">
        <f t="shared" si="3080"/>
        <v/>
      </c>
      <c r="DM182" s="103" t="str">
        <f t="shared" si="3080"/>
        <v/>
      </c>
      <c r="DN182" s="103" t="str">
        <f t="shared" si="3080"/>
        <v/>
      </c>
      <c r="DO182" s="103" t="str">
        <f t="shared" si="3080"/>
        <v/>
      </c>
      <c r="DP182" s="103" t="str">
        <f t="shared" si="3080"/>
        <v/>
      </c>
      <c r="DQ182" s="103" t="str">
        <f t="shared" si="3080"/>
        <v/>
      </c>
      <c r="DR182" s="103" t="str">
        <f t="shared" si="3080"/>
        <v/>
      </c>
      <c r="DS182" s="103" t="str">
        <f t="shared" si="3080"/>
        <v/>
      </c>
      <c r="DT182" s="103" t="str">
        <f t="shared" si="3080"/>
        <v/>
      </c>
      <c r="DU182" s="103" t="str">
        <f t="shared" si="3080"/>
        <v/>
      </c>
      <c r="DV182" s="103" t="str">
        <f t="shared" si="3080"/>
        <v/>
      </c>
      <c r="DW182" s="103" t="str">
        <f t="shared" si="3080"/>
        <v/>
      </c>
      <c r="DX182" s="103" t="str">
        <f t="shared" si="3080"/>
        <v/>
      </c>
      <c r="DY182" s="103" t="str">
        <f t="shared" si="3080"/>
        <v/>
      </c>
      <c r="DZ182" s="103" t="str">
        <f t="shared" si="3080"/>
        <v/>
      </c>
      <c r="EA182" s="103" t="str">
        <f t="shared" si="3080"/>
        <v/>
      </c>
      <c r="EB182" s="103" t="str">
        <f t="shared" si="3080"/>
        <v/>
      </c>
      <c r="EC182" s="103" t="str">
        <f t="shared" si="3080"/>
        <v/>
      </c>
      <c r="ED182" s="103" t="str">
        <f t="shared" si="3080"/>
        <v/>
      </c>
      <c r="EE182" s="103" t="str">
        <f t="shared" si="3080"/>
        <v/>
      </c>
      <c r="EF182" s="103" t="str">
        <f t="shared" si="3080"/>
        <v/>
      </c>
      <c r="EG182" s="103" t="str">
        <f t="shared" si="3080"/>
        <v/>
      </c>
      <c r="EH182" s="103" t="str">
        <f t="shared" si="3080"/>
        <v/>
      </c>
      <c r="EI182" s="103" t="str">
        <f t="shared" si="3080"/>
        <v/>
      </c>
      <c r="EJ182" s="103" t="str">
        <f t="shared" si="3080"/>
        <v/>
      </c>
      <c r="EK182" s="103" t="str">
        <f t="shared" si="3080"/>
        <v/>
      </c>
      <c r="EL182" s="103" t="str">
        <f t="shared" si="3080"/>
        <v/>
      </c>
      <c r="EM182" s="103" t="str">
        <f t="shared" si="3080"/>
        <v/>
      </c>
      <c r="EN182" s="103" t="str">
        <f t="shared" si="3080"/>
        <v/>
      </c>
      <c r="EO182" s="103" t="str">
        <f t="shared" si="3080"/>
        <v/>
      </c>
      <c r="EP182" s="103" t="str">
        <f t="shared" si="3080"/>
        <v/>
      </c>
      <c r="EQ182" s="103" t="str">
        <f t="shared" si="3080"/>
        <v/>
      </c>
      <c r="ER182" s="103" t="str">
        <f t="shared" si="3080"/>
        <v/>
      </c>
      <c r="ES182" s="103" t="str">
        <f t="shared" si="3080"/>
        <v/>
      </c>
      <c r="ET182" s="103" t="str">
        <f t="shared" si="3080"/>
        <v/>
      </c>
      <c r="EU182" s="103" t="str">
        <f t="shared" si="3080"/>
        <v/>
      </c>
      <c r="EV182" s="103" t="str">
        <f t="shared" si="3080"/>
        <v/>
      </c>
      <c r="EW182" s="103" t="str">
        <f t="shared" si="3080"/>
        <v/>
      </c>
      <c r="EX182" s="103" t="str">
        <f t="shared" si="3080"/>
        <v/>
      </c>
      <c r="EY182" s="103" t="str">
        <f t="shared" si="3080"/>
        <v/>
      </c>
      <c r="EZ182" s="103" t="str">
        <f t="shared" si="3080"/>
        <v/>
      </c>
      <c r="FA182" s="103" t="str">
        <f t="shared" si="3080"/>
        <v/>
      </c>
      <c r="FB182" s="103" t="str">
        <f t="shared" si="3080"/>
        <v/>
      </c>
      <c r="FC182" s="103" t="str">
        <f t="shared" si="3080"/>
        <v/>
      </c>
      <c r="FD182" s="103" t="str">
        <f t="shared" si="3080"/>
        <v/>
      </c>
      <c r="FE182" s="103" t="str">
        <f t="shared" si="3080"/>
        <v/>
      </c>
      <c r="FF182" s="103" t="str">
        <f t="shared" si="3080"/>
        <v/>
      </c>
      <c r="FG182" s="103" t="str">
        <f t="shared" si="3080"/>
        <v/>
      </c>
      <c r="FH182" s="103" t="str">
        <f t="shared" si="3080"/>
        <v/>
      </c>
      <c r="FI182" s="103" t="str">
        <f t="shared" si="3080"/>
        <v/>
      </c>
      <c r="FJ182" s="103" t="str">
        <f t="shared" si="3080"/>
        <v/>
      </c>
      <c r="FK182" s="103" t="str">
        <f t="shared" si="3080"/>
        <v/>
      </c>
      <c r="FL182" s="103" t="str">
        <f t="shared" si="3080"/>
        <v/>
      </c>
      <c r="FM182" s="103" t="str">
        <f t="shared" si="3080"/>
        <v/>
      </c>
      <c r="FN182" s="103" t="str">
        <f t="shared" ref="FN182:FS182" si="3081">IF(CH182="","","|n"&amp;FN$2&amp;"+"&amp;CH182&amp;FN$1)</f>
        <v/>
      </c>
      <c r="FO182" s="103" t="str">
        <f t="shared" si="3081"/>
        <v/>
      </c>
      <c r="FP182" s="103" t="str">
        <f t="shared" si="3081"/>
        <v/>
      </c>
      <c r="FQ182" s="103" t="str">
        <f t="shared" si="3081"/>
        <v/>
      </c>
      <c r="FR182" s="103" t="str">
        <f t="shared" si="3081"/>
        <v/>
      </c>
      <c r="FS182" s="103" t="str">
        <f t="shared" si="3081"/>
        <v/>
      </c>
    </row>
    <row r="183" spans="1:175" s="37" customFormat="1" ht="16.5">
      <c r="A183" s="74"/>
      <c r="B183" s="5" t="s">
        <v>658</v>
      </c>
      <c r="C183" s="92" t="s">
        <v>659</v>
      </c>
      <c r="D183" s="70"/>
      <c r="E183" s="70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78"/>
      <c r="Q183" s="78"/>
      <c r="R183" s="78"/>
      <c r="S183" s="78"/>
      <c r="T183" s="74" t="s">
        <v>660</v>
      </c>
      <c r="U183" s="56" t="s">
        <v>661</v>
      </c>
      <c r="V183" s="96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101"/>
      <c r="AS183" s="101"/>
      <c r="AT183" s="97"/>
      <c r="AU183" s="97"/>
      <c r="AV183" s="97"/>
      <c r="AW183" s="97"/>
      <c r="AX183" s="97"/>
      <c r="AY183" s="97"/>
      <c r="AZ183" s="97"/>
      <c r="BA183" s="97"/>
      <c r="BB183" s="97"/>
      <c r="BC183" s="97"/>
      <c r="BD183" s="97"/>
      <c r="BE183" s="97"/>
      <c r="BF183" s="97"/>
      <c r="BG183" s="97"/>
      <c r="BH183" s="97"/>
      <c r="BI183" s="97"/>
      <c r="BJ183" s="97"/>
      <c r="BK183" s="97"/>
      <c r="BL183" s="97"/>
      <c r="BM183" s="97"/>
      <c r="BN183" s="97"/>
      <c r="BO183" s="97"/>
      <c r="BP183" s="97"/>
      <c r="BQ183" s="97"/>
      <c r="BR183" s="97"/>
      <c r="BS183" s="97"/>
      <c r="BT183" s="97"/>
      <c r="BU183" s="97"/>
      <c r="BV183" s="97"/>
      <c r="BW183" s="97"/>
      <c r="BX183" s="97"/>
      <c r="BY183" s="97"/>
      <c r="BZ183" s="97"/>
      <c r="CA183" s="97"/>
      <c r="CB183" s="97"/>
      <c r="CC183" s="97"/>
      <c r="CD183" s="97"/>
      <c r="CE183" s="97"/>
      <c r="CF183" s="97"/>
      <c r="CG183" s="97"/>
      <c r="CH183" s="97"/>
      <c r="CI183" s="97"/>
      <c r="CJ183" s="97"/>
      <c r="CK183" s="97"/>
      <c r="CL183" s="97"/>
      <c r="CM183" s="97"/>
      <c r="CN183" s="102" t="str">
        <f t="shared" si="2684"/>
        <v>InitUnitState('IS25',,,,,,,,,,)</v>
      </c>
      <c r="CO183" s="102" t="str">
        <f t="shared" si="2685"/>
        <v>InitUnitNormal('IS25',,,,,,,,,,)</v>
      </c>
      <c r="CP183" s="102" t="str">
        <f t="shared" si="2686"/>
        <v>InitUnitMagic('IS25',,,,,,,,,,)</v>
      </c>
      <c r="CQ183" s="102" t="str">
        <f t="shared" si="2687"/>
        <v>InitUnitAdd('IS25',,,,,,,,,,)</v>
      </c>
      <c r="CR183" s="102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InitEquipData('IS25',,"",,,,,'','','','','','',"ReplaceableTextures\\CommandButtons\\BTN011.blp")</v>
      </c>
      <c r="CS183" s="102"/>
      <c r="CT183" s="102"/>
      <c r="CU183" s="68" t="str">
        <f t="shared" si="3008"/>
        <v>|n</v>
      </c>
      <c r="CV183" s="37" t="str">
        <f t="shared" si="3009"/>
        <v>为|Cffffd24dW技能|r附魔一条|Cffffd24d随机属性|r。</v>
      </c>
      <c r="CW183" s="7"/>
      <c r="CX183" s="7"/>
      <c r="CY183" s="7"/>
      <c r="CZ183" s="7"/>
      <c r="DA183" s="7"/>
      <c r="DB183" s="103" t="str">
        <f t="shared" ref="DB183:FM183" si="3082">IF(V183="","","|n"&amp;DB$2&amp;"+"&amp;V183&amp;DB$1)</f>
        <v/>
      </c>
      <c r="DC183" s="103" t="str">
        <f t="shared" si="3082"/>
        <v/>
      </c>
      <c r="DD183" s="103" t="str">
        <f t="shared" si="3082"/>
        <v/>
      </c>
      <c r="DE183" s="103" t="str">
        <f t="shared" si="3082"/>
        <v/>
      </c>
      <c r="DF183" s="103" t="str">
        <f t="shared" si="3082"/>
        <v/>
      </c>
      <c r="DG183" s="103" t="str">
        <f t="shared" si="3082"/>
        <v/>
      </c>
      <c r="DH183" s="103" t="str">
        <f t="shared" si="3082"/>
        <v/>
      </c>
      <c r="DI183" s="103" t="str">
        <f t="shared" si="3082"/>
        <v/>
      </c>
      <c r="DJ183" s="103" t="str">
        <f t="shared" si="3082"/>
        <v/>
      </c>
      <c r="DK183" s="103" t="str">
        <f t="shared" si="3082"/>
        <v/>
      </c>
      <c r="DL183" s="103" t="str">
        <f t="shared" si="3082"/>
        <v/>
      </c>
      <c r="DM183" s="103" t="str">
        <f t="shared" si="3082"/>
        <v/>
      </c>
      <c r="DN183" s="103" t="str">
        <f t="shared" si="3082"/>
        <v/>
      </c>
      <c r="DO183" s="103" t="str">
        <f t="shared" si="3082"/>
        <v/>
      </c>
      <c r="DP183" s="103" t="str">
        <f t="shared" si="3082"/>
        <v/>
      </c>
      <c r="DQ183" s="103" t="str">
        <f t="shared" si="3082"/>
        <v/>
      </c>
      <c r="DR183" s="103" t="str">
        <f t="shared" si="3082"/>
        <v/>
      </c>
      <c r="DS183" s="103" t="str">
        <f t="shared" si="3082"/>
        <v/>
      </c>
      <c r="DT183" s="103" t="str">
        <f t="shared" si="3082"/>
        <v/>
      </c>
      <c r="DU183" s="103" t="str">
        <f t="shared" si="3082"/>
        <v/>
      </c>
      <c r="DV183" s="103" t="str">
        <f t="shared" si="3082"/>
        <v/>
      </c>
      <c r="DW183" s="103" t="str">
        <f t="shared" si="3082"/>
        <v/>
      </c>
      <c r="DX183" s="103" t="str">
        <f t="shared" si="3082"/>
        <v/>
      </c>
      <c r="DY183" s="103" t="str">
        <f t="shared" si="3082"/>
        <v/>
      </c>
      <c r="DZ183" s="103" t="str">
        <f t="shared" si="3082"/>
        <v/>
      </c>
      <c r="EA183" s="103" t="str">
        <f t="shared" si="3082"/>
        <v/>
      </c>
      <c r="EB183" s="103" t="str">
        <f t="shared" si="3082"/>
        <v/>
      </c>
      <c r="EC183" s="103" t="str">
        <f t="shared" si="3082"/>
        <v/>
      </c>
      <c r="ED183" s="103" t="str">
        <f t="shared" si="3082"/>
        <v/>
      </c>
      <c r="EE183" s="103" t="str">
        <f t="shared" si="3082"/>
        <v/>
      </c>
      <c r="EF183" s="103" t="str">
        <f t="shared" si="3082"/>
        <v/>
      </c>
      <c r="EG183" s="103" t="str">
        <f t="shared" si="3082"/>
        <v/>
      </c>
      <c r="EH183" s="103" t="str">
        <f t="shared" si="3082"/>
        <v/>
      </c>
      <c r="EI183" s="103" t="str">
        <f t="shared" si="3082"/>
        <v/>
      </c>
      <c r="EJ183" s="103" t="str">
        <f t="shared" si="3082"/>
        <v/>
      </c>
      <c r="EK183" s="103" t="str">
        <f t="shared" si="3082"/>
        <v/>
      </c>
      <c r="EL183" s="103" t="str">
        <f t="shared" si="3082"/>
        <v/>
      </c>
      <c r="EM183" s="103" t="str">
        <f t="shared" si="3082"/>
        <v/>
      </c>
      <c r="EN183" s="103" t="str">
        <f t="shared" si="3082"/>
        <v/>
      </c>
      <c r="EO183" s="103" t="str">
        <f t="shared" si="3082"/>
        <v/>
      </c>
      <c r="EP183" s="103" t="str">
        <f t="shared" si="3082"/>
        <v/>
      </c>
      <c r="EQ183" s="103" t="str">
        <f t="shared" si="3082"/>
        <v/>
      </c>
      <c r="ER183" s="103" t="str">
        <f t="shared" si="3082"/>
        <v/>
      </c>
      <c r="ES183" s="103" t="str">
        <f t="shared" si="3082"/>
        <v/>
      </c>
      <c r="ET183" s="103" t="str">
        <f t="shared" si="3082"/>
        <v/>
      </c>
      <c r="EU183" s="103" t="str">
        <f t="shared" si="3082"/>
        <v/>
      </c>
      <c r="EV183" s="103" t="str">
        <f t="shared" si="3082"/>
        <v/>
      </c>
      <c r="EW183" s="103" t="str">
        <f t="shared" si="3082"/>
        <v/>
      </c>
      <c r="EX183" s="103" t="str">
        <f t="shared" si="3082"/>
        <v/>
      </c>
      <c r="EY183" s="103" t="str">
        <f t="shared" si="3082"/>
        <v/>
      </c>
      <c r="EZ183" s="103" t="str">
        <f t="shared" si="3082"/>
        <v/>
      </c>
      <c r="FA183" s="103" t="str">
        <f t="shared" si="3082"/>
        <v/>
      </c>
      <c r="FB183" s="103" t="str">
        <f t="shared" si="3082"/>
        <v/>
      </c>
      <c r="FC183" s="103" t="str">
        <f t="shared" si="3082"/>
        <v/>
      </c>
      <c r="FD183" s="103" t="str">
        <f t="shared" si="3082"/>
        <v/>
      </c>
      <c r="FE183" s="103" t="str">
        <f t="shared" si="3082"/>
        <v/>
      </c>
      <c r="FF183" s="103" t="str">
        <f t="shared" si="3082"/>
        <v/>
      </c>
      <c r="FG183" s="103" t="str">
        <f t="shared" si="3082"/>
        <v/>
      </c>
      <c r="FH183" s="103" t="str">
        <f t="shared" si="3082"/>
        <v/>
      </c>
      <c r="FI183" s="103" t="str">
        <f t="shared" si="3082"/>
        <v/>
      </c>
      <c r="FJ183" s="103" t="str">
        <f t="shared" si="3082"/>
        <v/>
      </c>
      <c r="FK183" s="103" t="str">
        <f t="shared" si="3082"/>
        <v/>
      </c>
      <c r="FL183" s="103" t="str">
        <f t="shared" si="3082"/>
        <v/>
      </c>
      <c r="FM183" s="103" t="str">
        <f t="shared" si="3082"/>
        <v/>
      </c>
      <c r="FN183" s="103" t="str">
        <f t="shared" ref="FN183:FS183" si="3083">IF(CH183="","","|n"&amp;FN$2&amp;"+"&amp;CH183&amp;FN$1)</f>
        <v/>
      </c>
      <c r="FO183" s="103" t="str">
        <f t="shared" si="3083"/>
        <v/>
      </c>
      <c r="FP183" s="103" t="str">
        <f t="shared" si="3083"/>
        <v/>
      </c>
      <c r="FQ183" s="103" t="str">
        <f t="shared" si="3083"/>
        <v/>
      </c>
      <c r="FR183" s="103" t="str">
        <f t="shared" si="3083"/>
        <v/>
      </c>
      <c r="FS183" s="103" t="str">
        <f t="shared" si="3083"/>
        <v/>
      </c>
    </row>
    <row r="184" spans="1:175" s="37" customFormat="1" ht="16.5">
      <c r="A184" s="74"/>
      <c r="B184" s="5" t="s">
        <v>662</v>
      </c>
      <c r="C184" s="92" t="s">
        <v>663</v>
      </c>
      <c r="D184" s="70"/>
      <c r="E184" s="70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78"/>
      <c r="Q184" s="78"/>
      <c r="R184" s="78"/>
      <c r="S184" s="78"/>
      <c r="T184" s="74" t="s">
        <v>664</v>
      </c>
      <c r="U184" s="56" t="s">
        <v>665</v>
      </c>
      <c r="V184" s="96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101"/>
      <c r="AS184" s="101"/>
      <c r="AT184" s="97"/>
      <c r="AU184" s="97"/>
      <c r="AV184" s="97"/>
      <c r="AW184" s="97"/>
      <c r="AX184" s="97"/>
      <c r="AY184" s="97"/>
      <c r="AZ184" s="97"/>
      <c r="BA184" s="97"/>
      <c r="BB184" s="97"/>
      <c r="BC184" s="97"/>
      <c r="BD184" s="97"/>
      <c r="BE184" s="97"/>
      <c r="BF184" s="97"/>
      <c r="BG184" s="97"/>
      <c r="BH184" s="97"/>
      <c r="BI184" s="97"/>
      <c r="BJ184" s="97"/>
      <c r="BK184" s="97"/>
      <c r="BL184" s="97"/>
      <c r="BM184" s="97"/>
      <c r="BN184" s="97"/>
      <c r="BO184" s="97"/>
      <c r="BP184" s="97"/>
      <c r="BQ184" s="97"/>
      <c r="BR184" s="97"/>
      <c r="BS184" s="97"/>
      <c r="BT184" s="97"/>
      <c r="BU184" s="97"/>
      <c r="BV184" s="97"/>
      <c r="BW184" s="97"/>
      <c r="BX184" s="97"/>
      <c r="BY184" s="97"/>
      <c r="BZ184" s="97"/>
      <c r="CA184" s="97"/>
      <c r="CB184" s="97"/>
      <c r="CC184" s="97"/>
      <c r="CD184" s="97"/>
      <c r="CE184" s="97"/>
      <c r="CF184" s="97"/>
      <c r="CG184" s="97"/>
      <c r="CH184" s="97"/>
      <c r="CI184" s="97"/>
      <c r="CJ184" s="97"/>
      <c r="CK184" s="97"/>
      <c r="CL184" s="97"/>
      <c r="CM184" s="97"/>
      <c r="CN184" s="102" t="str">
        <f t="shared" si="2684"/>
        <v>InitUnitState('IS26',,,,,,,,,,)</v>
      </c>
      <c r="CO184" s="102" t="str">
        <f t="shared" si="2685"/>
        <v>InitUnitNormal('IS26',,,,,,,,,,)</v>
      </c>
      <c r="CP184" s="102" t="str">
        <f t="shared" si="2686"/>
        <v>InitUnitMagic('IS26',,,,,,,,,,)</v>
      </c>
      <c r="CQ184" s="102" t="str">
        <f t="shared" si="2687"/>
        <v>InitUnitAdd('IS26',,,,,,,,,,)</v>
      </c>
      <c r="CR184" s="102" t="e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#REF!&amp;CR$1&amp;")"</f>
        <v>#REF!</v>
      </c>
      <c r="CS184" s="102"/>
      <c r="CT184" s="102"/>
      <c r="CU184" s="68" t="str">
        <f t="shared" si="3008"/>
        <v>|n</v>
      </c>
      <c r="CV184" s="37" t="str">
        <f t="shared" si="3009"/>
        <v>为|Cffffd24dE技能|r附魔一条|Cffffd24d随机属性|r。</v>
      </c>
      <c r="CW184" s="7"/>
      <c r="CX184" s="7"/>
      <c r="CY184" s="7"/>
      <c r="CZ184" s="7"/>
      <c r="DA184" s="7"/>
      <c r="DB184" s="103" t="str">
        <f t="shared" ref="DB184:FM184" si="3084">IF(V184="","","|n"&amp;DB$2&amp;"+"&amp;V184&amp;DB$1)</f>
        <v/>
      </c>
      <c r="DC184" s="103" t="str">
        <f t="shared" si="3084"/>
        <v/>
      </c>
      <c r="DD184" s="103" t="str">
        <f t="shared" si="3084"/>
        <v/>
      </c>
      <c r="DE184" s="103" t="str">
        <f t="shared" si="3084"/>
        <v/>
      </c>
      <c r="DF184" s="103" t="str">
        <f t="shared" si="3084"/>
        <v/>
      </c>
      <c r="DG184" s="103" t="str">
        <f t="shared" si="3084"/>
        <v/>
      </c>
      <c r="DH184" s="103" t="str">
        <f t="shared" si="3084"/>
        <v/>
      </c>
      <c r="DI184" s="103" t="str">
        <f t="shared" si="3084"/>
        <v/>
      </c>
      <c r="DJ184" s="103" t="str">
        <f t="shared" si="3084"/>
        <v/>
      </c>
      <c r="DK184" s="103" t="str">
        <f t="shared" si="3084"/>
        <v/>
      </c>
      <c r="DL184" s="103" t="str">
        <f t="shared" si="3084"/>
        <v/>
      </c>
      <c r="DM184" s="103" t="str">
        <f t="shared" si="3084"/>
        <v/>
      </c>
      <c r="DN184" s="103" t="str">
        <f t="shared" si="3084"/>
        <v/>
      </c>
      <c r="DO184" s="103" t="str">
        <f t="shared" si="3084"/>
        <v/>
      </c>
      <c r="DP184" s="103" t="str">
        <f t="shared" si="3084"/>
        <v/>
      </c>
      <c r="DQ184" s="103" t="str">
        <f t="shared" si="3084"/>
        <v/>
      </c>
      <c r="DR184" s="103" t="str">
        <f t="shared" si="3084"/>
        <v/>
      </c>
      <c r="DS184" s="103" t="str">
        <f t="shared" si="3084"/>
        <v/>
      </c>
      <c r="DT184" s="103" t="str">
        <f t="shared" si="3084"/>
        <v/>
      </c>
      <c r="DU184" s="103" t="str">
        <f t="shared" si="3084"/>
        <v/>
      </c>
      <c r="DV184" s="103" t="str">
        <f t="shared" si="3084"/>
        <v/>
      </c>
      <c r="DW184" s="103" t="str">
        <f t="shared" si="3084"/>
        <v/>
      </c>
      <c r="DX184" s="103" t="str">
        <f t="shared" si="3084"/>
        <v/>
      </c>
      <c r="DY184" s="103" t="str">
        <f t="shared" si="3084"/>
        <v/>
      </c>
      <c r="DZ184" s="103" t="str">
        <f t="shared" si="3084"/>
        <v/>
      </c>
      <c r="EA184" s="103" t="str">
        <f t="shared" si="3084"/>
        <v/>
      </c>
      <c r="EB184" s="103" t="str">
        <f t="shared" si="3084"/>
        <v/>
      </c>
      <c r="EC184" s="103" t="str">
        <f t="shared" si="3084"/>
        <v/>
      </c>
      <c r="ED184" s="103" t="str">
        <f t="shared" si="3084"/>
        <v/>
      </c>
      <c r="EE184" s="103" t="str">
        <f t="shared" si="3084"/>
        <v/>
      </c>
      <c r="EF184" s="103" t="str">
        <f t="shared" si="3084"/>
        <v/>
      </c>
      <c r="EG184" s="103" t="str">
        <f t="shared" si="3084"/>
        <v/>
      </c>
      <c r="EH184" s="103" t="str">
        <f t="shared" si="3084"/>
        <v/>
      </c>
      <c r="EI184" s="103" t="str">
        <f t="shared" si="3084"/>
        <v/>
      </c>
      <c r="EJ184" s="103" t="str">
        <f t="shared" si="3084"/>
        <v/>
      </c>
      <c r="EK184" s="103" t="str">
        <f t="shared" si="3084"/>
        <v/>
      </c>
      <c r="EL184" s="103" t="str">
        <f t="shared" si="3084"/>
        <v/>
      </c>
      <c r="EM184" s="103" t="str">
        <f t="shared" si="3084"/>
        <v/>
      </c>
      <c r="EN184" s="103" t="str">
        <f t="shared" si="3084"/>
        <v/>
      </c>
      <c r="EO184" s="103" t="str">
        <f t="shared" si="3084"/>
        <v/>
      </c>
      <c r="EP184" s="103" t="str">
        <f t="shared" si="3084"/>
        <v/>
      </c>
      <c r="EQ184" s="103" t="str">
        <f t="shared" si="3084"/>
        <v/>
      </c>
      <c r="ER184" s="103" t="str">
        <f t="shared" si="3084"/>
        <v/>
      </c>
      <c r="ES184" s="103" t="str">
        <f t="shared" si="3084"/>
        <v/>
      </c>
      <c r="ET184" s="103" t="str">
        <f t="shared" si="3084"/>
        <v/>
      </c>
      <c r="EU184" s="103" t="str">
        <f t="shared" si="3084"/>
        <v/>
      </c>
      <c r="EV184" s="103" t="str">
        <f t="shared" si="3084"/>
        <v/>
      </c>
      <c r="EW184" s="103" t="str">
        <f t="shared" si="3084"/>
        <v/>
      </c>
      <c r="EX184" s="103" t="str">
        <f t="shared" si="3084"/>
        <v/>
      </c>
      <c r="EY184" s="103" t="str">
        <f t="shared" si="3084"/>
        <v/>
      </c>
      <c r="EZ184" s="103" t="str">
        <f t="shared" si="3084"/>
        <v/>
      </c>
      <c r="FA184" s="103" t="str">
        <f t="shared" si="3084"/>
        <v/>
      </c>
      <c r="FB184" s="103" t="str">
        <f t="shared" si="3084"/>
        <v/>
      </c>
      <c r="FC184" s="103" t="str">
        <f t="shared" si="3084"/>
        <v/>
      </c>
      <c r="FD184" s="103" t="str">
        <f t="shared" si="3084"/>
        <v/>
      </c>
      <c r="FE184" s="103" t="str">
        <f t="shared" si="3084"/>
        <v/>
      </c>
      <c r="FF184" s="103" t="str">
        <f t="shared" si="3084"/>
        <v/>
      </c>
      <c r="FG184" s="103" t="str">
        <f t="shared" si="3084"/>
        <v/>
      </c>
      <c r="FH184" s="103" t="str">
        <f t="shared" si="3084"/>
        <v/>
      </c>
      <c r="FI184" s="103" t="str">
        <f t="shared" si="3084"/>
        <v/>
      </c>
      <c r="FJ184" s="103" t="str">
        <f t="shared" si="3084"/>
        <v/>
      </c>
      <c r="FK184" s="103" t="str">
        <f t="shared" si="3084"/>
        <v/>
      </c>
      <c r="FL184" s="103" t="str">
        <f t="shared" si="3084"/>
        <v/>
      </c>
      <c r="FM184" s="103" t="str">
        <f t="shared" si="3084"/>
        <v/>
      </c>
      <c r="FN184" s="103" t="str">
        <f t="shared" ref="FN184:FS184" si="3085">IF(CH184="","","|n"&amp;FN$2&amp;"+"&amp;CH184&amp;FN$1)</f>
        <v/>
      </c>
      <c r="FO184" s="103" t="str">
        <f t="shared" si="3085"/>
        <v/>
      </c>
      <c r="FP184" s="103" t="str">
        <f t="shared" si="3085"/>
        <v/>
      </c>
      <c r="FQ184" s="103" t="str">
        <f t="shared" si="3085"/>
        <v/>
      </c>
      <c r="FR184" s="103" t="str">
        <f t="shared" si="3085"/>
        <v/>
      </c>
      <c r="FS184" s="103" t="str">
        <f t="shared" si="3085"/>
        <v/>
      </c>
    </row>
    <row r="185" spans="1:175" ht="16.5">
      <c r="A185" s="74"/>
      <c r="B185" s="5" t="s">
        <v>666</v>
      </c>
      <c r="C185" s="74" t="s">
        <v>667</v>
      </c>
      <c r="T185" s="74" t="str">
        <f t="shared" ref="T185:T186" si="3086">C185</f>
        <v>|CffFF0000占星|r</v>
      </c>
      <c r="U185" s="56" t="str">
        <f t="shared" ref="U185" si="3087">"ReplaceableTextures\\CommandButtons\\BTN"&amp;B185&amp;".blp"</f>
        <v>ReplaceableTextures\\CommandButtons\\BTNIS11.blp</v>
      </c>
      <c r="CN185" s="13" t="str">
        <f t="shared" si="2684"/>
        <v>InitUnitState('IS11',,,,,,,,,,)</v>
      </c>
      <c r="CO185" s="13" t="str">
        <f t="shared" si="2685"/>
        <v>InitUnitNormal('IS11',,,,,,,,,,)</v>
      </c>
      <c r="CP185" s="13" t="str">
        <f t="shared" si="2686"/>
        <v>InitUnitMagic('IS11',,,,,,,,,,)</v>
      </c>
      <c r="CQ185" s="13" t="str">
        <f t="shared" si="2687"/>
        <v>InitUnitAdd('IS11',,,,,,,,,,)</v>
      </c>
      <c r="CR185" s="13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68" t="str">
        <f t="shared" ref="CU185:CU186" si="3088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" t="str">
        <f t="shared" ref="CV185:CV186" si="3089">T185</f>
        <v>|CffFF0000占星|r</v>
      </c>
      <c r="CW185" s="7"/>
      <c r="CX185" s="7"/>
      <c r="CY185" s="7"/>
      <c r="CZ185" s="7"/>
      <c r="DA185" s="7"/>
      <c r="DB185" s="44" t="str">
        <f t="shared" ref="DB185" si="3090">IF(V185="","","|n"&amp;DB$2&amp;"+"&amp;V185&amp;DB$1)</f>
        <v/>
      </c>
      <c r="DC185" s="44" t="str">
        <f t="shared" ref="DC185" si="3091">IF(W185="","","|n"&amp;DC$2&amp;"+"&amp;W185&amp;DC$1)</f>
        <v/>
      </c>
      <c r="DD185" s="44" t="str">
        <f t="shared" ref="DD185" si="3092">IF(X185="","","|n"&amp;DD$2&amp;"+"&amp;X185&amp;DD$1)</f>
        <v/>
      </c>
      <c r="DE185" s="44" t="str">
        <f t="shared" ref="DE185" si="3093">IF(Y185="","","|n"&amp;DE$2&amp;"+"&amp;Y185&amp;DE$1)</f>
        <v/>
      </c>
      <c r="DF185" s="44" t="str">
        <f t="shared" ref="DF185" si="3094">IF(Z185="","","|n"&amp;DF$2&amp;"+"&amp;Z185&amp;DF$1)</f>
        <v/>
      </c>
      <c r="DG185" s="44" t="str">
        <f t="shared" ref="DG185" si="3095">IF(AA185="","","|n"&amp;DG$2&amp;"+"&amp;AA185&amp;DG$1)</f>
        <v/>
      </c>
      <c r="DH185" s="44" t="str">
        <f t="shared" ref="DH185" si="3096">IF(AB185="","","|n"&amp;DH$2&amp;"+"&amp;AB185&amp;DH$1)</f>
        <v/>
      </c>
      <c r="DI185" s="44" t="str">
        <f t="shared" ref="DI185" si="3097">IF(AC185="","","|n"&amp;DI$2&amp;"+"&amp;AC185&amp;DI$1)</f>
        <v/>
      </c>
      <c r="DJ185" s="44" t="str">
        <f t="shared" ref="DJ185" si="3098">IF(AD185="","","|n"&amp;DJ$2&amp;"+"&amp;AD185&amp;DJ$1)</f>
        <v/>
      </c>
      <c r="DK185" s="44" t="str">
        <f t="shared" ref="DK185" si="3099">IF(AE185="","","|n"&amp;DK$2&amp;"+"&amp;AE185&amp;DK$1)</f>
        <v/>
      </c>
      <c r="DL185" s="44" t="str">
        <f t="shared" ref="DL185" si="3100">IF(AF185="","","|n"&amp;DL$2&amp;"+"&amp;AF185&amp;DL$1)</f>
        <v/>
      </c>
      <c r="DM185" s="44" t="str">
        <f t="shared" ref="DM185" si="3101">IF(AG185="","","|n"&amp;DM$2&amp;"+"&amp;AG185&amp;DM$1)</f>
        <v/>
      </c>
      <c r="DN185" s="44" t="str">
        <f t="shared" ref="DN185" si="3102">IF(AH185="","","|n"&amp;DN$2&amp;"+"&amp;AH185&amp;DN$1)</f>
        <v/>
      </c>
      <c r="DO185" s="44" t="str">
        <f t="shared" ref="DO185" si="3103">IF(AI185="","","|n"&amp;DO$2&amp;"+"&amp;AI185&amp;DO$1)</f>
        <v/>
      </c>
      <c r="DP185" s="44" t="str">
        <f t="shared" ref="DP185" si="3104">IF(AJ185="","","|n"&amp;DP$2&amp;"+"&amp;AJ185&amp;DP$1)</f>
        <v/>
      </c>
      <c r="DQ185" s="44" t="str">
        <f t="shared" ref="DQ185" si="3105">IF(AK185="","","|n"&amp;DQ$2&amp;"+"&amp;AK185&amp;DQ$1)</f>
        <v/>
      </c>
      <c r="DR185" s="44" t="str">
        <f t="shared" ref="DR185" si="3106">IF(AL185="","","|n"&amp;DR$2&amp;"+"&amp;AL185&amp;DR$1)</f>
        <v/>
      </c>
      <c r="DS185" s="44" t="str">
        <f t="shared" ref="DS185" si="3107">IF(AM185="","","|n"&amp;DS$2&amp;"+"&amp;AM185&amp;DS$1)</f>
        <v/>
      </c>
      <c r="DT185" s="44" t="str">
        <f t="shared" ref="DT185" si="3108">IF(AN185="","","|n"&amp;DT$2&amp;"+"&amp;AN185&amp;DT$1)</f>
        <v/>
      </c>
      <c r="DU185" s="44" t="str">
        <f t="shared" ref="DU185" si="3109">IF(AO185="","","|n"&amp;DU$2&amp;"+"&amp;AO185&amp;DU$1)</f>
        <v/>
      </c>
      <c r="DV185" s="44" t="str">
        <f t="shared" ref="DV185" si="3110">IF(AP185="","","|n"&amp;DV$2&amp;"+"&amp;AP185&amp;DV$1)</f>
        <v/>
      </c>
      <c r="DW185" s="44" t="str">
        <f t="shared" ref="DW185" si="3111">IF(AQ185="","","|n"&amp;DW$2&amp;"+"&amp;AQ185&amp;DW$1)</f>
        <v/>
      </c>
      <c r="DX185" s="44" t="str">
        <f t="shared" ref="DX185" si="3112">IF(AR185="","","|n"&amp;DX$2&amp;"+"&amp;AR185&amp;DX$1)</f>
        <v/>
      </c>
      <c r="DY185" s="44" t="str">
        <f t="shared" ref="DY185" si="3113">IF(AS185="","","|n"&amp;DY$2&amp;"+"&amp;AS185&amp;DY$1)</f>
        <v/>
      </c>
      <c r="DZ185" s="44" t="str">
        <f t="shared" ref="DZ185" si="3114">IF(AT185="","","|n"&amp;DZ$2&amp;"+"&amp;AT185&amp;DZ$1)</f>
        <v/>
      </c>
      <c r="EA185" s="44" t="str">
        <f t="shared" ref="EA185" si="3115">IF(AU185="","","|n"&amp;EA$2&amp;"+"&amp;AU185&amp;EA$1)</f>
        <v/>
      </c>
      <c r="EB185" s="44" t="str">
        <f t="shared" ref="EB185" si="3116">IF(AV185="","","|n"&amp;EB$2&amp;"+"&amp;AV185&amp;EB$1)</f>
        <v/>
      </c>
      <c r="EC185" s="44" t="str">
        <f t="shared" ref="EC185" si="3117">IF(AW185="","","|n"&amp;EC$2&amp;"+"&amp;AW185&amp;EC$1)</f>
        <v/>
      </c>
      <c r="ED185" s="44" t="str">
        <f t="shared" ref="ED185" si="3118">IF(AX185="","","|n"&amp;ED$2&amp;"+"&amp;AX185&amp;ED$1)</f>
        <v/>
      </c>
      <c r="EE185" s="44" t="str">
        <f t="shared" ref="EE185" si="3119">IF(AY185="","","|n"&amp;EE$2&amp;"+"&amp;AY185&amp;EE$1)</f>
        <v/>
      </c>
      <c r="EF185" s="44" t="str">
        <f t="shared" ref="EF185" si="3120">IF(AZ185="","","|n"&amp;EF$2&amp;"+"&amp;AZ185&amp;EF$1)</f>
        <v/>
      </c>
      <c r="EG185" s="44" t="str">
        <f t="shared" ref="EG185" si="3121">IF(BA185="","","|n"&amp;EG$2&amp;"+"&amp;BA185&amp;EG$1)</f>
        <v/>
      </c>
      <c r="EH185" s="44" t="str">
        <f t="shared" ref="EH185" si="3122">IF(BB185="","","|n"&amp;EH$2&amp;"+"&amp;BB185&amp;EH$1)</f>
        <v/>
      </c>
      <c r="EI185" s="44" t="str">
        <f t="shared" ref="EI185" si="3123">IF(BC185="","","|n"&amp;EI$2&amp;"+"&amp;BC185&amp;EI$1)</f>
        <v/>
      </c>
      <c r="EJ185" s="44" t="str">
        <f t="shared" ref="EJ185" si="3124">IF(BD185="","","|n"&amp;EJ$2&amp;"+"&amp;BD185&amp;EJ$1)</f>
        <v/>
      </c>
      <c r="EK185" s="44" t="str">
        <f t="shared" ref="EK185" si="3125">IF(BE185="","","|n"&amp;EK$2&amp;"+"&amp;BE185&amp;EK$1)</f>
        <v/>
      </c>
      <c r="EL185" s="44" t="str">
        <f t="shared" ref="EL185" si="3126">IF(BF185="","","|n"&amp;EL$2&amp;"+"&amp;BF185&amp;EL$1)</f>
        <v/>
      </c>
      <c r="EM185" s="44" t="str">
        <f t="shared" ref="EM185" si="3127">IF(BG185="","","|n"&amp;EM$2&amp;"+"&amp;BG185&amp;EM$1)</f>
        <v/>
      </c>
      <c r="EN185" s="44" t="str">
        <f t="shared" ref="EN185" si="3128">IF(BH185="","","|n"&amp;EN$2&amp;"+"&amp;BH185&amp;EN$1)</f>
        <v/>
      </c>
      <c r="EO185" s="44" t="str">
        <f t="shared" ref="EO185" si="3129">IF(BI185="","","|n"&amp;EO$2&amp;"+"&amp;BI185&amp;EO$1)</f>
        <v/>
      </c>
      <c r="EP185" s="44" t="str">
        <f t="shared" ref="EP185" si="3130">IF(BJ185="","","|n"&amp;EP$2&amp;"+"&amp;BJ185&amp;EP$1)</f>
        <v/>
      </c>
      <c r="EQ185" s="44" t="str">
        <f t="shared" ref="EQ185" si="3131">IF(BK185="","","|n"&amp;EQ$2&amp;"+"&amp;BK185&amp;EQ$1)</f>
        <v/>
      </c>
      <c r="ER185" s="44" t="str">
        <f t="shared" ref="ER185" si="3132">IF(BL185="","","|n"&amp;ER$2&amp;"+"&amp;BL185&amp;ER$1)</f>
        <v/>
      </c>
      <c r="ES185" s="44" t="str">
        <f t="shared" ref="ES185" si="3133">IF(BM185="","","|n"&amp;ES$2&amp;"+"&amp;BM185&amp;ES$1)</f>
        <v/>
      </c>
      <c r="ET185" s="44" t="str">
        <f t="shared" ref="ET185" si="3134">IF(BN185="","","|n"&amp;ET$2&amp;"+"&amp;BN185&amp;ET$1)</f>
        <v/>
      </c>
      <c r="EU185" s="44" t="str">
        <f t="shared" ref="EU185" si="3135">IF(BO185="","","|n"&amp;EU$2&amp;"+"&amp;BO185&amp;EU$1)</f>
        <v/>
      </c>
      <c r="EV185" s="44" t="str">
        <f t="shared" ref="EV185" si="3136">IF(BP185="","","|n"&amp;EV$2&amp;"+"&amp;BP185&amp;EV$1)</f>
        <v/>
      </c>
      <c r="EW185" s="44" t="str">
        <f t="shared" ref="EW185" si="3137">IF(BQ185="","","|n"&amp;EW$2&amp;"+"&amp;BQ185&amp;EW$1)</f>
        <v/>
      </c>
      <c r="EX185" s="44" t="str">
        <f t="shared" ref="EX185" si="3138">IF(BR185="","","|n"&amp;EX$2&amp;"+"&amp;BR185&amp;EX$1)</f>
        <v/>
      </c>
      <c r="EY185" s="44" t="str">
        <f t="shared" ref="EY185" si="3139">IF(BS185="","","|n"&amp;EY$2&amp;"+"&amp;BS185&amp;EY$1)</f>
        <v/>
      </c>
      <c r="EZ185" s="44" t="str">
        <f t="shared" ref="EZ185" si="3140">IF(BT185="","","|n"&amp;EZ$2&amp;"+"&amp;BT185&amp;EZ$1)</f>
        <v/>
      </c>
      <c r="FA185" s="44" t="str">
        <f t="shared" ref="FA185" si="3141">IF(BU185="","","|n"&amp;FA$2&amp;"+"&amp;BU185&amp;FA$1)</f>
        <v/>
      </c>
      <c r="FB185" s="44" t="str">
        <f t="shared" ref="FB185" si="3142">IF(BV185="","","|n"&amp;FB$2&amp;"+"&amp;BV185&amp;FB$1)</f>
        <v/>
      </c>
      <c r="FC185" s="44" t="str">
        <f t="shared" ref="FC185" si="3143">IF(BW185="","","|n"&amp;FC$2&amp;"+"&amp;BW185&amp;FC$1)</f>
        <v/>
      </c>
      <c r="FD185" s="44" t="str">
        <f t="shared" ref="FD185" si="3144">IF(BX185="","","|n"&amp;FD$2&amp;"+"&amp;BX185&amp;FD$1)</f>
        <v/>
      </c>
      <c r="FE185" s="44" t="str">
        <f t="shared" ref="FE185" si="3145">IF(BY185="","","|n"&amp;FE$2&amp;"+"&amp;BY185&amp;FE$1)</f>
        <v/>
      </c>
      <c r="FF185" s="44" t="str">
        <f t="shared" ref="FF185" si="3146">IF(BZ185="","","|n"&amp;FF$2&amp;"+"&amp;BZ185&amp;FF$1)</f>
        <v/>
      </c>
      <c r="FG185" s="44" t="str">
        <f t="shared" ref="FG185" si="3147">IF(CA185="","","|n"&amp;FG$2&amp;"+"&amp;CA185&amp;FG$1)</f>
        <v/>
      </c>
      <c r="FH185" s="44" t="str">
        <f t="shared" ref="FH185" si="3148">IF(CB185="","","|n"&amp;FH$2&amp;"+"&amp;CB185&amp;FH$1)</f>
        <v/>
      </c>
      <c r="FI185" s="44" t="str">
        <f t="shared" ref="FI185" si="3149">IF(CC185="","","|n"&amp;FI$2&amp;"+"&amp;CC185&amp;FI$1)</f>
        <v/>
      </c>
      <c r="FJ185" s="44" t="str">
        <f t="shared" ref="FJ185" si="3150">IF(CD185="","","|n"&amp;FJ$2&amp;"+"&amp;CD185&amp;FJ$1)</f>
        <v/>
      </c>
      <c r="FK185" s="44" t="str">
        <f t="shared" ref="FK185" si="3151">IF(CE185="","","|n"&amp;FK$2&amp;"+"&amp;CE185&amp;FK$1)</f>
        <v/>
      </c>
      <c r="FL185" s="44" t="str">
        <f t="shared" ref="FL185" si="3152">IF(CF185="","","|n"&amp;FL$2&amp;"+"&amp;CF185&amp;FL$1)</f>
        <v/>
      </c>
      <c r="FM185" s="44" t="str">
        <f t="shared" ref="FM185" si="3153">IF(CG185="","","|n"&amp;FM$2&amp;"+"&amp;CG185&amp;FM$1)</f>
        <v/>
      </c>
      <c r="FN185" s="44" t="str">
        <f t="shared" ref="FN185" si="3154">IF(CH185="","","|n"&amp;FN$2&amp;"+"&amp;CH185&amp;FN$1)</f>
        <v/>
      </c>
      <c r="FO185" s="44" t="str">
        <f t="shared" ref="FO185" si="3155">IF(CI185="","","|n"&amp;FO$2&amp;"+"&amp;CI185&amp;FO$1)</f>
        <v/>
      </c>
      <c r="FP185" s="44" t="str">
        <f t="shared" ref="FP185" si="3156">IF(CJ185="","","|n"&amp;FP$2&amp;"+"&amp;CJ185&amp;FP$1)</f>
        <v/>
      </c>
      <c r="FQ185" s="44" t="str">
        <f t="shared" ref="FQ185" si="3157">IF(CK185="","","|n"&amp;FQ$2&amp;"+"&amp;CK185&amp;FQ$1)</f>
        <v/>
      </c>
      <c r="FR185" s="44" t="str">
        <f t="shared" ref="FR185" si="3158">IF(CL185="","","|n"&amp;FR$2&amp;"+"&amp;CL185&amp;FR$1)</f>
        <v/>
      </c>
      <c r="FS185" s="44" t="str">
        <f t="shared" ref="FS185" si="3159">IF(CM185="","","|n"&amp;FS$2&amp;"+"&amp;CM185&amp;FS$1)</f>
        <v/>
      </c>
    </row>
    <row r="186" spans="1:175" ht="16.5">
      <c r="A186" s="74"/>
      <c r="B186" s="5" t="s">
        <v>668</v>
      </c>
      <c r="C186" s="74" t="s">
        <v>669</v>
      </c>
      <c r="T186" s="100" t="str">
        <f t="shared" si="3086"/>
        <v>|CffFFD24D兽魂抽奖|r</v>
      </c>
      <c r="U186" s="56" t="s">
        <v>670</v>
      </c>
      <c r="CN186" s="13" t="str">
        <f t="shared" si="2684"/>
        <v>InitUnitState('IS12',,,,,,,,,,)</v>
      </c>
      <c r="CO186" s="13" t="str">
        <f t="shared" si="2685"/>
        <v>InitUnitNormal('IS12',,,,,,,,,,)</v>
      </c>
      <c r="CP186" s="13" t="str">
        <f t="shared" si="2686"/>
        <v>InitUnitMagic('IS12',,,,,,,,,,)</v>
      </c>
      <c r="CQ186" s="13" t="str">
        <f t="shared" si="2687"/>
        <v>InitUnitAdd('IS12',,,,,,,,,,)</v>
      </c>
      <c r="CR186" s="13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68" t="str">
        <f t="shared" si="3088"/>
        <v>|n</v>
      </c>
      <c r="CV186" s="6" t="str">
        <f t="shared" si="3089"/>
        <v>|CffFFD24D兽魂抽奖|r</v>
      </c>
      <c r="CW186" s="7"/>
      <c r="CX186" s="7"/>
      <c r="CY186" s="7"/>
      <c r="CZ186" s="7"/>
      <c r="DA186" s="7"/>
      <c r="DB186" s="44" t="str">
        <f t="shared" ref="DB186:EG186" si="3160">IF(V186="","","|n"&amp;DB$2&amp;"+"&amp;V186&amp;DB$1)</f>
        <v/>
      </c>
      <c r="DC186" s="44" t="str">
        <f t="shared" si="3160"/>
        <v/>
      </c>
      <c r="DD186" s="44" t="str">
        <f t="shared" si="3160"/>
        <v/>
      </c>
      <c r="DE186" s="44" t="str">
        <f t="shared" si="3160"/>
        <v/>
      </c>
      <c r="DF186" s="44" t="str">
        <f t="shared" si="3160"/>
        <v/>
      </c>
      <c r="DG186" s="44" t="str">
        <f t="shared" si="3160"/>
        <v/>
      </c>
      <c r="DH186" s="44" t="str">
        <f t="shared" si="3160"/>
        <v/>
      </c>
      <c r="DI186" s="44" t="str">
        <f t="shared" si="3160"/>
        <v/>
      </c>
      <c r="DJ186" s="44" t="str">
        <f t="shared" si="3160"/>
        <v/>
      </c>
      <c r="DK186" s="44" t="str">
        <f t="shared" si="3160"/>
        <v/>
      </c>
      <c r="DL186" s="44" t="str">
        <f t="shared" si="3160"/>
        <v/>
      </c>
      <c r="DM186" s="44" t="str">
        <f t="shared" si="3160"/>
        <v/>
      </c>
      <c r="DN186" s="44" t="str">
        <f t="shared" si="3160"/>
        <v/>
      </c>
      <c r="DO186" s="44" t="str">
        <f t="shared" si="3160"/>
        <v/>
      </c>
      <c r="DP186" s="44" t="str">
        <f t="shared" si="3160"/>
        <v/>
      </c>
      <c r="DQ186" s="44" t="str">
        <f t="shared" si="3160"/>
        <v/>
      </c>
      <c r="DR186" s="44" t="str">
        <f t="shared" si="3160"/>
        <v/>
      </c>
      <c r="DS186" s="44" t="str">
        <f t="shared" si="3160"/>
        <v/>
      </c>
      <c r="DT186" s="44" t="str">
        <f t="shared" si="3160"/>
        <v/>
      </c>
      <c r="DU186" s="44" t="str">
        <f t="shared" si="3160"/>
        <v/>
      </c>
      <c r="DV186" s="44" t="str">
        <f t="shared" si="3160"/>
        <v/>
      </c>
      <c r="DW186" s="44" t="str">
        <f t="shared" si="3160"/>
        <v/>
      </c>
      <c r="DX186" s="44" t="str">
        <f t="shared" si="3160"/>
        <v/>
      </c>
      <c r="DY186" s="44" t="str">
        <f t="shared" si="3160"/>
        <v/>
      </c>
      <c r="DZ186" s="44" t="str">
        <f t="shared" si="3160"/>
        <v/>
      </c>
      <c r="EA186" s="44" t="str">
        <f t="shared" si="3160"/>
        <v/>
      </c>
      <c r="EB186" s="44" t="str">
        <f t="shared" si="3160"/>
        <v/>
      </c>
      <c r="EC186" s="44" t="str">
        <f t="shared" si="3160"/>
        <v/>
      </c>
      <c r="ED186" s="44" t="str">
        <f t="shared" si="3160"/>
        <v/>
      </c>
      <c r="EE186" s="44" t="str">
        <f t="shared" si="3160"/>
        <v/>
      </c>
      <c r="EF186" s="44" t="str">
        <f t="shared" si="3160"/>
        <v/>
      </c>
      <c r="EG186" s="44" t="str">
        <f t="shared" si="3160"/>
        <v/>
      </c>
      <c r="EH186" s="44" t="str">
        <f t="shared" ref="EH186:FM186" si="3161">IF(BB186="","","|n"&amp;EH$2&amp;"+"&amp;BB186&amp;EH$1)</f>
        <v/>
      </c>
      <c r="EI186" s="44" t="str">
        <f t="shared" si="3161"/>
        <v/>
      </c>
      <c r="EJ186" s="44" t="str">
        <f t="shared" si="3161"/>
        <v/>
      </c>
      <c r="EK186" s="44" t="str">
        <f t="shared" si="3161"/>
        <v/>
      </c>
      <c r="EL186" s="44" t="str">
        <f t="shared" si="3161"/>
        <v/>
      </c>
      <c r="EM186" s="44" t="str">
        <f t="shared" si="3161"/>
        <v/>
      </c>
      <c r="EN186" s="44" t="str">
        <f t="shared" si="3161"/>
        <v/>
      </c>
      <c r="EO186" s="44" t="str">
        <f t="shared" si="3161"/>
        <v/>
      </c>
      <c r="EP186" s="44" t="str">
        <f t="shared" si="3161"/>
        <v/>
      </c>
      <c r="EQ186" s="44" t="str">
        <f t="shared" si="3161"/>
        <v/>
      </c>
      <c r="ER186" s="44" t="str">
        <f t="shared" si="3161"/>
        <v/>
      </c>
      <c r="ES186" s="44" t="str">
        <f t="shared" si="3161"/>
        <v/>
      </c>
      <c r="ET186" s="44" t="str">
        <f t="shared" si="3161"/>
        <v/>
      </c>
      <c r="EU186" s="44" t="str">
        <f t="shared" si="3161"/>
        <v/>
      </c>
      <c r="EV186" s="44" t="str">
        <f t="shared" si="3161"/>
        <v/>
      </c>
      <c r="EW186" s="44" t="str">
        <f t="shared" si="3161"/>
        <v/>
      </c>
      <c r="EX186" s="44" t="str">
        <f t="shared" si="3161"/>
        <v/>
      </c>
      <c r="EY186" s="44" t="str">
        <f t="shared" si="3161"/>
        <v/>
      </c>
      <c r="EZ186" s="44" t="str">
        <f t="shared" si="3161"/>
        <v/>
      </c>
      <c r="FA186" s="44" t="str">
        <f t="shared" si="3161"/>
        <v/>
      </c>
      <c r="FB186" s="44" t="str">
        <f t="shared" si="3161"/>
        <v/>
      </c>
      <c r="FC186" s="44" t="str">
        <f t="shared" si="3161"/>
        <v/>
      </c>
      <c r="FD186" s="44" t="str">
        <f t="shared" si="3161"/>
        <v/>
      </c>
      <c r="FE186" s="44" t="str">
        <f t="shared" si="3161"/>
        <v/>
      </c>
      <c r="FF186" s="44" t="str">
        <f t="shared" si="3161"/>
        <v/>
      </c>
      <c r="FG186" s="44" t="str">
        <f t="shared" si="3161"/>
        <v/>
      </c>
      <c r="FH186" s="44" t="str">
        <f t="shared" si="3161"/>
        <v/>
      </c>
      <c r="FI186" s="44" t="str">
        <f t="shared" si="3161"/>
        <v/>
      </c>
      <c r="FJ186" s="44" t="str">
        <f t="shared" si="3161"/>
        <v/>
      </c>
      <c r="FK186" s="44" t="str">
        <f t="shared" si="3161"/>
        <v/>
      </c>
      <c r="FL186" s="44" t="str">
        <f t="shared" si="3161"/>
        <v/>
      </c>
      <c r="FM186" s="44" t="str">
        <f t="shared" si="3161"/>
        <v/>
      </c>
      <c r="FN186" s="44" t="str">
        <f t="shared" ref="FN186:FS186" si="3162">IF(CH186="","","|n"&amp;FN$2&amp;"+"&amp;CH186&amp;FN$1)</f>
        <v/>
      </c>
      <c r="FO186" s="44" t="str">
        <f t="shared" si="3162"/>
        <v/>
      </c>
      <c r="FP186" s="44" t="str">
        <f t="shared" si="3162"/>
        <v/>
      </c>
      <c r="FQ186" s="44" t="str">
        <f t="shared" si="3162"/>
        <v/>
      </c>
      <c r="FR186" s="44" t="str">
        <f t="shared" si="3162"/>
        <v/>
      </c>
      <c r="FS186" s="44" t="str">
        <f t="shared" si="3162"/>
        <v/>
      </c>
    </row>
    <row r="187" spans="1:175" ht="16.5">
      <c r="A187" s="74"/>
      <c r="B187" s="5" t="s">
        <v>671</v>
      </c>
      <c r="C187" s="74" t="s">
        <v>672</v>
      </c>
      <c r="T187" s="5" t="s">
        <v>673</v>
      </c>
      <c r="U187" s="56" t="str">
        <f t="shared" ref="U187" si="3163">"ReplaceableTextures\\CommandButtons\\BTN"&amp;B187&amp;".blp"</f>
        <v>ReplaceableTextures\\CommandButtons\\BTNIS13.blp</v>
      </c>
      <c r="CN187" s="13" t="str">
        <f t="shared" ref="CN187" si="3164">"InitUnitState('"&amp;B187&amp;"',"&amp;V187&amp;","&amp;W187&amp;","&amp;X187&amp;","&amp;Y187&amp;","&amp;Z187&amp;","&amp;AA187&amp;","&amp;AB187&amp;","&amp;AC187&amp;","&amp;AD187&amp;","&amp;AE187&amp;")"</f>
        <v>InitUnitState('IS13',,,,,,,,,,)</v>
      </c>
      <c r="CO187" s="13" t="str">
        <f t="shared" ref="CO187" si="3165">"InitUnitNormal('"&amp;B187&amp;"',"&amp;AF187&amp;","&amp;AG187&amp;","&amp;AH187&amp;","&amp;AI187&amp;","&amp;AJ187&amp;","&amp;AK187&amp;","&amp;AL187&amp;","&amp;AM187&amp;","&amp;AN187&amp;","&amp;AO187&amp;")"</f>
        <v>InitUnitNormal('IS13',,,,,,,,,,)</v>
      </c>
      <c r="CP187" s="13" t="str">
        <f t="shared" ref="CP187" si="3166">"InitUnitMagic('"&amp;B187&amp;"',"&amp;AP187&amp;","&amp;AQ187&amp;","&amp;AR187&amp;","&amp;AS187&amp;","&amp;AT187&amp;","&amp;AU187&amp;","&amp;AV187&amp;","&amp;AW187&amp;","&amp;BI187&amp;","&amp;BJ187&amp;")"</f>
        <v>InitUnitMagic('IS13',,,,,,,,,,)</v>
      </c>
      <c r="CQ187" s="13" t="str">
        <f t="shared" ref="CQ187" si="3167">"InitUnitAdd('"&amp;B187&amp;"',"&amp;BK187&amp;","&amp;BL187&amp;","&amp;BM187&amp;","&amp;BN187&amp;","&amp;BO187&amp;","&amp;BP187&amp;","&amp;BQ187&amp;","&amp;BR187&amp;","&amp;BS187&amp;","&amp;BT187&amp;")"</f>
        <v>InitUnitAdd('IS13',,,,,,,,,,)</v>
      </c>
      <c r="CR187" s="13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68" t="str">
        <f t="shared" ref="CU187:CU188" si="3168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" t="str">
        <f t="shared" ref="CV187:CV188" si="3169">T187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CW187" s="7"/>
      <c r="CX187" s="7"/>
      <c r="CY187" s="7"/>
      <c r="CZ187" s="7"/>
      <c r="DA187" s="7"/>
      <c r="DB187" s="44" t="str">
        <f t="shared" ref="DB187" si="3170">IF(V187="","","|n"&amp;DB$2&amp;"+"&amp;V187&amp;DB$1)</f>
        <v/>
      </c>
      <c r="DC187" s="44" t="str">
        <f t="shared" ref="DC187" si="3171">IF(W187="","","|n"&amp;DC$2&amp;"+"&amp;W187&amp;DC$1)</f>
        <v/>
      </c>
      <c r="DD187" s="44" t="str">
        <f t="shared" ref="DD187" si="3172">IF(X187="","","|n"&amp;DD$2&amp;"+"&amp;X187&amp;DD$1)</f>
        <v/>
      </c>
      <c r="DE187" s="44" t="str">
        <f t="shared" ref="DE187" si="3173">IF(Y187="","","|n"&amp;DE$2&amp;"+"&amp;Y187&amp;DE$1)</f>
        <v/>
      </c>
      <c r="DF187" s="44" t="str">
        <f t="shared" ref="DF187" si="3174">IF(Z187="","","|n"&amp;DF$2&amp;"+"&amp;Z187&amp;DF$1)</f>
        <v/>
      </c>
      <c r="DG187" s="44" t="str">
        <f t="shared" ref="DG187" si="3175">IF(AA187="","","|n"&amp;DG$2&amp;"+"&amp;AA187&amp;DG$1)</f>
        <v/>
      </c>
      <c r="DH187" s="44" t="str">
        <f t="shared" ref="DH187" si="3176">IF(AB187="","","|n"&amp;DH$2&amp;"+"&amp;AB187&amp;DH$1)</f>
        <v/>
      </c>
      <c r="DI187" s="44" t="str">
        <f t="shared" ref="DI187" si="3177">IF(AC187="","","|n"&amp;DI$2&amp;"+"&amp;AC187&amp;DI$1)</f>
        <v/>
      </c>
      <c r="DJ187" s="44" t="str">
        <f t="shared" ref="DJ187" si="3178">IF(AD187="","","|n"&amp;DJ$2&amp;"+"&amp;AD187&amp;DJ$1)</f>
        <v/>
      </c>
      <c r="DK187" s="44" t="str">
        <f t="shared" ref="DK187" si="3179">IF(AE187="","","|n"&amp;DK$2&amp;"+"&amp;AE187&amp;DK$1)</f>
        <v/>
      </c>
      <c r="DL187" s="44" t="str">
        <f t="shared" ref="DL187" si="3180">IF(AF187="","","|n"&amp;DL$2&amp;"+"&amp;AF187&amp;DL$1)</f>
        <v/>
      </c>
      <c r="DM187" s="44" t="str">
        <f t="shared" ref="DM187" si="3181">IF(AG187="","","|n"&amp;DM$2&amp;"+"&amp;AG187&amp;DM$1)</f>
        <v/>
      </c>
      <c r="DN187" s="44" t="str">
        <f t="shared" ref="DN187" si="3182">IF(AH187="","","|n"&amp;DN$2&amp;"+"&amp;AH187&amp;DN$1)</f>
        <v/>
      </c>
      <c r="DO187" s="44" t="str">
        <f t="shared" ref="DO187" si="3183">IF(AI187="","","|n"&amp;DO$2&amp;"+"&amp;AI187&amp;DO$1)</f>
        <v/>
      </c>
      <c r="DP187" s="44" t="str">
        <f t="shared" ref="DP187" si="3184">IF(AJ187="","","|n"&amp;DP$2&amp;"+"&amp;AJ187&amp;DP$1)</f>
        <v/>
      </c>
      <c r="DQ187" s="44" t="str">
        <f t="shared" ref="DQ187" si="3185">IF(AK187="","","|n"&amp;DQ$2&amp;"+"&amp;AK187&amp;DQ$1)</f>
        <v/>
      </c>
      <c r="DR187" s="44" t="str">
        <f t="shared" ref="DR187" si="3186">IF(AL187="","","|n"&amp;DR$2&amp;"+"&amp;AL187&amp;DR$1)</f>
        <v/>
      </c>
      <c r="DS187" s="44" t="str">
        <f t="shared" ref="DS187" si="3187">IF(AM187="","","|n"&amp;DS$2&amp;"+"&amp;AM187&amp;DS$1)</f>
        <v/>
      </c>
      <c r="DT187" s="44" t="str">
        <f t="shared" ref="DT187" si="3188">IF(AN187="","","|n"&amp;DT$2&amp;"+"&amp;AN187&amp;DT$1)</f>
        <v/>
      </c>
      <c r="DU187" s="44" t="str">
        <f t="shared" ref="DU187" si="3189">IF(AO187="","","|n"&amp;DU$2&amp;"+"&amp;AO187&amp;DU$1)</f>
        <v/>
      </c>
      <c r="DV187" s="44" t="str">
        <f t="shared" ref="DV187" si="3190">IF(AP187="","","|n"&amp;DV$2&amp;"+"&amp;AP187&amp;DV$1)</f>
        <v/>
      </c>
      <c r="DW187" s="44" t="str">
        <f t="shared" ref="DW187" si="3191">IF(AQ187="","","|n"&amp;DW$2&amp;"+"&amp;AQ187&amp;DW$1)</f>
        <v/>
      </c>
      <c r="DX187" s="44" t="str">
        <f t="shared" ref="DX187" si="3192">IF(AR187="","","|n"&amp;DX$2&amp;"+"&amp;AR187&amp;DX$1)</f>
        <v/>
      </c>
      <c r="DY187" s="44" t="str">
        <f t="shared" ref="DY187" si="3193">IF(AS187="","","|n"&amp;DY$2&amp;"+"&amp;AS187&amp;DY$1)</f>
        <v/>
      </c>
      <c r="DZ187" s="44" t="str">
        <f t="shared" ref="DZ187" si="3194">IF(AT187="","","|n"&amp;DZ$2&amp;"+"&amp;AT187&amp;DZ$1)</f>
        <v/>
      </c>
      <c r="EA187" s="44" t="str">
        <f t="shared" ref="EA187" si="3195">IF(AU187="","","|n"&amp;EA$2&amp;"+"&amp;AU187&amp;EA$1)</f>
        <v/>
      </c>
      <c r="EB187" s="44" t="str">
        <f t="shared" ref="EB187" si="3196">IF(AV187="","","|n"&amp;EB$2&amp;"+"&amp;AV187&amp;EB$1)</f>
        <v/>
      </c>
      <c r="EC187" s="44" t="str">
        <f t="shared" ref="EC187" si="3197">IF(AW187="","","|n"&amp;EC$2&amp;"+"&amp;AW187&amp;EC$1)</f>
        <v/>
      </c>
      <c r="ED187" s="44" t="str">
        <f t="shared" ref="ED187" si="3198">IF(AX187="","","|n"&amp;ED$2&amp;"+"&amp;AX187&amp;ED$1)</f>
        <v/>
      </c>
      <c r="EE187" s="44" t="str">
        <f t="shared" ref="EE187" si="3199">IF(AY187="","","|n"&amp;EE$2&amp;"+"&amp;AY187&amp;EE$1)</f>
        <v/>
      </c>
      <c r="EF187" s="44" t="str">
        <f t="shared" ref="EF187" si="3200">IF(AZ187="","","|n"&amp;EF$2&amp;"+"&amp;AZ187&amp;EF$1)</f>
        <v/>
      </c>
      <c r="EG187" s="44" t="str">
        <f t="shared" ref="EG187" si="3201">IF(BA187="","","|n"&amp;EG$2&amp;"+"&amp;BA187&amp;EG$1)</f>
        <v/>
      </c>
      <c r="EH187" s="44" t="str">
        <f t="shared" ref="EH187" si="3202">IF(BB187="","","|n"&amp;EH$2&amp;"+"&amp;BB187&amp;EH$1)</f>
        <v/>
      </c>
      <c r="EI187" s="44" t="str">
        <f t="shared" ref="EI187" si="3203">IF(BC187="","","|n"&amp;EI$2&amp;"+"&amp;BC187&amp;EI$1)</f>
        <v/>
      </c>
      <c r="EJ187" s="44" t="str">
        <f t="shared" ref="EJ187" si="3204">IF(BD187="","","|n"&amp;EJ$2&amp;"+"&amp;BD187&amp;EJ$1)</f>
        <v/>
      </c>
      <c r="EK187" s="44" t="str">
        <f t="shared" ref="EK187" si="3205">IF(BE187="","","|n"&amp;EK$2&amp;"+"&amp;BE187&amp;EK$1)</f>
        <v/>
      </c>
      <c r="EL187" s="44" t="str">
        <f t="shared" ref="EL187" si="3206">IF(BF187="","","|n"&amp;EL$2&amp;"+"&amp;BF187&amp;EL$1)</f>
        <v/>
      </c>
      <c r="EM187" s="44" t="str">
        <f t="shared" ref="EM187" si="3207">IF(BG187="","","|n"&amp;EM$2&amp;"+"&amp;BG187&amp;EM$1)</f>
        <v/>
      </c>
      <c r="EN187" s="44" t="str">
        <f t="shared" ref="EN187" si="3208">IF(BH187="","","|n"&amp;EN$2&amp;"+"&amp;BH187&amp;EN$1)</f>
        <v/>
      </c>
      <c r="EO187" s="44" t="str">
        <f t="shared" ref="EO187" si="3209">IF(BI187="","","|n"&amp;EO$2&amp;"+"&amp;BI187&amp;EO$1)</f>
        <v/>
      </c>
      <c r="EP187" s="44" t="str">
        <f t="shared" ref="EP187" si="3210">IF(BJ187="","","|n"&amp;EP$2&amp;"+"&amp;BJ187&amp;EP$1)</f>
        <v/>
      </c>
      <c r="EQ187" s="44" t="str">
        <f t="shared" ref="EQ187" si="3211">IF(BK187="","","|n"&amp;EQ$2&amp;"+"&amp;BK187&amp;EQ$1)</f>
        <v/>
      </c>
      <c r="ER187" s="44" t="str">
        <f t="shared" ref="ER187" si="3212">IF(BL187="","","|n"&amp;ER$2&amp;"+"&amp;BL187&amp;ER$1)</f>
        <v/>
      </c>
      <c r="ES187" s="44" t="str">
        <f t="shared" ref="ES187" si="3213">IF(BM187="","","|n"&amp;ES$2&amp;"+"&amp;BM187&amp;ES$1)</f>
        <v/>
      </c>
      <c r="ET187" s="44" t="str">
        <f t="shared" ref="ET187" si="3214">IF(BN187="","","|n"&amp;ET$2&amp;"+"&amp;BN187&amp;ET$1)</f>
        <v/>
      </c>
      <c r="EU187" s="44" t="str">
        <f t="shared" ref="EU187" si="3215">IF(BO187="","","|n"&amp;EU$2&amp;"+"&amp;BO187&amp;EU$1)</f>
        <v/>
      </c>
      <c r="EV187" s="44" t="str">
        <f t="shared" ref="EV187" si="3216">IF(BP187="","","|n"&amp;EV$2&amp;"+"&amp;BP187&amp;EV$1)</f>
        <v/>
      </c>
      <c r="EW187" s="44" t="str">
        <f t="shared" ref="EW187" si="3217">IF(BQ187="","","|n"&amp;EW$2&amp;"+"&amp;BQ187&amp;EW$1)</f>
        <v/>
      </c>
      <c r="EX187" s="44" t="str">
        <f t="shared" ref="EX187" si="3218">IF(BR187="","","|n"&amp;EX$2&amp;"+"&amp;BR187&amp;EX$1)</f>
        <v/>
      </c>
      <c r="EY187" s="44" t="str">
        <f t="shared" ref="EY187" si="3219">IF(BS187="","","|n"&amp;EY$2&amp;"+"&amp;BS187&amp;EY$1)</f>
        <v/>
      </c>
      <c r="EZ187" s="44" t="str">
        <f t="shared" ref="EZ187" si="3220">IF(BT187="","","|n"&amp;EZ$2&amp;"+"&amp;BT187&amp;EZ$1)</f>
        <v/>
      </c>
      <c r="FA187" s="44" t="str">
        <f t="shared" ref="FA187" si="3221">IF(BU187="","","|n"&amp;FA$2&amp;"+"&amp;BU187&amp;FA$1)</f>
        <v/>
      </c>
      <c r="FB187" s="44" t="str">
        <f t="shared" ref="FB187" si="3222">IF(BV187="","","|n"&amp;FB$2&amp;"+"&amp;BV187&amp;FB$1)</f>
        <v/>
      </c>
      <c r="FC187" s="44" t="str">
        <f t="shared" ref="FC187" si="3223">IF(BW187="","","|n"&amp;FC$2&amp;"+"&amp;BW187&amp;FC$1)</f>
        <v/>
      </c>
      <c r="FD187" s="44" t="str">
        <f t="shared" ref="FD187" si="3224">IF(BX187="","","|n"&amp;FD$2&amp;"+"&amp;BX187&amp;FD$1)</f>
        <v/>
      </c>
      <c r="FE187" s="44" t="str">
        <f t="shared" ref="FE187" si="3225">IF(BY187="","","|n"&amp;FE$2&amp;"+"&amp;BY187&amp;FE$1)</f>
        <v/>
      </c>
      <c r="FF187" s="44" t="str">
        <f t="shared" ref="FF187" si="3226">IF(BZ187="","","|n"&amp;FF$2&amp;"+"&amp;BZ187&amp;FF$1)</f>
        <v/>
      </c>
      <c r="FG187" s="44" t="str">
        <f t="shared" ref="FG187" si="3227">IF(CA187="","","|n"&amp;FG$2&amp;"+"&amp;CA187&amp;FG$1)</f>
        <v/>
      </c>
      <c r="FH187" s="44" t="str">
        <f t="shared" ref="FH187" si="3228">IF(CB187="","","|n"&amp;FH$2&amp;"+"&amp;CB187&amp;FH$1)</f>
        <v/>
      </c>
      <c r="FI187" s="44" t="str">
        <f t="shared" ref="FI187" si="3229">IF(CC187="","","|n"&amp;FI$2&amp;"+"&amp;CC187&amp;FI$1)</f>
        <v/>
      </c>
      <c r="FJ187" s="44" t="str">
        <f t="shared" ref="FJ187" si="3230">IF(CD187="","","|n"&amp;FJ$2&amp;"+"&amp;CD187&amp;FJ$1)</f>
        <v/>
      </c>
      <c r="FK187" s="44" t="str">
        <f t="shared" ref="FK187" si="3231">IF(CE187="","","|n"&amp;FK$2&amp;"+"&amp;CE187&amp;FK$1)</f>
        <v/>
      </c>
      <c r="FL187" s="44" t="str">
        <f t="shared" ref="FL187" si="3232">IF(CF187="","","|n"&amp;FL$2&amp;"+"&amp;CF187&amp;FL$1)</f>
        <v/>
      </c>
      <c r="FM187" s="44" t="str">
        <f t="shared" ref="FM187" si="3233">IF(CG187="","","|n"&amp;FM$2&amp;"+"&amp;CG187&amp;FM$1)</f>
        <v/>
      </c>
      <c r="FN187" s="44" t="str">
        <f t="shared" ref="FN187" si="3234">IF(CH187="","","|n"&amp;FN$2&amp;"+"&amp;CH187&amp;FN$1)</f>
        <v/>
      </c>
      <c r="FO187" s="44" t="str">
        <f t="shared" ref="FO187" si="3235">IF(CI187="","","|n"&amp;FO$2&amp;"+"&amp;CI187&amp;FO$1)</f>
        <v/>
      </c>
      <c r="FP187" s="44" t="str">
        <f t="shared" ref="FP187" si="3236">IF(CJ187="","","|n"&amp;FP$2&amp;"+"&amp;CJ187&amp;FP$1)</f>
        <v/>
      </c>
      <c r="FQ187" s="44" t="str">
        <f t="shared" ref="FQ187" si="3237">IF(CK187="","","|n"&amp;FQ$2&amp;"+"&amp;CK187&amp;FQ$1)</f>
        <v/>
      </c>
      <c r="FR187" s="44" t="str">
        <f t="shared" ref="FR187" si="3238">IF(CL187="","","|n"&amp;FR$2&amp;"+"&amp;CL187&amp;FR$1)</f>
        <v/>
      </c>
      <c r="FS187" s="44" t="str">
        <f t="shared" ref="FS187" si="3239">IF(CM187="","","|n"&amp;FS$2&amp;"+"&amp;CM187&amp;FS$1)</f>
        <v/>
      </c>
    </row>
    <row r="188" spans="1:175" ht="16.5">
      <c r="A188" s="74"/>
      <c r="B188" s="5" t="s">
        <v>674</v>
      </c>
      <c r="C188" s="74" t="s">
        <v>675</v>
      </c>
      <c r="T188" s="149" t="s">
        <v>861</v>
      </c>
      <c r="U188" s="56" t="s">
        <v>676</v>
      </c>
      <c r="CN188" s="13" t="str">
        <f t="shared" ref="CN188:CN191" si="3240">"InitUnitState('"&amp;B188&amp;"',"&amp;V188&amp;","&amp;W188&amp;","&amp;X188&amp;","&amp;Y188&amp;","&amp;Z188&amp;","&amp;AA188&amp;","&amp;AB188&amp;","&amp;AC188&amp;","&amp;AD188&amp;","&amp;AE188&amp;")"</f>
        <v>InitUnitState('IS14',,,,,,,,,,)</v>
      </c>
      <c r="CO188" s="13" t="str">
        <f t="shared" ref="CO188:CO191" si="3241">"InitUnitNormal('"&amp;B188&amp;"',"&amp;AF188&amp;","&amp;AG188&amp;","&amp;AH188&amp;","&amp;AI188&amp;","&amp;AJ188&amp;","&amp;AK188&amp;","&amp;AL188&amp;","&amp;AM188&amp;","&amp;AN188&amp;","&amp;AO188&amp;")"</f>
        <v>InitUnitNormal('IS14',,,,,,,,,,)</v>
      </c>
      <c r="CP188" s="13" t="str">
        <f t="shared" ref="CP188:CP191" si="3242">"InitUnitMagic('"&amp;B188&amp;"',"&amp;AP188&amp;","&amp;AQ188&amp;","&amp;AR188&amp;","&amp;AS188&amp;","&amp;AT188&amp;","&amp;AU188&amp;","&amp;AV188&amp;","&amp;AW188&amp;","&amp;BI188&amp;","&amp;BJ188&amp;")"</f>
        <v>InitUnitMagic('IS14',,,,,,,,,,)</v>
      </c>
      <c r="CQ188" s="13" t="str">
        <f t="shared" ref="CQ188:CQ191" si="3243">"InitUnitAdd('"&amp;B188&amp;"',"&amp;BK188&amp;","&amp;BL188&amp;","&amp;BM188&amp;","&amp;BN188&amp;","&amp;BO188&amp;","&amp;BP188&amp;","&amp;BQ188&amp;","&amp;BR188&amp;","&amp;BS188&amp;","&amp;BT188&amp;")"</f>
        <v>InitUnitAdd('IS14',,,,,,,,,,)</v>
      </c>
      <c r="CR188" s="13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179&amp;CR$1&amp;")"</f>
        <v>InitEquipData('IS14',,"",,,,,'','','','','','',"ReplaceableTextures\\CommandButtons\\BTNIN01.blp")</v>
      </c>
      <c r="CU188" s="68" t="str">
        <f t="shared" si="3168"/>
        <v>|n</v>
      </c>
      <c r="CV188" s="6" t="str">
        <f t="shared" si="3169"/>
        <v>|cffffcc00升级消耗：|r150+等级*150杀敌数|n|n|cff00ff7f最高升至10级|r</v>
      </c>
      <c r="CW188" s="7"/>
      <c r="CX188" s="7"/>
      <c r="CY188" s="7"/>
      <c r="CZ188" s="7"/>
      <c r="DA188" s="7"/>
      <c r="DB188" s="44" t="str">
        <f t="shared" ref="DB188:EG188" si="3244">IF(V188="","","|n"&amp;DB$2&amp;"+"&amp;V188&amp;DB$1)</f>
        <v/>
      </c>
      <c r="DC188" s="44" t="str">
        <f t="shared" si="3244"/>
        <v/>
      </c>
      <c r="DD188" s="44" t="str">
        <f t="shared" si="3244"/>
        <v/>
      </c>
      <c r="DE188" s="44" t="str">
        <f t="shared" si="3244"/>
        <v/>
      </c>
      <c r="DF188" s="44" t="str">
        <f t="shared" si="3244"/>
        <v/>
      </c>
      <c r="DG188" s="44" t="str">
        <f t="shared" si="3244"/>
        <v/>
      </c>
      <c r="DH188" s="44" t="str">
        <f t="shared" si="3244"/>
        <v/>
      </c>
      <c r="DI188" s="44" t="str">
        <f t="shared" si="3244"/>
        <v/>
      </c>
      <c r="DJ188" s="44" t="str">
        <f t="shared" si="3244"/>
        <v/>
      </c>
      <c r="DK188" s="44" t="str">
        <f t="shared" si="3244"/>
        <v/>
      </c>
      <c r="DL188" s="44" t="str">
        <f t="shared" si="3244"/>
        <v/>
      </c>
      <c r="DM188" s="44" t="str">
        <f t="shared" si="3244"/>
        <v/>
      </c>
      <c r="DN188" s="44" t="str">
        <f t="shared" si="3244"/>
        <v/>
      </c>
      <c r="DO188" s="44" t="str">
        <f t="shared" si="3244"/>
        <v/>
      </c>
      <c r="DP188" s="44" t="str">
        <f t="shared" si="3244"/>
        <v/>
      </c>
      <c r="DQ188" s="44" t="str">
        <f t="shared" si="3244"/>
        <v/>
      </c>
      <c r="DR188" s="44" t="str">
        <f t="shared" si="3244"/>
        <v/>
      </c>
      <c r="DS188" s="44" t="str">
        <f t="shared" si="3244"/>
        <v/>
      </c>
      <c r="DT188" s="44" t="str">
        <f t="shared" si="3244"/>
        <v/>
      </c>
      <c r="DU188" s="44" t="str">
        <f t="shared" si="3244"/>
        <v/>
      </c>
      <c r="DV188" s="44" t="str">
        <f t="shared" si="3244"/>
        <v/>
      </c>
      <c r="DW188" s="44" t="str">
        <f t="shared" si="3244"/>
        <v/>
      </c>
      <c r="DX188" s="44" t="str">
        <f t="shared" si="3244"/>
        <v/>
      </c>
      <c r="DY188" s="44" t="str">
        <f t="shared" si="3244"/>
        <v/>
      </c>
      <c r="DZ188" s="44" t="str">
        <f t="shared" si="3244"/>
        <v/>
      </c>
      <c r="EA188" s="44" t="str">
        <f t="shared" si="3244"/>
        <v/>
      </c>
      <c r="EB188" s="44" t="str">
        <f t="shared" si="3244"/>
        <v/>
      </c>
      <c r="EC188" s="44" t="str">
        <f t="shared" si="3244"/>
        <v/>
      </c>
      <c r="ED188" s="44" t="str">
        <f t="shared" si="3244"/>
        <v/>
      </c>
      <c r="EE188" s="44" t="str">
        <f t="shared" si="3244"/>
        <v/>
      </c>
      <c r="EF188" s="44" t="str">
        <f t="shared" si="3244"/>
        <v/>
      </c>
      <c r="EG188" s="44" t="str">
        <f t="shared" si="3244"/>
        <v/>
      </c>
      <c r="EH188" s="44" t="str">
        <f t="shared" ref="EH188:FM188" si="3245">IF(BB188="","","|n"&amp;EH$2&amp;"+"&amp;BB188&amp;EH$1)</f>
        <v/>
      </c>
      <c r="EI188" s="44" t="str">
        <f t="shared" si="3245"/>
        <v/>
      </c>
      <c r="EJ188" s="44" t="str">
        <f t="shared" si="3245"/>
        <v/>
      </c>
      <c r="EK188" s="44" t="str">
        <f t="shared" si="3245"/>
        <v/>
      </c>
      <c r="EL188" s="44" t="str">
        <f t="shared" si="3245"/>
        <v/>
      </c>
      <c r="EM188" s="44" t="str">
        <f t="shared" si="3245"/>
        <v/>
      </c>
      <c r="EN188" s="44" t="str">
        <f t="shared" si="3245"/>
        <v/>
      </c>
      <c r="EO188" s="44" t="str">
        <f t="shared" si="3245"/>
        <v/>
      </c>
      <c r="EP188" s="44" t="str">
        <f t="shared" si="3245"/>
        <v/>
      </c>
      <c r="EQ188" s="44" t="str">
        <f t="shared" si="3245"/>
        <v/>
      </c>
      <c r="ER188" s="44" t="str">
        <f t="shared" si="3245"/>
        <v/>
      </c>
      <c r="ES188" s="44" t="str">
        <f t="shared" si="3245"/>
        <v/>
      </c>
      <c r="ET188" s="44" t="str">
        <f t="shared" si="3245"/>
        <v/>
      </c>
      <c r="EU188" s="44" t="str">
        <f t="shared" si="3245"/>
        <v/>
      </c>
      <c r="EV188" s="44" t="str">
        <f t="shared" si="3245"/>
        <v/>
      </c>
      <c r="EW188" s="44" t="str">
        <f t="shared" si="3245"/>
        <v/>
      </c>
      <c r="EX188" s="44" t="str">
        <f t="shared" si="3245"/>
        <v/>
      </c>
      <c r="EY188" s="44" t="str">
        <f t="shared" si="3245"/>
        <v/>
      </c>
      <c r="EZ188" s="44" t="str">
        <f t="shared" si="3245"/>
        <v/>
      </c>
      <c r="FA188" s="44" t="str">
        <f t="shared" si="3245"/>
        <v/>
      </c>
      <c r="FB188" s="44" t="str">
        <f t="shared" si="3245"/>
        <v/>
      </c>
      <c r="FC188" s="44" t="str">
        <f t="shared" si="3245"/>
        <v/>
      </c>
      <c r="FD188" s="44" t="str">
        <f t="shared" si="3245"/>
        <v/>
      </c>
      <c r="FE188" s="44" t="str">
        <f t="shared" si="3245"/>
        <v/>
      </c>
      <c r="FF188" s="44" t="str">
        <f t="shared" si="3245"/>
        <v/>
      </c>
      <c r="FG188" s="44" t="str">
        <f t="shared" si="3245"/>
        <v/>
      </c>
      <c r="FH188" s="44" t="str">
        <f t="shared" si="3245"/>
        <v/>
      </c>
      <c r="FI188" s="44" t="str">
        <f t="shared" si="3245"/>
        <v/>
      </c>
      <c r="FJ188" s="44" t="str">
        <f t="shared" si="3245"/>
        <v/>
      </c>
      <c r="FK188" s="44" t="str">
        <f t="shared" si="3245"/>
        <v/>
      </c>
      <c r="FL188" s="44" t="str">
        <f t="shared" si="3245"/>
        <v/>
      </c>
      <c r="FM188" s="44" t="str">
        <f t="shared" si="3245"/>
        <v/>
      </c>
      <c r="FN188" s="44" t="str">
        <f t="shared" ref="FN188:FS188" si="3246">IF(CH188="","","|n"&amp;FN$2&amp;"+"&amp;CH188&amp;FN$1)</f>
        <v/>
      </c>
      <c r="FO188" s="44" t="str">
        <f t="shared" si="3246"/>
        <v/>
      </c>
      <c r="FP188" s="44" t="str">
        <f t="shared" si="3246"/>
        <v/>
      </c>
      <c r="FQ188" s="44" t="str">
        <f t="shared" si="3246"/>
        <v/>
      </c>
      <c r="FR188" s="44" t="str">
        <f t="shared" si="3246"/>
        <v/>
      </c>
      <c r="FS188" s="44" t="str">
        <f t="shared" si="3246"/>
        <v/>
      </c>
    </row>
    <row r="189" spans="1:175">
      <c r="A189" s="74"/>
      <c r="B189" s="8" t="s">
        <v>677</v>
      </c>
      <c r="C189" s="93" t="s">
        <v>678</v>
      </c>
      <c r="T189" s="37" t="s">
        <v>679</v>
      </c>
      <c r="U189" s="56" t="str">
        <f t="shared" ref="U189:U197" si="3247">"ReplaceableTextures\\CommandButtons\\BTN"&amp;B189&amp;".blp"</f>
        <v>ReplaceableTextures\\CommandButtons\\BTNIB01.blp</v>
      </c>
      <c r="CN189" s="13" t="str">
        <f t="shared" si="3240"/>
        <v>InitUnitState('IB01',,,,,,,,,,)</v>
      </c>
      <c r="CO189" s="13" t="str">
        <f t="shared" si="3241"/>
        <v>InitUnitNormal('IB01',,,,,,,,,,)</v>
      </c>
      <c r="CP189" s="13" t="str">
        <f t="shared" si="3242"/>
        <v>InitUnitMagic('IB01',,,,,,,,,,)</v>
      </c>
      <c r="CQ189" s="13" t="str">
        <f t="shared" si="3243"/>
        <v>InitUnitAdd('IB01',,,,,,,,,,)</v>
      </c>
      <c r="CR189" s="13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InitEquipData('IB01',,"",,,,,'','','','','','',"ReplaceableTextures\\CommandButtons\\BTNIB02.blp")</v>
      </c>
      <c r="CU189" s="68" t="str">
        <f t="shared" ref="CU189:CU197" si="3248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6" t="str">
        <f t="shared" ref="CV189:CV197" si="3249">T189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89" s="7"/>
      <c r="CX189" s="7"/>
      <c r="CY189" s="7"/>
      <c r="CZ189" s="7"/>
      <c r="DA189" s="7"/>
      <c r="DB189" s="44" t="str">
        <f t="shared" ref="DB189:DB196" si="3250">IF(V189="","","|n"&amp;DB$2&amp;"+"&amp;V189&amp;DB$1)</f>
        <v/>
      </c>
      <c r="DC189" s="44" t="str">
        <f t="shared" ref="DC189:DC196" si="3251">IF(W189="","","|n"&amp;DC$2&amp;"+"&amp;W189&amp;DC$1)</f>
        <v/>
      </c>
      <c r="DD189" s="44" t="str">
        <f t="shared" ref="DD189:DD196" si="3252">IF(X189="","","|n"&amp;DD$2&amp;"+"&amp;X189&amp;DD$1)</f>
        <v/>
      </c>
      <c r="DE189" s="44" t="str">
        <f t="shared" ref="DE189:DE196" si="3253">IF(Y189="","","|n"&amp;DE$2&amp;"+"&amp;Y189&amp;DE$1)</f>
        <v/>
      </c>
      <c r="DF189" s="44" t="str">
        <f t="shared" ref="DF189:DF196" si="3254">IF(Z189="","","|n"&amp;DF$2&amp;"+"&amp;Z189&amp;DF$1)</f>
        <v/>
      </c>
      <c r="DG189" s="44" t="str">
        <f t="shared" ref="DG189:DG196" si="3255">IF(AA189="","","|n"&amp;DG$2&amp;"+"&amp;AA189&amp;DG$1)</f>
        <v/>
      </c>
      <c r="DH189" s="44" t="str">
        <f t="shared" ref="DH189:DH196" si="3256">IF(AB189="","","|n"&amp;DH$2&amp;"+"&amp;AB189&amp;DH$1)</f>
        <v/>
      </c>
      <c r="DI189" s="44" t="str">
        <f t="shared" ref="DI189:DI196" si="3257">IF(AC189="","","|n"&amp;DI$2&amp;"+"&amp;AC189&amp;DI$1)</f>
        <v/>
      </c>
      <c r="DJ189" s="44" t="str">
        <f t="shared" ref="DJ189:DJ196" si="3258">IF(AD189="","","|n"&amp;DJ$2&amp;"+"&amp;AD189&amp;DJ$1)</f>
        <v/>
      </c>
      <c r="DK189" s="44" t="str">
        <f t="shared" ref="DK189:DK196" si="3259">IF(AE189="","","|n"&amp;DK$2&amp;"+"&amp;AE189&amp;DK$1)</f>
        <v/>
      </c>
      <c r="DL189" s="44" t="str">
        <f t="shared" ref="DL189:DL196" si="3260">IF(AF189="","","|n"&amp;DL$2&amp;"+"&amp;AF189&amp;DL$1)</f>
        <v/>
      </c>
      <c r="DM189" s="44" t="str">
        <f t="shared" ref="DM189:DM196" si="3261">IF(AG189="","","|n"&amp;DM$2&amp;"+"&amp;AG189&amp;DM$1)</f>
        <v/>
      </c>
      <c r="DN189" s="44" t="str">
        <f t="shared" ref="DN189:DN196" si="3262">IF(AH189="","","|n"&amp;DN$2&amp;"+"&amp;AH189&amp;DN$1)</f>
        <v/>
      </c>
      <c r="DO189" s="44" t="str">
        <f t="shared" ref="DO189:DO196" si="3263">IF(AI189="","","|n"&amp;DO$2&amp;"+"&amp;AI189&amp;DO$1)</f>
        <v/>
      </c>
      <c r="DP189" s="44" t="str">
        <f t="shared" ref="DP189:DP196" si="3264">IF(AJ189="","","|n"&amp;DP$2&amp;"+"&amp;AJ189&amp;DP$1)</f>
        <v/>
      </c>
      <c r="DQ189" s="44" t="str">
        <f t="shared" ref="DQ189:DQ196" si="3265">IF(AK189="","","|n"&amp;DQ$2&amp;"+"&amp;AK189&amp;DQ$1)</f>
        <v/>
      </c>
      <c r="DR189" s="44" t="str">
        <f t="shared" ref="DR189:DR196" si="3266">IF(AL189="","","|n"&amp;DR$2&amp;"+"&amp;AL189&amp;DR$1)</f>
        <v/>
      </c>
      <c r="DS189" s="44" t="str">
        <f t="shared" ref="DS189:DS196" si="3267">IF(AM189="","","|n"&amp;DS$2&amp;"+"&amp;AM189&amp;DS$1)</f>
        <v/>
      </c>
      <c r="DT189" s="44" t="str">
        <f t="shared" ref="DT189:DT196" si="3268">IF(AN189="","","|n"&amp;DT$2&amp;"+"&amp;AN189&amp;DT$1)</f>
        <v/>
      </c>
      <c r="DU189" s="44" t="str">
        <f t="shared" ref="DU189:DU196" si="3269">IF(AO189="","","|n"&amp;DU$2&amp;"+"&amp;AO189&amp;DU$1)</f>
        <v/>
      </c>
      <c r="DV189" s="44" t="str">
        <f t="shared" ref="DV189:DV196" si="3270">IF(AP189="","","|n"&amp;DV$2&amp;"+"&amp;AP189&amp;DV$1)</f>
        <v/>
      </c>
      <c r="DW189" s="44" t="str">
        <f t="shared" ref="DW189:DW196" si="3271">IF(AQ189="","","|n"&amp;DW$2&amp;"+"&amp;AQ189&amp;DW$1)</f>
        <v/>
      </c>
      <c r="DX189" s="44" t="str">
        <f t="shared" ref="DX189:DX196" si="3272">IF(AR189="","","|n"&amp;DX$2&amp;"+"&amp;AR189&amp;DX$1)</f>
        <v/>
      </c>
      <c r="DY189" s="44" t="str">
        <f t="shared" ref="DY189:DY196" si="3273">IF(AS189="","","|n"&amp;DY$2&amp;"+"&amp;AS189&amp;DY$1)</f>
        <v/>
      </c>
      <c r="DZ189" s="44" t="str">
        <f t="shared" ref="DZ189:DZ196" si="3274">IF(AT189="","","|n"&amp;DZ$2&amp;"+"&amp;AT189&amp;DZ$1)</f>
        <v/>
      </c>
      <c r="EA189" s="44" t="str">
        <f t="shared" ref="EA189:EA196" si="3275">IF(AU189="","","|n"&amp;EA$2&amp;"+"&amp;AU189&amp;EA$1)</f>
        <v/>
      </c>
      <c r="EB189" s="44" t="str">
        <f t="shared" ref="EB189:EB196" si="3276">IF(AV189="","","|n"&amp;EB$2&amp;"+"&amp;AV189&amp;EB$1)</f>
        <v/>
      </c>
      <c r="EC189" s="44" t="str">
        <f t="shared" ref="EC189:EC196" si="3277">IF(AW189="","","|n"&amp;EC$2&amp;"+"&amp;AW189&amp;EC$1)</f>
        <v/>
      </c>
      <c r="ED189" s="44" t="str">
        <f t="shared" ref="ED189:ED196" si="3278">IF(AX189="","","|n"&amp;ED$2&amp;"+"&amp;AX189&amp;ED$1)</f>
        <v/>
      </c>
      <c r="EE189" s="44" t="str">
        <f t="shared" ref="EE189:EE196" si="3279">IF(AY189="","","|n"&amp;EE$2&amp;"+"&amp;AY189&amp;EE$1)</f>
        <v/>
      </c>
      <c r="EF189" s="44" t="str">
        <f t="shared" ref="EF189:EF196" si="3280">IF(AZ189="","","|n"&amp;EF$2&amp;"+"&amp;AZ189&amp;EF$1)</f>
        <v/>
      </c>
      <c r="EG189" s="44" t="str">
        <f t="shared" ref="EG189:EG196" si="3281">IF(BA189="","","|n"&amp;EG$2&amp;"+"&amp;BA189&amp;EG$1)</f>
        <v/>
      </c>
      <c r="EH189" s="44" t="str">
        <f t="shared" ref="EH189:EH196" si="3282">IF(BB189="","","|n"&amp;EH$2&amp;"+"&amp;BB189&amp;EH$1)</f>
        <v/>
      </c>
      <c r="EI189" s="44" t="str">
        <f t="shared" ref="EI189:EI196" si="3283">IF(BC189="","","|n"&amp;EI$2&amp;"+"&amp;BC189&amp;EI$1)</f>
        <v/>
      </c>
      <c r="EJ189" s="44" t="str">
        <f t="shared" ref="EJ189:EJ196" si="3284">IF(BD189="","","|n"&amp;EJ$2&amp;"+"&amp;BD189&amp;EJ$1)</f>
        <v/>
      </c>
      <c r="EK189" s="44" t="str">
        <f t="shared" ref="EK189:EK196" si="3285">IF(BE189="","","|n"&amp;EK$2&amp;"+"&amp;BE189&amp;EK$1)</f>
        <v/>
      </c>
      <c r="EL189" s="44" t="str">
        <f t="shared" ref="EL189:EL196" si="3286">IF(BF189="","","|n"&amp;EL$2&amp;"+"&amp;BF189&amp;EL$1)</f>
        <v/>
      </c>
      <c r="EM189" s="44" t="str">
        <f t="shared" ref="EM189:EM196" si="3287">IF(BG189="","","|n"&amp;EM$2&amp;"+"&amp;BG189&amp;EM$1)</f>
        <v/>
      </c>
      <c r="EN189" s="44" t="str">
        <f t="shared" ref="EN189:EN196" si="3288">IF(BH189="","","|n"&amp;EN$2&amp;"+"&amp;BH189&amp;EN$1)</f>
        <v/>
      </c>
      <c r="EO189" s="44" t="str">
        <f t="shared" ref="EO189:EO196" si="3289">IF(BI189="","","|n"&amp;EO$2&amp;"+"&amp;BI189&amp;EO$1)</f>
        <v/>
      </c>
      <c r="EP189" s="44" t="str">
        <f t="shared" ref="EP189:EP196" si="3290">IF(BJ189="","","|n"&amp;EP$2&amp;"+"&amp;BJ189&amp;EP$1)</f>
        <v/>
      </c>
      <c r="EQ189" s="44" t="str">
        <f t="shared" ref="EQ189:EQ196" si="3291">IF(BK189="","","|n"&amp;EQ$2&amp;"+"&amp;BK189&amp;EQ$1)</f>
        <v/>
      </c>
      <c r="ER189" s="44" t="str">
        <f t="shared" ref="ER189:ER196" si="3292">IF(BL189="","","|n"&amp;ER$2&amp;"+"&amp;BL189&amp;ER$1)</f>
        <v/>
      </c>
      <c r="ES189" s="44" t="str">
        <f t="shared" ref="ES189:ES196" si="3293">IF(BM189="","","|n"&amp;ES$2&amp;"+"&amp;BM189&amp;ES$1)</f>
        <v/>
      </c>
      <c r="ET189" s="44" t="str">
        <f t="shared" ref="ET189:ET196" si="3294">IF(BN189="","","|n"&amp;ET$2&amp;"+"&amp;BN189&amp;ET$1)</f>
        <v/>
      </c>
      <c r="EU189" s="44" t="str">
        <f t="shared" ref="EU189:EU196" si="3295">IF(BO189="","","|n"&amp;EU$2&amp;"+"&amp;BO189&amp;EU$1)</f>
        <v/>
      </c>
      <c r="EV189" s="44" t="str">
        <f t="shared" ref="EV189:EV196" si="3296">IF(BP189="","","|n"&amp;EV$2&amp;"+"&amp;BP189&amp;EV$1)</f>
        <v/>
      </c>
      <c r="EW189" s="44" t="str">
        <f t="shared" ref="EW189:EW196" si="3297">IF(BQ189="","","|n"&amp;EW$2&amp;"+"&amp;BQ189&amp;EW$1)</f>
        <v/>
      </c>
      <c r="EX189" s="44" t="str">
        <f t="shared" ref="EX189:EX196" si="3298">IF(BR189="","","|n"&amp;EX$2&amp;"+"&amp;BR189&amp;EX$1)</f>
        <v/>
      </c>
      <c r="EY189" s="44" t="str">
        <f t="shared" ref="EY189:EY196" si="3299">IF(BS189="","","|n"&amp;EY$2&amp;"+"&amp;BS189&amp;EY$1)</f>
        <v/>
      </c>
      <c r="EZ189" s="44" t="str">
        <f t="shared" ref="EZ189:EZ196" si="3300">IF(BT189="","","|n"&amp;EZ$2&amp;"+"&amp;BT189&amp;EZ$1)</f>
        <v/>
      </c>
      <c r="FA189" s="44" t="str">
        <f t="shared" ref="FA189:FA196" si="3301">IF(BU189="","","|n"&amp;FA$2&amp;"+"&amp;BU189&amp;FA$1)</f>
        <v/>
      </c>
      <c r="FB189" s="44" t="str">
        <f t="shared" ref="FB189:FB196" si="3302">IF(BV189="","","|n"&amp;FB$2&amp;"+"&amp;BV189&amp;FB$1)</f>
        <v/>
      </c>
      <c r="FC189" s="44" t="str">
        <f t="shared" ref="FC189:FC196" si="3303">IF(BW189="","","|n"&amp;FC$2&amp;"+"&amp;BW189&amp;FC$1)</f>
        <v/>
      </c>
      <c r="FD189" s="44" t="str">
        <f t="shared" ref="FD189:FD196" si="3304">IF(BX189="","","|n"&amp;FD$2&amp;"+"&amp;BX189&amp;FD$1)</f>
        <v/>
      </c>
      <c r="FE189" s="44" t="str">
        <f t="shared" ref="FE189:FE196" si="3305">IF(BY189="","","|n"&amp;FE$2&amp;"+"&amp;BY189&amp;FE$1)</f>
        <v/>
      </c>
      <c r="FF189" s="44" t="str">
        <f t="shared" ref="FF189:FF196" si="3306">IF(BZ189="","","|n"&amp;FF$2&amp;"+"&amp;BZ189&amp;FF$1)</f>
        <v/>
      </c>
      <c r="FG189" s="44" t="str">
        <f t="shared" ref="FG189:FG196" si="3307">IF(CA189="","","|n"&amp;FG$2&amp;"+"&amp;CA189&amp;FG$1)</f>
        <v/>
      </c>
      <c r="FH189" s="44" t="str">
        <f t="shared" ref="FH189:FH196" si="3308">IF(CB189="","","|n"&amp;FH$2&amp;"+"&amp;CB189&amp;FH$1)</f>
        <v/>
      </c>
      <c r="FI189" s="44" t="str">
        <f t="shared" ref="FI189:FI196" si="3309">IF(CC189="","","|n"&amp;FI$2&amp;"+"&amp;CC189&amp;FI$1)</f>
        <v/>
      </c>
      <c r="FJ189" s="44" t="str">
        <f t="shared" ref="FJ189:FJ196" si="3310">IF(CD189="","","|n"&amp;FJ$2&amp;"+"&amp;CD189&amp;FJ$1)</f>
        <v/>
      </c>
      <c r="FK189" s="44" t="str">
        <f t="shared" ref="FK189:FK196" si="3311">IF(CE189="","","|n"&amp;FK$2&amp;"+"&amp;CE189&amp;FK$1)</f>
        <v/>
      </c>
      <c r="FL189" s="44" t="str">
        <f t="shared" ref="FL189:FL196" si="3312">IF(CF189="","","|n"&amp;FL$2&amp;"+"&amp;CF189&amp;FL$1)</f>
        <v/>
      </c>
      <c r="FM189" s="44" t="str">
        <f t="shared" ref="FM189:FM196" si="3313">IF(CG189="","","|n"&amp;FM$2&amp;"+"&amp;CG189&amp;FM$1)</f>
        <v/>
      </c>
      <c r="FN189" s="44" t="str">
        <f t="shared" ref="FN189:FN196" si="3314">IF(CH189="","","|n"&amp;FN$2&amp;"+"&amp;CH189&amp;FN$1)</f>
        <v/>
      </c>
      <c r="FO189" s="44" t="str">
        <f t="shared" ref="FO189:FO196" si="3315">IF(CI189="","","|n"&amp;FO$2&amp;"+"&amp;CI189&amp;FO$1)</f>
        <v/>
      </c>
      <c r="FP189" s="44" t="str">
        <f t="shared" ref="FP189:FP196" si="3316">IF(CJ189="","","|n"&amp;FP$2&amp;"+"&amp;CJ189&amp;FP$1)</f>
        <v/>
      </c>
      <c r="FQ189" s="44" t="str">
        <f t="shared" ref="FQ189:FQ196" si="3317">IF(CK189="","","|n"&amp;FQ$2&amp;"+"&amp;CK189&amp;FQ$1)</f>
        <v/>
      </c>
      <c r="FR189" s="44" t="str">
        <f t="shared" ref="FR189:FR196" si="3318">IF(CL189="","","|n"&amp;FR$2&amp;"+"&amp;CL189&amp;FR$1)</f>
        <v/>
      </c>
      <c r="FS189" s="44" t="str">
        <f t="shared" ref="FS189:FS196" si="3319">IF(CM189="","","|n"&amp;FS$2&amp;"+"&amp;CM189&amp;FS$1)</f>
        <v/>
      </c>
    </row>
    <row r="190" spans="1:175">
      <c r="A190" s="74"/>
      <c r="B190" s="8" t="s">
        <v>680</v>
      </c>
      <c r="C190" s="93" t="s">
        <v>681</v>
      </c>
      <c r="T190" s="150" t="s">
        <v>862</v>
      </c>
      <c r="U190" s="56" t="str">
        <f t="shared" si="3247"/>
        <v>ReplaceableTextures\\CommandButtons\\BTNIB02.blp</v>
      </c>
      <c r="CN190" s="13" t="str">
        <f t="shared" si="3240"/>
        <v>InitUnitState('IB02',,,,,,,,,,)</v>
      </c>
      <c r="CO190" s="13" t="str">
        <f t="shared" si="3241"/>
        <v>InitUnitNormal('IB02',,,,,,,,,,)</v>
      </c>
      <c r="CP190" s="13" t="str">
        <f t="shared" si="3242"/>
        <v>InitUnitMagic('IB02',,,,,,,,,,)</v>
      </c>
      <c r="CQ190" s="13" t="str">
        <f t="shared" si="3243"/>
        <v>InitUnitAdd('IB02',,,,,,,,,,)</v>
      </c>
      <c r="CR190" s="13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InitEquipData('IB02',,"",,,,,'','','','','','',"ReplaceableTextures\\CommandButtons\\BTNIB03.blp")</v>
      </c>
      <c r="CU190" s="68" t="str">
        <f t="shared" si="3248"/>
        <v>|n</v>
      </c>
      <c r="CV190" s="6" t="str">
        <f t="shared" si="3249"/>
        <v>加入《|cff00ffcc全民封神|r》官方QQ群，即可获得入群礼包码！|n|n输入礼包码即可获得：|n|cff00ff7f招魂幡Lv2|r</v>
      </c>
      <c r="CW190" s="7"/>
      <c r="CX190" s="7"/>
      <c r="CY190" s="7"/>
      <c r="CZ190" s="7"/>
      <c r="DA190" s="7"/>
      <c r="DB190" s="44" t="str">
        <f t="shared" si="3250"/>
        <v/>
      </c>
      <c r="DC190" s="44" t="str">
        <f t="shared" si="3251"/>
        <v/>
      </c>
      <c r="DD190" s="44" t="str">
        <f t="shared" si="3252"/>
        <v/>
      </c>
      <c r="DE190" s="44" t="str">
        <f t="shared" si="3253"/>
        <v/>
      </c>
      <c r="DF190" s="44" t="str">
        <f t="shared" si="3254"/>
        <v/>
      </c>
      <c r="DG190" s="44" t="str">
        <f t="shared" si="3255"/>
        <v/>
      </c>
      <c r="DH190" s="44" t="str">
        <f t="shared" si="3256"/>
        <v/>
      </c>
      <c r="DI190" s="44" t="str">
        <f t="shared" si="3257"/>
        <v/>
      </c>
      <c r="DJ190" s="44" t="str">
        <f t="shared" si="3258"/>
        <v/>
      </c>
      <c r="DK190" s="44" t="str">
        <f t="shared" si="3259"/>
        <v/>
      </c>
      <c r="DL190" s="44" t="str">
        <f t="shared" si="3260"/>
        <v/>
      </c>
      <c r="DM190" s="44" t="str">
        <f t="shared" si="3261"/>
        <v/>
      </c>
      <c r="DN190" s="44" t="str">
        <f t="shared" si="3262"/>
        <v/>
      </c>
      <c r="DO190" s="44" t="str">
        <f t="shared" si="3263"/>
        <v/>
      </c>
      <c r="DP190" s="44" t="str">
        <f t="shared" si="3264"/>
        <v/>
      </c>
      <c r="DQ190" s="44" t="str">
        <f t="shared" si="3265"/>
        <v/>
      </c>
      <c r="DR190" s="44" t="str">
        <f t="shared" si="3266"/>
        <v/>
      </c>
      <c r="DS190" s="44" t="str">
        <f t="shared" si="3267"/>
        <v/>
      </c>
      <c r="DT190" s="44" t="str">
        <f t="shared" si="3268"/>
        <v/>
      </c>
      <c r="DU190" s="44" t="str">
        <f t="shared" si="3269"/>
        <v/>
      </c>
      <c r="DV190" s="44" t="str">
        <f t="shared" si="3270"/>
        <v/>
      </c>
      <c r="DW190" s="44" t="str">
        <f t="shared" si="3271"/>
        <v/>
      </c>
      <c r="DX190" s="44" t="str">
        <f t="shared" si="3272"/>
        <v/>
      </c>
      <c r="DY190" s="44" t="str">
        <f t="shared" si="3273"/>
        <v/>
      </c>
      <c r="DZ190" s="44" t="str">
        <f t="shared" si="3274"/>
        <v/>
      </c>
      <c r="EA190" s="44" t="str">
        <f t="shared" si="3275"/>
        <v/>
      </c>
      <c r="EB190" s="44" t="str">
        <f t="shared" si="3276"/>
        <v/>
      </c>
      <c r="EC190" s="44" t="str">
        <f t="shared" si="3277"/>
        <v/>
      </c>
      <c r="ED190" s="44" t="str">
        <f t="shared" si="3278"/>
        <v/>
      </c>
      <c r="EE190" s="44" t="str">
        <f t="shared" si="3279"/>
        <v/>
      </c>
      <c r="EF190" s="44" t="str">
        <f t="shared" si="3280"/>
        <v/>
      </c>
      <c r="EG190" s="44" t="str">
        <f t="shared" si="3281"/>
        <v/>
      </c>
      <c r="EH190" s="44" t="str">
        <f t="shared" si="3282"/>
        <v/>
      </c>
      <c r="EI190" s="44" t="str">
        <f t="shared" si="3283"/>
        <v/>
      </c>
      <c r="EJ190" s="44" t="str">
        <f t="shared" si="3284"/>
        <v/>
      </c>
      <c r="EK190" s="44" t="str">
        <f t="shared" si="3285"/>
        <v/>
      </c>
      <c r="EL190" s="44" t="str">
        <f t="shared" si="3286"/>
        <v/>
      </c>
      <c r="EM190" s="44" t="str">
        <f t="shared" si="3287"/>
        <v/>
      </c>
      <c r="EN190" s="44" t="str">
        <f t="shared" si="3288"/>
        <v/>
      </c>
      <c r="EO190" s="44" t="str">
        <f t="shared" si="3289"/>
        <v/>
      </c>
      <c r="EP190" s="44" t="str">
        <f t="shared" si="3290"/>
        <v/>
      </c>
      <c r="EQ190" s="44" t="str">
        <f t="shared" si="3291"/>
        <v/>
      </c>
      <c r="ER190" s="44" t="str">
        <f t="shared" si="3292"/>
        <v/>
      </c>
      <c r="ES190" s="44" t="str">
        <f t="shared" si="3293"/>
        <v/>
      </c>
      <c r="ET190" s="44" t="str">
        <f t="shared" si="3294"/>
        <v/>
      </c>
      <c r="EU190" s="44" t="str">
        <f t="shared" si="3295"/>
        <v/>
      </c>
      <c r="EV190" s="44" t="str">
        <f t="shared" si="3296"/>
        <v/>
      </c>
      <c r="EW190" s="44" t="str">
        <f t="shared" si="3297"/>
        <v/>
      </c>
      <c r="EX190" s="44" t="str">
        <f t="shared" si="3298"/>
        <v/>
      </c>
      <c r="EY190" s="44" t="str">
        <f t="shared" si="3299"/>
        <v/>
      </c>
      <c r="EZ190" s="44" t="str">
        <f t="shared" si="3300"/>
        <v/>
      </c>
      <c r="FA190" s="44" t="str">
        <f t="shared" si="3301"/>
        <v/>
      </c>
      <c r="FB190" s="44" t="str">
        <f t="shared" si="3302"/>
        <v/>
      </c>
      <c r="FC190" s="44" t="str">
        <f t="shared" si="3303"/>
        <v/>
      </c>
      <c r="FD190" s="44" t="str">
        <f t="shared" si="3304"/>
        <v/>
      </c>
      <c r="FE190" s="44" t="str">
        <f t="shared" si="3305"/>
        <v/>
      </c>
      <c r="FF190" s="44" t="str">
        <f t="shared" si="3306"/>
        <v/>
      </c>
      <c r="FG190" s="44" t="str">
        <f t="shared" si="3307"/>
        <v/>
      </c>
      <c r="FH190" s="44" t="str">
        <f t="shared" si="3308"/>
        <v/>
      </c>
      <c r="FI190" s="44" t="str">
        <f t="shared" si="3309"/>
        <v/>
      </c>
      <c r="FJ190" s="44" t="str">
        <f t="shared" si="3310"/>
        <v/>
      </c>
      <c r="FK190" s="44" t="str">
        <f t="shared" si="3311"/>
        <v/>
      </c>
      <c r="FL190" s="44" t="str">
        <f t="shared" si="3312"/>
        <v/>
      </c>
      <c r="FM190" s="44" t="str">
        <f t="shared" si="3313"/>
        <v/>
      </c>
      <c r="FN190" s="44" t="str">
        <f t="shared" si="3314"/>
        <v/>
      </c>
      <c r="FO190" s="44" t="str">
        <f t="shared" si="3315"/>
        <v/>
      </c>
      <c r="FP190" s="44" t="str">
        <f t="shared" si="3316"/>
        <v/>
      </c>
      <c r="FQ190" s="44" t="str">
        <f t="shared" si="3317"/>
        <v/>
      </c>
      <c r="FR190" s="44" t="str">
        <f t="shared" si="3318"/>
        <v/>
      </c>
      <c r="FS190" s="44" t="str">
        <f t="shared" si="3319"/>
        <v/>
      </c>
    </row>
    <row r="191" spans="1:175">
      <c r="A191" s="74"/>
      <c r="B191" s="8" t="s">
        <v>682</v>
      </c>
      <c r="C191" s="93" t="s">
        <v>683</v>
      </c>
      <c r="T191" s="37" t="s">
        <v>684</v>
      </c>
      <c r="U191" s="56" t="str">
        <f t="shared" si="3247"/>
        <v>ReplaceableTextures\\CommandButtons\\BTNIB03.blp</v>
      </c>
      <c r="CN191" s="13" t="str">
        <f t="shared" si="3240"/>
        <v>InitUnitState('IB03',,,,,,,,,,)</v>
      </c>
      <c r="CO191" s="13" t="str">
        <f t="shared" si="3241"/>
        <v>InitUnitNormal('IB03',,,,,,,,,,)</v>
      </c>
      <c r="CP191" s="13" t="str">
        <f t="shared" si="3242"/>
        <v>InitUnitMagic('IB03',,,,,,,,,,)</v>
      </c>
      <c r="CQ191" s="13" t="str">
        <f t="shared" si="3243"/>
        <v>InitUnitAdd('IB03',,,,,,,,,,)</v>
      </c>
      <c r="CR191" s="13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InitEquipData('IB03',,"",,,,,'','','','','','',"ReplaceableTextures\\CommandButtons\\BTNIB04.blp")</v>
      </c>
      <c r="CU191" s="68" t="str">
        <f t="shared" si="3248"/>
        <v>|n</v>
      </c>
      <c r="CV191" s="6" t="str">
        <f t="shared" si="3249"/>
        <v>|cff99ccff给与地图有效评论建议|r即可领取：|n|cffffff00杀敌生命+5+3*通行证等级|n杀敌业力+1|n|n|r|cff808080地图等级达到3级可领取|r</v>
      </c>
      <c r="CW191" s="7"/>
      <c r="CX191" s="7"/>
      <c r="CY191" s="7"/>
      <c r="CZ191" s="7"/>
      <c r="DA191" s="7"/>
      <c r="DB191" s="44" t="str">
        <f t="shared" si="3250"/>
        <v/>
      </c>
      <c r="DC191" s="44" t="str">
        <f t="shared" si="3251"/>
        <v/>
      </c>
      <c r="DD191" s="44" t="str">
        <f t="shared" si="3252"/>
        <v/>
      </c>
      <c r="DE191" s="44" t="str">
        <f t="shared" si="3253"/>
        <v/>
      </c>
      <c r="DF191" s="44" t="str">
        <f t="shared" si="3254"/>
        <v/>
      </c>
      <c r="DG191" s="44" t="str">
        <f t="shared" si="3255"/>
        <v/>
      </c>
      <c r="DH191" s="44" t="str">
        <f t="shared" si="3256"/>
        <v/>
      </c>
      <c r="DI191" s="44" t="str">
        <f t="shared" si="3257"/>
        <v/>
      </c>
      <c r="DJ191" s="44" t="str">
        <f t="shared" si="3258"/>
        <v/>
      </c>
      <c r="DK191" s="44" t="str">
        <f t="shared" si="3259"/>
        <v/>
      </c>
      <c r="DL191" s="44" t="str">
        <f t="shared" si="3260"/>
        <v/>
      </c>
      <c r="DM191" s="44" t="str">
        <f t="shared" si="3261"/>
        <v/>
      </c>
      <c r="DN191" s="44" t="str">
        <f t="shared" si="3262"/>
        <v/>
      </c>
      <c r="DO191" s="44" t="str">
        <f t="shared" si="3263"/>
        <v/>
      </c>
      <c r="DP191" s="44" t="str">
        <f t="shared" si="3264"/>
        <v/>
      </c>
      <c r="DQ191" s="44" t="str">
        <f t="shared" si="3265"/>
        <v/>
      </c>
      <c r="DR191" s="44" t="str">
        <f t="shared" si="3266"/>
        <v/>
      </c>
      <c r="DS191" s="44" t="str">
        <f t="shared" si="3267"/>
        <v/>
      </c>
      <c r="DT191" s="44" t="str">
        <f t="shared" si="3268"/>
        <v/>
      </c>
      <c r="DU191" s="44" t="str">
        <f t="shared" si="3269"/>
        <v/>
      </c>
      <c r="DV191" s="44" t="str">
        <f t="shared" si="3270"/>
        <v/>
      </c>
      <c r="DW191" s="44" t="str">
        <f t="shared" si="3271"/>
        <v/>
      </c>
      <c r="DX191" s="44" t="str">
        <f t="shared" si="3272"/>
        <v/>
      </c>
      <c r="DY191" s="44" t="str">
        <f t="shared" si="3273"/>
        <v/>
      </c>
      <c r="DZ191" s="44" t="str">
        <f t="shared" si="3274"/>
        <v/>
      </c>
      <c r="EA191" s="44" t="str">
        <f t="shared" si="3275"/>
        <v/>
      </c>
      <c r="EB191" s="44" t="str">
        <f t="shared" si="3276"/>
        <v/>
      </c>
      <c r="EC191" s="44" t="str">
        <f t="shared" si="3277"/>
        <v/>
      </c>
      <c r="ED191" s="44" t="str">
        <f t="shared" si="3278"/>
        <v/>
      </c>
      <c r="EE191" s="44" t="str">
        <f t="shared" si="3279"/>
        <v/>
      </c>
      <c r="EF191" s="44" t="str">
        <f t="shared" si="3280"/>
        <v/>
      </c>
      <c r="EG191" s="44" t="str">
        <f t="shared" si="3281"/>
        <v/>
      </c>
      <c r="EH191" s="44" t="str">
        <f t="shared" si="3282"/>
        <v/>
      </c>
      <c r="EI191" s="44" t="str">
        <f t="shared" si="3283"/>
        <v/>
      </c>
      <c r="EJ191" s="44" t="str">
        <f t="shared" si="3284"/>
        <v/>
      </c>
      <c r="EK191" s="44" t="str">
        <f t="shared" si="3285"/>
        <v/>
      </c>
      <c r="EL191" s="44" t="str">
        <f t="shared" si="3286"/>
        <v/>
      </c>
      <c r="EM191" s="44" t="str">
        <f t="shared" si="3287"/>
        <v/>
      </c>
      <c r="EN191" s="44" t="str">
        <f t="shared" si="3288"/>
        <v/>
      </c>
      <c r="EO191" s="44" t="str">
        <f t="shared" si="3289"/>
        <v/>
      </c>
      <c r="EP191" s="44" t="str">
        <f t="shared" si="3290"/>
        <v/>
      </c>
      <c r="EQ191" s="44" t="str">
        <f t="shared" si="3291"/>
        <v/>
      </c>
      <c r="ER191" s="44" t="str">
        <f t="shared" si="3292"/>
        <v/>
      </c>
      <c r="ES191" s="44" t="str">
        <f t="shared" si="3293"/>
        <v/>
      </c>
      <c r="ET191" s="44" t="str">
        <f t="shared" si="3294"/>
        <v/>
      </c>
      <c r="EU191" s="44" t="str">
        <f t="shared" si="3295"/>
        <v/>
      </c>
      <c r="EV191" s="44" t="str">
        <f t="shared" si="3296"/>
        <v/>
      </c>
      <c r="EW191" s="44" t="str">
        <f t="shared" si="3297"/>
        <v/>
      </c>
      <c r="EX191" s="44" t="str">
        <f t="shared" si="3298"/>
        <v/>
      </c>
      <c r="EY191" s="44" t="str">
        <f t="shared" si="3299"/>
        <v/>
      </c>
      <c r="EZ191" s="44" t="str">
        <f t="shared" si="3300"/>
        <v/>
      </c>
      <c r="FA191" s="44" t="str">
        <f t="shared" si="3301"/>
        <v/>
      </c>
      <c r="FB191" s="44" t="str">
        <f t="shared" si="3302"/>
        <v/>
      </c>
      <c r="FC191" s="44" t="str">
        <f t="shared" si="3303"/>
        <v/>
      </c>
      <c r="FD191" s="44" t="str">
        <f t="shared" si="3304"/>
        <v/>
      </c>
      <c r="FE191" s="44" t="str">
        <f t="shared" si="3305"/>
        <v/>
      </c>
      <c r="FF191" s="44" t="str">
        <f t="shared" si="3306"/>
        <v/>
      </c>
      <c r="FG191" s="44" t="str">
        <f t="shared" si="3307"/>
        <v/>
      </c>
      <c r="FH191" s="44" t="str">
        <f t="shared" si="3308"/>
        <v/>
      </c>
      <c r="FI191" s="44" t="str">
        <f t="shared" si="3309"/>
        <v/>
      </c>
      <c r="FJ191" s="44" t="str">
        <f t="shared" si="3310"/>
        <v/>
      </c>
      <c r="FK191" s="44" t="str">
        <f t="shared" si="3311"/>
        <v/>
      </c>
      <c r="FL191" s="44" t="str">
        <f t="shared" si="3312"/>
        <v/>
      </c>
      <c r="FM191" s="44" t="str">
        <f t="shared" si="3313"/>
        <v/>
      </c>
      <c r="FN191" s="44" t="str">
        <f t="shared" si="3314"/>
        <v/>
      </c>
      <c r="FO191" s="44" t="str">
        <f t="shared" si="3315"/>
        <v/>
      </c>
      <c r="FP191" s="44" t="str">
        <f t="shared" si="3316"/>
        <v/>
      </c>
      <c r="FQ191" s="44" t="str">
        <f t="shared" si="3317"/>
        <v/>
      </c>
      <c r="FR191" s="44" t="str">
        <f t="shared" si="3318"/>
        <v/>
      </c>
      <c r="FS191" s="44" t="str">
        <f t="shared" si="3319"/>
        <v/>
      </c>
    </row>
    <row r="192" spans="1:175">
      <c r="A192" s="74"/>
      <c r="B192" s="8" t="s">
        <v>685</v>
      </c>
      <c r="C192" s="93" t="s">
        <v>686</v>
      </c>
      <c r="T192" s="37" t="s">
        <v>687</v>
      </c>
      <c r="U192" s="56" t="str">
        <f t="shared" si="3247"/>
        <v>ReplaceableTextures\\CommandButtons\\BTNIB04.blp</v>
      </c>
      <c r="CN192" s="13" t="str">
        <f t="shared" ref="CN192:CN198" si="3320">"InitUnitState('"&amp;B192&amp;"',"&amp;V192&amp;","&amp;W192&amp;","&amp;X192&amp;","&amp;Y192&amp;","&amp;Z192&amp;","&amp;AA192&amp;","&amp;AB192&amp;","&amp;AC192&amp;","&amp;AD192&amp;","&amp;AE192&amp;")"</f>
        <v>InitUnitState('IB04',,,,,,,,,,)</v>
      </c>
      <c r="CO192" s="13" t="str">
        <f t="shared" ref="CO192:CO198" si="3321">"InitUnitNormal('"&amp;B192&amp;"',"&amp;AF192&amp;","&amp;AG192&amp;","&amp;AH192&amp;","&amp;AI192&amp;","&amp;AJ192&amp;","&amp;AK192&amp;","&amp;AL192&amp;","&amp;AM192&amp;","&amp;AN192&amp;","&amp;AO192&amp;")"</f>
        <v>InitUnitNormal('IB04',,,,,,,,,,)</v>
      </c>
      <c r="CP192" s="13" t="str">
        <f t="shared" ref="CP192:CP198" si="3322">"InitUnitMagic('"&amp;B192&amp;"',"&amp;AP192&amp;","&amp;AQ192&amp;","&amp;AR192&amp;","&amp;AS192&amp;","&amp;AT192&amp;","&amp;AU192&amp;","&amp;AV192&amp;","&amp;AW192&amp;","&amp;BI192&amp;","&amp;BJ192&amp;")"</f>
        <v>InitUnitMagic('IB04',,,,,,,,,,)</v>
      </c>
      <c r="CQ192" s="13" t="str">
        <f t="shared" ref="CQ192:CQ198" si="3323">"InitUnitAdd('"&amp;B192&amp;"',"&amp;BK192&amp;","&amp;BL192&amp;","&amp;BM192&amp;","&amp;BN192&amp;","&amp;BO192&amp;","&amp;BP192&amp;","&amp;BQ192&amp;","&amp;BR192&amp;","&amp;BS192&amp;","&amp;BT192&amp;")"</f>
        <v>InitUnitAdd('IB04',,,,,,,,,,)</v>
      </c>
      <c r="CR192" s="13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InitEquipData('IB04',,"",,,,,'','','','','','',"ReplaceableTextures\\CommandButtons\\BTNIB05.blp")</v>
      </c>
      <c r="CU192" s="68" t="str">
        <f t="shared" si="3248"/>
        <v>|n</v>
      </c>
      <c r="CV192" s="6" t="str">
        <f t="shared" si="3249"/>
        <v>|cff99ccff房间大厅界面点击右上角《|r|cffcc99ff收藏|r|cff99ccff》后可领取该礼包。|n|n|r属性：|n|cffffcc33物理伤害+5%|n法术伤害+5%|r</v>
      </c>
      <c r="CW192" s="7"/>
      <c r="CX192" s="7"/>
      <c r="CY192" s="7"/>
      <c r="CZ192" s="7"/>
      <c r="DA192" s="7"/>
      <c r="DB192" s="44" t="str">
        <f t="shared" si="3250"/>
        <v/>
      </c>
      <c r="DC192" s="44" t="str">
        <f t="shared" si="3251"/>
        <v/>
      </c>
      <c r="DD192" s="44" t="str">
        <f t="shared" si="3252"/>
        <v/>
      </c>
      <c r="DE192" s="44" t="str">
        <f t="shared" si="3253"/>
        <v/>
      </c>
      <c r="DF192" s="44" t="str">
        <f t="shared" si="3254"/>
        <v/>
      </c>
      <c r="DG192" s="44" t="str">
        <f t="shared" si="3255"/>
        <v/>
      </c>
      <c r="DH192" s="44" t="str">
        <f t="shared" si="3256"/>
        <v/>
      </c>
      <c r="DI192" s="44" t="str">
        <f t="shared" si="3257"/>
        <v/>
      </c>
      <c r="DJ192" s="44" t="str">
        <f t="shared" si="3258"/>
        <v/>
      </c>
      <c r="DK192" s="44" t="str">
        <f t="shared" si="3259"/>
        <v/>
      </c>
      <c r="DL192" s="44" t="str">
        <f t="shared" si="3260"/>
        <v/>
      </c>
      <c r="DM192" s="44" t="str">
        <f t="shared" si="3261"/>
        <v/>
      </c>
      <c r="DN192" s="44" t="str">
        <f t="shared" si="3262"/>
        <v/>
      </c>
      <c r="DO192" s="44" t="str">
        <f t="shared" si="3263"/>
        <v/>
      </c>
      <c r="DP192" s="44" t="str">
        <f t="shared" si="3264"/>
        <v/>
      </c>
      <c r="DQ192" s="44" t="str">
        <f t="shared" si="3265"/>
        <v/>
      </c>
      <c r="DR192" s="44" t="str">
        <f t="shared" si="3266"/>
        <v/>
      </c>
      <c r="DS192" s="44" t="str">
        <f t="shared" si="3267"/>
        <v/>
      </c>
      <c r="DT192" s="44" t="str">
        <f t="shared" si="3268"/>
        <v/>
      </c>
      <c r="DU192" s="44" t="str">
        <f t="shared" si="3269"/>
        <v/>
      </c>
      <c r="DV192" s="44" t="str">
        <f t="shared" si="3270"/>
        <v/>
      </c>
      <c r="DW192" s="44" t="str">
        <f t="shared" si="3271"/>
        <v/>
      </c>
      <c r="DX192" s="44" t="str">
        <f t="shared" si="3272"/>
        <v/>
      </c>
      <c r="DY192" s="44" t="str">
        <f t="shared" si="3273"/>
        <v/>
      </c>
      <c r="DZ192" s="44" t="str">
        <f t="shared" si="3274"/>
        <v/>
      </c>
      <c r="EA192" s="44" t="str">
        <f t="shared" si="3275"/>
        <v/>
      </c>
      <c r="EB192" s="44" t="str">
        <f t="shared" si="3276"/>
        <v/>
      </c>
      <c r="EC192" s="44" t="str">
        <f t="shared" si="3277"/>
        <v/>
      </c>
      <c r="ED192" s="44" t="str">
        <f t="shared" si="3278"/>
        <v/>
      </c>
      <c r="EE192" s="44" t="str">
        <f t="shared" si="3279"/>
        <v/>
      </c>
      <c r="EF192" s="44" t="str">
        <f t="shared" si="3280"/>
        <v/>
      </c>
      <c r="EG192" s="44" t="str">
        <f t="shared" si="3281"/>
        <v/>
      </c>
      <c r="EH192" s="44" t="str">
        <f t="shared" si="3282"/>
        <v/>
      </c>
      <c r="EI192" s="44" t="str">
        <f t="shared" si="3283"/>
        <v/>
      </c>
      <c r="EJ192" s="44" t="str">
        <f t="shared" si="3284"/>
        <v/>
      </c>
      <c r="EK192" s="44" t="str">
        <f t="shared" si="3285"/>
        <v/>
      </c>
      <c r="EL192" s="44" t="str">
        <f t="shared" si="3286"/>
        <v/>
      </c>
      <c r="EM192" s="44" t="str">
        <f t="shared" si="3287"/>
        <v/>
      </c>
      <c r="EN192" s="44" t="str">
        <f t="shared" si="3288"/>
        <v/>
      </c>
      <c r="EO192" s="44" t="str">
        <f t="shared" si="3289"/>
        <v/>
      </c>
      <c r="EP192" s="44" t="str">
        <f t="shared" si="3290"/>
        <v/>
      </c>
      <c r="EQ192" s="44" t="str">
        <f t="shared" si="3291"/>
        <v/>
      </c>
      <c r="ER192" s="44" t="str">
        <f t="shared" si="3292"/>
        <v/>
      </c>
      <c r="ES192" s="44" t="str">
        <f t="shared" si="3293"/>
        <v/>
      </c>
      <c r="ET192" s="44" t="str">
        <f t="shared" si="3294"/>
        <v/>
      </c>
      <c r="EU192" s="44" t="str">
        <f t="shared" si="3295"/>
        <v/>
      </c>
      <c r="EV192" s="44" t="str">
        <f t="shared" si="3296"/>
        <v/>
      </c>
      <c r="EW192" s="44" t="str">
        <f t="shared" si="3297"/>
        <v/>
      </c>
      <c r="EX192" s="44" t="str">
        <f t="shared" si="3298"/>
        <v/>
      </c>
      <c r="EY192" s="44" t="str">
        <f t="shared" si="3299"/>
        <v/>
      </c>
      <c r="EZ192" s="44" t="str">
        <f t="shared" si="3300"/>
        <v/>
      </c>
      <c r="FA192" s="44" t="str">
        <f t="shared" si="3301"/>
        <v/>
      </c>
      <c r="FB192" s="44" t="str">
        <f t="shared" si="3302"/>
        <v/>
      </c>
      <c r="FC192" s="44" t="str">
        <f t="shared" si="3303"/>
        <v/>
      </c>
      <c r="FD192" s="44" t="str">
        <f t="shared" si="3304"/>
        <v/>
      </c>
      <c r="FE192" s="44" t="str">
        <f t="shared" si="3305"/>
        <v/>
      </c>
      <c r="FF192" s="44" t="str">
        <f t="shared" si="3306"/>
        <v/>
      </c>
      <c r="FG192" s="44" t="str">
        <f t="shared" si="3307"/>
        <v/>
      </c>
      <c r="FH192" s="44" t="str">
        <f t="shared" si="3308"/>
        <v/>
      </c>
      <c r="FI192" s="44" t="str">
        <f t="shared" si="3309"/>
        <v/>
      </c>
      <c r="FJ192" s="44" t="str">
        <f t="shared" si="3310"/>
        <v/>
      </c>
      <c r="FK192" s="44" t="str">
        <f t="shared" si="3311"/>
        <v/>
      </c>
      <c r="FL192" s="44" t="str">
        <f t="shared" si="3312"/>
        <v/>
      </c>
      <c r="FM192" s="44" t="str">
        <f t="shared" si="3313"/>
        <v/>
      </c>
      <c r="FN192" s="44" t="str">
        <f t="shared" si="3314"/>
        <v/>
      </c>
      <c r="FO192" s="44" t="str">
        <f t="shared" si="3315"/>
        <v/>
      </c>
      <c r="FP192" s="44" t="str">
        <f t="shared" si="3316"/>
        <v/>
      </c>
      <c r="FQ192" s="44" t="str">
        <f t="shared" si="3317"/>
        <v/>
      </c>
      <c r="FR192" s="44" t="str">
        <f t="shared" si="3318"/>
        <v/>
      </c>
      <c r="FS192" s="44" t="str">
        <f t="shared" si="3319"/>
        <v/>
      </c>
    </row>
    <row r="193" spans="1:175">
      <c r="A193" s="74"/>
      <c r="B193" s="8" t="s">
        <v>688</v>
      </c>
      <c r="C193" s="93" t="s">
        <v>689</v>
      </c>
      <c r="T193" s="37" t="s">
        <v>863</v>
      </c>
      <c r="U193" s="56" t="str">
        <f t="shared" si="3247"/>
        <v>ReplaceableTextures\\CommandButtons\\BTNIB05.blp</v>
      </c>
      <c r="CN193" s="13" t="str">
        <f t="shared" si="3320"/>
        <v>InitUnitState('IB05',,,,,,,,,,)</v>
      </c>
      <c r="CO193" s="13" t="str">
        <f t="shared" si="3321"/>
        <v>InitUnitNormal('IB05',,,,,,,,,,)</v>
      </c>
      <c r="CP193" s="13" t="str">
        <f t="shared" si="3322"/>
        <v>InitUnitMagic('IB05',,,,,,,,,,)</v>
      </c>
      <c r="CQ193" s="13" t="str">
        <f t="shared" si="3323"/>
        <v>InitUnitAdd('IB05',,,,,,,,,,)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212&amp;CR$1&amp;")"</f>
        <v>InitEquipData('IB05',,"",,,,,'','','','','','',"")</v>
      </c>
      <c r="CU193" s="68" t="str">
        <f t="shared" si="3248"/>
        <v>|n</v>
      </c>
      <c r="CV193" s="6" t="str">
        <f t="shared" si="3249"/>
        <v>|cff33ff00购买魔兽重制版可领取该礼包！|n|n|r属性：|n|cffffcc33金币+2000|n每秒攻击+2|n每秒业力+1|r</v>
      </c>
      <c r="CW193" s="7"/>
      <c r="CX193" s="7"/>
      <c r="CY193" s="7"/>
      <c r="CZ193" s="7"/>
      <c r="DA193" s="7"/>
      <c r="DB193" s="44" t="str">
        <f t="shared" si="3250"/>
        <v/>
      </c>
      <c r="DC193" s="44" t="str">
        <f t="shared" si="3251"/>
        <v/>
      </c>
      <c r="DD193" s="44" t="str">
        <f t="shared" si="3252"/>
        <v/>
      </c>
      <c r="DE193" s="44" t="str">
        <f t="shared" si="3253"/>
        <v/>
      </c>
      <c r="DF193" s="44" t="str">
        <f t="shared" si="3254"/>
        <v/>
      </c>
      <c r="DG193" s="44" t="str">
        <f t="shared" si="3255"/>
        <v/>
      </c>
      <c r="DH193" s="44" t="str">
        <f t="shared" si="3256"/>
        <v/>
      </c>
      <c r="DI193" s="44" t="str">
        <f t="shared" si="3257"/>
        <v/>
      </c>
      <c r="DJ193" s="44" t="str">
        <f t="shared" si="3258"/>
        <v/>
      </c>
      <c r="DK193" s="44" t="str">
        <f t="shared" si="3259"/>
        <v/>
      </c>
      <c r="DL193" s="44" t="str">
        <f t="shared" si="3260"/>
        <v/>
      </c>
      <c r="DM193" s="44" t="str">
        <f t="shared" si="3261"/>
        <v/>
      </c>
      <c r="DN193" s="44" t="str">
        <f t="shared" si="3262"/>
        <v/>
      </c>
      <c r="DO193" s="44" t="str">
        <f t="shared" si="3263"/>
        <v/>
      </c>
      <c r="DP193" s="44" t="str">
        <f t="shared" si="3264"/>
        <v/>
      </c>
      <c r="DQ193" s="44" t="str">
        <f t="shared" si="3265"/>
        <v/>
      </c>
      <c r="DR193" s="44" t="str">
        <f t="shared" si="3266"/>
        <v/>
      </c>
      <c r="DS193" s="44" t="str">
        <f t="shared" si="3267"/>
        <v/>
      </c>
      <c r="DT193" s="44" t="str">
        <f t="shared" si="3268"/>
        <v/>
      </c>
      <c r="DU193" s="44" t="str">
        <f t="shared" si="3269"/>
        <v/>
      </c>
      <c r="DV193" s="44" t="str">
        <f t="shared" si="3270"/>
        <v/>
      </c>
      <c r="DW193" s="44" t="str">
        <f t="shared" si="3271"/>
        <v/>
      </c>
      <c r="DX193" s="44" t="str">
        <f t="shared" si="3272"/>
        <v/>
      </c>
      <c r="DY193" s="44" t="str">
        <f t="shared" si="3273"/>
        <v/>
      </c>
      <c r="DZ193" s="44" t="str">
        <f t="shared" si="3274"/>
        <v/>
      </c>
      <c r="EA193" s="44" t="str">
        <f t="shared" si="3275"/>
        <v/>
      </c>
      <c r="EB193" s="44" t="str">
        <f t="shared" si="3276"/>
        <v/>
      </c>
      <c r="EC193" s="44" t="str">
        <f t="shared" si="3277"/>
        <v/>
      </c>
      <c r="ED193" s="44" t="str">
        <f t="shared" si="3278"/>
        <v/>
      </c>
      <c r="EE193" s="44" t="str">
        <f t="shared" si="3279"/>
        <v/>
      </c>
      <c r="EF193" s="44" t="str">
        <f t="shared" si="3280"/>
        <v/>
      </c>
      <c r="EG193" s="44" t="str">
        <f t="shared" si="3281"/>
        <v/>
      </c>
      <c r="EH193" s="44" t="str">
        <f t="shared" si="3282"/>
        <v/>
      </c>
      <c r="EI193" s="44" t="str">
        <f t="shared" si="3283"/>
        <v/>
      </c>
      <c r="EJ193" s="44" t="str">
        <f t="shared" si="3284"/>
        <v/>
      </c>
      <c r="EK193" s="44" t="str">
        <f t="shared" si="3285"/>
        <v/>
      </c>
      <c r="EL193" s="44" t="str">
        <f t="shared" si="3286"/>
        <v/>
      </c>
      <c r="EM193" s="44" t="str">
        <f t="shared" si="3287"/>
        <v/>
      </c>
      <c r="EN193" s="44" t="str">
        <f t="shared" si="3288"/>
        <v/>
      </c>
      <c r="EO193" s="44" t="str">
        <f t="shared" si="3289"/>
        <v/>
      </c>
      <c r="EP193" s="44" t="str">
        <f t="shared" si="3290"/>
        <v/>
      </c>
      <c r="EQ193" s="44" t="str">
        <f t="shared" si="3291"/>
        <v/>
      </c>
      <c r="ER193" s="44" t="str">
        <f t="shared" si="3292"/>
        <v/>
      </c>
      <c r="ES193" s="44" t="str">
        <f t="shared" si="3293"/>
        <v/>
      </c>
      <c r="ET193" s="44" t="str">
        <f t="shared" si="3294"/>
        <v/>
      </c>
      <c r="EU193" s="44" t="str">
        <f t="shared" si="3295"/>
        <v/>
      </c>
      <c r="EV193" s="44" t="str">
        <f t="shared" si="3296"/>
        <v/>
      </c>
      <c r="EW193" s="44" t="str">
        <f t="shared" si="3297"/>
        <v/>
      </c>
      <c r="EX193" s="44" t="str">
        <f t="shared" si="3298"/>
        <v/>
      </c>
      <c r="EY193" s="44" t="str">
        <f t="shared" si="3299"/>
        <v/>
      </c>
      <c r="EZ193" s="44" t="str">
        <f t="shared" si="3300"/>
        <v/>
      </c>
      <c r="FA193" s="44" t="str">
        <f t="shared" si="3301"/>
        <v/>
      </c>
      <c r="FB193" s="44" t="str">
        <f t="shared" si="3302"/>
        <v/>
      </c>
      <c r="FC193" s="44" t="str">
        <f t="shared" si="3303"/>
        <v/>
      </c>
      <c r="FD193" s="44" t="str">
        <f t="shared" si="3304"/>
        <v/>
      </c>
      <c r="FE193" s="44" t="str">
        <f t="shared" si="3305"/>
        <v/>
      </c>
      <c r="FF193" s="44" t="str">
        <f t="shared" si="3306"/>
        <v/>
      </c>
      <c r="FG193" s="44" t="str">
        <f t="shared" si="3307"/>
        <v/>
      </c>
      <c r="FH193" s="44" t="str">
        <f t="shared" si="3308"/>
        <v/>
      </c>
      <c r="FI193" s="44" t="str">
        <f t="shared" si="3309"/>
        <v/>
      </c>
      <c r="FJ193" s="44" t="str">
        <f t="shared" si="3310"/>
        <v/>
      </c>
      <c r="FK193" s="44" t="str">
        <f t="shared" si="3311"/>
        <v/>
      </c>
      <c r="FL193" s="44" t="str">
        <f t="shared" si="3312"/>
        <v/>
      </c>
      <c r="FM193" s="44" t="str">
        <f t="shared" si="3313"/>
        <v/>
      </c>
      <c r="FN193" s="44" t="str">
        <f t="shared" si="3314"/>
        <v/>
      </c>
      <c r="FO193" s="44" t="str">
        <f t="shared" si="3315"/>
        <v/>
      </c>
      <c r="FP193" s="44" t="str">
        <f t="shared" si="3316"/>
        <v/>
      </c>
      <c r="FQ193" s="44" t="str">
        <f t="shared" si="3317"/>
        <v/>
      </c>
      <c r="FR193" s="44" t="str">
        <f t="shared" si="3318"/>
        <v/>
      </c>
      <c r="FS193" s="44" t="str">
        <f t="shared" si="3319"/>
        <v/>
      </c>
    </row>
    <row r="194" spans="1:175">
      <c r="A194" s="74"/>
      <c r="B194" s="8" t="s">
        <v>690</v>
      </c>
      <c r="C194" s="93" t="s">
        <v>691</v>
      </c>
      <c r="T194" s="37" t="s">
        <v>692</v>
      </c>
      <c r="U194" s="56" t="str">
        <f t="shared" si="3247"/>
        <v>ReplaceableTextures\\CommandButtons\\BTNIB06.blp</v>
      </c>
      <c r="CN194" s="13" t="str">
        <f t="shared" si="3320"/>
        <v>InitUnitState('IB06',,,,,,,,,,)</v>
      </c>
      <c r="CO194" s="13" t="str">
        <f t="shared" si="3321"/>
        <v>InitUnitNormal('IB06',,,,,,,,,,)</v>
      </c>
      <c r="CP194" s="13" t="str">
        <f t="shared" si="3322"/>
        <v>InitUnitMagic('IB06',,,,,,,,,,)</v>
      </c>
      <c r="CQ194" s="13" t="str">
        <f t="shared" si="3323"/>
        <v>InitUnitAdd('IB06',,,,,,,,,,)</v>
      </c>
      <c r="CR194" s="13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InitEquipData('IB06',,"",,,,,'','','','','','',"ReplaceableTextures\\CommandButtons\\BTNIB07.blp")</v>
      </c>
      <c r="CU194" s="68" t="str">
        <f t="shared" si="3248"/>
        <v>|n</v>
      </c>
      <c r="CV194" s="6" t="str">
        <f t="shared" si="324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4" s="7"/>
      <c r="CX194" s="7"/>
      <c r="CY194" s="7"/>
      <c r="CZ194" s="7"/>
      <c r="DA194" s="7"/>
      <c r="DB194" s="44" t="str">
        <f t="shared" si="3250"/>
        <v/>
      </c>
      <c r="DC194" s="44" t="str">
        <f t="shared" si="3251"/>
        <v/>
      </c>
      <c r="DD194" s="44" t="str">
        <f t="shared" si="3252"/>
        <v/>
      </c>
      <c r="DE194" s="44" t="str">
        <f t="shared" si="3253"/>
        <v/>
      </c>
      <c r="DF194" s="44" t="str">
        <f t="shared" si="3254"/>
        <v/>
      </c>
      <c r="DG194" s="44" t="str">
        <f t="shared" si="3255"/>
        <v/>
      </c>
      <c r="DH194" s="44" t="str">
        <f t="shared" si="3256"/>
        <v/>
      </c>
      <c r="DI194" s="44" t="str">
        <f t="shared" si="3257"/>
        <v/>
      </c>
      <c r="DJ194" s="44" t="str">
        <f t="shared" si="3258"/>
        <v/>
      </c>
      <c r="DK194" s="44" t="str">
        <f t="shared" si="3259"/>
        <v/>
      </c>
      <c r="DL194" s="44" t="str">
        <f t="shared" si="3260"/>
        <v/>
      </c>
      <c r="DM194" s="44" t="str">
        <f t="shared" si="3261"/>
        <v/>
      </c>
      <c r="DN194" s="44" t="str">
        <f t="shared" si="3262"/>
        <v/>
      </c>
      <c r="DO194" s="44" t="str">
        <f t="shared" si="3263"/>
        <v/>
      </c>
      <c r="DP194" s="44" t="str">
        <f t="shared" si="3264"/>
        <v/>
      </c>
      <c r="DQ194" s="44" t="str">
        <f t="shared" si="3265"/>
        <v/>
      </c>
      <c r="DR194" s="44" t="str">
        <f t="shared" si="3266"/>
        <v/>
      </c>
      <c r="DS194" s="44" t="str">
        <f t="shared" si="3267"/>
        <v/>
      </c>
      <c r="DT194" s="44" t="str">
        <f t="shared" si="3268"/>
        <v/>
      </c>
      <c r="DU194" s="44" t="str">
        <f t="shared" si="3269"/>
        <v/>
      </c>
      <c r="DV194" s="44" t="str">
        <f t="shared" si="3270"/>
        <v/>
      </c>
      <c r="DW194" s="44" t="str">
        <f t="shared" si="3271"/>
        <v/>
      </c>
      <c r="DX194" s="44" t="str">
        <f t="shared" si="3272"/>
        <v/>
      </c>
      <c r="DY194" s="44" t="str">
        <f t="shared" si="3273"/>
        <v/>
      </c>
      <c r="DZ194" s="44" t="str">
        <f t="shared" si="3274"/>
        <v/>
      </c>
      <c r="EA194" s="44" t="str">
        <f t="shared" si="3275"/>
        <v/>
      </c>
      <c r="EB194" s="44" t="str">
        <f t="shared" si="3276"/>
        <v/>
      </c>
      <c r="EC194" s="44" t="str">
        <f t="shared" si="3277"/>
        <v/>
      </c>
      <c r="ED194" s="44" t="str">
        <f t="shared" si="3278"/>
        <v/>
      </c>
      <c r="EE194" s="44" t="str">
        <f t="shared" si="3279"/>
        <v/>
      </c>
      <c r="EF194" s="44" t="str">
        <f t="shared" si="3280"/>
        <v/>
      </c>
      <c r="EG194" s="44" t="str">
        <f t="shared" si="3281"/>
        <v/>
      </c>
      <c r="EH194" s="44" t="str">
        <f t="shared" si="3282"/>
        <v/>
      </c>
      <c r="EI194" s="44" t="str">
        <f t="shared" si="3283"/>
        <v/>
      </c>
      <c r="EJ194" s="44" t="str">
        <f t="shared" si="3284"/>
        <v/>
      </c>
      <c r="EK194" s="44" t="str">
        <f t="shared" si="3285"/>
        <v/>
      </c>
      <c r="EL194" s="44" t="str">
        <f t="shared" si="3286"/>
        <v/>
      </c>
      <c r="EM194" s="44" t="str">
        <f t="shared" si="3287"/>
        <v/>
      </c>
      <c r="EN194" s="44" t="str">
        <f t="shared" si="3288"/>
        <v/>
      </c>
      <c r="EO194" s="44" t="str">
        <f t="shared" si="3289"/>
        <v/>
      </c>
      <c r="EP194" s="44" t="str">
        <f t="shared" si="3290"/>
        <v/>
      </c>
      <c r="EQ194" s="44" t="str">
        <f t="shared" si="3291"/>
        <v/>
      </c>
      <c r="ER194" s="44" t="str">
        <f t="shared" si="3292"/>
        <v/>
      </c>
      <c r="ES194" s="44" t="str">
        <f t="shared" si="3293"/>
        <v/>
      </c>
      <c r="ET194" s="44" t="str">
        <f t="shared" si="3294"/>
        <v/>
      </c>
      <c r="EU194" s="44" t="str">
        <f t="shared" si="3295"/>
        <v/>
      </c>
      <c r="EV194" s="44" t="str">
        <f t="shared" si="3296"/>
        <v/>
      </c>
      <c r="EW194" s="44" t="str">
        <f t="shared" si="3297"/>
        <v/>
      </c>
      <c r="EX194" s="44" t="str">
        <f t="shared" si="3298"/>
        <v/>
      </c>
      <c r="EY194" s="44" t="str">
        <f t="shared" si="3299"/>
        <v/>
      </c>
      <c r="EZ194" s="44" t="str">
        <f t="shared" si="3300"/>
        <v/>
      </c>
      <c r="FA194" s="44" t="str">
        <f t="shared" si="3301"/>
        <v/>
      </c>
      <c r="FB194" s="44" t="str">
        <f t="shared" si="3302"/>
        <v/>
      </c>
      <c r="FC194" s="44" t="str">
        <f t="shared" si="3303"/>
        <v/>
      </c>
      <c r="FD194" s="44" t="str">
        <f t="shared" si="3304"/>
        <v/>
      </c>
      <c r="FE194" s="44" t="str">
        <f t="shared" si="3305"/>
        <v/>
      </c>
      <c r="FF194" s="44" t="str">
        <f t="shared" si="3306"/>
        <v/>
      </c>
      <c r="FG194" s="44" t="str">
        <f t="shared" si="3307"/>
        <v/>
      </c>
      <c r="FH194" s="44" t="str">
        <f t="shared" si="3308"/>
        <v/>
      </c>
      <c r="FI194" s="44" t="str">
        <f t="shared" si="3309"/>
        <v/>
      </c>
      <c r="FJ194" s="44" t="str">
        <f t="shared" si="3310"/>
        <v/>
      </c>
      <c r="FK194" s="44" t="str">
        <f t="shared" si="3311"/>
        <v/>
      </c>
      <c r="FL194" s="44" t="str">
        <f t="shared" si="3312"/>
        <v/>
      </c>
      <c r="FM194" s="44" t="str">
        <f t="shared" si="3313"/>
        <v/>
      </c>
      <c r="FN194" s="44" t="str">
        <f t="shared" si="3314"/>
        <v/>
      </c>
      <c r="FO194" s="44" t="str">
        <f t="shared" si="3315"/>
        <v/>
      </c>
      <c r="FP194" s="44" t="str">
        <f t="shared" si="3316"/>
        <v/>
      </c>
      <c r="FQ194" s="44" t="str">
        <f t="shared" si="3317"/>
        <v/>
      </c>
      <c r="FR194" s="44" t="str">
        <f t="shared" si="3318"/>
        <v/>
      </c>
      <c r="FS194" s="44" t="str">
        <f t="shared" si="3319"/>
        <v/>
      </c>
    </row>
    <row r="195" spans="1:175">
      <c r="A195" s="74"/>
      <c r="B195" s="8" t="s">
        <v>693</v>
      </c>
      <c r="C195" s="93" t="s">
        <v>694</v>
      </c>
      <c r="T195" s="37" t="s">
        <v>695</v>
      </c>
      <c r="U195" s="56" t="str">
        <f t="shared" si="3247"/>
        <v>ReplaceableTextures\\CommandButtons\\BTNIB07.blp</v>
      </c>
      <c r="CN195" s="13" t="str">
        <f t="shared" si="3320"/>
        <v>InitUnitState('IB07',,,,,,,,,,)</v>
      </c>
      <c r="CO195" s="13" t="str">
        <f t="shared" si="3321"/>
        <v>InitUnitNormal('IB07',,,,,,,,,,)</v>
      </c>
      <c r="CP195" s="13" t="str">
        <f t="shared" si="3322"/>
        <v>InitUnitMagic('IB07',,,,,,,,,,)</v>
      </c>
      <c r="CQ195" s="13" t="str">
        <f t="shared" si="3323"/>
        <v>InitUnitAdd('IB07',,,,,,,,,,)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InitEquipData('IB07',,"",,,,,'','','','','','',"ReplaceableTextures\\CommandButtons\\BTNIB08.blp")</v>
      </c>
      <c r="CU195" s="68" t="str">
        <f t="shared" si="3248"/>
        <v>|n</v>
      </c>
      <c r="CV195" s="6" t="str">
        <f t="shared" si="324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5" s="7"/>
      <c r="CX195" s="7"/>
      <c r="CY195" s="7"/>
      <c r="CZ195" s="7"/>
      <c r="DA195" s="7"/>
      <c r="DB195" s="44" t="str">
        <f t="shared" si="3250"/>
        <v/>
      </c>
      <c r="DC195" s="44" t="str">
        <f t="shared" si="3251"/>
        <v/>
      </c>
      <c r="DD195" s="44" t="str">
        <f t="shared" si="3252"/>
        <v/>
      </c>
      <c r="DE195" s="44" t="str">
        <f t="shared" si="3253"/>
        <v/>
      </c>
      <c r="DF195" s="44" t="str">
        <f t="shared" si="3254"/>
        <v/>
      </c>
      <c r="DG195" s="44" t="str">
        <f t="shared" si="3255"/>
        <v/>
      </c>
      <c r="DH195" s="44" t="str">
        <f t="shared" si="3256"/>
        <v/>
      </c>
      <c r="DI195" s="44" t="str">
        <f t="shared" si="3257"/>
        <v/>
      </c>
      <c r="DJ195" s="44" t="str">
        <f t="shared" si="3258"/>
        <v/>
      </c>
      <c r="DK195" s="44" t="str">
        <f t="shared" si="3259"/>
        <v/>
      </c>
      <c r="DL195" s="44" t="str">
        <f t="shared" si="3260"/>
        <v/>
      </c>
      <c r="DM195" s="44" t="str">
        <f t="shared" si="3261"/>
        <v/>
      </c>
      <c r="DN195" s="44" t="str">
        <f t="shared" si="3262"/>
        <v/>
      </c>
      <c r="DO195" s="44" t="str">
        <f t="shared" si="3263"/>
        <v/>
      </c>
      <c r="DP195" s="44" t="str">
        <f t="shared" si="3264"/>
        <v/>
      </c>
      <c r="DQ195" s="44" t="str">
        <f t="shared" si="3265"/>
        <v/>
      </c>
      <c r="DR195" s="44" t="str">
        <f t="shared" si="3266"/>
        <v/>
      </c>
      <c r="DS195" s="44" t="str">
        <f t="shared" si="3267"/>
        <v/>
      </c>
      <c r="DT195" s="44" t="str">
        <f t="shared" si="3268"/>
        <v/>
      </c>
      <c r="DU195" s="44" t="str">
        <f t="shared" si="3269"/>
        <v/>
      </c>
      <c r="DV195" s="44" t="str">
        <f t="shared" si="3270"/>
        <v/>
      </c>
      <c r="DW195" s="44" t="str">
        <f t="shared" si="3271"/>
        <v/>
      </c>
      <c r="DX195" s="44" t="str">
        <f t="shared" si="3272"/>
        <v/>
      </c>
      <c r="DY195" s="44" t="str">
        <f t="shared" si="3273"/>
        <v/>
      </c>
      <c r="DZ195" s="44" t="str">
        <f t="shared" si="3274"/>
        <v/>
      </c>
      <c r="EA195" s="44" t="str">
        <f t="shared" si="3275"/>
        <v/>
      </c>
      <c r="EB195" s="44" t="str">
        <f t="shared" si="3276"/>
        <v/>
      </c>
      <c r="EC195" s="44" t="str">
        <f t="shared" si="3277"/>
        <v/>
      </c>
      <c r="ED195" s="44" t="str">
        <f t="shared" si="3278"/>
        <v/>
      </c>
      <c r="EE195" s="44" t="str">
        <f t="shared" si="3279"/>
        <v/>
      </c>
      <c r="EF195" s="44" t="str">
        <f t="shared" si="3280"/>
        <v/>
      </c>
      <c r="EG195" s="44" t="str">
        <f t="shared" si="3281"/>
        <v/>
      </c>
      <c r="EH195" s="44" t="str">
        <f t="shared" si="3282"/>
        <v/>
      </c>
      <c r="EI195" s="44" t="str">
        <f t="shared" si="3283"/>
        <v/>
      </c>
      <c r="EJ195" s="44" t="str">
        <f t="shared" si="3284"/>
        <v/>
      </c>
      <c r="EK195" s="44" t="str">
        <f t="shared" si="3285"/>
        <v/>
      </c>
      <c r="EL195" s="44" t="str">
        <f t="shared" si="3286"/>
        <v/>
      </c>
      <c r="EM195" s="44" t="str">
        <f t="shared" si="3287"/>
        <v/>
      </c>
      <c r="EN195" s="44" t="str">
        <f t="shared" si="3288"/>
        <v/>
      </c>
      <c r="EO195" s="44" t="str">
        <f t="shared" si="3289"/>
        <v/>
      </c>
      <c r="EP195" s="44" t="str">
        <f t="shared" si="3290"/>
        <v/>
      </c>
      <c r="EQ195" s="44" t="str">
        <f t="shared" si="3291"/>
        <v/>
      </c>
      <c r="ER195" s="44" t="str">
        <f t="shared" si="3292"/>
        <v/>
      </c>
      <c r="ES195" s="44" t="str">
        <f t="shared" si="3293"/>
        <v/>
      </c>
      <c r="ET195" s="44" t="str">
        <f t="shared" si="3294"/>
        <v/>
      </c>
      <c r="EU195" s="44" t="str">
        <f t="shared" si="3295"/>
        <v/>
      </c>
      <c r="EV195" s="44" t="str">
        <f t="shared" si="3296"/>
        <v/>
      </c>
      <c r="EW195" s="44" t="str">
        <f t="shared" si="3297"/>
        <v/>
      </c>
      <c r="EX195" s="44" t="str">
        <f t="shared" si="3298"/>
        <v/>
      </c>
      <c r="EY195" s="44" t="str">
        <f t="shared" si="3299"/>
        <v/>
      </c>
      <c r="EZ195" s="44" t="str">
        <f t="shared" si="3300"/>
        <v/>
      </c>
      <c r="FA195" s="44" t="str">
        <f t="shared" si="3301"/>
        <v/>
      </c>
      <c r="FB195" s="44" t="str">
        <f t="shared" si="3302"/>
        <v/>
      </c>
      <c r="FC195" s="44" t="str">
        <f t="shared" si="3303"/>
        <v/>
      </c>
      <c r="FD195" s="44" t="str">
        <f t="shared" si="3304"/>
        <v/>
      </c>
      <c r="FE195" s="44" t="str">
        <f t="shared" si="3305"/>
        <v/>
      </c>
      <c r="FF195" s="44" t="str">
        <f t="shared" si="3306"/>
        <v/>
      </c>
      <c r="FG195" s="44" t="str">
        <f t="shared" si="3307"/>
        <v/>
      </c>
      <c r="FH195" s="44" t="str">
        <f t="shared" si="3308"/>
        <v/>
      </c>
      <c r="FI195" s="44" t="str">
        <f t="shared" si="3309"/>
        <v/>
      </c>
      <c r="FJ195" s="44" t="str">
        <f t="shared" si="3310"/>
        <v/>
      </c>
      <c r="FK195" s="44" t="str">
        <f t="shared" si="3311"/>
        <v/>
      </c>
      <c r="FL195" s="44" t="str">
        <f t="shared" si="3312"/>
        <v/>
      </c>
      <c r="FM195" s="44" t="str">
        <f t="shared" si="3313"/>
        <v/>
      </c>
      <c r="FN195" s="44" t="str">
        <f t="shared" si="3314"/>
        <v/>
      </c>
      <c r="FO195" s="44" t="str">
        <f t="shared" si="3315"/>
        <v/>
      </c>
      <c r="FP195" s="44" t="str">
        <f t="shared" si="3316"/>
        <v/>
      </c>
      <c r="FQ195" s="44" t="str">
        <f t="shared" si="3317"/>
        <v/>
      </c>
      <c r="FR195" s="44" t="str">
        <f t="shared" si="3318"/>
        <v/>
      </c>
      <c r="FS195" s="44" t="str">
        <f t="shared" si="3319"/>
        <v/>
      </c>
    </row>
    <row r="196" spans="1:175">
      <c r="A196" s="74"/>
      <c r="B196" s="8" t="s">
        <v>696</v>
      </c>
      <c r="C196" s="93" t="s">
        <v>697</v>
      </c>
      <c r="T196" s="37" t="s">
        <v>698</v>
      </c>
      <c r="U196" s="56" t="str">
        <f t="shared" si="3247"/>
        <v>ReplaceableTextures\\CommandButtons\\BTNIB08.blp</v>
      </c>
      <c r="CN196" s="13" t="str">
        <f t="shared" si="3320"/>
        <v>InitUnitState('IB08',,,,,,,,,,)</v>
      </c>
      <c r="CO196" s="13" t="str">
        <f t="shared" si="3321"/>
        <v>InitUnitNormal('IB08',,,,,,,,,,)</v>
      </c>
      <c r="CP196" s="13" t="str">
        <f t="shared" si="3322"/>
        <v>InitUnitMagic('IB08',,,,,,,,,,)</v>
      </c>
      <c r="CQ196" s="13" t="str">
        <f t="shared" si="3323"/>
        <v>InitUnitAdd('IB08',,,,,,,,,,)</v>
      </c>
      <c r="CR196" s="13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215&amp;CR$1&amp;")"</f>
        <v>InitEquipData('IB08',,"",,,,,'','','','','','',"")</v>
      </c>
      <c r="CU196" s="68" t="str">
        <f t="shared" si="3248"/>
        <v>|n</v>
      </c>
      <c r="CV196" s="6" t="str">
        <f t="shared" si="324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196" s="7"/>
      <c r="CX196" s="7"/>
      <c r="CY196" s="7"/>
      <c r="CZ196" s="7"/>
      <c r="DA196" s="7"/>
      <c r="DB196" s="44" t="str">
        <f t="shared" si="3250"/>
        <v/>
      </c>
      <c r="DC196" s="44" t="str">
        <f t="shared" si="3251"/>
        <v/>
      </c>
      <c r="DD196" s="44" t="str">
        <f t="shared" si="3252"/>
        <v/>
      </c>
      <c r="DE196" s="44" t="str">
        <f t="shared" si="3253"/>
        <v/>
      </c>
      <c r="DF196" s="44" t="str">
        <f t="shared" si="3254"/>
        <v/>
      </c>
      <c r="DG196" s="44" t="str">
        <f t="shared" si="3255"/>
        <v/>
      </c>
      <c r="DH196" s="44" t="str">
        <f t="shared" si="3256"/>
        <v/>
      </c>
      <c r="DI196" s="44" t="str">
        <f t="shared" si="3257"/>
        <v/>
      </c>
      <c r="DJ196" s="44" t="str">
        <f t="shared" si="3258"/>
        <v/>
      </c>
      <c r="DK196" s="44" t="str">
        <f t="shared" si="3259"/>
        <v/>
      </c>
      <c r="DL196" s="44" t="str">
        <f t="shared" si="3260"/>
        <v/>
      </c>
      <c r="DM196" s="44" t="str">
        <f t="shared" si="3261"/>
        <v/>
      </c>
      <c r="DN196" s="44" t="str">
        <f t="shared" si="3262"/>
        <v/>
      </c>
      <c r="DO196" s="44" t="str">
        <f t="shared" si="3263"/>
        <v/>
      </c>
      <c r="DP196" s="44" t="str">
        <f t="shared" si="3264"/>
        <v/>
      </c>
      <c r="DQ196" s="44" t="str">
        <f t="shared" si="3265"/>
        <v/>
      </c>
      <c r="DR196" s="44" t="str">
        <f t="shared" si="3266"/>
        <v/>
      </c>
      <c r="DS196" s="44" t="str">
        <f t="shared" si="3267"/>
        <v/>
      </c>
      <c r="DT196" s="44" t="str">
        <f t="shared" si="3268"/>
        <v/>
      </c>
      <c r="DU196" s="44" t="str">
        <f t="shared" si="3269"/>
        <v/>
      </c>
      <c r="DV196" s="44" t="str">
        <f t="shared" si="3270"/>
        <v/>
      </c>
      <c r="DW196" s="44" t="str">
        <f t="shared" si="3271"/>
        <v/>
      </c>
      <c r="DX196" s="44" t="str">
        <f t="shared" si="3272"/>
        <v/>
      </c>
      <c r="DY196" s="44" t="str">
        <f t="shared" si="3273"/>
        <v/>
      </c>
      <c r="DZ196" s="44" t="str">
        <f t="shared" si="3274"/>
        <v/>
      </c>
      <c r="EA196" s="44" t="str">
        <f t="shared" si="3275"/>
        <v/>
      </c>
      <c r="EB196" s="44" t="str">
        <f t="shared" si="3276"/>
        <v/>
      </c>
      <c r="EC196" s="44" t="str">
        <f t="shared" si="3277"/>
        <v/>
      </c>
      <c r="ED196" s="44" t="str">
        <f t="shared" si="3278"/>
        <v/>
      </c>
      <c r="EE196" s="44" t="str">
        <f t="shared" si="3279"/>
        <v/>
      </c>
      <c r="EF196" s="44" t="str">
        <f t="shared" si="3280"/>
        <v/>
      </c>
      <c r="EG196" s="44" t="str">
        <f t="shared" si="3281"/>
        <v/>
      </c>
      <c r="EH196" s="44" t="str">
        <f t="shared" si="3282"/>
        <v/>
      </c>
      <c r="EI196" s="44" t="str">
        <f t="shared" si="3283"/>
        <v/>
      </c>
      <c r="EJ196" s="44" t="str">
        <f t="shared" si="3284"/>
        <v/>
      </c>
      <c r="EK196" s="44" t="str">
        <f t="shared" si="3285"/>
        <v/>
      </c>
      <c r="EL196" s="44" t="str">
        <f t="shared" si="3286"/>
        <v/>
      </c>
      <c r="EM196" s="44" t="str">
        <f t="shared" si="3287"/>
        <v/>
      </c>
      <c r="EN196" s="44" t="str">
        <f t="shared" si="3288"/>
        <v/>
      </c>
      <c r="EO196" s="44" t="str">
        <f t="shared" si="3289"/>
        <v/>
      </c>
      <c r="EP196" s="44" t="str">
        <f t="shared" si="3290"/>
        <v/>
      </c>
      <c r="EQ196" s="44" t="str">
        <f t="shared" si="3291"/>
        <v/>
      </c>
      <c r="ER196" s="44" t="str">
        <f t="shared" si="3292"/>
        <v/>
      </c>
      <c r="ES196" s="44" t="str">
        <f t="shared" si="3293"/>
        <v/>
      </c>
      <c r="ET196" s="44" t="str">
        <f t="shared" si="3294"/>
        <v/>
      </c>
      <c r="EU196" s="44" t="str">
        <f t="shared" si="3295"/>
        <v/>
      </c>
      <c r="EV196" s="44" t="str">
        <f t="shared" si="3296"/>
        <v/>
      </c>
      <c r="EW196" s="44" t="str">
        <f t="shared" si="3297"/>
        <v/>
      </c>
      <c r="EX196" s="44" t="str">
        <f t="shared" si="3298"/>
        <v/>
      </c>
      <c r="EY196" s="44" t="str">
        <f t="shared" si="3299"/>
        <v/>
      </c>
      <c r="EZ196" s="44" t="str">
        <f t="shared" si="3300"/>
        <v/>
      </c>
      <c r="FA196" s="44" t="str">
        <f t="shared" si="3301"/>
        <v/>
      </c>
      <c r="FB196" s="44" t="str">
        <f t="shared" si="3302"/>
        <v/>
      </c>
      <c r="FC196" s="44" t="str">
        <f t="shared" si="3303"/>
        <v/>
      </c>
      <c r="FD196" s="44" t="str">
        <f t="shared" si="3304"/>
        <v/>
      </c>
      <c r="FE196" s="44" t="str">
        <f t="shared" si="3305"/>
        <v/>
      </c>
      <c r="FF196" s="44" t="str">
        <f t="shared" si="3306"/>
        <v/>
      </c>
      <c r="FG196" s="44" t="str">
        <f t="shared" si="3307"/>
        <v/>
      </c>
      <c r="FH196" s="44" t="str">
        <f t="shared" si="3308"/>
        <v/>
      </c>
      <c r="FI196" s="44" t="str">
        <f t="shared" si="3309"/>
        <v/>
      </c>
      <c r="FJ196" s="44" t="str">
        <f t="shared" si="3310"/>
        <v/>
      </c>
      <c r="FK196" s="44" t="str">
        <f t="shared" si="3311"/>
        <v/>
      </c>
      <c r="FL196" s="44" t="str">
        <f t="shared" si="3312"/>
        <v/>
      </c>
      <c r="FM196" s="44" t="str">
        <f t="shared" si="3313"/>
        <v/>
      </c>
      <c r="FN196" s="44" t="str">
        <f t="shared" si="3314"/>
        <v/>
      </c>
      <c r="FO196" s="44" t="str">
        <f t="shared" si="3315"/>
        <v/>
      </c>
      <c r="FP196" s="44" t="str">
        <f t="shared" si="3316"/>
        <v/>
      </c>
      <c r="FQ196" s="44" t="str">
        <f t="shared" si="3317"/>
        <v/>
      </c>
      <c r="FR196" s="44" t="str">
        <f t="shared" si="3318"/>
        <v/>
      </c>
      <c r="FS196" s="44" t="str">
        <f t="shared" si="3319"/>
        <v/>
      </c>
    </row>
    <row r="197" spans="1:175">
      <c r="A197" s="74"/>
      <c r="B197" s="8" t="s">
        <v>699</v>
      </c>
      <c r="C197" s="93" t="s">
        <v>700</v>
      </c>
      <c r="T197" s="93"/>
      <c r="U197" s="56" t="str">
        <f t="shared" si="3247"/>
        <v>ReplaceableTextures\\CommandButtons\\BTNIB09.blp</v>
      </c>
      <c r="CN197" s="13" t="str">
        <f t="shared" si="3320"/>
        <v>InitUnitState('IB09',,,,,,,,,,)</v>
      </c>
      <c r="CO197" s="13" t="str">
        <f t="shared" si="3321"/>
        <v>InitUnitNormal('IB09',,,,,,,,,,)</v>
      </c>
      <c r="CP197" s="13" t="str">
        <f t="shared" si="3322"/>
        <v>InitUnitMagic('IB09',,,,,,,,,,)</v>
      </c>
      <c r="CQ197" s="13" t="str">
        <f t="shared" si="3323"/>
        <v>InitUnitAdd('IB09',,,,,,,,,,)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InitEquipData('IB09',,"",,,,,'','','','','','',"")</v>
      </c>
      <c r="CU197" s="68" t="str">
        <f t="shared" si="3248"/>
        <v>|n</v>
      </c>
      <c r="CV197" s="6">
        <f t="shared" si="3249"/>
        <v>0</v>
      </c>
      <c r="CW197" s="7"/>
      <c r="CX197" s="7"/>
      <c r="CY197" s="7"/>
      <c r="CZ197" s="7"/>
      <c r="DA197" s="7"/>
      <c r="DB197" s="44" t="str">
        <f t="shared" ref="DB197:FM197" si="3324">IF(V197="","","|n"&amp;DB$2&amp;"+"&amp;V197&amp;DB$1)</f>
        <v/>
      </c>
      <c r="DC197" s="44" t="str">
        <f t="shared" si="3324"/>
        <v/>
      </c>
      <c r="DD197" s="44" t="str">
        <f t="shared" si="3324"/>
        <v/>
      </c>
      <c r="DE197" s="44" t="str">
        <f t="shared" si="3324"/>
        <v/>
      </c>
      <c r="DF197" s="44" t="str">
        <f t="shared" si="3324"/>
        <v/>
      </c>
      <c r="DG197" s="44" t="str">
        <f t="shared" si="3324"/>
        <v/>
      </c>
      <c r="DH197" s="44" t="str">
        <f t="shared" si="3324"/>
        <v/>
      </c>
      <c r="DI197" s="44" t="str">
        <f t="shared" si="3324"/>
        <v/>
      </c>
      <c r="DJ197" s="44" t="str">
        <f t="shared" si="3324"/>
        <v/>
      </c>
      <c r="DK197" s="44" t="str">
        <f t="shared" si="3324"/>
        <v/>
      </c>
      <c r="DL197" s="44" t="str">
        <f t="shared" si="3324"/>
        <v/>
      </c>
      <c r="DM197" s="44" t="str">
        <f t="shared" si="3324"/>
        <v/>
      </c>
      <c r="DN197" s="44" t="str">
        <f t="shared" si="3324"/>
        <v/>
      </c>
      <c r="DO197" s="44" t="str">
        <f t="shared" si="3324"/>
        <v/>
      </c>
      <c r="DP197" s="44" t="str">
        <f t="shared" si="3324"/>
        <v/>
      </c>
      <c r="DQ197" s="44" t="str">
        <f t="shared" si="3324"/>
        <v/>
      </c>
      <c r="DR197" s="44" t="str">
        <f t="shared" si="3324"/>
        <v/>
      </c>
      <c r="DS197" s="44" t="str">
        <f t="shared" si="3324"/>
        <v/>
      </c>
      <c r="DT197" s="44" t="str">
        <f t="shared" si="3324"/>
        <v/>
      </c>
      <c r="DU197" s="44" t="str">
        <f t="shared" si="3324"/>
        <v/>
      </c>
      <c r="DV197" s="44" t="str">
        <f t="shared" si="3324"/>
        <v/>
      </c>
      <c r="DW197" s="44" t="str">
        <f t="shared" si="3324"/>
        <v/>
      </c>
      <c r="DX197" s="44" t="str">
        <f t="shared" si="3324"/>
        <v/>
      </c>
      <c r="DY197" s="44" t="str">
        <f t="shared" si="3324"/>
        <v/>
      </c>
      <c r="DZ197" s="44" t="str">
        <f t="shared" si="3324"/>
        <v/>
      </c>
      <c r="EA197" s="44" t="str">
        <f t="shared" si="3324"/>
        <v/>
      </c>
      <c r="EB197" s="44" t="str">
        <f t="shared" si="3324"/>
        <v/>
      </c>
      <c r="EC197" s="44" t="str">
        <f t="shared" si="3324"/>
        <v/>
      </c>
      <c r="ED197" s="44" t="str">
        <f t="shared" si="3324"/>
        <v/>
      </c>
      <c r="EE197" s="44" t="str">
        <f t="shared" si="3324"/>
        <v/>
      </c>
      <c r="EF197" s="44" t="str">
        <f t="shared" si="3324"/>
        <v/>
      </c>
      <c r="EG197" s="44" t="str">
        <f t="shared" si="3324"/>
        <v/>
      </c>
      <c r="EH197" s="44" t="str">
        <f t="shared" si="3324"/>
        <v/>
      </c>
      <c r="EI197" s="44" t="str">
        <f t="shared" si="3324"/>
        <v/>
      </c>
      <c r="EJ197" s="44" t="str">
        <f t="shared" si="3324"/>
        <v/>
      </c>
      <c r="EK197" s="44" t="str">
        <f t="shared" si="3324"/>
        <v/>
      </c>
      <c r="EL197" s="44" t="str">
        <f t="shared" si="3324"/>
        <v/>
      </c>
      <c r="EM197" s="44" t="str">
        <f t="shared" si="3324"/>
        <v/>
      </c>
      <c r="EN197" s="44" t="str">
        <f t="shared" si="3324"/>
        <v/>
      </c>
      <c r="EO197" s="44" t="str">
        <f t="shared" si="3324"/>
        <v/>
      </c>
      <c r="EP197" s="44" t="str">
        <f t="shared" si="3324"/>
        <v/>
      </c>
      <c r="EQ197" s="44" t="str">
        <f t="shared" si="3324"/>
        <v/>
      </c>
      <c r="ER197" s="44" t="str">
        <f t="shared" si="3324"/>
        <v/>
      </c>
      <c r="ES197" s="44" t="str">
        <f t="shared" si="3324"/>
        <v/>
      </c>
      <c r="ET197" s="44" t="str">
        <f t="shared" si="3324"/>
        <v/>
      </c>
      <c r="EU197" s="44" t="str">
        <f t="shared" si="3324"/>
        <v/>
      </c>
      <c r="EV197" s="44" t="str">
        <f t="shared" si="3324"/>
        <v/>
      </c>
      <c r="EW197" s="44" t="str">
        <f t="shared" si="3324"/>
        <v/>
      </c>
      <c r="EX197" s="44" t="str">
        <f t="shared" si="3324"/>
        <v/>
      </c>
      <c r="EY197" s="44" t="str">
        <f t="shared" si="3324"/>
        <v/>
      </c>
      <c r="EZ197" s="44" t="str">
        <f t="shared" si="3324"/>
        <v/>
      </c>
      <c r="FA197" s="44" t="str">
        <f t="shared" si="3324"/>
        <v/>
      </c>
      <c r="FB197" s="44" t="str">
        <f t="shared" si="3324"/>
        <v/>
      </c>
      <c r="FC197" s="44" t="str">
        <f t="shared" si="3324"/>
        <v/>
      </c>
      <c r="FD197" s="44" t="str">
        <f t="shared" si="3324"/>
        <v/>
      </c>
      <c r="FE197" s="44" t="str">
        <f t="shared" si="3324"/>
        <v/>
      </c>
      <c r="FF197" s="44" t="str">
        <f t="shared" si="3324"/>
        <v/>
      </c>
      <c r="FG197" s="44" t="str">
        <f t="shared" si="3324"/>
        <v/>
      </c>
      <c r="FH197" s="44" t="str">
        <f t="shared" si="3324"/>
        <v/>
      </c>
      <c r="FI197" s="44" t="str">
        <f t="shared" si="3324"/>
        <v/>
      </c>
      <c r="FJ197" s="44" t="str">
        <f t="shared" si="3324"/>
        <v/>
      </c>
      <c r="FK197" s="44" t="str">
        <f t="shared" si="3324"/>
        <v/>
      </c>
      <c r="FL197" s="44" t="str">
        <f t="shared" si="3324"/>
        <v/>
      </c>
      <c r="FM197" s="44" t="str">
        <f t="shared" si="3324"/>
        <v/>
      </c>
      <c r="FN197" s="44" t="str">
        <f t="shared" ref="FN197:FS197" si="3325">IF(CH197="","","|n"&amp;FN$2&amp;"+"&amp;CH197&amp;FN$1)</f>
        <v/>
      </c>
      <c r="FO197" s="44" t="str">
        <f t="shared" si="3325"/>
        <v/>
      </c>
      <c r="FP197" s="44" t="str">
        <f t="shared" si="3325"/>
        <v/>
      </c>
      <c r="FQ197" s="44" t="str">
        <f t="shared" si="3325"/>
        <v/>
      </c>
      <c r="FR197" s="44" t="str">
        <f t="shared" si="3325"/>
        <v/>
      </c>
      <c r="FS197" s="44" t="str">
        <f t="shared" si="3325"/>
        <v/>
      </c>
    </row>
    <row r="198" spans="1:175">
      <c r="A198" s="74"/>
      <c r="B198" s="8" t="s">
        <v>701</v>
      </c>
      <c r="C198" s="93" t="str">
        <f>"已领取"&amp;C189</f>
        <v>已领取公众号礼包</v>
      </c>
      <c r="T198" s="93" t="s">
        <v>702</v>
      </c>
      <c r="U198" s="3" t="s">
        <v>703</v>
      </c>
      <c r="CN198" s="13" t="str">
        <f t="shared" si="3320"/>
        <v>InitUnitState('IB51',,,,,,,,,,)</v>
      </c>
      <c r="CO198" s="13" t="str">
        <f t="shared" si="3321"/>
        <v>InitUnitNormal('IB51',,,,,,,,,,)</v>
      </c>
      <c r="CP198" s="13" t="str">
        <f t="shared" si="3322"/>
        <v>InitUnitMagic('IB51',,,,,,,,,,)</v>
      </c>
      <c r="CQ198" s="13" t="str">
        <f t="shared" si="3323"/>
        <v>InitUnitAdd('IB51',,,,,,,,,,)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InitEquipData('IB51',,"",,,,,'','','','','','',"ReplaceableTextures\\commandButtons\\BTNLBUI01.blp")</v>
      </c>
      <c r="CU198" s="68" t="str">
        <f t="shared" ref="CU198:CU206" si="3326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6" t="str">
        <f t="shared" ref="CV198:CV206" si="3327">T198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8" s="7"/>
      <c r="CX198" s="7"/>
      <c r="CY198" s="7"/>
      <c r="CZ198" s="7"/>
      <c r="DA198" s="7"/>
      <c r="DB198" s="44" t="str">
        <f t="shared" ref="DB198:DB204" si="3328">IF(V198="","","|n"&amp;DB$2&amp;"+"&amp;V198&amp;DB$1)</f>
        <v/>
      </c>
      <c r="DC198" s="44" t="str">
        <f t="shared" ref="DC198:DC204" si="3329">IF(W198="","","|n"&amp;DC$2&amp;"+"&amp;W198&amp;DC$1)</f>
        <v/>
      </c>
      <c r="DD198" s="44" t="str">
        <f t="shared" ref="DD198:DD204" si="3330">IF(X198="","","|n"&amp;DD$2&amp;"+"&amp;X198&amp;DD$1)</f>
        <v/>
      </c>
      <c r="DE198" s="44" t="str">
        <f t="shared" ref="DE198:DE204" si="3331">IF(Y198="","","|n"&amp;DE$2&amp;"+"&amp;Y198&amp;DE$1)</f>
        <v/>
      </c>
      <c r="DF198" s="44" t="str">
        <f t="shared" ref="DF198:DF204" si="3332">IF(Z198="","","|n"&amp;DF$2&amp;"+"&amp;Z198&amp;DF$1)</f>
        <v/>
      </c>
      <c r="DG198" s="44" t="str">
        <f t="shared" ref="DG198:DG204" si="3333">IF(AA198="","","|n"&amp;DG$2&amp;"+"&amp;AA198&amp;DG$1)</f>
        <v/>
      </c>
      <c r="DH198" s="44" t="str">
        <f t="shared" ref="DH198:DH204" si="3334">IF(AB198="","","|n"&amp;DH$2&amp;"+"&amp;AB198&amp;DH$1)</f>
        <v/>
      </c>
      <c r="DI198" s="44" t="str">
        <f t="shared" ref="DI198:DI204" si="3335">IF(AC198="","","|n"&amp;DI$2&amp;"+"&amp;AC198&amp;DI$1)</f>
        <v/>
      </c>
      <c r="DJ198" s="44" t="str">
        <f t="shared" ref="DJ198:DJ204" si="3336">IF(AD198="","","|n"&amp;DJ$2&amp;"+"&amp;AD198&amp;DJ$1)</f>
        <v/>
      </c>
      <c r="DK198" s="44" t="str">
        <f t="shared" ref="DK198:DK204" si="3337">IF(AE198="","","|n"&amp;DK$2&amp;"+"&amp;AE198&amp;DK$1)</f>
        <v/>
      </c>
      <c r="DL198" s="44" t="str">
        <f t="shared" ref="DL198:DL204" si="3338">IF(AF198="","","|n"&amp;DL$2&amp;"+"&amp;AF198&amp;DL$1)</f>
        <v/>
      </c>
      <c r="DM198" s="44" t="str">
        <f t="shared" ref="DM198:DM204" si="3339">IF(AG198="","","|n"&amp;DM$2&amp;"+"&amp;AG198&amp;DM$1)</f>
        <v/>
      </c>
      <c r="DN198" s="44" t="str">
        <f t="shared" ref="DN198:DN204" si="3340">IF(AH198="","","|n"&amp;DN$2&amp;"+"&amp;AH198&amp;DN$1)</f>
        <v/>
      </c>
      <c r="DO198" s="44" t="str">
        <f t="shared" ref="DO198:DO204" si="3341">IF(AI198="","","|n"&amp;DO$2&amp;"+"&amp;AI198&amp;DO$1)</f>
        <v/>
      </c>
      <c r="DP198" s="44" t="str">
        <f t="shared" ref="DP198:DP204" si="3342">IF(AJ198="","","|n"&amp;DP$2&amp;"+"&amp;AJ198&amp;DP$1)</f>
        <v/>
      </c>
      <c r="DQ198" s="44" t="str">
        <f t="shared" ref="DQ198:DQ204" si="3343">IF(AK198="","","|n"&amp;DQ$2&amp;"+"&amp;AK198&amp;DQ$1)</f>
        <v/>
      </c>
      <c r="DR198" s="44" t="str">
        <f t="shared" ref="DR198:DR204" si="3344">IF(AL198="","","|n"&amp;DR$2&amp;"+"&amp;AL198&amp;DR$1)</f>
        <v/>
      </c>
      <c r="DS198" s="44" t="str">
        <f t="shared" ref="DS198:DS204" si="3345">IF(AM198="","","|n"&amp;DS$2&amp;"+"&amp;AM198&amp;DS$1)</f>
        <v/>
      </c>
      <c r="DT198" s="44" t="str">
        <f t="shared" ref="DT198:DT204" si="3346">IF(AN198="","","|n"&amp;DT$2&amp;"+"&amp;AN198&amp;DT$1)</f>
        <v/>
      </c>
      <c r="DU198" s="44" t="str">
        <f t="shared" ref="DU198:DU204" si="3347">IF(AO198="","","|n"&amp;DU$2&amp;"+"&amp;AO198&amp;DU$1)</f>
        <v/>
      </c>
      <c r="DV198" s="44" t="str">
        <f t="shared" ref="DV198:DV204" si="3348">IF(AP198="","","|n"&amp;DV$2&amp;"+"&amp;AP198&amp;DV$1)</f>
        <v/>
      </c>
      <c r="DW198" s="44" t="str">
        <f t="shared" ref="DW198:DW204" si="3349">IF(AQ198="","","|n"&amp;DW$2&amp;"+"&amp;AQ198&amp;DW$1)</f>
        <v/>
      </c>
      <c r="DX198" s="44" t="str">
        <f t="shared" ref="DX198:DX204" si="3350">IF(AR198="","","|n"&amp;DX$2&amp;"+"&amp;AR198&amp;DX$1)</f>
        <v/>
      </c>
      <c r="DY198" s="44" t="str">
        <f t="shared" ref="DY198:DY204" si="3351">IF(AS198="","","|n"&amp;DY$2&amp;"+"&amp;AS198&amp;DY$1)</f>
        <v/>
      </c>
      <c r="DZ198" s="44" t="str">
        <f t="shared" ref="DZ198:DZ204" si="3352">IF(AT198="","","|n"&amp;DZ$2&amp;"+"&amp;AT198&amp;DZ$1)</f>
        <v/>
      </c>
      <c r="EA198" s="44" t="str">
        <f t="shared" ref="EA198:EA204" si="3353">IF(AU198="","","|n"&amp;EA$2&amp;"+"&amp;AU198&amp;EA$1)</f>
        <v/>
      </c>
      <c r="EB198" s="44" t="str">
        <f t="shared" ref="EB198:EB204" si="3354">IF(AV198="","","|n"&amp;EB$2&amp;"+"&amp;AV198&amp;EB$1)</f>
        <v/>
      </c>
      <c r="EC198" s="44" t="str">
        <f t="shared" ref="EC198:EC204" si="3355">IF(AW198="","","|n"&amp;EC$2&amp;"+"&amp;AW198&amp;EC$1)</f>
        <v/>
      </c>
      <c r="ED198" s="44" t="str">
        <f t="shared" ref="ED198:ED204" si="3356">IF(AX198="","","|n"&amp;ED$2&amp;"+"&amp;AX198&amp;ED$1)</f>
        <v/>
      </c>
      <c r="EE198" s="44" t="str">
        <f t="shared" ref="EE198:EE204" si="3357">IF(AY198="","","|n"&amp;EE$2&amp;"+"&amp;AY198&amp;EE$1)</f>
        <v/>
      </c>
      <c r="EF198" s="44" t="str">
        <f t="shared" ref="EF198:EF204" si="3358">IF(AZ198="","","|n"&amp;EF$2&amp;"+"&amp;AZ198&amp;EF$1)</f>
        <v/>
      </c>
      <c r="EG198" s="44" t="str">
        <f t="shared" ref="EG198:EG204" si="3359">IF(BA198="","","|n"&amp;EG$2&amp;"+"&amp;BA198&amp;EG$1)</f>
        <v/>
      </c>
      <c r="EH198" s="44" t="str">
        <f t="shared" ref="EH198:EH204" si="3360">IF(BB198="","","|n"&amp;EH$2&amp;"+"&amp;BB198&amp;EH$1)</f>
        <v/>
      </c>
      <c r="EI198" s="44" t="str">
        <f t="shared" ref="EI198:EI204" si="3361">IF(BC198="","","|n"&amp;EI$2&amp;"+"&amp;BC198&amp;EI$1)</f>
        <v/>
      </c>
      <c r="EJ198" s="44" t="str">
        <f t="shared" ref="EJ198:EJ204" si="3362">IF(BD198="","","|n"&amp;EJ$2&amp;"+"&amp;BD198&amp;EJ$1)</f>
        <v/>
      </c>
      <c r="EK198" s="44" t="str">
        <f t="shared" ref="EK198:EK204" si="3363">IF(BE198="","","|n"&amp;EK$2&amp;"+"&amp;BE198&amp;EK$1)</f>
        <v/>
      </c>
      <c r="EL198" s="44" t="str">
        <f t="shared" ref="EL198:EL204" si="3364">IF(BF198="","","|n"&amp;EL$2&amp;"+"&amp;BF198&amp;EL$1)</f>
        <v/>
      </c>
      <c r="EM198" s="44" t="str">
        <f t="shared" ref="EM198:EM204" si="3365">IF(BG198="","","|n"&amp;EM$2&amp;"+"&amp;BG198&amp;EM$1)</f>
        <v/>
      </c>
      <c r="EN198" s="44" t="str">
        <f t="shared" ref="EN198:EN204" si="3366">IF(BH198="","","|n"&amp;EN$2&amp;"+"&amp;BH198&amp;EN$1)</f>
        <v/>
      </c>
      <c r="EO198" s="44" t="str">
        <f t="shared" ref="EO198:EO204" si="3367">IF(BI198="","","|n"&amp;EO$2&amp;"+"&amp;BI198&amp;EO$1)</f>
        <v/>
      </c>
      <c r="EP198" s="44" t="str">
        <f t="shared" ref="EP198:EP204" si="3368">IF(BJ198="","","|n"&amp;EP$2&amp;"+"&amp;BJ198&amp;EP$1)</f>
        <v/>
      </c>
      <c r="EQ198" s="44" t="str">
        <f t="shared" ref="EQ198:EQ204" si="3369">IF(BK198="","","|n"&amp;EQ$2&amp;"+"&amp;BK198&amp;EQ$1)</f>
        <v/>
      </c>
      <c r="ER198" s="44" t="str">
        <f t="shared" ref="ER198:ER204" si="3370">IF(BL198="","","|n"&amp;ER$2&amp;"+"&amp;BL198&amp;ER$1)</f>
        <v/>
      </c>
      <c r="ES198" s="44" t="str">
        <f t="shared" ref="ES198:ES204" si="3371">IF(BM198="","","|n"&amp;ES$2&amp;"+"&amp;BM198&amp;ES$1)</f>
        <v/>
      </c>
      <c r="ET198" s="44" t="str">
        <f t="shared" ref="ET198:ET204" si="3372">IF(BN198="","","|n"&amp;ET$2&amp;"+"&amp;BN198&amp;ET$1)</f>
        <v/>
      </c>
      <c r="EU198" s="44" t="str">
        <f t="shared" ref="EU198:EU204" si="3373">IF(BO198="","","|n"&amp;EU$2&amp;"+"&amp;BO198&amp;EU$1)</f>
        <v/>
      </c>
      <c r="EV198" s="44" t="str">
        <f t="shared" ref="EV198:EV204" si="3374">IF(BP198="","","|n"&amp;EV$2&amp;"+"&amp;BP198&amp;EV$1)</f>
        <v/>
      </c>
      <c r="EW198" s="44" t="str">
        <f t="shared" ref="EW198:EW204" si="3375">IF(BQ198="","","|n"&amp;EW$2&amp;"+"&amp;BQ198&amp;EW$1)</f>
        <v/>
      </c>
      <c r="EX198" s="44" t="str">
        <f t="shared" ref="EX198:EX204" si="3376">IF(BR198="","","|n"&amp;EX$2&amp;"+"&amp;BR198&amp;EX$1)</f>
        <v/>
      </c>
      <c r="EY198" s="44" t="str">
        <f t="shared" ref="EY198:EY204" si="3377">IF(BS198="","","|n"&amp;EY$2&amp;"+"&amp;BS198&amp;EY$1)</f>
        <v/>
      </c>
      <c r="EZ198" s="44" t="str">
        <f t="shared" ref="EZ198:EZ204" si="3378">IF(BT198="","","|n"&amp;EZ$2&amp;"+"&amp;BT198&amp;EZ$1)</f>
        <v/>
      </c>
      <c r="FA198" s="44" t="str">
        <f t="shared" ref="FA198:FA204" si="3379">IF(BU198="","","|n"&amp;FA$2&amp;"+"&amp;BU198&amp;FA$1)</f>
        <v/>
      </c>
      <c r="FB198" s="44" t="str">
        <f t="shared" ref="FB198:FB204" si="3380">IF(BV198="","","|n"&amp;FB$2&amp;"+"&amp;BV198&amp;FB$1)</f>
        <v/>
      </c>
      <c r="FC198" s="44" t="str">
        <f t="shared" ref="FC198:FC204" si="3381">IF(BW198="","","|n"&amp;FC$2&amp;"+"&amp;BW198&amp;FC$1)</f>
        <v/>
      </c>
      <c r="FD198" s="44" t="str">
        <f t="shared" ref="FD198:FD204" si="3382">IF(BX198="","","|n"&amp;FD$2&amp;"+"&amp;BX198&amp;FD$1)</f>
        <v/>
      </c>
      <c r="FE198" s="44" t="str">
        <f t="shared" ref="FE198:FE204" si="3383">IF(BY198="","","|n"&amp;FE$2&amp;"+"&amp;BY198&amp;FE$1)</f>
        <v/>
      </c>
      <c r="FF198" s="44" t="str">
        <f t="shared" ref="FF198:FF204" si="3384">IF(BZ198="","","|n"&amp;FF$2&amp;"+"&amp;BZ198&amp;FF$1)</f>
        <v/>
      </c>
      <c r="FG198" s="44" t="str">
        <f t="shared" ref="FG198:FG204" si="3385">IF(CA198="","","|n"&amp;FG$2&amp;"+"&amp;CA198&amp;FG$1)</f>
        <v/>
      </c>
      <c r="FH198" s="44" t="str">
        <f t="shared" ref="FH198:FH204" si="3386">IF(CB198="","","|n"&amp;FH$2&amp;"+"&amp;CB198&amp;FH$1)</f>
        <v/>
      </c>
      <c r="FI198" s="44" t="str">
        <f t="shared" ref="FI198:FI204" si="3387">IF(CC198="","","|n"&amp;FI$2&amp;"+"&amp;CC198&amp;FI$1)</f>
        <v/>
      </c>
      <c r="FJ198" s="44" t="str">
        <f t="shared" ref="FJ198:FJ204" si="3388">IF(CD198="","","|n"&amp;FJ$2&amp;"+"&amp;CD198&amp;FJ$1)</f>
        <v/>
      </c>
      <c r="FK198" s="44" t="str">
        <f t="shared" ref="FK198:FK204" si="3389">IF(CE198="","","|n"&amp;FK$2&amp;"+"&amp;CE198&amp;FK$1)</f>
        <v/>
      </c>
      <c r="FL198" s="44" t="str">
        <f t="shared" ref="FL198:FL204" si="3390">IF(CF198="","","|n"&amp;FL$2&amp;"+"&amp;CF198&amp;FL$1)</f>
        <v/>
      </c>
      <c r="FM198" s="44" t="str">
        <f t="shared" ref="FM198:FM204" si="3391">IF(CG198="","","|n"&amp;FM$2&amp;"+"&amp;CG198&amp;FM$1)</f>
        <v/>
      </c>
      <c r="FN198" s="44" t="str">
        <f t="shared" ref="FN198:FN204" si="3392">IF(CH198="","","|n"&amp;FN$2&amp;"+"&amp;CH198&amp;FN$1)</f>
        <v/>
      </c>
      <c r="FO198" s="44" t="str">
        <f t="shared" ref="FO198:FO204" si="3393">IF(CI198="","","|n"&amp;FO$2&amp;"+"&amp;CI198&amp;FO$1)</f>
        <v/>
      </c>
      <c r="FP198" s="44" t="str">
        <f t="shared" ref="FP198:FP204" si="3394">IF(CJ198="","","|n"&amp;FP$2&amp;"+"&amp;CJ198&amp;FP$1)</f>
        <v/>
      </c>
      <c r="FQ198" s="44" t="str">
        <f t="shared" ref="FQ198:FQ204" si="3395">IF(CK198="","","|n"&amp;FQ$2&amp;"+"&amp;CK198&amp;FQ$1)</f>
        <v/>
      </c>
      <c r="FR198" s="44" t="str">
        <f t="shared" ref="FR198:FR204" si="3396">IF(CL198="","","|n"&amp;FR$2&amp;"+"&amp;CL198&amp;FR$1)</f>
        <v/>
      </c>
      <c r="FS198" s="44" t="str">
        <f t="shared" ref="FS198:FS204" si="3397">IF(CM198="","","|n"&amp;FS$2&amp;"+"&amp;CM198&amp;FS$1)</f>
        <v/>
      </c>
    </row>
    <row r="199" spans="1:175">
      <c r="A199" s="74"/>
      <c r="B199" s="8" t="s">
        <v>704</v>
      </c>
      <c r="C199" s="93" t="str">
        <f t="shared" ref="C199:C206" si="3398">"已领取"&amp;C190</f>
        <v>已领取入群礼包</v>
      </c>
      <c r="T199" s="151" t="s">
        <v>864</v>
      </c>
      <c r="U199" s="3" t="s">
        <v>703</v>
      </c>
      <c r="CN199" s="13" t="str">
        <f t="shared" ref="CN199:CN206" si="3399">"InitUnitState('"&amp;B199&amp;"',"&amp;V199&amp;","&amp;W199&amp;","&amp;X199&amp;","&amp;Y199&amp;","&amp;Z199&amp;","&amp;AA199&amp;","&amp;AB199&amp;","&amp;AC199&amp;","&amp;AD199&amp;","&amp;AE199&amp;")"</f>
        <v>InitUnitState('IB52',,,,,,,,,,)</v>
      </c>
      <c r="CO199" s="13" t="str">
        <f t="shared" ref="CO199:CO206" si="3400">"InitUnitNormal('"&amp;B199&amp;"',"&amp;AF199&amp;","&amp;AG199&amp;","&amp;AH199&amp;","&amp;AI199&amp;","&amp;AJ199&amp;","&amp;AK199&amp;","&amp;AL199&amp;","&amp;AM199&amp;","&amp;AN199&amp;","&amp;AO199&amp;")"</f>
        <v>InitUnitNormal('IB52',,,,,,,,,,)</v>
      </c>
      <c r="CP199" s="13" t="str">
        <f t="shared" ref="CP199:CP206" si="3401">"InitUnitMagic('"&amp;B199&amp;"',"&amp;AP199&amp;","&amp;AQ199&amp;","&amp;AR199&amp;","&amp;AS199&amp;","&amp;AT199&amp;","&amp;AU199&amp;","&amp;AV199&amp;","&amp;AW199&amp;","&amp;BI199&amp;","&amp;BJ199&amp;")"</f>
        <v>InitUnitMagic('IB52',,,,,,,,,,)</v>
      </c>
      <c r="CQ199" s="13" t="str">
        <f t="shared" ref="CQ199:CQ206" si="3402">"InitUnitAdd('"&amp;B199&amp;"',"&amp;BK199&amp;","&amp;BL199&amp;","&amp;BM199&amp;","&amp;BN199&amp;","&amp;BO199&amp;","&amp;BP199&amp;","&amp;BQ199&amp;","&amp;BR199&amp;","&amp;BS199&amp;","&amp;BT199&amp;")"</f>
        <v>InitUnitAdd('IB52',,,,,,,,,,)</v>
      </c>
      <c r="CR199" s="13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InitEquipData('IB52',,"",,,,,'','','','','','',"ReplaceableTextures\\commandButtons\\BTNLBUI01.blp")</v>
      </c>
      <c r="CU199" s="68" t="str">
        <f t="shared" si="3326"/>
        <v>|n</v>
      </c>
      <c r="CV199" s="6" t="str">
        <f t="shared" si="3327"/>
        <v>加入《|cff00ffcc全民封神|r》官方QQ群，即可获得入群礼包码！|n|n输入礼包码即可获得：|n|cff00ff7f招魂幡Lv2|r</v>
      </c>
      <c r="CW199" s="7"/>
      <c r="CX199" s="7"/>
      <c r="CY199" s="7"/>
      <c r="CZ199" s="7"/>
      <c r="DA199" s="7"/>
      <c r="DB199" s="44" t="str">
        <f t="shared" si="3328"/>
        <v/>
      </c>
      <c r="DC199" s="44" t="str">
        <f t="shared" si="3329"/>
        <v/>
      </c>
      <c r="DD199" s="44" t="str">
        <f t="shared" si="3330"/>
        <v/>
      </c>
      <c r="DE199" s="44" t="str">
        <f t="shared" si="3331"/>
        <v/>
      </c>
      <c r="DF199" s="44" t="str">
        <f t="shared" si="3332"/>
        <v/>
      </c>
      <c r="DG199" s="44" t="str">
        <f t="shared" si="3333"/>
        <v/>
      </c>
      <c r="DH199" s="44" t="str">
        <f t="shared" si="3334"/>
        <v/>
      </c>
      <c r="DI199" s="44" t="str">
        <f t="shared" si="3335"/>
        <v/>
      </c>
      <c r="DJ199" s="44" t="str">
        <f t="shared" si="3336"/>
        <v/>
      </c>
      <c r="DK199" s="44" t="str">
        <f t="shared" si="3337"/>
        <v/>
      </c>
      <c r="DL199" s="44" t="str">
        <f t="shared" si="3338"/>
        <v/>
      </c>
      <c r="DM199" s="44" t="str">
        <f t="shared" si="3339"/>
        <v/>
      </c>
      <c r="DN199" s="44" t="str">
        <f t="shared" si="3340"/>
        <v/>
      </c>
      <c r="DO199" s="44" t="str">
        <f t="shared" si="3341"/>
        <v/>
      </c>
      <c r="DP199" s="44" t="str">
        <f t="shared" si="3342"/>
        <v/>
      </c>
      <c r="DQ199" s="44" t="str">
        <f t="shared" si="3343"/>
        <v/>
      </c>
      <c r="DR199" s="44" t="str">
        <f t="shared" si="3344"/>
        <v/>
      </c>
      <c r="DS199" s="44" t="str">
        <f t="shared" si="3345"/>
        <v/>
      </c>
      <c r="DT199" s="44" t="str">
        <f t="shared" si="3346"/>
        <v/>
      </c>
      <c r="DU199" s="44" t="str">
        <f t="shared" si="3347"/>
        <v/>
      </c>
      <c r="DV199" s="44" t="str">
        <f t="shared" si="3348"/>
        <v/>
      </c>
      <c r="DW199" s="44" t="str">
        <f t="shared" si="3349"/>
        <v/>
      </c>
      <c r="DX199" s="44" t="str">
        <f t="shared" si="3350"/>
        <v/>
      </c>
      <c r="DY199" s="44" t="str">
        <f t="shared" si="3351"/>
        <v/>
      </c>
      <c r="DZ199" s="44" t="str">
        <f t="shared" si="3352"/>
        <v/>
      </c>
      <c r="EA199" s="44" t="str">
        <f t="shared" si="3353"/>
        <v/>
      </c>
      <c r="EB199" s="44" t="str">
        <f t="shared" si="3354"/>
        <v/>
      </c>
      <c r="EC199" s="44" t="str">
        <f t="shared" si="3355"/>
        <v/>
      </c>
      <c r="ED199" s="44" t="str">
        <f t="shared" si="3356"/>
        <v/>
      </c>
      <c r="EE199" s="44" t="str">
        <f t="shared" si="3357"/>
        <v/>
      </c>
      <c r="EF199" s="44" t="str">
        <f t="shared" si="3358"/>
        <v/>
      </c>
      <c r="EG199" s="44" t="str">
        <f t="shared" si="3359"/>
        <v/>
      </c>
      <c r="EH199" s="44" t="str">
        <f t="shared" si="3360"/>
        <v/>
      </c>
      <c r="EI199" s="44" t="str">
        <f t="shared" si="3361"/>
        <v/>
      </c>
      <c r="EJ199" s="44" t="str">
        <f t="shared" si="3362"/>
        <v/>
      </c>
      <c r="EK199" s="44" t="str">
        <f t="shared" si="3363"/>
        <v/>
      </c>
      <c r="EL199" s="44" t="str">
        <f t="shared" si="3364"/>
        <v/>
      </c>
      <c r="EM199" s="44" t="str">
        <f t="shared" si="3365"/>
        <v/>
      </c>
      <c r="EN199" s="44" t="str">
        <f t="shared" si="3366"/>
        <v/>
      </c>
      <c r="EO199" s="44" t="str">
        <f t="shared" si="3367"/>
        <v/>
      </c>
      <c r="EP199" s="44" t="str">
        <f t="shared" si="3368"/>
        <v/>
      </c>
      <c r="EQ199" s="44" t="str">
        <f t="shared" si="3369"/>
        <v/>
      </c>
      <c r="ER199" s="44" t="str">
        <f t="shared" si="3370"/>
        <v/>
      </c>
      <c r="ES199" s="44" t="str">
        <f t="shared" si="3371"/>
        <v/>
      </c>
      <c r="ET199" s="44" t="str">
        <f t="shared" si="3372"/>
        <v/>
      </c>
      <c r="EU199" s="44" t="str">
        <f t="shared" si="3373"/>
        <v/>
      </c>
      <c r="EV199" s="44" t="str">
        <f t="shared" si="3374"/>
        <v/>
      </c>
      <c r="EW199" s="44" t="str">
        <f t="shared" si="3375"/>
        <v/>
      </c>
      <c r="EX199" s="44" t="str">
        <f t="shared" si="3376"/>
        <v/>
      </c>
      <c r="EY199" s="44" t="str">
        <f t="shared" si="3377"/>
        <v/>
      </c>
      <c r="EZ199" s="44" t="str">
        <f t="shared" si="3378"/>
        <v/>
      </c>
      <c r="FA199" s="44" t="str">
        <f t="shared" si="3379"/>
        <v/>
      </c>
      <c r="FB199" s="44" t="str">
        <f t="shared" si="3380"/>
        <v/>
      </c>
      <c r="FC199" s="44" t="str">
        <f t="shared" si="3381"/>
        <v/>
      </c>
      <c r="FD199" s="44" t="str">
        <f t="shared" si="3382"/>
        <v/>
      </c>
      <c r="FE199" s="44" t="str">
        <f t="shared" si="3383"/>
        <v/>
      </c>
      <c r="FF199" s="44" t="str">
        <f t="shared" si="3384"/>
        <v/>
      </c>
      <c r="FG199" s="44" t="str">
        <f t="shared" si="3385"/>
        <v/>
      </c>
      <c r="FH199" s="44" t="str">
        <f t="shared" si="3386"/>
        <v/>
      </c>
      <c r="FI199" s="44" t="str">
        <f t="shared" si="3387"/>
        <v/>
      </c>
      <c r="FJ199" s="44" t="str">
        <f t="shared" si="3388"/>
        <v/>
      </c>
      <c r="FK199" s="44" t="str">
        <f t="shared" si="3389"/>
        <v/>
      </c>
      <c r="FL199" s="44" t="str">
        <f t="shared" si="3390"/>
        <v/>
      </c>
      <c r="FM199" s="44" t="str">
        <f t="shared" si="3391"/>
        <v/>
      </c>
      <c r="FN199" s="44" t="str">
        <f t="shared" si="3392"/>
        <v/>
      </c>
      <c r="FO199" s="44" t="str">
        <f t="shared" si="3393"/>
        <v/>
      </c>
      <c r="FP199" s="44" t="str">
        <f t="shared" si="3394"/>
        <v/>
      </c>
      <c r="FQ199" s="44" t="str">
        <f t="shared" si="3395"/>
        <v/>
      </c>
      <c r="FR199" s="44" t="str">
        <f t="shared" si="3396"/>
        <v/>
      </c>
      <c r="FS199" s="44" t="str">
        <f t="shared" si="3397"/>
        <v/>
      </c>
    </row>
    <row r="200" spans="1:175">
      <c r="A200" s="74"/>
      <c r="B200" s="8" t="s">
        <v>705</v>
      </c>
      <c r="C200" s="93" t="str">
        <f t="shared" si="3398"/>
        <v>已领取拜年礼包</v>
      </c>
      <c r="T200" s="93" t="s">
        <v>706</v>
      </c>
      <c r="U200" s="3" t="s">
        <v>703</v>
      </c>
      <c r="CN200" s="13" t="str">
        <f t="shared" si="3399"/>
        <v>InitUnitState('IB53',,,,,,,,,,)</v>
      </c>
      <c r="CO200" s="13" t="str">
        <f t="shared" si="3400"/>
        <v>InitUnitNormal('IB53',,,,,,,,,,)</v>
      </c>
      <c r="CP200" s="13" t="str">
        <f t="shared" si="3401"/>
        <v>InitUnitMagic('IB53',,,,,,,,,,)</v>
      </c>
      <c r="CQ200" s="13" t="str">
        <f t="shared" si="3402"/>
        <v>InitUnitAdd('IB53',,,,,,,,,,)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InitEquipData('IB53',,"",,,,,'','','','','','',"ReplaceableTextures\\commandButtons\\BTNLBUI01.blp")</v>
      </c>
      <c r="CU200" s="68" t="str">
        <f t="shared" si="3326"/>
        <v>|n</v>
      </c>
      <c r="CV200" s="6" t="str">
        <f t="shared" si="3327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0" s="7"/>
      <c r="CX200" s="7"/>
      <c r="CY200" s="7"/>
      <c r="CZ200" s="7"/>
      <c r="DA200" s="7"/>
      <c r="DB200" s="44" t="str">
        <f t="shared" si="3328"/>
        <v/>
      </c>
      <c r="DC200" s="44" t="str">
        <f t="shared" si="3329"/>
        <v/>
      </c>
      <c r="DD200" s="44" t="str">
        <f t="shared" si="3330"/>
        <v/>
      </c>
      <c r="DE200" s="44" t="str">
        <f t="shared" si="3331"/>
        <v/>
      </c>
      <c r="DF200" s="44" t="str">
        <f t="shared" si="3332"/>
        <v/>
      </c>
      <c r="DG200" s="44" t="str">
        <f t="shared" si="3333"/>
        <v/>
      </c>
      <c r="DH200" s="44" t="str">
        <f t="shared" si="3334"/>
        <v/>
      </c>
      <c r="DI200" s="44" t="str">
        <f t="shared" si="3335"/>
        <v/>
      </c>
      <c r="DJ200" s="44" t="str">
        <f t="shared" si="3336"/>
        <v/>
      </c>
      <c r="DK200" s="44" t="str">
        <f t="shared" si="3337"/>
        <v/>
      </c>
      <c r="DL200" s="44" t="str">
        <f t="shared" si="3338"/>
        <v/>
      </c>
      <c r="DM200" s="44" t="str">
        <f t="shared" si="3339"/>
        <v/>
      </c>
      <c r="DN200" s="44" t="str">
        <f t="shared" si="3340"/>
        <v/>
      </c>
      <c r="DO200" s="44" t="str">
        <f t="shared" si="3341"/>
        <v/>
      </c>
      <c r="DP200" s="44" t="str">
        <f t="shared" si="3342"/>
        <v/>
      </c>
      <c r="DQ200" s="44" t="str">
        <f t="shared" si="3343"/>
        <v/>
      </c>
      <c r="DR200" s="44" t="str">
        <f t="shared" si="3344"/>
        <v/>
      </c>
      <c r="DS200" s="44" t="str">
        <f t="shared" si="3345"/>
        <v/>
      </c>
      <c r="DT200" s="44" t="str">
        <f t="shared" si="3346"/>
        <v/>
      </c>
      <c r="DU200" s="44" t="str">
        <f t="shared" si="3347"/>
        <v/>
      </c>
      <c r="DV200" s="44" t="str">
        <f t="shared" si="3348"/>
        <v/>
      </c>
      <c r="DW200" s="44" t="str">
        <f t="shared" si="3349"/>
        <v/>
      </c>
      <c r="DX200" s="44" t="str">
        <f t="shared" si="3350"/>
        <v/>
      </c>
      <c r="DY200" s="44" t="str">
        <f t="shared" si="3351"/>
        <v/>
      </c>
      <c r="DZ200" s="44" t="str">
        <f t="shared" si="3352"/>
        <v/>
      </c>
      <c r="EA200" s="44" t="str">
        <f t="shared" si="3353"/>
        <v/>
      </c>
      <c r="EB200" s="44" t="str">
        <f t="shared" si="3354"/>
        <v/>
      </c>
      <c r="EC200" s="44" t="str">
        <f t="shared" si="3355"/>
        <v/>
      </c>
      <c r="ED200" s="44" t="str">
        <f t="shared" si="3356"/>
        <v/>
      </c>
      <c r="EE200" s="44" t="str">
        <f t="shared" si="3357"/>
        <v/>
      </c>
      <c r="EF200" s="44" t="str">
        <f t="shared" si="3358"/>
        <v/>
      </c>
      <c r="EG200" s="44" t="str">
        <f t="shared" si="3359"/>
        <v/>
      </c>
      <c r="EH200" s="44" t="str">
        <f t="shared" si="3360"/>
        <v/>
      </c>
      <c r="EI200" s="44" t="str">
        <f t="shared" si="3361"/>
        <v/>
      </c>
      <c r="EJ200" s="44" t="str">
        <f t="shared" si="3362"/>
        <v/>
      </c>
      <c r="EK200" s="44" t="str">
        <f t="shared" si="3363"/>
        <v/>
      </c>
      <c r="EL200" s="44" t="str">
        <f t="shared" si="3364"/>
        <v/>
      </c>
      <c r="EM200" s="44" t="str">
        <f t="shared" si="3365"/>
        <v/>
      </c>
      <c r="EN200" s="44" t="str">
        <f t="shared" si="3366"/>
        <v/>
      </c>
      <c r="EO200" s="44" t="str">
        <f t="shared" si="3367"/>
        <v/>
      </c>
      <c r="EP200" s="44" t="str">
        <f t="shared" si="3368"/>
        <v/>
      </c>
      <c r="EQ200" s="44" t="str">
        <f t="shared" si="3369"/>
        <v/>
      </c>
      <c r="ER200" s="44" t="str">
        <f t="shared" si="3370"/>
        <v/>
      </c>
      <c r="ES200" s="44" t="str">
        <f t="shared" si="3371"/>
        <v/>
      </c>
      <c r="ET200" s="44" t="str">
        <f t="shared" si="3372"/>
        <v/>
      </c>
      <c r="EU200" s="44" t="str">
        <f t="shared" si="3373"/>
        <v/>
      </c>
      <c r="EV200" s="44" t="str">
        <f t="shared" si="3374"/>
        <v/>
      </c>
      <c r="EW200" s="44" t="str">
        <f t="shared" si="3375"/>
        <v/>
      </c>
      <c r="EX200" s="44" t="str">
        <f t="shared" si="3376"/>
        <v/>
      </c>
      <c r="EY200" s="44" t="str">
        <f t="shared" si="3377"/>
        <v/>
      </c>
      <c r="EZ200" s="44" t="str">
        <f t="shared" si="3378"/>
        <v/>
      </c>
      <c r="FA200" s="44" t="str">
        <f t="shared" si="3379"/>
        <v/>
      </c>
      <c r="FB200" s="44" t="str">
        <f t="shared" si="3380"/>
        <v/>
      </c>
      <c r="FC200" s="44" t="str">
        <f t="shared" si="3381"/>
        <v/>
      </c>
      <c r="FD200" s="44" t="str">
        <f t="shared" si="3382"/>
        <v/>
      </c>
      <c r="FE200" s="44" t="str">
        <f t="shared" si="3383"/>
        <v/>
      </c>
      <c r="FF200" s="44" t="str">
        <f t="shared" si="3384"/>
        <v/>
      </c>
      <c r="FG200" s="44" t="str">
        <f t="shared" si="3385"/>
        <v/>
      </c>
      <c r="FH200" s="44" t="str">
        <f t="shared" si="3386"/>
        <v/>
      </c>
      <c r="FI200" s="44" t="str">
        <f t="shared" si="3387"/>
        <v/>
      </c>
      <c r="FJ200" s="44" t="str">
        <f t="shared" si="3388"/>
        <v/>
      </c>
      <c r="FK200" s="44" t="str">
        <f t="shared" si="3389"/>
        <v/>
      </c>
      <c r="FL200" s="44" t="str">
        <f t="shared" si="3390"/>
        <v/>
      </c>
      <c r="FM200" s="44" t="str">
        <f t="shared" si="3391"/>
        <v/>
      </c>
      <c r="FN200" s="44" t="str">
        <f t="shared" si="3392"/>
        <v/>
      </c>
      <c r="FO200" s="44" t="str">
        <f t="shared" si="3393"/>
        <v/>
      </c>
      <c r="FP200" s="44" t="str">
        <f t="shared" si="3394"/>
        <v/>
      </c>
      <c r="FQ200" s="44" t="str">
        <f t="shared" si="3395"/>
        <v/>
      </c>
      <c r="FR200" s="44" t="str">
        <f t="shared" si="3396"/>
        <v/>
      </c>
      <c r="FS200" s="44" t="str">
        <f t="shared" si="3397"/>
        <v/>
      </c>
    </row>
    <row r="201" spans="1:175">
      <c r="A201" s="74"/>
      <c r="B201" s="8" t="s">
        <v>707</v>
      </c>
      <c r="C201" s="93" t="str">
        <f t="shared" si="3398"/>
        <v>已领取收藏礼包</v>
      </c>
      <c r="T201" s="93" t="s">
        <v>708</v>
      </c>
      <c r="U201" s="3" t="s">
        <v>703</v>
      </c>
      <c r="CN201" s="13" t="str">
        <f t="shared" si="3399"/>
        <v>InitUnitState('IB54',,,,,,,,,,)</v>
      </c>
      <c r="CO201" s="13" t="str">
        <f t="shared" si="3400"/>
        <v>InitUnitNormal('IB54',,,,,,,,,,)</v>
      </c>
      <c r="CP201" s="13" t="str">
        <f t="shared" si="3401"/>
        <v>InitUnitMagic('IB54',,,,,,,,,,)</v>
      </c>
      <c r="CQ201" s="13" t="str">
        <f t="shared" si="3402"/>
        <v>InitUnitAdd('IB54',,,,,,,,,,)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InitEquipData('IB54',,"",,,,,'','','','','','',"ReplaceableTextures\\commandButtons\\BTNLBUI01.blp")</v>
      </c>
      <c r="CU201" s="68" t="str">
        <f t="shared" si="3326"/>
        <v>|n</v>
      </c>
      <c r="CV201" s="6" t="str">
        <f t="shared" si="3327"/>
        <v>|cff99ccff房间大厅界面点击右上角《|r|cffcc99ff收藏|r|cff99ccff》后可领取该礼包。|n|n|r属性：|n|cffffcc33物理伤害+5%|n法术伤害+5%|r</v>
      </c>
      <c r="CW201" s="7"/>
      <c r="CX201" s="7"/>
      <c r="CY201" s="7"/>
      <c r="CZ201" s="7"/>
      <c r="DA201" s="7"/>
      <c r="DB201" s="44" t="str">
        <f t="shared" si="3328"/>
        <v/>
      </c>
      <c r="DC201" s="44" t="str">
        <f t="shared" si="3329"/>
        <v/>
      </c>
      <c r="DD201" s="44" t="str">
        <f t="shared" si="3330"/>
        <v/>
      </c>
      <c r="DE201" s="44" t="str">
        <f t="shared" si="3331"/>
        <v/>
      </c>
      <c r="DF201" s="44" t="str">
        <f t="shared" si="3332"/>
        <v/>
      </c>
      <c r="DG201" s="44" t="str">
        <f t="shared" si="3333"/>
        <v/>
      </c>
      <c r="DH201" s="44" t="str">
        <f t="shared" si="3334"/>
        <v/>
      </c>
      <c r="DI201" s="44" t="str">
        <f t="shared" si="3335"/>
        <v/>
      </c>
      <c r="DJ201" s="44" t="str">
        <f t="shared" si="3336"/>
        <v/>
      </c>
      <c r="DK201" s="44" t="str">
        <f t="shared" si="3337"/>
        <v/>
      </c>
      <c r="DL201" s="44" t="str">
        <f t="shared" si="3338"/>
        <v/>
      </c>
      <c r="DM201" s="44" t="str">
        <f t="shared" si="3339"/>
        <v/>
      </c>
      <c r="DN201" s="44" t="str">
        <f t="shared" si="3340"/>
        <v/>
      </c>
      <c r="DO201" s="44" t="str">
        <f t="shared" si="3341"/>
        <v/>
      </c>
      <c r="DP201" s="44" t="str">
        <f t="shared" si="3342"/>
        <v/>
      </c>
      <c r="DQ201" s="44" t="str">
        <f t="shared" si="3343"/>
        <v/>
      </c>
      <c r="DR201" s="44" t="str">
        <f t="shared" si="3344"/>
        <v/>
      </c>
      <c r="DS201" s="44" t="str">
        <f t="shared" si="3345"/>
        <v/>
      </c>
      <c r="DT201" s="44" t="str">
        <f t="shared" si="3346"/>
        <v/>
      </c>
      <c r="DU201" s="44" t="str">
        <f t="shared" si="3347"/>
        <v/>
      </c>
      <c r="DV201" s="44" t="str">
        <f t="shared" si="3348"/>
        <v/>
      </c>
      <c r="DW201" s="44" t="str">
        <f t="shared" si="3349"/>
        <v/>
      </c>
      <c r="DX201" s="44" t="str">
        <f t="shared" si="3350"/>
        <v/>
      </c>
      <c r="DY201" s="44" t="str">
        <f t="shared" si="3351"/>
        <v/>
      </c>
      <c r="DZ201" s="44" t="str">
        <f t="shared" si="3352"/>
        <v/>
      </c>
      <c r="EA201" s="44" t="str">
        <f t="shared" si="3353"/>
        <v/>
      </c>
      <c r="EB201" s="44" t="str">
        <f t="shared" si="3354"/>
        <v/>
      </c>
      <c r="EC201" s="44" t="str">
        <f t="shared" si="3355"/>
        <v/>
      </c>
      <c r="ED201" s="44" t="str">
        <f t="shared" si="3356"/>
        <v/>
      </c>
      <c r="EE201" s="44" t="str">
        <f t="shared" si="3357"/>
        <v/>
      </c>
      <c r="EF201" s="44" t="str">
        <f t="shared" si="3358"/>
        <v/>
      </c>
      <c r="EG201" s="44" t="str">
        <f t="shared" si="3359"/>
        <v/>
      </c>
      <c r="EH201" s="44" t="str">
        <f t="shared" si="3360"/>
        <v/>
      </c>
      <c r="EI201" s="44" t="str">
        <f t="shared" si="3361"/>
        <v/>
      </c>
      <c r="EJ201" s="44" t="str">
        <f t="shared" si="3362"/>
        <v/>
      </c>
      <c r="EK201" s="44" t="str">
        <f t="shared" si="3363"/>
        <v/>
      </c>
      <c r="EL201" s="44" t="str">
        <f t="shared" si="3364"/>
        <v/>
      </c>
      <c r="EM201" s="44" t="str">
        <f t="shared" si="3365"/>
        <v/>
      </c>
      <c r="EN201" s="44" t="str">
        <f t="shared" si="3366"/>
        <v/>
      </c>
      <c r="EO201" s="44" t="str">
        <f t="shared" si="3367"/>
        <v/>
      </c>
      <c r="EP201" s="44" t="str">
        <f t="shared" si="3368"/>
        <v/>
      </c>
      <c r="EQ201" s="44" t="str">
        <f t="shared" si="3369"/>
        <v/>
      </c>
      <c r="ER201" s="44" t="str">
        <f t="shared" si="3370"/>
        <v/>
      </c>
      <c r="ES201" s="44" t="str">
        <f t="shared" si="3371"/>
        <v/>
      </c>
      <c r="ET201" s="44" t="str">
        <f t="shared" si="3372"/>
        <v/>
      </c>
      <c r="EU201" s="44" t="str">
        <f t="shared" si="3373"/>
        <v/>
      </c>
      <c r="EV201" s="44" t="str">
        <f t="shared" si="3374"/>
        <v/>
      </c>
      <c r="EW201" s="44" t="str">
        <f t="shared" si="3375"/>
        <v/>
      </c>
      <c r="EX201" s="44" t="str">
        <f t="shared" si="3376"/>
        <v/>
      </c>
      <c r="EY201" s="44" t="str">
        <f t="shared" si="3377"/>
        <v/>
      </c>
      <c r="EZ201" s="44" t="str">
        <f t="shared" si="3378"/>
        <v/>
      </c>
      <c r="FA201" s="44" t="str">
        <f t="shared" si="3379"/>
        <v/>
      </c>
      <c r="FB201" s="44" t="str">
        <f t="shared" si="3380"/>
        <v/>
      </c>
      <c r="FC201" s="44" t="str">
        <f t="shared" si="3381"/>
        <v/>
      </c>
      <c r="FD201" s="44" t="str">
        <f t="shared" si="3382"/>
        <v/>
      </c>
      <c r="FE201" s="44" t="str">
        <f t="shared" si="3383"/>
        <v/>
      </c>
      <c r="FF201" s="44" t="str">
        <f t="shared" si="3384"/>
        <v/>
      </c>
      <c r="FG201" s="44" t="str">
        <f t="shared" si="3385"/>
        <v/>
      </c>
      <c r="FH201" s="44" t="str">
        <f t="shared" si="3386"/>
        <v/>
      </c>
      <c r="FI201" s="44" t="str">
        <f t="shared" si="3387"/>
        <v/>
      </c>
      <c r="FJ201" s="44" t="str">
        <f t="shared" si="3388"/>
        <v/>
      </c>
      <c r="FK201" s="44" t="str">
        <f t="shared" si="3389"/>
        <v/>
      </c>
      <c r="FL201" s="44" t="str">
        <f t="shared" si="3390"/>
        <v/>
      </c>
      <c r="FM201" s="44" t="str">
        <f t="shared" si="3391"/>
        <v/>
      </c>
      <c r="FN201" s="44" t="str">
        <f t="shared" si="3392"/>
        <v/>
      </c>
      <c r="FO201" s="44" t="str">
        <f t="shared" si="3393"/>
        <v/>
      </c>
      <c r="FP201" s="44" t="str">
        <f t="shared" si="3394"/>
        <v/>
      </c>
      <c r="FQ201" s="44" t="str">
        <f t="shared" si="3395"/>
        <v/>
      </c>
      <c r="FR201" s="44" t="str">
        <f t="shared" si="3396"/>
        <v/>
      </c>
      <c r="FS201" s="44" t="str">
        <f t="shared" si="3397"/>
        <v/>
      </c>
    </row>
    <row r="202" spans="1:175">
      <c r="A202" s="74"/>
      <c r="B202" s="8" t="s">
        <v>709</v>
      </c>
      <c r="C202" s="93" t="str">
        <f t="shared" si="3398"/>
        <v>已领取重置版礼包</v>
      </c>
      <c r="T202" s="151" t="s">
        <v>865</v>
      </c>
      <c r="U202" s="3" t="s">
        <v>703</v>
      </c>
      <c r="CN202" s="13" t="str">
        <f t="shared" si="3399"/>
        <v>InitUnitState('IB55',,,,,,,,,,)</v>
      </c>
      <c r="CO202" s="13" t="str">
        <f t="shared" si="3400"/>
        <v>InitUnitNormal('IB55',,,,,,,,,,)</v>
      </c>
      <c r="CP202" s="13" t="str">
        <f t="shared" si="3401"/>
        <v>InitUnitMagic('IB55',,,,,,,,,,)</v>
      </c>
      <c r="CQ202" s="13" t="str">
        <f t="shared" si="3402"/>
        <v>InitUnitAdd('IB55',,,,,,,,,,)</v>
      </c>
      <c r="CR202" s="13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220&amp;CR$1&amp;")"</f>
        <v>InitEquipData('IB55',,"",,,,,'','','','','','',"")</v>
      </c>
      <c r="CU202" s="68" t="str">
        <f t="shared" si="3326"/>
        <v>|n</v>
      </c>
      <c r="CV202" s="6" t="str">
        <f t="shared" si="3327"/>
        <v>|cff33ff00购买魔兽重制版可领取该礼包！|n|n|r属性：|n|cffffcc33金币+2000|n每秒攻击+2|n每秒业力+1|r</v>
      </c>
      <c r="CW202" s="7"/>
      <c r="CX202" s="7"/>
      <c r="CY202" s="7"/>
      <c r="CZ202" s="7"/>
      <c r="DA202" s="7"/>
      <c r="DB202" s="44" t="str">
        <f t="shared" si="3328"/>
        <v/>
      </c>
      <c r="DC202" s="44" t="str">
        <f t="shared" si="3329"/>
        <v/>
      </c>
      <c r="DD202" s="44" t="str">
        <f t="shared" si="3330"/>
        <v/>
      </c>
      <c r="DE202" s="44" t="str">
        <f t="shared" si="3331"/>
        <v/>
      </c>
      <c r="DF202" s="44" t="str">
        <f t="shared" si="3332"/>
        <v/>
      </c>
      <c r="DG202" s="44" t="str">
        <f t="shared" si="3333"/>
        <v/>
      </c>
      <c r="DH202" s="44" t="str">
        <f t="shared" si="3334"/>
        <v/>
      </c>
      <c r="DI202" s="44" t="str">
        <f t="shared" si="3335"/>
        <v/>
      </c>
      <c r="DJ202" s="44" t="str">
        <f t="shared" si="3336"/>
        <v/>
      </c>
      <c r="DK202" s="44" t="str">
        <f t="shared" si="3337"/>
        <v/>
      </c>
      <c r="DL202" s="44" t="str">
        <f t="shared" si="3338"/>
        <v/>
      </c>
      <c r="DM202" s="44" t="str">
        <f t="shared" si="3339"/>
        <v/>
      </c>
      <c r="DN202" s="44" t="str">
        <f t="shared" si="3340"/>
        <v/>
      </c>
      <c r="DO202" s="44" t="str">
        <f t="shared" si="3341"/>
        <v/>
      </c>
      <c r="DP202" s="44" t="str">
        <f t="shared" si="3342"/>
        <v/>
      </c>
      <c r="DQ202" s="44" t="str">
        <f t="shared" si="3343"/>
        <v/>
      </c>
      <c r="DR202" s="44" t="str">
        <f t="shared" si="3344"/>
        <v/>
      </c>
      <c r="DS202" s="44" t="str">
        <f t="shared" si="3345"/>
        <v/>
      </c>
      <c r="DT202" s="44" t="str">
        <f t="shared" si="3346"/>
        <v/>
      </c>
      <c r="DU202" s="44" t="str">
        <f t="shared" si="3347"/>
        <v/>
      </c>
      <c r="DV202" s="44" t="str">
        <f t="shared" si="3348"/>
        <v/>
      </c>
      <c r="DW202" s="44" t="str">
        <f t="shared" si="3349"/>
        <v/>
      </c>
      <c r="DX202" s="44" t="str">
        <f t="shared" si="3350"/>
        <v/>
      </c>
      <c r="DY202" s="44" t="str">
        <f t="shared" si="3351"/>
        <v/>
      </c>
      <c r="DZ202" s="44" t="str">
        <f t="shared" si="3352"/>
        <v/>
      </c>
      <c r="EA202" s="44" t="str">
        <f t="shared" si="3353"/>
        <v/>
      </c>
      <c r="EB202" s="44" t="str">
        <f t="shared" si="3354"/>
        <v/>
      </c>
      <c r="EC202" s="44" t="str">
        <f t="shared" si="3355"/>
        <v/>
      </c>
      <c r="ED202" s="44" t="str">
        <f t="shared" si="3356"/>
        <v/>
      </c>
      <c r="EE202" s="44" t="str">
        <f t="shared" si="3357"/>
        <v/>
      </c>
      <c r="EF202" s="44" t="str">
        <f t="shared" si="3358"/>
        <v/>
      </c>
      <c r="EG202" s="44" t="str">
        <f t="shared" si="3359"/>
        <v/>
      </c>
      <c r="EH202" s="44" t="str">
        <f t="shared" si="3360"/>
        <v/>
      </c>
      <c r="EI202" s="44" t="str">
        <f t="shared" si="3361"/>
        <v/>
      </c>
      <c r="EJ202" s="44" t="str">
        <f t="shared" si="3362"/>
        <v/>
      </c>
      <c r="EK202" s="44" t="str">
        <f t="shared" si="3363"/>
        <v/>
      </c>
      <c r="EL202" s="44" t="str">
        <f t="shared" si="3364"/>
        <v/>
      </c>
      <c r="EM202" s="44" t="str">
        <f t="shared" si="3365"/>
        <v/>
      </c>
      <c r="EN202" s="44" t="str">
        <f t="shared" si="3366"/>
        <v/>
      </c>
      <c r="EO202" s="44" t="str">
        <f t="shared" si="3367"/>
        <v/>
      </c>
      <c r="EP202" s="44" t="str">
        <f t="shared" si="3368"/>
        <v/>
      </c>
      <c r="EQ202" s="44" t="str">
        <f t="shared" si="3369"/>
        <v/>
      </c>
      <c r="ER202" s="44" t="str">
        <f t="shared" si="3370"/>
        <v/>
      </c>
      <c r="ES202" s="44" t="str">
        <f t="shared" si="3371"/>
        <v/>
      </c>
      <c r="ET202" s="44" t="str">
        <f t="shared" si="3372"/>
        <v/>
      </c>
      <c r="EU202" s="44" t="str">
        <f t="shared" si="3373"/>
        <v/>
      </c>
      <c r="EV202" s="44" t="str">
        <f t="shared" si="3374"/>
        <v/>
      </c>
      <c r="EW202" s="44" t="str">
        <f t="shared" si="3375"/>
        <v/>
      </c>
      <c r="EX202" s="44" t="str">
        <f t="shared" si="3376"/>
        <v/>
      </c>
      <c r="EY202" s="44" t="str">
        <f t="shared" si="3377"/>
        <v/>
      </c>
      <c r="EZ202" s="44" t="str">
        <f t="shared" si="3378"/>
        <v/>
      </c>
      <c r="FA202" s="44" t="str">
        <f t="shared" si="3379"/>
        <v/>
      </c>
      <c r="FB202" s="44" t="str">
        <f t="shared" si="3380"/>
        <v/>
      </c>
      <c r="FC202" s="44" t="str">
        <f t="shared" si="3381"/>
        <v/>
      </c>
      <c r="FD202" s="44" t="str">
        <f t="shared" si="3382"/>
        <v/>
      </c>
      <c r="FE202" s="44" t="str">
        <f t="shared" si="3383"/>
        <v/>
      </c>
      <c r="FF202" s="44" t="str">
        <f t="shared" si="3384"/>
        <v/>
      </c>
      <c r="FG202" s="44" t="str">
        <f t="shared" si="3385"/>
        <v/>
      </c>
      <c r="FH202" s="44" t="str">
        <f t="shared" si="3386"/>
        <v/>
      </c>
      <c r="FI202" s="44" t="str">
        <f t="shared" si="3387"/>
        <v/>
      </c>
      <c r="FJ202" s="44" t="str">
        <f t="shared" si="3388"/>
        <v/>
      </c>
      <c r="FK202" s="44" t="str">
        <f t="shared" si="3389"/>
        <v/>
      </c>
      <c r="FL202" s="44" t="str">
        <f t="shared" si="3390"/>
        <v/>
      </c>
      <c r="FM202" s="44" t="str">
        <f t="shared" si="3391"/>
        <v/>
      </c>
      <c r="FN202" s="44" t="str">
        <f t="shared" si="3392"/>
        <v/>
      </c>
      <c r="FO202" s="44" t="str">
        <f t="shared" si="3393"/>
        <v/>
      </c>
      <c r="FP202" s="44" t="str">
        <f t="shared" si="3394"/>
        <v/>
      </c>
      <c r="FQ202" s="44" t="str">
        <f t="shared" si="3395"/>
        <v/>
      </c>
      <c r="FR202" s="44" t="str">
        <f t="shared" si="3396"/>
        <v/>
      </c>
      <c r="FS202" s="44" t="str">
        <f t="shared" si="3397"/>
        <v/>
      </c>
    </row>
    <row r="203" spans="1:175">
      <c r="A203" s="74"/>
      <c r="B203" s="8" t="s">
        <v>710</v>
      </c>
      <c r="C203" s="93" t="str">
        <f t="shared" si="3398"/>
        <v>已领取公会福利</v>
      </c>
      <c r="T203" s="93" t="s">
        <v>692</v>
      </c>
      <c r="U203" s="3" t="s">
        <v>703</v>
      </c>
      <c r="CN203" s="13" t="str">
        <f t="shared" si="3399"/>
        <v>InitUnitState('IB56',,,,,,,,,,)</v>
      </c>
      <c r="CO203" s="13" t="str">
        <f t="shared" si="3400"/>
        <v>InitUnitNormal('IB56',,,,,,,,,,)</v>
      </c>
      <c r="CP203" s="13" t="str">
        <f t="shared" si="3401"/>
        <v>InitUnitMagic('IB56',,,,,,,,,,)</v>
      </c>
      <c r="CQ203" s="13" t="str">
        <f t="shared" si="3402"/>
        <v>InitUnitAdd('IB56',,,,,,,,,,)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InitEquipData('IB56',,"",,,,,'','','','','','',"ReplaceableTextures\\commandButtons\\BTNLBUI01.blp")</v>
      </c>
      <c r="CU203" s="68" t="str">
        <f t="shared" si="3326"/>
        <v>|n</v>
      </c>
      <c r="CV203" s="6" t="str">
        <f t="shared" si="332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3" s="7"/>
      <c r="CX203" s="7"/>
      <c r="CY203" s="7"/>
      <c r="CZ203" s="7"/>
      <c r="DA203" s="7"/>
      <c r="DB203" s="44" t="str">
        <f t="shared" si="3328"/>
        <v/>
      </c>
      <c r="DC203" s="44" t="str">
        <f t="shared" si="3329"/>
        <v/>
      </c>
      <c r="DD203" s="44" t="str">
        <f t="shared" si="3330"/>
        <v/>
      </c>
      <c r="DE203" s="44" t="str">
        <f t="shared" si="3331"/>
        <v/>
      </c>
      <c r="DF203" s="44" t="str">
        <f t="shared" si="3332"/>
        <v/>
      </c>
      <c r="DG203" s="44" t="str">
        <f t="shared" si="3333"/>
        <v/>
      </c>
      <c r="DH203" s="44" t="str">
        <f t="shared" si="3334"/>
        <v/>
      </c>
      <c r="DI203" s="44" t="str">
        <f t="shared" si="3335"/>
        <v/>
      </c>
      <c r="DJ203" s="44" t="str">
        <f t="shared" si="3336"/>
        <v/>
      </c>
      <c r="DK203" s="44" t="str">
        <f t="shared" si="3337"/>
        <v/>
      </c>
      <c r="DL203" s="44" t="str">
        <f t="shared" si="3338"/>
        <v/>
      </c>
      <c r="DM203" s="44" t="str">
        <f t="shared" si="3339"/>
        <v/>
      </c>
      <c r="DN203" s="44" t="str">
        <f t="shared" si="3340"/>
        <v/>
      </c>
      <c r="DO203" s="44" t="str">
        <f t="shared" si="3341"/>
        <v/>
      </c>
      <c r="DP203" s="44" t="str">
        <f t="shared" si="3342"/>
        <v/>
      </c>
      <c r="DQ203" s="44" t="str">
        <f t="shared" si="3343"/>
        <v/>
      </c>
      <c r="DR203" s="44" t="str">
        <f t="shared" si="3344"/>
        <v/>
      </c>
      <c r="DS203" s="44" t="str">
        <f t="shared" si="3345"/>
        <v/>
      </c>
      <c r="DT203" s="44" t="str">
        <f t="shared" si="3346"/>
        <v/>
      </c>
      <c r="DU203" s="44" t="str">
        <f t="shared" si="3347"/>
        <v/>
      </c>
      <c r="DV203" s="44" t="str">
        <f t="shared" si="3348"/>
        <v/>
      </c>
      <c r="DW203" s="44" t="str">
        <f t="shared" si="3349"/>
        <v/>
      </c>
      <c r="DX203" s="44" t="str">
        <f t="shared" si="3350"/>
        <v/>
      </c>
      <c r="DY203" s="44" t="str">
        <f t="shared" si="3351"/>
        <v/>
      </c>
      <c r="DZ203" s="44" t="str">
        <f t="shared" si="3352"/>
        <v/>
      </c>
      <c r="EA203" s="44" t="str">
        <f t="shared" si="3353"/>
        <v/>
      </c>
      <c r="EB203" s="44" t="str">
        <f t="shared" si="3354"/>
        <v/>
      </c>
      <c r="EC203" s="44" t="str">
        <f t="shared" si="3355"/>
        <v/>
      </c>
      <c r="ED203" s="44" t="str">
        <f t="shared" si="3356"/>
        <v/>
      </c>
      <c r="EE203" s="44" t="str">
        <f t="shared" si="3357"/>
        <v/>
      </c>
      <c r="EF203" s="44" t="str">
        <f t="shared" si="3358"/>
        <v/>
      </c>
      <c r="EG203" s="44" t="str">
        <f t="shared" si="3359"/>
        <v/>
      </c>
      <c r="EH203" s="44" t="str">
        <f t="shared" si="3360"/>
        <v/>
      </c>
      <c r="EI203" s="44" t="str">
        <f t="shared" si="3361"/>
        <v/>
      </c>
      <c r="EJ203" s="44" t="str">
        <f t="shared" si="3362"/>
        <v/>
      </c>
      <c r="EK203" s="44" t="str">
        <f t="shared" si="3363"/>
        <v/>
      </c>
      <c r="EL203" s="44" t="str">
        <f t="shared" si="3364"/>
        <v/>
      </c>
      <c r="EM203" s="44" t="str">
        <f t="shared" si="3365"/>
        <v/>
      </c>
      <c r="EN203" s="44" t="str">
        <f t="shared" si="3366"/>
        <v/>
      </c>
      <c r="EO203" s="44" t="str">
        <f t="shared" si="3367"/>
        <v/>
      </c>
      <c r="EP203" s="44" t="str">
        <f t="shared" si="3368"/>
        <v/>
      </c>
      <c r="EQ203" s="44" t="str">
        <f t="shared" si="3369"/>
        <v/>
      </c>
      <c r="ER203" s="44" t="str">
        <f t="shared" si="3370"/>
        <v/>
      </c>
      <c r="ES203" s="44" t="str">
        <f t="shared" si="3371"/>
        <v/>
      </c>
      <c r="ET203" s="44" t="str">
        <f t="shared" si="3372"/>
        <v/>
      </c>
      <c r="EU203" s="44" t="str">
        <f t="shared" si="3373"/>
        <v/>
      </c>
      <c r="EV203" s="44" t="str">
        <f t="shared" si="3374"/>
        <v/>
      </c>
      <c r="EW203" s="44" t="str">
        <f t="shared" si="3375"/>
        <v/>
      </c>
      <c r="EX203" s="44" t="str">
        <f t="shared" si="3376"/>
        <v/>
      </c>
      <c r="EY203" s="44" t="str">
        <f t="shared" si="3377"/>
        <v/>
      </c>
      <c r="EZ203" s="44" t="str">
        <f t="shared" si="3378"/>
        <v/>
      </c>
      <c r="FA203" s="44" t="str">
        <f t="shared" si="3379"/>
        <v/>
      </c>
      <c r="FB203" s="44" t="str">
        <f t="shared" si="3380"/>
        <v/>
      </c>
      <c r="FC203" s="44" t="str">
        <f t="shared" si="3381"/>
        <v/>
      </c>
      <c r="FD203" s="44" t="str">
        <f t="shared" si="3382"/>
        <v/>
      </c>
      <c r="FE203" s="44" t="str">
        <f t="shared" si="3383"/>
        <v/>
      </c>
      <c r="FF203" s="44" t="str">
        <f t="shared" si="3384"/>
        <v/>
      </c>
      <c r="FG203" s="44" t="str">
        <f t="shared" si="3385"/>
        <v/>
      </c>
      <c r="FH203" s="44" t="str">
        <f t="shared" si="3386"/>
        <v/>
      </c>
      <c r="FI203" s="44" t="str">
        <f t="shared" si="3387"/>
        <v/>
      </c>
      <c r="FJ203" s="44" t="str">
        <f t="shared" si="3388"/>
        <v/>
      </c>
      <c r="FK203" s="44" t="str">
        <f t="shared" si="3389"/>
        <v/>
      </c>
      <c r="FL203" s="44" t="str">
        <f t="shared" si="3390"/>
        <v/>
      </c>
      <c r="FM203" s="44" t="str">
        <f t="shared" si="3391"/>
        <v/>
      </c>
      <c r="FN203" s="44" t="str">
        <f t="shared" si="3392"/>
        <v/>
      </c>
      <c r="FO203" s="44" t="str">
        <f t="shared" si="3393"/>
        <v/>
      </c>
      <c r="FP203" s="44" t="str">
        <f t="shared" si="3394"/>
        <v/>
      </c>
      <c r="FQ203" s="44" t="str">
        <f t="shared" si="3395"/>
        <v/>
      </c>
      <c r="FR203" s="44" t="str">
        <f t="shared" si="3396"/>
        <v/>
      </c>
      <c r="FS203" s="44" t="str">
        <f t="shared" si="3397"/>
        <v/>
      </c>
    </row>
    <row r="204" spans="1:175">
      <c r="A204" s="74"/>
      <c r="B204" s="8" t="s">
        <v>711</v>
      </c>
      <c r="C204" s="93" t="str">
        <f t="shared" si="3398"/>
        <v>已领取星耀礼包</v>
      </c>
      <c r="T204" s="93" t="s">
        <v>712</v>
      </c>
      <c r="U204" s="3" t="s">
        <v>703</v>
      </c>
      <c r="CN204" s="13" t="str">
        <f t="shared" si="3399"/>
        <v>InitUnitState('IB57',,,,,,,,,,)</v>
      </c>
      <c r="CO204" s="13" t="str">
        <f t="shared" si="3400"/>
        <v>InitUnitNormal('IB57',,,,,,,,,,)</v>
      </c>
      <c r="CP204" s="13" t="str">
        <f t="shared" si="3401"/>
        <v>InitUnitMagic('IB57',,,,,,,,,,)</v>
      </c>
      <c r="CQ204" s="13" t="str">
        <f t="shared" si="3402"/>
        <v>InitUnitAdd('IB57',,,,,,,,,,)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206&amp;CR$1&amp;")"</f>
        <v>InitEquipData('IB57',,"",,,,,'','','','','','',"ReplaceableTextures\\commandButtons\\BTNLBUI01.blp")</v>
      </c>
      <c r="CU204" s="68" t="str">
        <f t="shared" si="3326"/>
        <v>|n</v>
      </c>
      <c r="CV204" s="6" t="str">
        <f t="shared" si="332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4" s="7"/>
      <c r="CX204" s="7"/>
      <c r="CY204" s="7"/>
      <c r="CZ204" s="7"/>
      <c r="DA204" s="7"/>
      <c r="DB204" s="44" t="str">
        <f t="shared" si="3328"/>
        <v/>
      </c>
      <c r="DC204" s="44" t="str">
        <f t="shared" si="3329"/>
        <v/>
      </c>
      <c r="DD204" s="44" t="str">
        <f t="shared" si="3330"/>
        <v/>
      </c>
      <c r="DE204" s="44" t="str">
        <f t="shared" si="3331"/>
        <v/>
      </c>
      <c r="DF204" s="44" t="str">
        <f t="shared" si="3332"/>
        <v/>
      </c>
      <c r="DG204" s="44" t="str">
        <f t="shared" si="3333"/>
        <v/>
      </c>
      <c r="DH204" s="44" t="str">
        <f t="shared" si="3334"/>
        <v/>
      </c>
      <c r="DI204" s="44" t="str">
        <f t="shared" si="3335"/>
        <v/>
      </c>
      <c r="DJ204" s="44" t="str">
        <f t="shared" si="3336"/>
        <v/>
      </c>
      <c r="DK204" s="44" t="str">
        <f t="shared" si="3337"/>
        <v/>
      </c>
      <c r="DL204" s="44" t="str">
        <f t="shared" si="3338"/>
        <v/>
      </c>
      <c r="DM204" s="44" t="str">
        <f t="shared" si="3339"/>
        <v/>
      </c>
      <c r="DN204" s="44" t="str">
        <f t="shared" si="3340"/>
        <v/>
      </c>
      <c r="DO204" s="44" t="str">
        <f t="shared" si="3341"/>
        <v/>
      </c>
      <c r="DP204" s="44" t="str">
        <f t="shared" si="3342"/>
        <v/>
      </c>
      <c r="DQ204" s="44" t="str">
        <f t="shared" si="3343"/>
        <v/>
      </c>
      <c r="DR204" s="44" t="str">
        <f t="shared" si="3344"/>
        <v/>
      </c>
      <c r="DS204" s="44" t="str">
        <f t="shared" si="3345"/>
        <v/>
      </c>
      <c r="DT204" s="44" t="str">
        <f t="shared" si="3346"/>
        <v/>
      </c>
      <c r="DU204" s="44" t="str">
        <f t="shared" si="3347"/>
        <v/>
      </c>
      <c r="DV204" s="44" t="str">
        <f t="shared" si="3348"/>
        <v/>
      </c>
      <c r="DW204" s="44" t="str">
        <f t="shared" si="3349"/>
        <v/>
      </c>
      <c r="DX204" s="44" t="str">
        <f t="shared" si="3350"/>
        <v/>
      </c>
      <c r="DY204" s="44" t="str">
        <f t="shared" si="3351"/>
        <v/>
      </c>
      <c r="DZ204" s="44" t="str">
        <f t="shared" si="3352"/>
        <v/>
      </c>
      <c r="EA204" s="44" t="str">
        <f t="shared" si="3353"/>
        <v/>
      </c>
      <c r="EB204" s="44" t="str">
        <f t="shared" si="3354"/>
        <v/>
      </c>
      <c r="EC204" s="44" t="str">
        <f t="shared" si="3355"/>
        <v/>
      </c>
      <c r="ED204" s="44" t="str">
        <f t="shared" si="3356"/>
        <v/>
      </c>
      <c r="EE204" s="44" t="str">
        <f t="shared" si="3357"/>
        <v/>
      </c>
      <c r="EF204" s="44" t="str">
        <f t="shared" si="3358"/>
        <v/>
      </c>
      <c r="EG204" s="44" t="str">
        <f t="shared" si="3359"/>
        <v/>
      </c>
      <c r="EH204" s="44" t="str">
        <f t="shared" si="3360"/>
        <v/>
      </c>
      <c r="EI204" s="44" t="str">
        <f t="shared" si="3361"/>
        <v/>
      </c>
      <c r="EJ204" s="44" t="str">
        <f t="shared" si="3362"/>
        <v/>
      </c>
      <c r="EK204" s="44" t="str">
        <f t="shared" si="3363"/>
        <v/>
      </c>
      <c r="EL204" s="44" t="str">
        <f t="shared" si="3364"/>
        <v/>
      </c>
      <c r="EM204" s="44" t="str">
        <f t="shared" si="3365"/>
        <v/>
      </c>
      <c r="EN204" s="44" t="str">
        <f t="shared" si="3366"/>
        <v/>
      </c>
      <c r="EO204" s="44" t="str">
        <f t="shared" si="3367"/>
        <v/>
      </c>
      <c r="EP204" s="44" t="str">
        <f t="shared" si="3368"/>
        <v/>
      </c>
      <c r="EQ204" s="44" t="str">
        <f t="shared" si="3369"/>
        <v/>
      </c>
      <c r="ER204" s="44" t="str">
        <f t="shared" si="3370"/>
        <v/>
      </c>
      <c r="ES204" s="44" t="str">
        <f t="shared" si="3371"/>
        <v/>
      </c>
      <c r="ET204" s="44" t="str">
        <f t="shared" si="3372"/>
        <v/>
      </c>
      <c r="EU204" s="44" t="str">
        <f t="shared" si="3373"/>
        <v/>
      </c>
      <c r="EV204" s="44" t="str">
        <f t="shared" si="3374"/>
        <v/>
      </c>
      <c r="EW204" s="44" t="str">
        <f t="shared" si="3375"/>
        <v/>
      </c>
      <c r="EX204" s="44" t="str">
        <f t="shared" si="3376"/>
        <v/>
      </c>
      <c r="EY204" s="44" t="str">
        <f t="shared" si="3377"/>
        <v/>
      </c>
      <c r="EZ204" s="44" t="str">
        <f t="shared" si="3378"/>
        <v/>
      </c>
      <c r="FA204" s="44" t="str">
        <f t="shared" si="3379"/>
        <v/>
      </c>
      <c r="FB204" s="44" t="str">
        <f t="shared" si="3380"/>
        <v/>
      </c>
      <c r="FC204" s="44" t="str">
        <f t="shared" si="3381"/>
        <v/>
      </c>
      <c r="FD204" s="44" t="str">
        <f t="shared" si="3382"/>
        <v/>
      </c>
      <c r="FE204" s="44" t="str">
        <f t="shared" si="3383"/>
        <v/>
      </c>
      <c r="FF204" s="44" t="str">
        <f t="shared" si="3384"/>
        <v/>
      </c>
      <c r="FG204" s="44" t="str">
        <f t="shared" si="3385"/>
        <v/>
      </c>
      <c r="FH204" s="44" t="str">
        <f t="shared" si="3386"/>
        <v/>
      </c>
      <c r="FI204" s="44" t="str">
        <f t="shared" si="3387"/>
        <v/>
      </c>
      <c r="FJ204" s="44" t="str">
        <f t="shared" si="3388"/>
        <v/>
      </c>
      <c r="FK204" s="44" t="str">
        <f t="shared" si="3389"/>
        <v/>
      </c>
      <c r="FL204" s="44" t="str">
        <f t="shared" si="3390"/>
        <v/>
      </c>
      <c r="FM204" s="44" t="str">
        <f t="shared" si="3391"/>
        <v/>
      </c>
      <c r="FN204" s="44" t="str">
        <f t="shared" si="3392"/>
        <v/>
      </c>
      <c r="FO204" s="44" t="str">
        <f t="shared" si="3393"/>
        <v/>
      </c>
      <c r="FP204" s="44" t="str">
        <f t="shared" si="3394"/>
        <v/>
      </c>
      <c r="FQ204" s="44" t="str">
        <f t="shared" si="3395"/>
        <v/>
      </c>
      <c r="FR204" s="44" t="str">
        <f t="shared" si="3396"/>
        <v/>
      </c>
      <c r="FS204" s="44" t="str">
        <f t="shared" si="3397"/>
        <v/>
      </c>
    </row>
    <row r="205" spans="1:175">
      <c r="A205" s="74"/>
      <c r="B205" s="8" t="s">
        <v>713</v>
      </c>
      <c r="C205" s="93" t="str">
        <f t="shared" si="3398"/>
        <v>已领取魔芝RPG礼包</v>
      </c>
      <c r="T205" s="93" t="s">
        <v>714</v>
      </c>
      <c r="U205" s="3" t="s">
        <v>703</v>
      </c>
      <c r="CN205" s="13" t="str">
        <f t="shared" si="3399"/>
        <v>InitUnitState('IB58',,,,,,,,,,)</v>
      </c>
      <c r="CO205" s="13" t="str">
        <f t="shared" si="3400"/>
        <v>InitUnitNormal('IB58',,,,,,,,,,)</v>
      </c>
      <c r="CP205" s="13" t="str">
        <f t="shared" si="3401"/>
        <v>InitUnitMagic('IB58',,,,,,,,,,)</v>
      </c>
      <c r="CQ205" s="13" t="str">
        <f t="shared" si="3402"/>
        <v>InitUnitAdd('IB58',,,,,,,,,,)</v>
      </c>
      <c r="CR205" s="13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222&amp;CR$1&amp;")"</f>
        <v>InitEquipData('IB58',,"",,,,,'','','','','','',"")</v>
      </c>
      <c r="CU205" s="68" t="str">
        <f t="shared" si="3326"/>
        <v>|n</v>
      </c>
      <c r="CV205" s="6" t="str">
        <f t="shared" si="332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5" s="7"/>
      <c r="CX205" s="7"/>
      <c r="CY205" s="7"/>
      <c r="CZ205" s="7"/>
      <c r="DA205" s="7"/>
      <c r="DB205" s="44" t="str">
        <f t="shared" ref="DB205:FM205" si="3403">IF(V205="","","|n"&amp;DB$2&amp;"+"&amp;V205&amp;DB$1)</f>
        <v/>
      </c>
      <c r="DC205" s="44" t="str">
        <f t="shared" si="3403"/>
        <v/>
      </c>
      <c r="DD205" s="44" t="str">
        <f t="shared" si="3403"/>
        <v/>
      </c>
      <c r="DE205" s="44" t="str">
        <f t="shared" si="3403"/>
        <v/>
      </c>
      <c r="DF205" s="44" t="str">
        <f t="shared" si="3403"/>
        <v/>
      </c>
      <c r="DG205" s="44" t="str">
        <f t="shared" si="3403"/>
        <v/>
      </c>
      <c r="DH205" s="44" t="str">
        <f t="shared" si="3403"/>
        <v/>
      </c>
      <c r="DI205" s="44" t="str">
        <f t="shared" si="3403"/>
        <v/>
      </c>
      <c r="DJ205" s="44" t="str">
        <f t="shared" si="3403"/>
        <v/>
      </c>
      <c r="DK205" s="44" t="str">
        <f t="shared" si="3403"/>
        <v/>
      </c>
      <c r="DL205" s="44" t="str">
        <f t="shared" si="3403"/>
        <v/>
      </c>
      <c r="DM205" s="44" t="str">
        <f t="shared" si="3403"/>
        <v/>
      </c>
      <c r="DN205" s="44" t="str">
        <f t="shared" si="3403"/>
        <v/>
      </c>
      <c r="DO205" s="44" t="str">
        <f t="shared" si="3403"/>
        <v/>
      </c>
      <c r="DP205" s="44" t="str">
        <f t="shared" si="3403"/>
        <v/>
      </c>
      <c r="DQ205" s="44" t="str">
        <f t="shared" si="3403"/>
        <v/>
      </c>
      <c r="DR205" s="44" t="str">
        <f t="shared" si="3403"/>
        <v/>
      </c>
      <c r="DS205" s="44" t="str">
        <f t="shared" si="3403"/>
        <v/>
      </c>
      <c r="DT205" s="44" t="str">
        <f t="shared" si="3403"/>
        <v/>
      </c>
      <c r="DU205" s="44" t="str">
        <f t="shared" si="3403"/>
        <v/>
      </c>
      <c r="DV205" s="44" t="str">
        <f t="shared" si="3403"/>
        <v/>
      </c>
      <c r="DW205" s="44" t="str">
        <f t="shared" si="3403"/>
        <v/>
      </c>
      <c r="DX205" s="44" t="str">
        <f t="shared" si="3403"/>
        <v/>
      </c>
      <c r="DY205" s="44" t="str">
        <f t="shared" si="3403"/>
        <v/>
      </c>
      <c r="DZ205" s="44" t="str">
        <f t="shared" si="3403"/>
        <v/>
      </c>
      <c r="EA205" s="44" t="str">
        <f t="shared" si="3403"/>
        <v/>
      </c>
      <c r="EB205" s="44" t="str">
        <f t="shared" si="3403"/>
        <v/>
      </c>
      <c r="EC205" s="44" t="str">
        <f t="shared" si="3403"/>
        <v/>
      </c>
      <c r="ED205" s="44" t="str">
        <f t="shared" si="3403"/>
        <v/>
      </c>
      <c r="EE205" s="44" t="str">
        <f t="shared" si="3403"/>
        <v/>
      </c>
      <c r="EF205" s="44" t="str">
        <f t="shared" si="3403"/>
        <v/>
      </c>
      <c r="EG205" s="44" t="str">
        <f t="shared" si="3403"/>
        <v/>
      </c>
      <c r="EH205" s="44" t="str">
        <f t="shared" si="3403"/>
        <v/>
      </c>
      <c r="EI205" s="44" t="str">
        <f t="shared" si="3403"/>
        <v/>
      </c>
      <c r="EJ205" s="44" t="str">
        <f t="shared" si="3403"/>
        <v/>
      </c>
      <c r="EK205" s="44" t="str">
        <f t="shared" si="3403"/>
        <v/>
      </c>
      <c r="EL205" s="44" t="str">
        <f t="shared" si="3403"/>
        <v/>
      </c>
      <c r="EM205" s="44" t="str">
        <f t="shared" si="3403"/>
        <v/>
      </c>
      <c r="EN205" s="44" t="str">
        <f t="shared" si="3403"/>
        <v/>
      </c>
      <c r="EO205" s="44" t="str">
        <f t="shared" si="3403"/>
        <v/>
      </c>
      <c r="EP205" s="44" t="str">
        <f t="shared" si="3403"/>
        <v/>
      </c>
      <c r="EQ205" s="44" t="str">
        <f t="shared" si="3403"/>
        <v/>
      </c>
      <c r="ER205" s="44" t="str">
        <f t="shared" si="3403"/>
        <v/>
      </c>
      <c r="ES205" s="44" t="str">
        <f t="shared" si="3403"/>
        <v/>
      </c>
      <c r="ET205" s="44" t="str">
        <f t="shared" si="3403"/>
        <v/>
      </c>
      <c r="EU205" s="44" t="str">
        <f t="shared" si="3403"/>
        <v/>
      </c>
      <c r="EV205" s="44" t="str">
        <f t="shared" si="3403"/>
        <v/>
      </c>
      <c r="EW205" s="44" t="str">
        <f t="shared" si="3403"/>
        <v/>
      </c>
      <c r="EX205" s="44" t="str">
        <f t="shared" si="3403"/>
        <v/>
      </c>
      <c r="EY205" s="44" t="str">
        <f t="shared" si="3403"/>
        <v/>
      </c>
      <c r="EZ205" s="44" t="str">
        <f t="shared" si="3403"/>
        <v/>
      </c>
      <c r="FA205" s="44" t="str">
        <f t="shared" si="3403"/>
        <v/>
      </c>
      <c r="FB205" s="44" t="str">
        <f t="shared" si="3403"/>
        <v/>
      </c>
      <c r="FC205" s="44" t="str">
        <f t="shared" si="3403"/>
        <v/>
      </c>
      <c r="FD205" s="44" t="str">
        <f t="shared" si="3403"/>
        <v/>
      </c>
      <c r="FE205" s="44" t="str">
        <f t="shared" si="3403"/>
        <v/>
      </c>
      <c r="FF205" s="44" t="str">
        <f t="shared" si="3403"/>
        <v/>
      </c>
      <c r="FG205" s="44" t="str">
        <f t="shared" si="3403"/>
        <v/>
      </c>
      <c r="FH205" s="44" t="str">
        <f t="shared" si="3403"/>
        <v/>
      </c>
      <c r="FI205" s="44" t="str">
        <f t="shared" si="3403"/>
        <v/>
      </c>
      <c r="FJ205" s="44" t="str">
        <f t="shared" si="3403"/>
        <v/>
      </c>
      <c r="FK205" s="44" t="str">
        <f t="shared" si="3403"/>
        <v/>
      </c>
      <c r="FL205" s="44" t="str">
        <f t="shared" si="3403"/>
        <v/>
      </c>
      <c r="FM205" s="44" t="str">
        <f t="shared" si="3403"/>
        <v/>
      </c>
      <c r="FN205" s="44" t="str">
        <f t="shared" ref="FN205:FS205" si="3404">IF(CH205="","","|n"&amp;FN$2&amp;"+"&amp;CH205&amp;FN$1)</f>
        <v/>
      </c>
      <c r="FO205" s="44" t="str">
        <f t="shared" si="3404"/>
        <v/>
      </c>
      <c r="FP205" s="44" t="str">
        <f t="shared" si="3404"/>
        <v/>
      </c>
      <c r="FQ205" s="44" t="str">
        <f t="shared" si="3404"/>
        <v/>
      </c>
      <c r="FR205" s="44" t="str">
        <f t="shared" si="3404"/>
        <v/>
      </c>
      <c r="FS205" s="44" t="str">
        <f t="shared" si="3404"/>
        <v/>
      </c>
    </row>
    <row r="206" spans="1:175">
      <c r="A206" s="74"/>
      <c r="B206" s="8" t="s">
        <v>715</v>
      </c>
      <c r="C206" s="93" t="str">
        <f t="shared" si="3398"/>
        <v>已领取老铁礼包</v>
      </c>
      <c r="T206" s="93" t="s">
        <v>716</v>
      </c>
      <c r="U206" s="3" t="s">
        <v>703</v>
      </c>
      <c r="CN206" s="13" t="str">
        <f t="shared" si="3399"/>
        <v>InitUnitState('IB59',,,,,,,,,,)</v>
      </c>
      <c r="CO206" s="13" t="str">
        <f t="shared" si="3400"/>
        <v>InitUnitNormal('IB59',,,,,,,,,,)</v>
      </c>
      <c r="CP206" s="13" t="str">
        <f t="shared" si="3401"/>
        <v>InitUnitMagic('IB59',,,,,,,,,,)</v>
      </c>
      <c r="CQ206" s="13" t="str">
        <f t="shared" si="3402"/>
        <v>InitUnitAdd('IB59',,,,,,,,,,)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223&amp;CR$1&amp;")"</f>
        <v>InitEquipData('IB59',,"",,,,,'','','','','','',"")</v>
      </c>
      <c r="CU206" s="68" t="str">
        <f t="shared" si="3326"/>
        <v>|n</v>
      </c>
      <c r="CV206" s="6" t="str">
        <f t="shared" si="3327"/>
        <v>已领取老铁礼包</v>
      </c>
      <c r="CW206" s="7"/>
      <c r="CX206" s="7"/>
      <c r="CY206" s="7"/>
      <c r="CZ206" s="7"/>
      <c r="DA206" s="7"/>
      <c r="DB206" s="44" t="str">
        <f t="shared" ref="DB206:FM206" si="3405">IF(V206="","","|n"&amp;DB$2&amp;"+"&amp;V206&amp;DB$1)</f>
        <v/>
      </c>
      <c r="DC206" s="44" t="str">
        <f t="shared" si="3405"/>
        <v/>
      </c>
      <c r="DD206" s="44" t="str">
        <f t="shared" si="3405"/>
        <v/>
      </c>
      <c r="DE206" s="44" t="str">
        <f t="shared" si="3405"/>
        <v/>
      </c>
      <c r="DF206" s="44" t="str">
        <f t="shared" si="3405"/>
        <v/>
      </c>
      <c r="DG206" s="44" t="str">
        <f t="shared" si="3405"/>
        <v/>
      </c>
      <c r="DH206" s="44" t="str">
        <f t="shared" si="3405"/>
        <v/>
      </c>
      <c r="DI206" s="44" t="str">
        <f t="shared" si="3405"/>
        <v/>
      </c>
      <c r="DJ206" s="44" t="str">
        <f t="shared" si="3405"/>
        <v/>
      </c>
      <c r="DK206" s="44" t="str">
        <f t="shared" si="3405"/>
        <v/>
      </c>
      <c r="DL206" s="44" t="str">
        <f t="shared" si="3405"/>
        <v/>
      </c>
      <c r="DM206" s="44" t="str">
        <f t="shared" si="3405"/>
        <v/>
      </c>
      <c r="DN206" s="44" t="str">
        <f t="shared" si="3405"/>
        <v/>
      </c>
      <c r="DO206" s="44" t="str">
        <f t="shared" si="3405"/>
        <v/>
      </c>
      <c r="DP206" s="44" t="str">
        <f t="shared" si="3405"/>
        <v/>
      </c>
      <c r="DQ206" s="44" t="str">
        <f t="shared" si="3405"/>
        <v/>
      </c>
      <c r="DR206" s="44" t="str">
        <f t="shared" si="3405"/>
        <v/>
      </c>
      <c r="DS206" s="44" t="str">
        <f t="shared" si="3405"/>
        <v/>
      </c>
      <c r="DT206" s="44" t="str">
        <f t="shared" si="3405"/>
        <v/>
      </c>
      <c r="DU206" s="44" t="str">
        <f t="shared" si="3405"/>
        <v/>
      </c>
      <c r="DV206" s="44" t="str">
        <f t="shared" si="3405"/>
        <v/>
      </c>
      <c r="DW206" s="44" t="str">
        <f t="shared" si="3405"/>
        <v/>
      </c>
      <c r="DX206" s="44" t="str">
        <f t="shared" si="3405"/>
        <v/>
      </c>
      <c r="DY206" s="44" t="str">
        <f t="shared" si="3405"/>
        <v/>
      </c>
      <c r="DZ206" s="44" t="str">
        <f t="shared" si="3405"/>
        <v/>
      </c>
      <c r="EA206" s="44" t="str">
        <f t="shared" si="3405"/>
        <v/>
      </c>
      <c r="EB206" s="44" t="str">
        <f t="shared" si="3405"/>
        <v/>
      </c>
      <c r="EC206" s="44" t="str">
        <f t="shared" si="3405"/>
        <v/>
      </c>
      <c r="ED206" s="44" t="str">
        <f t="shared" si="3405"/>
        <v/>
      </c>
      <c r="EE206" s="44" t="str">
        <f t="shared" si="3405"/>
        <v/>
      </c>
      <c r="EF206" s="44" t="str">
        <f t="shared" si="3405"/>
        <v/>
      </c>
      <c r="EG206" s="44" t="str">
        <f t="shared" si="3405"/>
        <v/>
      </c>
      <c r="EH206" s="44" t="str">
        <f t="shared" si="3405"/>
        <v/>
      </c>
      <c r="EI206" s="44" t="str">
        <f t="shared" si="3405"/>
        <v/>
      </c>
      <c r="EJ206" s="44" t="str">
        <f t="shared" si="3405"/>
        <v/>
      </c>
      <c r="EK206" s="44" t="str">
        <f t="shared" si="3405"/>
        <v/>
      </c>
      <c r="EL206" s="44" t="str">
        <f t="shared" si="3405"/>
        <v/>
      </c>
      <c r="EM206" s="44" t="str">
        <f t="shared" si="3405"/>
        <v/>
      </c>
      <c r="EN206" s="44" t="str">
        <f t="shared" si="3405"/>
        <v/>
      </c>
      <c r="EO206" s="44" t="str">
        <f t="shared" si="3405"/>
        <v/>
      </c>
      <c r="EP206" s="44" t="str">
        <f t="shared" si="3405"/>
        <v/>
      </c>
      <c r="EQ206" s="44" t="str">
        <f t="shared" si="3405"/>
        <v/>
      </c>
      <c r="ER206" s="44" t="str">
        <f t="shared" si="3405"/>
        <v/>
      </c>
      <c r="ES206" s="44" t="str">
        <f t="shared" si="3405"/>
        <v/>
      </c>
      <c r="ET206" s="44" t="str">
        <f t="shared" si="3405"/>
        <v/>
      </c>
      <c r="EU206" s="44" t="str">
        <f t="shared" si="3405"/>
        <v/>
      </c>
      <c r="EV206" s="44" t="str">
        <f t="shared" si="3405"/>
        <v/>
      </c>
      <c r="EW206" s="44" t="str">
        <f t="shared" si="3405"/>
        <v/>
      </c>
      <c r="EX206" s="44" t="str">
        <f t="shared" si="3405"/>
        <v/>
      </c>
      <c r="EY206" s="44" t="str">
        <f t="shared" si="3405"/>
        <v/>
      </c>
      <c r="EZ206" s="44" t="str">
        <f t="shared" si="3405"/>
        <v/>
      </c>
      <c r="FA206" s="44" t="str">
        <f t="shared" si="3405"/>
        <v/>
      </c>
      <c r="FB206" s="44" t="str">
        <f t="shared" si="3405"/>
        <v/>
      </c>
      <c r="FC206" s="44" t="str">
        <f t="shared" si="3405"/>
        <v/>
      </c>
      <c r="FD206" s="44" t="str">
        <f t="shared" si="3405"/>
        <v/>
      </c>
      <c r="FE206" s="44" t="str">
        <f t="shared" si="3405"/>
        <v/>
      </c>
      <c r="FF206" s="44" t="str">
        <f t="shared" si="3405"/>
        <v/>
      </c>
      <c r="FG206" s="44" t="str">
        <f t="shared" si="3405"/>
        <v/>
      </c>
      <c r="FH206" s="44" t="str">
        <f t="shared" si="3405"/>
        <v/>
      </c>
      <c r="FI206" s="44" t="str">
        <f t="shared" si="3405"/>
        <v/>
      </c>
      <c r="FJ206" s="44" t="str">
        <f t="shared" si="3405"/>
        <v/>
      </c>
      <c r="FK206" s="44" t="str">
        <f t="shared" si="3405"/>
        <v/>
      </c>
      <c r="FL206" s="44" t="str">
        <f t="shared" si="3405"/>
        <v/>
      </c>
      <c r="FM206" s="44" t="str">
        <f t="shared" si="3405"/>
        <v/>
      </c>
      <c r="FN206" s="44" t="str">
        <f t="shared" ref="FN206:FS206" si="3406">IF(CH206="","","|n"&amp;FN$2&amp;"+"&amp;CH206&amp;FN$1)</f>
        <v/>
      </c>
      <c r="FO206" s="44" t="str">
        <f t="shared" si="3406"/>
        <v/>
      </c>
      <c r="FP206" s="44" t="str">
        <f t="shared" si="3406"/>
        <v/>
      </c>
      <c r="FQ206" s="44" t="str">
        <f t="shared" si="3406"/>
        <v/>
      </c>
      <c r="FR206" s="44" t="str">
        <f t="shared" si="3406"/>
        <v/>
      </c>
      <c r="FS206" s="44" t="str">
        <f t="shared" si="3406"/>
        <v/>
      </c>
    </row>
    <row r="207" spans="1:175" ht="16.5">
      <c r="A207" s="104"/>
      <c r="B207" s="8" t="s">
        <v>717</v>
      </c>
      <c r="C207" s="37" t="s">
        <v>718</v>
      </c>
      <c r="T207" s="110"/>
      <c r="U207" s="56"/>
      <c r="CN207" s="13" t="str">
        <f t="shared" ref="CN207:CN233" si="3407">"InitUnitState('"&amp;B207&amp;"',"&amp;V207&amp;","&amp;W207&amp;","&amp;X207&amp;","&amp;Y207&amp;","&amp;Z207&amp;","&amp;AA207&amp;","&amp;AB207&amp;","&amp;AC207&amp;","&amp;AD207&amp;","&amp;AE207&amp;")"</f>
        <v>InitUnitState('IF01',,,,,,,,,,)</v>
      </c>
      <c r="CO207" s="13" t="str">
        <f t="shared" ref="CO207:CO233" si="3408">"InitUnitNormal('"&amp;B207&amp;"',"&amp;AF207&amp;","&amp;AG207&amp;","&amp;AH207&amp;","&amp;AI207&amp;","&amp;AJ207&amp;","&amp;AK207&amp;","&amp;AL207&amp;","&amp;AM207&amp;","&amp;AN207&amp;","&amp;AO207&amp;")"</f>
        <v>InitUnitNormal('IF01',,,,,,,,,,)</v>
      </c>
      <c r="CP207" s="13" t="str">
        <f t="shared" ref="CP207:CP233" si="3409">"InitUnitMagic('"&amp;B207&amp;"',"&amp;AP207&amp;","&amp;AQ207&amp;","&amp;AR207&amp;","&amp;AS207&amp;","&amp;AT207&amp;","&amp;AU207&amp;","&amp;AV207&amp;","&amp;AW207&amp;","&amp;BI207&amp;","&amp;BJ207&amp;")"</f>
        <v>InitUnitMagic('IF01',,,,,,,,,,)</v>
      </c>
      <c r="CQ207" s="13" t="str">
        <f t="shared" ref="CQ207:CQ233" si="3410">"InitUnitAdd('"&amp;B207&amp;"',"&amp;BK207&amp;","&amp;BL207&amp;","&amp;BM207&amp;","&amp;BN207&amp;","&amp;BO207&amp;","&amp;BP207&amp;","&amp;BQ207&amp;","&amp;BR207&amp;","&amp;BS207&amp;","&amp;BT207&amp;")"</f>
        <v>InitUnitAdd('IF01',,,,,,,,,,)</v>
      </c>
      <c r="CR207" s="13" t="str">
        <f t="shared" ref="CR207:CR248" si="3411"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InitEquipData('IF01',,"",,,,,'','','','','','',"")</v>
      </c>
      <c r="CU207" s="68" t="str">
        <f t="shared" ref="CU207:CU229" si="3412">CONCATENATE(DB207,DC207,DD207,DE207,DF207,DG207,DH207,DI207,DJ207,DK207,DL207,DM207,DN207,DO207,DP207,DQ207,DR207,DS207,DT207,DU207,DV207,DW207,DX207,DY207,DZ207,EA207,EB207,EC207,ED207,EE207,EF207,EG207,EH207,EI207,EJ207,EK207,EL207,EM207,EN207,EO207,EP207&amp;"|n")</f>
        <v>|n</v>
      </c>
      <c r="CW207" s="7"/>
      <c r="CX207" s="7"/>
      <c r="CY207" s="7"/>
      <c r="CZ207" s="7"/>
      <c r="DA207" s="7"/>
      <c r="DB207" s="44" t="str">
        <f t="shared" ref="DB207:DB229" si="3413">IF(V207="","","|n"&amp;DB$2&amp;"+"&amp;V207&amp;DB$1)</f>
        <v/>
      </c>
      <c r="DC207" s="44" t="str">
        <f t="shared" ref="DC207:DC229" si="3414">IF(W207="","","|n"&amp;DC$2&amp;"+"&amp;W207&amp;DC$1)</f>
        <v/>
      </c>
      <c r="DD207" s="44" t="str">
        <f t="shared" ref="DD207:DD229" si="3415">IF(X207="","","|n"&amp;DD$2&amp;"+"&amp;X207&amp;DD$1)</f>
        <v/>
      </c>
      <c r="DE207" s="44" t="str">
        <f t="shared" ref="DE207:DE229" si="3416">IF(Y207="","","|n"&amp;DE$2&amp;"+"&amp;Y207&amp;DE$1)</f>
        <v/>
      </c>
      <c r="DF207" s="44" t="str">
        <f t="shared" ref="DF207:DF229" si="3417">IF(Z207="","","|n"&amp;DF$2&amp;"+"&amp;Z207&amp;DF$1)</f>
        <v/>
      </c>
      <c r="DG207" s="44" t="str">
        <f t="shared" ref="DG207:DG229" si="3418">IF(AA207="","","|n"&amp;DG$2&amp;"+"&amp;AA207&amp;DG$1)</f>
        <v/>
      </c>
      <c r="DH207" s="44" t="str">
        <f t="shared" ref="DH207:DH229" si="3419">IF(AB207="","","|n"&amp;DH$2&amp;"+"&amp;AB207&amp;DH$1)</f>
        <v/>
      </c>
      <c r="DI207" s="44" t="str">
        <f t="shared" ref="DI207:DI229" si="3420">IF(AC207="","","|n"&amp;DI$2&amp;"+"&amp;AC207&amp;DI$1)</f>
        <v/>
      </c>
      <c r="DJ207" s="44" t="str">
        <f t="shared" ref="DJ207:DJ229" si="3421">IF(AD207="","","|n"&amp;DJ$2&amp;"+"&amp;AD207&amp;DJ$1)</f>
        <v/>
      </c>
      <c r="DK207" s="44" t="str">
        <f t="shared" ref="DK207:DK229" si="3422">IF(AE207="","","|n"&amp;DK$2&amp;"+"&amp;AE207&amp;DK$1)</f>
        <v/>
      </c>
      <c r="DL207" s="44" t="str">
        <f t="shared" ref="DL207:DL229" si="3423">IF(AF207="","","|n"&amp;DL$2&amp;"+"&amp;AF207&amp;DL$1)</f>
        <v/>
      </c>
      <c r="DM207" s="44" t="str">
        <f t="shared" ref="DM207:DM229" si="3424">IF(AG207="","","|n"&amp;DM$2&amp;"+"&amp;AG207&amp;DM$1)</f>
        <v/>
      </c>
      <c r="DN207" s="44" t="str">
        <f t="shared" ref="DN207:DN229" si="3425">IF(AH207="","","|n"&amp;DN$2&amp;"+"&amp;AH207&amp;DN$1)</f>
        <v/>
      </c>
      <c r="DO207" s="44" t="str">
        <f t="shared" ref="DO207:DO229" si="3426">IF(AI207="","","|n"&amp;DO$2&amp;"+"&amp;AI207&amp;DO$1)</f>
        <v/>
      </c>
      <c r="DP207" s="44" t="str">
        <f t="shared" ref="DP207:DP229" si="3427">IF(AJ207="","","|n"&amp;DP$2&amp;"+"&amp;AJ207&amp;DP$1)</f>
        <v/>
      </c>
      <c r="DQ207" s="44" t="str">
        <f t="shared" ref="DQ207:DQ229" si="3428">IF(AK207="","","|n"&amp;DQ$2&amp;"+"&amp;AK207&amp;DQ$1)</f>
        <v/>
      </c>
      <c r="DR207" s="44" t="str">
        <f t="shared" ref="DR207:DR229" si="3429">IF(AL207="","","|n"&amp;DR$2&amp;"+"&amp;AL207&amp;DR$1)</f>
        <v/>
      </c>
      <c r="DS207" s="44" t="str">
        <f t="shared" ref="DS207:DS229" si="3430">IF(AM207="","","|n"&amp;DS$2&amp;"+"&amp;AM207&amp;DS$1)</f>
        <v/>
      </c>
      <c r="DT207" s="44" t="str">
        <f t="shared" ref="DT207:DT229" si="3431">IF(AN207="","","|n"&amp;DT$2&amp;"+"&amp;AN207&amp;DT$1)</f>
        <v/>
      </c>
      <c r="DU207" s="44" t="str">
        <f t="shared" ref="DU207:DU229" si="3432">IF(AO207="","","|n"&amp;DU$2&amp;"+"&amp;AO207&amp;DU$1)</f>
        <v/>
      </c>
      <c r="DV207" s="44" t="str">
        <f t="shared" ref="DV207:DV229" si="3433">IF(AP207="","","|n"&amp;DV$2&amp;"+"&amp;AP207&amp;DV$1)</f>
        <v/>
      </c>
      <c r="DW207" s="44" t="str">
        <f t="shared" ref="DW207:DW229" si="3434">IF(AQ207="","","|n"&amp;DW$2&amp;"+"&amp;AQ207&amp;DW$1)</f>
        <v/>
      </c>
      <c r="DX207" s="44" t="str">
        <f t="shared" ref="DX207:DX229" si="3435">IF(AR207="","","|n"&amp;DX$2&amp;"+"&amp;AR207&amp;DX$1)</f>
        <v/>
      </c>
      <c r="DY207" s="44" t="str">
        <f t="shared" ref="DY207:DY229" si="3436">IF(AS207="","","|n"&amp;DY$2&amp;"+"&amp;AS207&amp;DY$1)</f>
        <v/>
      </c>
      <c r="DZ207" s="44" t="str">
        <f t="shared" ref="DZ207:DZ229" si="3437">IF(AT207="","","|n"&amp;DZ$2&amp;"+"&amp;AT207&amp;DZ$1)</f>
        <v/>
      </c>
      <c r="EA207" s="44" t="str">
        <f t="shared" ref="EA207:EA229" si="3438">IF(AU207="","","|n"&amp;EA$2&amp;"+"&amp;AU207&amp;EA$1)</f>
        <v/>
      </c>
      <c r="EB207" s="44" t="str">
        <f t="shared" ref="EB207:EB229" si="3439">IF(AV207="","","|n"&amp;EB$2&amp;"+"&amp;AV207&amp;EB$1)</f>
        <v/>
      </c>
      <c r="EC207" s="44" t="str">
        <f t="shared" ref="EC207:EC229" si="3440">IF(AW207="","","|n"&amp;EC$2&amp;"+"&amp;AW207&amp;EC$1)</f>
        <v/>
      </c>
      <c r="ED207" s="44" t="str">
        <f t="shared" ref="ED207:ED229" si="3441">IF(AX207="","","|n"&amp;ED$2&amp;"+"&amp;AX207&amp;ED$1)</f>
        <v/>
      </c>
      <c r="EE207" s="44" t="str">
        <f t="shared" ref="EE207:EE229" si="3442">IF(AY207="","","|n"&amp;EE$2&amp;"+"&amp;AY207&amp;EE$1)</f>
        <v/>
      </c>
      <c r="EF207" s="44" t="str">
        <f t="shared" ref="EF207:EF229" si="3443">IF(AZ207="","","|n"&amp;EF$2&amp;"+"&amp;AZ207&amp;EF$1)</f>
        <v/>
      </c>
      <c r="EG207" s="44" t="str">
        <f t="shared" ref="EG207:EG229" si="3444">IF(BA207="","","|n"&amp;EG$2&amp;"+"&amp;BA207&amp;EG$1)</f>
        <v/>
      </c>
      <c r="EH207" s="44" t="str">
        <f t="shared" ref="EH207:EH229" si="3445">IF(BB207="","","|n"&amp;EH$2&amp;"+"&amp;BB207&amp;EH$1)</f>
        <v/>
      </c>
      <c r="EI207" s="44" t="str">
        <f t="shared" ref="EI207:EI229" si="3446">IF(BC207="","","|n"&amp;EI$2&amp;"+"&amp;BC207&amp;EI$1)</f>
        <v/>
      </c>
      <c r="EJ207" s="44" t="str">
        <f t="shared" ref="EJ207:EJ229" si="3447">IF(BD207="","","|n"&amp;EJ$2&amp;"+"&amp;BD207&amp;EJ$1)</f>
        <v/>
      </c>
      <c r="EK207" s="44" t="str">
        <f t="shared" ref="EK207:EK229" si="3448">IF(BE207="","","|n"&amp;EK$2&amp;"+"&amp;BE207&amp;EK$1)</f>
        <v/>
      </c>
      <c r="EL207" s="44" t="str">
        <f t="shared" ref="EL207:EL229" si="3449">IF(BF207="","","|n"&amp;EL$2&amp;"+"&amp;BF207&amp;EL$1)</f>
        <v/>
      </c>
      <c r="EM207" s="44" t="str">
        <f t="shared" ref="EM207:EM229" si="3450">IF(BG207="","","|n"&amp;EM$2&amp;"+"&amp;BG207&amp;EM$1)</f>
        <v/>
      </c>
      <c r="EN207" s="44" t="str">
        <f t="shared" ref="EN207:EN229" si="3451">IF(BH207="","","|n"&amp;EN$2&amp;"+"&amp;BH207&amp;EN$1)</f>
        <v/>
      </c>
      <c r="EO207" s="44" t="str">
        <f t="shared" ref="EO207:EO229" si="3452">IF(BI207="","","|n"&amp;EO$2&amp;"+"&amp;BI207&amp;EO$1)</f>
        <v/>
      </c>
      <c r="EP207" s="44" t="str">
        <f t="shared" ref="EP207:EP229" si="3453">IF(BJ207="","","|n"&amp;EP$2&amp;"+"&amp;BJ207&amp;EP$1)</f>
        <v/>
      </c>
      <c r="EQ207" s="44" t="str">
        <f t="shared" ref="EQ207:EQ229" si="3454">IF(BK207="","","|n"&amp;EQ$2&amp;"+"&amp;BK207&amp;EQ$1)</f>
        <v/>
      </c>
      <c r="ER207" s="44" t="str">
        <f t="shared" ref="ER207:ER229" si="3455">IF(BL207="","","|n"&amp;ER$2&amp;"+"&amp;BL207&amp;ER$1)</f>
        <v/>
      </c>
      <c r="ES207" s="44" t="str">
        <f t="shared" ref="ES207:ES229" si="3456">IF(BM207="","","|n"&amp;ES$2&amp;"+"&amp;BM207&amp;ES$1)</f>
        <v/>
      </c>
      <c r="ET207" s="44" t="str">
        <f t="shared" ref="ET207:ET229" si="3457">IF(BN207="","","|n"&amp;ET$2&amp;"+"&amp;BN207&amp;ET$1)</f>
        <v/>
      </c>
      <c r="EU207" s="44" t="str">
        <f t="shared" ref="EU207:EU229" si="3458">IF(BO207="","","|n"&amp;EU$2&amp;"+"&amp;BO207&amp;EU$1)</f>
        <v/>
      </c>
      <c r="EV207" s="44" t="str">
        <f t="shared" ref="EV207:EV229" si="3459">IF(BP207="","","|n"&amp;EV$2&amp;"+"&amp;BP207&amp;EV$1)</f>
        <v/>
      </c>
      <c r="EW207" s="44" t="str">
        <f t="shared" ref="EW207:EW229" si="3460">IF(BQ207="","","|n"&amp;EW$2&amp;"+"&amp;BQ207&amp;EW$1)</f>
        <v/>
      </c>
      <c r="EX207" s="44" t="str">
        <f t="shared" ref="EX207:EX229" si="3461">IF(BR207="","","|n"&amp;EX$2&amp;"+"&amp;BR207&amp;EX$1)</f>
        <v/>
      </c>
      <c r="EY207" s="44" t="str">
        <f t="shared" ref="EY207:EY229" si="3462">IF(BS207="","","|n"&amp;EY$2&amp;"+"&amp;BS207&amp;EY$1)</f>
        <v/>
      </c>
      <c r="EZ207" s="44" t="str">
        <f t="shared" ref="EZ207:EZ229" si="3463">IF(BT207="","","|n"&amp;EZ$2&amp;"+"&amp;BT207&amp;EZ$1)</f>
        <v/>
      </c>
      <c r="FA207" s="44" t="str">
        <f t="shared" ref="FA207:FA229" si="3464">IF(BU207="","","|n"&amp;FA$2&amp;"+"&amp;BU207&amp;FA$1)</f>
        <v/>
      </c>
      <c r="FB207" s="44" t="str">
        <f t="shared" ref="FB207:FB229" si="3465">IF(BV207="","","|n"&amp;FB$2&amp;"+"&amp;BV207&amp;FB$1)</f>
        <v/>
      </c>
      <c r="FC207" s="44" t="str">
        <f t="shared" ref="FC207:FC229" si="3466">IF(BW207="","","|n"&amp;FC$2&amp;"+"&amp;BW207&amp;FC$1)</f>
        <v/>
      </c>
      <c r="FD207" s="44" t="str">
        <f t="shared" ref="FD207:FD229" si="3467">IF(BX207="","","|n"&amp;FD$2&amp;"+"&amp;BX207&amp;FD$1)</f>
        <v/>
      </c>
      <c r="FE207" s="44" t="str">
        <f t="shared" ref="FE207:FE229" si="3468">IF(BY207="","","|n"&amp;FE$2&amp;"+"&amp;BY207&amp;FE$1)</f>
        <v/>
      </c>
      <c r="FF207" s="44" t="str">
        <f t="shared" ref="FF207:FF229" si="3469">IF(BZ207="","","|n"&amp;FF$2&amp;"+"&amp;BZ207&amp;FF$1)</f>
        <v/>
      </c>
      <c r="FG207" s="44" t="str">
        <f t="shared" ref="FG207:FG229" si="3470">IF(CA207="","","|n"&amp;FG$2&amp;"+"&amp;CA207&amp;FG$1)</f>
        <v/>
      </c>
      <c r="FH207" s="44" t="str">
        <f t="shared" ref="FH207:FH229" si="3471">IF(CB207="","","|n"&amp;FH$2&amp;"+"&amp;CB207&amp;FH$1)</f>
        <v/>
      </c>
      <c r="FI207" s="44" t="str">
        <f t="shared" ref="FI207:FI229" si="3472">IF(CC207="","","|n"&amp;FI$2&amp;"+"&amp;CC207&amp;FI$1)</f>
        <v/>
      </c>
      <c r="FJ207" s="44" t="str">
        <f t="shared" ref="FJ207:FJ229" si="3473">IF(CD207="","","|n"&amp;FJ$2&amp;"+"&amp;CD207&amp;FJ$1)</f>
        <v/>
      </c>
      <c r="FK207" s="44" t="str">
        <f t="shared" ref="FK207:FK229" si="3474">IF(CE207="","","|n"&amp;FK$2&amp;"+"&amp;CE207&amp;FK$1)</f>
        <v/>
      </c>
      <c r="FL207" s="44" t="str">
        <f t="shared" ref="FL207:FL229" si="3475">IF(CF207="","","|n"&amp;FL$2&amp;"+"&amp;CF207&amp;FL$1)</f>
        <v/>
      </c>
      <c r="FM207" s="44" t="str">
        <f t="shared" ref="FM207:FM229" si="3476">IF(CG207="","","|n"&amp;FM$2&amp;"+"&amp;CG207&amp;FM$1)</f>
        <v/>
      </c>
      <c r="FN207" s="44" t="str">
        <f t="shared" ref="FN207:FN229" si="3477">IF(CH207="","","|n"&amp;FN$2&amp;"+"&amp;CH207&amp;FN$1)</f>
        <v/>
      </c>
      <c r="FO207" s="44" t="str">
        <f t="shared" ref="FO207:FO229" si="3478">IF(CI207="","","|n"&amp;FO$2&amp;"+"&amp;CI207&amp;FO$1)</f>
        <v/>
      </c>
      <c r="FP207" s="44" t="str">
        <f t="shared" ref="FP207:FP229" si="3479">IF(CJ207="","","|n"&amp;FP$2&amp;"+"&amp;CJ207&amp;FP$1)</f>
        <v/>
      </c>
      <c r="FQ207" s="44" t="str">
        <f t="shared" ref="FQ207:FQ229" si="3480">IF(CK207="","","|n"&amp;FQ$2&amp;"+"&amp;CK207&amp;FQ$1)</f>
        <v/>
      </c>
      <c r="FR207" s="44" t="str">
        <f t="shared" ref="FR207:FR229" si="3481">IF(CL207="","","|n"&amp;FR$2&amp;"+"&amp;CL207&amp;FR$1)</f>
        <v/>
      </c>
      <c r="FS207" s="44" t="str">
        <f t="shared" ref="FS207:FS229" si="3482">IF(CM207="","","|n"&amp;FS$2&amp;"+"&amp;CM207&amp;FS$1)</f>
        <v/>
      </c>
    </row>
    <row r="208" spans="1:175" ht="16.5">
      <c r="A208" s="104"/>
      <c r="B208" s="8" t="s">
        <v>719</v>
      </c>
      <c r="C208" s="37" t="s">
        <v>718</v>
      </c>
      <c r="T208" s="110"/>
      <c r="U208" s="56"/>
      <c r="CN208" s="13" t="str">
        <f t="shared" si="3407"/>
        <v>InitUnitState('IF02',,,,,,,,,,)</v>
      </c>
      <c r="CO208" s="13" t="str">
        <f t="shared" si="3408"/>
        <v>InitUnitNormal('IF02',,,,,,,,,,)</v>
      </c>
      <c r="CP208" s="13" t="str">
        <f t="shared" si="3409"/>
        <v>InitUnitMagic('IF02',,,,,,,,,,)</v>
      </c>
      <c r="CQ208" s="13" t="str">
        <f t="shared" si="3410"/>
        <v>InitUnitAdd('IF02',,,,,,,,,,)</v>
      </c>
      <c r="CR208" s="13" t="str">
        <f t="shared" si="3411"/>
        <v>InitEquipData('IF02',,"",,,,,'','','','','','',"")</v>
      </c>
      <c r="CU208" s="68" t="str">
        <f t="shared" si="3412"/>
        <v>|n</v>
      </c>
      <c r="CW208" s="7"/>
      <c r="CX208" s="7"/>
      <c r="CY208" s="7"/>
      <c r="CZ208" s="7"/>
      <c r="DA208" s="7"/>
      <c r="DB208" s="44" t="str">
        <f t="shared" si="3413"/>
        <v/>
      </c>
      <c r="DC208" s="44" t="str">
        <f t="shared" si="3414"/>
        <v/>
      </c>
      <c r="DD208" s="44" t="str">
        <f t="shared" si="3415"/>
        <v/>
      </c>
      <c r="DE208" s="44" t="str">
        <f t="shared" si="3416"/>
        <v/>
      </c>
      <c r="DF208" s="44" t="str">
        <f t="shared" si="3417"/>
        <v/>
      </c>
      <c r="DG208" s="44" t="str">
        <f t="shared" si="3418"/>
        <v/>
      </c>
      <c r="DH208" s="44" t="str">
        <f t="shared" si="3419"/>
        <v/>
      </c>
      <c r="DI208" s="44" t="str">
        <f t="shared" si="3420"/>
        <v/>
      </c>
      <c r="DJ208" s="44" t="str">
        <f t="shared" si="3421"/>
        <v/>
      </c>
      <c r="DK208" s="44" t="str">
        <f t="shared" si="3422"/>
        <v/>
      </c>
      <c r="DL208" s="44" t="str">
        <f t="shared" si="3423"/>
        <v/>
      </c>
      <c r="DM208" s="44" t="str">
        <f t="shared" si="3424"/>
        <v/>
      </c>
      <c r="DN208" s="44" t="str">
        <f t="shared" si="3425"/>
        <v/>
      </c>
      <c r="DO208" s="44" t="str">
        <f t="shared" si="3426"/>
        <v/>
      </c>
      <c r="DP208" s="44" t="str">
        <f t="shared" si="3427"/>
        <v/>
      </c>
      <c r="DQ208" s="44" t="str">
        <f t="shared" si="3428"/>
        <v/>
      </c>
      <c r="DR208" s="44" t="str">
        <f t="shared" si="3429"/>
        <v/>
      </c>
      <c r="DS208" s="44" t="str">
        <f t="shared" si="3430"/>
        <v/>
      </c>
      <c r="DT208" s="44" t="str">
        <f t="shared" si="3431"/>
        <v/>
      </c>
      <c r="DU208" s="44" t="str">
        <f t="shared" si="3432"/>
        <v/>
      </c>
      <c r="DV208" s="44" t="str">
        <f t="shared" si="3433"/>
        <v/>
      </c>
      <c r="DW208" s="44" t="str">
        <f t="shared" si="3434"/>
        <v/>
      </c>
      <c r="DX208" s="44" t="str">
        <f t="shared" si="3435"/>
        <v/>
      </c>
      <c r="DY208" s="44" t="str">
        <f t="shared" si="3436"/>
        <v/>
      </c>
      <c r="DZ208" s="44" t="str">
        <f t="shared" si="3437"/>
        <v/>
      </c>
      <c r="EA208" s="44" t="str">
        <f t="shared" si="3438"/>
        <v/>
      </c>
      <c r="EB208" s="44" t="str">
        <f t="shared" si="3439"/>
        <v/>
      </c>
      <c r="EC208" s="44" t="str">
        <f t="shared" si="3440"/>
        <v/>
      </c>
      <c r="ED208" s="44" t="str">
        <f t="shared" si="3441"/>
        <v/>
      </c>
      <c r="EE208" s="44" t="str">
        <f t="shared" si="3442"/>
        <v/>
      </c>
      <c r="EF208" s="44" t="str">
        <f t="shared" si="3443"/>
        <v/>
      </c>
      <c r="EG208" s="44" t="str">
        <f t="shared" si="3444"/>
        <v/>
      </c>
      <c r="EH208" s="44" t="str">
        <f t="shared" si="3445"/>
        <v/>
      </c>
      <c r="EI208" s="44" t="str">
        <f t="shared" si="3446"/>
        <v/>
      </c>
      <c r="EJ208" s="44" t="str">
        <f t="shared" si="3447"/>
        <v/>
      </c>
      <c r="EK208" s="44" t="str">
        <f t="shared" si="3448"/>
        <v/>
      </c>
      <c r="EL208" s="44" t="str">
        <f t="shared" si="3449"/>
        <v/>
      </c>
      <c r="EM208" s="44" t="str">
        <f t="shared" si="3450"/>
        <v/>
      </c>
      <c r="EN208" s="44" t="str">
        <f t="shared" si="3451"/>
        <v/>
      </c>
      <c r="EO208" s="44" t="str">
        <f t="shared" si="3452"/>
        <v/>
      </c>
      <c r="EP208" s="44" t="str">
        <f t="shared" si="3453"/>
        <v/>
      </c>
      <c r="EQ208" s="44" t="str">
        <f t="shared" si="3454"/>
        <v/>
      </c>
      <c r="ER208" s="44" t="str">
        <f t="shared" si="3455"/>
        <v/>
      </c>
      <c r="ES208" s="44" t="str">
        <f t="shared" si="3456"/>
        <v/>
      </c>
      <c r="ET208" s="44" t="str">
        <f t="shared" si="3457"/>
        <v/>
      </c>
      <c r="EU208" s="44" t="str">
        <f t="shared" si="3458"/>
        <v/>
      </c>
      <c r="EV208" s="44" t="str">
        <f t="shared" si="3459"/>
        <v/>
      </c>
      <c r="EW208" s="44" t="str">
        <f t="shared" si="3460"/>
        <v/>
      </c>
      <c r="EX208" s="44" t="str">
        <f t="shared" si="3461"/>
        <v/>
      </c>
      <c r="EY208" s="44" t="str">
        <f t="shared" si="3462"/>
        <v/>
      </c>
      <c r="EZ208" s="44" t="str">
        <f t="shared" si="3463"/>
        <v/>
      </c>
      <c r="FA208" s="44" t="str">
        <f t="shared" si="3464"/>
        <v/>
      </c>
      <c r="FB208" s="44" t="str">
        <f t="shared" si="3465"/>
        <v/>
      </c>
      <c r="FC208" s="44" t="str">
        <f t="shared" si="3466"/>
        <v/>
      </c>
      <c r="FD208" s="44" t="str">
        <f t="shared" si="3467"/>
        <v/>
      </c>
      <c r="FE208" s="44" t="str">
        <f t="shared" si="3468"/>
        <v/>
      </c>
      <c r="FF208" s="44" t="str">
        <f t="shared" si="3469"/>
        <v/>
      </c>
      <c r="FG208" s="44" t="str">
        <f t="shared" si="3470"/>
        <v/>
      </c>
      <c r="FH208" s="44" t="str">
        <f t="shared" si="3471"/>
        <v/>
      </c>
      <c r="FI208" s="44" t="str">
        <f t="shared" si="3472"/>
        <v/>
      </c>
      <c r="FJ208" s="44" t="str">
        <f t="shared" si="3473"/>
        <v/>
      </c>
      <c r="FK208" s="44" t="str">
        <f t="shared" si="3474"/>
        <v/>
      </c>
      <c r="FL208" s="44" t="str">
        <f t="shared" si="3475"/>
        <v/>
      </c>
      <c r="FM208" s="44" t="str">
        <f t="shared" si="3476"/>
        <v/>
      </c>
      <c r="FN208" s="44" t="str">
        <f t="shared" si="3477"/>
        <v/>
      </c>
      <c r="FO208" s="44" t="str">
        <f t="shared" si="3478"/>
        <v/>
      </c>
      <c r="FP208" s="44" t="str">
        <f t="shared" si="3479"/>
        <v/>
      </c>
      <c r="FQ208" s="44" t="str">
        <f t="shared" si="3480"/>
        <v/>
      </c>
      <c r="FR208" s="44" t="str">
        <f t="shared" si="3481"/>
        <v/>
      </c>
      <c r="FS208" s="44" t="str">
        <f t="shared" si="3482"/>
        <v/>
      </c>
    </row>
    <row r="209" spans="1:175" ht="16.5">
      <c r="A209" s="105"/>
      <c r="B209" s="8" t="s">
        <v>720</v>
      </c>
      <c r="C209" s="37" t="s">
        <v>718</v>
      </c>
      <c r="T209" s="111"/>
      <c r="U209" s="56"/>
      <c r="CN209" s="13" t="str">
        <f t="shared" si="3407"/>
        <v>InitUnitState('IF03',,,,,,,,,,)</v>
      </c>
      <c r="CO209" s="13" t="str">
        <f t="shared" si="3408"/>
        <v>InitUnitNormal('IF03',,,,,,,,,,)</v>
      </c>
      <c r="CP209" s="13" t="str">
        <f t="shared" si="3409"/>
        <v>InitUnitMagic('IF03',,,,,,,,,,)</v>
      </c>
      <c r="CQ209" s="13" t="str">
        <f t="shared" si="3410"/>
        <v>InitUnitAdd('IF03',,,,,,,,,,)</v>
      </c>
      <c r="CR209" s="13" t="str">
        <f t="shared" si="3411"/>
        <v>InitEquipData('IF03',,"",,,,,'','','','','','',"")</v>
      </c>
      <c r="CU209" s="68" t="str">
        <f t="shared" si="3412"/>
        <v>|n</v>
      </c>
      <c r="CW209" s="7"/>
      <c r="CX209" s="7"/>
      <c r="CY209" s="7"/>
      <c r="CZ209" s="7"/>
      <c r="DA209" s="7"/>
      <c r="DB209" s="44" t="str">
        <f t="shared" si="3413"/>
        <v/>
      </c>
      <c r="DC209" s="44" t="str">
        <f t="shared" si="3414"/>
        <v/>
      </c>
      <c r="DD209" s="44" t="str">
        <f t="shared" si="3415"/>
        <v/>
      </c>
      <c r="DE209" s="44" t="str">
        <f t="shared" si="3416"/>
        <v/>
      </c>
      <c r="DF209" s="44" t="str">
        <f t="shared" si="3417"/>
        <v/>
      </c>
      <c r="DG209" s="44" t="str">
        <f t="shared" si="3418"/>
        <v/>
      </c>
      <c r="DH209" s="44" t="str">
        <f t="shared" si="3419"/>
        <v/>
      </c>
      <c r="DI209" s="44" t="str">
        <f t="shared" si="3420"/>
        <v/>
      </c>
      <c r="DJ209" s="44" t="str">
        <f t="shared" si="3421"/>
        <v/>
      </c>
      <c r="DK209" s="44" t="str">
        <f t="shared" si="3422"/>
        <v/>
      </c>
      <c r="DL209" s="44" t="str">
        <f t="shared" si="3423"/>
        <v/>
      </c>
      <c r="DM209" s="44" t="str">
        <f t="shared" si="3424"/>
        <v/>
      </c>
      <c r="DN209" s="44" t="str">
        <f t="shared" si="3425"/>
        <v/>
      </c>
      <c r="DO209" s="44" t="str">
        <f t="shared" si="3426"/>
        <v/>
      </c>
      <c r="DP209" s="44" t="str">
        <f t="shared" si="3427"/>
        <v/>
      </c>
      <c r="DQ209" s="44" t="str">
        <f t="shared" si="3428"/>
        <v/>
      </c>
      <c r="DR209" s="44" t="str">
        <f t="shared" si="3429"/>
        <v/>
      </c>
      <c r="DS209" s="44" t="str">
        <f t="shared" si="3430"/>
        <v/>
      </c>
      <c r="DT209" s="44" t="str">
        <f t="shared" si="3431"/>
        <v/>
      </c>
      <c r="DU209" s="44" t="str">
        <f t="shared" si="3432"/>
        <v/>
      </c>
      <c r="DV209" s="44" t="str">
        <f t="shared" si="3433"/>
        <v/>
      </c>
      <c r="DW209" s="44" t="str">
        <f t="shared" si="3434"/>
        <v/>
      </c>
      <c r="DX209" s="44" t="str">
        <f t="shared" si="3435"/>
        <v/>
      </c>
      <c r="DY209" s="44" t="str">
        <f t="shared" si="3436"/>
        <v/>
      </c>
      <c r="DZ209" s="44" t="str">
        <f t="shared" si="3437"/>
        <v/>
      </c>
      <c r="EA209" s="44" t="str">
        <f t="shared" si="3438"/>
        <v/>
      </c>
      <c r="EB209" s="44" t="str">
        <f t="shared" si="3439"/>
        <v/>
      </c>
      <c r="EC209" s="44" t="str">
        <f t="shared" si="3440"/>
        <v/>
      </c>
      <c r="ED209" s="44" t="str">
        <f t="shared" si="3441"/>
        <v/>
      </c>
      <c r="EE209" s="44" t="str">
        <f t="shared" si="3442"/>
        <v/>
      </c>
      <c r="EF209" s="44" t="str">
        <f t="shared" si="3443"/>
        <v/>
      </c>
      <c r="EG209" s="44" t="str">
        <f t="shared" si="3444"/>
        <v/>
      </c>
      <c r="EH209" s="44" t="str">
        <f t="shared" si="3445"/>
        <v/>
      </c>
      <c r="EI209" s="44" t="str">
        <f t="shared" si="3446"/>
        <v/>
      </c>
      <c r="EJ209" s="44" t="str">
        <f t="shared" si="3447"/>
        <v/>
      </c>
      <c r="EK209" s="44" t="str">
        <f t="shared" si="3448"/>
        <v/>
      </c>
      <c r="EL209" s="44" t="str">
        <f t="shared" si="3449"/>
        <v/>
      </c>
      <c r="EM209" s="44" t="str">
        <f t="shared" si="3450"/>
        <v/>
      </c>
      <c r="EN209" s="44" t="str">
        <f t="shared" si="3451"/>
        <v/>
      </c>
      <c r="EO209" s="44" t="str">
        <f t="shared" si="3452"/>
        <v/>
      </c>
      <c r="EP209" s="44" t="str">
        <f t="shared" si="3453"/>
        <v/>
      </c>
      <c r="EQ209" s="44" t="str">
        <f t="shared" si="3454"/>
        <v/>
      </c>
      <c r="ER209" s="44" t="str">
        <f t="shared" si="3455"/>
        <v/>
      </c>
      <c r="ES209" s="44" t="str">
        <f t="shared" si="3456"/>
        <v/>
      </c>
      <c r="ET209" s="44" t="str">
        <f t="shared" si="3457"/>
        <v/>
      </c>
      <c r="EU209" s="44" t="str">
        <f t="shared" si="3458"/>
        <v/>
      </c>
      <c r="EV209" s="44" t="str">
        <f t="shared" si="3459"/>
        <v/>
      </c>
      <c r="EW209" s="44" t="str">
        <f t="shared" si="3460"/>
        <v/>
      </c>
      <c r="EX209" s="44" t="str">
        <f t="shared" si="3461"/>
        <v/>
      </c>
      <c r="EY209" s="44" t="str">
        <f t="shared" si="3462"/>
        <v/>
      </c>
      <c r="EZ209" s="44" t="str">
        <f t="shared" si="3463"/>
        <v/>
      </c>
      <c r="FA209" s="44" t="str">
        <f t="shared" si="3464"/>
        <v/>
      </c>
      <c r="FB209" s="44" t="str">
        <f t="shared" si="3465"/>
        <v/>
      </c>
      <c r="FC209" s="44" t="str">
        <f t="shared" si="3466"/>
        <v/>
      </c>
      <c r="FD209" s="44" t="str">
        <f t="shared" si="3467"/>
        <v/>
      </c>
      <c r="FE209" s="44" t="str">
        <f t="shared" si="3468"/>
        <v/>
      </c>
      <c r="FF209" s="44" t="str">
        <f t="shared" si="3469"/>
        <v/>
      </c>
      <c r="FG209" s="44" t="str">
        <f t="shared" si="3470"/>
        <v/>
      </c>
      <c r="FH209" s="44" t="str">
        <f t="shared" si="3471"/>
        <v/>
      </c>
      <c r="FI209" s="44" t="str">
        <f t="shared" si="3472"/>
        <v/>
      </c>
      <c r="FJ209" s="44" t="str">
        <f t="shared" si="3473"/>
        <v/>
      </c>
      <c r="FK209" s="44" t="str">
        <f t="shared" si="3474"/>
        <v/>
      </c>
      <c r="FL209" s="44" t="str">
        <f t="shared" si="3475"/>
        <v/>
      </c>
      <c r="FM209" s="44" t="str">
        <f t="shared" si="3476"/>
        <v/>
      </c>
      <c r="FN209" s="44" t="str">
        <f t="shared" si="3477"/>
        <v/>
      </c>
      <c r="FO209" s="44" t="str">
        <f t="shared" si="3478"/>
        <v/>
      </c>
      <c r="FP209" s="44" t="str">
        <f t="shared" si="3479"/>
        <v/>
      </c>
      <c r="FQ209" s="44" t="str">
        <f t="shared" si="3480"/>
        <v/>
      </c>
      <c r="FR209" s="44" t="str">
        <f t="shared" si="3481"/>
        <v/>
      </c>
      <c r="FS209" s="44" t="str">
        <f t="shared" si="3482"/>
        <v/>
      </c>
    </row>
    <row r="210" spans="1:175" ht="16.5">
      <c r="A210" s="105"/>
      <c r="B210" s="8" t="s">
        <v>721</v>
      </c>
      <c r="C210" s="37" t="s">
        <v>718</v>
      </c>
      <c r="T210" s="111"/>
      <c r="U210" s="56"/>
      <c r="CN210" s="13" t="str">
        <f t="shared" si="3407"/>
        <v>InitUnitState('IF04',,,,,,,,,,)</v>
      </c>
      <c r="CO210" s="13" t="str">
        <f t="shared" si="3408"/>
        <v>InitUnitNormal('IF04',,,,,,,,,,)</v>
      </c>
      <c r="CP210" s="13" t="str">
        <f t="shared" si="3409"/>
        <v>InitUnitMagic('IF04',,,,,,,,,,)</v>
      </c>
      <c r="CQ210" s="13" t="str">
        <f t="shared" si="3410"/>
        <v>InitUnitAdd('IF04',,,,,,,,,,)</v>
      </c>
      <c r="CR210" s="13" t="str">
        <f t="shared" si="3411"/>
        <v>InitEquipData('IF04',,"",,,,,'','','','','','',"")</v>
      </c>
      <c r="CU210" s="68" t="str">
        <f t="shared" si="3412"/>
        <v>|n</v>
      </c>
      <c r="CW210" s="7"/>
      <c r="CX210" s="7"/>
      <c r="CY210" s="7"/>
      <c r="CZ210" s="7"/>
      <c r="DA210" s="7"/>
      <c r="DB210" s="44" t="str">
        <f t="shared" si="3413"/>
        <v/>
      </c>
      <c r="DC210" s="44" t="str">
        <f t="shared" si="3414"/>
        <v/>
      </c>
      <c r="DD210" s="44" t="str">
        <f t="shared" si="3415"/>
        <v/>
      </c>
      <c r="DE210" s="44" t="str">
        <f t="shared" si="3416"/>
        <v/>
      </c>
      <c r="DF210" s="44" t="str">
        <f t="shared" si="3417"/>
        <v/>
      </c>
      <c r="DG210" s="44" t="str">
        <f t="shared" si="3418"/>
        <v/>
      </c>
      <c r="DH210" s="44" t="str">
        <f t="shared" si="3419"/>
        <v/>
      </c>
      <c r="DI210" s="44" t="str">
        <f t="shared" si="3420"/>
        <v/>
      </c>
      <c r="DJ210" s="44" t="str">
        <f t="shared" si="3421"/>
        <v/>
      </c>
      <c r="DK210" s="44" t="str">
        <f t="shared" si="3422"/>
        <v/>
      </c>
      <c r="DL210" s="44" t="str">
        <f t="shared" si="3423"/>
        <v/>
      </c>
      <c r="DM210" s="44" t="str">
        <f t="shared" si="3424"/>
        <v/>
      </c>
      <c r="DN210" s="44" t="str">
        <f t="shared" si="3425"/>
        <v/>
      </c>
      <c r="DO210" s="44" t="str">
        <f t="shared" si="3426"/>
        <v/>
      </c>
      <c r="DP210" s="44" t="str">
        <f t="shared" si="3427"/>
        <v/>
      </c>
      <c r="DQ210" s="44" t="str">
        <f t="shared" si="3428"/>
        <v/>
      </c>
      <c r="DR210" s="44" t="str">
        <f t="shared" si="3429"/>
        <v/>
      </c>
      <c r="DS210" s="44" t="str">
        <f t="shared" si="3430"/>
        <v/>
      </c>
      <c r="DT210" s="44" t="str">
        <f t="shared" si="3431"/>
        <v/>
      </c>
      <c r="DU210" s="44" t="str">
        <f t="shared" si="3432"/>
        <v/>
      </c>
      <c r="DV210" s="44" t="str">
        <f t="shared" si="3433"/>
        <v/>
      </c>
      <c r="DW210" s="44" t="str">
        <f t="shared" si="3434"/>
        <v/>
      </c>
      <c r="DX210" s="44" t="str">
        <f t="shared" si="3435"/>
        <v/>
      </c>
      <c r="DY210" s="44" t="str">
        <f t="shared" si="3436"/>
        <v/>
      </c>
      <c r="DZ210" s="44" t="str">
        <f t="shared" si="3437"/>
        <v/>
      </c>
      <c r="EA210" s="44" t="str">
        <f t="shared" si="3438"/>
        <v/>
      </c>
      <c r="EB210" s="44" t="str">
        <f t="shared" si="3439"/>
        <v/>
      </c>
      <c r="EC210" s="44" t="str">
        <f t="shared" si="3440"/>
        <v/>
      </c>
      <c r="ED210" s="44" t="str">
        <f t="shared" si="3441"/>
        <v/>
      </c>
      <c r="EE210" s="44" t="str">
        <f t="shared" si="3442"/>
        <v/>
      </c>
      <c r="EF210" s="44" t="str">
        <f t="shared" si="3443"/>
        <v/>
      </c>
      <c r="EG210" s="44" t="str">
        <f t="shared" si="3444"/>
        <v/>
      </c>
      <c r="EH210" s="44" t="str">
        <f t="shared" si="3445"/>
        <v/>
      </c>
      <c r="EI210" s="44" t="str">
        <f t="shared" si="3446"/>
        <v/>
      </c>
      <c r="EJ210" s="44" t="str">
        <f t="shared" si="3447"/>
        <v/>
      </c>
      <c r="EK210" s="44" t="str">
        <f t="shared" si="3448"/>
        <v/>
      </c>
      <c r="EL210" s="44" t="str">
        <f t="shared" si="3449"/>
        <v/>
      </c>
      <c r="EM210" s="44" t="str">
        <f t="shared" si="3450"/>
        <v/>
      </c>
      <c r="EN210" s="44" t="str">
        <f t="shared" si="3451"/>
        <v/>
      </c>
      <c r="EO210" s="44" t="str">
        <f t="shared" si="3452"/>
        <v/>
      </c>
      <c r="EP210" s="44" t="str">
        <f t="shared" si="3453"/>
        <v/>
      </c>
      <c r="EQ210" s="44" t="str">
        <f t="shared" si="3454"/>
        <v/>
      </c>
      <c r="ER210" s="44" t="str">
        <f t="shared" si="3455"/>
        <v/>
      </c>
      <c r="ES210" s="44" t="str">
        <f t="shared" si="3456"/>
        <v/>
      </c>
      <c r="ET210" s="44" t="str">
        <f t="shared" si="3457"/>
        <v/>
      </c>
      <c r="EU210" s="44" t="str">
        <f t="shared" si="3458"/>
        <v/>
      </c>
      <c r="EV210" s="44" t="str">
        <f t="shared" si="3459"/>
        <v/>
      </c>
      <c r="EW210" s="44" t="str">
        <f t="shared" si="3460"/>
        <v/>
      </c>
      <c r="EX210" s="44" t="str">
        <f t="shared" si="3461"/>
        <v/>
      </c>
      <c r="EY210" s="44" t="str">
        <f t="shared" si="3462"/>
        <v/>
      </c>
      <c r="EZ210" s="44" t="str">
        <f t="shared" si="3463"/>
        <v/>
      </c>
      <c r="FA210" s="44" t="str">
        <f t="shared" si="3464"/>
        <v/>
      </c>
      <c r="FB210" s="44" t="str">
        <f t="shared" si="3465"/>
        <v/>
      </c>
      <c r="FC210" s="44" t="str">
        <f t="shared" si="3466"/>
        <v/>
      </c>
      <c r="FD210" s="44" t="str">
        <f t="shared" si="3467"/>
        <v/>
      </c>
      <c r="FE210" s="44" t="str">
        <f t="shared" si="3468"/>
        <v/>
      </c>
      <c r="FF210" s="44" t="str">
        <f t="shared" si="3469"/>
        <v/>
      </c>
      <c r="FG210" s="44" t="str">
        <f t="shared" si="3470"/>
        <v/>
      </c>
      <c r="FH210" s="44" t="str">
        <f t="shared" si="3471"/>
        <v/>
      </c>
      <c r="FI210" s="44" t="str">
        <f t="shared" si="3472"/>
        <v/>
      </c>
      <c r="FJ210" s="44" t="str">
        <f t="shared" si="3473"/>
        <v/>
      </c>
      <c r="FK210" s="44" t="str">
        <f t="shared" si="3474"/>
        <v/>
      </c>
      <c r="FL210" s="44" t="str">
        <f t="shared" si="3475"/>
        <v/>
      </c>
      <c r="FM210" s="44" t="str">
        <f t="shared" si="3476"/>
        <v/>
      </c>
      <c r="FN210" s="44" t="str">
        <f t="shared" si="3477"/>
        <v/>
      </c>
      <c r="FO210" s="44" t="str">
        <f t="shared" si="3478"/>
        <v/>
      </c>
      <c r="FP210" s="44" t="str">
        <f t="shared" si="3479"/>
        <v/>
      </c>
      <c r="FQ210" s="44" t="str">
        <f t="shared" si="3480"/>
        <v/>
      </c>
      <c r="FR210" s="44" t="str">
        <f t="shared" si="3481"/>
        <v/>
      </c>
      <c r="FS210" s="44" t="str">
        <f t="shared" si="3482"/>
        <v/>
      </c>
    </row>
    <row r="211" spans="1:175" ht="16.5">
      <c r="A211" s="105"/>
      <c r="B211" s="8" t="s">
        <v>722</v>
      </c>
      <c r="C211" s="37" t="s">
        <v>718</v>
      </c>
      <c r="T211" s="111"/>
      <c r="U211" s="56"/>
      <c r="CN211" s="13" t="str">
        <f t="shared" si="3407"/>
        <v>InitUnitState('IF05',,,,,,,,,,)</v>
      </c>
      <c r="CO211" s="13" t="str">
        <f t="shared" si="3408"/>
        <v>InitUnitNormal('IF05',,,,,,,,,,)</v>
      </c>
      <c r="CP211" s="13" t="str">
        <f t="shared" si="3409"/>
        <v>InitUnitMagic('IF05',,,,,,,,,,)</v>
      </c>
      <c r="CQ211" s="13" t="str">
        <f t="shared" si="3410"/>
        <v>InitUnitAdd('IF05',,,,,,,,,,)</v>
      </c>
      <c r="CR211" s="13" t="str">
        <f t="shared" si="3411"/>
        <v>InitEquipData('IF05',,"",,,,,'','','','','','',"")</v>
      </c>
      <c r="CU211" s="68" t="str">
        <f t="shared" si="3412"/>
        <v>|n</v>
      </c>
      <c r="CW211" s="7"/>
      <c r="CX211" s="7"/>
      <c r="CY211" s="7"/>
      <c r="CZ211" s="7"/>
      <c r="DA211" s="7"/>
      <c r="DB211" s="44" t="str">
        <f t="shared" si="3413"/>
        <v/>
      </c>
      <c r="DC211" s="44" t="str">
        <f t="shared" si="3414"/>
        <v/>
      </c>
      <c r="DD211" s="44" t="str">
        <f t="shared" si="3415"/>
        <v/>
      </c>
      <c r="DE211" s="44" t="str">
        <f t="shared" si="3416"/>
        <v/>
      </c>
      <c r="DF211" s="44" t="str">
        <f t="shared" si="3417"/>
        <v/>
      </c>
      <c r="DG211" s="44" t="str">
        <f t="shared" si="3418"/>
        <v/>
      </c>
      <c r="DH211" s="44" t="str">
        <f t="shared" si="3419"/>
        <v/>
      </c>
      <c r="DI211" s="44" t="str">
        <f t="shared" si="3420"/>
        <v/>
      </c>
      <c r="DJ211" s="44" t="str">
        <f t="shared" si="3421"/>
        <v/>
      </c>
      <c r="DK211" s="44" t="str">
        <f t="shared" si="3422"/>
        <v/>
      </c>
      <c r="DL211" s="44" t="str">
        <f t="shared" si="3423"/>
        <v/>
      </c>
      <c r="DM211" s="44" t="str">
        <f t="shared" si="3424"/>
        <v/>
      </c>
      <c r="DN211" s="44" t="str">
        <f t="shared" si="3425"/>
        <v/>
      </c>
      <c r="DO211" s="44" t="str">
        <f t="shared" si="3426"/>
        <v/>
      </c>
      <c r="DP211" s="44" t="str">
        <f t="shared" si="3427"/>
        <v/>
      </c>
      <c r="DQ211" s="44" t="str">
        <f t="shared" si="3428"/>
        <v/>
      </c>
      <c r="DR211" s="44" t="str">
        <f t="shared" si="3429"/>
        <v/>
      </c>
      <c r="DS211" s="44" t="str">
        <f t="shared" si="3430"/>
        <v/>
      </c>
      <c r="DT211" s="44" t="str">
        <f t="shared" si="3431"/>
        <v/>
      </c>
      <c r="DU211" s="44" t="str">
        <f t="shared" si="3432"/>
        <v/>
      </c>
      <c r="DV211" s="44" t="str">
        <f t="shared" si="3433"/>
        <v/>
      </c>
      <c r="DW211" s="44" t="str">
        <f t="shared" si="3434"/>
        <v/>
      </c>
      <c r="DX211" s="44" t="str">
        <f t="shared" si="3435"/>
        <v/>
      </c>
      <c r="DY211" s="44" t="str">
        <f t="shared" si="3436"/>
        <v/>
      </c>
      <c r="DZ211" s="44" t="str">
        <f t="shared" si="3437"/>
        <v/>
      </c>
      <c r="EA211" s="44" t="str">
        <f t="shared" si="3438"/>
        <v/>
      </c>
      <c r="EB211" s="44" t="str">
        <f t="shared" si="3439"/>
        <v/>
      </c>
      <c r="EC211" s="44" t="str">
        <f t="shared" si="3440"/>
        <v/>
      </c>
      <c r="ED211" s="44" t="str">
        <f t="shared" si="3441"/>
        <v/>
      </c>
      <c r="EE211" s="44" t="str">
        <f t="shared" si="3442"/>
        <v/>
      </c>
      <c r="EF211" s="44" t="str">
        <f t="shared" si="3443"/>
        <v/>
      </c>
      <c r="EG211" s="44" t="str">
        <f t="shared" si="3444"/>
        <v/>
      </c>
      <c r="EH211" s="44" t="str">
        <f t="shared" si="3445"/>
        <v/>
      </c>
      <c r="EI211" s="44" t="str">
        <f t="shared" si="3446"/>
        <v/>
      </c>
      <c r="EJ211" s="44" t="str">
        <f t="shared" si="3447"/>
        <v/>
      </c>
      <c r="EK211" s="44" t="str">
        <f t="shared" si="3448"/>
        <v/>
      </c>
      <c r="EL211" s="44" t="str">
        <f t="shared" si="3449"/>
        <v/>
      </c>
      <c r="EM211" s="44" t="str">
        <f t="shared" si="3450"/>
        <v/>
      </c>
      <c r="EN211" s="44" t="str">
        <f t="shared" si="3451"/>
        <v/>
      </c>
      <c r="EO211" s="44" t="str">
        <f t="shared" si="3452"/>
        <v/>
      </c>
      <c r="EP211" s="44" t="str">
        <f t="shared" si="3453"/>
        <v/>
      </c>
      <c r="EQ211" s="44" t="str">
        <f t="shared" si="3454"/>
        <v/>
      </c>
      <c r="ER211" s="44" t="str">
        <f t="shared" si="3455"/>
        <v/>
      </c>
      <c r="ES211" s="44" t="str">
        <f t="shared" si="3456"/>
        <v/>
      </c>
      <c r="ET211" s="44" t="str">
        <f t="shared" si="3457"/>
        <v/>
      </c>
      <c r="EU211" s="44" t="str">
        <f t="shared" si="3458"/>
        <v/>
      </c>
      <c r="EV211" s="44" t="str">
        <f t="shared" si="3459"/>
        <v/>
      </c>
      <c r="EW211" s="44" t="str">
        <f t="shared" si="3460"/>
        <v/>
      </c>
      <c r="EX211" s="44" t="str">
        <f t="shared" si="3461"/>
        <v/>
      </c>
      <c r="EY211" s="44" t="str">
        <f t="shared" si="3462"/>
        <v/>
      </c>
      <c r="EZ211" s="44" t="str">
        <f t="shared" si="3463"/>
        <v/>
      </c>
      <c r="FA211" s="44" t="str">
        <f t="shared" si="3464"/>
        <v/>
      </c>
      <c r="FB211" s="44" t="str">
        <f t="shared" si="3465"/>
        <v/>
      </c>
      <c r="FC211" s="44" t="str">
        <f t="shared" si="3466"/>
        <v/>
      </c>
      <c r="FD211" s="44" t="str">
        <f t="shared" si="3467"/>
        <v/>
      </c>
      <c r="FE211" s="44" t="str">
        <f t="shared" si="3468"/>
        <v/>
      </c>
      <c r="FF211" s="44" t="str">
        <f t="shared" si="3469"/>
        <v/>
      </c>
      <c r="FG211" s="44" t="str">
        <f t="shared" si="3470"/>
        <v/>
      </c>
      <c r="FH211" s="44" t="str">
        <f t="shared" si="3471"/>
        <v/>
      </c>
      <c r="FI211" s="44" t="str">
        <f t="shared" si="3472"/>
        <v/>
      </c>
      <c r="FJ211" s="44" t="str">
        <f t="shared" si="3473"/>
        <v/>
      </c>
      <c r="FK211" s="44" t="str">
        <f t="shared" si="3474"/>
        <v/>
      </c>
      <c r="FL211" s="44" t="str">
        <f t="shared" si="3475"/>
        <v/>
      </c>
      <c r="FM211" s="44" t="str">
        <f t="shared" si="3476"/>
        <v/>
      </c>
      <c r="FN211" s="44" t="str">
        <f t="shared" si="3477"/>
        <v/>
      </c>
      <c r="FO211" s="44" t="str">
        <f t="shared" si="3478"/>
        <v/>
      </c>
      <c r="FP211" s="44" t="str">
        <f t="shared" si="3479"/>
        <v/>
      </c>
      <c r="FQ211" s="44" t="str">
        <f t="shared" si="3480"/>
        <v/>
      </c>
      <c r="FR211" s="44" t="str">
        <f t="shared" si="3481"/>
        <v/>
      </c>
      <c r="FS211" s="44" t="str">
        <f t="shared" si="3482"/>
        <v/>
      </c>
    </row>
    <row r="212" spans="1:175" ht="16.5">
      <c r="A212" s="105"/>
      <c r="B212" s="8" t="s">
        <v>723</v>
      </c>
      <c r="C212" s="37" t="s">
        <v>718</v>
      </c>
      <c r="T212" s="111"/>
      <c r="U212" s="56"/>
      <c r="CN212" s="13" t="str">
        <f t="shared" si="3407"/>
        <v>InitUnitState('IF06',,,,,,,,,,)</v>
      </c>
      <c r="CO212" s="13" t="str">
        <f t="shared" si="3408"/>
        <v>InitUnitNormal('IF06',,,,,,,,,,)</v>
      </c>
      <c r="CP212" s="13" t="str">
        <f t="shared" si="3409"/>
        <v>InitUnitMagic('IF06',,,,,,,,,,)</v>
      </c>
      <c r="CQ212" s="13" t="str">
        <f t="shared" si="3410"/>
        <v>InitUnitAdd('IF06',,,,,,,,,,)</v>
      </c>
      <c r="CR212" s="13" t="str">
        <f t="shared" si="3411"/>
        <v>InitEquipData('IF06',,"",,,,,'','','','','','',"")</v>
      </c>
      <c r="CU212" s="68" t="str">
        <f t="shared" si="3412"/>
        <v>|n</v>
      </c>
      <c r="CW212" s="7"/>
      <c r="CX212" s="7"/>
      <c r="CY212" s="7"/>
      <c r="CZ212" s="7"/>
      <c r="DA212" s="7"/>
      <c r="DB212" s="44" t="str">
        <f t="shared" si="3413"/>
        <v/>
      </c>
      <c r="DC212" s="44" t="str">
        <f t="shared" si="3414"/>
        <v/>
      </c>
      <c r="DD212" s="44" t="str">
        <f t="shared" si="3415"/>
        <v/>
      </c>
      <c r="DE212" s="44" t="str">
        <f t="shared" si="3416"/>
        <v/>
      </c>
      <c r="DF212" s="44" t="str">
        <f t="shared" si="3417"/>
        <v/>
      </c>
      <c r="DG212" s="44" t="str">
        <f t="shared" si="3418"/>
        <v/>
      </c>
      <c r="DH212" s="44" t="str">
        <f t="shared" si="3419"/>
        <v/>
      </c>
      <c r="DI212" s="44" t="str">
        <f t="shared" si="3420"/>
        <v/>
      </c>
      <c r="DJ212" s="44" t="str">
        <f t="shared" si="3421"/>
        <v/>
      </c>
      <c r="DK212" s="44" t="str">
        <f t="shared" si="3422"/>
        <v/>
      </c>
      <c r="DL212" s="44" t="str">
        <f t="shared" si="3423"/>
        <v/>
      </c>
      <c r="DM212" s="44" t="str">
        <f t="shared" si="3424"/>
        <v/>
      </c>
      <c r="DN212" s="44" t="str">
        <f t="shared" si="3425"/>
        <v/>
      </c>
      <c r="DO212" s="44" t="str">
        <f t="shared" si="3426"/>
        <v/>
      </c>
      <c r="DP212" s="44" t="str">
        <f t="shared" si="3427"/>
        <v/>
      </c>
      <c r="DQ212" s="44" t="str">
        <f t="shared" si="3428"/>
        <v/>
      </c>
      <c r="DR212" s="44" t="str">
        <f t="shared" si="3429"/>
        <v/>
      </c>
      <c r="DS212" s="44" t="str">
        <f t="shared" si="3430"/>
        <v/>
      </c>
      <c r="DT212" s="44" t="str">
        <f t="shared" si="3431"/>
        <v/>
      </c>
      <c r="DU212" s="44" t="str">
        <f t="shared" si="3432"/>
        <v/>
      </c>
      <c r="DV212" s="44" t="str">
        <f t="shared" si="3433"/>
        <v/>
      </c>
      <c r="DW212" s="44" t="str">
        <f t="shared" si="3434"/>
        <v/>
      </c>
      <c r="DX212" s="44" t="str">
        <f t="shared" si="3435"/>
        <v/>
      </c>
      <c r="DY212" s="44" t="str">
        <f t="shared" si="3436"/>
        <v/>
      </c>
      <c r="DZ212" s="44" t="str">
        <f t="shared" si="3437"/>
        <v/>
      </c>
      <c r="EA212" s="44" t="str">
        <f t="shared" si="3438"/>
        <v/>
      </c>
      <c r="EB212" s="44" t="str">
        <f t="shared" si="3439"/>
        <v/>
      </c>
      <c r="EC212" s="44" t="str">
        <f t="shared" si="3440"/>
        <v/>
      </c>
      <c r="ED212" s="44" t="str">
        <f t="shared" si="3441"/>
        <v/>
      </c>
      <c r="EE212" s="44" t="str">
        <f t="shared" si="3442"/>
        <v/>
      </c>
      <c r="EF212" s="44" t="str">
        <f t="shared" si="3443"/>
        <v/>
      </c>
      <c r="EG212" s="44" t="str">
        <f t="shared" si="3444"/>
        <v/>
      </c>
      <c r="EH212" s="44" t="str">
        <f t="shared" si="3445"/>
        <v/>
      </c>
      <c r="EI212" s="44" t="str">
        <f t="shared" si="3446"/>
        <v/>
      </c>
      <c r="EJ212" s="44" t="str">
        <f t="shared" si="3447"/>
        <v/>
      </c>
      <c r="EK212" s="44" t="str">
        <f t="shared" si="3448"/>
        <v/>
      </c>
      <c r="EL212" s="44" t="str">
        <f t="shared" si="3449"/>
        <v/>
      </c>
      <c r="EM212" s="44" t="str">
        <f t="shared" si="3450"/>
        <v/>
      </c>
      <c r="EN212" s="44" t="str">
        <f t="shared" si="3451"/>
        <v/>
      </c>
      <c r="EO212" s="44" t="str">
        <f t="shared" si="3452"/>
        <v/>
      </c>
      <c r="EP212" s="44" t="str">
        <f t="shared" si="3453"/>
        <v/>
      </c>
      <c r="EQ212" s="44" t="str">
        <f t="shared" si="3454"/>
        <v/>
      </c>
      <c r="ER212" s="44" t="str">
        <f t="shared" si="3455"/>
        <v/>
      </c>
      <c r="ES212" s="44" t="str">
        <f t="shared" si="3456"/>
        <v/>
      </c>
      <c r="ET212" s="44" t="str">
        <f t="shared" si="3457"/>
        <v/>
      </c>
      <c r="EU212" s="44" t="str">
        <f t="shared" si="3458"/>
        <v/>
      </c>
      <c r="EV212" s="44" t="str">
        <f t="shared" si="3459"/>
        <v/>
      </c>
      <c r="EW212" s="44" t="str">
        <f t="shared" si="3460"/>
        <v/>
      </c>
      <c r="EX212" s="44" t="str">
        <f t="shared" si="3461"/>
        <v/>
      </c>
      <c r="EY212" s="44" t="str">
        <f t="shared" si="3462"/>
        <v/>
      </c>
      <c r="EZ212" s="44" t="str">
        <f t="shared" si="3463"/>
        <v/>
      </c>
      <c r="FA212" s="44" t="str">
        <f t="shared" si="3464"/>
        <v/>
      </c>
      <c r="FB212" s="44" t="str">
        <f t="shared" si="3465"/>
        <v/>
      </c>
      <c r="FC212" s="44" t="str">
        <f t="shared" si="3466"/>
        <v/>
      </c>
      <c r="FD212" s="44" t="str">
        <f t="shared" si="3467"/>
        <v/>
      </c>
      <c r="FE212" s="44" t="str">
        <f t="shared" si="3468"/>
        <v/>
      </c>
      <c r="FF212" s="44" t="str">
        <f t="shared" si="3469"/>
        <v/>
      </c>
      <c r="FG212" s="44" t="str">
        <f t="shared" si="3470"/>
        <v/>
      </c>
      <c r="FH212" s="44" t="str">
        <f t="shared" si="3471"/>
        <v/>
      </c>
      <c r="FI212" s="44" t="str">
        <f t="shared" si="3472"/>
        <v/>
      </c>
      <c r="FJ212" s="44" t="str">
        <f t="shared" si="3473"/>
        <v/>
      </c>
      <c r="FK212" s="44" t="str">
        <f t="shared" si="3474"/>
        <v/>
      </c>
      <c r="FL212" s="44" t="str">
        <f t="shared" si="3475"/>
        <v/>
      </c>
      <c r="FM212" s="44" t="str">
        <f t="shared" si="3476"/>
        <v/>
      </c>
      <c r="FN212" s="44" t="str">
        <f t="shared" si="3477"/>
        <v/>
      </c>
      <c r="FO212" s="44" t="str">
        <f t="shared" si="3478"/>
        <v/>
      </c>
      <c r="FP212" s="44" t="str">
        <f t="shared" si="3479"/>
        <v/>
      </c>
      <c r="FQ212" s="44" t="str">
        <f t="shared" si="3480"/>
        <v/>
      </c>
      <c r="FR212" s="44" t="str">
        <f t="shared" si="3481"/>
        <v/>
      </c>
      <c r="FS212" s="44" t="str">
        <f t="shared" si="3482"/>
        <v/>
      </c>
    </row>
    <row r="213" spans="1:175" ht="16.5">
      <c r="A213" s="105"/>
      <c r="B213" s="8" t="s">
        <v>724</v>
      </c>
      <c r="C213" s="37" t="s">
        <v>718</v>
      </c>
      <c r="T213" s="111"/>
      <c r="U213" s="56"/>
      <c r="CN213" s="13" t="str">
        <f t="shared" si="3407"/>
        <v>InitUnitState('IF07',,,,,,,,,,)</v>
      </c>
      <c r="CO213" s="13" t="str">
        <f t="shared" si="3408"/>
        <v>InitUnitNormal('IF07',,,,,,,,,,)</v>
      </c>
      <c r="CP213" s="13" t="str">
        <f t="shared" si="3409"/>
        <v>InitUnitMagic('IF07',,,,,,,,,,)</v>
      </c>
      <c r="CQ213" s="13" t="str">
        <f t="shared" si="3410"/>
        <v>InitUnitAdd('IF07',,,,,,,,,,)</v>
      </c>
      <c r="CR213" s="13" t="str">
        <f t="shared" si="3411"/>
        <v>InitEquipData('IF07',,"",,,,,'','','','','','',"")</v>
      </c>
      <c r="CU213" s="68" t="str">
        <f t="shared" si="3412"/>
        <v>|n</v>
      </c>
      <c r="CW213" s="7"/>
      <c r="CX213" s="7"/>
      <c r="CY213" s="7"/>
      <c r="CZ213" s="7"/>
      <c r="DA213" s="7"/>
      <c r="DB213" s="44" t="str">
        <f t="shared" si="3413"/>
        <v/>
      </c>
      <c r="DC213" s="44" t="str">
        <f t="shared" si="3414"/>
        <v/>
      </c>
      <c r="DD213" s="44" t="str">
        <f t="shared" si="3415"/>
        <v/>
      </c>
      <c r="DE213" s="44" t="str">
        <f t="shared" si="3416"/>
        <v/>
      </c>
      <c r="DF213" s="44" t="str">
        <f t="shared" si="3417"/>
        <v/>
      </c>
      <c r="DG213" s="44" t="str">
        <f t="shared" si="3418"/>
        <v/>
      </c>
      <c r="DH213" s="44" t="str">
        <f t="shared" si="3419"/>
        <v/>
      </c>
      <c r="DI213" s="44" t="str">
        <f t="shared" si="3420"/>
        <v/>
      </c>
      <c r="DJ213" s="44" t="str">
        <f t="shared" si="3421"/>
        <v/>
      </c>
      <c r="DK213" s="44" t="str">
        <f t="shared" si="3422"/>
        <v/>
      </c>
      <c r="DL213" s="44" t="str">
        <f t="shared" si="3423"/>
        <v/>
      </c>
      <c r="DM213" s="44" t="str">
        <f t="shared" si="3424"/>
        <v/>
      </c>
      <c r="DN213" s="44" t="str">
        <f t="shared" si="3425"/>
        <v/>
      </c>
      <c r="DO213" s="44" t="str">
        <f t="shared" si="3426"/>
        <v/>
      </c>
      <c r="DP213" s="44" t="str">
        <f t="shared" si="3427"/>
        <v/>
      </c>
      <c r="DQ213" s="44" t="str">
        <f t="shared" si="3428"/>
        <v/>
      </c>
      <c r="DR213" s="44" t="str">
        <f t="shared" si="3429"/>
        <v/>
      </c>
      <c r="DS213" s="44" t="str">
        <f t="shared" si="3430"/>
        <v/>
      </c>
      <c r="DT213" s="44" t="str">
        <f t="shared" si="3431"/>
        <v/>
      </c>
      <c r="DU213" s="44" t="str">
        <f t="shared" si="3432"/>
        <v/>
      </c>
      <c r="DV213" s="44" t="str">
        <f t="shared" si="3433"/>
        <v/>
      </c>
      <c r="DW213" s="44" t="str">
        <f t="shared" si="3434"/>
        <v/>
      </c>
      <c r="DX213" s="44" t="str">
        <f t="shared" si="3435"/>
        <v/>
      </c>
      <c r="DY213" s="44" t="str">
        <f t="shared" si="3436"/>
        <v/>
      </c>
      <c r="DZ213" s="44" t="str">
        <f t="shared" si="3437"/>
        <v/>
      </c>
      <c r="EA213" s="44" t="str">
        <f t="shared" si="3438"/>
        <v/>
      </c>
      <c r="EB213" s="44" t="str">
        <f t="shared" si="3439"/>
        <v/>
      </c>
      <c r="EC213" s="44" t="str">
        <f t="shared" si="3440"/>
        <v/>
      </c>
      <c r="ED213" s="44" t="str">
        <f t="shared" si="3441"/>
        <v/>
      </c>
      <c r="EE213" s="44" t="str">
        <f t="shared" si="3442"/>
        <v/>
      </c>
      <c r="EF213" s="44" t="str">
        <f t="shared" si="3443"/>
        <v/>
      </c>
      <c r="EG213" s="44" t="str">
        <f t="shared" si="3444"/>
        <v/>
      </c>
      <c r="EH213" s="44" t="str">
        <f t="shared" si="3445"/>
        <v/>
      </c>
      <c r="EI213" s="44" t="str">
        <f t="shared" si="3446"/>
        <v/>
      </c>
      <c r="EJ213" s="44" t="str">
        <f t="shared" si="3447"/>
        <v/>
      </c>
      <c r="EK213" s="44" t="str">
        <f t="shared" si="3448"/>
        <v/>
      </c>
      <c r="EL213" s="44" t="str">
        <f t="shared" si="3449"/>
        <v/>
      </c>
      <c r="EM213" s="44" t="str">
        <f t="shared" si="3450"/>
        <v/>
      </c>
      <c r="EN213" s="44" t="str">
        <f t="shared" si="3451"/>
        <v/>
      </c>
      <c r="EO213" s="44" t="str">
        <f t="shared" si="3452"/>
        <v/>
      </c>
      <c r="EP213" s="44" t="str">
        <f t="shared" si="3453"/>
        <v/>
      </c>
      <c r="EQ213" s="44" t="str">
        <f t="shared" si="3454"/>
        <v/>
      </c>
      <c r="ER213" s="44" t="str">
        <f t="shared" si="3455"/>
        <v/>
      </c>
      <c r="ES213" s="44" t="str">
        <f t="shared" si="3456"/>
        <v/>
      </c>
      <c r="ET213" s="44" t="str">
        <f t="shared" si="3457"/>
        <v/>
      </c>
      <c r="EU213" s="44" t="str">
        <f t="shared" si="3458"/>
        <v/>
      </c>
      <c r="EV213" s="44" t="str">
        <f t="shared" si="3459"/>
        <v/>
      </c>
      <c r="EW213" s="44" t="str">
        <f t="shared" si="3460"/>
        <v/>
      </c>
      <c r="EX213" s="44" t="str">
        <f t="shared" si="3461"/>
        <v/>
      </c>
      <c r="EY213" s="44" t="str">
        <f t="shared" si="3462"/>
        <v/>
      </c>
      <c r="EZ213" s="44" t="str">
        <f t="shared" si="3463"/>
        <v/>
      </c>
      <c r="FA213" s="44" t="str">
        <f t="shared" si="3464"/>
        <v/>
      </c>
      <c r="FB213" s="44" t="str">
        <f t="shared" si="3465"/>
        <v/>
      </c>
      <c r="FC213" s="44" t="str">
        <f t="shared" si="3466"/>
        <v/>
      </c>
      <c r="FD213" s="44" t="str">
        <f t="shared" si="3467"/>
        <v/>
      </c>
      <c r="FE213" s="44" t="str">
        <f t="shared" si="3468"/>
        <v/>
      </c>
      <c r="FF213" s="44" t="str">
        <f t="shared" si="3469"/>
        <v/>
      </c>
      <c r="FG213" s="44" t="str">
        <f t="shared" si="3470"/>
        <v/>
      </c>
      <c r="FH213" s="44" t="str">
        <f t="shared" si="3471"/>
        <v/>
      </c>
      <c r="FI213" s="44" t="str">
        <f t="shared" si="3472"/>
        <v/>
      </c>
      <c r="FJ213" s="44" t="str">
        <f t="shared" si="3473"/>
        <v/>
      </c>
      <c r="FK213" s="44" t="str">
        <f t="shared" si="3474"/>
        <v/>
      </c>
      <c r="FL213" s="44" t="str">
        <f t="shared" si="3475"/>
        <v/>
      </c>
      <c r="FM213" s="44" t="str">
        <f t="shared" si="3476"/>
        <v/>
      </c>
      <c r="FN213" s="44" t="str">
        <f t="shared" si="3477"/>
        <v/>
      </c>
      <c r="FO213" s="44" t="str">
        <f t="shared" si="3478"/>
        <v/>
      </c>
      <c r="FP213" s="44" t="str">
        <f t="shared" si="3479"/>
        <v/>
      </c>
      <c r="FQ213" s="44" t="str">
        <f t="shared" si="3480"/>
        <v/>
      </c>
      <c r="FR213" s="44" t="str">
        <f t="shared" si="3481"/>
        <v/>
      </c>
      <c r="FS213" s="44" t="str">
        <f t="shared" si="3482"/>
        <v/>
      </c>
    </row>
    <row r="214" spans="1:175" ht="16.5">
      <c r="A214" s="105"/>
      <c r="B214" s="8" t="s">
        <v>725</v>
      </c>
      <c r="C214" s="37" t="s">
        <v>718</v>
      </c>
      <c r="T214" s="111"/>
      <c r="U214" s="56"/>
      <c r="CN214" s="13" t="str">
        <f t="shared" si="3407"/>
        <v>InitUnitState('IF08',,,,,,,,,,)</v>
      </c>
      <c r="CO214" s="13" t="str">
        <f t="shared" si="3408"/>
        <v>InitUnitNormal('IF08',,,,,,,,,,)</v>
      </c>
      <c r="CP214" s="13" t="str">
        <f t="shared" si="3409"/>
        <v>InitUnitMagic('IF08',,,,,,,,,,)</v>
      </c>
      <c r="CQ214" s="13" t="str">
        <f t="shared" si="3410"/>
        <v>InitUnitAdd('IF08',,,,,,,,,,)</v>
      </c>
      <c r="CR214" s="13" t="str">
        <f t="shared" si="3411"/>
        <v>InitEquipData('IF08',,"",,,,,'','','','','','',"")</v>
      </c>
      <c r="CU214" s="68" t="str">
        <f t="shared" si="3412"/>
        <v>|n</v>
      </c>
      <c r="CW214" s="7"/>
      <c r="CX214" s="7"/>
      <c r="CY214" s="7"/>
      <c r="CZ214" s="7"/>
      <c r="DA214" s="7"/>
      <c r="DB214" s="44" t="str">
        <f t="shared" si="3413"/>
        <v/>
      </c>
      <c r="DC214" s="44" t="str">
        <f t="shared" si="3414"/>
        <v/>
      </c>
      <c r="DD214" s="44" t="str">
        <f t="shared" si="3415"/>
        <v/>
      </c>
      <c r="DE214" s="44" t="str">
        <f t="shared" si="3416"/>
        <v/>
      </c>
      <c r="DF214" s="44" t="str">
        <f t="shared" si="3417"/>
        <v/>
      </c>
      <c r="DG214" s="44" t="str">
        <f t="shared" si="3418"/>
        <v/>
      </c>
      <c r="DH214" s="44" t="str">
        <f t="shared" si="3419"/>
        <v/>
      </c>
      <c r="DI214" s="44" t="str">
        <f t="shared" si="3420"/>
        <v/>
      </c>
      <c r="DJ214" s="44" t="str">
        <f t="shared" si="3421"/>
        <v/>
      </c>
      <c r="DK214" s="44" t="str">
        <f t="shared" si="3422"/>
        <v/>
      </c>
      <c r="DL214" s="44" t="str">
        <f t="shared" si="3423"/>
        <v/>
      </c>
      <c r="DM214" s="44" t="str">
        <f t="shared" si="3424"/>
        <v/>
      </c>
      <c r="DN214" s="44" t="str">
        <f t="shared" si="3425"/>
        <v/>
      </c>
      <c r="DO214" s="44" t="str">
        <f t="shared" si="3426"/>
        <v/>
      </c>
      <c r="DP214" s="44" t="str">
        <f t="shared" si="3427"/>
        <v/>
      </c>
      <c r="DQ214" s="44" t="str">
        <f t="shared" si="3428"/>
        <v/>
      </c>
      <c r="DR214" s="44" t="str">
        <f t="shared" si="3429"/>
        <v/>
      </c>
      <c r="DS214" s="44" t="str">
        <f t="shared" si="3430"/>
        <v/>
      </c>
      <c r="DT214" s="44" t="str">
        <f t="shared" si="3431"/>
        <v/>
      </c>
      <c r="DU214" s="44" t="str">
        <f t="shared" si="3432"/>
        <v/>
      </c>
      <c r="DV214" s="44" t="str">
        <f t="shared" si="3433"/>
        <v/>
      </c>
      <c r="DW214" s="44" t="str">
        <f t="shared" si="3434"/>
        <v/>
      </c>
      <c r="DX214" s="44" t="str">
        <f t="shared" si="3435"/>
        <v/>
      </c>
      <c r="DY214" s="44" t="str">
        <f t="shared" si="3436"/>
        <v/>
      </c>
      <c r="DZ214" s="44" t="str">
        <f t="shared" si="3437"/>
        <v/>
      </c>
      <c r="EA214" s="44" t="str">
        <f t="shared" si="3438"/>
        <v/>
      </c>
      <c r="EB214" s="44" t="str">
        <f t="shared" si="3439"/>
        <v/>
      </c>
      <c r="EC214" s="44" t="str">
        <f t="shared" si="3440"/>
        <v/>
      </c>
      <c r="ED214" s="44" t="str">
        <f t="shared" si="3441"/>
        <v/>
      </c>
      <c r="EE214" s="44" t="str">
        <f t="shared" si="3442"/>
        <v/>
      </c>
      <c r="EF214" s="44" t="str">
        <f t="shared" si="3443"/>
        <v/>
      </c>
      <c r="EG214" s="44" t="str">
        <f t="shared" si="3444"/>
        <v/>
      </c>
      <c r="EH214" s="44" t="str">
        <f t="shared" si="3445"/>
        <v/>
      </c>
      <c r="EI214" s="44" t="str">
        <f t="shared" si="3446"/>
        <v/>
      </c>
      <c r="EJ214" s="44" t="str">
        <f t="shared" si="3447"/>
        <v/>
      </c>
      <c r="EK214" s="44" t="str">
        <f t="shared" si="3448"/>
        <v/>
      </c>
      <c r="EL214" s="44" t="str">
        <f t="shared" si="3449"/>
        <v/>
      </c>
      <c r="EM214" s="44" t="str">
        <f t="shared" si="3450"/>
        <v/>
      </c>
      <c r="EN214" s="44" t="str">
        <f t="shared" si="3451"/>
        <v/>
      </c>
      <c r="EO214" s="44" t="str">
        <f t="shared" si="3452"/>
        <v/>
      </c>
      <c r="EP214" s="44" t="str">
        <f t="shared" si="3453"/>
        <v/>
      </c>
      <c r="EQ214" s="44" t="str">
        <f t="shared" si="3454"/>
        <v/>
      </c>
      <c r="ER214" s="44" t="str">
        <f t="shared" si="3455"/>
        <v/>
      </c>
      <c r="ES214" s="44" t="str">
        <f t="shared" si="3456"/>
        <v/>
      </c>
      <c r="ET214" s="44" t="str">
        <f t="shared" si="3457"/>
        <v/>
      </c>
      <c r="EU214" s="44" t="str">
        <f t="shared" si="3458"/>
        <v/>
      </c>
      <c r="EV214" s="44" t="str">
        <f t="shared" si="3459"/>
        <v/>
      </c>
      <c r="EW214" s="44" t="str">
        <f t="shared" si="3460"/>
        <v/>
      </c>
      <c r="EX214" s="44" t="str">
        <f t="shared" si="3461"/>
        <v/>
      </c>
      <c r="EY214" s="44" t="str">
        <f t="shared" si="3462"/>
        <v/>
      </c>
      <c r="EZ214" s="44" t="str">
        <f t="shared" si="3463"/>
        <v/>
      </c>
      <c r="FA214" s="44" t="str">
        <f t="shared" si="3464"/>
        <v/>
      </c>
      <c r="FB214" s="44" t="str">
        <f t="shared" si="3465"/>
        <v/>
      </c>
      <c r="FC214" s="44" t="str">
        <f t="shared" si="3466"/>
        <v/>
      </c>
      <c r="FD214" s="44" t="str">
        <f t="shared" si="3467"/>
        <v/>
      </c>
      <c r="FE214" s="44" t="str">
        <f t="shared" si="3468"/>
        <v/>
      </c>
      <c r="FF214" s="44" t="str">
        <f t="shared" si="3469"/>
        <v/>
      </c>
      <c r="FG214" s="44" t="str">
        <f t="shared" si="3470"/>
        <v/>
      </c>
      <c r="FH214" s="44" t="str">
        <f t="shared" si="3471"/>
        <v/>
      </c>
      <c r="FI214" s="44" t="str">
        <f t="shared" si="3472"/>
        <v/>
      </c>
      <c r="FJ214" s="44" t="str">
        <f t="shared" si="3473"/>
        <v/>
      </c>
      <c r="FK214" s="44" t="str">
        <f t="shared" si="3474"/>
        <v/>
      </c>
      <c r="FL214" s="44" t="str">
        <f t="shared" si="3475"/>
        <v/>
      </c>
      <c r="FM214" s="44" t="str">
        <f t="shared" si="3476"/>
        <v/>
      </c>
      <c r="FN214" s="44" t="str">
        <f t="shared" si="3477"/>
        <v/>
      </c>
      <c r="FO214" s="44" t="str">
        <f t="shared" si="3478"/>
        <v/>
      </c>
      <c r="FP214" s="44" t="str">
        <f t="shared" si="3479"/>
        <v/>
      </c>
      <c r="FQ214" s="44" t="str">
        <f t="shared" si="3480"/>
        <v/>
      </c>
      <c r="FR214" s="44" t="str">
        <f t="shared" si="3481"/>
        <v/>
      </c>
      <c r="FS214" s="44" t="str">
        <f t="shared" si="3482"/>
        <v/>
      </c>
    </row>
    <row r="215" spans="1:175" ht="16.5">
      <c r="A215" s="105"/>
      <c r="B215" s="8" t="s">
        <v>726</v>
      </c>
      <c r="C215" s="37" t="s">
        <v>718</v>
      </c>
      <c r="T215" s="111"/>
      <c r="U215" s="56"/>
      <c r="CN215" s="13" t="str">
        <f t="shared" si="3407"/>
        <v>InitUnitState('IF09',,,,,,,,,,)</v>
      </c>
      <c r="CO215" s="13" t="str">
        <f t="shared" si="3408"/>
        <v>InitUnitNormal('IF09',,,,,,,,,,)</v>
      </c>
      <c r="CP215" s="13" t="str">
        <f t="shared" si="3409"/>
        <v>InitUnitMagic('IF09',,,,,,,,,,)</v>
      </c>
      <c r="CQ215" s="13" t="str">
        <f t="shared" si="3410"/>
        <v>InitUnitAdd('IF09',,,,,,,,,,)</v>
      </c>
      <c r="CR215" s="13" t="str">
        <f t="shared" si="3411"/>
        <v>InitEquipData('IF09',,"",,,,,'','','','','','',"")</v>
      </c>
      <c r="CU215" s="68" t="str">
        <f t="shared" si="3412"/>
        <v>|n</v>
      </c>
      <c r="CW215" s="7"/>
      <c r="CX215" s="7"/>
      <c r="CY215" s="7"/>
      <c r="CZ215" s="7"/>
      <c r="DA215" s="7"/>
      <c r="DB215" s="44" t="str">
        <f t="shared" si="3413"/>
        <v/>
      </c>
      <c r="DC215" s="44" t="str">
        <f t="shared" si="3414"/>
        <v/>
      </c>
      <c r="DD215" s="44" t="str">
        <f t="shared" si="3415"/>
        <v/>
      </c>
      <c r="DE215" s="44" t="str">
        <f t="shared" si="3416"/>
        <v/>
      </c>
      <c r="DF215" s="44" t="str">
        <f t="shared" si="3417"/>
        <v/>
      </c>
      <c r="DG215" s="44" t="str">
        <f t="shared" si="3418"/>
        <v/>
      </c>
      <c r="DH215" s="44" t="str">
        <f t="shared" si="3419"/>
        <v/>
      </c>
      <c r="DI215" s="44" t="str">
        <f t="shared" si="3420"/>
        <v/>
      </c>
      <c r="DJ215" s="44" t="str">
        <f t="shared" si="3421"/>
        <v/>
      </c>
      <c r="DK215" s="44" t="str">
        <f t="shared" si="3422"/>
        <v/>
      </c>
      <c r="DL215" s="44" t="str">
        <f t="shared" si="3423"/>
        <v/>
      </c>
      <c r="DM215" s="44" t="str">
        <f t="shared" si="3424"/>
        <v/>
      </c>
      <c r="DN215" s="44" t="str">
        <f t="shared" si="3425"/>
        <v/>
      </c>
      <c r="DO215" s="44" t="str">
        <f t="shared" si="3426"/>
        <v/>
      </c>
      <c r="DP215" s="44" t="str">
        <f t="shared" si="3427"/>
        <v/>
      </c>
      <c r="DQ215" s="44" t="str">
        <f t="shared" si="3428"/>
        <v/>
      </c>
      <c r="DR215" s="44" t="str">
        <f t="shared" si="3429"/>
        <v/>
      </c>
      <c r="DS215" s="44" t="str">
        <f t="shared" si="3430"/>
        <v/>
      </c>
      <c r="DT215" s="44" t="str">
        <f t="shared" si="3431"/>
        <v/>
      </c>
      <c r="DU215" s="44" t="str">
        <f t="shared" si="3432"/>
        <v/>
      </c>
      <c r="DV215" s="44" t="str">
        <f t="shared" si="3433"/>
        <v/>
      </c>
      <c r="DW215" s="44" t="str">
        <f t="shared" si="3434"/>
        <v/>
      </c>
      <c r="DX215" s="44" t="str">
        <f t="shared" si="3435"/>
        <v/>
      </c>
      <c r="DY215" s="44" t="str">
        <f t="shared" si="3436"/>
        <v/>
      </c>
      <c r="DZ215" s="44" t="str">
        <f t="shared" si="3437"/>
        <v/>
      </c>
      <c r="EA215" s="44" t="str">
        <f t="shared" si="3438"/>
        <v/>
      </c>
      <c r="EB215" s="44" t="str">
        <f t="shared" si="3439"/>
        <v/>
      </c>
      <c r="EC215" s="44" t="str">
        <f t="shared" si="3440"/>
        <v/>
      </c>
      <c r="ED215" s="44" t="str">
        <f t="shared" si="3441"/>
        <v/>
      </c>
      <c r="EE215" s="44" t="str">
        <f t="shared" si="3442"/>
        <v/>
      </c>
      <c r="EF215" s="44" t="str">
        <f t="shared" si="3443"/>
        <v/>
      </c>
      <c r="EG215" s="44" t="str">
        <f t="shared" si="3444"/>
        <v/>
      </c>
      <c r="EH215" s="44" t="str">
        <f t="shared" si="3445"/>
        <v/>
      </c>
      <c r="EI215" s="44" t="str">
        <f t="shared" si="3446"/>
        <v/>
      </c>
      <c r="EJ215" s="44" t="str">
        <f t="shared" si="3447"/>
        <v/>
      </c>
      <c r="EK215" s="44" t="str">
        <f t="shared" si="3448"/>
        <v/>
      </c>
      <c r="EL215" s="44" t="str">
        <f t="shared" si="3449"/>
        <v/>
      </c>
      <c r="EM215" s="44" t="str">
        <f t="shared" si="3450"/>
        <v/>
      </c>
      <c r="EN215" s="44" t="str">
        <f t="shared" si="3451"/>
        <v/>
      </c>
      <c r="EO215" s="44" t="str">
        <f t="shared" si="3452"/>
        <v/>
      </c>
      <c r="EP215" s="44" t="str">
        <f t="shared" si="3453"/>
        <v/>
      </c>
      <c r="EQ215" s="44" t="str">
        <f t="shared" si="3454"/>
        <v/>
      </c>
      <c r="ER215" s="44" t="str">
        <f t="shared" si="3455"/>
        <v/>
      </c>
      <c r="ES215" s="44" t="str">
        <f t="shared" si="3456"/>
        <v/>
      </c>
      <c r="ET215" s="44" t="str">
        <f t="shared" si="3457"/>
        <v/>
      </c>
      <c r="EU215" s="44" t="str">
        <f t="shared" si="3458"/>
        <v/>
      </c>
      <c r="EV215" s="44" t="str">
        <f t="shared" si="3459"/>
        <v/>
      </c>
      <c r="EW215" s="44" t="str">
        <f t="shared" si="3460"/>
        <v/>
      </c>
      <c r="EX215" s="44" t="str">
        <f t="shared" si="3461"/>
        <v/>
      </c>
      <c r="EY215" s="44" t="str">
        <f t="shared" si="3462"/>
        <v/>
      </c>
      <c r="EZ215" s="44" t="str">
        <f t="shared" si="3463"/>
        <v/>
      </c>
      <c r="FA215" s="44" t="str">
        <f t="shared" si="3464"/>
        <v/>
      </c>
      <c r="FB215" s="44" t="str">
        <f t="shared" si="3465"/>
        <v/>
      </c>
      <c r="FC215" s="44" t="str">
        <f t="shared" si="3466"/>
        <v/>
      </c>
      <c r="FD215" s="44" t="str">
        <f t="shared" si="3467"/>
        <v/>
      </c>
      <c r="FE215" s="44" t="str">
        <f t="shared" si="3468"/>
        <v/>
      </c>
      <c r="FF215" s="44" t="str">
        <f t="shared" si="3469"/>
        <v/>
      </c>
      <c r="FG215" s="44" t="str">
        <f t="shared" si="3470"/>
        <v/>
      </c>
      <c r="FH215" s="44" t="str">
        <f t="shared" si="3471"/>
        <v/>
      </c>
      <c r="FI215" s="44" t="str">
        <f t="shared" si="3472"/>
        <v/>
      </c>
      <c r="FJ215" s="44" t="str">
        <f t="shared" si="3473"/>
        <v/>
      </c>
      <c r="FK215" s="44" t="str">
        <f t="shared" si="3474"/>
        <v/>
      </c>
      <c r="FL215" s="44" t="str">
        <f t="shared" si="3475"/>
        <v/>
      </c>
      <c r="FM215" s="44" t="str">
        <f t="shared" si="3476"/>
        <v/>
      </c>
      <c r="FN215" s="44" t="str">
        <f t="shared" si="3477"/>
        <v/>
      </c>
      <c r="FO215" s="44" t="str">
        <f t="shared" si="3478"/>
        <v/>
      </c>
      <c r="FP215" s="44" t="str">
        <f t="shared" si="3479"/>
        <v/>
      </c>
      <c r="FQ215" s="44" t="str">
        <f t="shared" si="3480"/>
        <v/>
      </c>
      <c r="FR215" s="44" t="str">
        <f t="shared" si="3481"/>
        <v/>
      </c>
      <c r="FS215" s="44" t="str">
        <f t="shared" si="3482"/>
        <v/>
      </c>
    </row>
    <row r="216" spans="1:175" ht="16.5">
      <c r="A216" s="105"/>
      <c r="B216" s="8" t="s">
        <v>727</v>
      </c>
      <c r="C216" s="37" t="s">
        <v>718</v>
      </c>
      <c r="T216" s="111"/>
      <c r="U216" s="56"/>
      <c r="CN216" s="13" t="str">
        <f t="shared" si="3407"/>
        <v>InitUnitState('IF10',,,,,,,,,,)</v>
      </c>
      <c r="CO216" s="13" t="str">
        <f t="shared" si="3408"/>
        <v>InitUnitNormal('IF10',,,,,,,,,,)</v>
      </c>
      <c r="CP216" s="13" t="str">
        <f t="shared" si="3409"/>
        <v>InitUnitMagic('IF10',,,,,,,,,,)</v>
      </c>
      <c r="CQ216" s="13" t="str">
        <f t="shared" si="3410"/>
        <v>InitUnitAdd('IF10',,,,,,,,,,)</v>
      </c>
      <c r="CR216" s="13" t="str">
        <f t="shared" si="3411"/>
        <v>InitEquipData('IF10',,"",,,,,'','','','','','',"")</v>
      </c>
      <c r="CU216" s="68" t="str">
        <f t="shared" si="3412"/>
        <v>|n</v>
      </c>
      <c r="CW216" s="7"/>
      <c r="CX216" s="7"/>
      <c r="CY216" s="7"/>
      <c r="CZ216" s="7"/>
      <c r="DA216" s="7"/>
      <c r="DB216" s="44" t="str">
        <f t="shared" si="3413"/>
        <v/>
      </c>
      <c r="DC216" s="44" t="str">
        <f t="shared" si="3414"/>
        <v/>
      </c>
      <c r="DD216" s="44" t="str">
        <f t="shared" si="3415"/>
        <v/>
      </c>
      <c r="DE216" s="44" t="str">
        <f t="shared" si="3416"/>
        <v/>
      </c>
      <c r="DF216" s="44" t="str">
        <f t="shared" si="3417"/>
        <v/>
      </c>
      <c r="DG216" s="44" t="str">
        <f t="shared" si="3418"/>
        <v/>
      </c>
      <c r="DH216" s="44" t="str">
        <f t="shared" si="3419"/>
        <v/>
      </c>
      <c r="DI216" s="44" t="str">
        <f t="shared" si="3420"/>
        <v/>
      </c>
      <c r="DJ216" s="44" t="str">
        <f t="shared" si="3421"/>
        <v/>
      </c>
      <c r="DK216" s="44" t="str">
        <f t="shared" si="3422"/>
        <v/>
      </c>
      <c r="DL216" s="44" t="str">
        <f t="shared" si="3423"/>
        <v/>
      </c>
      <c r="DM216" s="44" t="str">
        <f t="shared" si="3424"/>
        <v/>
      </c>
      <c r="DN216" s="44" t="str">
        <f t="shared" si="3425"/>
        <v/>
      </c>
      <c r="DO216" s="44" t="str">
        <f t="shared" si="3426"/>
        <v/>
      </c>
      <c r="DP216" s="44" t="str">
        <f t="shared" si="3427"/>
        <v/>
      </c>
      <c r="DQ216" s="44" t="str">
        <f t="shared" si="3428"/>
        <v/>
      </c>
      <c r="DR216" s="44" t="str">
        <f t="shared" si="3429"/>
        <v/>
      </c>
      <c r="DS216" s="44" t="str">
        <f t="shared" si="3430"/>
        <v/>
      </c>
      <c r="DT216" s="44" t="str">
        <f t="shared" si="3431"/>
        <v/>
      </c>
      <c r="DU216" s="44" t="str">
        <f t="shared" si="3432"/>
        <v/>
      </c>
      <c r="DV216" s="44" t="str">
        <f t="shared" si="3433"/>
        <v/>
      </c>
      <c r="DW216" s="44" t="str">
        <f t="shared" si="3434"/>
        <v/>
      </c>
      <c r="DX216" s="44" t="str">
        <f t="shared" si="3435"/>
        <v/>
      </c>
      <c r="DY216" s="44" t="str">
        <f t="shared" si="3436"/>
        <v/>
      </c>
      <c r="DZ216" s="44" t="str">
        <f t="shared" si="3437"/>
        <v/>
      </c>
      <c r="EA216" s="44" t="str">
        <f t="shared" si="3438"/>
        <v/>
      </c>
      <c r="EB216" s="44" t="str">
        <f t="shared" si="3439"/>
        <v/>
      </c>
      <c r="EC216" s="44" t="str">
        <f t="shared" si="3440"/>
        <v/>
      </c>
      <c r="ED216" s="44" t="str">
        <f t="shared" si="3441"/>
        <v/>
      </c>
      <c r="EE216" s="44" t="str">
        <f t="shared" si="3442"/>
        <v/>
      </c>
      <c r="EF216" s="44" t="str">
        <f t="shared" si="3443"/>
        <v/>
      </c>
      <c r="EG216" s="44" t="str">
        <f t="shared" si="3444"/>
        <v/>
      </c>
      <c r="EH216" s="44" t="str">
        <f t="shared" si="3445"/>
        <v/>
      </c>
      <c r="EI216" s="44" t="str">
        <f t="shared" si="3446"/>
        <v/>
      </c>
      <c r="EJ216" s="44" t="str">
        <f t="shared" si="3447"/>
        <v/>
      </c>
      <c r="EK216" s="44" t="str">
        <f t="shared" si="3448"/>
        <v/>
      </c>
      <c r="EL216" s="44" t="str">
        <f t="shared" si="3449"/>
        <v/>
      </c>
      <c r="EM216" s="44" t="str">
        <f t="shared" si="3450"/>
        <v/>
      </c>
      <c r="EN216" s="44" t="str">
        <f t="shared" si="3451"/>
        <v/>
      </c>
      <c r="EO216" s="44" t="str">
        <f t="shared" si="3452"/>
        <v/>
      </c>
      <c r="EP216" s="44" t="str">
        <f t="shared" si="3453"/>
        <v/>
      </c>
      <c r="EQ216" s="44" t="str">
        <f t="shared" si="3454"/>
        <v/>
      </c>
      <c r="ER216" s="44" t="str">
        <f t="shared" si="3455"/>
        <v/>
      </c>
      <c r="ES216" s="44" t="str">
        <f t="shared" si="3456"/>
        <v/>
      </c>
      <c r="ET216" s="44" t="str">
        <f t="shared" si="3457"/>
        <v/>
      </c>
      <c r="EU216" s="44" t="str">
        <f t="shared" si="3458"/>
        <v/>
      </c>
      <c r="EV216" s="44" t="str">
        <f t="shared" si="3459"/>
        <v/>
      </c>
      <c r="EW216" s="44" t="str">
        <f t="shared" si="3460"/>
        <v/>
      </c>
      <c r="EX216" s="44" t="str">
        <f t="shared" si="3461"/>
        <v/>
      </c>
      <c r="EY216" s="44" t="str">
        <f t="shared" si="3462"/>
        <v/>
      </c>
      <c r="EZ216" s="44" t="str">
        <f t="shared" si="3463"/>
        <v/>
      </c>
      <c r="FA216" s="44" t="str">
        <f t="shared" si="3464"/>
        <v/>
      </c>
      <c r="FB216" s="44" t="str">
        <f t="shared" si="3465"/>
        <v/>
      </c>
      <c r="FC216" s="44" t="str">
        <f t="shared" si="3466"/>
        <v/>
      </c>
      <c r="FD216" s="44" t="str">
        <f t="shared" si="3467"/>
        <v/>
      </c>
      <c r="FE216" s="44" t="str">
        <f t="shared" si="3468"/>
        <v/>
      </c>
      <c r="FF216" s="44" t="str">
        <f t="shared" si="3469"/>
        <v/>
      </c>
      <c r="FG216" s="44" t="str">
        <f t="shared" si="3470"/>
        <v/>
      </c>
      <c r="FH216" s="44" t="str">
        <f t="shared" si="3471"/>
        <v/>
      </c>
      <c r="FI216" s="44" t="str">
        <f t="shared" si="3472"/>
        <v/>
      </c>
      <c r="FJ216" s="44" t="str">
        <f t="shared" si="3473"/>
        <v/>
      </c>
      <c r="FK216" s="44" t="str">
        <f t="shared" si="3474"/>
        <v/>
      </c>
      <c r="FL216" s="44" t="str">
        <f t="shared" si="3475"/>
        <v/>
      </c>
      <c r="FM216" s="44" t="str">
        <f t="shared" si="3476"/>
        <v/>
      </c>
      <c r="FN216" s="44" t="str">
        <f t="shared" si="3477"/>
        <v/>
      </c>
      <c r="FO216" s="44" t="str">
        <f t="shared" si="3478"/>
        <v/>
      </c>
      <c r="FP216" s="44" t="str">
        <f t="shared" si="3479"/>
        <v/>
      </c>
      <c r="FQ216" s="44" t="str">
        <f t="shared" si="3480"/>
        <v/>
      </c>
      <c r="FR216" s="44" t="str">
        <f t="shared" si="3481"/>
        <v/>
      </c>
      <c r="FS216" s="44" t="str">
        <f t="shared" si="3482"/>
        <v/>
      </c>
    </row>
    <row r="217" spans="1:175" ht="16.5">
      <c r="A217" s="105"/>
      <c r="B217" s="8" t="s">
        <v>728</v>
      </c>
      <c r="C217" s="37" t="s">
        <v>718</v>
      </c>
      <c r="T217" s="111"/>
      <c r="U217" s="56"/>
      <c r="CN217" s="13" t="str">
        <f t="shared" si="3407"/>
        <v>InitUnitState('IF11',,,,,,,,,,)</v>
      </c>
      <c r="CO217" s="13" t="str">
        <f t="shared" si="3408"/>
        <v>InitUnitNormal('IF11',,,,,,,,,,)</v>
      </c>
      <c r="CP217" s="13" t="str">
        <f t="shared" si="3409"/>
        <v>InitUnitMagic('IF11',,,,,,,,,,)</v>
      </c>
      <c r="CQ217" s="13" t="str">
        <f t="shared" si="3410"/>
        <v>InitUnitAdd('IF11',,,,,,,,,,)</v>
      </c>
      <c r="CR217" s="13" t="str">
        <f t="shared" si="3411"/>
        <v>InitEquipData('IF11',,"",,,,,'','','','','','',"")</v>
      </c>
      <c r="CU217" s="68" t="str">
        <f t="shared" si="3412"/>
        <v>|n</v>
      </c>
      <c r="CW217" s="7"/>
      <c r="CX217" s="7"/>
      <c r="CY217" s="7"/>
      <c r="CZ217" s="7"/>
      <c r="DA217" s="7"/>
      <c r="DB217" s="44" t="str">
        <f t="shared" si="3413"/>
        <v/>
      </c>
      <c r="DC217" s="44" t="str">
        <f t="shared" si="3414"/>
        <v/>
      </c>
      <c r="DD217" s="44" t="str">
        <f t="shared" si="3415"/>
        <v/>
      </c>
      <c r="DE217" s="44" t="str">
        <f t="shared" si="3416"/>
        <v/>
      </c>
      <c r="DF217" s="44" t="str">
        <f t="shared" si="3417"/>
        <v/>
      </c>
      <c r="DG217" s="44" t="str">
        <f t="shared" si="3418"/>
        <v/>
      </c>
      <c r="DH217" s="44" t="str">
        <f t="shared" si="3419"/>
        <v/>
      </c>
      <c r="DI217" s="44" t="str">
        <f t="shared" si="3420"/>
        <v/>
      </c>
      <c r="DJ217" s="44" t="str">
        <f t="shared" si="3421"/>
        <v/>
      </c>
      <c r="DK217" s="44" t="str">
        <f t="shared" si="3422"/>
        <v/>
      </c>
      <c r="DL217" s="44" t="str">
        <f t="shared" si="3423"/>
        <v/>
      </c>
      <c r="DM217" s="44" t="str">
        <f t="shared" si="3424"/>
        <v/>
      </c>
      <c r="DN217" s="44" t="str">
        <f t="shared" si="3425"/>
        <v/>
      </c>
      <c r="DO217" s="44" t="str">
        <f t="shared" si="3426"/>
        <v/>
      </c>
      <c r="DP217" s="44" t="str">
        <f t="shared" si="3427"/>
        <v/>
      </c>
      <c r="DQ217" s="44" t="str">
        <f t="shared" si="3428"/>
        <v/>
      </c>
      <c r="DR217" s="44" t="str">
        <f t="shared" si="3429"/>
        <v/>
      </c>
      <c r="DS217" s="44" t="str">
        <f t="shared" si="3430"/>
        <v/>
      </c>
      <c r="DT217" s="44" t="str">
        <f t="shared" si="3431"/>
        <v/>
      </c>
      <c r="DU217" s="44" t="str">
        <f t="shared" si="3432"/>
        <v/>
      </c>
      <c r="DV217" s="44" t="str">
        <f t="shared" si="3433"/>
        <v/>
      </c>
      <c r="DW217" s="44" t="str">
        <f t="shared" si="3434"/>
        <v/>
      </c>
      <c r="DX217" s="44" t="str">
        <f t="shared" si="3435"/>
        <v/>
      </c>
      <c r="DY217" s="44" t="str">
        <f t="shared" si="3436"/>
        <v/>
      </c>
      <c r="DZ217" s="44" t="str">
        <f t="shared" si="3437"/>
        <v/>
      </c>
      <c r="EA217" s="44" t="str">
        <f t="shared" si="3438"/>
        <v/>
      </c>
      <c r="EB217" s="44" t="str">
        <f t="shared" si="3439"/>
        <v/>
      </c>
      <c r="EC217" s="44" t="str">
        <f t="shared" si="3440"/>
        <v/>
      </c>
      <c r="ED217" s="44" t="str">
        <f t="shared" si="3441"/>
        <v/>
      </c>
      <c r="EE217" s="44" t="str">
        <f t="shared" si="3442"/>
        <v/>
      </c>
      <c r="EF217" s="44" t="str">
        <f t="shared" si="3443"/>
        <v/>
      </c>
      <c r="EG217" s="44" t="str">
        <f t="shared" si="3444"/>
        <v/>
      </c>
      <c r="EH217" s="44" t="str">
        <f t="shared" si="3445"/>
        <v/>
      </c>
      <c r="EI217" s="44" t="str">
        <f t="shared" si="3446"/>
        <v/>
      </c>
      <c r="EJ217" s="44" t="str">
        <f t="shared" si="3447"/>
        <v/>
      </c>
      <c r="EK217" s="44" t="str">
        <f t="shared" si="3448"/>
        <v/>
      </c>
      <c r="EL217" s="44" t="str">
        <f t="shared" si="3449"/>
        <v/>
      </c>
      <c r="EM217" s="44" t="str">
        <f t="shared" si="3450"/>
        <v/>
      </c>
      <c r="EN217" s="44" t="str">
        <f t="shared" si="3451"/>
        <v/>
      </c>
      <c r="EO217" s="44" t="str">
        <f t="shared" si="3452"/>
        <v/>
      </c>
      <c r="EP217" s="44" t="str">
        <f t="shared" si="3453"/>
        <v/>
      </c>
      <c r="EQ217" s="44" t="str">
        <f t="shared" si="3454"/>
        <v/>
      </c>
      <c r="ER217" s="44" t="str">
        <f t="shared" si="3455"/>
        <v/>
      </c>
      <c r="ES217" s="44" t="str">
        <f t="shared" si="3456"/>
        <v/>
      </c>
      <c r="ET217" s="44" t="str">
        <f t="shared" si="3457"/>
        <v/>
      </c>
      <c r="EU217" s="44" t="str">
        <f t="shared" si="3458"/>
        <v/>
      </c>
      <c r="EV217" s="44" t="str">
        <f t="shared" si="3459"/>
        <v/>
      </c>
      <c r="EW217" s="44" t="str">
        <f t="shared" si="3460"/>
        <v/>
      </c>
      <c r="EX217" s="44" t="str">
        <f t="shared" si="3461"/>
        <v/>
      </c>
      <c r="EY217" s="44" t="str">
        <f t="shared" si="3462"/>
        <v/>
      </c>
      <c r="EZ217" s="44" t="str">
        <f t="shared" si="3463"/>
        <v/>
      </c>
      <c r="FA217" s="44" t="str">
        <f t="shared" si="3464"/>
        <v/>
      </c>
      <c r="FB217" s="44" t="str">
        <f t="shared" si="3465"/>
        <v/>
      </c>
      <c r="FC217" s="44" t="str">
        <f t="shared" si="3466"/>
        <v/>
      </c>
      <c r="FD217" s="44" t="str">
        <f t="shared" si="3467"/>
        <v/>
      </c>
      <c r="FE217" s="44" t="str">
        <f t="shared" si="3468"/>
        <v/>
      </c>
      <c r="FF217" s="44" t="str">
        <f t="shared" si="3469"/>
        <v/>
      </c>
      <c r="FG217" s="44" t="str">
        <f t="shared" si="3470"/>
        <v/>
      </c>
      <c r="FH217" s="44" t="str">
        <f t="shared" si="3471"/>
        <v/>
      </c>
      <c r="FI217" s="44" t="str">
        <f t="shared" si="3472"/>
        <v/>
      </c>
      <c r="FJ217" s="44" t="str">
        <f t="shared" si="3473"/>
        <v/>
      </c>
      <c r="FK217" s="44" t="str">
        <f t="shared" si="3474"/>
        <v/>
      </c>
      <c r="FL217" s="44" t="str">
        <f t="shared" si="3475"/>
        <v/>
      </c>
      <c r="FM217" s="44" t="str">
        <f t="shared" si="3476"/>
        <v/>
      </c>
      <c r="FN217" s="44" t="str">
        <f t="shared" si="3477"/>
        <v/>
      </c>
      <c r="FO217" s="44" t="str">
        <f t="shared" si="3478"/>
        <v/>
      </c>
      <c r="FP217" s="44" t="str">
        <f t="shared" si="3479"/>
        <v/>
      </c>
      <c r="FQ217" s="44" t="str">
        <f t="shared" si="3480"/>
        <v/>
      </c>
      <c r="FR217" s="44" t="str">
        <f t="shared" si="3481"/>
        <v/>
      </c>
      <c r="FS217" s="44" t="str">
        <f t="shared" si="3482"/>
        <v/>
      </c>
    </row>
    <row r="218" spans="1:175" ht="16.5">
      <c r="A218" s="104"/>
      <c r="B218" s="8" t="s">
        <v>729</v>
      </c>
      <c r="C218" s="37" t="s">
        <v>718</v>
      </c>
      <c r="T218" s="112"/>
      <c r="U218" s="56"/>
      <c r="CN218" s="13" t="str">
        <f t="shared" si="3407"/>
        <v>InitUnitState('IF12',,,,,,,,,,)</v>
      </c>
      <c r="CO218" s="13" t="str">
        <f t="shared" si="3408"/>
        <v>InitUnitNormal('IF12',,,,,,,,,,)</v>
      </c>
      <c r="CP218" s="13" t="str">
        <f t="shared" si="3409"/>
        <v>InitUnitMagic('IF12',,,,,,,,,,)</v>
      </c>
      <c r="CQ218" s="13" t="str">
        <f t="shared" si="3410"/>
        <v>InitUnitAdd('IF12',,,,,,,,,,)</v>
      </c>
      <c r="CR218" s="13" t="str">
        <f t="shared" si="3411"/>
        <v>InitEquipData('IF12',,"",,,,,'','','','','','',"")</v>
      </c>
      <c r="CU218" s="68" t="str">
        <f t="shared" si="3412"/>
        <v>|n</v>
      </c>
      <c r="CW218" s="7"/>
      <c r="CX218" s="7"/>
      <c r="CY218" s="7"/>
      <c r="CZ218" s="7"/>
      <c r="DA218" s="7"/>
      <c r="DB218" s="44" t="str">
        <f t="shared" si="3413"/>
        <v/>
      </c>
      <c r="DC218" s="44" t="str">
        <f t="shared" si="3414"/>
        <v/>
      </c>
      <c r="DD218" s="44" t="str">
        <f t="shared" si="3415"/>
        <v/>
      </c>
      <c r="DE218" s="44" t="str">
        <f t="shared" si="3416"/>
        <v/>
      </c>
      <c r="DF218" s="44" t="str">
        <f t="shared" si="3417"/>
        <v/>
      </c>
      <c r="DG218" s="44" t="str">
        <f t="shared" si="3418"/>
        <v/>
      </c>
      <c r="DH218" s="44" t="str">
        <f t="shared" si="3419"/>
        <v/>
      </c>
      <c r="DI218" s="44" t="str">
        <f t="shared" si="3420"/>
        <v/>
      </c>
      <c r="DJ218" s="44" t="str">
        <f t="shared" si="3421"/>
        <v/>
      </c>
      <c r="DK218" s="44" t="str">
        <f t="shared" si="3422"/>
        <v/>
      </c>
      <c r="DL218" s="44" t="str">
        <f t="shared" si="3423"/>
        <v/>
      </c>
      <c r="DM218" s="44" t="str">
        <f t="shared" si="3424"/>
        <v/>
      </c>
      <c r="DN218" s="44" t="str">
        <f t="shared" si="3425"/>
        <v/>
      </c>
      <c r="DO218" s="44" t="str">
        <f t="shared" si="3426"/>
        <v/>
      </c>
      <c r="DP218" s="44" t="str">
        <f t="shared" si="3427"/>
        <v/>
      </c>
      <c r="DQ218" s="44" t="str">
        <f t="shared" si="3428"/>
        <v/>
      </c>
      <c r="DR218" s="44" t="str">
        <f t="shared" si="3429"/>
        <v/>
      </c>
      <c r="DS218" s="44" t="str">
        <f t="shared" si="3430"/>
        <v/>
      </c>
      <c r="DT218" s="44" t="str">
        <f t="shared" si="3431"/>
        <v/>
      </c>
      <c r="DU218" s="44" t="str">
        <f t="shared" si="3432"/>
        <v/>
      </c>
      <c r="DV218" s="44" t="str">
        <f t="shared" si="3433"/>
        <v/>
      </c>
      <c r="DW218" s="44" t="str">
        <f t="shared" si="3434"/>
        <v/>
      </c>
      <c r="DX218" s="44" t="str">
        <f t="shared" si="3435"/>
        <v/>
      </c>
      <c r="DY218" s="44" t="str">
        <f t="shared" si="3436"/>
        <v/>
      </c>
      <c r="DZ218" s="44" t="str">
        <f t="shared" si="3437"/>
        <v/>
      </c>
      <c r="EA218" s="44" t="str">
        <f t="shared" si="3438"/>
        <v/>
      </c>
      <c r="EB218" s="44" t="str">
        <f t="shared" si="3439"/>
        <v/>
      </c>
      <c r="EC218" s="44" t="str">
        <f t="shared" si="3440"/>
        <v/>
      </c>
      <c r="ED218" s="44" t="str">
        <f t="shared" si="3441"/>
        <v/>
      </c>
      <c r="EE218" s="44" t="str">
        <f t="shared" si="3442"/>
        <v/>
      </c>
      <c r="EF218" s="44" t="str">
        <f t="shared" si="3443"/>
        <v/>
      </c>
      <c r="EG218" s="44" t="str">
        <f t="shared" si="3444"/>
        <v/>
      </c>
      <c r="EH218" s="44" t="str">
        <f t="shared" si="3445"/>
        <v/>
      </c>
      <c r="EI218" s="44" t="str">
        <f t="shared" si="3446"/>
        <v/>
      </c>
      <c r="EJ218" s="44" t="str">
        <f t="shared" si="3447"/>
        <v/>
      </c>
      <c r="EK218" s="44" t="str">
        <f t="shared" si="3448"/>
        <v/>
      </c>
      <c r="EL218" s="44" t="str">
        <f t="shared" si="3449"/>
        <v/>
      </c>
      <c r="EM218" s="44" t="str">
        <f t="shared" si="3450"/>
        <v/>
      </c>
      <c r="EN218" s="44" t="str">
        <f t="shared" si="3451"/>
        <v/>
      </c>
      <c r="EO218" s="44" t="str">
        <f t="shared" si="3452"/>
        <v/>
      </c>
      <c r="EP218" s="44" t="str">
        <f t="shared" si="3453"/>
        <v/>
      </c>
      <c r="EQ218" s="44" t="str">
        <f t="shared" si="3454"/>
        <v/>
      </c>
      <c r="ER218" s="44" t="str">
        <f t="shared" si="3455"/>
        <v/>
      </c>
      <c r="ES218" s="44" t="str">
        <f t="shared" si="3456"/>
        <v/>
      </c>
      <c r="ET218" s="44" t="str">
        <f t="shared" si="3457"/>
        <v/>
      </c>
      <c r="EU218" s="44" t="str">
        <f t="shared" si="3458"/>
        <v/>
      </c>
      <c r="EV218" s="44" t="str">
        <f t="shared" si="3459"/>
        <v/>
      </c>
      <c r="EW218" s="44" t="str">
        <f t="shared" si="3460"/>
        <v/>
      </c>
      <c r="EX218" s="44" t="str">
        <f t="shared" si="3461"/>
        <v/>
      </c>
      <c r="EY218" s="44" t="str">
        <f t="shared" si="3462"/>
        <v/>
      </c>
      <c r="EZ218" s="44" t="str">
        <f t="shared" si="3463"/>
        <v/>
      </c>
      <c r="FA218" s="44" t="str">
        <f t="shared" si="3464"/>
        <v/>
      </c>
      <c r="FB218" s="44" t="str">
        <f t="shared" si="3465"/>
        <v/>
      </c>
      <c r="FC218" s="44" t="str">
        <f t="shared" si="3466"/>
        <v/>
      </c>
      <c r="FD218" s="44" t="str">
        <f t="shared" si="3467"/>
        <v/>
      </c>
      <c r="FE218" s="44" t="str">
        <f t="shared" si="3468"/>
        <v/>
      </c>
      <c r="FF218" s="44" t="str">
        <f t="shared" si="3469"/>
        <v/>
      </c>
      <c r="FG218" s="44" t="str">
        <f t="shared" si="3470"/>
        <v/>
      </c>
      <c r="FH218" s="44" t="str">
        <f t="shared" si="3471"/>
        <v/>
      </c>
      <c r="FI218" s="44" t="str">
        <f t="shared" si="3472"/>
        <v/>
      </c>
      <c r="FJ218" s="44" t="str">
        <f t="shared" si="3473"/>
        <v/>
      </c>
      <c r="FK218" s="44" t="str">
        <f t="shared" si="3474"/>
        <v/>
      </c>
      <c r="FL218" s="44" t="str">
        <f t="shared" si="3475"/>
        <v/>
      </c>
      <c r="FM218" s="44" t="str">
        <f t="shared" si="3476"/>
        <v/>
      </c>
      <c r="FN218" s="44" t="str">
        <f t="shared" si="3477"/>
        <v/>
      </c>
      <c r="FO218" s="44" t="str">
        <f t="shared" si="3478"/>
        <v/>
      </c>
      <c r="FP218" s="44" t="str">
        <f t="shared" si="3479"/>
        <v/>
      </c>
      <c r="FQ218" s="44" t="str">
        <f t="shared" si="3480"/>
        <v/>
      </c>
      <c r="FR218" s="44" t="str">
        <f t="shared" si="3481"/>
        <v/>
      </c>
      <c r="FS218" s="44" t="str">
        <f t="shared" si="3482"/>
        <v/>
      </c>
    </row>
    <row r="219" spans="1:175" ht="16.5">
      <c r="A219" s="104"/>
      <c r="B219" s="8" t="s">
        <v>730</v>
      </c>
      <c r="C219" s="37" t="s">
        <v>718</v>
      </c>
      <c r="T219" s="112"/>
      <c r="U219" s="56"/>
      <c r="CN219" s="13" t="str">
        <f t="shared" si="3407"/>
        <v>InitUnitState('IF13',,,,,,,,,,)</v>
      </c>
      <c r="CO219" s="13" t="str">
        <f t="shared" si="3408"/>
        <v>InitUnitNormal('IF13',,,,,,,,,,)</v>
      </c>
      <c r="CP219" s="13" t="str">
        <f t="shared" si="3409"/>
        <v>InitUnitMagic('IF13',,,,,,,,,,)</v>
      </c>
      <c r="CQ219" s="13" t="str">
        <f t="shared" si="3410"/>
        <v>InitUnitAdd('IF13',,,,,,,,,,)</v>
      </c>
      <c r="CR219" s="13" t="str">
        <f t="shared" si="3411"/>
        <v>InitEquipData('IF13',,"",,,,,'','','','','','',"")</v>
      </c>
      <c r="CU219" s="68" t="str">
        <f t="shared" si="3412"/>
        <v>|n</v>
      </c>
      <c r="CW219" s="7"/>
      <c r="CX219" s="7"/>
      <c r="CY219" s="7"/>
      <c r="CZ219" s="7"/>
      <c r="DA219" s="7"/>
      <c r="DB219" s="44" t="str">
        <f t="shared" si="3413"/>
        <v/>
      </c>
      <c r="DC219" s="44" t="str">
        <f t="shared" si="3414"/>
        <v/>
      </c>
      <c r="DD219" s="44" t="str">
        <f t="shared" si="3415"/>
        <v/>
      </c>
      <c r="DE219" s="44" t="str">
        <f t="shared" si="3416"/>
        <v/>
      </c>
      <c r="DF219" s="44" t="str">
        <f t="shared" si="3417"/>
        <v/>
      </c>
      <c r="DG219" s="44" t="str">
        <f t="shared" si="3418"/>
        <v/>
      </c>
      <c r="DH219" s="44" t="str">
        <f t="shared" si="3419"/>
        <v/>
      </c>
      <c r="DI219" s="44" t="str">
        <f t="shared" si="3420"/>
        <v/>
      </c>
      <c r="DJ219" s="44" t="str">
        <f t="shared" si="3421"/>
        <v/>
      </c>
      <c r="DK219" s="44" t="str">
        <f t="shared" si="3422"/>
        <v/>
      </c>
      <c r="DL219" s="44" t="str">
        <f t="shared" si="3423"/>
        <v/>
      </c>
      <c r="DM219" s="44" t="str">
        <f t="shared" si="3424"/>
        <v/>
      </c>
      <c r="DN219" s="44" t="str">
        <f t="shared" si="3425"/>
        <v/>
      </c>
      <c r="DO219" s="44" t="str">
        <f t="shared" si="3426"/>
        <v/>
      </c>
      <c r="DP219" s="44" t="str">
        <f t="shared" si="3427"/>
        <v/>
      </c>
      <c r="DQ219" s="44" t="str">
        <f t="shared" si="3428"/>
        <v/>
      </c>
      <c r="DR219" s="44" t="str">
        <f t="shared" si="3429"/>
        <v/>
      </c>
      <c r="DS219" s="44" t="str">
        <f t="shared" si="3430"/>
        <v/>
      </c>
      <c r="DT219" s="44" t="str">
        <f t="shared" si="3431"/>
        <v/>
      </c>
      <c r="DU219" s="44" t="str">
        <f t="shared" si="3432"/>
        <v/>
      </c>
      <c r="DV219" s="44" t="str">
        <f t="shared" si="3433"/>
        <v/>
      </c>
      <c r="DW219" s="44" t="str">
        <f t="shared" si="3434"/>
        <v/>
      </c>
      <c r="DX219" s="44" t="str">
        <f t="shared" si="3435"/>
        <v/>
      </c>
      <c r="DY219" s="44" t="str">
        <f t="shared" si="3436"/>
        <v/>
      </c>
      <c r="DZ219" s="44" t="str">
        <f t="shared" si="3437"/>
        <v/>
      </c>
      <c r="EA219" s="44" t="str">
        <f t="shared" si="3438"/>
        <v/>
      </c>
      <c r="EB219" s="44" t="str">
        <f t="shared" si="3439"/>
        <v/>
      </c>
      <c r="EC219" s="44" t="str">
        <f t="shared" si="3440"/>
        <v/>
      </c>
      <c r="ED219" s="44" t="str">
        <f t="shared" si="3441"/>
        <v/>
      </c>
      <c r="EE219" s="44" t="str">
        <f t="shared" si="3442"/>
        <v/>
      </c>
      <c r="EF219" s="44" t="str">
        <f t="shared" si="3443"/>
        <v/>
      </c>
      <c r="EG219" s="44" t="str">
        <f t="shared" si="3444"/>
        <v/>
      </c>
      <c r="EH219" s="44" t="str">
        <f t="shared" si="3445"/>
        <v/>
      </c>
      <c r="EI219" s="44" t="str">
        <f t="shared" si="3446"/>
        <v/>
      </c>
      <c r="EJ219" s="44" t="str">
        <f t="shared" si="3447"/>
        <v/>
      </c>
      <c r="EK219" s="44" t="str">
        <f t="shared" si="3448"/>
        <v/>
      </c>
      <c r="EL219" s="44" t="str">
        <f t="shared" si="3449"/>
        <v/>
      </c>
      <c r="EM219" s="44" t="str">
        <f t="shared" si="3450"/>
        <v/>
      </c>
      <c r="EN219" s="44" t="str">
        <f t="shared" si="3451"/>
        <v/>
      </c>
      <c r="EO219" s="44" t="str">
        <f t="shared" si="3452"/>
        <v/>
      </c>
      <c r="EP219" s="44" t="str">
        <f t="shared" si="3453"/>
        <v/>
      </c>
      <c r="EQ219" s="44" t="str">
        <f t="shared" si="3454"/>
        <v/>
      </c>
      <c r="ER219" s="44" t="str">
        <f t="shared" si="3455"/>
        <v/>
      </c>
      <c r="ES219" s="44" t="str">
        <f t="shared" si="3456"/>
        <v/>
      </c>
      <c r="ET219" s="44" t="str">
        <f t="shared" si="3457"/>
        <v/>
      </c>
      <c r="EU219" s="44" t="str">
        <f t="shared" si="3458"/>
        <v/>
      </c>
      <c r="EV219" s="44" t="str">
        <f t="shared" si="3459"/>
        <v/>
      </c>
      <c r="EW219" s="44" t="str">
        <f t="shared" si="3460"/>
        <v/>
      </c>
      <c r="EX219" s="44" t="str">
        <f t="shared" si="3461"/>
        <v/>
      </c>
      <c r="EY219" s="44" t="str">
        <f t="shared" si="3462"/>
        <v/>
      </c>
      <c r="EZ219" s="44" t="str">
        <f t="shared" si="3463"/>
        <v/>
      </c>
      <c r="FA219" s="44" t="str">
        <f t="shared" si="3464"/>
        <v/>
      </c>
      <c r="FB219" s="44" t="str">
        <f t="shared" si="3465"/>
        <v/>
      </c>
      <c r="FC219" s="44" t="str">
        <f t="shared" si="3466"/>
        <v/>
      </c>
      <c r="FD219" s="44" t="str">
        <f t="shared" si="3467"/>
        <v/>
      </c>
      <c r="FE219" s="44" t="str">
        <f t="shared" si="3468"/>
        <v/>
      </c>
      <c r="FF219" s="44" t="str">
        <f t="shared" si="3469"/>
        <v/>
      </c>
      <c r="FG219" s="44" t="str">
        <f t="shared" si="3470"/>
        <v/>
      </c>
      <c r="FH219" s="44" t="str">
        <f t="shared" si="3471"/>
        <v/>
      </c>
      <c r="FI219" s="44" t="str">
        <f t="shared" si="3472"/>
        <v/>
      </c>
      <c r="FJ219" s="44" t="str">
        <f t="shared" si="3473"/>
        <v/>
      </c>
      <c r="FK219" s="44" t="str">
        <f t="shared" si="3474"/>
        <v/>
      </c>
      <c r="FL219" s="44" t="str">
        <f t="shared" si="3475"/>
        <v/>
      </c>
      <c r="FM219" s="44" t="str">
        <f t="shared" si="3476"/>
        <v/>
      </c>
      <c r="FN219" s="44" t="str">
        <f t="shared" si="3477"/>
        <v/>
      </c>
      <c r="FO219" s="44" t="str">
        <f t="shared" si="3478"/>
        <v/>
      </c>
      <c r="FP219" s="44" t="str">
        <f t="shared" si="3479"/>
        <v/>
      </c>
      <c r="FQ219" s="44" t="str">
        <f t="shared" si="3480"/>
        <v/>
      </c>
      <c r="FR219" s="44" t="str">
        <f t="shared" si="3481"/>
        <v/>
      </c>
      <c r="FS219" s="44" t="str">
        <f t="shared" si="3482"/>
        <v/>
      </c>
    </row>
    <row r="220" spans="1:175" ht="16.5">
      <c r="A220" s="104"/>
      <c r="B220" s="8" t="s">
        <v>731</v>
      </c>
      <c r="C220" s="37" t="s">
        <v>718</v>
      </c>
      <c r="T220" s="112"/>
      <c r="U220" s="56"/>
      <c r="CN220" s="13" t="str">
        <f t="shared" si="3407"/>
        <v>InitUnitState('IF14',,,,,,,,,,)</v>
      </c>
      <c r="CO220" s="13" t="str">
        <f t="shared" si="3408"/>
        <v>InitUnitNormal('IF14',,,,,,,,,,)</v>
      </c>
      <c r="CP220" s="13" t="str">
        <f t="shared" si="3409"/>
        <v>InitUnitMagic('IF14',,,,,,,,,,)</v>
      </c>
      <c r="CQ220" s="13" t="str">
        <f t="shared" si="3410"/>
        <v>InitUnitAdd('IF14',,,,,,,,,,)</v>
      </c>
      <c r="CR220" s="13" t="str">
        <f t="shared" si="3411"/>
        <v>InitEquipData('IF14',,"",,,,,'','','','','','',"")</v>
      </c>
      <c r="CU220" s="68" t="str">
        <f t="shared" si="3412"/>
        <v>|n</v>
      </c>
      <c r="CW220" s="7"/>
      <c r="CX220" s="7"/>
      <c r="CY220" s="7"/>
      <c r="CZ220" s="7"/>
      <c r="DA220" s="7"/>
      <c r="DB220" s="44" t="str">
        <f t="shared" si="3413"/>
        <v/>
      </c>
      <c r="DC220" s="44" t="str">
        <f t="shared" si="3414"/>
        <v/>
      </c>
      <c r="DD220" s="44" t="str">
        <f t="shared" si="3415"/>
        <v/>
      </c>
      <c r="DE220" s="44" t="str">
        <f t="shared" si="3416"/>
        <v/>
      </c>
      <c r="DF220" s="44" t="str">
        <f t="shared" si="3417"/>
        <v/>
      </c>
      <c r="DG220" s="44" t="str">
        <f t="shared" si="3418"/>
        <v/>
      </c>
      <c r="DH220" s="44" t="str">
        <f t="shared" si="3419"/>
        <v/>
      </c>
      <c r="DI220" s="44" t="str">
        <f t="shared" si="3420"/>
        <v/>
      </c>
      <c r="DJ220" s="44" t="str">
        <f t="shared" si="3421"/>
        <v/>
      </c>
      <c r="DK220" s="44" t="str">
        <f t="shared" si="3422"/>
        <v/>
      </c>
      <c r="DL220" s="44" t="str">
        <f t="shared" si="3423"/>
        <v/>
      </c>
      <c r="DM220" s="44" t="str">
        <f t="shared" si="3424"/>
        <v/>
      </c>
      <c r="DN220" s="44" t="str">
        <f t="shared" si="3425"/>
        <v/>
      </c>
      <c r="DO220" s="44" t="str">
        <f t="shared" si="3426"/>
        <v/>
      </c>
      <c r="DP220" s="44" t="str">
        <f t="shared" si="3427"/>
        <v/>
      </c>
      <c r="DQ220" s="44" t="str">
        <f t="shared" si="3428"/>
        <v/>
      </c>
      <c r="DR220" s="44" t="str">
        <f t="shared" si="3429"/>
        <v/>
      </c>
      <c r="DS220" s="44" t="str">
        <f t="shared" si="3430"/>
        <v/>
      </c>
      <c r="DT220" s="44" t="str">
        <f t="shared" si="3431"/>
        <v/>
      </c>
      <c r="DU220" s="44" t="str">
        <f t="shared" si="3432"/>
        <v/>
      </c>
      <c r="DV220" s="44" t="str">
        <f t="shared" si="3433"/>
        <v/>
      </c>
      <c r="DW220" s="44" t="str">
        <f t="shared" si="3434"/>
        <v/>
      </c>
      <c r="DX220" s="44" t="str">
        <f t="shared" si="3435"/>
        <v/>
      </c>
      <c r="DY220" s="44" t="str">
        <f t="shared" si="3436"/>
        <v/>
      </c>
      <c r="DZ220" s="44" t="str">
        <f t="shared" si="3437"/>
        <v/>
      </c>
      <c r="EA220" s="44" t="str">
        <f t="shared" si="3438"/>
        <v/>
      </c>
      <c r="EB220" s="44" t="str">
        <f t="shared" si="3439"/>
        <v/>
      </c>
      <c r="EC220" s="44" t="str">
        <f t="shared" si="3440"/>
        <v/>
      </c>
      <c r="ED220" s="44" t="str">
        <f t="shared" si="3441"/>
        <v/>
      </c>
      <c r="EE220" s="44" t="str">
        <f t="shared" si="3442"/>
        <v/>
      </c>
      <c r="EF220" s="44" t="str">
        <f t="shared" si="3443"/>
        <v/>
      </c>
      <c r="EG220" s="44" t="str">
        <f t="shared" si="3444"/>
        <v/>
      </c>
      <c r="EH220" s="44" t="str">
        <f t="shared" si="3445"/>
        <v/>
      </c>
      <c r="EI220" s="44" t="str">
        <f t="shared" si="3446"/>
        <v/>
      </c>
      <c r="EJ220" s="44" t="str">
        <f t="shared" si="3447"/>
        <v/>
      </c>
      <c r="EK220" s="44" t="str">
        <f t="shared" si="3448"/>
        <v/>
      </c>
      <c r="EL220" s="44" t="str">
        <f t="shared" si="3449"/>
        <v/>
      </c>
      <c r="EM220" s="44" t="str">
        <f t="shared" si="3450"/>
        <v/>
      </c>
      <c r="EN220" s="44" t="str">
        <f t="shared" si="3451"/>
        <v/>
      </c>
      <c r="EO220" s="44" t="str">
        <f t="shared" si="3452"/>
        <v/>
      </c>
      <c r="EP220" s="44" t="str">
        <f t="shared" si="3453"/>
        <v/>
      </c>
      <c r="EQ220" s="44" t="str">
        <f t="shared" si="3454"/>
        <v/>
      </c>
      <c r="ER220" s="44" t="str">
        <f t="shared" si="3455"/>
        <v/>
      </c>
      <c r="ES220" s="44" t="str">
        <f t="shared" si="3456"/>
        <v/>
      </c>
      <c r="ET220" s="44" t="str">
        <f t="shared" si="3457"/>
        <v/>
      </c>
      <c r="EU220" s="44" t="str">
        <f t="shared" si="3458"/>
        <v/>
      </c>
      <c r="EV220" s="44" t="str">
        <f t="shared" si="3459"/>
        <v/>
      </c>
      <c r="EW220" s="44" t="str">
        <f t="shared" si="3460"/>
        <v/>
      </c>
      <c r="EX220" s="44" t="str">
        <f t="shared" si="3461"/>
        <v/>
      </c>
      <c r="EY220" s="44" t="str">
        <f t="shared" si="3462"/>
        <v/>
      </c>
      <c r="EZ220" s="44" t="str">
        <f t="shared" si="3463"/>
        <v/>
      </c>
      <c r="FA220" s="44" t="str">
        <f t="shared" si="3464"/>
        <v/>
      </c>
      <c r="FB220" s="44" t="str">
        <f t="shared" si="3465"/>
        <v/>
      </c>
      <c r="FC220" s="44" t="str">
        <f t="shared" si="3466"/>
        <v/>
      </c>
      <c r="FD220" s="44" t="str">
        <f t="shared" si="3467"/>
        <v/>
      </c>
      <c r="FE220" s="44" t="str">
        <f t="shared" si="3468"/>
        <v/>
      </c>
      <c r="FF220" s="44" t="str">
        <f t="shared" si="3469"/>
        <v/>
      </c>
      <c r="FG220" s="44" t="str">
        <f t="shared" si="3470"/>
        <v/>
      </c>
      <c r="FH220" s="44" t="str">
        <f t="shared" si="3471"/>
        <v/>
      </c>
      <c r="FI220" s="44" t="str">
        <f t="shared" si="3472"/>
        <v/>
      </c>
      <c r="FJ220" s="44" t="str">
        <f t="shared" si="3473"/>
        <v/>
      </c>
      <c r="FK220" s="44" t="str">
        <f t="shared" si="3474"/>
        <v/>
      </c>
      <c r="FL220" s="44" t="str">
        <f t="shared" si="3475"/>
        <v/>
      </c>
      <c r="FM220" s="44" t="str">
        <f t="shared" si="3476"/>
        <v/>
      </c>
      <c r="FN220" s="44" t="str">
        <f t="shared" si="3477"/>
        <v/>
      </c>
      <c r="FO220" s="44" t="str">
        <f t="shared" si="3478"/>
        <v/>
      </c>
      <c r="FP220" s="44" t="str">
        <f t="shared" si="3479"/>
        <v/>
      </c>
      <c r="FQ220" s="44" t="str">
        <f t="shared" si="3480"/>
        <v/>
      </c>
      <c r="FR220" s="44" t="str">
        <f t="shared" si="3481"/>
        <v/>
      </c>
      <c r="FS220" s="44" t="str">
        <f t="shared" si="3482"/>
        <v/>
      </c>
    </row>
    <row r="221" spans="1:175" ht="16.5">
      <c r="A221" s="104"/>
      <c r="B221" s="8" t="s">
        <v>732</v>
      </c>
      <c r="C221" s="37" t="s">
        <v>718</v>
      </c>
      <c r="T221" s="112"/>
      <c r="U221" s="56"/>
      <c r="CN221" s="13" t="str">
        <f t="shared" si="3407"/>
        <v>InitUnitState('IF15',,,,,,,,,,)</v>
      </c>
      <c r="CO221" s="13" t="str">
        <f t="shared" si="3408"/>
        <v>InitUnitNormal('IF15',,,,,,,,,,)</v>
      </c>
      <c r="CP221" s="13" t="str">
        <f t="shared" si="3409"/>
        <v>InitUnitMagic('IF15',,,,,,,,,,)</v>
      </c>
      <c r="CQ221" s="13" t="str">
        <f t="shared" si="3410"/>
        <v>InitUnitAdd('IF15',,,,,,,,,,)</v>
      </c>
      <c r="CR221" s="13" t="str">
        <f t="shared" si="3411"/>
        <v>InitEquipData('IF15',,"",,,,,'','','','','','',"")</v>
      </c>
      <c r="CU221" s="68" t="str">
        <f t="shared" si="3412"/>
        <v>|n</v>
      </c>
      <c r="CW221" s="7"/>
      <c r="CX221" s="7"/>
      <c r="CY221" s="7"/>
      <c r="CZ221" s="7"/>
      <c r="DA221" s="7"/>
      <c r="DB221" s="44" t="str">
        <f t="shared" si="3413"/>
        <v/>
      </c>
      <c r="DC221" s="44" t="str">
        <f t="shared" si="3414"/>
        <v/>
      </c>
      <c r="DD221" s="44" t="str">
        <f t="shared" si="3415"/>
        <v/>
      </c>
      <c r="DE221" s="44" t="str">
        <f t="shared" si="3416"/>
        <v/>
      </c>
      <c r="DF221" s="44" t="str">
        <f t="shared" si="3417"/>
        <v/>
      </c>
      <c r="DG221" s="44" t="str">
        <f t="shared" si="3418"/>
        <v/>
      </c>
      <c r="DH221" s="44" t="str">
        <f t="shared" si="3419"/>
        <v/>
      </c>
      <c r="DI221" s="44" t="str">
        <f t="shared" si="3420"/>
        <v/>
      </c>
      <c r="DJ221" s="44" t="str">
        <f t="shared" si="3421"/>
        <v/>
      </c>
      <c r="DK221" s="44" t="str">
        <f t="shared" si="3422"/>
        <v/>
      </c>
      <c r="DL221" s="44" t="str">
        <f t="shared" si="3423"/>
        <v/>
      </c>
      <c r="DM221" s="44" t="str">
        <f t="shared" si="3424"/>
        <v/>
      </c>
      <c r="DN221" s="44" t="str">
        <f t="shared" si="3425"/>
        <v/>
      </c>
      <c r="DO221" s="44" t="str">
        <f t="shared" si="3426"/>
        <v/>
      </c>
      <c r="DP221" s="44" t="str">
        <f t="shared" si="3427"/>
        <v/>
      </c>
      <c r="DQ221" s="44" t="str">
        <f t="shared" si="3428"/>
        <v/>
      </c>
      <c r="DR221" s="44" t="str">
        <f t="shared" si="3429"/>
        <v/>
      </c>
      <c r="DS221" s="44" t="str">
        <f t="shared" si="3430"/>
        <v/>
      </c>
      <c r="DT221" s="44" t="str">
        <f t="shared" si="3431"/>
        <v/>
      </c>
      <c r="DU221" s="44" t="str">
        <f t="shared" si="3432"/>
        <v/>
      </c>
      <c r="DV221" s="44" t="str">
        <f t="shared" si="3433"/>
        <v/>
      </c>
      <c r="DW221" s="44" t="str">
        <f t="shared" si="3434"/>
        <v/>
      </c>
      <c r="DX221" s="44" t="str">
        <f t="shared" si="3435"/>
        <v/>
      </c>
      <c r="DY221" s="44" t="str">
        <f t="shared" si="3436"/>
        <v/>
      </c>
      <c r="DZ221" s="44" t="str">
        <f t="shared" si="3437"/>
        <v/>
      </c>
      <c r="EA221" s="44" t="str">
        <f t="shared" si="3438"/>
        <v/>
      </c>
      <c r="EB221" s="44" t="str">
        <f t="shared" si="3439"/>
        <v/>
      </c>
      <c r="EC221" s="44" t="str">
        <f t="shared" si="3440"/>
        <v/>
      </c>
      <c r="ED221" s="44" t="str">
        <f t="shared" si="3441"/>
        <v/>
      </c>
      <c r="EE221" s="44" t="str">
        <f t="shared" si="3442"/>
        <v/>
      </c>
      <c r="EF221" s="44" t="str">
        <f t="shared" si="3443"/>
        <v/>
      </c>
      <c r="EG221" s="44" t="str">
        <f t="shared" si="3444"/>
        <v/>
      </c>
      <c r="EH221" s="44" t="str">
        <f t="shared" si="3445"/>
        <v/>
      </c>
      <c r="EI221" s="44" t="str">
        <f t="shared" si="3446"/>
        <v/>
      </c>
      <c r="EJ221" s="44" t="str">
        <f t="shared" si="3447"/>
        <v/>
      </c>
      <c r="EK221" s="44" t="str">
        <f t="shared" si="3448"/>
        <v/>
      </c>
      <c r="EL221" s="44" t="str">
        <f t="shared" si="3449"/>
        <v/>
      </c>
      <c r="EM221" s="44" t="str">
        <f t="shared" si="3450"/>
        <v/>
      </c>
      <c r="EN221" s="44" t="str">
        <f t="shared" si="3451"/>
        <v/>
      </c>
      <c r="EO221" s="44" t="str">
        <f t="shared" si="3452"/>
        <v/>
      </c>
      <c r="EP221" s="44" t="str">
        <f t="shared" si="3453"/>
        <v/>
      </c>
      <c r="EQ221" s="44" t="str">
        <f t="shared" si="3454"/>
        <v/>
      </c>
      <c r="ER221" s="44" t="str">
        <f t="shared" si="3455"/>
        <v/>
      </c>
      <c r="ES221" s="44" t="str">
        <f t="shared" si="3456"/>
        <v/>
      </c>
      <c r="ET221" s="44" t="str">
        <f t="shared" si="3457"/>
        <v/>
      </c>
      <c r="EU221" s="44" t="str">
        <f t="shared" si="3458"/>
        <v/>
      </c>
      <c r="EV221" s="44" t="str">
        <f t="shared" si="3459"/>
        <v/>
      </c>
      <c r="EW221" s="44" t="str">
        <f t="shared" si="3460"/>
        <v/>
      </c>
      <c r="EX221" s="44" t="str">
        <f t="shared" si="3461"/>
        <v/>
      </c>
      <c r="EY221" s="44" t="str">
        <f t="shared" si="3462"/>
        <v/>
      </c>
      <c r="EZ221" s="44" t="str">
        <f t="shared" si="3463"/>
        <v/>
      </c>
      <c r="FA221" s="44" t="str">
        <f t="shared" si="3464"/>
        <v/>
      </c>
      <c r="FB221" s="44" t="str">
        <f t="shared" si="3465"/>
        <v/>
      </c>
      <c r="FC221" s="44" t="str">
        <f t="shared" si="3466"/>
        <v/>
      </c>
      <c r="FD221" s="44" t="str">
        <f t="shared" si="3467"/>
        <v/>
      </c>
      <c r="FE221" s="44" t="str">
        <f t="shared" si="3468"/>
        <v/>
      </c>
      <c r="FF221" s="44" t="str">
        <f t="shared" si="3469"/>
        <v/>
      </c>
      <c r="FG221" s="44" t="str">
        <f t="shared" si="3470"/>
        <v/>
      </c>
      <c r="FH221" s="44" t="str">
        <f t="shared" si="3471"/>
        <v/>
      </c>
      <c r="FI221" s="44" t="str">
        <f t="shared" si="3472"/>
        <v/>
      </c>
      <c r="FJ221" s="44" t="str">
        <f t="shared" si="3473"/>
        <v/>
      </c>
      <c r="FK221" s="44" t="str">
        <f t="shared" si="3474"/>
        <v/>
      </c>
      <c r="FL221" s="44" t="str">
        <f t="shared" si="3475"/>
        <v/>
      </c>
      <c r="FM221" s="44" t="str">
        <f t="shared" si="3476"/>
        <v/>
      </c>
      <c r="FN221" s="44" t="str">
        <f t="shared" si="3477"/>
        <v/>
      </c>
      <c r="FO221" s="44" t="str">
        <f t="shared" si="3478"/>
        <v/>
      </c>
      <c r="FP221" s="44" t="str">
        <f t="shared" si="3479"/>
        <v/>
      </c>
      <c r="FQ221" s="44" t="str">
        <f t="shared" si="3480"/>
        <v/>
      </c>
      <c r="FR221" s="44" t="str">
        <f t="shared" si="3481"/>
        <v/>
      </c>
      <c r="FS221" s="44" t="str">
        <f t="shared" si="3482"/>
        <v/>
      </c>
    </row>
    <row r="222" spans="1:175" ht="16.5">
      <c r="A222" s="104"/>
      <c r="B222" s="8" t="s">
        <v>733</v>
      </c>
      <c r="C222" s="37" t="s">
        <v>718</v>
      </c>
      <c r="T222" s="112"/>
      <c r="U222" s="56"/>
      <c r="CN222" s="13" t="str">
        <f t="shared" si="3407"/>
        <v>InitUnitState('IF16',,,,,,,,,,)</v>
      </c>
      <c r="CO222" s="13" t="str">
        <f t="shared" si="3408"/>
        <v>InitUnitNormal('IF16',,,,,,,,,,)</v>
      </c>
      <c r="CP222" s="13" t="str">
        <f t="shared" si="3409"/>
        <v>InitUnitMagic('IF16',,,,,,,,,,)</v>
      </c>
      <c r="CQ222" s="13" t="str">
        <f t="shared" si="3410"/>
        <v>InitUnitAdd('IF16',,,,,,,,,,)</v>
      </c>
      <c r="CR222" s="13" t="str">
        <f t="shared" si="3411"/>
        <v>InitEquipData('IF16',,"",,,,,'','','','','','',"")</v>
      </c>
      <c r="CU222" s="68" t="str">
        <f t="shared" si="3412"/>
        <v>|n</v>
      </c>
      <c r="CW222" s="7"/>
      <c r="CX222" s="7"/>
      <c r="CY222" s="7"/>
      <c r="CZ222" s="7"/>
      <c r="DA222" s="7"/>
      <c r="DB222" s="44" t="str">
        <f t="shared" si="3413"/>
        <v/>
      </c>
      <c r="DC222" s="44" t="str">
        <f t="shared" si="3414"/>
        <v/>
      </c>
      <c r="DD222" s="44" t="str">
        <f t="shared" si="3415"/>
        <v/>
      </c>
      <c r="DE222" s="44" t="str">
        <f t="shared" si="3416"/>
        <v/>
      </c>
      <c r="DF222" s="44" t="str">
        <f t="shared" si="3417"/>
        <v/>
      </c>
      <c r="DG222" s="44" t="str">
        <f t="shared" si="3418"/>
        <v/>
      </c>
      <c r="DH222" s="44" t="str">
        <f t="shared" si="3419"/>
        <v/>
      </c>
      <c r="DI222" s="44" t="str">
        <f t="shared" si="3420"/>
        <v/>
      </c>
      <c r="DJ222" s="44" t="str">
        <f t="shared" si="3421"/>
        <v/>
      </c>
      <c r="DK222" s="44" t="str">
        <f t="shared" si="3422"/>
        <v/>
      </c>
      <c r="DL222" s="44" t="str">
        <f t="shared" si="3423"/>
        <v/>
      </c>
      <c r="DM222" s="44" t="str">
        <f t="shared" si="3424"/>
        <v/>
      </c>
      <c r="DN222" s="44" t="str">
        <f t="shared" si="3425"/>
        <v/>
      </c>
      <c r="DO222" s="44" t="str">
        <f t="shared" si="3426"/>
        <v/>
      </c>
      <c r="DP222" s="44" t="str">
        <f t="shared" si="3427"/>
        <v/>
      </c>
      <c r="DQ222" s="44" t="str">
        <f t="shared" si="3428"/>
        <v/>
      </c>
      <c r="DR222" s="44" t="str">
        <f t="shared" si="3429"/>
        <v/>
      </c>
      <c r="DS222" s="44" t="str">
        <f t="shared" si="3430"/>
        <v/>
      </c>
      <c r="DT222" s="44" t="str">
        <f t="shared" si="3431"/>
        <v/>
      </c>
      <c r="DU222" s="44" t="str">
        <f t="shared" si="3432"/>
        <v/>
      </c>
      <c r="DV222" s="44" t="str">
        <f t="shared" si="3433"/>
        <v/>
      </c>
      <c r="DW222" s="44" t="str">
        <f t="shared" si="3434"/>
        <v/>
      </c>
      <c r="DX222" s="44" t="str">
        <f t="shared" si="3435"/>
        <v/>
      </c>
      <c r="DY222" s="44" t="str">
        <f t="shared" si="3436"/>
        <v/>
      </c>
      <c r="DZ222" s="44" t="str">
        <f t="shared" si="3437"/>
        <v/>
      </c>
      <c r="EA222" s="44" t="str">
        <f t="shared" si="3438"/>
        <v/>
      </c>
      <c r="EB222" s="44" t="str">
        <f t="shared" si="3439"/>
        <v/>
      </c>
      <c r="EC222" s="44" t="str">
        <f t="shared" si="3440"/>
        <v/>
      </c>
      <c r="ED222" s="44" t="str">
        <f t="shared" si="3441"/>
        <v/>
      </c>
      <c r="EE222" s="44" t="str">
        <f t="shared" si="3442"/>
        <v/>
      </c>
      <c r="EF222" s="44" t="str">
        <f t="shared" si="3443"/>
        <v/>
      </c>
      <c r="EG222" s="44" t="str">
        <f t="shared" si="3444"/>
        <v/>
      </c>
      <c r="EH222" s="44" t="str">
        <f t="shared" si="3445"/>
        <v/>
      </c>
      <c r="EI222" s="44" t="str">
        <f t="shared" si="3446"/>
        <v/>
      </c>
      <c r="EJ222" s="44" t="str">
        <f t="shared" si="3447"/>
        <v/>
      </c>
      <c r="EK222" s="44" t="str">
        <f t="shared" si="3448"/>
        <v/>
      </c>
      <c r="EL222" s="44" t="str">
        <f t="shared" si="3449"/>
        <v/>
      </c>
      <c r="EM222" s="44" t="str">
        <f t="shared" si="3450"/>
        <v/>
      </c>
      <c r="EN222" s="44" t="str">
        <f t="shared" si="3451"/>
        <v/>
      </c>
      <c r="EO222" s="44" t="str">
        <f t="shared" si="3452"/>
        <v/>
      </c>
      <c r="EP222" s="44" t="str">
        <f t="shared" si="3453"/>
        <v/>
      </c>
      <c r="EQ222" s="44" t="str">
        <f t="shared" si="3454"/>
        <v/>
      </c>
      <c r="ER222" s="44" t="str">
        <f t="shared" si="3455"/>
        <v/>
      </c>
      <c r="ES222" s="44" t="str">
        <f t="shared" si="3456"/>
        <v/>
      </c>
      <c r="ET222" s="44" t="str">
        <f t="shared" si="3457"/>
        <v/>
      </c>
      <c r="EU222" s="44" t="str">
        <f t="shared" si="3458"/>
        <v/>
      </c>
      <c r="EV222" s="44" t="str">
        <f t="shared" si="3459"/>
        <v/>
      </c>
      <c r="EW222" s="44" t="str">
        <f t="shared" si="3460"/>
        <v/>
      </c>
      <c r="EX222" s="44" t="str">
        <f t="shared" si="3461"/>
        <v/>
      </c>
      <c r="EY222" s="44" t="str">
        <f t="shared" si="3462"/>
        <v/>
      </c>
      <c r="EZ222" s="44" t="str">
        <f t="shared" si="3463"/>
        <v/>
      </c>
      <c r="FA222" s="44" t="str">
        <f t="shared" si="3464"/>
        <v/>
      </c>
      <c r="FB222" s="44" t="str">
        <f t="shared" si="3465"/>
        <v/>
      </c>
      <c r="FC222" s="44" t="str">
        <f t="shared" si="3466"/>
        <v/>
      </c>
      <c r="FD222" s="44" t="str">
        <f t="shared" si="3467"/>
        <v/>
      </c>
      <c r="FE222" s="44" t="str">
        <f t="shared" si="3468"/>
        <v/>
      </c>
      <c r="FF222" s="44" t="str">
        <f t="shared" si="3469"/>
        <v/>
      </c>
      <c r="FG222" s="44" t="str">
        <f t="shared" si="3470"/>
        <v/>
      </c>
      <c r="FH222" s="44" t="str">
        <f t="shared" si="3471"/>
        <v/>
      </c>
      <c r="FI222" s="44" t="str">
        <f t="shared" si="3472"/>
        <v/>
      </c>
      <c r="FJ222" s="44" t="str">
        <f t="shared" si="3473"/>
        <v/>
      </c>
      <c r="FK222" s="44" t="str">
        <f t="shared" si="3474"/>
        <v/>
      </c>
      <c r="FL222" s="44" t="str">
        <f t="shared" si="3475"/>
        <v/>
      </c>
      <c r="FM222" s="44" t="str">
        <f t="shared" si="3476"/>
        <v/>
      </c>
      <c r="FN222" s="44" t="str">
        <f t="shared" si="3477"/>
        <v/>
      </c>
      <c r="FO222" s="44" t="str">
        <f t="shared" si="3478"/>
        <v/>
      </c>
      <c r="FP222" s="44" t="str">
        <f t="shared" si="3479"/>
        <v/>
      </c>
      <c r="FQ222" s="44" t="str">
        <f t="shared" si="3480"/>
        <v/>
      </c>
      <c r="FR222" s="44" t="str">
        <f t="shared" si="3481"/>
        <v/>
      </c>
      <c r="FS222" s="44" t="str">
        <f t="shared" si="3482"/>
        <v/>
      </c>
    </row>
    <row r="223" spans="1:175" ht="16.5">
      <c r="A223" s="104"/>
      <c r="B223" s="8" t="s">
        <v>734</v>
      </c>
      <c r="C223" s="37" t="s">
        <v>718</v>
      </c>
      <c r="T223" s="112"/>
      <c r="U223" s="56"/>
      <c r="CN223" s="13" t="str">
        <f t="shared" si="3407"/>
        <v>InitUnitState('IF17',,,,,,,,,,)</v>
      </c>
      <c r="CO223" s="13" t="str">
        <f t="shared" si="3408"/>
        <v>InitUnitNormal('IF17',,,,,,,,,,)</v>
      </c>
      <c r="CP223" s="13" t="str">
        <f t="shared" si="3409"/>
        <v>InitUnitMagic('IF17',,,,,,,,,,)</v>
      </c>
      <c r="CQ223" s="13" t="str">
        <f t="shared" si="3410"/>
        <v>InitUnitAdd('IF17',,,,,,,,,,)</v>
      </c>
      <c r="CR223" s="13" t="str">
        <f t="shared" si="3411"/>
        <v>InitEquipData('IF17',,"",,,,,'','','','','','',"")</v>
      </c>
      <c r="CU223" s="68" t="str">
        <f t="shared" si="3412"/>
        <v>|n</v>
      </c>
      <c r="CW223" s="7"/>
      <c r="CX223" s="7"/>
      <c r="CY223" s="7"/>
      <c r="CZ223" s="7"/>
      <c r="DA223" s="7"/>
      <c r="DB223" s="44" t="str">
        <f t="shared" si="3413"/>
        <v/>
      </c>
      <c r="DC223" s="44" t="str">
        <f t="shared" si="3414"/>
        <v/>
      </c>
      <c r="DD223" s="44" t="str">
        <f t="shared" si="3415"/>
        <v/>
      </c>
      <c r="DE223" s="44" t="str">
        <f t="shared" si="3416"/>
        <v/>
      </c>
      <c r="DF223" s="44" t="str">
        <f t="shared" si="3417"/>
        <v/>
      </c>
      <c r="DG223" s="44" t="str">
        <f t="shared" si="3418"/>
        <v/>
      </c>
      <c r="DH223" s="44" t="str">
        <f t="shared" si="3419"/>
        <v/>
      </c>
      <c r="DI223" s="44" t="str">
        <f t="shared" si="3420"/>
        <v/>
      </c>
      <c r="DJ223" s="44" t="str">
        <f t="shared" si="3421"/>
        <v/>
      </c>
      <c r="DK223" s="44" t="str">
        <f t="shared" si="3422"/>
        <v/>
      </c>
      <c r="DL223" s="44" t="str">
        <f t="shared" si="3423"/>
        <v/>
      </c>
      <c r="DM223" s="44" t="str">
        <f t="shared" si="3424"/>
        <v/>
      </c>
      <c r="DN223" s="44" t="str">
        <f t="shared" si="3425"/>
        <v/>
      </c>
      <c r="DO223" s="44" t="str">
        <f t="shared" si="3426"/>
        <v/>
      </c>
      <c r="DP223" s="44" t="str">
        <f t="shared" si="3427"/>
        <v/>
      </c>
      <c r="DQ223" s="44" t="str">
        <f t="shared" si="3428"/>
        <v/>
      </c>
      <c r="DR223" s="44" t="str">
        <f t="shared" si="3429"/>
        <v/>
      </c>
      <c r="DS223" s="44" t="str">
        <f t="shared" si="3430"/>
        <v/>
      </c>
      <c r="DT223" s="44" t="str">
        <f t="shared" si="3431"/>
        <v/>
      </c>
      <c r="DU223" s="44" t="str">
        <f t="shared" si="3432"/>
        <v/>
      </c>
      <c r="DV223" s="44" t="str">
        <f t="shared" si="3433"/>
        <v/>
      </c>
      <c r="DW223" s="44" t="str">
        <f t="shared" si="3434"/>
        <v/>
      </c>
      <c r="DX223" s="44" t="str">
        <f t="shared" si="3435"/>
        <v/>
      </c>
      <c r="DY223" s="44" t="str">
        <f t="shared" si="3436"/>
        <v/>
      </c>
      <c r="DZ223" s="44" t="str">
        <f t="shared" si="3437"/>
        <v/>
      </c>
      <c r="EA223" s="44" t="str">
        <f t="shared" si="3438"/>
        <v/>
      </c>
      <c r="EB223" s="44" t="str">
        <f t="shared" si="3439"/>
        <v/>
      </c>
      <c r="EC223" s="44" t="str">
        <f t="shared" si="3440"/>
        <v/>
      </c>
      <c r="ED223" s="44" t="str">
        <f t="shared" si="3441"/>
        <v/>
      </c>
      <c r="EE223" s="44" t="str">
        <f t="shared" si="3442"/>
        <v/>
      </c>
      <c r="EF223" s="44" t="str">
        <f t="shared" si="3443"/>
        <v/>
      </c>
      <c r="EG223" s="44" t="str">
        <f t="shared" si="3444"/>
        <v/>
      </c>
      <c r="EH223" s="44" t="str">
        <f t="shared" si="3445"/>
        <v/>
      </c>
      <c r="EI223" s="44" t="str">
        <f t="shared" si="3446"/>
        <v/>
      </c>
      <c r="EJ223" s="44" t="str">
        <f t="shared" si="3447"/>
        <v/>
      </c>
      <c r="EK223" s="44" t="str">
        <f t="shared" si="3448"/>
        <v/>
      </c>
      <c r="EL223" s="44" t="str">
        <f t="shared" si="3449"/>
        <v/>
      </c>
      <c r="EM223" s="44" t="str">
        <f t="shared" si="3450"/>
        <v/>
      </c>
      <c r="EN223" s="44" t="str">
        <f t="shared" si="3451"/>
        <v/>
      </c>
      <c r="EO223" s="44" t="str">
        <f t="shared" si="3452"/>
        <v/>
      </c>
      <c r="EP223" s="44" t="str">
        <f t="shared" si="3453"/>
        <v/>
      </c>
      <c r="EQ223" s="44" t="str">
        <f t="shared" si="3454"/>
        <v/>
      </c>
      <c r="ER223" s="44" t="str">
        <f t="shared" si="3455"/>
        <v/>
      </c>
      <c r="ES223" s="44" t="str">
        <f t="shared" si="3456"/>
        <v/>
      </c>
      <c r="ET223" s="44" t="str">
        <f t="shared" si="3457"/>
        <v/>
      </c>
      <c r="EU223" s="44" t="str">
        <f t="shared" si="3458"/>
        <v/>
      </c>
      <c r="EV223" s="44" t="str">
        <f t="shared" si="3459"/>
        <v/>
      </c>
      <c r="EW223" s="44" t="str">
        <f t="shared" si="3460"/>
        <v/>
      </c>
      <c r="EX223" s="44" t="str">
        <f t="shared" si="3461"/>
        <v/>
      </c>
      <c r="EY223" s="44" t="str">
        <f t="shared" si="3462"/>
        <v/>
      </c>
      <c r="EZ223" s="44" t="str">
        <f t="shared" si="3463"/>
        <v/>
      </c>
      <c r="FA223" s="44" t="str">
        <f t="shared" si="3464"/>
        <v/>
      </c>
      <c r="FB223" s="44" t="str">
        <f t="shared" si="3465"/>
        <v/>
      </c>
      <c r="FC223" s="44" t="str">
        <f t="shared" si="3466"/>
        <v/>
      </c>
      <c r="FD223" s="44" t="str">
        <f t="shared" si="3467"/>
        <v/>
      </c>
      <c r="FE223" s="44" t="str">
        <f t="shared" si="3468"/>
        <v/>
      </c>
      <c r="FF223" s="44" t="str">
        <f t="shared" si="3469"/>
        <v/>
      </c>
      <c r="FG223" s="44" t="str">
        <f t="shared" si="3470"/>
        <v/>
      </c>
      <c r="FH223" s="44" t="str">
        <f t="shared" si="3471"/>
        <v/>
      </c>
      <c r="FI223" s="44" t="str">
        <f t="shared" si="3472"/>
        <v/>
      </c>
      <c r="FJ223" s="44" t="str">
        <f t="shared" si="3473"/>
        <v/>
      </c>
      <c r="FK223" s="44" t="str">
        <f t="shared" si="3474"/>
        <v/>
      </c>
      <c r="FL223" s="44" t="str">
        <f t="shared" si="3475"/>
        <v/>
      </c>
      <c r="FM223" s="44" t="str">
        <f t="shared" si="3476"/>
        <v/>
      </c>
      <c r="FN223" s="44" t="str">
        <f t="shared" si="3477"/>
        <v/>
      </c>
      <c r="FO223" s="44" t="str">
        <f t="shared" si="3478"/>
        <v/>
      </c>
      <c r="FP223" s="44" t="str">
        <f t="shared" si="3479"/>
        <v/>
      </c>
      <c r="FQ223" s="44" t="str">
        <f t="shared" si="3480"/>
        <v/>
      </c>
      <c r="FR223" s="44" t="str">
        <f t="shared" si="3481"/>
        <v/>
      </c>
      <c r="FS223" s="44" t="str">
        <f t="shared" si="3482"/>
        <v/>
      </c>
    </row>
    <row r="224" spans="1:175" ht="16.5">
      <c r="A224" s="104"/>
      <c r="B224" s="8" t="s">
        <v>735</v>
      </c>
      <c r="C224" s="37" t="s">
        <v>718</v>
      </c>
      <c r="T224" s="113"/>
      <c r="U224" s="56"/>
      <c r="CN224" s="13" t="str">
        <f t="shared" si="3407"/>
        <v>InitUnitState('IF18',,,,,,,,,,)</v>
      </c>
      <c r="CO224" s="13" t="str">
        <f t="shared" si="3408"/>
        <v>InitUnitNormal('IF18',,,,,,,,,,)</v>
      </c>
      <c r="CP224" s="13" t="str">
        <f t="shared" si="3409"/>
        <v>InitUnitMagic('IF18',,,,,,,,,,)</v>
      </c>
      <c r="CQ224" s="13" t="str">
        <f t="shared" si="3410"/>
        <v>InitUnitAdd('IF18',,,,,,,,,,)</v>
      </c>
      <c r="CR224" s="13" t="str">
        <f t="shared" si="3411"/>
        <v>InitEquipData('IF18',,"",,,,,'','','','','','',"")</v>
      </c>
      <c r="CU224" s="68" t="str">
        <f t="shared" si="3412"/>
        <v>|n</v>
      </c>
      <c r="CW224" s="7"/>
      <c r="CX224" s="7"/>
      <c r="CY224" s="7"/>
      <c r="CZ224" s="7"/>
      <c r="DA224" s="7"/>
      <c r="DB224" s="44" t="str">
        <f t="shared" si="3413"/>
        <v/>
      </c>
      <c r="DC224" s="44" t="str">
        <f t="shared" si="3414"/>
        <v/>
      </c>
      <c r="DD224" s="44" t="str">
        <f t="shared" si="3415"/>
        <v/>
      </c>
      <c r="DE224" s="44" t="str">
        <f t="shared" si="3416"/>
        <v/>
      </c>
      <c r="DF224" s="44" t="str">
        <f t="shared" si="3417"/>
        <v/>
      </c>
      <c r="DG224" s="44" t="str">
        <f t="shared" si="3418"/>
        <v/>
      </c>
      <c r="DH224" s="44" t="str">
        <f t="shared" si="3419"/>
        <v/>
      </c>
      <c r="DI224" s="44" t="str">
        <f t="shared" si="3420"/>
        <v/>
      </c>
      <c r="DJ224" s="44" t="str">
        <f t="shared" si="3421"/>
        <v/>
      </c>
      <c r="DK224" s="44" t="str">
        <f t="shared" si="3422"/>
        <v/>
      </c>
      <c r="DL224" s="44" t="str">
        <f t="shared" si="3423"/>
        <v/>
      </c>
      <c r="DM224" s="44" t="str">
        <f t="shared" si="3424"/>
        <v/>
      </c>
      <c r="DN224" s="44" t="str">
        <f t="shared" si="3425"/>
        <v/>
      </c>
      <c r="DO224" s="44" t="str">
        <f t="shared" si="3426"/>
        <v/>
      </c>
      <c r="DP224" s="44" t="str">
        <f t="shared" si="3427"/>
        <v/>
      </c>
      <c r="DQ224" s="44" t="str">
        <f t="shared" si="3428"/>
        <v/>
      </c>
      <c r="DR224" s="44" t="str">
        <f t="shared" si="3429"/>
        <v/>
      </c>
      <c r="DS224" s="44" t="str">
        <f t="shared" si="3430"/>
        <v/>
      </c>
      <c r="DT224" s="44" t="str">
        <f t="shared" si="3431"/>
        <v/>
      </c>
      <c r="DU224" s="44" t="str">
        <f t="shared" si="3432"/>
        <v/>
      </c>
      <c r="DV224" s="44" t="str">
        <f t="shared" si="3433"/>
        <v/>
      </c>
      <c r="DW224" s="44" t="str">
        <f t="shared" si="3434"/>
        <v/>
      </c>
      <c r="DX224" s="44" t="str">
        <f t="shared" si="3435"/>
        <v/>
      </c>
      <c r="DY224" s="44" t="str">
        <f t="shared" si="3436"/>
        <v/>
      </c>
      <c r="DZ224" s="44" t="str">
        <f t="shared" si="3437"/>
        <v/>
      </c>
      <c r="EA224" s="44" t="str">
        <f t="shared" si="3438"/>
        <v/>
      </c>
      <c r="EB224" s="44" t="str">
        <f t="shared" si="3439"/>
        <v/>
      </c>
      <c r="EC224" s="44" t="str">
        <f t="shared" si="3440"/>
        <v/>
      </c>
      <c r="ED224" s="44" t="str">
        <f t="shared" si="3441"/>
        <v/>
      </c>
      <c r="EE224" s="44" t="str">
        <f t="shared" si="3442"/>
        <v/>
      </c>
      <c r="EF224" s="44" t="str">
        <f t="shared" si="3443"/>
        <v/>
      </c>
      <c r="EG224" s="44" t="str">
        <f t="shared" si="3444"/>
        <v/>
      </c>
      <c r="EH224" s="44" t="str">
        <f t="shared" si="3445"/>
        <v/>
      </c>
      <c r="EI224" s="44" t="str">
        <f t="shared" si="3446"/>
        <v/>
      </c>
      <c r="EJ224" s="44" t="str">
        <f t="shared" si="3447"/>
        <v/>
      </c>
      <c r="EK224" s="44" t="str">
        <f t="shared" si="3448"/>
        <v/>
      </c>
      <c r="EL224" s="44" t="str">
        <f t="shared" si="3449"/>
        <v/>
      </c>
      <c r="EM224" s="44" t="str">
        <f t="shared" si="3450"/>
        <v/>
      </c>
      <c r="EN224" s="44" t="str">
        <f t="shared" si="3451"/>
        <v/>
      </c>
      <c r="EO224" s="44" t="str">
        <f t="shared" si="3452"/>
        <v/>
      </c>
      <c r="EP224" s="44" t="str">
        <f t="shared" si="3453"/>
        <v/>
      </c>
      <c r="EQ224" s="44" t="str">
        <f t="shared" si="3454"/>
        <v/>
      </c>
      <c r="ER224" s="44" t="str">
        <f t="shared" si="3455"/>
        <v/>
      </c>
      <c r="ES224" s="44" t="str">
        <f t="shared" si="3456"/>
        <v/>
      </c>
      <c r="ET224" s="44" t="str">
        <f t="shared" si="3457"/>
        <v/>
      </c>
      <c r="EU224" s="44" t="str">
        <f t="shared" si="3458"/>
        <v/>
      </c>
      <c r="EV224" s="44" t="str">
        <f t="shared" si="3459"/>
        <v/>
      </c>
      <c r="EW224" s="44" t="str">
        <f t="shared" si="3460"/>
        <v/>
      </c>
      <c r="EX224" s="44" t="str">
        <f t="shared" si="3461"/>
        <v/>
      </c>
      <c r="EY224" s="44" t="str">
        <f t="shared" si="3462"/>
        <v/>
      </c>
      <c r="EZ224" s="44" t="str">
        <f t="shared" si="3463"/>
        <v/>
      </c>
      <c r="FA224" s="44" t="str">
        <f t="shared" si="3464"/>
        <v/>
      </c>
      <c r="FB224" s="44" t="str">
        <f t="shared" si="3465"/>
        <v/>
      </c>
      <c r="FC224" s="44" t="str">
        <f t="shared" si="3466"/>
        <v/>
      </c>
      <c r="FD224" s="44" t="str">
        <f t="shared" si="3467"/>
        <v/>
      </c>
      <c r="FE224" s="44" t="str">
        <f t="shared" si="3468"/>
        <v/>
      </c>
      <c r="FF224" s="44" t="str">
        <f t="shared" si="3469"/>
        <v/>
      </c>
      <c r="FG224" s="44" t="str">
        <f t="shared" si="3470"/>
        <v/>
      </c>
      <c r="FH224" s="44" t="str">
        <f t="shared" si="3471"/>
        <v/>
      </c>
      <c r="FI224" s="44" t="str">
        <f t="shared" si="3472"/>
        <v/>
      </c>
      <c r="FJ224" s="44" t="str">
        <f t="shared" si="3473"/>
        <v/>
      </c>
      <c r="FK224" s="44" t="str">
        <f t="shared" si="3474"/>
        <v/>
      </c>
      <c r="FL224" s="44" t="str">
        <f t="shared" si="3475"/>
        <v/>
      </c>
      <c r="FM224" s="44" t="str">
        <f t="shared" si="3476"/>
        <v/>
      </c>
      <c r="FN224" s="44" t="str">
        <f t="shared" si="3477"/>
        <v/>
      </c>
      <c r="FO224" s="44" t="str">
        <f t="shared" si="3478"/>
        <v/>
      </c>
      <c r="FP224" s="44" t="str">
        <f t="shared" si="3479"/>
        <v/>
      </c>
      <c r="FQ224" s="44" t="str">
        <f t="shared" si="3480"/>
        <v/>
      </c>
      <c r="FR224" s="44" t="str">
        <f t="shared" si="3481"/>
        <v/>
      </c>
      <c r="FS224" s="44" t="str">
        <f t="shared" si="3482"/>
        <v/>
      </c>
    </row>
    <row r="225" spans="1:175" ht="16.5">
      <c r="A225" s="104"/>
      <c r="B225" s="8" t="s">
        <v>736</v>
      </c>
      <c r="C225" s="37" t="s">
        <v>718</v>
      </c>
      <c r="T225" s="113"/>
      <c r="U225" s="56"/>
      <c r="CN225" s="13" t="str">
        <f t="shared" si="3407"/>
        <v>InitUnitState('IF19',,,,,,,,,,)</v>
      </c>
      <c r="CO225" s="13" t="str">
        <f t="shared" si="3408"/>
        <v>InitUnitNormal('IF19',,,,,,,,,,)</v>
      </c>
      <c r="CP225" s="13" t="str">
        <f t="shared" si="3409"/>
        <v>InitUnitMagic('IF19',,,,,,,,,,)</v>
      </c>
      <c r="CQ225" s="13" t="str">
        <f t="shared" si="3410"/>
        <v>InitUnitAdd('IF19',,,,,,,,,,)</v>
      </c>
      <c r="CR225" s="13" t="str">
        <f t="shared" si="3411"/>
        <v>InitEquipData('IF19',,"",,,,,'','','','','','',"")</v>
      </c>
      <c r="CU225" s="68" t="str">
        <f t="shared" si="3412"/>
        <v>|n</v>
      </c>
      <c r="CW225" s="7"/>
      <c r="CX225" s="7"/>
      <c r="CY225" s="7"/>
      <c r="CZ225" s="7"/>
      <c r="DA225" s="7"/>
      <c r="DB225" s="44" t="str">
        <f t="shared" si="3413"/>
        <v/>
      </c>
      <c r="DC225" s="44" t="str">
        <f t="shared" si="3414"/>
        <v/>
      </c>
      <c r="DD225" s="44" t="str">
        <f t="shared" si="3415"/>
        <v/>
      </c>
      <c r="DE225" s="44" t="str">
        <f t="shared" si="3416"/>
        <v/>
      </c>
      <c r="DF225" s="44" t="str">
        <f t="shared" si="3417"/>
        <v/>
      </c>
      <c r="DG225" s="44" t="str">
        <f t="shared" si="3418"/>
        <v/>
      </c>
      <c r="DH225" s="44" t="str">
        <f t="shared" si="3419"/>
        <v/>
      </c>
      <c r="DI225" s="44" t="str">
        <f t="shared" si="3420"/>
        <v/>
      </c>
      <c r="DJ225" s="44" t="str">
        <f t="shared" si="3421"/>
        <v/>
      </c>
      <c r="DK225" s="44" t="str">
        <f t="shared" si="3422"/>
        <v/>
      </c>
      <c r="DL225" s="44" t="str">
        <f t="shared" si="3423"/>
        <v/>
      </c>
      <c r="DM225" s="44" t="str">
        <f t="shared" si="3424"/>
        <v/>
      </c>
      <c r="DN225" s="44" t="str">
        <f t="shared" si="3425"/>
        <v/>
      </c>
      <c r="DO225" s="44" t="str">
        <f t="shared" si="3426"/>
        <v/>
      </c>
      <c r="DP225" s="44" t="str">
        <f t="shared" si="3427"/>
        <v/>
      </c>
      <c r="DQ225" s="44" t="str">
        <f t="shared" si="3428"/>
        <v/>
      </c>
      <c r="DR225" s="44" t="str">
        <f t="shared" si="3429"/>
        <v/>
      </c>
      <c r="DS225" s="44" t="str">
        <f t="shared" si="3430"/>
        <v/>
      </c>
      <c r="DT225" s="44" t="str">
        <f t="shared" si="3431"/>
        <v/>
      </c>
      <c r="DU225" s="44" t="str">
        <f t="shared" si="3432"/>
        <v/>
      </c>
      <c r="DV225" s="44" t="str">
        <f t="shared" si="3433"/>
        <v/>
      </c>
      <c r="DW225" s="44" t="str">
        <f t="shared" si="3434"/>
        <v/>
      </c>
      <c r="DX225" s="44" t="str">
        <f t="shared" si="3435"/>
        <v/>
      </c>
      <c r="DY225" s="44" t="str">
        <f t="shared" si="3436"/>
        <v/>
      </c>
      <c r="DZ225" s="44" t="str">
        <f t="shared" si="3437"/>
        <v/>
      </c>
      <c r="EA225" s="44" t="str">
        <f t="shared" si="3438"/>
        <v/>
      </c>
      <c r="EB225" s="44" t="str">
        <f t="shared" si="3439"/>
        <v/>
      </c>
      <c r="EC225" s="44" t="str">
        <f t="shared" si="3440"/>
        <v/>
      </c>
      <c r="ED225" s="44" t="str">
        <f t="shared" si="3441"/>
        <v/>
      </c>
      <c r="EE225" s="44" t="str">
        <f t="shared" si="3442"/>
        <v/>
      </c>
      <c r="EF225" s="44" t="str">
        <f t="shared" si="3443"/>
        <v/>
      </c>
      <c r="EG225" s="44" t="str">
        <f t="shared" si="3444"/>
        <v/>
      </c>
      <c r="EH225" s="44" t="str">
        <f t="shared" si="3445"/>
        <v/>
      </c>
      <c r="EI225" s="44" t="str">
        <f t="shared" si="3446"/>
        <v/>
      </c>
      <c r="EJ225" s="44" t="str">
        <f t="shared" si="3447"/>
        <v/>
      </c>
      <c r="EK225" s="44" t="str">
        <f t="shared" si="3448"/>
        <v/>
      </c>
      <c r="EL225" s="44" t="str">
        <f t="shared" si="3449"/>
        <v/>
      </c>
      <c r="EM225" s="44" t="str">
        <f t="shared" si="3450"/>
        <v/>
      </c>
      <c r="EN225" s="44" t="str">
        <f t="shared" si="3451"/>
        <v/>
      </c>
      <c r="EO225" s="44" t="str">
        <f t="shared" si="3452"/>
        <v/>
      </c>
      <c r="EP225" s="44" t="str">
        <f t="shared" si="3453"/>
        <v/>
      </c>
      <c r="EQ225" s="44" t="str">
        <f t="shared" si="3454"/>
        <v/>
      </c>
      <c r="ER225" s="44" t="str">
        <f t="shared" si="3455"/>
        <v/>
      </c>
      <c r="ES225" s="44" t="str">
        <f t="shared" si="3456"/>
        <v/>
      </c>
      <c r="ET225" s="44" t="str">
        <f t="shared" si="3457"/>
        <v/>
      </c>
      <c r="EU225" s="44" t="str">
        <f t="shared" si="3458"/>
        <v/>
      </c>
      <c r="EV225" s="44" t="str">
        <f t="shared" si="3459"/>
        <v/>
      </c>
      <c r="EW225" s="44" t="str">
        <f t="shared" si="3460"/>
        <v/>
      </c>
      <c r="EX225" s="44" t="str">
        <f t="shared" si="3461"/>
        <v/>
      </c>
      <c r="EY225" s="44" t="str">
        <f t="shared" si="3462"/>
        <v/>
      </c>
      <c r="EZ225" s="44" t="str">
        <f t="shared" si="3463"/>
        <v/>
      </c>
      <c r="FA225" s="44" t="str">
        <f t="shared" si="3464"/>
        <v/>
      </c>
      <c r="FB225" s="44" t="str">
        <f t="shared" si="3465"/>
        <v/>
      </c>
      <c r="FC225" s="44" t="str">
        <f t="shared" si="3466"/>
        <v/>
      </c>
      <c r="FD225" s="44" t="str">
        <f t="shared" si="3467"/>
        <v/>
      </c>
      <c r="FE225" s="44" t="str">
        <f t="shared" si="3468"/>
        <v/>
      </c>
      <c r="FF225" s="44" t="str">
        <f t="shared" si="3469"/>
        <v/>
      </c>
      <c r="FG225" s="44" t="str">
        <f t="shared" si="3470"/>
        <v/>
      </c>
      <c r="FH225" s="44" t="str">
        <f t="shared" si="3471"/>
        <v/>
      </c>
      <c r="FI225" s="44" t="str">
        <f t="shared" si="3472"/>
        <v/>
      </c>
      <c r="FJ225" s="44" t="str">
        <f t="shared" si="3473"/>
        <v/>
      </c>
      <c r="FK225" s="44" t="str">
        <f t="shared" si="3474"/>
        <v/>
      </c>
      <c r="FL225" s="44" t="str">
        <f t="shared" si="3475"/>
        <v/>
      </c>
      <c r="FM225" s="44" t="str">
        <f t="shared" si="3476"/>
        <v/>
      </c>
      <c r="FN225" s="44" t="str">
        <f t="shared" si="3477"/>
        <v/>
      </c>
      <c r="FO225" s="44" t="str">
        <f t="shared" si="3478"/>
        <v/>
      </c>
      <c r="FP225" s="44" t="str">
        <f t="shared" si="3479"/>
        <v/>
      </c>
      <c r="FQ225" s="44" t="str">
        <f t="shared" si="3480"/>
        <v/>
      </c>
      <c r="FR225" s="44" t="str">
        <f t="shared" si="3481"/>
        <v/>
      </c>
      <c r="FS225" s="44" t="str">
        <f t="shared" si="3482"/>
        <v/>
      </c>
    </row>
    <row r="226" spans="1:175" ht="16.5">
      <c r="A226" s="104"/>
      <c r="B226" s="8" t="s">
        <v>737</v>
      </c>
      <c r="C226" s="37" t="s">
        <v>718</v>
      </c>
      <c r="T226" s="113"/>
      <c r="U226" s="56"/>
      <c r="CN226" s="13" t="str">
        <f t="shared" si="3407"/>
        <v>InitUnitState('IF20',,,,,,,,,,)</v>
      </c>
      <c r="CO226" s="13" t="str">
        <f t="shared" si="3408"/>
        <v>InitUnitNormal('IF20',,,,,,,,,,)</v>
      </c>
      <c r="CP226" s="13" t="str">
        <f t="shared" si="3409"/>
        <v>InitUnitMagic('IF20',,,,,,,,,,)</v>
      </c>
      <c r="CQ226" s="13" t="str">
        <f t="shared" si="3410"/>
        <v>InitUnitAdd('IF20',,,,,,,,,,)</v>
      </c>
      <c r="CR226" s="13" t="str">
        <f t="shared" si="3411"/>
        <v>InitEquipData('IF20',,"",,,,,'','','','','','',"")</v>
      </c>
      <c r="CU226" s="68" t="str">
        <f t="shared" si="3412"/>
        <v>|n</v>
      </c>
      <c r="CW226" s="7"/>
      <c r="CX226" s="7"/>
      <c r="CY226" s="7"/>
      <c r="CZ226" s="7"/>
      <c r="DA226" s="7"/>
      <c r="DB226" s="44" t="str">
        <f t="shared" si="3413"/>
        <v/>
      </c>
      <c r="DC226" s="44" t="str">
        <f t="shared" si="3414"/>
        <v/>
      </c>
      <c r="DD226" s="44" t="str">
        <f t="shared" si="3415"/>
        <v/>
      </c>
      <c r="DE226" s="44" t="str">
        <f t="shared" si="3416"/>
        <v/>
      </c>
      <c r="DF226" s="44" t="str">
        <f t="shared" si="3417"/>
        <v/>
      </c>
      <c r="DG226" s="44" t="str">
        <f t="shared" si="3418"/>
        <v/>
      </c>
      <c r="DH226" s="44" t="str">
        <f t="shared" si="3419"/>
        <v/>
      </c>
      <c r="DI226" s="44" t="str">
        <f t="shared" si="3420"/>
        <v/>
      </c>
      <c r="DJ226" s="44" t="str">
        <f t="shared" si="3421"/>
        <v/>
      </c>
      <c r="DK226" s="44" t="str">
        <f t="shared" si="3422"/>
        <v/>
      </c>
      <c r="DL226" s="44" t="str">
        <f t="shared" si="3423"/>
        <v/>
      </c>
      <c r="DM226" s="44" t="str">
        <f t="shared" si="3424"/>
        <v/>
      </c>
      <c r="DN226" s="44" t="str">
        <f t="shared" si="3425"/>
        <v/>
      </c>
      <c r="DO226" s="44" t="str">
        <f t="shared" si="3426"/>
        <v/>
      </c>
      <c r="DP226" s="44" t="str">
        <f t="shared" si="3427"/>
        <v/>
      </c>
      <c r="DQ226" s="44" t="str">
        <f t="shared" si="3428"/>
        <v/>
      </c>
      <c r="DR226" s="44" t="str">
        <f t="shared" si="3429"/>
        <v/>
      </c>
      <c r="DS226" s="44" t="str">
        <f t="shared" si="3430"/>
        <v/>
      </c>
      <c r="DT226" s="44" t="str">
        <f t="shared" si="3431"/>
        <v/>
      </c>
      <c r="DU226" s="44" t="str">
        <f t="shared" si="3432"/>
        <v/>
      </c>
      <c r="DV226" s="44" t="str">
        <f t="shared" si="3433"/>
        <v/>
      </c>
      <c r="DW226" s="44" t="str">
        <f t="shared" si="3434"/>
        <v/>
      </c>
      <c r="DX226" s="44" t="str">
        <f t="shared" si="3435"/>
        <v/>
      </c>
      <c r="DY226" s="44" t="str">
        <f t="shared" si="3436"/>
        <v/>
      </c>
      <c r="DZ226" s="44" t="str">
        <f t="shared" si="3437"/>
        <v/>
      </c>
      <c r="EA226" s="44" t="str">
        <f t="shared" si="3438"/>
        <v/>
      </c>
      <c r="EB226" s="44" t="str">
        <f t="shared" si="3439"/>
        <v/>
      </c>
      <c r="EC226" s="44" t="str">
        <f t="shared" si="3440"/>
        <v/>
      </c>
      <c r="ED226" s="44" t="str">
        <f t="shared" si="3441"/>
        <v/>
      </c>
      <c r="EE226" s="44" t="str">
        <f t="shared" si="3442"/>
        <v/>
      </c>
      <c r="EF226" s="44" t="str">
        <f t="shared" si="3443"/>
        <v/>
      </c>
      <c r="EG226" s="44" t="str">
        <f t="shared" si="3444"/>
        <v/>
      </c>
      <c r="EH226" s="44" t="str">
        <f t="shared" si="3445"/>
        <v/>
      </c>
      <c r="EI226" s="44" t="str">
        <f t="shared" si="3446"/>
        <v/>
      </c>
      <c r="EJ226" s="44" t="str">
        <f t="shared" si="3447"/>
        <v/>
      </c>
      <c r="EK226" s="44" t="str">
        <f t="shared" si="3448"/>
        <v/>
      </c>
      <c r="EL226" s="44" t="str">
        <f t="shared" si="3449"/>
        <v/>
      </c>
      <c r="EM226" s="44" t="str">
        <f t="shared" si="3450"/>
        <v/>
      </c>
      <c r="EN226" s="44" t="str">
        <f t="shared" si="3451"/>
        <v/>
      </c>
      <c r="EO226" s="44" t="str">
        <f t="shared" si="3452"/>
        <v/>
      </c>
      <c r="EP226" s="44" t="str">
        <f t="shared" si="3453"/>
        <v/>
      </c>
      <c r="EQ226" s="44" t="str">
        <f t="shared" si="3454"/>
        <v/>
      </c>
      <c r="ER226" s="44" t="str">
        <f t="shared" si="3455"/>
        <v/>
      </c>
      <c r="ES226" s="44" t="str">
        <f t="shared" si="3456"/>
        <v/>
      </c>
      <c r="ET226" s="44" t="str">
        <f t="shared" si="3457"/>
        <v/>
      </c>
      <c r="EU226" s="44" t="str">
        <f t="shared" si="3458"/>
        <v/>
      </c>
      <c r="EV226" s="44" t="str">
        <f t="shared" si="3459"/>
        <v/>
      </c>
      <c r="EW226" s="44" t="str">
        <f t="shared" si="3460"/>
        <v/>
      </c>
      <c r="EX226" s="44" t="str">
        <f t="shared" si="3461"/>
        <v/>
      </c>
      <c r="EY226" s="44" t="str">
        <f t="shared" si="3462"/>
        <v/>
      </c>
      <c r="EZ226" s="44" t="str">
        <f t="shared" si="3463"/>
        <v/>
      </c>
      <c r="FA226" s="44" t="str">
        <f t="shared" si="3464"/>
        <v/>
      </c>
      <c r="FB226" s="44" t="str">
        <f t="shared" si="3465"/>
        <v/>
      </c>
      <c r="FC226" s="44" t="str">
        <f t="shared" si="3466"/>
        <v/>
      </c>
      <c r="FD226" s="44" t="str">
        <f t="shared" si="3467"/>
        <v/>
      </c>
      <c r="FE226" s="44" t="str">
        <f t="shared" si="3468"/>
        <v/>
      </c>
      <c r="FF226" s="44" t="str">
        <f t="shared" si="3469"/>
        <v/>
      </c>
      <c r="FG226" s="44" t="str">
        <f t="shared" si="3470"/>
        <v/>
      </c>
      <c r="FH226" s="44" t="str">
        <f t="shared" si="3471"/>
        <v/>
      </c>
      <c r="FI226" s="44" t="str">
        <f t="shared" si="3472"/>
        <v/>
      </c>
      <c r="FJ226" s="44" t="str">
        <f t="shared" si="3473"/>
        <v/>
      </c>
      <c r="FK226" s="44" t="str">
        <f t="shared" si="3474"/>
        <v/>
      </c>
      <c r="FL226" s="44" t="str">
        <f t="shared" si="3475"/>
        <v/>
      </c>
      <c r="FM226" s="44" t="str">
        <f t="shared" si="3476"/>
        <v/>
      </c>
      <c r="FN226" s="44" t="str">
        <f t="shared" si="3477"/>
        <v/>
      </c>
      <c r="FO226" s="44" t="str">
        <f t="shared" si="3478"/>
        <v/>
      </c>
      <c r="FP226" s="44" t="str">
        <f t="shared" si="3479"/>
        <v/>
      </c>
      <c r="FQ226" s="44" t="str">
        <f t="shared" si="3480"/>
        <v/>
      </c>
      <c r="FR226" s="44" t="str">
        <f t="shared" si="3481"/>
        <v/>
      </c>
      <c r="FS226" s="44" t="str">
        <f t="shared" si="3482"/>
        <v/>
      </c>
    </row>
    <row r="227" spans="1:175">
      <c r="A227" s="8"/>
      <c r="B227" s="8" t="s">
        <v>738</v>
      </c>
      <c r="C227" s="37" t="s">
        <v>718</v>
      </c>
      <c r="T227" s="114"/>
      <c r="U227" s="56"/>
      <c r="CN227" s="13" t="str">
        <f t="shared" si="3407"/>
        <v>InitUnitState('IF21',,,,,,,,,,)</v>
      </c>
      <c r="CO227" s="13" t="str">
        <f t="shared" si="3408"/>
        <v>InitUnitNormal('IF21',,,,,,,,,,)</v>
      </c>
      <c r="CP227" s="13" t="str">
        <f t="shared" si="3409"/>
        <v>InitUnitMagic('IF21',,,,,,,,,,)</v>
      </c>
      <c r="CQ227" s="13" t="str">
        <f t="shared" si="3410"/>
        <v>InitUnitAdd('IF21',,,,,,,,,,)</v>
      </c>
      <c r="CR227" s="13" t="str">
        <f t="shared" si="3411"/>
        <v>InitEquipData('IF21',,"",,,,,'','','','','','',"")</v>
      </c>
      <c r="CU227" s="68" t="str">
        <f t="shared" si="3412"/>
        <v>|n</v>
      </c>
      <c r="CW227" s="7"/>
      <c r="CX227" s="7"/>
      <c r="CY227" s="7"/>
      <c r="CZ227" s="7"/>
      <c r="DA227" s="7"/>
      <c r="DB227" s="44" t="str">
        <f t="shared" si="3413"/>
        <v/>
      </c>
      <c r="DC227" s="44" t="str">
        <f t="shared" si="3414"/>
        <v/>
      </c>
      <c r="DD227" s="44" t="str">
        <f t="shared" si="3415"/>
        <v/>
      </c>
      <c r="DE227" s="44" t="str">
        <f t="shared" si="3416"/>
        <v/>
      </c>
      <c r="DF227" s="44" t="str">
        <f t="shared" si="3417"/>
        <v/>
      </c>
      <c r="DG227" s="44" t="str">
        <f t="shared" si="3418"/>
        <v/>
      </c>
      <c r="DH227" s="44" t="str">
        <f t="shared" si="3419"/>
        <v/>
      </c>
      <c r="DI227" s="44" t="str">
        <f t="shared" si="3420"/>
        <v/>
      </c>
      <c r="DJ227" s="44" t="str">
        <f t="shared" si="3421"/>
        <v/>
      </c>
      <c r="DK227" s="44" t="str">
        <f t="shared" si="3422"/>
        <v/>
      </c>
      <c r="DL227" s="44" t="str">
        <f t="shared" si="3423"/>
        <v/>
      </c>
      <c r="DM227" s="44" t="str">
        <f t="shared" si="3424"/>
        <v/>
      </c>
      <c r="DN227" s="44" t="str">
        <f t="shared" si="3425"/>
        <v/>
      </c>
      <c r="DO227" s="44" t="str">
        <f t="shared" si="3426"/>
        <v/>
      </c>
      <c r="DP227" s="44" t="str">
        <f t="shared" si="3427"/>
        <v/>
      </c>
      <c r="DQ227" s="44" t="str">
        <f t="shared" si="3428"/>
        <v/>
      </c>
      <c r="DR227" s="44" t="str">
        <f t="shared" si="3429"/>
        <v/>
      </c>
      <c r="DS227" s="44" t="str">
        <f t="shared" si="3430"/>
        <v/>
      </c>
      <c r="DT227" s="44" t="str">
        <f t="shared" si="3431"/>
        <v/>
      </c>
      <c r="DU227" s="44" t="str">
        <f t="shared" si="3432"/>
        <v/>
      </c>
      <c r="DV227" s="44" t="str">
        <f t="shared" si="3433"/>
        <v/>
      </c>
      <c r="DW227" s="44" t="str">
        <f t="shared" si="3434"/>
        <v/>
      </c>
      <c r="DX227" s="44" t="str">
        <f t="shared" si="3435"/>
        <v/>
      </c>
      <c r="DY227" s="44" t="str">
        <f t="shared" si="3436"/>
        <v/>
      </c>
      <c r="DZ227" s="44" t="str">
        <f t="shared" si="3437"/>
        <v/>
      </c>
      <c r="EA227" s="44" t="str">
        <f t="shared" si="3438"/>
        <v/>
      </c>
      <c r="EB227" s="44" t="str">
        <f t="shared" si="3439"/>
        <v/>
      </c>
      <c r="EC227" s="44" t="str">
        <f t="shared" si="3440"/>
        <v/>
      </c>
      <c r="ED227" s="44" t="str">
        <f t="shared" si="3441"/>
        <v/>
      </c>
      <c r="EE227" s="44" t="str">
        <f t="shared" si="3442"/>
        <v/>
      </c>
      <c r="EF227" s="44" t="str">
        <f t="shared" si="3443"/>
        <v/>
      </c>
      <c r="EG227" s="44" t="str">
        <f t="shared" si="3444"/>
        <v/>
      </c>
      <c r="EH227" s="44" t="str">
        <f t="shared" si="3445"/>
        <v/>
      </c>
      <c r="EI227" s="44" t="str">
        <f t="shared" si="3446"/>
        <v/>
      </c>
      <c r="EJ227" s="44" t="str">
        <f t="shared" si="3447"/>
        <v/>
      </c>
      <c r="EK227" s="44" t="str">
        <f t="shared" si="3448"/>
        <v/>
      </c>
      <c r="EL227" s="44" t="str">
        <f t="shared" si="3449"/>
        <v/>
      </c>
      <c r="EM227" s="44" t="str">
        <f t="shared" si="3450"/>
        <v/>
      </c>
      <c r="EN227" s="44" t="str">
        <f t="shared" si="3451"/>
        <v/>
      </c>
      <c r="EO227" s="44" t="str">
        <f t="shared" si="3452"/>
        <v/>
      </c>
      <c r="EP227" s="44" t="str">
        <f t="shared" si="3453"/>
        <v/>
      </c>
      <c r="EQ227" s="44" t="str">
        <f t="shared" si="3454"/>
        <v/>
      </c>
      <c r="ER227" s="44" t="str">
        <f t="shared" si="3455"/>
        <v/>
      </c>
      <c r="ES227" s="44" t="str">
        <f t="shared" si="3456"/>
        <v/>
      </c>
      <c r="ET227" s="44" t="str">
        <f t="shared" si="3457"/>
        <v/>
      </c>
      <c r="EU227" s="44" t="str">
        <f t="shared" si="3458"/>
        <v/>
      </c>
      <c r="EV227" s="44" t="str">
        <f t="shared" si="3459"/>
        <v/>
      </c>
      <c r="EW227" s="44" t="str">
        <f t="shared" si="3460"/>
        <v/>
      </c>
      <c r="EX227" s="44" t="str">
        <f t="shared" si="3461"/>
        <v/>
      </c>
      <c r="EY227" s="44" t="str">
        <f t="shared" si="3462"/>
        <v/>
      </c>
      <c r="EZ227" s="44" t="str">
        <f t="shared" si="3463"/>
        <v/>
      </c>
      <c r="FA227" s="44" t="str">
        <f t="shared" si="3464"/>
        <v/>
      </c>
      <c r="FB227" s="44" t="str">
        <f t="shared" si="3465"/>
        <v/>
      </c>
      <c r="FC227" s="44" t="str">
        <f t="shared" si="3466"/>
        <v/>
      </c>
      <c r="FD227" s="44" t="str">
        <f t="shared" si="3467"/>
        <v/>
      </c>
      <c r="FE227" s="44" t="str">
        <f t="shared" si="3468"/>
        <v/>
      </c>
      <c r="FF227" s="44" t="str">
        <f t="shared" si="3469"/>
        <v/>
      </c>
      <c r="FG227" s="44" t="str">
        <f t="shared" si="3470"/>
        <v/>
      </c>
      <c r="FH227" s="44" t="str">
        <f t="shared" si="3471"/>
        <v/>
      </c>
      <c r="FI227" s="44" t="str">
        <f t="shared" si="3472"/>
        <v/>
      </c>
      <c r="FJ227" s="44" t="str">
        <f t="shared" si="3473"/>
        <v/>
      </c>
      <c r="FK227" s="44" t="str">
        <f t="shared" si="3474"/>
        <v/>
      </c>
      <c r="FL227" s="44" t="str">
        <f t="shared" si="3475"/>
        <v/>
      </c>
      <c r="FM227" s="44" t="str">
        <f t="shared" si="3476"/>
        <v/>
      </c>
      <c r="FN227" s="44" t="str">
        <f t="shared" si="3477"/>
        <v/>
      </c>
      <c r="FO227" s="44" t="str">
        <f t="shared" si="3478"/>
        <v/>
      </c>
      <c r="FP227" s="44" t="str">
        <f t="shared" si="3479"/>
        <v/>
      </c>
      <c r="FQ227" s="44" t="str">
        <f t="shared" si="3480"/>
        <v/>
      </c>
      <c r="FR227" s="44" t="str">
        <f t="shared" si="3481"/>
        <v/>
      </c>
      <c r="FS227" s="44" t="str">
        <f t="shared" si="3482"/>
        <v/>
      </c>
    </row>
    <row r="228" spans="1:175">
      <c r="A228" s="8"/>
      <c r="B228" s="8" t="s">
        <v>739</v>
      </c>
      <c r="C228" s="37" t="s">
        <v>718</v>
      </c>
      <c r="T228" s="114"/>
      <c r="U228" s="56"/>
      <c r="CN228" s="13" t="str">
        <f t="shared" si="3407"/>
        <v>InitUnitState('IF22',,,,,,,,,,)</v>
      </c>
      <c r="CO228" s="13" t="str">
        <f t="shared" si="3408"/>
        <v>InitUnitNormal('IF22',,,,,,,,,,)</v>
      </c>
      <c r="CP228" s="13" t="str">
        <f t="shared" si="3409"/>
        <v>InitUnitMagic('IF22',,,,,,,,,,)</v>
      </c>
      <c r="CQ228" s="13" t="str">
        <f t="shared" si="3410"/>
        <v>InitUnitAdd('IF22',,,,,,,,,,)</v>
      </c>
      <c r="CR228" s="13" t="str">
        <f t="shared" si="3411"/>
        <v>InitEquipData('IF22',,"",,,,,'','','','','','',"")</v>
      </c>
      <c r="CU228" s="68" t="str">
        <f t="shared" si="3412"/>
        <v>|n</v>
      </c>
      <c r="CW228" s="7"/>
      <c r="CX228" s="7"/>
      <c r="CY228" s="7"/>
      <c r="CZ228" s="7"/>
      <c r="DA228" s="7"/>
      <c r="DB228" s="44" t="str">
        <f t="shared" si="3413"/>
        <v/>
      </c>
      <c r="DC228" s="44" t="str">
        <f t="shared" si="3414"/>
        <v/>
      </c>
      <c r="DD228" s="44" t="str">
        <f t="shared" si="3415"/>
        <v/>
      </c>
      <c r="DE228" s="44" t="str">
        <f t="shared" si="3416"/>
        <v/>
      </c>
      <c r="DF228" s="44" t="str">
        <f t="shared" si="3417"/>
        <v/>
      </c>
      <c r="DG228" s="44" t="str">
        <f t="shared" si="3418"/>
        <v/>
      </c>
      <c r="DH228" s="44" t="str">
        <f t="shared" si="3419"/>
        <v/>
      </c>
      <c r="DI228" s="44" t="str">
        <f t="shared" si="3420"/>
        <v/>
      </c>
      <c r="DJ228" s="44" t="str">
        <f t="shared" si="3421"/>
        <v/>
      </c>
      <c r="DK228" s="44" t="str">
        <f t="shared" si="3422"/>
        <v/>
      </c>
      <c r="DL228" s="44" t="str">
        <f t="shared" si="3423"/>
        <v/>
      </c>
      <c r="DM228" s="44" t="str">
        <f t="shared" si="3424"/>
        <v/>
      </c>
      <c r="DN228" s="44" t="str">
        <f t="shared" si="3425"/>
        <v/>
      </c>
      <c r="DO228" s="44" t="str">
        <f t="shared" si="3426"/>
        <v/>
      </c>
      <c r="DP228" s="44" t="str">
        <f t="shared" si="3427"/>
        <v/>
      </c>
      <c r="DQ228" s="44" t="str">
        <f t="shared" si="3428"/>
        <v/>
      </c>
      <c r="DR228" s="44" t="str">
        <f t="shared" si="3429"/>
        <v/>
      </c>
      <c r="DS228" s="44" t="str">
        <f t="shared" si="3430"/>
        <v/>
      </c>
      <c r="DT228" s="44" t="str">
        <f t="shared" si="3431"/>
        <v/>
      </c>
      <c r="DU228" s="44" t="str">
        <f t="shared" si="3432"/>
        <v/>
      </c>
      <c r="DV228" s="44" t="str">
        <f t="shared" si="3433"/>
        <v/>
      </c>
      <c r="DW228" s="44" t="str">
        <f t="shared" si="3434"/>
        <v/>
      </c>
      <c r="DX228" s="44" t="str">
        <f t="shared" si="3435"/>
        <v/>
      </c>
      <c r="DY228" s="44" t="str">
        <f t="shared" si="3436"/>
        <v/>
      </c>
      <c r="DZ228" s="44" t="str">
        <f t="shared" si="3437"/>
        <v/>
      </c>
      <c r="EA228" s="44" t="str">
        <f t="shared" si="3438"/>
        <v/>
      </c>
      <c r="EB228" s="44" t="str">
        <f t="shared" si="3439"/>
        <v/>
      </c>
      <c r="EC228" s="44" t="str">
        <f t="shared" si="3440"/>
        <v/>
      </c>
      <c r="ED228" s="44" t="str">
        <f t="shared" si="3441"/>
        <v/>
      </c>
      <c r="EE228" s="44" t="str">
        <f t="shared" si="3442"/>
        <v/>
      </c>
      <c r="EF228" s="44" t="str">
        <f t="shared" si="3443"/>
        <v/>
      </c>
      <c r="EG228" s="44" t="str">
        <f t="shared" si="3444"/>
        <v/>
      </c>
      <c r="EH228" s="44" t="str">
        <f t="shared" si="3445"/>
        <v/>
      </c>
      <c r="EI228" s="44" t="str">
        <f t="shared" si="3446"/>
        <v/>
      </c>
      <c r="EJ228" s="44" t="str">
        <f t="shared" si="3447"/>
        <v/>
      </c>
      <c r="EK228" s="44" t="str">
        <f t="shared" si="3448"/>
        <v/>
      </c>
      <c r="EL228" s="44" t="str">
        <f t="shared" si="3449"/>
        <v/>
      </c>
      <c r="EM228" s="44" t="str">
        <f t="shared" si="3450"/>
        <v/>
      </c>
      <c r="EN228" s="44" t="str">
        <f t="shared" si="3451"/>
        <v/>
      </c>
      <c r="EO228" s="44" t="str">
        <f t="shared" si="3452"/>
        <v/>
      </c>
      <c r="EP228" s="44" t="str">
        <f t="shared" si="3453"/>
        <v/>
      </c>
      <c r="EQ228" s="44" t="str">
        <f t="shared" si="3454"/>
        <v/>
      </c>
      <c r="ER228" s="44" t="str">
        <f t="shared" si="3455"/>
        <v/>
      </c>
      <c r="ES228" s="44" t="str">
        <f t="shared" si="3456"/>
        <v/>
      </c>
      <c r="ET228" s="44" t="str">
        <f t="shared" si="3457"/>
        <v/>
      </c>
      <c r="EU228" s="44" t="str">
        <f t="shared" si="3458"/>
        <v/>
      </c>
      <c r="EV228" s="44" t="str">
        <f t="shared" si="3459"/>
        <v/>
      </c>
      <c r="EW228" s="44" t="str">
        <f t="shared" si="3460"/>
        <v/>
      </c>
      <c r="EX228" s="44" t="str">
        <f t="shared" si="3461"/>
        <v/>
      </c>
      <c r="EY228" s="44" t="str">
        <f t="shared" si="3462"/>
        <v/>
      </c>
      <c r="EZ228" s="44" t="str">
        <f t="shared" si="3463"/>
        <v/>
      </c>
      <c r="FA228" s="44" t="str">
        <f t="shared" si="3464"/>
        <v/>
      </c>
      <c r="FB228" s="44" t="str">
        <f t="shared" si="3465"/>
        <v/>
      </c>
      <c r="FC228" s="44" t="str">
        <f t="shared" si="3466"/>
        <v/>
      </c>
      <c r="FD228" s="44" t="str">
        <f t="shared" si="3467"/>
        <v/>
      </c>
      <c r="FE228" s="44" t="str">
        <f t="shared" si="3468"/>
        <v/>
      </c>
      <c r="FF228" s="44" t="str">
        <f t="shared" si="3469"/>
        <v/>
      </c>
      <c r="FG228" s="44" t="str">
        <f t="shared" si="3470"/>
        <v/>
      </c>
      <c r="FH228" s="44" t="str">
        <f t="shared" si="3471"/>
        <v/>
      </c>
      <c r="FI228" s="44" t="str">
        <f t="shared" si="3472"/>
        <v/>
      </c>
      <c r="FJ228" s="44" t="str">
        <f t="shared" si="3473"/>
        <v/>
      </c>
      <c r="FK228" s="44" t="str">
        <f t="shared" si="3474"/>
        <v/>
      </c>
      <c r="FL228" s="44" t="str">
        <f t="shared" si="3475"/>
        <v/>
      </c>
      <c r="FM228" s="44" t="str">
        <f t="shared" si="3476"/>
        <v/>
      </c>
      <c r="FN228" s="44" t="str">
        <f t="shared" si="3477"/>
        <v/>
      </c>
      <c r="FO228" s="44" t="str">
        <f t="shared" si="3478"/>
        <v/>
      </c>
      <c r="FP228" s="44" t="str">
        <f t="shared" si="3479"/>
        <v/>
      </c>
      <c r="FQ228" s="44" t="str">
        <f t="shared" si="3480"/>
        <v/>
      </c>
      <c r="FR228" s="44" t="str">
        <f t="shared" si="3481"/>
        <v/>
      </c>
      <c r="FS228" s="44" t="str">
        <f t="shared" si="3482"/>
        <v/>
      </c>
    </row>
    <row r="229" spans="1:175">
      <c r="A229" s="8"/>
      <c r="B229" s="8" t="s">
        <v>740</v>
      </c>
      <c r="C229" s="37" t="s">
        <v>718</v>
      </c>
      <c r="T229" s="114"/>
      <c r="U229" s="56"/>
      <c r="CN229" s="13" t="str">
        <f t="shared" si="3407"/>
        <v>InitUnitState('IF23',,,,,,,,,,)</v>
      </c>
      <c r="CO229" s="13" t="str">
        <f t="shared" si="3408"/>
        <v>InitUnitNormal('IF23',,,,,,,,,,)</v>
      </c>
      <c r="CP229" s="13" t="str">
        <f t="shared" si="3409"/>
        <v>InitUnitMagic('IF23',,,,,,,,,,)</v>
      </c>
      <c r="CQ229" s="13" t="str">
        <f t="shared" si="3410"/>
        <v>InitUnitAdd('IF23',,,,,,,,,,)</v>
      </c>
      <c r="CR229" s="13" t="str">
        <f t="shared" si="3411"/>
        <v>InitEquipData('IF23',,"",,,,,'','','','','','',"")</v>
      </c>
      <c r="CU229" s="68" t="str">
        <f t="shared" si="3412"/>
        <v>|n</v>
      </c>
      <c r="CW229" s="7"/>
      <c r="CX229" s="7"/>
      <c r="CY229" s="7"/>
      <c r="CZ229" s="7"/>
      <c r="DA229" s="7"/>
      <c r="DB229" s="44" t="str">
        <f t="shared" si="3413"/>
        <v/>
      </c>
      <c r="DC229" s="44" t="str">
        <f t="shared" si="3414"/>
        <v/>
      </c>
      <c r="DD229" s="44" t="str">
        <f t="shared" si="3415"/>
        <v/>
      </c>
      <c r="DE229" s="44" t="str">
        <f t="shared" si="3416"/>
        <v/>
      </c>
      <c r="DF229" s="44" t="str">
        <f t="shared" si="3417"/>
        <v/>
      </c>
      <c r="DG229" s="44" t="str">
        <f t="shared" si="3418"/>
        <v/>
      </c>
      <c r="DH229" s="44" t="str">
        <f t="shared" si="3419"/>
        <v/>
      </c>
      <c r="DI229" s="44" t="str">
        <f t="shared" si="3420"/>
        <v/>
      </c>
      <c r="DJ229" s="44" t="str">
        <f t="shared" si="3421"/>
        <v/>
      </c>
      <c r="DK229" s="44" t="str">
        <f t="shared" si="3422"/>
        <v/>
      </c>
      <c r="DL229" s="44" t="str">
        <f t="shared" si="3423"/>
        <v/>
      </c>
      <c r="DM229" s="44" t="str">
        <f t="shared" si="3424"/>
        <v/>
      </c>
      <c r="DN229" s="44" t="str">
        <f t="shared" si="3425"/>
        <v/>
      </c>
      <c r="DO229" s="44" t="str">
        <f t="shared" si="3426"/>
        <v/>
      </c>
      <c r="DP229" s="44" t="str">
        <f t="shared" si="3427"/>
        <v/>
      </c>
      <c r="DQ229" s="44" t="str">
        <f t="shared" si="3428"/>
        <v/>
      </c>
      <c r="DR229" s="44" t="str">
        <f t="shared" si="3429"/>
        <v/>
      </c>
      <c r="DS229" s="44" t="str">
        <f t="shared" si="3430"/>
        <v/>
      </c>
      <c r="DT229" s="44" t="str">
        <f t="shared" si="3431"/>
        <v/>
      </c>
      <c r="DU229" s="44" t="str">
        <f t="shared" si="3432"/>
        <v/>
      </c>
      <c r="DV229" s="44" t="str">
        <f t="shared" si="3433"/>
        <v/>
      </c>
      <c r="DW229" s="44" t="str">
        <f t="shared" si="3434"/>
        <v/>
      </c>
      <c r="DX229" s="44" t="str">
        <f t="shared" si="3435"/>
        <v/>
      </c>
      <c r="DY229" s="44" t="str">
        <f t="shared" si="3436"/>
        <v/>
      </c>
      <c r="DZ229" s="44" t="str">
        <f t="shared" si="3437"/>
        <v/>
      </c>
      <c r="EA229" s="44" t="str">
        <f t="shared" si="3438"/>
        <v/>
      </c>
      <c r="EB229" s="44" t="str">
        <f t="shared" si="3439"/>
        <v/>
      </c>
      <c r="EC229" s="44" t="str">
        <f t="shared" si="3440"/>
        <v/>
      </c>
      <c r="ED229" s="44" t="str">
        <f t="shared" si="3441"/>
        <v/>
      </c>
      <c r="EE229" s="44" t="str">
        <f t="shared" si="3442"/>
        <v/>
      </c>
      <c r="EF229" s="44" t="str">
        <f t="shared" si="3443"/>
        <v/>
      </c>
      <c r="EG229" s="44" t="str">
        <f t="shared" si="3444"/>
        <v/>
      </c>
      <c r="EH229" s="44" t="str">
        <f t="shared" si="3445"/>
        <v/>
      </c>
      <c r="EI229" s="44" t="str">
        <f t="shared" si="3446"/>
        <v/>
      </c>
      <c r="EJ229" s="44" t="str">
        <f t="shared" si="3447"/>
        <v/>
      </c>
      <c r="EK229" s="44" t="str">
        <f t="shared" si="3448"/>
        <v/>
      </c>
      <c r="EL229" s="44" t="str">
        <f t="shared" si="3449"/>
        <v/>
      </c>
      <c r="EM229" s="44" t="str">
        <f t="shared" si="3450"/>
        <v/>
      </c>
      <c r="EN229" s="44" t="str">
        <f t="shared" si="3451"/>
        <v/>
      </c>
      <c r="EO229" s="44" t="str">
        <f t="shared" si="3452"/>
        <v/>
      </c>
      <c r="EP229" s="44" t="str">
        <f t="shared" si="3453"/>
        <v/>
      </c>
      <c r="EQ229" s="44" t="str">
        <f t="shared" si="3454"/>
        <v/>
      </c>
      <c r="ER229" s="44" t="str">
        <f t="shared" si="3455"/>
        <v/>
      </c>
      <c r="ES229" s="44" t="str">
        <f t="shared" si="3456"/>
        <v/>
      </c>
      <c r="ET229" s="44" t="str">
        <f t="shared" si="3457"/>
        <v/>
      </c>
      <c r="EU229" s="44" t="str">
        <f t="shared" si="3458"/>
        <v/>
      </c>
      <c r="EV229" s="44" t="str">
        <f t="shared" si="3459"/>
        <v/>
      </c>
      <c r="EW229" s="44" t="str">
        <f t="shared" si="3460"/>
        <v/>
      </c>
      <c r="EX229" s="44" t="str">
        <f t="shared" si="3461"/>
        <v/>
      </c>
      <c r="EY229" s="44" t="str">
        <f t="shared" si="3462"/>
        <v/>
      </c>
      <c r="EZ229" s="44" t="str">
        <f t="shared" si="3463"/>
        <v/>
      </c>
      <c r="FA229" s="44" t="str">
        <f t="shared" si="3464"/>
        <v/>
      </c>
      <c r="FB229" s="44" t="str">
        <f t="shared" si="3465"/>
        <v/>
      </c>
      <c r="FC229" s="44" t="str">
        <f t="shared" si="3466"/>
        <v/>
      </c>
      <c r="FD229" s="44" t="str">
        <f t="shared" si="3467"/>
        <v/>
      </c>
      <c r="FE229" s="44" t="str">
        <f t="shared" si="3468"/>
        <v/>
      </c>
      <c r="FF229" s="44" t="str">
        <f t="shared" si="3469"/>
        <v/>
      </c>
      <c r="FG229" s="44" t="str">
        <f t="shared" si="3470"/>
        <v/>
      </c>
      <c r="FH229" s="44" t="str">
        <f t="shared" si="3471"/>
        <v/>
      </c>
      <c r="FI229" s="44" t="str">
        <f t="shared" si="3472"/>
        <v/>
      </c>
      <c r="FJ229" s="44" t="str">
        <f t="shared" si="3473"/>
        <v/>
      </c>
      <c r="FK229" s="44" t="str">
        <f t="shared" si="3474"/>
        <v/>
      </c>
      <c r="FL229" s="44" t="str">
        <f t="shared" si="3475"/>
        <v/>
      </c>
      <c r="FM229" s="44" t="str">
        <f t="shared" si="3476"/>
        <v/>
      </c>
      <c r="FN229" s="44" t="str">
        <f t="shared" si="3477"/>
        <v/>
      </c>
      <c r="FO229" s="44" t="str">
        <f t="shared" si="3478"/>
        <v/>
      </c>
      <c r="FP229" s="44" t="str">
        <f t="shared" si="3479"/>
        <v/>
      </c>
      <c r="FQ229" s="44" t="str">
        <f t="shared" si="3480"/>
        <v/>
      </c>
      <c r="FR229" s="44" t="str">
        <f t="shared" si="3481"/>
        <v/>
      </c>
      <c r="FS229" s="44" t="str">
        <f t="shared" si="3482"/>
        <v/>
      </c>
    </row>
    <row r="230" spans="1:175">
      <c r="A230" s="8"/>
      <c r="B230" s="8" t="s">
        <v>741</v>
      </c>
      <c r="C230" s="37" t="s">
        <v>718</v>
      </c>
      <c r="T230" s="114"/>
      <c r="U230" s="56"/>
      <c r="CN230" s="13" t="str">
        <f t="shared" si="3407"/>
        <v>InitUnitState('IF24',,,,,,,,,,)</v>
      </c>
      <c r="CO230" s="13" t="str">
        <f t="shared" si="3408"/>
        <v>InitUnitNormal('IF24',,,,,,,,,,)</v>
      </c>
      <c r="CP230" s="13" t="str">
        <f t="shared" si="3409"/>
        <v>InitUnitMagic('IF24',,,,,,,,,,)</v>
      </c>
      <c r="CQ230" s="13" t="str">
        <f t="shared" si="3410"/>
        <v>InitUnitAdd('IF24',,,,,,,,,,)</v>
      </c>
      <c r="CR230" s="13" t="str">
        <f t="shared" si="3411"/>
        <v>InitEquipData('IF24',,"",,,,,'','','','','','',"")</v>
      </c>
      <c r="CU230" s="68" t="str">
        <f t="shared" ref="CU230:CU276" si="3483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W230" s="7"/>
      <c r="CX230" s="7"/>
      <c r="CY230" s="7"/>
      <c r="CZ230" s="7"/>
      <c r="DA230" s="7"/>
      <c r="DB230" s="44" t="str">
        <f t="shared" ref="DB230:DB276" si="3484">IF(V230="","","|n"&amp;DB$2&amp;"+"&amp;V230&amp;DB$1)</f>
        <v/>
      </c>
      <c r="DC230" s="44" t="str">
        <f t="shared" ref="DC230:DC276" si="3485">IF(W230="","","|n"&amp;DC$2&amp;"+"&amp;W230&amp;DC$1)</f>
        <v/>
      </c>
      <c r="DD230" s="44" t="str">
        <f t="shared" ref="DD230:DD276" si="3486">IF(X230="","","|n"&amp;DD$2&amp;"+"&amp;X230&amp;DD$1)</f>
        <v/>
      </c>
      <c r="DE230" s="44" t="str">
        <f t="shared" ref="DE230:DE276" si="3487">IF(Y230="","","|n"&amp;DE$2&amp;"+"&amp;Y230&amp;DE$1)</f>
        <v/>
      </c>
      <c r="DF230" s="44" t="str">
        <f t="shared" ref="DF230:DF276" si="3488">IF(Z230="","","|n"&amp;DF$2&amp;"+"&amp;Z230&amp;DF$1)</f>
        <v/>
      </c>
      <c r="DG230" s="44" t="str">
        <f t="shared" ref="DG230:DG276" si="3489">IF(AA230="","","|n"&amp;DG$2&amp;"+"&amp;AA230&amp;DG$1)</f>
        <v/>
      </c>
      <c r="DH230" s="44" t="str">
        <f t="shared" ref="DH230:DH276" si="3490">IF(AB230="","","|n"&amp;DH$2&amp;"+"&amp;AB230&amp;DH$1)</f>
        <v/>
      </c>
      <c r="DI230" s="44" t="str">
        <f t="shared" ref="DI230:DI276" si="3491">IF(AC230="","","|n"&amp;DI$2&amp;"+"&amp;AC230&amp;DI$1)</f>
        <v/>
      </c>
      <c r="DJ230" s="44" t="str">
        <f t="shared" ref="DJ230:DJ276" si="3492">IF(AD230="","","|n"&amp;DJ$2&amp;"+"&amp;AD230&amp;DJ$1)</f>
        <v/>
      </c>
      <c r="DK230" s="44" t="str">
        <f t="shared" ref="DK230:DK276" si="3493">IF(AE230="","","|n"&amp;DK$2&amp;"+"&amp;AE230&amp;DK$1)</f>
        <v/>
      </c>
      <c r="DL230" s="44" t="str">
        <f t="shared" ref="DL230:DL276" si="3494">IF(AF230="","","|n"&amp;DL$2&amp;"+"&amp;AF230&amp;DL$1)</f>
        <v/>
      </c>
      <c r="DM230" s="44" t="str">
        <f t="shared" ref="DM230:DM276" si="3495">IF(AG230="","","|n"&amp;DM$2&amp;"+"&amp;AG230&amp;DM$1)</f>
        <v/>
      </c>
      <c r="DN230" s="44" t="str">
        <f t="shared" ref="DN230:DN276" si="3496">IF(AH230="","","|n"&amp;DN$2&amp;"+"&amp;AH230&amp;DN$1)</f>
        <v/>
      </c>
      <c r="DO230" s="44" t="str">
        <f t="shared" ref="DO230:DO276" si="3497">IF(AI230="","","|n"&amp;DO$2&amp;"+"&amp;AI230&amp;DO$1)</f>
        <v/>
      </c>
      <c r="DP230" s="44" t="str">
        <f t="shared" ref="DP230:DP276" si="3498">IF(AJ230="","","|n"&amp;DP$2&amp;"+"&amp;AJ230&amp;DP$1)</f>
        <v/>
      </c>
      <c r="DQ230" s="44" t="str">
        <f t="shared" ref="DQ230:DQ276" si="3499">IF(AK230="","","|n"&amp;DQ$2&amp;"+"&amp;AK230&amp;DQ$1)</f>
        <v/>
      </c>
      <c r="DR230" s="44" t="str">
        <f t="shared" ref="DR230:DR276" si="3500">IF(AL230="","","|n"&amp;DR$2&amp;"+"&amp;AL230&amp;DR$1)</f>
        <v/>
      </c>
      <c r="DS230" s="44" t="str">
        <f t="shared" ref="DS230:DS276" si="3501">IF(AM230="","","|n"&amp;DS$2&amp;"+"&amp;AM230&amp;DS$1)</f>
        <v/>
      </c>
      <c r="DT230" s="44" t="str">
        <f t="shared" ref="DT230:DT276" si="3502">IF(AN230="","","|n"&amp;DT$2&amp;"+"&amp;AN230&amp;DT$1)</f>
        <v/>
      </c>
      <c r="DU230" s="44" t="str">
        <f t="shared" ref="DU230:DU276" si="3503">IF(AO230="","","|n"&amp;DU$2&amp;"+"&amp;AO230&amp;DU$1)</f>
        <v/>
      </c>
      <c r="DV230" s="44" t="str">
        <f t="shared" ref="DV230:DV276" si="3504">IF(AP230="","","|n"&amp;DV$2&amp;"+"&amp;AP230&amp;DV$1)</f>
        <v/>
      </c>
      <c r="DW230" s="44" t="str">
        <f t="shared" ref="DW230:DW276" si="3505">IF(AQ230="","","|n"&amp;DW$2&amp;"+"&amp;AQ230&amp;DW$1)</f>
        <v/>
      </c>
      <c r="DX230" s="44" t="str">
        <f t="shared" ref="DX230:DX276" si="3506">IF(AR230="","","|n"&amp;DX$2&amp;"+"&amp;AR230&amp;DX$1)</f>
        <v/>
      </c>
      <c r="DY230" s="44" t="str">
        <f t="shared" ref="DY230:DY276" si="3507">IF(AS230="","","|n"&amp;DY$2&amp;"+"&amp;AS230&amp;DY$1)</f>
        <v/>
      </c>
      <c r="DZ230" s="44" t="str">
        <f t="shared" ref="DZ230:DZ276" si="3508">IF(AT230="","","|n"&amp;DZ$2&amp;"+"&amp;AT230&amp;DZ$1)</f>
        <v/>
      </c>
      <c r="EA230" s="44" t="str">
        <f t="shared" ref="EA230:EA276" si="3509">IF(AU230="","","|n"&amp;EA$2&amp;"+"&amp;AU230&amp;EA$1)</f>
        <v/>
      </c>
      <c r="EB230" s="44" t="str">
        <f t="shared" ref="EB230:EB276" si="3510">IF(AV230="","","|n"&amp;EB$2&amp;"+"&amp;AV230&amp;EB$1)</f>
        <v/>
      </c>
      <c r="EC230" s="44" t="str">
        <f t="shared" ref="EC230:EC276" si="3511">IF(AW230="","","|n"&amp;EC$2&amp;"+"&amp;AW230&amp;EC$1)</f>
        <v/>
      </c>
      <c r="ED230" s="44" t="str">
        <f t="shared" ref="ED230:ED276" si="3512">IF(AX230="","","|n"&amp;ED$2&amp;"+"&amp;AX230&amp;ED$1)</f>
        <v/>
      </c>
      <c r="EE230" s="44" t="str">
        <f t="shared" ref="EE230:EE276" si="3513">IF(AY230="","","|n"&amp;EE$2&amp;"+"&amp;AY230&amp;EE$1)</f>
        <v/>
      </c>
      <c r="EF230" s="44" t="str">
        <f t="shared" ref="EF230:EF276" si="3514">IF(AZ230="","","|n"&amp;EF$2&amp;"+"&amp;AZ230&amp;EF$1)</f>
        <v/>
      </c>
      <c r="EG230" s="44" t="str">
        <f t="shared" ref="EG230:EG276" si="3515">IF(BA230="","","|n"&amp;EG$2&amp;"+"&amp;BA230&amp;EG$1)</f>
        <v/>
      </c>
      <c r="EH230" s="44" t="str">
        <f t="shared" ref="EH230:EH276" si="3516">IF(BB230="","","|n"&amp;EH$2&amp;"+"&amp;BB230&amp;EH$1)</f>
        <v/>
      </c>
      <c r="EI230" s="44" t="str">
        <f t="shared" ref="EI230:EI276" si="3517">IF(BC230="","","|n"&amp;EI$2&amp;"+"&amp;BC230&amp;EI$1)</f>
        <v/>
      </c>
      <c r="EJ230" s="44" t="str">
        <f t="shared" ref="EJ230:EJ276" si="3518">IF(BD230="","","|n"&amp;EJ$2&amp;"+"&amp;BD230&amp;EJ$1)</f>
        <v/>
      </c>
      <c r="EK230" s="44" t="str">
        <f t="shared" ref="EK230:EK276" si="3519">IF(BE230="","","|n"&amp;EK$2&amp;"+"&amp;BE230&amp;EK$1)</f>
        <v/>
      </c>
      <c r="EL230" s="44" t="str">
        <f t="shared" ref="EL230:EL276" si="3520">IF(BF230="","","|n"&amp;EL$2&amp;"+"&amp;BF230&amp;EL$1)</f>
        <v/>
      </c>
      <c r="EM230" s="44" t="str">
        <f t="shared" ref="EM230:EM276" si="3521">IF(BG230="","","|n"&amp;EM$2&amp;"+"&amp;BG230&amp;EM$1)</f>
        <v/>
      </c>
      <c r="EN230" s="44" t="str">
        <f t="shared" ref="EN230:EN276" si="3522">IF(BH230="","","|n"&amp;EN$2&amp;"+"&amp;BH230&amp;EN$1)</f>
        <v/>
      </c>
      <c r="EO230" s="44" t="str">
        <f t="shared" ref="EO230:EO276" si="3523">IF(BI230="","","|n"&amp;EO$2&amp;"+"&amp;BI230&amp;EO$1)</f>
        <v/>
      </c>
      <c r="EP230" s="44" t="str">
        <f t="shared" ref="EP230:EP276" si="3524">IF(BJ230="","","|n"&amp;EP$2&amp;"+"&amp;BJ230&amp;EP$1)</f>
        <v/>
      </c>
      <c r="EQ230" s="44" t="str">
        <f t="shared" ref="EQ230:EQ276" si="3525">IF(BK230="","","|n"&amp;EQ$2&amp;"+"&amp;BK230&amp;EQ$1)</f>
        <v/>
      </c>
      <c r="ER230" s="44" t="str">
        <f t="shared" ref="ER230:ER276" si="3526">IF(BL230="","","|n"&amp;ER$2&amp;"+"&amp;BL230&amp;ER$1)</f>
        <v/>
      </c>
      <c r="ES230" s="44" t="str">
        <f t="shared" ref="ES230:ES276" si="3527">IF(BM230="","","|n"&amp;ES$2&amp;"+"&amp;BM230&amp;ES$1)</f>
        <v/>
      </c>
      <c r="ET230" s="44" t="str">
        <f t="shared" ref="ET230:ET276" si="3528">IF(BN230="","","|n"&amp;ET$2&amp;"+"&amp;BN230&amp;ET$1)</f>
        <v/>
      </c>
      <c r="EU230" s="44" t="str">
        <f t="shared" ref="EU230:EU276" si="3529">IF(BO230="","","|n"&amp;EU$2&amp;"+"&amp;BO230&amp;EU$1)</f>
        <v/>
      </c>
      <c r="EV230" s="44" t="str">
        <f t="shared" ref="EV230:EV276" si="3530">IF(BP230="","","|n"&amp;EV$2&amp;"+"&amp;BP230&amp;EV$1)</f>
        <v/>
      </c>
      <c r="EW230" s="44" t="str">
        <f t="shared" ref="EW230:EW276" si="3531">IF(BQ230="","","|n"&amp;EW$2&amp;"+"&amp;BQ230&amp;EW$1)</f>
        <v/>
      </c>
      <c r="EX230" s="44" t="str">
        <f t="shared" ref="EX230:EX276" si="3532">IF(BR230="","","|n"&amp;EX$2&amp;"+"&amp;BR230&amp;EX$1)</f>
        <v/>
      </c>
      <c r="EY230" s="44" t="str">
        <f t="shared" ref="EY230:EY276" si="3533">IF(BS230="","","|n"&amp;EY$2&amp;"+"&amp;BS230&amp;EY$1)</f>
        <v/>
      </c>
      <c r="EZ230" s="44" t="str">
        <f t="shared" ref="EZ230:EZ276" si="3534">IF(BT230="","","|n"&amp;EZ$2&amp;"+"&amp;BT230&amp;EZ$1)</f>
        <v/>
      </c>
      <c r="FA230" s="44" t="str">
        <f t="shared" ref="FA230:FA276" si="3535">IF(BU230="","","|n"&amp;FA$2&amp;"+"&amp;BU230&amp;FA$1)</f>
        <v/>
      </c>
      <c r="FB230" s="44" t="str">
        <f t="shared" ref="FB230:FB276" si="3536">IF(BV230="","","|n"&amp;FB$2&amp;"+"&amp;BV230&amp;FB$1)</f>
        <v/>
      </c>
      <c r="FC230" s="44" t="str">
        <f t="shared" ref="FC230:FC276" si="3537">IF(BW230="","","|n"&amp;FC$2&amp;"+"&amp;BW230&amp;FC$1)</f>
        <v/>
      </c>
      <c r="FD230" s="44" t="str">
        <f t="shared" ref="FD230:FD276" si="3538">IF(BX230="","","|n"&amp;FD$2&amp;"+"&amp;BX230&amp;FD$1)</f>
        <v/>
      </c>
      <c r="FE230" s="44" t="str">
        <f t="shared" ref="FE230:FE276" si="3539">IF(BY230="","","|n"&amp;FE$2&amp;"+"&amp;BY230&amp;FE$1)</f>
        <v/>
      </c>
      <c r="FF230" s="44" t="str">
        <f t="shared" ref="FF230:FF276" si="3540">IF(BZ230="","","|n"&amp;FF$2&amp;"+"&amp;BZ230&amp;FF$1)</f>
        <v/>
      </c>
      <c r="FG230" s="44" t="str">
        <f t="shared" ref="FG230:FG276" si="3541">IF(CA230="","","|n"&amp;FG$2&amp;"+"&amp;CA230&amp;FG$1)</f>
        <v/>
      </c>
      <c r="FH230" s="44" t="str">
        <f t="shared" ref="FH230:FH276" si="3542">IF(CB230="","","|n"&amp;FH$2&amp;"+"&amp;CB230&amp;FH$1)</f>
        <v/>
      </c>
      <c r="FI230" s="44" t="str">
        <f t="shared" ref="FI230:FI276" si="3543">IF(CC230="","","|n"&amp;FI$2&amp;"+"&amp;CC230&amp;FI$1)</f>
        <v/>
      </c>
      <c r="FJ230" s="44" t="str">
        <f t="shared" ref="FJ230:FJ276" si="3544">IF(CD230="","","|n"&amp;FJ$2&amp;"+"&amp;CD230&amp;FJ$1)</f>
        <v/>
      </c>
      <c r="FK230" s="44" t="str">
        <f t="shared" ref="FK230:FK276" si="3545">IF(CE230="","","|n"&amp;FK$2&amp;"+"&amp;CE230&amp;FK$1)</f>
        <v/>
      </c>
      <c r="FL230" s="44" t="str">
        <f t="shared" ref="FL230:FL276" si="3546">IF(CF230="","","|n"&amp;FL$2&amp;"+"&amp;CF230&amp;FL$1)</f>
        <v/>
      </c>
      <c r="FM230" s="44" t="str">
        <f t="shared" ref="FM230:FM276" si="3547">IF(CG230="","","|n"&amp;FM$2&amp;"+"&amp;CG230&amp;FM$1)</f>
        <v/>
      </c>
      <c r="FN230" s="44" t="str">
        <f t="shared" ref="FN230:FN276" si="3548">IF(CH230="","","|n"&amp;FN$2&amp;"+"&amp;CH230&amp;FN$1)</f>
        <v/>
      </c>
      <c r="FO230" s="44" t="str">
        <f t="shared" ref="FO230:FO276" si="3549">IF(CI230="","","|n"&amp;FO$2&amp;"+"&amp;CI230&amp;FO$1)</f>
        <v/>
      </c>
      <c r="FP230" s="44" t="str">
        <f t="shared" ref="FP230:FP276" si="3550">IF(CJ230="","","|n"&amp;FP$2&amp;"+"&amp;CJ230&amp;FP$1)</f>
        <v/>
      </c>
      <c r="FQ230" s="44" t="str">
        <f t="shared" ref="FQ230:FQ276" si="3551">IF(CK230="","","|n"&amp;FQ$2&amp;"+"&amp;CK230&amp;FQ$1)</f>
        <v/>
      </c>
      <c r="FR230" s="44" t="str">
        <f t="shared" ref="FR230:FR276" si="3552">IF(CL230="","","|n"&amp;FR$2&amp;"+"&amp;CL230&amp;FR$1)</f>
        <v/>
      </c>
      <c r="FS230" s="44" t="str">
        <f t="shared" ref="FS230:FS276" si="3553">IF(CM230="","","|n"&amp;FS$2&amp;"+"&amp;CM230&amp;FS$1)</f>
        <v/>
      </c>
    </row>
    <row r="231" spans="1:175">
      <c r="A231" s="8"/>
      <c r="B231" s="8" t="s">
        <v>742</v>
      </c>
      <c r="C231" s="37" t="s">
        <v>718</v>
      </c>
      <c r="T231" s="114"/>
      <c r="U231" s="56"/>
      <c r="CN231" s="13" t="str">
        <f t="shared" si="3407"/>
        <v>InitUnitState('IF25',,,,,,,,,,)</v>
      </c>
      <c r="CO231" s="13" t="str">
        <f t="shared" si="3408"/>
        <v>InitUnitNormal('IF25',,,,,,,,,,)</v>
      </c>
      <c r="CP231" s="13" t="str">
        <f t="shared" si="3409"/>
        <v>InitUnitMagic('IF25',,,,,,,,,,)</v>
      </c>
      <c r="CQ231" s="13" t="str">
        <f t="shared" si="3410"/>
        <v>InitUnitAdd('IF25',,,,,,,,,,)</v>
      </c>
      <c r="CR231" s="13" t="str">
        <f t="shared" si="3411"/>
        <v>InitEquipData('IF25',,"",,,,,'','','','','','',"")</v>
      </c>
      <c r="CU231" s="68" t="str">
        <f t="shared" si="3483"/>
        <v>|n</v>
      </c>
      <c r="CW231" s="7"/>
      <c r="CX231" s="7"/>
      <c r="CY231" s="7"/>
      <c r="CZ231" s="7"/>
      <c r="DA231" s="7"/>
      <c r="DB231" s="44" t="str">
        <f t="shared" si="3484"/>
        <v/>
      </c>
      <c r="DC231" s="44" t="str">
        <f t="shared" si="3485"/>
        <v/>
      </c>
      <c r="DD231" s="44" t="str">
        <f t="shared" si="3486"/>
        <v/>
      </c>
      <c r="DE231" s="44" t="str">
        <f t="shared" si="3487"/>
        <v/>
      </c>
      <c r="DF231" s="44" t="str">
        <f t="shared" si="3488"/>
        <v/>
      </c>
      <c r="DG231" s="44" t="str">
        <f t="shared" si="3489"/>
        <v/>
      </c>
      <c r="DH231" s="44" t="str">
        <f t="shared" si="3490"/>
        <v/>
      </c>
      <c r="DI231" s="44" t="str">
        <f t="shared" si="3491"/>
        <v/>
      </c>
      <c r="DJ231" s="44" t="str">
        <f t="shared" si="3492"/>
        <v/>
      </c>
      <c r="DK231" s="44" t="str">
        <f t="shared" si="3493"/>
        <v/>
      </c>
      <c r="DL231" s="44" t="str">
        <f t="shared" si="3494"/>
        <v/>
      </c>
      <c r="DM231" s="44" t="str">
        <f t="shared" si="3495"/>
        <v/>
      </c>
      <c r="DN231" s="44" t="str">
        <f t="shared" si="3496"/>
        <v/>
      </c>
      <c r="DO231" s="44" t="str">
        <f t="shared" si="3497"/>
        <v/>
      </c>
      <c r="DP231" s="44" t="str">
        <f t="shared" si="3498"/>
        <v/>
      </c>
      <c r="DQ231" s="44" t="str">
        <f t="shared" si="3499"/>
        <v/>
      </c>
      <c r="DR231" s="44" t="str">
        <f t="shared" si="3500"/>
        <v/>
      </c>
      <c r="DS231" s="44" t="str">
        <f t="shared" si="3501"/>
        <v/>
      </c>
      <c r="DT231" s="44" t="str">
        <f t="shared" si="3502"/>
        <v/>
      </c>
      <c r="DU231" s="44" t="str">
        <f t="shared" si="3503"/>
        <v/>
      </c>
      <c r="DV231" s="44" t="str">
        <f t="shared" si="3504"/>
        <v/>
      </c>
      <c r="DW231" s="44" t="str">
        <f t="shared" si="3505"/>
        <v/>
      </c>
      <c r="DX231" s="44" t="str">
        <f t="shared" si="3506"/>
        <v/>
      </c>
      <c r="DY231" s="44" t="str">
        <f t="shared" si="3507"/>
        <v/>
      </c>
      <c r="DZ231" s="44" t="str">
        <f t="shared" si="3508"/>
        <v/>
      </c>
      <c r="EA231" s="44" t="str">
        <f t="shared" si="3509"/>
        <v/>
      </c>
      <c r="EB231" s="44" t="str">
        <f t="shared" si="3510"/>
        <v/>
      </c>
      <c r="EC231" s="44" t="str">
        <f t="shared" si="3511"/>
        <v/>
      </c>
      <c r="ED231" s="44" t="str">
        <f t="shared" si="3512"/>
        <v/>
      </c>
      <c r="EE231" s="44" t="str">
        <f t="shared" si="3513"/>
        <v/>
      </c>
      <c r="EF231" s="44" t="str">
        <f t="shared" si="3514"/>
        <v/>
      </c>
      <c r="EG231" s="44" t="str">
        <f t="shared" si="3515"/>
        <v/>
      </c>
      <c r="EH231" s="44" t="str">
        <f t="shared" si="3516"/>
        <v/>
      </c>
      <c r="EI231" s="44" t="str">
        <f t="shared" si="3517"/>
        <v/>
      </c>
      <c r="EJ231" s="44" t="str">
        <f t="shared" si="3518"/>
        <v/>
      </c>
      <c r="EK231" s="44" t="str">
        <f t="shared" si="3519"/>
        <v/>
      </c>
      <c r="EL231" s="44" t="str">
        <f t="shared" si="3520"/>
        <v/>
      </c>
      <c r="EM231" s="44" t="str">
        <f t="shared" si="3521"/>
        <v/>
      </c>
      <c r="EN231" s="44" t="str">
        <f t="shared" si="3522"/>
        <v/>
      </c>
      <c r="EO231" s="44" t="str">
        <f t="shared" si="3523"/>
        <v/>
      </c>
      <c r="EP231" s="44" t="str">
        <f t="shared" si="3524"/>
        <v/>
      </c>
      <c r="EQ231" s="44" t="str">
        <f t="shared" si="3525"/>
        <v/>
      </c>
      <c r="ER231" s="44" t="str">
        <f t="shared" si="3526"/>
        <v/>
      </c>
      <c r="ES231" s="44" t="str">
        <f t="shared" si="3527"/>
        <v/>
      </c>
      <c r="ET231" s="44" t="str">
        <f t="shared" si="3528"/>
        <v/>
      </c>
      <c r="EU231" s="44" t="str">
        <f t="shared" si="3529"/>
        <v/>
      </c>
      <c r="EV231" s="44" t="str">
        <f t="shared" si="3530"/>
        <v/>
      </c>
      <c r="EW231" s="44" t="str">
        <f t="shared" si="3531"/>
        <v/>
      </c>
      <c r="EX231" s="44" t="str">
        <f t="shared" si="3532"/>
        <v/>
      </c>
      <c r="EY231" s="44" t="str">
        <f t="shared" si="3533"/>
        <v/>
      </c>
      <c r="EZ231" s="44" t="str">
        <f t="shared" si="3534"/>
        <v/>
      </c>
      <c r="FA231" s="44" t="str">
        <f t="shared" si="3535"/>
        <v/>
      </c>
      <c r="FB231" s="44" t="str">
        <f t="shared" si="3536"/>
        <v/>
      </c>
      <c r="FC231" s="44" t="str">
        <f t="shared" si="3537"/>
        <v/>
      </c>
      <c r="FD231" s="44" t="str">
        <f t="shared" si="3538"/>
        <v/>
      </c>
      <c r="FE231" s="44" t="str">
        <f t="shared" si="3539"/>
        <v/>
      </c>
      <c r="FF231" s="44" t="str">
        <f t="shared" si="3540"/>
        <v/>
      </c>
      <c r="FG231" s="44" t="str">
        <f t="shared" si="3541"/>
        <v/>
      </c>
      <c r="FH231" s="44" t="str">
        <f t="shared" si="3542"/>
        <v/>
      </c>
      <c r="FI231" s="44" t="str">
        <f t="shared" si="3543"/>
        <v/>
      </c>
      <c r="FJ231" s="44" t="str">
        <f t="shared" si="3544"/>
        <v/>
      </c>
      <c r="FK231" s="44" t="str">
        <f t="shared" si="3545"/>
        <v/>
      </c>
      <c r="FL231" s="44" t="str">
        <f t="shared" si="3546"/>
        <v/>
      </c>
      <c r="FM231" s="44" t="str">
        <f t="shared" si="3547"/>
        <v/>
      </c>
      <c r="FN231" s="44" t="str">
        <f t="shared" si="3548"/>
        <v/>
      </c>
      <c r="FO231" s="44" t="str">
        <f t="shared" si="3549"/>
        <v/>
      </c>
      <c r="FP231" s="44" t="str">
        <f t="shared" si="3550"/>
        <v/>
      </c>
      <c r="FQ231" s="44" t="str">
        <f t="shared" si="3551"/>
        <v/>
      </c>
      <c r="FR231" s="44" t="str">
        <f t="shared" si="3552"/>
        <v/>
      </c>
      <c r="FS231" s="44" t="str">
        <f t="shared" si="3553"/>
        <v/>
      </c>
    </row>
    <row r="232" spans="1:175">
      <c r="A232" s="8"/>
      <c r="B232" s="8" t="s">
        <v>743</v>
      </c>
      <c r="C232" s="37" t="s">
        <v>718</v>
      </c>
      <c r="T232" s="114"/>
      <c r="U232" s="56"/>
      <c r="CN232" s="13" t="str">
        <f t="shared" si="3407"/>
        <v>InitUnitState('IF26',,,,,,,,,,)</v>
      </c>
      <c r="CO232" s="13" t="str">
        <f t="shared" si="3408"/>
        <v>InitUnitNormal('IF26',,,,,,,,,,)</v>
      </c>
      <c r="CP232" s="13" t="str">
        <f t="shared" si="3409"/>
        <v>InitUnitMagic('IF26',,,,,,,,,,)</v>
      </c>
      <c r="CQ232" s="13" t="str">
        <f t="shared" si="3410"/>
        <v>InitUnitAdd('IF26',,,,,,,,,,)</v>
      </c>
      <c r="CR232" s="13" t="str">
        <f t="shared" si="3411"/>
        <v>InitEquipData('IF26',,"",,,,,'','','','','','',"")</v>
      </c>
      <c r="CU232" s="68" t="str">
        <f t="shared" si="3483"/>
        <v>|n</v>
      </c>
      <c r="CW232" s="7"/>
      <c r="CX232" s="7"/>
      <c r="CY232" s="7"/>
      <c r="CZ232" s="7"/>
      <c r="DA232" s="7"/>
      <c r="DB232" s="44" t="str">
        <f t="shared" si="3484"/>
        <v/>
      </c>
      <c r="DC232" s="44" t="str">
        <f t="shared" si="3485"/>
        <v/>
      </c>
      <c r="DD232" s="44" t="str">
        <f t="shared" si="3486"/>
        <v/>
      </c>
      <c r="DE232" s="44" t="str">
        <f t="shared" si="3487"/>
        <v/>
      </c>
      <c r="DF232" s="44" t="str">
        <f t="shared" si="3488"/>
        <v/>
      </c>
      <c r="DG232" s="44" t="str">
        <f t="shared" si="3489"/>
        <v/>
      </c>
      <c r="DH232" s="44" t="str">
        <f t="shared" si="3490"/>
        <v/>
      </c>
      <c r="DI232" s="44" t="str">
        <f t="shared" si="3491"/>
        <v/>
      </c>
      <c r="DJ232" s="44" t="str">
        <f t="shared" si="3492"/>
        <v/>
      </c>
      <c r="DK232" s="44" t="str">
        <f t="shared" si="3493"/>
        <v/>
      </c>
      <c r="DL232" s="44" t="str">
        <f t="shared" si="3494"/>
        <v/>
      </c>
      <c r="DM232" s="44" t="str">
        <f t="shared" si="3495"/>
        <v/>
      </c>
      <c r="DN232" s="44" t="str">
        <f t="shared" si="3496"/>
        <v/>
      </c>
      <c r="DO232" s="44" t="str">
        <f t="shared" si="3497"/>
        <v/>
      </c>
      <c r="DP232" s="44" t="str">
        <f t="shared" si="3498"/>
        <v/>
      </c>
      <c r="DQ232" s="44" t="str">
        <f t="shared" si="3499"/>
        <v/>
      </c>
      <c r="DR232" s="44" t="str">
        <f t="shared" si="3500"/>
        <v/>
      </c>
      <c r="DS232" s="44" t="str">
        <f t="shared" si="3501"/>
        <v/>
      </c>
      <c r="DT232" s="44" t="str">
        <f t="shared" si="3502"/>
        <v/>
      </c>
      <c r="DU232" s="44" t="str">
        <f t="shared" si="3503"/>
        <v/>
      </c>
      <c r="DV232" s="44" t="str">
        <f t="shared" si="3504"/>
        <v/>
      </c>
      <c r="DW232" s="44" t="str">
        <f t="shared" si="3505"/>
        <v/>
      </c>
      <c r="DX232" s="44" t="str">
        <f t="shared" si="3506"/>
        <v/>
      </c>
      <c r="DY232" s="44" t="str">
        <f t="shared" si="3507"/>
        <v/>
      </c>
      <c r="DZ232" s="44" t="str">
        <f t="shared" si="3508"/>
        <v/>
      </c>
      <c r="EA232" s="44" t="str">
        <f t="shared" si="3509"/>
        <v/>
      </c>
      <c r="EB232" s="44" t="str">
        <f t="shared" si="3510"/>
        <v/>
      </c>
      <c r="EC232" s="44" t="str">
        <f t="shared" si="3511"/>
        <v/>
      </c>
      <c r="ED232" s="44" t="str">
        <f t="shared" si="3512"/>
        <v/>
      </c>
      <c r="EE232" s="44" t="str">
        <f t="shared" si="3513"/>
        <v/>
      </c>
      <c r="EF232" s="44" t="str">
        <f t="shared" si="3514"/>
        <v/>
      </c>
      <c r="EG232" s="44" t="str">
        <f t="shared" si="3515"/>
        <v/>
      </c>
      <c r="EH232" s="44" t="str">
        <f t="shared" si="3516"/>
        <v/>
      </c>
      <c r="EI232" s="44" t="str">
        <f t="shared" si="3517"/>
        <v/>
      </c>
      <c r="EJ232" s="44" t="str">
        <f t="shared" si="3518"/>
        <v/>
      </c>
      <c r="EK232" s="44" t="str">
        <f t="shared" si="3519"/>
        <v/>
      </c>
      <c r="EL232" s="44" t="str">
        <f t="shared" si="3520"/>
        <v/>
      </c>
      <c r="EM232" s="44" t="str">
        <f t="shared" si="3521"/>
        <v/>
      </c>
      <c r="EN232" s="44" t="str">
        <f t="shared" si="3522"/>
        <v/>
      </c>
      <c r="EO232" s="44" t="str">
        <f t="shared" si="3523"/>
        <v/>
      </c>
      <c r="EP232" s="44" t="str">
        <f t="shared" si="3524"/>
        <v/>
      </c>
      <c r="EQ232" s="44" t="str">
        <f t="shared" si="3525"/>
        <v/>
      </c>
      <c r="ER232" s="44" t="str">
        <f t="shared" si="3526"/>
        <v/>
      </c>
      <c r="ES232" s="44" t="str">
        <f t="shared" si="3527"/>
        <v/>
      </c>
      <c r="ET232" s="44" t="str">
        <f t="shared" si="3528"/>
        <v/>
      </c>
      <c r="EU232" s="44" t="str">
        <f t="shared" si="3529"/>
        <v/>
      </c>
      <c r="EV232" s="44" t="str">
        <f t="shared" si="3530"/>
        <v/>
      </c>
      <c r="EW232" s="44" t="str">
        <f t="shared" si="3531"/>
        <v/>
      </c>
      <c r="EX232" s="44" t="str">
        <f t="shared" si="3532"/>
        <v/>
      </c>
      <c r="EY232" s="44" t="str">
        <f t="shared" si="3533"/>
        <v/>
      </c>
      <c r="EZ232" s="44" t="str">
        <f t="shared" si="3534"/>
        <v/>
      </c>
      <c r="FA232" s="44" t="str">
        <f t="shared" si="3535"/>
        <v/>
      </c>
      <c r="FB232" s="44" t="str">
        <f t="shared" si="3536"/>
        <v/>
      </c>
      <c r="FC232" s="44" t="str">
        <f t="shared" si="3537"/>
        <v/>
      </c>
      <c r="FD232" s="44" t="str">
        <f t="shared" si="3538"/>
        <v/>
      </c>
      <c r="FE232" s="44" t="str">
        <f t="shared" si="3539"/>
        <v/>
      </c>
      <c r="FF232" s="44" t="str">
        <f t="shared" si="3540"/>
        <v/>
      </c>
      <c r="FG232" s="44" t="str">
        <f t="shared" si="3541"/>
        <v/>
      </c>
      <c r="FH232" s="44" t="str">
        <f t="shared" si="3542"/>
        <v/>
      </c>
      <c r="FI232" s="44" t="str">
        <f t="shared" si="3543"/>
        <v/>
      </c>
      <c r="FJ232" s="44" t="str">
        <f t="shared" si="3544"/>
        <v/>
      </c>
      <c r="FK232" s="44" t="str">
        <f t="shared" si="3545"/>
        <v/>
      </c>
      <c r="FL232" s="44" t="str">
        <f t="shared" si="3546"/>
        <v/>
      </c>
      <c r="FM232" s="44" t="str">
        <f t="shared" si="3547"/>
        <v/>
      </c>
      <c r="FN232" s="44" t="str">
        <f t="shared" si="3548"/>
        <v/>
      </c>
      <c r="FO232" s="44" t="str">
        <f t="shared" si="3549"/>
        <v/>
      </c>
      <c r="FP232" s="44" t="str">
        <f t="shared" si="3550"/>
        <v/>
      </c>
      <c r="FQ232" s="44" t="str">
        <f t="shared" si="3551"/>
        <v/>
      </c>
      <c r="FR232" s="44" t="str">
        <f t="shared" si="3552"/>
        <v/>
      </c>
      <c r="FS232" s="44" t="str">
        <f t="shared" si="3553"/>
        <v/>
      </c>
    </row>
    <row r="233" spans="1:175">
      <c r="A233" s="8"/>
      <c r="B233" s="8" t="s">
        <v>744</v>
      </c>
      <c r="C233" s="37" t="s">
        <v>718</v>
      </c>
      <c r="T233" s="114"/>
      <c r="U233" s="56"/>
      <c r="CN233" s="13" t="str">
        <f t="shared" si="3407"/>
        <v>InitUnitState('IF27',,,,,,,,,,)</v>
      </c>
      <c r="CO233" s="13" t="str">
        <f t="shared" si="3408"/>
        <v>InitUnitNormal('IF27',,,,,,,,,,)</v>
      </c>
      <c r="CP233" s="13" t="str">
        <f t="shared" si="3409"/>
        <v>InitUnitMagic('IF27',,,,,,,,,,)</v>
      </c>
      <c r="CQ233" s="13" t="str">
        <f t="shared" si="3410"/>
        <v>InitUnitAdd('IF27',,,,,,,,,,)</v>
      </c>
      <c r="CR233" s="13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239&amp;CR$1&amp;")"</f>
        <v>InitEquipData('IF27',,"",,,,,'','','','','','',"")</v>
      </c>
      <c r="CU233" s="68" t="str">
        <f t="shared" si="3483"/>
        <v>|n</v>
      </c>
      <c r="CW233" s="7"/>
      <c r="CX233" s="7"/>
      <c r="CY233" s="7"/>
      <c r="CZ233" s="7"/>
      <c r="DA233" s="7"/>
      <c r="DB233" s="44" t="str">
        <f t="shared" si="3484"/>
        <v/>
      </c>
      <c r="DC233" s="44" t="str">
        <f t="shared" si="3485"/>
        <v/>
      </c>
      <c r="DD233" s="44" t="str">
        <f t="shared" si="3486"/>
        <v/>
      </c>
      <c r="DE233" s="44" t="str">
        <f t="shared" si="3487"/>
        <v/>
      </c>
      <c r="DF233" s="44" t="str">
        <f t="shared" si="3488"/>
        <v/>
      </c>
      <c r="DG233" s="44" t="str">
        <f t="shared" si="3489"/>
        <v/>
      </c>
      <c r="DH233" s="44" t="str">
        <f t="shared" si="3490"/>
        <v/>
      </c>
      <c r="DI233" s="44" t="str">
        <f t="shared" si="3491"/>
        <v/>
      </c>
      <c r="DJ233" s="44" t="str">
        <f t="shared" si="3492"/>
        <v/>
      </c>
      <c r="DK233" s="44" t="str">
        <f t="shared" si="3493"/>
        <v/>
      </c>
      <c r="DL233" s="44" t="str">
        <f t="shared" si="3494"/>
        <v/>
      </c>
      <c r="DM233" s="44" t="str">
        <f t="shared" si="3495"/>
        <v/>
      </c>
      <c r="DN233" s="44" t="str">
        <f t="shared" si="3496"/>
        <v/>
      </c>
      <c r="DO233" s="44" t="str">
        <f t="shared" si="3497"/>
        <v/>
      </c>
      <c r="DP233" s="44" t="str">
        <f t="shared" si="3498"/>
        <v/>
      </c>
      <c r="DQ233" s="44" t="str">
        <f t="shared" si="3499"/>
        <v/>
      </c>
      <c r="DR233" s="44" t="str">
        <f t="shared" si="3500"/>
        <v/>
      </c>
      <c r="DS233" s="44" t="str">
        <f t="shared" si="3501"/>
        <v/>
      </c>
      <c r="DT233" s="44" t="str">
        <f t="shared" si="3502"/>
        <v/>
      </c>
      <c r="DU233" s="44" t="str">
        <f t="shared" si="3503"/>
        <v/>
      </c>
      <c r="DV233" s="44" t="str">
        <f t="shared" si="3504"/>
        <v/>
      </c>
      <c r="DW233" s="44" t="str">
        <f t="shared" si="3505"/>
        <v/>
      </c>
      <c r="DX233" s="44" t="str">
        <f t="shared" si="3506"/>
        <v/>
      </c>
      <c r="DY233" s="44" t="str">
        <f t="shared" si="3507"/>
        <v/>
      </c>
      <c r="DZ233" s="44" t="str">
        <f t="shared" si="3508"/>
        <v/>
      </c>
      <c r="EA233" s="44" t="str">
        <f t="shared" si="3509"/>
        <v/>
      </c>
      <c r="EB233" s="44" t="str">
        <f t="shared" si="3510"/>
        <v/>
      </c>
      <c r="EC233" s="44" t="str">
        <f t="shared" si="3511"/>
        <v/>
      </c>
      <c r="ED233" s="44" t="str">
        <f t="shared" si="3512"/>
        <v/>
      </c>
      <c r="EE233" s="44" t="str">
        <f t="shared" si="3513"/>
        <v/>
      </c>
      <c r="EF233" s="44" t="str">
        <f t="shared" si="3514"/>
        <v/>
      </c>
      <c r="EG233" s="44" t="str">
        <f t="shared" si="3515"/>
        <v/>
      </c>
      <c r="EH233" s="44" t="str">
        <f t="shared" si="3516"/>
        <v/>
      </c>
      <c r="EI233" s="44" t="str">
        <f t="shared" si="3517"/>
        <v/>
      </c>
      <c r="EJ233" s="44" t="str">
        <f t="shared" si="3518"/>
        <v/>
      </c>
      <c r="EK233" s="44" t="str">
        <f t="shared" si="3519"/>
        <v/>
      </c>
      <c r="EL233" s="44" t="str">
        <f t="shared" si="3520"/>
        <v/>
      </c>
      <c r="EM233" s="44" t="str">
        <f t="shared" si="3521"/>
        <v/>
      </c>
      <c r="EN233" s="44" t="str">
        <f t="shared" si="3522"/>
        <v/>
      </c>
      <c r="EO233" s="44" t="str">
        <f t="shared" si="3523"/>
        <v/>
      </c>
      <c r="EP233" s="44" t="str">
        <f t="shared" si="3524"/>
        <v/>
      </c>
      <c r="EQ233" s="44" t="str">
        <f t="shared" si="3525"/>
        <v/>
      </c>
      <c r="ER233" s="44" t="str">
        <f t="shared" si="3526"/>
        <v/>
      </c>
      <c r="ES233" s="44" t="str">
        <f t="shared" si="3527"/>
        <v/>
      </c>
      <c r="ET233" s="44" t="str">
        <f t="shared" si="3528"/>
        <v/>
      </c>
      <c r="EU233" s="44" t="str">
        <f t="shared" si="3529"/>
        <v/>
      </c>
      <c r="EV233" s="44" t="str">
        <f t="shared" si="3530"/>
        <v/>
      </c>
      <c r="EW233" s="44" t="str">
        <f t="shared" si="3531"/>
        <v/>
      </c>
      <c r="EX233" s="44" t="str">
        <f t="shared" si="3532"/>
        <v/>
      </c>
      <c r="EY233" s="44" t="str">
        <f t="shared" si="3533"/>
        <v/>
      </c>
      <c r="EZ233" s="44" t="str">
        <f t="shared" si="3534"/>
        <v/>
      </c>
      <c r="FA233" s="44" t="str">
        <f t="shared" si="3535"/>
        <v/>
      </c>
      <c r="FB233" s="44" t="str">
        <f t="shared" si="3536"/>
        <v/>
      </c>
      <c r="FC233" s="44" t="str">
        <f t="shared" si="3537"/>
        <v/>
      </c>
      <c r="FD233" s="44" t="str">
        <f t="shared" si="3538"/>
        <v/>
      </c>
      <c r="FE233" s="44" t="str">
        <f t="shared" si="3539"/>
        <v/>
      </c>
      <c r="FF233" s="44" t="str">
        <f t="shared" si="3540"/>
        <v/>
      </c>
      <c r="FG233" s="44" t="str">
        <f t="shared" si="3541"/>
        <v/>
      </c>
      <c r="FH233" s="44" t="str">
        <f t="shared" si="3542"/>
        <v/>
      </c>
      <c r="FI233" s="44" t="str">
        <f t="shared" si="3543"/>
        <v/>
      </c>
      <c r="FJ233" s="44" t="str">
        <f t="shared" si="3544"/>
        <v/>
      </c>
      <c r="FK233" s="44" t="str">
        <f t="shared" si="3545"/>
        <v/>
      </c>
      <c r="FL233" s="44" t="str">
        <f t="shared" si="3546"/>
        <v/>
      </c>
      <c r="FM233" s="44" t="str">
        <f t="shared" si="3547"/>
        <v/>
      </c>
      <c r="FN233" s="44" t="str">
        <f t="shared" si="3548"/>
        <v/>
      </c>
      <c r="FO233" s="44" t="str">
        <f t="shared" si="3549"/>
        <v/>
      </c>
      <c r="FP233" s="44" t="str">
        <f t="shared" si="3550"/>
        <v/>
      </c>
      <c r="FQ233" s="44" t="str">
        <f t="shared" si="3551"/>
        <v/>
      </c>
      <c r="FR233" s="44" t="str">
        <f t="shared" si="3552"/>
        <v/>
      </c>
      <c r="FS233" s="44" t="str">
        <f t="shared" si="3553"/>
        <v/>
      </c>
    </row>
    <row r="234" spans="1:175">
      <c r="A234" s="8"/>
      <c r="B234" s="8" t="s">
        <v>745</v>
      </c>
      <c r="C234" s="37" t="s">
        <v>718</v>
      </c>
      <c r="T234" s="114"/>
      <c r="U234" s="56"/>
      <c r="CN234" s="13" t="str">
        <f t="shared" ref="CN234:CN238" si="3554">"InitUnitState('"&amp;B234&amp;"',"&amp;V234&amp;","&amp;W234&amp;","&amp;X234&amp;","&amp;Y234&amp;","&amp;Z234&amp;","&amp;AA234&amp;","&amp;AB234&amp;","&amp;AC234&amp;","&amp;AD234&amp;","&amp;AE234&amp;")"</f>
        <v>InitUnitState('IF28',,,,,,,,,,)</v>
      </c>
      <c r="CO234" s="13" t="str">
        <f t="shared" ref="CO234:CO238" si="3555">"InitUnitNormal('"&amp;B234&amp;"',"&amp;AF234&amp;","&amp;AG234&amp;","&amp;AH234&amp;","&amp;AI234&amp;","&amp;AJ234&amp;","&amp;AK234&amp;","&amp;AL234&amp;","&amp;AM234&amp;","&amp;AN234&amp;","&amp;AO234&amp;")"</f>
        <v>InitUnitNormal('IF28',,,,,,,,,,)</v>
      </c>
      <c r="CP234" s="13" t="str">
        <f t="shared" ref="CP234:CP238" si="3556">"InitUnitMagic('"&amp;B234&amp;"',"&amp;AP234&amp;","&amp;AQ234&amp;","&amp;AR234&amp;","&amp;AS234&amp;","&amp;AT234&amp;","&amp;AU234&amp;","&amp;AV234&amp;","&amp;AW234&amp;","&amp;BI234&amp;","&amp;BJ234&amp;")"</f>
        <v>InitUnitMagic('IF28',,,,,,,,,,)</v>
      </c>
      <c r="CQ234" s="13" t="str">
        <f t="shared" ref="CQ234:CQ238" si="3557">"InitUnitAdd('"&amp;B234&amp;"',"&amp;BK234&amp;","&amp;BL234&amp;","&amp;BM234&amp;","&amp;BN234&amp;","&amp;BO234&amp;","&amp;BP234&amp;","&amp;BQ234&amp;","&amp;BR234&amp;","&amp;BS234&amp;","&amp;BT234&amp;")"</f>
        <v>InitUnitAdd('IF28',,,,,,,,,,)</v>
      </c>
      <c r="CR234" s="13" t="str">
        <f t="shared" ref="CR234:CR236" si="3558"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InitEquipData('IF28',,"",,,,,'','','','','','',"")</v>
      </c>
      <c r="CU234" s="68" t="str">
        <f t="shared" ref="CU234:CU238" si="3559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7"/>
      <c r="CX234" s="7"/>
      <c r="CY234" s="7"/>
      <c r="CZ234" s="7"/>
      <c r="DA234" s="7"/>
      <c r="DB234" s="44" t="str">
        <f t="shared" ref="DB234:DB238" si="3560">IF(V234="","","|n"&amp;DB$2&amp;"+"&amp;V234&amp;DB$1)</f>
        <v/>
      </c>
      <c r="DC234" s="44" t="str">
        <f t="shared" ref="DC234:DC238" si="3561">IF(W234="","","|n"&amp;DC$2&amp;"+"&amp;W234&amp;DC$1)</f>
        <v/>
      </c>
      <c r="DD234" s="44" t="str">
        <f t="shared" ref="DD234:DD238" si="3562">IF(X234="","","|n"&amp;DD$2&amp;"+"&amp;X234&amp;DD$1)</f>
        <v/>
      </c>
      <c r="DE234" s="44" t="str">
        <f t="shared" ref="DE234:DE238" si="3563">IF(Y234="","","|n"&amp;DE$2&amp;"+"&amp;Y234&amp;DE$1)</f>
        <v/>
      </c>
      <c r="DF234" s="44" t="str">
        <f t="shared" ref="DF234:DF238" si="3564">IF(Z234="","","|n"&amp;DF$2&amp;"+"&amp;Z234&amp;DF$1)</f>
        <v/>
      </c>
      <c r="DG234" s="44" t="str">
        <f t="shared" ref="DG234:DG238" si="3565">IF(AA234="","","|n"&amp;DG$2&amp;"+"&amp;AA234&amp;DG$1)</f>
        <v/>
      </c>
      <c r="DH234" s="44" t="str">
        <f t="shared" ref="DH234:DH238" si="3566">IF(AB234="","","|n"&amp;DH$2&amp;"+"&amp;AB234&amp;DH$1)</f>
        <v/>
      </c>
      <c r="DI234" s="44" t="str">
        <f t="shared" ref="DI234:DI238" si="3567">IF(AC234="","","|n"&amp;DI$2&amp;"+"&amp;AC234&amp;DI$1)</f>
        <v/>
      </c>
      <c r="DJ234" s="44" t="str">
        <f t="shared" ref="DJ234:DJ238" si="3568">IF(AD234="","","|n"&amp;DJ$2&amp;"+"&amp;AD234&amp;DJ$1)</f>
        <v/>
      </c>
      <c r="DK234" s="44" t="str">
        <f t="shared" ref="DK234:DK238" si="3569">IF(AE234="","","|n"&amp;DK$2&amp;"+"&amp;AE234&amp;DK$1)</f>
        <v/>
      </c>
      <c r="DL234" s="44" t="str">
        <f t="shared" ref="DL234:DL238" si="3570">IF(AF234="","","|n"&amp;DL$2&amp;"+"&amp;AF234&amp;DL$1)</f>
        <v/>
      </c>
      <c r="DM234" s="44" t="str">
        <f t="shared" ref="DM234:DM238" si="3571">IF(AG234="","","|n"&amp;DM$2&amp;"+"&amp;AG234&amp;DM$1)</f>
        <v/>
      </c>
      <c r="DN234" s="44" t="str">
        <f t="shared" ref="DN234:DN238" si="3572">IF(AH234="","","|n"&amp;DN$2&amp;"+"&amp;AH234&amp;DN$1)</f>
        <v/>
      </c>
      <c r="DO234" s="44" t="str">
        <f t="shared" ref="DO234:DO238" si="3573">IF(AI234="","","|n"&amp;DO$2&amp;"+"&amp;AI234&amp;DO$1)</f>
        <v/>
      </c>
      <c r="DP234" s="44" t="str">
        <f t="shared" ref="DP234:DP238" si="3574">IF(AJ234="","","|n"&amp;DP$2&amp;"+"&amp;AJ234&amp;DP$1)</f>
        <v/>
      </c>
      <c r="DQ234" s="44" t="str">
        <f t="shared" ref="DQ234:DQ238" si="3575">IF(AK234="","","|n"&amp;DQ$2&amp;"+"&amp;AK234&amp;DQ$1)</f>
        <v/>
      </c>
      <c r="DR234" s="44" t="str">
        <f t="shared" ref="DR234:DR238" si="3576">IF(AL234="","","|n"&amp;DR$2&amp;"+"&amp;AL234&amp;DR$1)</f>
        <v/>
      </c>
      <c r="DS234" s="44" t="str">
        <f t="shared" ref="DS234:DS238" si="3577">IF(AM234="","","|n"&amp;DS$2&amp;"+"&amp;AM234&amp;DS$1)</f>
        <v/>
      </c>
      <c r="DT234" s="44" t="str">
        <f t="shared" ref="DT234:DT238" si="3578">IF(AN234="","","|n"&amp;DT$2&amp;"+"&amp;AN234&amp;DT$1)</f>
        <v/>
      </c>
      <c r="DU234" s="44" t="str">
        <f t="shared" ref="DU234:DU238" si="3579">IF(AO234="","","|n"&amp;DU$2&amp;"+"&amp;AO234&amp;DU$1)</f>
        <v/>
      </c>
      <c r="DV234" s="44" t="str">
        <f t="shared" ref="DV234:DV238" si="3580">IF(AP234="","","|n"&amp;DV$2&amp;"+"&amp;AP234&amp;DV$1)</f>
        <v/>
      </c>
      <c r="DW234" s="44" t="str">
        <f t="shared" ref="DW234:DW238" si="3581">IF(AQ234="","","|n"&amp;DW$2&amp;"+"&amp;AQ234&amp;DW$1)</f>
        <v/>
      </c>
      <c r="DX234" s="44" t="str">
        <f t="shared" ref="DX234:DX238" si="3582">IF(AR234="","","|n"&amp;DX$2&amp;"+"&amp;AR234&amp;DX$1)</f>
        <v/>
      </c>
      <c r="DY234" s="44" t="str">
        <f t="shared" ref="DY234:DY238" si="3583">IF(AS234="","","|n"&amp;DY$2&amp;"+"&amp;AS234&amp;DY$1)</f>
        <v/>
      </c>
      <c r="DZ234" s="44" t="str">
        <f t="shared" ref="DZ234:DZ238" si="3584">IF(AT234="","","|n"&amp;DZ$2&amp;"+"&amp;AT234&amp;DZ$1)</f>
        <v/>
      </c>
      <c r="EA234" s="44" t="str">
        <f t="shared" ref="EA234:EA238" si="3585">IF(AU234="","","|n"&amp;EA$2&amp;"+"&amp;AU234&amp;EA$1)</f>
        <v/>
      </c>
      <c r="EB234" s="44" t="str">
        <f t="shared" ref="EB234:EB238" si="3586">IF(AV234="","","|n"&amp;EB$2&amp;"+"&amp;AV234&amp;EB$1)</f>
        <v/>
      </c>
      <c r="EC234" s="44" t="str">
        <f t="shared" ref="EC234:EC238" si="3587">IF(AW234="","","|n"&amp;EC$2&amp;"+"&amp;AW234&amp;EC$1)</f>
        <v/>
      </c>
      <c r="ED234" s="44" t="str">
        <f t="shared" ref="ED234:ED238" si="3588">IF(AX234="","","|n"&amp;ED$2&amp;"+"&amp;AX234&amp;ED$1)</f>
        <v/>
      </c>
      <c r="EE234" s="44" t="str">
        <f t="shared" ref="EE234:EE238" si="3589">IF(AY234="","","|n"&amp;EE$2&amp;"+"&amp;AY234&amp;EE$1)</f>
        <v/>
      </c>
      <c r="EF234" s="44" t="str">
        <f t="shared" ref="EF234:EF238" si="3590">IF(AZ234="","","|n"&amp;EF$2&amp;"+"&amp;AZ234&amp;EF$1)</f>
        <v/>
      </c>
      <c r="EG234" s="44" t="str">
        <f t="shared" ref="EG234:EG238" si="3591">IF(BA234="","","|n"&amp;EG$2&amp;"+"&amp;BA234&amp;EG$1)</f>
        <v/>
      </c>
      <c r="EH234" s="44" t="str">
        <f t="shared" ref="EH234:EH238" si="3592">IF(BB234="","","|n"&amp;EH$2&amp;"+"&amp;BB234&amp;EH$1)</f>
        <v/>
      </c>
      <c r="EI234" s="44" t="str">
        <f t="shared" ref="EI234:EI238" si="3593">IF(BC234="","","|n"&amp;EI$2&amp;"+"&amp;BC234&amp;EI$1)</f>
        <v/>
      </c>
      <c r="EJ234" s="44" t="str">
        <f t="shared" ref="EJ234:EJ238" si="3594">IF(BD234="","","|n"&amp;EJ$2&amp;"+"&amp;BD234&amp;EJ$1)</f>
        <v/>
      </c>
      <c r="EK234" s="44" t="str">
        <f t="shared" ref="EK234:EK238" si="3595">IF(BE234="","","|n"&amp;EK$2&amp;"+"&amp;BE234&amp;EK$1)</f>
        <v/>
      </c>
      <c r="EL234" s="44" t="str">
        <f t="shared" ref="EL234:EL238" si="3596">IF(BF234="","","|n"&amp;EL$2&amp;"+"&amp;BF234&amp;EL$1)</f>
        <v/>
      </c>
      <c r="EM234" s="44" t="str">
        <f t="shared" ref="EM234:EM238" si="3597">IF(BG234="","","|n"&amp;EM$2&amp;"+"&amp;BG234&amp;EM$1)</f>
        <v/>
      </c>
      <c r="EN234" s="44" t="str">
        <f t="shared" ref="EN234:EN238" si="3598">IF(BH234="","","|n"&amp;EN$2&amp;"+"&amp;BH234&amp;EN$1)</f>
        <v/>
      </c>
      <c r="EO234" s="44" t="str">
        <f t="shared" ref="EO234:EO238" si="3599">IF(BI234="","","|n"&amp;EO$2&amp;"+"&amp;BI234&amp;EO$1)</f>
        <v/>
      </c>
      <c r="EP234" s="44" t="str">
        <f t="shared" ref="EP234:EP238" si="3600">IF(BJ234="","","|n"&amp;EP$2&amp;"+"&amp;BJ234&amp;EP$1)</f>
        <v/>
      </c>
      <c r="EQ234" s="44" t="str">
        <f t="shared" ref="EQ234:EQ238" si="3601">IF(BK234="","","|n"&amp;EQ$2&amp;"+"&amp;BK234&amp;EQ$1)</f>
        <v/>
      </c>
      <c r="ER234" s="44" t="str">
        <f t="shared" ref="ER234:ER238" si="3602">IF(BL234="","","|n"&amp;ER$2&amp;"+"&amp;BL234&amp;ER$1)</f>
        <v/>
      </c>
      <c r="ES234" s="44" t="str">
        <f t="shared" ref="ES234:ES238" si="3603">IF(BM234="","","|n"&amp;ES$2&amp;"+"&amp;BM234&amp;ES$1)</f>
        <v/>
      </c>
      <c r="ET234" s="44" t="str">
        <f t="shared" ref="ET234:ET238" si="3604">IF(BN234="","","|n"&amp;ET$2&amp;"+"&amp;BN234&amp;ET$1)</f>
        <v/>
      </c>
      <c r="EU234" s="44" t="str">
        <f t="shared" ref="EU234:EU238" si="3605">IF(BO234="","","|n"&amp;EU$2&amp;"+"&amp;BO234&amp;EU$1)</f>
        <v/>
      </c>
      <c r="EV234" s="44" t="str">
        <f t="shared" ref="EV234:EV238" si="3606">IF(BP234="","","|n"&amp;EV$2&amp;"+"&amp;BP234&amp;EV$1)</f>
        <v/>
      </c>
      <c r="EW234" s="44" t="str">
        <f t="shared" ref="EW234:EW238" si="3607">IF(BQ234="","","|n"&amp;EW$2&amp;"+"&amp;BQ234&amp;EW$1)</f>
        <v/>
      </c>
      <c r="EX234" s="44" t="str">
        <f t="shared" ref="EX234:EX238" si="3608">IF(BR234="","","|n"&amp;EX$2&amp;"+"&amp;BR234&amp;EX$1)</f>
        <v/>
      </c>
      <c r="EY234" s="44" t="str">
        <f t="shared" ref="EY234:EY238" si="3609">IF(BS234="","","|n"&amp;EY$2&amp;"+"&amp;BS234&amp;EY$1)</f>
        <v/>
      </c>
      <c r="EZ234" s="44" t="str">
        <f t="shared" ref="EZ234:EZ238" si="3610">IF(BT234="","","|n"&amp;EZ$2&amp;"+"&amp;BT234&amp;EZ$1)</f>
        <v/>
      </c>
      <c r="FA234" s="44" t="str">
        <f t="shared" ref="FA234:FA238" si="3611">IF(BU234="","","|n"&amp;FA$2&amp;"+"&amp;BU234&amp;FA$1)</f>
        <v/>
      </c>
      <c r="FB234" s="44" t="str">
        <f t="shared" ref="FB234:FB238" si="3612">IF(BV234="","","|n"&amp;FB$2&amp;"+"&amp;BV234&amp;FB$1)</f>
        <v/>
      </c>
      <c r="FC234" s="44" t="str">
        <f t="shared" ref="FC234:FC238" si="3613">IF(BW234="","","|n"&amp;FC$2&amp;"+"&amp;BW234&amp;FC$1)</f>
        <v/>
      </c>
      <c r="FD234" s="44" t="str">
        <f t="shared" ref="FD234:FD238" si="3614">IF(BX234="","","|n"&amp;FD$2&amp;"+"&amp;BX234&amp;FD$1)</f>
        <v/>
      </c>
      <c r="FE234" s="44" t="str">
        <f t="shared" ref="FE234:FE238" si="3615">IF(BY234="","","|n"&amp;FE$2&amp;"+"&amp;BY234&amp;FE$1)</f>
        <v/>
      </c>
      <c r="FF234" s="44" t="str">
        <f t="shared" ref="FF234:FF238" si="3616">IF(BZ234="","","|n"&amp;FF$2&amp;"+"&amp;BZ234&amp;FF$1)</f>
        <v/>
      </c>
      <c r="FG234" s="44" t="str">
        <f t="shared" ref="FG234:FG238" si="3617">IF(CA234="","","|n"&amp;FG$2&amp;"+"&amp;CA234&amp;FG$1)</f>
        <v/>
      </c>
      <c r="FH234" s="44" t="str">
        <f t="shared" ref="FH234:FH238" si="3618">IF(CB234="","","|n"&amp;FH$2&amp;"+"&amp;CB234&amp;FH$1)</f>
        <v/>
      </c>
      <c r="FI234" s="44" t="str">
        <f t="shared" ref="FI234:FI238" si="3619">IF(CC234="","","|n"&amp;FI$2&amp;"+"&amp;CC234&amp;FI$1)</f>
        <v/>
      </c>
      <c r="FJ234" s="44" t="str">
        <f t="shared" ref="FJ234:FJ238" si="3620">IF(CD234="","","|n"&amp;FJ$2&amp;"+"&amp;CD234&amp;FJ$1)</f>
        <v/>
      </c>
      <c r="FK234" s="44" t="str">
        <f t="shared" ref="FK234:FK238" si="3621">IF(CE234="","","|n"&amp;FK$2&amp;"+"&amp;CE234&amp;FK$1)</f>
        <v/>
      </c>
      <c r="FL234" s="44" t="str">
        <f t="shared" ref="FL234:FL238" si="3622">IF(CF234="","","|n"&amp;FL$2&amp;"+"&amp;CF234&amp;FL$1)</f>
        <v/>
      </c>
      <c r="FM234" s="44" t="str">
        <f t="shared" ref="FM234:FM238" si="3623">IF(CG234="","","|n"&amp;FM$2&amp;"+"&amp;CG234&amp;FM$1)</f>
        <v/>
      </c>
      <c r="FN234" s="44" t="str">
        <f t="shared" ref="FN234:FN238" si="3624">IF(CH234="","","|n"&amp;FN$2&amp;"+"&amp;CH234&amp;FN$1)</f>
        <v/>
      </c>
      <c r="FO234" s="44" t="str">
        <f t="shared" ref="FO234:FO238" si="3625">IF(CI234="","","|n"&amp;FO$2&amp;"+"&amp;CI234&amp;FO$1)</f>
        <v/>
      </c>
      <c r="FP234" s="44" t="str">
        <f t="shared" ref="FP234:FP238" si="3626">IF(CJ234="","","|n"&amp;FP$2&amp;"+"&amp;CJ234&amp;FP$1)</f>
        <v/>
      </c>
      <c r="FQ234" s="44" t="str">
        <f t="shared" ref="FQ234:FQ238" si="3627">IF(CK234="","","|n"&amp;FQ$2&amp;"+"&amp;CK234&amp;FQ$1)</f>
        <v/>
      </c>
      <c r="FR234" s="44" t="str">
        <f t="shared" ref="FR234:FR238" si="3628">IF(CL234="","","|n"&amp;FR$2&amp;"+"&amp;CL234&amp;FR$1)</f>
        <v/>
      </c>
      <c r="FS234" s="44" t="str">
        <f t="shared" ref="FS234:FS238" si="3629">IF(CM234="","","|n"&amp;FS$2&amp;"+"&amp;CM234&amp;FS$1)</f>
        <v/>
      </c>
    </row>
    <row r="235" spans="1:175">
      <c r="A235" s="8"/>
      <c r="B235" s="8" t="s">
        <v>746</v>
      </c>
      <c r="C235" s="37" t="s">
        <v>718</v>
      </c>
      <c r="T235" s="114"/>
      <c r="U235" s="56"/>
      <c r="CN235" s="13" t="str">
        <f t="shared" si="3554"/>
        <v>InitUnitState('IF29',,,,,,,,,,)</v>
      </c>
      <c r="CO235" s="13" t="str">
        <f t="shared" si="3555"/>
        <v>InitUnitNormal('IF29',,,,,,,,,,)</v>
      </c>
      <c r="CP235" s="13" t="str">
        <f t="shared" si="3556"/>
        <v>InitUnitMagic('IF29',,,,,,,,,,)</v>
      </c>
      <c r="CQ235" s="13" t="str">
        <f t="shared" si="3557"/>
        <v>InitUnitAdd('IF29',,,,,,,,,,)</v>
      </c>
      <c r="CR235" s="13" t="str">
        <f t="shared" si="3558"/>
        <v>InitEquipData('IF29',,"",,,,,'','','','','','',"")</v>
      </c>
      <c r="CU235" s="68" t="str">
        <f t="shared" si="3559"/>
        <v>|n</v>
      </c>
      <c r="CW235" s="7"/>
      <c r="CX235" s="7"/>
      <c r="CY235" s="7"/>
      <c r="CZ235" s="7"/>
      <c r="DA235" s="7"/>
      <c r="DB235" s="44" t="str">
        <f t="shared" si="3560"/>
        <v/>
      </c>
      <c r="DC235" s="44" t="str">
        <f t="shared" si="3561"/>
        <v/>
      </c>
      <c r="DD235" s="44" t="str">
        <f t="shared" si="3562"/>
        <v/>
      </c>
      <c r="DE235" s="44" t="str">
        <f t="shared" si="3563"/>
        <v/>
      </c>
      <c r="DF235" s="44" t="str">
        <f t="shared" si="3564"/>
        <v/>
      </c>
      <c r="DG235" s="44" t="str">
        <f t="shared" si="3565"/>
        <v/>
      </c>
      <c r="DH235" s="44" t="str">
        <f t="shared" si="3566"/>
        <v/>
      </c>
      <c r="DI235" s="44" t="str">
        <f t="shared" si="3567"/>
        <v/>
      </c>
      <c r="DJ235" s="44" t="str">
        <f t="shared" si="3568"/>
        <v/>
      </c>
      <c r="DK235" s="44" t="str">
        <f t="shared" si="3569"/>
        <v/>
      </c>
      <c r="DL235" s="44" t="str">
        <f t="shared" si="3570"/>
        <v/>
      </c>
      <c r="DM235" s="44" t="str">
        <f t="shared" si="3571"/>
        <v/>
      </c>
      <c r="DN235" s="44" t="str">
        <f t="shared" si="3572"/>
        <v/>
      </c>
      <c r="DO235" s="44" t="str">
        <f t="shared" si="3573"/>
        <v/>
      </c>
      <c r="DP235" s="44" t="str">
        <f t="shared" si="3574"/>
        <v/>
      </c>
      <c r="DQ235" s="44" t="str">
        <f t="shared" si="3575"/>
        <v/>
      </c>
      <c r="DR235" s="44" t="str">
        <f t="shared" si="3576"/>
        <v/>
      </c>
      <c r="DS235" s="44" t="str">
        <f t="shared" si="3577"/>
        <v/>
      </c>
      <c r="DT235" s="44" t="str">
        <f t="shared" si="3578"/>
        <v/>
      </c>
      <c r="DU235" s="44" t="str">
        <f t="shared" si="3579"/>
        <v/>
      </c>
      <c r="DV235" s="44" t="str">
        <f t="shared" si="3580"/>
        <v/>
      </c>
      <c r="DW235" s="44" t="str">
        <f t="shared" si="3581"/>
        <v/>
      </c>
      <c r="DX235" s="44" t="str">
        <f t="shared" si="3582"/>
        <v/>
      </c>
      <c r="DY235" s="44" t="str">
        <f t="shared" si="3583"/>
        <v/>
      </c>
      <c r="DZ235" s="44" t="str">
        <f t="shared" si="3584"/>
        <v/>
      </c>
      <c r="EA235" s="44" t="str">
        <f t="shared" si="3585"/>
        <v/>
      </c>
      <c r="EB235" s="44" t="str">
        <f t="shared" si="3586"/>
        <v/>
      </c>
      <c r="EC235" s="44" t="str">
        <f t="shared" si="3587"/>
        <v/>
      </c>
      <c r="ED235" s="44" t="str">
        <f t="shared" si="3588"/>
        <v/>
      </c>
      <c r="EE235" s="44" t="str">
        <f t="shared" si="3589"/>
        <v/>
      </c>
      <c r="EF235" s="44" t="str">
        <f t="shared" si="3590"/>
        <v/>
      </c>
      <c r="EG235" s="44" t="str">
        <f t="shared" si="3591"/>
        <v/>
      </c>
      <c r="EH235" s="44" t="str">
        <f t="shared" si="3592"/>
        <v/>
      </c>
      <c r="EI235" s="44" t="str">
        <f t="shared" si="3593"/>
        <v/>
      </c>
      <c r="EJ235" s="44" t="str">
        <f t="shared" si="3594"/>
        <v/>
      </c>
      <c r="EK235" s="44" t="str">
        <f t="shared" si="3595"/>
        <v/>
      </c>
      <c r="EL235" s="44" t="str">
        <f t="shared" si="3596"/>
        <v/>
      </c>
      <c r="EM235" s="44" t="str">
        <f t="shared" si="3597"/>
        <v/>
      </c>
      <c r="EN235" s="44" t="str">
        <f t="shared" si="3598"/>
        <v/>
      </c>
      <c r="EO235" s="44" t="str">
        <f t="shared" si="3599"/>
        <v/>
      </c>
      <c r="EP235" s="44" t="str">
        <f t="shared" si="3600"/>
        <v/>
      </c>
      <c r="EQ235" s="44" t="str">
        <f t="shared" si="3601"/>
        <v/>
      </c>
      <c r="ER235" s="44" t="str">
        <f t="shared" si="3602"/>
        <v/>
      </c>
      <c r="ES235" s="44" t="str">
        <f t="shared" si="3603"/>
        <v/>
      </c>
      <c r="ET235" s="44" t="str">
        <f t="shared" si="3604"/>
        <v/>
      </c>
      <c r="EU235" s="44" t="str">
        <f t="shared" si="3605"/>
        <v/>
      </c>
      <c r="EV235" s="44" t="str">
        <f t="shared" si="3606"/>
        <v/>
      </c>
      <c r="EW235" s="44" t="str">
        <f t="shared" si="3607"/>
        <v/>
      </c>
      <c r="EX235" s="44" t="str">
        <f t="shared" si="3608"/>
        <v/>
      </c>
      <c r="EY235" s="44" t="str">
        <f t="shared" si="3609"/>
        <v/>
      </c>
      <c r="EZ235" s="44" t="str">
        <f t="shared" si="3610"/>
        <v/>
      </c>
      <c r="FA235" s="44" t="str">
        <f t="shared" si="3611"/>
        <v/>
      </c>
      <c r="FB235" s="44" t="str">
        <f t="shared" si="3612"/>
        <v/>
      </c>
      <c r="FC235" s="44" t="str">
        <f t="shared" si="3613"/>
        <v/>
      </c>
      <c r="FD235" s="44" t="str">
        <f t="shared" si="3614"/>
        <v/>
      </c>
      <c r="FE235" s="44" t="str">
        <f t="shared" si="3615"/>
        <v/>
      </c>
      <c r="FF235" s="44" t="str">
        <f t="shared" si="3616"/>
        <v/>
      </c>
      <c r="FG235" s="44" t="str">
        <f t="shared" si="3617"/>
        <v/>
      </c>
      <c r="FH235" s="44" t="str">
        <f t="shared" si="3618"/>
        <v/>
      </c>
      <c r="FI235" s="44" t="str">
        <f t="shared" si="3619"/>
        <v/>
      </c>
      <c r="FJ235" s="44" t="str">
        <f t="shared" si="3620"/>
        <v/>
      </c>
      <c r="FK235" s="44" t="str">
        <f t="shared" si="3621"/>
        <v/>
      </c>
      <c r="FL235" s="44" t="str">
        <f t="shared" si="3622"/>
        <v/>
      </c>
      <c r="FM235" s="44" t="str">
        <f t="shared" si="3623"/>
        <v/>
      </c>
      <c r="FN235" s="44" t="str">
        <f t="shared" si="3624"/>
        <v/>
      </c>
      <c r="FO235" s="44" t="str">
        <f t="shared" si="3625"/>
        <v/>
      </c>
      <c r="FP235" s="44" t="str">
        <f t="shared" si="3626"/>
        <v/>
      </c>
      <c r="FQ235" s="44" t="str">
        <f t="shared" si="3627"/>
        <v/>
      </c>
      <c r="FR235" s="44" t="str">
        <f t="shared" si="3628"/>
        <v/>
      </c>
      <c r="FS235" s="44" t="str">
        <f t="shared" si="3629"/>
        <v/>
      </c>
    </row>
    <row r="236" spans="1:175">
      <c r="A236" s="8"/>
      <c r="B236" s="8" t="s">
        <v>747</v>
      </c>
      <c r="C236" s="37" t="s">
        <v>718</v>
      </c>
      <c r="T236" s="114"/>
      <c r="U236" s="56"/>
      <c r="CN236" s="13" t="str">
        <f t="shared" si="3554"/>
        <v>InitUnitState('IF30',,,,,,,,,,)</v>
      </c>
      <c r="CO236" s="13" t="str">
        <f t="shared" si="3555"/>
        <v>InitUnitNormal('IF30',,,,,,,,,,)</v>
      </c>
      <c r="CP236" s="13" t="str">
        <f t="shared" si="3556"/>
        <v>InitUnitMagic('IF30',,,,,,,,,,)</v>
      </c>
      <c r="CQ236" s="13" t="str">
        <f t="shared" si="3557"/>
        <v>InitUnitAdd('IF30',,,,,,,,,,)</v>
      </c>
      <c r="CR236" s="13" t="str">
        <f t="shared" si="3558"/>
        <v>InitEquipData('IF30',,"",,,,,'','','','','','',"")</v>
      </c>
      <c r="CU236" s="68" t="str">
        <f t="shared" si="3559"/>
        <v>|n</v>
      </c>
      <c r="CW236" s="7"/>
      <c r="CX236" s="7"/>
      <c r="CY236" s="7"/>
      <c r="CZ236" s="7"/>
      <c r="DA236" s="7"/>
      <c r="DB236" s="44" t="str">
        <f t="shared" si="3560"/>
        <v/>
      </c>
      <c r="DC236" s="44" t="str">
        <f t="shared" si="3561"/>
        <v/>
      </c>
      <c r="DD236" s="44" t="str">
        <f t="shared" si="3562"/>
        <v/>
      </c>
      <c r="DE236" s="44" t="str">
        <f t="shared" si="3563"/>
        <v/>
      </c>
      <c r="DF236" s="44" t="str">
        <f t="shared" si="3564"/>
        <v/>
      </c>
      <c r="DG236" s="44" t="str">
        <f t="shared" si="3565"/>
        <v/>
      </c>
      <c r="DH236" s="44" t="str">
        <f t="shared" si="3566"/>
        <v/>
      </c>
      <c r="DI236" s="44" t="str">
        <f t="shared" si="3567"/>
        <v/>
      </c>
      <c r="DJ236" s="44" t="str">
        <f t="shared" si="3568"/>
        <v/>
      </c>
      <c r="DK236" s="44" t="str">
        <f t="shared" si="3569"/>
        <v/>
      </c>
      <c r="DL236" s="44" t="str">
        <f t="shared" si="3570"/>
        <v/>
      </c>
      <c r="DM236" s="44" t="str">
        <f t="shared" si="3571"/>
        <v/>
      </c>
      <c r="DN236" s="44" t="str">
        <f t="shared" si="3572"/>
        <v/>
      </c>
      <c r="DO236" s="44" t="str">
        <f t="shared" si="3573"/>
        <v/>
      </c>
      <c r="DP236" s="44" t="str">
        <f t="shared" si="3574"/>
        <v/>
      </c>
      <c r="DQ236" s="44" t="str">
        <f t="shared" si="3575"/>
        <v/>
      </c>
      <c r="DR236" s="44" t="str">
        <f t="shared" si="3576"/>
        <v/>
      </c>
      <c r="DS236" s="44" t="str">
        <f t="shared" si="3577"/>
        <v/>
      </c>
      <c r="DT236" s="44" t="str">
        <f t="shared" si="3578"/>
        <v/>
      </c>
      <c r="DU236" s="44" t="str">
        <f t="shared" si="3579"/>
        <v/>
      </c>
      <c r="DV236" s="44" t="str">
        <f t="shared" si="3580"/>
        <v/>
      </c>
      <c r="DW236" s="44" t="str">
        <f t="shared" si="3581"/>
        <v/>
      </c>
      <c r="DX236" s="44" t="str">
        <f t="shared" si="3582"/>
        <v/>
      </c>
      <c r="DY236" s="44" t="str">
        <f t="shared" si="3583"/>
        <v/>
      </c>
      <c r="DZ236" s="44" t="str">
        <f t="shared" si="3584"/>
        <v/>
      </c>
      <c r="EA236" s="44" t="str">
        <f t="shared" si="3585"/>
        <v/>
      </c>
      <c r="EB236" s="44" t="str">
        <f t="shared" si="3586"/>
        <v/>
      </c>
      <c r="EC236" s="44" t="str">
        <f t="shared" si="3587"/>
        <v/>
      </c>
      <c r="ED236" s="44" t="str">
        <f t="shared" si="3588"/>
        <v/>
      </c>
      <c r="EE236" s="44" t="str">
        <f t="shared" si="3589"/>
        <v/>
      </c>
      <c r="EF236" s="44" t="str">
        <f t="shared" si="3590"/>
        <v/>
      </c>
      <c r="EG236" s="44" t="str">
        <f t="shared" si="3591"/>
        <v/>
      </c>
      <c r="EH236" s="44" t="str">
        <f t="shared" si="3592"/>
        <v/>
      </c>
      <c r="EI236" s="44" t="str">
        <f t="shared" si="3593"/>
        <v/>
      </c>
      <c r="EJ236" s="44" t="str">
        <f t="shared" si="3594"/>
        <v/>
      </c>
      <c r="EK236" s="44" t="str">
        <f t="shared" si="3595"/>
        <v/>
      </c>
      <c r="EL236" s="44" t="str">
        <f t="shared" si="3596"/>
        <v/>
      </c>
      <c r="EM236" s="44" t="str">
        <f t="shared" si="3597"/>
        <v/>
      </c>
      <c r="EN236" s="44" t="str">
        <f t="shared" si="3598"/>
        <v/>
      </c>
      <c r="EO236" s="44" t="str">
        <f t="shared" si="3599"/>
        <v/>
      </c>
      <c r="EP236" s="44" t="str">
        <f t="shared" si="3600"/>
        <v/>
      </c>
      <c r="EQ236" s="44" t="str">
        <f t="shared" si="3601"/>
        <v/>
      </c>
      <c r="ER236" s="44" t="str">
        <f t="shared" si="3602"/>
        <v/>
      </c>
      <c r="ES236" s="44" t="str">
        <f t="shared" si="3603"/>
        <v/>
      </c>
      <c r="ET236" s="44" t="str">
        <f t="shared" si="3604"/>
        <v/>
      </c>
      <c r="EU236" s="44" t="str">
        <f t="shared" si="3605"/>
        <v/>
      </c>
      <c r="EV236" s="44" t="str">
        <f t="shared" si="3606"/>
        <v/>
      </c>
      <c r="EW236" s="44" t="str">
        <f t="shared" si="3607"/>
        <v/>
      </c>
      <c r="EX236" s="44" t="str">
        <f t="shared" si="3608"/>
        <v/>
      </c>
      <c r="EY236" s="44" t="str">
        <f t="shared" si="3609"/>
        <v/>
      </c>
      <c r="EZ236" s="44" t="str">
        <f t="shared" si="3610"/>
        <v/>
      </c>
      <c r="FA236" s="44" t="str">
        <f t="shared" si="3611"/>
        <v/>
      </c>
      <c r="FB236" s="44" t="str">
        <f t="shared" si="3612"/>
        <v/>
      </c>
      <c r="FC236" s="44" t="str">
        <f t="shared" si="3613"/>
        <v/>
      </c>
      <c r="FD236" s="44" t="str">
        <f t="shared" si="3614"/>
        <v/>
      </c>
      <c r="FE236" s="44" t="str">
        <f t="shared" si="3615"/>
        <v/>
      </c>
      <c r="FF236" s="44" t="str">
        <f t="shared" si="3616"/>
        <v/>
      </c>
      <c r="FG236" s="44" t="str">
        <f t="shared" si="3617"/>
        <v/>
      </c>
      <c r="FH236" s="44" t="str">
        <f t="shared" si="3618"/>
        <v/>
      </c>
      <c r="FI236" s="44" t="str">
        <f t="shared" si="3619"/>
        <v/>
      </c>
      <c r="FJ236" s="44" t="str">
        <f t="shared" si="3620"/>
        <v/>
      </c>
      <c r="FK236" s="44" t="str">
        <f t="shared" si="3621"/>
        <v/>
      </c>
      <c r="FL236" s="44" t="str">
        <f t="shared" si="3622"/>
        <v/>
      </c>
      <c r="FM236" s="44" t="str">
        <f t="shared" si="3623"/>
        <v/>
      </c>
      <c r="FN236" s="44" t="str">
        <f t="shared" si="3624"/>
        <v/>
      </c>
      <c r="FO236" s="44" t="str">
        <f t="shared" si="3625"/>
        <v/>
      </c>
      <c r="FP236" s="44" t="str">
        <f t="shared" si="3626"/>
        <v/>
      </c>
      <c r="FQ236" s="44" t="str">
        <f t="shared" si="3627"/>
        <v/>
      </c>
      <c r="FR236" s="44" t="str">
        <f t="shared" si="3628"/>
        <v/>
      </c>
      <c r="FS236" s="44" t="str">
        <f t="shared" si="3629"/>
        <v/>
      </c>
    </row>
    <row r="237" spans="1:175">
      <c r="A237" s="8"/>
      <c r="B237" s="8" t="s">
        <v>748</v>
      </c>
      <c r="C237" s="37" t="s">
        <v>718</v>
      </c>
      <c r="T237" s="114"/>
      <c r="U237" s="56"/>
      <c r="CN237" s="13" t="str">
        <f t="shared" si="3554"/>
        <v>InitUnitState('IF31',,,,,,,,,,)</v>
      </c>
      <c r="CO237" s="13" t="str">
        <f t="shared" si="3555"/>
        <v>InitUnitNormal('IF31',,,,,,,,,,)</v>
      </c>
      <c r="CP237" s="13" t="str">
        <f t="shared" si="3556"/>
        <v>InitUnitMagic('IF31',,,,,,,,,,)</v>
      </c>
      <c r="CQ237" s="13" t="str">
        <f t="shared" si="3557"/>
        <v>InitUnitAdd('IF31',,,,,,,,,,)</v>
      </c>
      <c r="CR237" s="13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243&amp;CR$1&amp;")"</f>
        <v>InitEquipData('IF31',,"",,,,,'','','','','','',"")</v>
      </c>
      <c r="CU237" s="68" t="str">
        <f t="shared" si="3559"/>
        <v>|n</v>
      </c>
      <c r="CW237" s="7"/>
      <c r="CX237" s="7"/>
      <c r="CY237" s="7"/>
      <c r="CZ237" s="7"/>
      <c r="DA237" s="7"/>
      <c r="DB237" s="44" t="str">
        <f t="shared" si="3560"/>
        <v/>
      </c>
      <c r="DC237" s="44" t="str">
        <f t="shared" si="3561"/>
        <v/>
      </c>
      <c r="DD237" s="44" t="str">
        <f t="shared" si="3562"/>
        <v/>
      </c>
      <c r="DE237" s="44" t="str">
        <f t="shared" si="3563"/>
        <v/>
      </c>
      <c r="DF237" s="44" t="str">
        <f t="shared" si="3564"/>
        <v/>
      </c>
      <c r="DG237" s="44" t="str">
        <f t="shared" si="3565"/>
        <v/>
      </c>
      <c r="DH237" s="44" t="str">
        <f t="shared" si="3566"/>
        <v/>
      </c>
      <c r="DI237" s="44" t="str">
        <f t="shared" si="3567"/>
        <v/>
      </c>
      <c r="DJ237" s="44" t="str">
        <f t="shared" si="3568"/>
        <v/>
      </c>
      <c r="DK237" s="44" t="str">
        <f t="shared" si="3569"/>
        <v/>
      </c>
      <c r="DL237" s="44" t="str">
        <f t="shared" si="3570"/>
        <v/>
      </c>
      <c r="DM237" s="44" t="str">
        <f t="shared" si="3571"/>
        <v/>
      </c>
      <c r="DN237" s="44" t="str">
        <f t="shared" si="3572"/>
        <v/>
      </c>
      <c r="DO237" s="44" t="str">
        <f t="shared" si="3573"/>
        <v/>
      </c>
      <c r="DP237" s="44" t="str">
        <f t="shared" si="3574"/>
        <v/>
      </c>
      <c r="DQ237" s="44" t="str">
        <f t="shared" si="3575"/>
        <v/>
      </c>
      <c r="DR237" s="44" t="str">
        <f t="shared" si="3576"/>
        <v/>
      </c>
      <c r="DS237" s="44" t="str">
        <f t="shared" si="3577"/>
        <v/>
      </c>
      <c r="DT237" s="44" t="str">
        <f t="shared" si="3578"/>
        <v/>
      </c>
      <c r="DU237" s="44" t="str">
        <f t="shared" si="3579"/>
        <v/>
      </c>
      <c r="DV237" s="44" t="str">
        <f t="shared" si="3580"/>
        <v/>
      </c>
      <c r="DW237" s="44" t="str">
        <f t="shared" si="3581"/>
        <v/>
      </c>
      <c r="DX237" s="44" t="str">
        <f t="shared" si="3582"/>
        <v/>
      </c>
      <c r="DY237" s="44" t="str">
        <f t="shared" si="3583"/>
        <v/>
      </c>
      <c r="DZ237" s="44" t="str">
        <f t="shared" si="3584"/>
        <v/>
      </c>
      <c r="EA237" s="44" t="str">
        <f t="shared" si="3585"/>
        <v/>
      </c>
      <c r="EB237" s="44" t="str">
        <f t="shared" si="3586"/>
        <v/>
      </c>
      <c r="EC237" s="44" t="str">
        <f t="shared" si="3587"/>
        <v/>
      </c>
      <c r="ED237" s="44" t="str">
        <f t="shared" si="3588"/>
        <v/>
      </c>
      <c r="EE237" s="44" t="str">
        <f t="shared" si="3589"/>
        <v/>
      </c>
      <c r="EF237" s="44" t="str">
        <f t="shared" si="3590"/>
        <v/>
      </c>
      <c r="EG237" s="44" t="str">
        <f t="shared" si="3591"/>
        <v/>
      </c>
      <c r="EH237" s="44" t="str">
        <f t="shared" si="3592"/>
        <v/>
      </c>
      <c r="EI237" s="44" t="str">
        <f t="shared" si="3593"/>
        <v/>
      </c>
      <c r="EJ237" s="44" t="str">
        <f t="shared" si="3594"/>
        <v/>
      </c>
      <c r="EK237" s="44" t="str">
        <f t="shared" si="3595"/>
        <v/>
      </c>
      <c r="EL237" s="44" t="str">
        <f t="shared" si="3596"/>
        <v/>
      </c>
      <c r="EM237" s="44" t="str">
        <f t="shared" si="3597"/>
        <v/>
      </c>
      <c r="EN237" s="44" t="str">
        <f t="shared" si="3598"/>
        <v/>
      </c>
      <c r="EO237" s="44" t="str">
        <f t="shared" si="3599"/>
        <v/>
      </c>
      <c r="EP237" s="44" t="str">
        <f t="shared" si="3600"/>
        <v/>
      </c>
      <c r="EQ237" s="44" t="str">
        <f t="shared" si="3601"/>
        <v/>
      </c>
      <c r="ER237" s="44" t="str">
        <f t="shared" si="3602"/>
        <v/>
      </c>
      <c r="ES237" s="44" t="str">
        <f t="shared" si="3603"/>
        <v/>
      </c>
      <c r="ET237" s="44" t="str">
        <f t="shared" si="3604"/>
        <v/>
      </c>
      <c r="EU237" s="44" t="str">
        <f t="shared" si="3605"/>
        <v/>
      </c>
      <c r="EV237" s="44" t="str">
        <f t="shared" si="3606"/>
        <v/>
      </c>
      <c r="EW237" s="44" t="str">
        <f t="shared" si="3607"/>
        <v/>
      </c>
      <c r="EX237" s="44" t="str">
        <f t="shared" si="3608"/>
        <v/>
      </c>
      <c r="EY237" s="44" t="str">
        <f t="shared" si="3609"/>
        <v/>
      </c>
      <c r="EZ237" s="44" t="str">
        <f t="shared" si="3610"/>
        <v/>
      </c>
      <c r="FA237" s="44" t="str">
        <f t="shared" si="3611"/>
        <v/>
      </c>
      <c r="FB237" s="44" t="str">
        <f t="shared" si="3612"/>
        <v/>
      </c>
      <c r="FC237" s="44" t="str">
        <f t="shared" si="3613"/>
        <v/>
      </c>
      <c r="FD237" s="44" t="str">
        <f t="shared" si="3614"/>
        <v/>
      </c>
      <c r="FE237" s="44" t="str">
        <f t="shared" si="3615"/>
        <v/>
      </c>
      <c r="FF237" s="44" t="str">
        <f t="shared" si="3616"/>
        <v/>
      </c>
      <c r="FG237" s="44" t="str">
        <f t="shared" si="3617"/>
        <v/>
      </c>
      <c r="FH237" s="44" t="str">
        <f t="shared" si="3618"/>
        <v/>
      </c>
      <c r="FI237" s="44" t="str">
        <f t="shared" si="3619"/>
        <v/>
      </c>
      <c r="FJ237" s="44" t="str">
        <f t="shared" si="3620"/>
        <v/>
      </c>
      <c r="FK237" s="44" t="str">
        <f t="shared" si="3621"/>
        <v/>
      </c>
      <c r="FL237" s="44" t="str">
        <f t="shared" si="3622"/>
        <v/>
      </c>
      <c r="FM237" s="44" t="str">
        <f t="shared" si="3623"/>
        <v/>
      </c>
      <c r="FN237" s="44" t="str">
        <f t="shared" si="3624"/>
        <v/>
      </c>
      <c r="FO237" s="44" t="str">
        <f t="shared" si="3625"/>
        <v/>
      </c>
      <c r="FP237" s="44" t="str">
        <f t="shared" si="3626"/>
        <v/>
      </c>
      <c r="FQ237" s="44" t="str">
        <f t="shared" si="3627"/>
        <v/>
      </c>
      <c r="FR237" s="44" t="str">
        <f t="shared" si="3628"/>
        <v/>
      </c>
      <c r="FS237" s="44" t="str">
        <f t="shared" si="3629"/>
        <v/>
      </c>
    </row>
    <row r="238" spans="1:175" ht="16.5">
      <c r="A238" s="104"/>
      <c r="B238" s="5" t="s">
        <v>749</v>
      </c>
      <c r="C238" s="5" t="s">
        <v>750</v>
      </c>
      <c r="T238" s="110"/>
      <c r="U238" s="56"/>
      <c r="CN238" s="13" t="str">
        <f t="shared" si="3554"/>
        <v>InitUnitState('IC00',,,,,,,,,,)</v>
      </c>
      <c r="CO238" s="13" t="str">
        <f t="shared" si="3555"/>
        <v>InitUnitNormal('IC00',,,,,,,,,,)</v>
      </c>
      <c r="CP238" s="13" t="str">
        <f t="shared" si="3556"/>
        <v>InitUnitMagic('IC00',,,,,,,,,,)</v>
      </c>
      <c r="CQ238" s="13" t="str">
        <f t="shared" si="3557"/>
        <v>InitUnitAdd('IC00',,,,,,,,,,)</v>
      </c>
      <c r="CR238" s="13" t="str">
        <f t="shared" ref="CR238" si="3630"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InitEquipData('IC00',,"",,,,,'','','','','','',"")</v>
      </c>
      <c r="CU238" s="68" t="str">
        <f t="shared" si="3559"/>
        <v>|n</v>
      </c>
      <c r="CW238" s="7"/>
      <c r="CX238" s="7"/>
      <c r="CY238" s="7"/>
      <c r="CZ238" s="7"/>
      <c r="DA238" s="7"/>
      <c r="DB238" s="44" t="str">
        <f t="shared" si="3560"/>
        <v/>
      </c>
      <c r="DC238" s="44" t="str">
        <f t="shared" si="3561"/>
        <v/>
      </c>
      <c r="DD238" s="44" t="str">
        <f t="shared" si="3562"/>
        <v/>
      </c>
      <c r="DE238" s="44" t="str">
        <f t="shared" si="3563"/>
        <v/>
      </c>
      <c r="DF238" s="44" t="str">
        <f t="shared" si="3564"/>
        <v/>
      </c>
      <c r="DG238" s="44" t="str">
        <f t="shared" si="3565"/>
        <v/>
      </c>
      <c r="DH238" s="44" t="str">
        <f t="shared" si="3566"/>
        <v/>
      </c>
      <c r="DI238" s="44" t="str">
        <f t="shared" si="3567"/>
        <v/>
      </c>
      <c r="DJ238" s="44" t="str">
        <f t="shared" si="3568"/>
        <v/>
      </c>
      <c r="DK238" s="44" t="str">
        <f t="shared" si="3569"/>
        <v/>
      </c>
      <c r="DL238" s="44" t="str">
        <f t="shared" si="3570"/>
        <v/>
      </c>
      <c r="DM238" s="44" t="str">
        <f t="shared" si="3571"/>
        <v/>
      </c>
      <c r="DN238" s="44" t="str">
        <f t="shared" si="3572"/>
        <v/>
      </c>
      <c r="DO238" s="44" t="str">
        <f t="shared" si="3573"/>
        <v/>
      </c>
      <c r="DP238" s="44" t="str">
        <f t="shared" si="3574"/>
        <v/>
      </c>
      <c r="DQ238" s="44" t="str">
        <f t="shared" si="3575"/>
        <v/>
      </c>
      <c r="DR238" s="44" t="str">
        <f t="shared" si="3576"/>
        <v/>
      </c>
      <c r="DS238" s="44" t="str">
        <f t="shared" si="3577"/>
        <v/>
      </c>
      <c r="DT238" s="44" t="str">
        <f t="shared" si="3578"/>
        <v/>
      </c>
      <c r="DU238" s="44" t="str">
        <f t="shared" si="3579"/>
        <v/>
      </c>
      <c r="DV238" s="44" t="str">
        <f t="shared" si="3580"/>
        <v/>
      </c>
      <c r="DW238" s="44" t="str">
        <f t="shared" si="3581"/>
        <v/>
      </c>
      <c r="DX238" s="44" t="str">
        <f t="shared" si="3582"/>
        <v/>
      </c>
      <c r="DY238" s="44" t="str">
        <f t="shared" si="3583"/>
        <v/>
      </c>
      <c r="DZ238" s="44" t="str">
        <f t="shared" si="3584"/>
        <v/>
      </c>
      <c r="EA238" s="44" t="str">
        <f t="shared" si="3585"/>
        <v/>
      </c>
      <c r="EB238" s="44" t="str">
        <f t="shared" si="3586"/>
        <v/>
      </c>
      <c r="EC238" s="44" t="str">
        <f t="shared" si="3587"/>
        <v/>
      </c>
      <c r="ED238" s="44" t="str">
        <f t="shared" si="3588"/>
        <v/>
      </c>
      <c r="EE238" s="44" t="str">
        <f t="shared" si="3589"/>
        <v/>
      </c>
      <c r="EF238" s="44" t="str">
        <f t="shared" si="3590"/>
        <v/>
      </c>
      <c r="EG238" s="44" t="str">
        <f t="shared" si="3591"/>
        <v/>
      </c>
      <c r="EH238" s="44" t="str">
        <f t="shared" si="3592"/>
        <v/>
      </c>
      <c r="EI238" s="44" t="str">
        <f t="shared" si="3593"/>
        <v/>
      </c>
      <c r="EJ238" s="44" t="str">
        <f t="shared" si="3594"/>
        <v/>
      </c>
      <c r="EK238" s="44" t="str">
        <f t="shared" si="3595"/>
        <v/>
      </c>
      <c r="EL238" s="44" t="str">
        <f t="shared" si="3596"/>
        <v/>
      </c>
      <c r="EM238" s="44" t="str">
        <f t="shared" si="3597"/>
        <v/>
      </c>
      <c r="EN238" s="44" t="str">
        <f t="shared" si="3598"/>
        <v/>
      </c>
      <c r="EO238" s="44" t="str">
        <f t="shared" si="3599"/>
        <v/>
      </c>
      <c r="EP238" s="44" t="str">
        <f t="shared" si="3600"/>
        <v/>
      </c>
      <c r="EQ238" s="44" t="str">
        <f t="shared" si="3601"/>
        <v/>
      </c>
      <c r="ER238" s="44" t="str">
        <f t="shared" si="3602"/>
        <v/>
      </c>
      <c r="ES238" s="44" t="str">
        <f t="shared" si="3603"/>
        <v/>
      </c>
      <c r="ET238" s="44" t="str">
        <f t="shared" si="3604"/>
        <v/>
      </c>
      <c r="EU238" s="44" t="str">
        <f t="shared" si="3605"/>
        <v/>
      </c>
      <c r="EV238" s="44" t="str">
        <f t="shared" si="3606"/>
        <v/>
      </c>
      <c r="EW238" s="44" t="str">
        <f t="shared" si="3607"/>
        <v/>
      </c>
      <c r="EX238" s="44" t="str">
        <f t="shared" si="3608"/>
        <v/>
      </c>
      <c r="EY238" s="44" t="str">
        <f t="shared" si="3609"/>
        <v/>
      </c>
      <c r="EZ238" s="44" t="str">
        <f t="shared" si="3610"/>
        <v/>
      </c>
      <c r="FA238" s="44" t="str">
        <f t="shared" si="3611"/>
        <v/>
      </c>
      <c r="FB238" s="44" t="str">
        <f t="shared" si="3612"/>
        <v/>
      </c>
      <c r="FC238" s="44" t="str">
        <f t="shared" si="3613"/>
        <v/>
      </c>
      <c r="FD238" s="44" t="str">
        <f t="shared" si="3614"/>
        <v/>
      </c>
      <c r="FE238" s="44" t="str">
        <f t="shared" si="3615"/>
        <v/>
      </c>
      <c r="FF238" s="44" t="str">
        <f t="shared" si="3616"/>
        <v/>
      </c>
      <c r="FG238" s="44" t="str">
        <f t="shared" si="3617"/>
        <v/>
      </c>
      <c r="FH238" s="44" t="str">
        <f t="shared" si="3618"/>
        <v/>
      </c>
      <c r="FI238" s="44" t="str">
        <f t="shared" si="3619"/>
        <v/>
      </c>
      <c r="FJ238" s="44" t="str">
        <f t="shared" si="3620"/>
        <v/>
      </c>
      <c r="FK238" s="44" t="str">
        <f t="shared" si="3621"/>
        <v/>
      </c>
      <c r="FL238" s="44" t="str">
        <f t="shared" si="3622"/>
        <v/>
      </c>
      <c r="FM238" s="44" t="str">
        <f t="shared" si="3623"/>
        <v/>
      </c>
      <c r="FN238" s="44" t="str">
        <f t="shared" si="3624"/>
        <v/>
      </c>
      <c r="FO238" s="44" t="str">
        <f t="shared" si="3625"/>
        <v/>
      </c>
      <c r="FP238" s="44" t="str">
        <f t="shared" si="3626"/>
        <v/>
      </c>
      <c r="FQ238" s="44" t="str">
        <f t="shared" si="3627"/>
        <v/>
      </c>
      <c r="FR238" s="44" t="str">
        <f t="shared" si="3628"/>
        <v/>
      </c>
      <c r="FS238" s="44" t="str">
        <f t="shared" si="3629"/>
        <v/>
      </c>
    </row>
    <row r="239" spans="1:175" ht="16.5">
      <c r="A239" s="104"/>
      <c r="B239" s="5" t="s">
        <v>751</v>
      </c>
      <c r="C239" s="5" t="s">
        <v>752</v>
      </c>
      <c r="T239" s="110"/>
      <c r="U239" s="56"/>
      <c r="CN239" s="13" t="str">
        <f t="shared" ref="CN239" si="3631">"InitUnitState('"&amp;B239&amp;"',"&amp;V239&amp;","&amp;W239&amp;","&amp;X239&amp;","&amp;Y239&amp;","&amp;Z239&amp;","&amp;AA239&amp;","&amp;AB239&amp;","&amp;AC239&amp;","&amp;AD239&amp;","&amp;AE239&amp;")"</f>
        <v>InitUnitState('IC01',,,,,,,,,,)</v>
      </c>
      <c r="CO239" s="13" t="str">
        <f t="shared" ref="CO239" si="3632">"InitUnitNormal('"&amp;B239&amp;"',"&amp;AF239&amp;","&amp;AG239&amp;","&amp;AH239&amp;","&amp;AI239&amp;","&amp;AJ239&amp;","&amp;AK239&amp;","&amp;AL239&amp;","&amp;AM239&amp;","&amp;AN239&amp;","&amp;AO239&amp;")"</f>
        <v>InitUnitNormal('IC01',,,,,,,,,,)</v>
      </c>
      <c r="CP239" s="13" t="str">
        <f t="shared" ref="CP239" si="3633">"InitUnitMagic('"&amp;B239&amp;"',"&amp;AP239&amp;","&amp;AQ239&amp;","&amp;AR239&amp;","&amp;AS239&amp;","&amp;AT239&amp;","&amp;AU239&amp;","&amp;AV239&amp;","&amp;AW239&amp;","&amp;BI239&amp;","&amp;BJ239&amp;")"</f>
        <v>InitUnitMagic('IC01',,,,,,,,,,)</v>
      </c>
      <c r="CQ239" s="13" t="str">
        <f t="shared" ref="CQ239" si="3634">"InitUnitAdd('"&amp;B239&amp;"',"&amp;BK239&amp;","&amp;BL239&amp;","&amp;BM239&amp;","&amp;BN239&amp;","&amp;BO239&amp;","&amp;BP239&amp;","&amp;BQ239&amp;","&amp;BR239&amp;","&amp;BS239&amp;","&amp;BT239&amp;")"</f>
        <v>InitUnitAdd('IC01',,,,,,,,,,)</v>
      </c>
      <c r="CR239" s="13" t="str">
        <f t="shared" ref="CR239" si="3635"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InitEquipData('IC01',,"",,,,,'','','','','','',"")</v>
      </c>
      <c r="CU239" s="68" t="str">
        <f t="shared" si="3483"/>
        <v>|n</v>
      </c>
      <c r="CW239" s="7"/>
      <c r="CX239" s="7"/>
      <c r="CY239" s="7"/>
      <c r="CZ239" s="7"/>
      <c r="DA239" s="7"/>
      <c r="DB239" s="44" t="str">
        <f t="shared" si="3484"/>
        <v/>
      </c>
      <c r="DC239" s="44" t="str">
        <f t="shared" si="3485"/>
        <v/>
      </c>
      <c r="DD239" s="44" t="str">
        <f t="shared" si="3486"/>
        <v/>
      </c>
      <c r="DE239" s="44" t="str">
        <f t="shared" si="3487"/>
        <v/>
      </c>
      <c r="DF239" s="44" t="str">
        <f t="shared" si="3488"/>
        <v/>
      </c>
      <c r="DG239" s="44" t="str">
        <f t="shared" si="3489"/>
        <v/>
      </c>
      <c r="DH239" s="44" t="str">
        <f t="shared" si="3490"/>
        <v/>
      </c>
      <c r="DI239" s="44" t="str">
        <f t="shared" si="3491"/>
        <v/>
      </c>
      <c r="DJ239" s="44" t="str">
        <f t="shared" si="3492"/>
        <v/>
      </c>
      <c r="DK239" s="44" t="str">
        <f t="shared" si="3493"/>
        <v/>
      </c>
      <c r="DL239" s="44" t="str">
        <f t="shared" si="3494"/>
        <v/>
      </c>
      <c r="DM239" s="44" t="str">
        <f t="shared" si="3495"/>
        <v/>
      </c>
      <c r="DN239" s="44" t="str">
        <f t="shared" si="3496"/>
        <v/>
      </c>
      <c r="DO239" s="44" t="str">
        <f t="shared" si="3497"/>
        <v/>
      </c>
      <c r="DP239" s="44" t="str">
        <f t="shared" si="3498"/>
        <v/>
      </c>
      <c r="DQ239" s="44" t="str">
        <f t="shared" si="3499"/>
        <v/>
      </c>
      <c r="DR239" s="44" t="str">
        <f t="shared" si="3500"/>
        <v/>
      </c>
      <c r="DS239" s="44" t="str">
        <f t="shared" si="3501"/>
        <v/>
      </c>
      <c r="DT239" s="44" t="str">
        <f t="shared" si="3502"/>
        <v/>
      </c>
      <c r="DU239" s="44" t="str">
        <f t="shared" si="3503"/>
        <v/>
      </c>
      <c r="DV239" s="44" t="str">
        <f t="shared" si="3504"/>
        <v/>
      </c>
      <c r="DW239" s="44" t="str">
        <f t="shared" si="3505"/>
        <v/>
      </c>
      <c r="DX239" s="44" t="str">
        <f t="shared" si="3506"/>
        <v/>
      </c>
      <c r="DY239" s="44" t="str">
        <f t="shared" si="3507"/>
        <v/>
      </c>
      <c r="DZ239" s="44" t="str">
        <f t="shared" si="3508"/>
        <v/>
      </c>
      <c r="EA239" s="44" t="str">
        <f t="shared" si="3509"/>
        <v/>
      </c>
      <c r="EB239" s="44" t="str">
        <f t="shared" si="3510"/>
        <v/>
      </c>
      <c r="EC239" s="44" t="str">
        <f t="shared" si="3511"/>
        <v/>
      </c>
      <c r="ED239" s="44" t="str">
        <f t="shared" si="3512"/>
        <v/>
      </c>
      <c r="EE239" s="44" t="str">
        <f t="shared" si="3513"/>
        <v/>
      </c>
      <c r="EF239" s="44" t="str">
        <f t="shared" si="3514"/>
        <v/>
      </c>
      <c r="EG239" s="44" t="str">
        <f t="shared" si="3515"/>
        <v/>
      </c>
      <c r="EH239" s="44" t="str">
        <f t="shared" si="3516"/>
        <v/>
      </c>
      <c r="EI239" s="44" t="str">
        <f t="shared" si="3517"/>
        <v/>
      </c>
      <c r="EJ239" s="44" t="str">
        <f t="shared" si="3518"/>
        <v/>
      </c>
      <c r="EK239" s="44" t="str">
        <f t="shared" si="3519"/>
        <v/>
      </c>
      <c r="EL239" s="44" t="str">
        <f t="shared" si="3520"/>
        <v/>
      </c>
      <c r="EM239" s="44" t="str">
        <f t="shared" si="3521"/>
        <v/>
      </c>
      <c r="EN239" s="44" t="str">
        <f t="shared" si="3522"/>
        <v/>
      </c>
      <c r="EO239" s="44" t="str">
        <f t="shared" si="3523"/>
        <v/>
      </c>
      <c r="EP239" s="44" t="str">
        <f t="shared" si="3524"/>
        <v/>
      </c>
      <c r="EQ239" s="44" t="str">
        <f t="shared" si="3525"/>
        <v/>
      </c>
      <c r="ER239" s="44" t="str">
        <f t="shared" si="3526"/>
        <v/>
      </c>
      <c r="ES239" s="44" t="str">
        <f t="shared" si="3527"/>
        <v/>
      </c>
      <c r="ET239" s="44" t="str">
        <f t="shared" si="3528"/>
        <v/>
      </c>
      <c r="EU239" s="44" t="str">
        <f t="shared" si="3529"/>
        <v/>
      </c>
      <c r="EV239" s="44" t="str">
        <f t="shared" si="3530"/>
        <v/>
      </c>
      <c r="EW239" s="44" t="str">
        <f t="shared" si="3531"/>
        <v/>
      </c>
      <c r="EX239" s="44" t="str">
        <f t="shared" si="3532"/>
        <v/>
      </c>
      <c r="EY239" s="44" t="str">
        <f t="shared" si="3533"/>
        <v/>
      </c>
      <c r="EZ239" s="44" t="str">
        <f t="shared" si="3534"/>
        <v/>
      </c>
      <c r="FA239" s="44" t="str">
        <f t="shared" si="3535"/>
        <v/>
      </c>
      <c r="FB239" s="44" t="str">
        <f t="shared" si="3536"/>
        <v/>
      </c>
      <c r="FC239" s="44" t="str">
        <f t="shared" si="3537"/>
        <v/>
      </c>
      <c r="FD239" s="44" t="str">
        <f t="shared" si="3538"/>
        <v/>
      </c>
      <c r="FE239" s="44" t="str">
        <f t="shared" si="3539"/>
        <v/>
      </c>
      <c r="FF239" s="44" t="str">
        <f t="shared" si="3540"/>
        <v/>
      </c>
      <c r="FG239" s="44" t="str">
        <f t="shared" si="3541"/>
        <v/>
      </c>
      <c r="FH239" s="44" t="str">
        <f t="shared" si="3542"/>
        <v/>
      </c>
      <c r="FI239" s="44" t="str">
        <f t="shared" si="3543"/>
        <v/>
      </c>
      <c r="FJ239" s="44" t="str">
        <f t="shared" si="3544"/>
        <v/>
      </c>
      <c r="FK239" s="44" t="str">
        <f t="shared" si="3545"/>
        <v/>
      </c>
      <c r="FL239" s="44" t="str">
        <f t="shared" si="3546"/>
        <v/>
      </c>
      <c r="FM239" s="44" t="str">
        <f t="shared" si="3547"/>
        <v/>
      </c>
      <c r="FN239" s="44" t="str">
        <f t="shared" si="3548"/>
        <v/>
      </c>
      <c r="FO239" s="44" t="str">
        <f t="shared" si="3549"/>
        <v/>
      </c>
      <c r="FP239" s="44" t="str">
        <f t="shared" si="3550"/>
        <v/>
      </c>
      <c r="FQ239" s="44" t="str">
        <f t="shared" si="3551"/>
        <v/>
      </c>
      <c r="FR239" s="44" t="str">
        <f t="shared" si="3552"/>
        <v/>
      </c>
      <c r="FS239" s="44" t="str">
        <f t="shared" si="3553"/>
        <v/>
      </c>
    </row>
    <row r="240" spans="1:175" ht="16.5">
      <c r="A240" s="8"/>
      <c r="B240" s="5" t="s">
        <v>753</v>
      </c>
      <c r="C240" s="5" t="s">
        <v>101</v>
      </c>
      <c r="T240" s="114"/>
      <c r="U240" s="56"/>
      <c r="CN240" s="13" t="str">
        <f t="shared" ref="CN240:CN248" si="3636">"InitUnitState('"&amp;B240&amp;"',"&amp;V240&amp;","&amp;W240&amp;","&amp;X240&amp;","&amp;Y240&amp;","&amp;Z240&amp;","&amp;AA240&amp;","&amp;AB240&amp;","&amp;AC240&amp;","&amp;AD240&amp;","&amp;AE240&amp;")"</f>
        <v>InitUnitState('IC02',,,,,,,,,,)</v>
      </c>
      <c r="CO240" s="13" t="str">
        <f t="shared" ref="CO240:CO248" si="3637">"InitUnitNormal('"&amp;B240&amp;"',"&amp;AF240&amp;","&amp;AG240&amp;","&amp;AH240&amp;","&amp;AI240&amp;","&amp;AJ240&amp;","&amp;AK240&amp;","&amp;AL240&amp;","&amp;AM240&amp;","&amp;AN240&amp;","&amp;AO240&amp;")"</f>
        <v>InitUnitNormal('IC02',,,,,,,,,,)</v>
      </c>
      <c r="CP240" s="13" t="str">
        <f t="shared" ref="CP240:CP248" si="3638">"InitUnitMagic('"&amp;B240&amp;"',"&amp;AP240&amp;","&amp;AQ240&amp;","&amp;AR240&amp;","&amp;AS240&amp;","&amp;AT240&amp;","&amp;AU240&amp;","&amp;AV240&amp;","&amp;AW240&amp;","&amp;BI240&amp;","&amp;BJ240&amp;")"</f>
        <v>InitUnitMagic('IC02',,,,,,,,,,)</v>
      </c>
      <c r="CQ240" s="13" t="str">
        <f t="shared" ref="CQ240:CQ248" si="3639">"InitUnitAdd('"&amp;B240&amp;"',"&amp;BK240&amp;","&amp;BL240&amp;","&amp;BM240&amp;","&amp;BN240&amp;","&amp;BO240&amp;","&amp;BP240&amp;","&amp;BQ240&amp;","&amp;BR240&amp;","&amp;BS240&amp;","&amp;BT240&amp;")"</f>
        <v>InitUnitAdd('IC02',,,,,,,,,,)</v>
      </c>
      <c r="CR240" s="13" t="str">
        <f t="shared" si="3411"/>
        <v>InitEquipData('IC02',,"",,,,,'','','','','','',"")</v>
      </c>
      <c r="CU240" s="68" t="str">
        <f t="shared" si="3483"/>
        <v>|n</v>
      </c>
      <c r="CW240" s="7"/>
      <c r="CX240" s="7"/>
      <c r="CY240" s="7"/>
      <c r="CZ240" s="7"/>
      <c r="DA240" s="7"/>
      <c r="DB240" s="44" t="str">
        <f t="shared" si="3484"/>
        <v/>
      </c>
      <c r="DC240" s="44" t="str">
        <f t="shared" si="3485"/>
        <v/>
      </c>
      <c r="DD240" s="44" t="str">
        <f t="shared" si="3486"/>
        <v/>
      </c>
      <c r="DE240" s="44" t="str">
        <f t="shared" si="3487"/>
        <v/>
      </c>
      <c r="DF240" s="44" t="str">
        <f t="shared" si="3488"/>
        <v/>
      </c>
      <c r="DG240" s="44" t="str">
        <f t="shared" si="3489"/>
        <v/>
      </c>
      <c r="DH240" s="44" t="str">
        <f t="shared" si="3490"/>
        <v/>
      </c>
      <c r="DI240" s="44" t="str">
        <f t="shared" si="3491"/>
        <v/>
      </c>
      <c r="DJ240" s="44" t="str">
        <f t="shared" si="3492"/>
        <v/>
      </c>
      <c r="DK240" s="44" t="str">
        <f t="shared" si="3493"/>
        <v/>
      </c>
      <c r="DL240" s="44" t="str">
        <f t="shared" si="3494"/>
        <v/>
      </c>
      <c r="DM240" s="44" t="str">
        <f t="shared" si="3495"/>
        <v/>
      </c>
      <c r="DN240" s="44" t="str">
        <f t="shared" si="3496"/>
        <v/>
      </c>
      <c r="DO240" s="44" t="str">
        <f t="shared" si="3497"/>
        <v/>
      </c>
      <c r="DP240" s="44" t="str">
        <f t="shared" si="3498"/>
        <v/>
      </c>
      <c r="DQ240" s="44" t="str">
        <f t="shared" si="3499"/>
        <v/>
      </c>
      <c r="DR240" s="44" t="str">
        <f t="shared" si="3500"/>
        <v/>
      </c>
      <c r="DS240" s="44" t="str">
        <f t="shared" si="3501"/>
        <v/>
      </c>
      <c r="DT240" s="44" t="str">
        <f t="shared" si="3502"/>
        <v/>
      </c>
      <c r="DU240" s="44" t="str">
        <f t="shared" si="3503"/>
        <v/>
      </c>
      <c r="DV240" s="44" t="str">
        <f t="shared" si="3504"/>
        <v/>
      </c>
      <c r="DW240" s="44" t="str">
        <f t="shared" si="3505"/>
        <v/>
      </c>
      <c r="DX240" s="44" t="str">
        <f t="shared" si="3506"/>
        <v/>
      </c>
      <c r="DY240" s="44" t="str">
        <f t="shared" si="3507"/>
        <v/>
      </c>
      <c r="DZ240" s="44" t="str">
        <f t="shared" si="3508"/>
        <v/>
      </c>
      <c r="EA240" s="44" t="str">
        <f t="shared" si="3509"/>
        <v/>
      </c>
      <c r="EB240" s="44" t="str">
        <f t="shared" si="3510"/>
        <v/>
      </c>
      <c r="EC240" s="44" t="str">
        <f t="shared" si="3511"/>
        <v/>
      </c>
      <c r="ED240" s="44" t="str">
        <f t="shared" si="3512"/>
        <v/>
      </c>
      <c r="EE240" s="44" t="str">
        <f t="shared" si="3513"/>
        <v/>
      </c>
      <c r="EF240" s="44" t="str">
        <f t="shared" si="3514"/>
        <v/>
      </c>
      <c r="EG240" s="44" t="str">
        <f t="shared" si="3515"/>
        <v/>
      </c>
      <c r="EH240" s="44" t="str">
        <f t="shared" si="3516"/>
        <v/>
      </c>
      <c r="EI240" s="44" t="str">
        <f t="shared" si="3517"/>
        <v/>
      </c>
      <c r="EJ240" s="44" t="str">
        <f t="shared" si="3518"/>
        <v/>
      </c>
      <c r="EK240" s="44" t="str">
        <f t="shared" si="3519"/>
        <v/>
      </c>
      <c r="EL240" s="44" t="str">
        <f t="shared" si="3520"/>
        <v/>
      </c>
      <c r="EM240" s="44" t="str">
        <f t="shared" si="3521"/>
        <v/>
      </c>
      <c r="EN240" s="44" t="str">
        <f t="shared" si="3522"/>
        <v/>
      </c>
      <c r="EO240" s="44" t="str">
        <f t="shared" si="3523"/>
        <v/>
      </c>
      <c r="EP240" s="44" t="str">
        <f t="shared" si="3524"/>
        <v/>
      </c>
      <c r="EQ240" s="44" t="str">
        <f t="shared" si="3525"/>
        <v/>
      </c>
      <c r="ER240" s="44" t="str">
        <f t="shared" si="3526"/>
        <v/>
      </c>
      <c r="ES240" s="44" t="str">
        <f t="shared" si="3527"/>
        <v/>
      </c>
      <c r="ET240" s="44" t="str">
        <f t="shared" si="3528"/>
        <v/>
      </c>
      <c r="EU240" s="44" t="str">
        <f t="shared" si="3529"/>
        <v/>
      </c>
      <c r="EV240" s="44" t="str">
        <f t="shared" si="3530"/>
        <v/>
      </c>
      <c r="EW240" s="44" t="str">
        <f t="shared" si="3531"/>
        <v/>
      </c>
      <c r="EX240" s="44" t="str">
        <f t="shared" si="3532"/>
        <v/>
      </c>
      <c r="EY240" s="44" t="str">
        <f t="shared" si="3533"/>
        <v/>
      </c>
      <c r="EZ240" s="44" t="str">
        <f t="shared" si="3534"/>
        <v/>
      </c>
      <c r="FA240" s="44" t="str">
        <f t="shared" si="3535"/>
        <v/>
      </c>
      <c r="FB240" s="44" t="str">
        <f t="shared" si="3536"/>
        <v/>
      </c>
      <c r="FC240" s="44" t="str">
        <f t="shared" si="3537"/>
        <v/>
      </c>
      <c r="FD240" s="44" t="str">
        <f t="shared" si="3538"/>
        <v/>
      </c>
      <c r="FE240" s="44" t="str">
        <f t="shared" si="3539"/>
        <v/>
      </c>
      <c r="FF240" s="44" t="str">
        <f t="shared" si="3540"/>
        <v/>
      </c>
      <c r="FG240" s="44" t="str">
        <f t="shared" si="3541"/>
        <v/>
      </c>
      <c r="FH240" s="44" t="str">
        <f t="shared" si="3542"/>
        <v/>
      </c>
      <c r="FI240" s="44" t="str">
        <f t="shared" si="3543"/>
        <v/>
      </c>
      <c r="FJ240" s="44" t="str">
        <f t="shared" si="3544"/>
        <v/>
      </c>
      <c r="FK240" s="44" t="str">
        <f t="shared" si="3545"/>
        <v/>
      </c>
      <c r="FL240" s="44" t="str">
        <f t="shared" si="3546"/>
        <v/>
      </c>
      <c r="FM240" s="44" t="str">
        <f t="shared" si="3547"/>
        <v/>
      </c>
      <c r="FN240" s="44" t="str">
        <f t="shared" si="3548"/>
        <v/>
      </c>
      <c r="FO240" s="44" t="str">
        <f t="shared" si="3549"/>
        <v/>
      </c>
      <c r="FP240" s="44" t="str">
        <f t="shared" si="3550"/>
        <v/>
      </c>
      <c r="FQ240" s="44" t="str">
        <f t="shared" si="3551"/>
        <v/>
      </c>
      <c r="FR240" s="44" t="str">
        <f t="shared" si="3552"/>
        <v/>
      </c>
      <c r="FS240" s="44" t="str">
        <f t="shared" si="3553"/>
        <v/>
      </c>
    </row>
    <row r="241" spans="1:175" s="7" customFormat="1" ht="16.5">
      <c r="A241" s="106"/>
      <c r="B241" s="5" t="s">
        <v>754</v>
      </c>
      <c r="C241" s="5" t="s">
        <v>755</v>
      </c>
      <c r="D241" s="46"/>
      <c r="E241" s="47"/>
      <c r="F241" s="107"/>
      <c r="G241" s="108"/>
      <c r="H241" s="108"/>
      <c r="I241" s="108"/>
      <c r="J241" s="108"/>
      <c r="K241" s="108"/>
      <c r="L241" s="108"/>
      <c r="M241" s="108"/>
      <c r="N241" s="108"/>
      <c r="O241" s="108"/>
      <c r="P241" s="52"/>
      <c r="Q241" s="52"/>
      <c r="R241" s="52"/>
      <c r="S241" s="52"/>
      <c r="T241" s="59"/>
      <c r="U241" s="56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63"/>
      <c r="AS241" s="63"/>
      <c r="AT241" s="57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7"/>
      <c r="CC241" s="57"/>
      <c r="CD241" s="57"/>
      <c r="CE241" s="57"/>
      <c r="CF241" s="57"/>
      <c r="CG241" s="57"/>
      <c r="CH241" s="57"/>
      <c r="CI241" s="57"/>
      <c r="CJ241" s="57"/>
      <c r="CK241" s="57"/>
      <c r="CL241" s="57"/>
      <c r="CM241" s="57"/>
      <c r="CN241" s="66" t="str">
        <f t="shared" si="3636"/>
        <v>InitUnitState('IC03',,,,,,,,,,)</v>
      </c>
      <c r="CO241" s="66" t="str">
        <f t="shared" si="3637"/>
        <v>InitUnitNormal('IC03',,,,,,,,,,)</v>
      </c>
      <c r="CP241" s="66" t="str">
        <f t="shared" si="3638"/>
        <v>InitUnitMagic('IC03',,,,,,,,,,)</v>
      </c>
      <c r="CQ241" s="66" t="str">
        <f t="shared" si="3639"/>
        <v>InitUnitAdd('IC03',,,,,,,,,,)</v>
      </c>
      <c r="CR241" s="66" t="str">
        <f t="shared" si="3411"/>
        <v>InitEquipData('IC03',,"",,,,,'','','','','','',"")</v>
      </c>
      <c r="CS241" s="66"/>
      <c r="CT241" s="66"/>
      <c r="CU241" s="68" t="str">
        <f t="shared" si="3483"/>
        <v>|n</v>
      </c>
      <c r="CV241" s="6"/>
      <c r="DB241" s="44" t="str">
        <f t="shared" si="3484"/>
        <v/>
      </c>
      <c r="DC241" s="44" t="str">
        <f t="shared" si="3485"/>
        <v/>
      </c>
      <c r="DD241" s="44" t="str">
        <f t="shared" si="3486"/>
        <v/>
      </c>
      <c r="DE241" s="44" t="str">
        <f t="shared" si="3487"/>
        <v/>
      </c>
      <c r="DF241" s="44" t="str">
        <f t="shared" si="3488"/>
        <v/>
      </c>
      <c r="DG241" s="44" t="str">
        <f t="shared" si="3489"/>
        <v/>
      </c>
      <c r="DH241" s="44" t="str">
        <f t="shared" si="3490"/>
        <v/>
      </c>
      <c r="DI241" s="44" t="str">
        <f t="shared" si="3491"/>
        <v/>
      </c>
      <c r="DJ241" s="44" t="str">
        <f t="shared" si="3492"/>
        <v/>
      </c>
      <c r="DK241" s="44" t="str">
        <f t="shared" si="3493"/>
        <v/>
      </c>
      <c r="DL241" s="44" t="str">
        <f t="shared" si="3494"/>
        <v/>
      </c>
      <c r="DM241" s="44" t="str">
        <f t="shared" si="3495"/>
        <v/>
      </c>
      <c r="DN241" s="44" t="str">
        <f t="shared" si="3496"/>
        <v/>
      </c>
      <c r="DO241" s="44" t="str">
        <f t="shared" si="3497"/>
        <v/>
      </c>
      <c r="DP241" s="44" t="str">
        <f t="shared" si="3498"/>
        <v/>
      </c>
      <c r="DQ241" s="44" t="str">
        <f t="shared" si="3499"/>
        <v/>
      </c>
      <c r="DR241" s="44" t="str">
        <f t="shared" si="3500"/>
        <v/>
      </c>
      <c r="DS241" s="44" t="str">
        <f t="shared" si="3501"/>
        <v/>
      </c>
      <c r="DT241" s="44" t="str">
        <f t="shared" si="3502"/>
        <v/>
      </c>
      <c r="DU241" s="44" t="str">
        <f t="shared" si="3503"/>
        <v/>
      </c>
      <c r="DV241" s="44" t="str">
        <f t="shared" si="3504"/>
        <v/>
      </c>
      <c r="DW241" s="44" t="str">
        <f t="shared" si="3505"/>
        <v/>
      </c>
      <c r="DX241" s="44" t="str">
        <f t="shared" si="3506"/>
        <v/>
      </c>
      <c r="DY241" s="44" t="str">
        <f t="shared" si="3507"/>
        <v/>
      </c>
      <c r="DZ241" s="44" t="str">
        <f t="shared" si="3508"/>
        <v/>
      </c>
      <c r="EA241" s="44" t="str">
        <f t="shared" si="3509"/>
        <v/>
      </c>
      <c r="EB241" s="44" t="str">
        <f t="shared" si="3510"/>
        <v/>
      </c>
      <c r="EC241" s="44" t="str">
        <f t="shared" si="3511"/>
        <v/>
      </c>
      <c r="ED241" s="44" t="str">
        <f t="shared" si="3512"/>
        <v/>
      </c>
      <c r="EE241" s="44" t="str">
        <f t="shared" si="3513"/>
        <v/>
      </c>
      <c r="EF241" s="44" t="str">
        <f t="shared" si="3514"/>
        <v/>
      </c>
      <c r="EG241" s="44" t="str">
        <f t="shared" si="3515"/>
        <v/>
      </c>
      <c r="EH241" s="44" t="str">
        <f t="shared" si="3516"/>
        <v/>
      </c>
      <c r="EI241" s="44" t="str">
        <f t="shared" si="3517"/>
        <v/>
      </c>
      <c r="EJ241" s="44" t="str">
        <f t="shared" si="3518"/>
        <v/>
      </c>
      <c r="EK241" s="44" t="str">
        <f t="shared" si="3519"/>
        <v/>
      </c>
      <c r="EL241" s="44" t="str">
        <f t="shared" si="3520"/>
        <v/>
      </c>
      <c r="EM241" s="44" t="str">
        <f t="shared" si="3521"/>
        <v/>
      </c>
      <c r="EN241" s="44" t="str">
        <f t="shared" si="3522"/>
        <v/>
      </c>
      <c r="EO241" s="44" t="str">
        <f t="shared" si="3523"/>
        <v/>
      </c>
      <c r="EP241" s="44" t="str">
        <f t="shared" si="3524"/>
        <v/>
      </c>
      <c r="EQ241" s="44" t="str">
        <f t="shared" si="3525"/>
        <v/>
      </c>
      <c r="ER241" s="44" t="str">
        <f t="shared" si="3526"/>
        <v/>
      </c>
      <c r="ES241" s="44" t="str">
        <f t="shared" si="3527"/>
        <v/>
      </c>
      <c r="ET241" s="44" t="str">
        <f t="shared" si="3528"/>
        <v/>
      </c>
      <c r="EU241" s="44" t="str">
        <f t="shared" si="3529"/>
        <v/>
      </c>
      <c r="EV241" s="44" t="str">
        <f t="shared" si="3530"/>
        <v/>
      </c>
      <c r="EW241" s="44" t="str">
        <f t="shared" si="3531"/>
        <v/>
      </c>
      <c r="EX241" s="44" t="str">
        <f t="shared" si="3532"/>
        <v/>
      </c>
      <c r="EY241" s="44" t="str">
        <f t="shared" si="3533"/>
        <v/>
      </c>
      <c r="EZ241" s="44" t="str">
        <f t="shared" si="3534"/>
        <v/>
      </c>
      <c r="FA241" s="44" t="str">
        <f t="shared" si="3535"/>
        <v/>
      </c>
      <c r="FB241" s="44" t="str">
        <f t="shared" si="3536"/>
        <v/>
      </c>
      <c r="FC241" s="44" t="str">
        <f t="shared" si="3537"/>
        <v/>
      </c>
      <c r="FD241" s="44" t="str">
        <f t="shared" si="3538"/>
        <v/>
      </c>
      <c r="FE241" s="44" t="str">
        <f t="shared" si="3539"/>
        <v/>
      </c>
      <c r="FF241" s="44" t="str">
        <f t="shared" si="3540"/>
        <v/>
      </c>
      <c r="FG241" s="44" t="str">
        <f t="shared" si="3541"/>
        <v/>
      </c>
      <c r="FH241" s="44" t="str">
        <f t="shared" si="3542"/>
        <v/>
      </c>
      <c r="FI241" s="44" t="str">
        <f t="shared" si="3543"/>
        <v/>
      </c>
      <c r="FJ241" s="44" t="str">
        <f t="shared" si="3544"/>
        <v/>
      </c>
      <c r="FK241" s="44" t="str">
        <f t="shared" si="3545"/>
        <v/>
      </c>
      <c r="FL241" s="44" t="str">
        <f t="shared" si="3546"/>
        <v/>
      </c>
      <c r="FM241" s="44" t="str">
        <f t="shared" si="3547"/>
        <v/>
      </c>
      <c r="FN241" s="44" t="str">
        <f t="shared" si="3548"/>
        <v/>
      </c>
      <c r="FO241" s="44" t="str">
        <f t="shared" si="3549"/>
        <v/>
      </c>
      <c r="FP241" s="44" t="str">
        <f t="shared" si="3550"/>
        <v/>
      </c>
      <c r="FQ241" s="44" t="str">
        <f t="shared" si="3551"/>
        <v/>
      </c>
      <c r="FR241" s="44" t="str">
        <f t="shared" si="3552"/>
        <v/>
      </c>
      <c r="FS241" s="44" t="str">
        <f t="shared" si="3553"/>
        <v/>
      </c>
    </row>
    <row r="242" spans="1:175" s="7" customFormat="1" ht="16.5">
      <c r="A242" s="106"/>
      <c r="B242" s="5" t="s">
        <v>756</v>
      </c>
      <c r="C242" s="5" t="s">
        <v>757</v>
      </c>
      <c r="D242" s="46"/>
      <c r="E242" s="47"/>
      <c r="F242" s="107"/>
      <c r="G242" s="108"/>
      <c r="H242" s="108"/>
      <c r="I242" s="108"/>
      <c r="J242" s="108"/>
      <c r="K242" s="108"/>
      <c r="L242" s="108"/>
      <c r="M242" s="108"/>
      <c r="N242" s="108"/>
      <c r="O242" s="108"/>
      <c r="P242" s="52"/>
      <c r="Q242" s="52"/>
      <c r="R242" s="52"/>
      <c r="S242" s="52"/>
      <c r="T242" s="59"/>
      <c r="U242" s="56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63"/>
      <c r="AS242" s="63"/>
      <c r="AT242" s="57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66" t="str">
        <f t="shared" si="3636"/>
        <v>InitUnitState('IC04',,,,,,,,,,)</v>
      </c>
      <c r="CO242" s="66" t="str">
        <f t="shared" si="3637"/>
        <v>InitUnitNormal('IC04',,,,,,,,,,)</v>
      </c>
      <c r="CP242" s="66" t="str">
        <f t="shared" si="3638"/>
        <v>InitUnitMagic('IC04',,,,,,,,,,)</v>
      </c>
      <c r="CQ242" s="66" t="str">
        <f t="shared" si="3639"/>
        <v>InitUnitAdd('IC04',,,,,,,,,,)</v>
      </c>
      <c r="CR242" s="66" t="str">
        <f t="shared" si="3411"/>
        <v>InitEquipData('IC04',,"",,,,,'','','','','','',"")</v>
      </c>
      <c r="CS242" s="66"/>
      <c r="CT242" s="66"/>
      <c r="CU242" s="68" t="str">
        <f t="shared" si="3483"/>
        <v>|n</v>
      </c>
      <c r="CV242" s="6"/>
      <c r="DB242" s="44" t="str">
        <f t="shared" si="3484"/>
        <v/>
      </c>
      <c r="DC242" s="44" t="str">
        <f t="shared" si="3485"/>
        <v/>
      </c>
      <c r="DD242" s="44" t="str">
        <f t="shared" si="3486"/>
        <v/>
      </c>
      <c r="DE242" s="44" t="str">
        <f t="shared" si="3487"/>
        <v/>
      </c>
      <c r="DF242" s="44" t="str">
        <f t="shared" si="3488"/>
        <v/>
      </c>
      <c r="DG242" s="44" t="str">
        <f t="shared" si="3489"/>
        <v/>
      </c>
      <c r="DH242" s="44" t="str">
        <f t="shared" si="3490"/>
        <v/>
      </c>
      <c r="DI242" s="44" t="str">
        <f t="shared" si="3491"/>
        <v/>
      </c>
      <c r="DJ242" s="44" t="str">
        <f t="shared" si="3492"/>
        <v/>
      </c>
      <c r="DK242" s="44" t="str">
        <f t="shared" si="3493"/>
        <v/>
      </c>
      <c r="DL242" s="44" t="str">
        <f t="shared" si="3494"/>
        <v/>
      </c>
      <c r="DM242" s="44" t="str">
        <f t="shared" si="3495"/>
        <v/>
      </c>
      <c r="DN242" s="44" t="str">
        <f t="shared" si="3496"/>
        <v/>
      </c>
      <c r="DO242" s="44" t="str">
        <f t="shared" si="3497"/>
        <v/>
      </c>
      <c r="DP242" s="44" t="str">
        <f t="shared" si="3498"/>
        <v/>
      </c>
      <c r="DQ242" s="44" t="str">
        <f t="shared" si="3499"/>
        <v/>
      </c>
      <c r="DR242" s="44" t="str">
        <f t="shared" si="3500"/>
        <v/>
      </c>
      <c r="DS242" s="44" t="str">
        <f t="shared" si="3501"/>
        <v/>
      </c>
      <c r="DT242" s="44" t="str">
        <f t="shared" si="3502"/>
        <v/>
      </c>
      <c r="DU242" s="44" t="str">
        <f t="shared" si="3503"/>
        <v/>
      </c>
      <c r="DV242" s="44" t="str">
        <f t="shared" si="3504"/>
        <v/>
      </c>
      <c r="DW242" s="44" t="str">
        <f t="shared" si="3505"/>
        <v/>
      </c>
      <c r="DX242" s="44" t="str">
        <f t="shared" si="3506"/>
        <v/>
      </c>
      <c r="DY242" s="44" t="str">
        <f t="shared" si="3507"/>
        <v/>
      </c>
      <c r="DZ242" s="44" t="str">
        <f t="shared" si="3508"/>
        <v/>
      </c>
      <c r="EA242" s="44" t="str">
        <f t="shared" si="3509"/>
        <v/>
      </c>
      <c r="EB242" s="44" t="str">
        <f t="shared" si="3510"/>
        <v/>
      </c>
      <c r="EC242" s="44" t="str">
        <f t="shared" si="3511"/>
        <v/>
      </c>
      <c r="ED242" s="44" t="str">
        <f t="shared" si="3512"/>
        <v/>
      </c>
      <c r="EE242" s="44" t="str">
        <f t="shared" si="3513"/>
        <v/>
      </c>
      <c r="EF242" s="44" t="str">
        <f t="shared" si="3514"/>
        <v/>
      </c>
      <c r="EG242" s="44" t="str">
        <f t="shared" si="3515"/>
        <v/>
      </c>
      <c r="EH242" s="44" t="str">
        <f t="shared" si="3516"/>
        <v/>
      </c>
      <c r="EI242" s="44" t="str">
        <f t="shared" si="3517"/>
        <v/>
      </c>
      <c r="EJ242" s="44" t="str">
        <f t="shared" si="3518"/>
        <v/>
      </c>
      <c r="EK242" s="44" t="str">
        <f t="shared" si="3519"/>
        <v/>
      </c>
      <c r="EL242" s="44" t="str">
        <f t="shared" si="3520"/>
        <v/>
      </c>
      <c r="EM242" s="44" t="str">
        <f t="shared" si="3521"/>
        <v/>
      </c>
      <c r="EN242" s="44" t="str">
        <f t="shared" si="3522"/>
        <v/>
      </c>
      <c r="EO242" s="44" t="str">
        <f t="shared" si="3523"/>
        <v/>
      </c>
      <c r="EP242" s="44" t="str">
        <f t="shared" si="3524"/>
        <v/>
      </c>
      <c r="EQ242" s="44" t="str">
        <f t="shared" si="3525"/>
        <v/>
      </c>
      <c r="ER242" s="44" t="str">
        <f t="shared" si="3526"/>
        <v/>
      </c>
      <c r="ES242" s="44" t="str">
        <f t="shared" si="3527"/>
        <v/>
      </c>
      <c r="ET242" s="44" t="str">
        <f t="shared" si="3528"/>
        <v/>
      </c>
      <c r="EU242" s="44" t="str">
        <f t="shared" si="3529"/>
        <v/>
      </c>
      <c r="EV242" s="44" t="str">
        <f t="shared" si="3530"/>
        <v/>
      </c>
      <c r="EW242" s="44" t="str">
        <f t="shared" si="3531"/>
        <v/>
      </c>
      <c r="EX242" s="44" t="str">
        <f t="shared" si="3532"/>
        <v/>
      </c>
      <c r="EY242" s="44" t="str">
        <f t="shared" si="3533"/>
        <v/>
      </c>
      <c r="EZ242" s="44" t="str">
        <f t="shared" si="3534"/>
        <v/>
      </c>
      <c r="FA242" s="44" t="str">
        <f t="shared" si="3535"/>
        <v/>
      </c>
      <c r="FB242" s="44" t="str">
        <f t="shared" si="3536"/>
        <v/>
      </c>
      <c r="FC242" s="44" t="str">
        <f t="shared" si="3537"/>
        <v/>
      </c>
      <c r="FD242" s="44" t="str">
        <f t="shared" si="3538"/>
        <v/>
      </c>
      <c r="FE242" s="44" t="str">
        <f t="shared" si="3539"/>
        <v/>
      </c>
      <c r="FF242" s="44" t="str">
        <f t="shared" si="3540"/>
        <v/>
      </c>
      <c r="FG242" s="44" t="str">
        <f t="shared" si="3541"/>
        <v/>
      </c>
      <c r="FH242" s="44" t="str">
        <f t="shared" si="3542"/>
        <v/>
      </c>
      <c r="FI242" s="44" t="str">
        <f t="shared" si="3543"/>
        <v/>
      </c>
      <c r="FJ242" s="44" t="str">
        <f t="shared" si="3544"/>
        <v/>
      </c>
      <c r="FK242" s="44" t="str">
        <f t="shared" si="3545"/>
        <v/>
      </c>
      <c r="FL242" s="44" t="str">
        <f t="shared" si="3546"/>
        <v/>
      </c>
      <c r="FM242" s="44" t="str">
        <f t="shared" si="3547"/>
        <v/>
      </c>
      <c r="FN242" s="44" t="str">
        <f t="shared" si="3548"/>
        <v/>
      </c>
      <c r="FO242" s="44" t="str">
        <f t="shared" si="3549"/>
        <v/>
      </c>
      <c r="FP242" s="44" t="str">
        <f t="shared" si="3550"/>
        <v/>
      </c>
      <c r="FQ242" s="44" t="str">
        <f t="shared" si="3551"/>
        <v/>
      </c>
      <c r="FR242" s="44" t="str">
        <f t="shared" si="3552"/>
        <v/>
      </c>
      <c r="FS242" s="44" t="str">
        <f t="shared" si="3553"/>
        <v/>
      </c>
    </row>
    <row r="243" spans="1:175" s="7" customFormat="1" ht="16.5">
      <c r="A243" s="106"/>
      <c r="B243" s="5" t="s">
        <v>758</v>
      </c>
      <c r="C243" s="5" t="s">
        <v>759</v>
      </c>
      <c r="D243" s="46"/>
      <c r="E243" s="47"/>
      <c r="F243" s="107"/>
      <c r="G243" s="108"/>
      <c r="H243" s="108"/>
      <c r="I243" s="108"/>
      <c r="J243" s="108"/>
      <c r="K243" s="108"/>
      <c r="L243" s="108"/>
      <c r="M243" s="108"/>
      <c r="N243" s="108"/>
      <c r="O243" s="108"/>
      <c r="P243" s="52"/>
      <c r="Q243" s="52"/>
      <c r="R243" s="52"/>
      <c r="S243" s="52"/>
      <c r="T243" s="59"/>
      <c r="U243" s="56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63"/>
      <c r="AS243" s="63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66" t="str">
        <f t="shared" si="3636"/>
        <v>InitUnitState('IC05',,,,,,,,,,)</v>
      </c>
      <c r="CO243" s="66" t="str">
        <f t="shared" si="3637"/>
        <v>InitUnitNormal('IC05',,,,,,,,,,)</v>
      </c>
      <c r="CP243" s="66" t="str">
        <f t="shared" si="3638"/>
        <v>InitUnitMagic('IC05',,,,,,,,,,)</v>
      </c>
      <c r="CQ243" s="66" t="str">
        <f t="shared" si="3639"/>
        <v>InitUnitAdd('IC05',,,,,,,,,,)</v>
      </c>
      <c r="CR243" s="66" t="str">
        <f t="shared" si="3411"/>
        <v>InitEquipData('IC05',,"",,,,,'','','','','','',"")</v>
      </c>
      <c r="CS243" s="66"/>
      <c r="CT243" s="66"/>
      <c r="CU243" s="68" t="str">
        <f t="shared" si="3483"/>
        <v>|n</v>
      </c>
      <c r="CV243" s="6"/>
      <c r="DB243" s="44" t="str">
        <f t="shared" si="3484"/>
        <v/>
      </c>
      <c r="DC243" s="44" t="str">
        <f t="shared" si="3485"/>
        <v/>
      </c>
      <c r="DD243" s="44" t="str">
        <f t="shared" si="3486"/>
        <v/>
      </c>
      <c r="DE243" s="44" t="str">
        <f t="shared" si="3487"/>
        <v/>
      </c>
      <c r="DF243" s="44" t="str">
        <f t="shared" si="3488"/>
        <v/>
      </c>
      <c r="DG243" s="44" t="str">
        <f t="shared" si="3489"/>
        <v/>
      </c>
      <c r="DH243" s="44" t="str">
        <f t="shared" si="3490"/>
        <v/>
      </c>
      <c r="DI243" s="44" t="str">
        <f t="shared" si="3491"/>
        <v/>
      </c>
      <c r="DJ243" s="44" t="str">
        <f t="shared" si="3492"/>
        <v/>
      </c>
      <c r="DK243" s="44" t="str">
        <f t="shared" si="3493"/>
        <v/>
      </c>
      <c r="DL243" s="44" t="str">
        <f t="shared" si="3494"/>
        <v/>
      </c>
      <c r="DM243" s="44" t="str">
        <f t="shared" si="3495"/>
        <v/>
      </c>
      <c r="DN243" s="44" t="str">
        <f t="shared" si="3496"/>
        <v/>
      </c>
      <c r="DO243" s="44" t="str">
        <f t="shared" si="3497"/>
        <v/>
      </c>
      <c r="DP243" s="44" t="str">
        <f t="shared" si="3498"/>
        <v/>
      </c>
      <c r="DQ243" s="44" t="str">
        <f t="shared" si="3499"/>
        <v/>
      </c>
      <c r="DR243" s="44" t="str">
        <f t="shared" si="3500"/>
        <v/>
      </c>
      <c r="DS243" s="44" t="str">
        <f t="shared" si="3501"/>
        <v/>
      </c>
      <c r="DT243" s="44" t="str">
        <f t="shared" si="3502"/>
        <v/>
      </c>
      <c r="DU243" s="44" t="str">
        <f t="shared" si="3503"/>
        <v/>
      </c>
      <c r="DV243" s="44" t="str">
        <f t="shared" si="3504"/>
        <v/>
      </c>
      <c r="DW243" s="44" t="str">
        <f t="shared" si="3505"/>
        <v/>
      </c>
      <c r="DX243" s="44" t="str">
        <f t="shared" si="3506"/>
        <v/>
      </c>
      <c r="DY243" s="44" t="str">
        <f t="shared" si="3507"/>
        <v/>
      </c>
      <c r="DZ243" s="44" t="str">
        <f t="shared" si="3508"/>
        <v/>
      </c>
      <c r="EA243" s="44" t="str">
        <f t="shared" si="3509"/>
        <v/>
      </c>
      <c r="EB243" s="44" t="str">
        <f t="shared" si="3510"/>
        <v/>
      </c>
      <c r="EC243" s="44" t="str">
        <f t="shared" si="3511"/>
        <v/>
      </c>
      <c r="ED243" s="44" t="str">
        <f t="shared" si="3512"/>
        <v/>
      </c>
      <c r="EE243" s="44" t="str">
        <f t="shared" si="3513"/>
        <v/>
      </c>
      <c r="EF243" s="44" t="str">
        <f t="shared" si="3514"/>
        <v/>
      </c>
      <c r="EG243" s="44" t="str">
        <f t="shared" si="3515"/>
        <v/>
      </c>
      <c r="EH243" s="44" t="str">
        <f t="shared" si="3516"/>
        <v/>
      </c>
      <c r="EI243" s="44" t="str">
        <f t="shared" si="3517"/>
        <v/>
      </c>
      <c r="EJ243" s="44" t="str">
        <f t="shared" si="3518"/>
        <v/>
      </c>
      <c r="EK243" s="44" t="str">
        <f t="shared" si="3519"/>
        <v/>
      </c>
      <c r="EL243" s="44" t="str">
        <f t="shared" si="3520"/>
        <v/>
      </c>
      <c r="EM243" s="44" t="str">
        <f t="shared" si="3521"/>
        <v/>
      </c>
      <c r="EN243" s="44" t="str">
        <f t="shared" si="3522"/>
        <v/>
      </c>
      <c r="EO243" s="44" t="str">
        <f t="shared" si="3523"/>
        <v/>
      </c>
      <c r="EP243" s="44" t="str">
        <f t="shared" si="3524"/>
        <v/>
      </c>
      <c r="EQ243" s="44" t="str">
        <f t="shared" si="3525"/>
        <v/>
      </c>
      <c r="ER243" s="44" t="str">
        <f t="shared" si="3526"/>
        <v/>
      </c>
      <c r="ES243" s="44" t="str">
        <f t="shared" si="3527"/>
        <v/>
      </c>
      <c r="ET243" s="44" t="str">
        <f t="shared" si="3528"/>
        <v/>
      </c>
      <c r="EU243" s="44" t="str">
        <f t="shared" si="3529"/>
        <v/>
      </c>
      <c r="EV243" s="44" t="str">
        <f t="shared" si="3530"/>
        <v/>
      </c>
      <c r="EW243" s="44" t="str">
        <f t="shared" si="3531"/>
        <v/>
      </c>
      <c r="EX243" s="44" t="str">
        <f t="shared" si="3532"/>
        <v/>
      </c>
      <c r="EY243" s="44" t="str">
        <f t="shared" si="3533"/>
        <v/>
      </c>
      <c r="EZ243" s="44" t="str">
        <f t="shared" si="3534"/>
        <v/>
      </c>
      <c r="FA243" s="44" t="str">
        <f t="shared" si="3535"/>
        <v/>
      </c>
      <c r="FB243" s="44" t="str">
        <f t="shared" si="3536"/>
        <v/>
      </c>
      <c r="FC243" s="44" t="str">
        <f t="shared" si="3537"/>
        <v/>
      </c>
      <c r="FD243" s="44" t="str">
        <f t="shared" si="3538"/>
        <v/>
      </c>
      <c r="FE243" s="44" t="str">
        <f t="shared" si="3539"/>
        <v/>
      </c>
      <c r="FF243" s="44" t="str">
        <f t="shared" si="3540"/>
        <v/>
      </c>
      <c r="FG243" s="44" t="str">
        <f t="shared" si="3541"/>
        <v/>
      </c>
      <c r="FH243" s="44" t="str">
        <f t="shared" si="3542"/>
        <v/>
      </c>
      <c r="FI243" s="44" t="str">
        <f t="shared" si="3543"/>
        <v/>
      </c>
      <c r="FJ243" s="44" t="str">
        <f t="shared" si="3544"/>
        <v/>
      </c>
      <c r="FK243" s="44" t="str">
        <f t="shared" si="3545"/>
        <v/>
      </c>
      <c r="FL243" s="44" t="str">
        <f t="shared" si="3546"/>
        <v/>
      </c>
      <c r="FM243" s="44" t="str">
        <f t="shared" si="3547"/>
        <v/>
      </c>
      <c r="FN243" s="44" t="str">
        <f t="shared" si="3548"/>
        <v/>
      </c>
      <c r="FO243" s="44" t="str">
        <f t="shared" si="3549"/>
        <v/>
      </c>
      <c r="FP243" s="44" t="str">
        <f t="shared" si="3550"/>
        <v/>
      </c>
      <c r="FQ243" s="44" t="str">
        <f t="shared" si="3551"/>
        <v/>
      </c>
      <c r="FR243" s="44" t="str">
        <f t="shared" si="3552"/>
        <v/>
      </c>
      <c r="FS243" s="44" t="str">
        <f t="shared" si="3553"/>
        <v/>
      </c>
    </row>
    <row r="244" spans="1:175" s="7" customFormat="1" ht="16.5">
      <c r="A244" s="106"/>
      <c r="B244" s="5" t="s">
        <v>760</v>
      </c>
      <c r="C244" s="5" t="s">
        <v>761</v>
      </c>
      <c r="D244" s="46"/>
      <c r="E244" s="47"/>
      <c r="F244" s="107"/>
      <c r="G244" s="108"/>
      <c r="H244" s="108"/>
      <c r="I244" s="108"/>
      <c r="J244" s="108"/>
      <c r="K244" s="108"/>
      <c r="L244" s="108"/>
      <c r="M244" s="108"/>
      <c r="N244" s="108"/>
      <c r="O244" s="108"/>
      <c r="P244" s="52"/>
      <c r="Q244" s="52"/>
      <c r="R244" s="52"/>
      <c r="S244" s="52"/>
      <c r="T244" s="59"/>
      <c r="U244" s="56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63"/>
      <c r="AS244" s="63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66" t="str">
        <f t="shared" si="3636"/>
        <v>InitUnitState('IC06',,,,,,,,,,)</v>
      </c>
      <c r="CO244" s="66" t="str">
        <f t="shared" si="3637"/>
        <v>InitUnitNormal('IC06',,,,,,,,,,)</v>
      </c>
      <c r="CP244" s="66" t="str">
        <f t="shared" si="3638"/>
        <v>InitUnitMagic('IC06',,,,,,,,,,)</v>
      </c>
      <c r="CQ244" s="66" t="str">
        <f t="shared" si="3639"/>
        <v>InitUnitAdd('IC06',,,,,,,,,,)</v>
      </c>
      <c r="CR244" s="66" t="str">
        <f t="shared" si="3411"/>
        <v>InitEquipData('IC06',,"",,,,,'','','','','','',"")</v>
      </c>
      <c r="CS244" s="66"/>
      <c r="CT244" s="66"/>
      <c r="CU244" s="68" t="str">
        <f t="shared" si="3483"/>
        <v>|n</v>
      </c>
      <c r="CV244" s="6"/>
      <c r="DB244" s="44" t="str">
        <f t="shared" si="3484"/>
        <v/>
      </c>
      <c r="DC244" s="44" t="str">
        <f t="shared" si="3485"/>
        <v/>
      </c>
      <c r="DD244" s="44" t="str">
        <f t="shared" si="3486"/>
        <v/>
      </c>
      <c r="DE244" s="44" t="str">
        <f t="shared" si="3487"/>
        <v/>
      </c>
      <c r="DF244" s="44" t="str">
        <f t="shared" si="3488"/>
        <v/>
      </c>
      <c r="DG244" s="44" t="str">
        <f t="shared" si="3489"/>
        <v/>
      </c>
      <c r="DH244" s="44" t="str">
        <f t="shared" si="3490"/>
        <v/>
      </c>
      <c r="DI244" s="44" t="str">
        <f t="shared" si="3491"/>
        <v/>
      </c>
      <c r="DJ244" s="44" t="str">
        <f t="shared" si="3492"/>
        <v/>
      </c>
      <c r="DK244" s="44" t="str">
        <f t="shared" si="3493"/>
        <v/>
      </c>
      <c r="DL244" s="44" t="str">
        <f t="shared" si="3494"/>
        <v/>
      </c>
      <c r="DM244" s="44" t="str">
        <f t="shared" si="3495"/>
        <v/>
      </c>
      <c r="DN244" s="44" t="str">
        <f t="shared" si="3496"/>
        <v/>
      </c>
      <c r="DO244" s="44" t="str">
        <f t="shared" si="3497"/>
        <v/>
      </c>
      <c r="DP244" s="44" t="str">
        <f t="shared" si="3498"/>
        <v/>
      </c>
      <c r="DQ244" s="44" t="str">
        <f t="shared" si="3499"/>
        <v/>
      </c>
      <c r="DR244" s="44" t="str">
        <f t="shared" si="3500"/>
        <v/>
      </c>
      <c r="DS244" s="44" t="str">
        <f t="shared" si="3501"/>
        <v/>
      </c>
      <c r="DT244" s="44" t="str">
        <f t="shared" si="3502"/>
        <v/>
      </c>
      <c r="DU244" s="44" t="str">
        <f t="shared" si="3503"/>
        <v/>
      </c>
      <c r="DV244" s="44" t="str">
        <f t="shared" si="3504"/>
        <v/>
      </c>
      <c r="DW244" s="44" t="str">
        <f t="shared" si="3505"/>
        <v/>
      </c>
      <c r="DX244" s="44" t="str">
        <f t="shared" si="3506"/>
        <v/>
      </c>
      <c r="DY244" s="44" t="str">
        <f t="shared" si="3507"/>
        <v/>
      </c>
      <c r="DZ244" s="44" t="str">
        <f t="shared" si="3508"/>
        <v/>
      </c>
      <c r="EA244" s="44" t="str">
        <f t="shared" si="3509"/>
        <v/>
      </c>
      <c r="EB244" s="44" t="str">
        <f t="shared" si="3510"/>
        <v/>
      </c>
      <c r="EC244" s="44" t="str">
        <f t="shared" si="3511"/>
        <v/>
      </c>
      <c r="ED244" s="44" t="str">
        <f t="shared" si="3512"/>
        <v/>
      </c>
      <c r="EE244" s="44" t="str">
        <f t="shared" si="3513"/>
        <v/>
      </c>
      <c r="EF244" s="44" t="str">
        <f t="shared" si="3514"/>
        <v/>
      </c>
      <c r="EG244" s="44" t="str">
        <f t="shared" si="3515"/>
        <v/>
      </c>
      <c r="EH244" s="44" t="str">
        <f t="shared" si="3516"/>
        <v/>
      </c>
      <c r="EI244" s="44" t="str">
        <f t="shared" si="3517"/>
        <v/>
      </c>
      <c r="EJ244" s="44" t="str">
        <f t="shared" si="3518"/>
        <v/>
      </c>
      <c r="EK244" s="44" t="str">
        <f t="shared" si="3519"/>
        <v/>
      </c>
      <c r="EL244" s="44" t="str">
        <f t="shared" si="3520"/>
        <v/>
      </c>
      <c r="EM244" s="44" t="str">
        <f t="shared" si="3521"/>
        <v/>
      </c>
      <c r="EN244" s="44" t="str">
        <f t="shared" si="3522"/>
        <v/>
      </c>
      <c r="EO244" s="44" t="str">
        <f t="shared" si="3523"/>
        <v/>
      </c>
      <c r="EP244" s="44" t="str">
        <f t="shared" si="3524"/>
        <v/>
      </c>
      <c r="EQ244" s="44" t="str">
        <f t="shared" si="3525"/>
        <v/>
      </c>
      <c r="ER244" s="44" t="str">
        <f t="shared" si="3526"/>
        <v/>
      </c>
      <c r="ES244" s="44" t="str">
        <f t="shared" si="3527"/>
        <v/>
      </c>
      <c r="ET244" s="44" t="str">
        <f t="shared" si="3528"/>
        <v/>
      </c>
      <c r="EU244" s="44" t="str">
        <f t="shared" si="3529"/>
        <v/>
      </c>
      <c r="EV244" s="44" t="str">
        <f t="shared" si="3530"/>
        <v/>
      </c>
      <c r="EW244" s="44" t="str">
        <f t="shared" si="3531"/>
        <v/>
      </c>
      <c r="EX244" s="44" t="str">
        <f t="shared" si="3532"/>
        <v/>
      </c>
      <c r="EY244" s="44" t="str">
        <f t="shared" si="3533"/>
        <v/>
      </c>
      <c r="EZ244" s="44" t="str">
        <f t="shared" si="3534"/>
        <v/>
      </c>
      <c r="FA244" s="44" t="str">
        <f t="shared" si="3535"/>
        <v/>
      </c>
      <c r="FB244" s="44" t="str">
        <f t="shared" si="3536"/>
        <v/>
      </c>
      <c r="FC244" s="44" t="str">
        <f t="shared" si="3537"/>
        <v/>
      </c>
      <c r="FD244" s="44" t="str">
        <f t="shared" si="3538"/>
        <v/>
      </c>
      <c r="FE244" s="44" t="str">
        <f t="shared" si="3539"/>
        <v/>
      </c>
      <c r="FF244" s="44" t="str">
        <f t="shared" si="3540"/>
        <v/>
      </c>
      <c r="FG244" s="44" t="str">
        <f t="shared" si="3541"/>
        <v/>
      </c>
      <c r="FH244" s="44" t="str">
        <f t="shared" si="3542"/>
        <v/>
      </c>
      <c r="FI244" s="44" t="str">
        <f t="shared" si="3543"/>
        <v/>
      </c>
      <c r="FJ244" s="44" t="str">
        <f t="shared" si="3544"/>
        <v/>
      </c>
      <c r="FK244" s="44" t="str">
        <f t="shared" si="3545"/>
        <v/>
      </c>
      <c r="FL244" s="44" t="str">
        <f t="shared" si="3546"/>
        <v/>
      </c>
      <c r="FM244" s="44" t="str">
        <f t="shared" si="3547"/>
        <v/>
      </c>
      <c r="FN244" s="44" t="str">
        <f t="shared" si="3548"/>
        <v/>
      </c>
      <c r="FO244" s="44" t="str">
        <f t="shared" si="3549"/>
        <v/>
      </c>
      <c r="FP244" s="44" t="str">
        <f t="shared" si="3550"/>
        <v/>
      </c>
      <c r="FQ244" s="44" t="str">
        <f t="shared" si="3551"/>
        <v/>
      </c>
      <c r="FR244" s="44" t="str">
        <f t="shared" si="3552"/>
        <v/>
      </c>
      <c r="FS244" s="44" t="str">
        <f t="shared" si="3553"/>
        <v/>
      </c>
    </row>
    <row r="245" spans="1:175" s="7" customFormat="1" ht="16.5">
      <c r="A245" s="106"/>
      <c r="B245" s="5" t="s">
        <v>762</v>
      </c>
      <c r="C245" s="5" t="s">
        <v>763</v>
      </c>
      <c r="D245" s="46"/>
      <c r="E245" s="47"/>
      <c r="F245" s="107"/>
      <c r="G245" s="108"/>
      <c r="H245" s="108"/>
      <c r="I245" s="108"/>
      <c r="J245" s="108"/>
      <c r="K245" s="108"/>
      <c r="L245" s="108"/>
      <c r="M245" s="108"/>
      <c r="N245" s="108"/>
      <c r="O245" s="108"/>
      <c r="P245" s="52"/>
      <c r="Q245" s="52"/>
      <c r="R245" s="52"/>
      <c r="S245" s="52"/>
      <c r="T245" s="59"/>
      <c r="U245" s="56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63"/>
      <c r="AS245" s="63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66" t="str">
        <f t="shared" si="3636"/>
        <v>InitUnitState('IC07',,,,,,,,,,)</v>
      </c>
      <c r="CO245" s="66" t="str">
        <f t="shared" si="3637"/>
        <v>InitUnitNormal('IC07',,,,,,,,,,)</v>
      </c>
      <c r="CP245" s="66" t="str">
        <f t="shared" si="3638"/>
        <v>InitUnitMagic('IC07',,,,,,,,,,)</v>
      </c>
      <c r="CQ245" s="66" t="str">
        <f t="shared" si="3639"/>
        <v>InitUnitAdd('IC07',,,,,,,,,,)</v>
      </c>
      <c r="CR245" s="66" t="str">
        <f t="shared" si="3411"/>
        <v>InitEquipData('IC07',,"",,,,,'','','','','','',"")</v>
      </c>
      <c r="CS245" s="66"/>
      <c r="CT245" s="66"/>
      <c r="CU245" s="68" t="str">
        <f t="shared" si="3483"/>
        <v>|n</v>
      </c>
      <c r="CV245" s="6"/>
      <c r="DB245" s="44" t="str">
        <f t="shared" si="3484"/>
        <v/>
      </c>
      <c r="DC245" s="44" t="str">
        <f t="shared" si="3485"/>
        <v/>
      </c>
      <c r="DD245" s="44" t="str">
        <f t="shared" si="3486"/>
        <v/>
      </c>
      <c r="DE245" s="44" t="str">
        <f t="shared" si="3487"/>
        <v/>
      </c>
      <c r="DF245" s="44" t="str">
        <f t="shared" si="3488"/>
        <v/>
      </c>
      <c r="DG245" s="44" t="str">
        <f t="shared" si="3489"/>
        <v/>
      </c>
      <c r="DH245" s="44" t="str">
        <f t="shared" si="3490"/>
        <v/>
      </c>
      <c r="DI245" s="44" t="str">
        <f t="shared" si="3491"/>
        <v/>
      </c>
      <c r="DJ245" s="44" t="str">
        <f t="shared" si="3492"/>
        <v/>
      </c>
      <c r="DK245" s="44" t="str">
        <f t="shared" si="3493"/>
        <v/>
      </c>
      <c r="DL245" s="44" t="str">
        <f t="shared" si="3494"/>
        <v/>
      </c>
      <c r="DM245" s="44" t="str">
        <f t="shared" si="3495"/>
        <v/>
      </c>
      <c r="DN245" s="44" t="str">
        <f t="shared" si="3496"/>
        <v/>
      </c>
      <c r="DO245" s="44" t="str">
        <f t="shared" si="3497"/>
        <v/>
      </c>
      <c r="DP245" s="44" t="str">
        <f t="shared" si="3498"/>
        <v/>
      </c>
      <c r="DQ245" s="44" t="str">
        <f t="shared" si="3499"/>
        <v/>
      </c>
      <c r="DR245" s="44" t="str">
        <f t="shared" si="3500"/>
        <v/>
      </c>
      <c r="DS245" s="44" t="str">
        <f t="shared" si="3501"/>
        <v/>
      </c>
      <c r="DT245" s="44" t="str">
        <f t="shared" si="3502"/>
        <v/>
      </c>
      <c r="DU245" s="44" t="str">
        <f t="shared" si="3503"/>
        <v/>
      </c>
      <c r="DV245" s="44" t="str">
        <f t="shared" si="3504"/>
        <v/>
      </c>
      <c r="DW245" s="44" t="str">
        <f t="shared" si="3505"/>
        <v/>
      </c>
      <c r="DX245" s="44" t="str">
        <f t="shared" si="3506"/>
        <v/>
      </c>
      <c r="DY245" s="44" t="str">
        <f t="shared" si="3507"/>
        <v/>
      </c>
      <c r="DZ245" s="44" t="str">
        <f t="shared" si="3508"/>
        <v/>
      </c>
      <c r="EA245" s="44" t="str">
        <f t="shared" si="3509"/>
        <v/>
      </c>
      <c r="EB245" s="44" t="str">
        <f t="shared" si="3510"/>
        <v/>
      </c>
      <c r="EC245" s="44" t="str">
        <f t="shared" si="3511"/>
        <v/>
      </c>
      <c r="ED245" s="44" t="str">
        <f t="shared" si="3512"/>
        <v/>
      </c>
      <c r="EE245" s="44" t="str">
        <f t="shared" si="3513"/>
        <v/>
      </c>
      <c r="EF245" s="44" t="str">
        <f t="shared" si="3514"/>
        <v/>
      </c>
      <c r="EG245" s="44" t="str">
        <f t="shared" si="3515"/>
        <v/>
      </c>
      <c r="EH245" s="44" t="str">
        <f t="shared" si="3516"/>
        <v/>
      </c>
      <c r="EI245" s="44" t="str">
        <f t="shared" si="3517"/>
        <v/>
      </c>
      <c r="EJ245" s="44" t="str">
        <f t="shared" si="3518"/>
        <v/>
      </c>
      <c r="EK245" s="44" t="str">
        <f t="shared" si="3519"/>
        <v/>
      </c>
      <c r="EL245" s="44" t="str">
        <f t="shared" si="3520"/>
        <v/>
      </c>
      <c r="EM245" s="44" t="str">
        <f t="shared" si="3521"/>
        <v/>
      </c>
      <c r="EN245" s="44" t="str">
        <f t="shared" si="3522"/>
        <v/>
      </c>
      <c r="EO245" s="44" t="str">
        <f t="shared" si="3523"/>
        <v/>
      </c>
      <c r="EP245" s="44" t="str">
        <f t="shared" si="3524"/>
        <v/>
      </c>
      <c r="EQ245" s="44" t="str">
        <f t="shared" si="3525"/>
        <v/>
      </c>
      <c r="ER245" s="44" t="str">
        <f t="shared" si="3526"/>
        <v/>
      </c>
      <c r="ES245" s="44" t="str">
        <f t="shared" si="3527"/>
        <v/>
      </c>
      <c r="ET245" s="44" t="str">
        <f t="shared" si="3528"/>
        <v/>
      </c>
      <c r="EU245" s="44" t="str">
        <f t="shared" si="3529"/>
        <v/>
      </c>
      <c r="EV245" s="44" t="str">
        <f t="shared" si="3530"/>
        <v/>
      </c>
      <c r="EW245" s="44" t="str">
        <f t="shared" si="3531"/>
        <v/>
      </c>
      <c r="EX245" s="44" t="str">
        <f t="shared" si="3532"/>
        <v/>
      </c>
      <c r="EY245" s="44" t="str">
        <f t="shared" si="3533"/>
        <v/>
      </c>
      <c r="EZ245" s="44" t="str">
        <f t="shared" si="3534"/>
        <v/>
      </c>
      <c r="FA245" s="44" t="str">
        <f t="shared" si="3535"/>
        <v/>
      </c>
      <c r="FB245" s="44" t="str">
        <f t="shared" si="3536"/>
        <v/>
      </c>
      <c r="FC245" s="44" t="str">
        <f t="shared" si="3537"/>
        <v/>
      </c>
      <c r="FD245" s="44" t="str">
        <f t="shared" si="3538"/>
        <v/>
      </c>
      <c r="FE245" s="44" t="str">
        <f t="shared" si="3539"/>
        <v/>
      </c>
      <c r="FF245" s="44" t="str">
        <f t="shared" si="3540"/>
        <v/>
      </c>
      <c r="FG245" s="44" t="str">
        <f t="shared" si="3541"/>
        <v/>
      </c>
      <c r="FH245" s="44" t="str">
        <f t="shared" si="3542"/>
        <v/>
      </c>
      <c r="FI245" s="44" t="str">
        <f t="shared" si="3543"/>
        <v/>
      </c>
      <c r="FJ245" s="44" t="str">
        <f t="shared" si="3544"/>
        <v/>
      </c>
      <c r="FK245" s="44" t="str">
        <f t="shared" si="3545"/>
        <v/>
      </c>
      <c r="FL245" s="44" t="str">
        <f t="shared" si="3546"/>
        <v/>
      </c>
      <c r="FM245" s="44" t="str">
        <f t="shared" si="3547"/>
        <v/>
      </c>
      <c r="FN245" s="44" t="str">
        <f t="shared" si="3548"/>
        <v/>
      </c>
      <c r="FO245" s="44" t="str">
        <f t="shared" si="3549"/>
        <v/>
      </c>
      <c r="FP245" s="44" t="str">
        <f t="shared" si="3550"/>
        <v/>
      </c>
      <c r="FQ245" s="44" t="str">
        <f t="shared" si="3551"/>
        <v/>
      </c>
      <c r="FR245" s="44" t="str">
        <f t="shared" si="3552"/>
        <v/>
      </c>
      <c r="FS245" s="44" t="str">
        <f t="shared" si="3553"/>
        <v/>
      </c>
    </row>
    <row r="246" spans="1:175" s="7" customFormat="1" ht="16.5">
      <c r="A246" s="106"/>
      <c r="B246" s="5" t="s">
        <v>764</v>
      </c>
      <c r="C246" s="5" t="s">
        <v>765</v>
      </c>
      <c r="D246" s="46"/>
      <c r="E246" s="47"/>
      <c r="F246" s="107"/>
      <c r="G246" s="108"/>
      <c r="H246" s="108"/>
      <c r="I246" s="108"/>
      <c r="J246" s="108"/>
      <c r="K246" s="108"/>
      <c r="L246" s="108"/>
      <c r="M246" s="108"/>
      <c r="N246" s="108"/>
      <c r="O246" s="108"/>
      <c r="P246" s="52"/>
      <c r="Q246" s="52"/>
      <c r="R246" s="52"/>
      <c r="S246" s="52"/>
      <c r="T246" s="59"/>
      <c r="U246" s="56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63"/>
      <c r="AS246" s="63"/>
      <c r="AT246" s="57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66" t="str">
        <f t="shared" si="3636"/>
        <v>InitUnitState('IC08',,,,,,,,,,)</v>
      </c>
      <c r="CO246" s="66" t="str">
        <f t="shared" si="3637"/>
        <v>InitUnitNormal('IC08',,,,,,,,,,)</v>
      </c>
      <c r="CP246" s="66" t="str">
        <f t="shared" si="3638"/>
        <v>InitUnitMagic('IC08',,,,,,,,,,)</v>
      </c>
      <c r="CQ246" s="66" t="str">
        <f t="shared" si="3639"/>
        <v>InitUnitAdd('IC08',,,,,,,,,,)</v>
      </c>
      <c r="CR246" s="66" t="str">
        <f t="shared" si="3411"/>
        <v>InitEquipData('IC08',,"",,,,,'','','','','','',"")</v>
      </c>
      <c r="CS246" s="66"/>
      <c r="CT246" s="66"/>
      <c r="CU246" s="68" t="str">
        <f t="shared" si="3483"/>
        <v>|n</v>
      </c>
      <c r="CV246" s="6"/>
      <c r="DB246" s="44" t="str">
        <f t="shared" si="3484"/>
        <v/>
      </c>
      <c r="DC246" s="44" t="str">
        <f t="shared" si="3485"/>
        <v/>
      </c>
      <c r="DD246" s="44" t="str">
        <f t="shared" si="3486"/>
        <v/>
      </c>
      <c r="DE246" s="44" t="str">
        <f t="shared" si="3487"/>
        <v/>
      </c>
      <c r="DF246" s="44" t="str">
        <f t="shared" si="3488"/>
        <v/>
      </c>
      <c r="DG246" s="44" t="str">
        <f t="shared" si="3489"/>
        <v/>
      </c>
      <c r="DH246" s="44" t="str">
        <f t="shared" si="3490"/>
        <v/>
      </c>
      <c r="DI246" s="44" t="str">
        <f t="shared" si="3491"/>
        <v/>
      </c>
      <c r="DJ246" s="44" t="str">
        <f t="shared" si="3492"/>
        <v/>
      </c>
      <c r="DK246" s="44" t="str">
        <f t="shared" si="3493"/>
        <v/>
      </c>
      <c r="DL246" s="44" t="str">
        <f t="shared" si="3494"/>
        <v/>
      </c>
      <c r="DM246" s="44" t="str">
        <f t="shared" si="3495"/>
        <v/>
      </c>
      <c r="DN246" s="44" t="str">
        <f t="shared" si="3496"/>
        <v/>
      </c>
      <c r="DO246" s="44" t="str">
        <f t="shared" si="3497"/>
        <v/>
      </c>
      <c r="DP246" s="44" t="str">
        <f t="shared" si="3498"/>
        <v/>
      </c>
      <c r="DQ246" s="44" t="str">
        <f t="shared" si="3499"/>
        <v/>
      </c>
      <c r="DR246" s="44" t="str">
        <f t="shared" si="3500"/>
        <v/>
      </c>
      <c r="DS246" s="44" t="str">
        <f t="shared" si="3501"/>
        <v/>
      </c>
      <c r="DT246" s="44" t="str">
        <f t="shared" si="3502"/>
        <v/>
      </c>
      <c r="DU246" s="44" t="str">
        <f t="shared" si="3503"/>
        <v/>
      </c>
      <c r="DV246" s="44" t="str">
        <f t="shared" si="3504"/>
        <v/>
      </c>
      <c r="DW246" s="44" t="str">
        <f t="shared" si="3505"/>
        <v/>
      </c>
      <c r="DX246" s="44" t="str">
        <f t="shared" si="3506"/>
        <v/>
      </c>
      <c r="DY246" s="44" t="str">
        <f t="shared" si="3507"/>
        <v/>
      </c>
      <c r="DZ246" s="44" t="str">
        <f t="shared" si="3508"/>
        <v/>
      </c>
      <c r="EA246" s="44" t="str">
        <f t="shared" si="3509"/>
        <v/>
      </c>
      <c r="EB246" s="44" t="str">
        <f t="shared" si="3510"/>
        <v/>
      </c>
      <c r="EC246" s="44" t="str">
        <f t="shared" si="3511"/>
        <v/>
      </c>
      <c r="ED246" s="44" t="str">
        <f t="shared" si="3512"/>
        <v/>
      </c>
      <c r="EE246" s="44" t="str">
        <f t="shared" si="3513"/>
        <v/>
      </c>
      <c r="EF246" s="44" t="str">
        <f t="shared" si="3514"/>
        <v/>
      </c>
      <c r="EG246" s="44" t="str">
        <f t="shared" si="3515"/>
        <v/>
      </c>
      <c r="EH246" s="44" t="str">
        <f t="shared" si="3516"/>
        <v/>
      </c>
      <c r="EI246" s="44" t="str">
        <f t="shared" si="3517"/>
        <v/>
      </c>
      <c r="EJ246" s="44" t="str">
        <f t="shared" si="3518"/>
        <v/>
      </c>
      <c r="EK246" s="44" t="str">
        <f t="shared" si="3519"/>
        <v/>
      </c>
      <c r="EL246" s="44" t="str">
        <f t="shared" si="3520"/>
        <v/>
      </c>
      <c r="EM246" s="44" t="str">
        <f t="shared" si="3521"/>
        <v/>
      </c>
      <c r="EN246" s="44" t="str">
        <f t="shared" si="3522"/>
        <v/>
      </c>
      <c r="EO246" s="44" t="str">
        <f t="shared" si="3523"/>
        <v/>
      </c>
      <c r="EP246" s="44" t="str">
        <f t="shared" si="3524"/>
        <v/>
      </c>
      <c r="EQ246" s="44" t="str">
        <f t="shared" si="3525"/>
        <v/>
      </c>
      <c r="ER246" s="44" t="str">
        <f t="shared" si="3526"/>
        <v/>
      </c>
      <c r="ES246" s="44" t="str">
        <f t="shared" si="3527"/>
        <v/>
      </c>
      <c r="ET246" s="44" t="str">
        <f t="shared" si="3528"/>
        <v/>
      </c>
      <c r="EU246" s="44" t="str">
        <f t="shared" si="3529"/>
        <v/>
      </c>
      <c r="EV246" s="44" t="str">
        <f t="shared" si="3530"/>
        <v/>
      </c>
      <c r="EW246" s="44" t="str">
        <f t="shared" si="3531"/>
        <v/>
      </c>
      <c r="EX246" s="44" t="str">
        <f t="shared" si="3532"/>
        <v/>
      </c>
      <c r="EY246" s="44" t="str">
        <f t="shared" si="3533"/>
        <v/>
      </c>
      <c r="EZ246" s="44" t="str">
        <f t="shared" si="3534"/>
        <v/>
      </c>
      <c r="FA246" s="44" t="str">
        <f t="shared" si="3535"/>
        <v/>
      </c>
      <c r="FB246" s="44" t="str">
        <f t="shared" si="3536"/>
        <v/>
      </c>
      <c r="FC246" s="44" t="str">
        <f t="shared" si="3537"/>
        <v/>
      </c>
      <c r="FD246" s="44" t="str">
        <f t="shared" si="3538"/>
        <v/>
      </c>
      <c r="FE246" s="44" t="str">
        <f t="shared" si="3539"/>
        <v/>
      </c>
      <c r="FF246" s="44" t="str">
        <f t="shared" si="3540"/>
        <v/>
      </c>
      <c r="FG246" s="44" t="str">
        <f t="shared" si="3541"/>
        <v/>
      </c>
      <c r="FH246" s="44" t="str">
        <f t="shared" si="3542"/>
        <v/>
      </c>
      <c r="FI246" s="44" t="str">
        <f t="shared" si="3543"/>
        <v/>
      </c>
      <c r="FJ246" s="44" t="str">
        <f t="shared" si="3544"/>
        <v/>
      </c>
      <c r="FK246" s="44" t="str">
        <f t="shared" si="3545"/>
        <v/>
      </c>
      <c r="FL246" s="44" t="str">
        <f t="shared" si="3546"/>
        <v/>
      </c>
      <c r="FM246" s="44" t="str">
        <f t="shared" si="3547"/>
        <v/>
      </c>
      <c r="FN246" s="44" t="str">
        <f t="shared" si="3548"/>
        <v/>
      </c>
      <c r="FO246" s="44" t="str">
        <f t="shared" si="3549"/>
        <v/>
      </c>
      <c r="FP246" s="44" t="str">
        <f t="shared" si="3550"/>
        <v/>
      </c>
      <c r="FQ246" s="44" t="str">
        <f t="shared" si="3551"/>
        <v/>
      </c>
      <c r="FR246" s="44" t="str">
        <f t="shared" si="3552"/>
        <v/>
      </c>
      <c r="FS246" s="44" t="str">
        <f t="shared" si="3553"/>
        <v/>
      </c>
    </row>
    <row r="247" spans="1:175" s="7" customFormat="1" ht="16.5">
      <c r="A247" s="106"/>
      <c r="B247" s="5" t="s">
        <v>766</v>
      </c>
      <c r="C247" s="5" t="s">
        <v>767</v>
      </c>
      <c r="D247" s="46"/>
      <c r="E247" s="47"/>
      <c r="F247" s="107"/>
      <c r="G247" s="108"/>
      <c r="H247" s="108"/>
      <c r="I247" s="108"/>
      <c r="J247" s="108"/>
      <c r="K247" s="108"/>
      <c r="L247" s="108"/>
      <c r="M247" s="108"/>
      <c r="N247" s="108"/>
      <c r="O247" s="108"/>
      <c r="P247" s="52"/>
      <c r="Q247" s="52"/>
      <c r="R247" s="52"/>
      <c r="S247" s="52"/>
      <c r="T247" s="59"/>
      <c r="U247" s="56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63"/>
      <c r="AS247" s="63"/>
      <c r="AT247" s="57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66" t="str">
        <f t="shared" si="3636"/>
        <v>InitUnitState('IC09',,,,,,,,,,)</v>
      </c>
      <c r="CO247" s="66" t="str">
        <f t="shared" si="3637"/>
        <v>InitUnitNormal('IC09',,,,,,,,,,)</v>
      </c>
      <c r="CP247" s="66" t="str">
        <f t="shared" si="3638"/>
        <v>InitUnitMagic('IC09',,,,,,,,,,)</v>
      </c>
      <c r="CQ247" s="66" t="str">
        <f t="shared" si="3639"/>
        <v>InitUnitAdd('IC09',,,,,,,,,,)</v>
      </c>
      <c r="CR247" s="66" t="str">
        <f t="shared" si="3411"/>
        <v>InitEquipData('IC09',,"",,,,,'','','','','','',"")</v>
      </c>
      <c r="CS247" s="66"/>
      <c r="CT247" s="66"/>
      <c r="CU247" s="68" t="str">
        <f t="shared" si="3483"/>
        <v>|n</v>
      </c>
      <c r="CV247" s="6"/>
      <c r="DB247" s="44" t="str">
        <f t="shared" si="3484"/>
        <v/>
      </c>
      <c r="DC247" s="44" t="str">
        <f t="shared" si="3485"/>
        <v/>
      </c>
      <c r="DD247" s="44" t="str">
        <f t="shared" si="3486"/>
        <v/>
      </c>
      <c r="DE247" s="44" t="str">
        <f t="shared" si="3487"/>
        <v/>
      </c>
      <c r="DF247" s="44" t="str">
        <f t="shared" si="3488"/>
        <v/>
      </c>
      <c r="DG247" s="44" t="str">
        <f t="shared" si="3489"/>
        <v/>
      </c>
      <c r="DH247" s="44" t="str">
        <f t="shared" si="3490"/>
        <v/>
      </c>
      <c r="DI247" s="44" t="str">
        <f t="shared" si="3491"/>
        <v/>
      </c>
      <c r="DJ247" s="44" t="str">
        <f t="shared" si="3492"/>
        <v/>
      </c>
      <c r="DK247" s="44" t="str">
        <f t="shared" si="3493"/>
        <v/>
      </c>
      <c r="DL247" s="44" t="str">
        <f t="shared" si="3494"/>
        <v/>
      </c>
      <c r="DM247" s="44" t="str">
        <f t="shared" si="3495"/>
        <v/>
      </c>
      <c r="DN247" s="44" t="str">
        <f t="shared" si="3496"/>
        <v/>
      </c>
      <c r="DO247" s="44" t="str">
        <f t="shared" si="3497"/>
        <v/>
      </c>
      <c r="DP247" s="44" t="str">
        <f t="shared" si="3498"/>
        <v/>
      </c>
      <c r="DQ247" s="44" t="str">
        <f t="shared" si="3499"/>
        <v/>
      </c>
      <c r="DR247" s="44" t="str">
        <f t="shared" si="3500"/>
        <v/>
      </c>
      <c r="DS247" s="44" t="str">
        <f t="shared" si="3501"/>
        <v/>
      </c>
      <c r="DT247" s="44" t="str">
        <f t="shared" si="3502"/>
        <v/>
      </c>
      <c r="DU247" s="44" t="str">
        <f t="shared" si="3503"/>
        <v/>
      </c>
      <c r="DV247" s="44" t="str">
        <f t="shared" si="3504"/>
        <v/>
      </c>
      <c r="DW247" s="44" t="str">
        <f t="shared" si="3505"/>
        <v/>
      </c>
      <c r="DX247" s="44" t="str">
        <f t="shared" si="3506"/>
        <v/>
      </c>
      <c r="DY247" s="44" t="str">
        <f t="shared" si="3507"/>
        <v/>
      </c>
      <c r="DZ247" s="44" t="str">
        <f t="shared" si="3508"/>
        <v/>
      </c>
      <c r="EA247" s="44" t="str">
        <f t="shared" si="3509"/>
        <v/>
      </c>
      <c r="EB247" s="44" t="str">
        <f t="shared" si="3510"/>
        <v/>
      </c>
      <c r="EC247" s="44" t="str">
        <f t="shared" si="3511"/>
        <v/>
      </c>
      <c r="ED247" s="44" t="str">
        <f t="shared" si="3512"/>
        <v/>
      </c>
      <c r="EE247" s="44" t="str">
        <f t="shared" si="3513"/>
        <v/>
      </c>
      <c r="EF247" s="44" t="str">
        <f t="shared" si="3514"/>
        <v/>
      </c>
      <c r="EG247" s="44" t="str">
        <f t="shared" si="3515"/>
        <v/>
      </c>
      <c r="EH247" s="44" t="str">
        <f t="shared" si="3516"/>
        <v/>
      </c>
      <c r="EI247" s="44" t="str">
        <f t="shared" si="3517"/>
        <v/>
      </c>
      <c r="EJ247" s="44" t="str">
        <f t="shared" si="3518"/>
        <v/>
      </c>
      <c r="EK247" s="44" t="str">
        <f t="shared" si="3519"/>
        <v/>
      </c>
      <c r="EL247" s="44" t="str">
        <f t="shared" si="3520"/>
        <v/>
      </c>
      <c r="EM247" s="44" t="str">
        <f t="shared" si="3521"/>
        <v/>
      </c>
      <c r="EN247" s="44" t="str">
        <f t="shared" si="3522"/>
        <v/>
      </c>
      <c r="EO247" s="44" t="str">
        <f t="shared" si="3523"/>
        <v/>
      </c>
      <c r="EP247" s="44" t="str">
        <f t="shared" si="3524"/>
        <v/>
      </c>
      <c r="EQ247" s="44" t="str">
        <f t="shared" si="3525"/>
        <v/>
      </c>
      <c r="ER247" s="44" t="str">
        <f t="shared" si="3526"/>
        <v/>
      </c>
      <c r="ES247" s="44" t="str">
        <f t="shared" si="3527"/>
        <v/>
      </c>
      <c r="ET247" s="44" t="str">
        <f t="shared" si="3528"/>
        <v/>
      </c>
      <c r="EU247" s="44" t="str">
        <f t="shared" si="3529"/>
        <v/>
      </c>
      <c r="EV247" s="44" t="str">
        <f t="shared" si="3530"/>
        <v/>
      </c>
      <c r="EW247" s="44" t="str">
        <f t="shared" si="3531"/>
        <v/>
      </c>
      <c r="EX247" s="44" t="str">
        <f t="shared" si="3532"/>
        <v/>
      </c>
      <c r="EY247" s="44" t="str">
        <f t="shared" si="3533"/>
        <v/>
      </c>
      <c r="EZ247" s="44" t="str">
        <f t="shared" si="3534"/>
        <v/>
      </c>
      <c r="FA247" s="44" t="str">
        <f t="shared" si="3535"/>
        <v/>
      </c>
      <c r="FB247" s="44" t="str">
        <f t="shared" si="3536"/>
        <v/>
      </c>
      <c r="FC247" s="44" t="str">
        <f t="shared" si="3537"/>
        <v/>
      </c>
      <c r="FD247" s="44" t="str">
        <f t="shared" si="3538"/>
        <v/>
      </c>
      <c r="FE247" s="44" t="str">
        <f t="shared" si="3539"/>
        <v/>
      </c>
      <c r="FF247" s="44" t="str">
        <f t="shared" si="3540"/>
        <v/>
      </c>
      <c r="FG247" s="44" t="str">
        <f t="shared" si="3541"/>
        <v/>
      </c>
      <c r="FH247" s="44" t="str">
        <f t="shared" si="3542"/>
        <v/>
      </c>
      <c r="FI247" s="44" t="str">
        <f t="shared" si="3543"/>
        <v/>
      </c>
      <c r="FJ247" s="44" t="str">
        <f t="shared" si="3544"/>
        <v/>
      </c>
      <c r="FK247" s="44" t="str">
        <f t="shared" si="3545"/>
        <v/>
      </c>
      <c r="FL247" s="44" t="str">
        <f t="shared" si="3546"/>
        <v/>
      </c>
      <c r="FM247" s="44" t="str">
        <f t="shared" si="3547"/>
        <v/>
      </c>
      <c r="FN247" s="44" t="str">
        <f t="shared" si="3548"/>
        <v/>
      </c>
      <c r="FO247" s="44" t="str">
        <f t="shared" si="3549"/>
        <v/>
      </c>
      <c r="FP247" s="44" t="str">
        <f t="shared" si="3550"/>
        <v/>
      </c>
      <c r="FQ247" s="44" t="str">
        <f t="shared" si="3551"/>
        <v/>
      </c>
      <c r="FR247" s="44" t="str">
        <f t="shared" si="3552"/>
        <v/>
      </c>
      <c r="FS247" s="44" t="str">
        <f t="shared" si="3553"/>
        <v/>
      </c>
    </row>
    <row r="248" spans="1:175" s="7" customFormat="1" ht="16.5">
      <c r="A248" s="106"/>
      <c r="B248" s="5" t="s">
        <v>768</v>
      </c>
      <c r="C248" s="5" t="s">
        <v>769</v>
      </c>
      <c r="D248" s="46"/>
      <c r="E248" s="47"/>
      <c r="F248" s="107"/>
      <c r="G248" s="108"/>
      <c r="H248" s="108"/>
      <c r="I248" s="108"/>
      <c r="J248" s="108"/>
      <c r="K248" s="108"/>
      <c r="L248" s="108"/>
      <c r="M248" s="108"/>
      <c r="N248" s="108"/>
      <c r="O248" s="108"/>
      <c r="P248" s="52"/>
      <c r="Q248" s="52"/>
      <c r="R248" s="52"/>
      <c r="S248" s="52"/>
      <c r="T248" s="59"/>
      <c r="U248" s="56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63"/>
      <c r="AS248" s="63"/>
      <c r="AT248" s="57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66" t="str">
        <f t="shared" si="3636"/>
        <v>InitUnitState('IC10',,,,,,,,,,)</v>
      </c>
      <c r="CO248" s="66" t="str">
        <f t="shared" si="3637"/>
        <v>InitUnitNormal('IC10',,,,,,,,,,)</v>
      </c>
      <c r="CP248" s="66" t="str">
        <f t="shared" si="3638"/>
        <v>InitUnitMagic('IC10',,,,,,,,,,)</v>
      </c>
      <c r="CQ248" s="66" t="str">
        <f t="shared" si="3639"/>
        <v>InitUnitAdd('IC10',,,,,,,,,,)</v>
      </c>
      <c r="CR248" s="66" t="str">
        <f t="shared" si="3411"/>
        <v>InitEquipData('IC10',,"",,,,,'','','','','','',"")</v>
      </c>
      <c r="CS248" s="66"/>
      <c r="CT248" s="66"/>
      <c r="CU248" s="68" t="str">
        <f t="shared" si="3483"/>
        <v>|n</v>
      </c>
      <c r="CV248" s="6"/>
      <c r="DB248" s="44" t="str">
        <f t="shared" si="3484"/>
        <v/>
      </c>
      <c r="DC248" s="44" t="str">
        <f t="shared" si="3485"/>
        <v/>
      </c>
      <c r="DD248" s="44" t="str">
        <f t="shared" si="3486"/>
        <v/>
      </c>
      <c r="DE248" s="44" t="str">
        <f t="shared" si="3487"/>
        <v/>
      </c>
      <c r="DF248" s="44" t="str">
        <f t="shared" si="3488"/>
        <v/>
      </c>
      <c r="DG248" s="44" t="str">
        <f t="shared" si="3489"/>
        <v/>
      </c>
      <c r="DH248" s="44" t="str">
        <f t="shared" si="3490"/>
        <v/>
      </c>
      <c r="DI248" s="44" t="str">
        <f t="shared" si="3491"/>
        <v/>
      </c>
      <c r="DJ248" s="44" t="str">
        <f t="shared" si="3492"/>
        <v/>
      </c>
      <c r="DK248" s="44" t="str">
        <f t="shared" si="3493"/>
        <v/>
      </c>
      <c r="DL248" s="44" t="str">
        <f t="shared" si="3494"/>
        <v/>
      </c>
      <c r="DM248" s="44" t="str">
        <f t="shared" si="3495"/>
        <v/>
      </c>
      <c r="DN248" s="44" t="str">
        <f t="shared" si="3496"/>
        <v/>
      </c>
      <c r="DO248" s="44" t="str">
        <f t="shared" si="3497"/>
        <v/>
      </c>
      <c r="DP248" s="44" t="str">
        <f t="shared" si="3498"/>
        <v/>
      </c>
      <c r="DQ248" s="44" t="str">
        <f t="shared" si="3499"/>
        <v/>
      </c>
      <c r="DR248" s="44" t="str">
        <f t="shared" si="3500"/>
        <v/>
      </c>
      <c r="DS248" s="44" t="str">
        <f t="shared" si="3501"/>
        <v/>
      </c>
      <c r="DT248" s="44" t="str">
        <f t="shared" si="3502"/>
        <v/>
      </c>
      <c r="DU248" s="44" t="str">
        <f t="shared" si="3503"/>
        <v/>
      </c>
      <c r="DV248" s="44" t="str">
        <f t="shared" si="3504"/>
        <v/>
      </c>
      <c r="DW248" s="44" t="str">
        <f t="shared" si="3505"/>
        <v/>
      </c>
      <c r="DX248" s="44" t="str">
        <f t="shared" si="3506"/>
        <v/>
      </c>
      <c r="DY248" s="44" t="str">
        <f t="shared" si="3507"/>
        <v/>
      </c>
      <c r="DZ248" s="44" t="str">
        <f t="shared" si="3508"/>
        <v/>
      </c>
      <c r="EA248" s="44" t="str">
        <f t="shared" si="3509"/>
        <v/>
      </c>
      <c r="EB248" s="44" t="str">
        <f t="shared" si="3510"/>
        <v/>
      </c>
      <c r="EC248" s="44" t="str">
        <f t="shared" si="3511"/>
        <v/>
      </c>
      <c r="ED248" s="44" t="str">
        <f t="shared" si="3512"/>
        <v/>
      </c>
      <c r="EE248" s="44" t="str">
        <f t="shared" si="3513"/>
        <v/>
      </c>
      <c r="EF248" s="44" t="str">
        <f t="shared" si="3514"/>
        <v/>
      </c>
      <c r="EG248" s="44" t="str">
        <f t="shared" si="3515"/>
        <v/>
      </c>
      <c r="EH248" s="44" t="str">
        <f t="shared" si="3516"/>
        <v/>
      </c>
      <c r="EI248" s="44" t="str">
        <f t="shared" si="3517"/>
        <v/>
      </c>
      <c r="EJ248" s="44" t="str">
        <f t="shared" si="3518"/>
        <v/>
      </c>
      <c r="EK248" s="44" t="str">
        <f t="shared" si="3519"/>
        <v/>
      </c>
      <c r="EL248" s="44" t="str">
        <f t="shared" si="3520"/>
        <v/>
      </c>
      <c r="EM248" s="44" t="str">
        <f t="shared" si="3521"/>
        <v/>
      </c>
      <c r="EN248" s="44" t="str">
        <f t="shared" si="3522"/>
        <v/>
      </c>
      <c r="EO248" s="44" t="str">
        <f t="shared" si="3523"/>
        <v/>
      </c>
      <c r="EP248" s="44" t="str">
        <f t="shared" si="3524"/>
        <v/>
      </c>
      <c r="EQ248" s="44" t="str">
        <f t="shared" si="3525"/>
        <v/>
      </c>
      <c r="ER248" s="44" t="str">
        <f t="shared" si="3526"/>
        <v/>
      </c>
      <c r="ES248" s="44" t="str">
        <f t="shared" si="3527"/>
        <v/>
      </c>
      <c r="ET248" s="44" t="str">
        <f t="shared" si="3528"/>
        <v/>
      </c>
      <c r="EU248" s="44" t="str">
        <f t="shared" si="3529"/>
        <v/>
      </c>
      <c r="EV248" s="44" t="str">
        <f t="shared" si="3530"/>
        <v/>
      </c>
      <c r="EW248" s="44" t="str">
        <f t="shared" si="3531"/>
        <v/>
      </c>
      <c r="EX248" s="44" t="str">
        <f t="shared" si="3532"/>
        <v/>
      </c>
      <c r="EY248" s="44" t="str">
        <f t="shared" si="3533"/>
        <v/>
      </c>
      <c r="EZ248" s="44" t="str">
        <f t="shared" si="3534"/>
        <v/>
      </c>
      <c r="FA248" s="44" t="str">
        <f t="shared" si="3535"/>
        <v/>
      </c>
      <c r="FB248" s="44" t="str">
        <f t="shared" si="3536"/>
        <v/>
      </c>
      <c r="FC248" s="44" t="str">
        <f t="shared" si="3537"/>
        <v/>
      </c>
      <c r="FD248" s="44" t="str">
        <f t="shared" si="3538"/>
        <v/>
      </c>
      <c r="FE248" s="44" t="str">
        <f t="shared" si="3539"/>
        <v/>
      </c>
      <c r="FF248" s="44" t="str">
        <f t="shared" si="3540"/>
        <v/>
      </c>
      <c r="FG248" s="44" t="str">
        <f t="shared" si="3541"/>
        <v/>
      </c>
      <c r="FH248" s="44" t="str">
        <f t="shared" si="3542"/>
        <v/>
      </c>
      <c r="FI248" s="44" t="str">
        <f t="shared" si="3543"/>
        <v/>
      </c>
      <c r="FJ248" s="44" t="str">
        <f t="shared" si="3544"/>
        <v/>
      </c>
      <c r="FK248" s="44" t="str">
        <f t="shared" si="3545"/>
        <v/>
      </c>
      <c r="FL248" s="44" t="str">
        <f t="shared" si="3546"/>
        <v/>
      </c>
      <c r="FM248" s="44" t="str">
        <f t="shared" si="3547"/>
        <v/>
      </c>
      <c r="FN248" s="44" t="str">
        <f t="shared" si="3548"/>
        <v/>
      </c>
      <c r="FO248" s="44" t="str">
        <f t="shared" si="3549"/>
        <v/>
      </c>
      <c r="FP248" s="44" t="str">
        <f t="shared" si="3550"/>
        <v/>
      </c>
      <c r="FQ248" s="44" t="str">
        <f t="shared" si="3551"/>
        <v/>
      </c>
      <c r="FR248" s="44" t="str">
        <f t="shared" si="3552"/>
        <v/>
      </c>
      <c r="FS248" s="44" t="str">
        <f t="shared" si="3553"/>
        <v/>
      </c>
    </row>
    <row r="249" spans="1:175" ht="16.5">
      <c r="A249" s="11"/>
      <c r="B249" s="5" t="s">
        <v>770</v>
      </c>
      <c r="C249" s="5" t="s">
        <v>771</v>
      </c>
      <c r="E249" s="109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78"/>
      <c r="Q249" s="78"/>
      <c r="R249" s="78"/>
      <c r="S249" s="78"/>
      <c r="T249" s="115"/>
      <c r="U249" s="56"/>
      <c r="CU249" s="68" t="str">
        <f t="shared" si="3483"/>
        <v>|n</v>
      </c>
      <c r="CW249" s="7"/>
      <c r="CX249" s="7"/>
      <c r="CY249" s="7"/>
      <c r="CZ249" s="7"/>
      <c r="DA249" s="7"/>
      <c r="DB249" s="44" t="str">
        <f t="shared" si="3484"/>
        <v/>
      </c>
      <c r="DC249" s="44" t="str">
        <f t="shared" si="3485"/>
        <v/>
      </c>
      <c r="DD249" s="44" t="str">
        <f t="shared" si="3486"/>
        <v/>
      </c>
      <c r="DE249" s="44" t="str">
        <f t="shared" si="3487"/>
        <v/>
      </c>
      <c r="DF249" s="44" t="str">
        <f t="shared" si="3488"/>
        <v/>
      </c>
      <c r="DG249" s="44" t="str">
        <f t="shared" si="3489"/>
        <v/>
      </c>
      <c r="DH249" s="44" t="str">
        <f t="shared" si="3490"/>
        <v/>
      </c>
      <c r="DI249" s="44" t="str">
        <f t="shared" si="3491"/>
        <v/>
      </c>
      <c r="DJ249" s="44" t="str">
        <f t="shared" si="3492"/>
        <v/>
      </c>
      <c r="DK249" s="44" t="str">
        <f t="shared" si="3493"/>
        <v/>
      </c>
      <c r="DL249" s="44" t="str">
        <f t="shared" si="3494"/>
        <v/>
      </c>
      <c r="DM249" s="44" t="str">
        <f t="shared" si="3495"/>
        <v/>
      </c>
      <c r="DN249" s="44" t="str">
        <f t="shared" si="3496"/>
        <v/>
      </c>
      <c r="DO249" s="44" t="str">
        <f t="shared" si="3497"/>
        <v/>
      </c>
      <c r="DP249" s="44" t="str">
        <f t="shared" si="3498"/>
        <v/>
      </c>
      <c r="DQ249" s="44" t="str">
        <f t="shared" si="3499"/>
        <v/>
      </c>
      <c r="DR249" s="44" t="str">
        <f t="shared" si="3500"/>
        <v/>
      </c>
      <c r="DS249" s="44" t="str">
        <f t="shared" si="3501"/>
        <v/>
      </c>
      <c r="DT249" s="44" t="str">
        <f t="shared" si="3502"/>
        <v/>
      </c>
      <c r="DU249" s="44" t="str">
        <f t="shared" si="3503"/>
        <v/>
      </c>
      <c r="DV249" s="44" t="str">
        <f t="shared" si="3504"/>
        <v/>
      </c>
      <c r="DW249" s="44" t="str">
        <f t="shared" si="3505"/>
        <v/>
      </c>
      <c r="DX249" s="44" t="str">
        <f t="shared" si="3506"/>
        <v/>
      </c>
      <c r="DY249" s="44" t="str">
        <f t="shared" si="3507"/>
        <v/>
      </c>
      <c r="DZ249" s="44" t="str">
        <f t="shared" si="3508"/>
        <v/>
      </c>
      <c r="EA249" s="44" t="str">
        <f t="shared" si="3509"/>
        <v/>
      </c>
      <c r="EB249" s="44" t="str">
        <f t="shared" si="3510"/>
        <v/>
      </c>
      <c r="EC249" s="44" t="str">
        <f t="shared" si="3511"/>
        <v/>
      </c>
      <c r="ED249" s="44" t="str">
        <f t="shared" si="3512"/>
        <v/>
      </c>
      <c r="EE249" s="44" t="str">
        <f t="shared" si="3513"/>
        <v/>
      </c>
      <c r="EF249" s="44" t="str">
        <f t="shared" si="3514"/>
        <v/>
      </c>
      <c r="EG249" s="44" t="str">
        <f t="shared" si="3515"/>
        <v/>
      </c>
      <c r="EH249" s="44" t="str">
        <f t="shared" si="3516"/>
        <v/>
      </c>
      <c r="EI249" s="44" t="str">
        <f t="shared" si="3517"/>
        <v/>
      </c>
      <c r="EJ249" s="44" t="str">
        <f t="shared" si="3518"/>
        <v/>
      </c>
      <c r="EK249" s="44" t="str">
        <f t="shared" si="3519"/>
        <v/>
      </c>
      <c r="EL249" s="44" t="str">
        <f t="shared" si="3520"/>
        <v/>
      </c>
      <c r="EM249" s="44" t="str">
        <f t="shared" si="3521"/>
        <v/>
      </c>
      <c r="EN249" s="44" t="str">
        <f t="shared" si="3522"/>
        <v/>
      </c>
      <c r="EO249" s="44" t="str">
        <f t="shared" si="3523"/>
        <v/>
      </c>
      <c r="EP249" s="44" t="str">
        <f t="shared" si="3524"/>
        <v/>
      </c>
      <c r="EQ249" s="44" t="str">
        <f t="shared" si="3525"/>
        <v/>
      </c>
      <c r="ER249" s="44" t="str">
        <f t="shared" si="3526"/>
        <v/>
      </c>
      <c r="ES249" s="44" t="str">
        <f t="shared" si="3527"/>
        <v/>
      </c>
      <c r="ET249" s="44" t="str">
        <f t="shared" si="3528"/>
        <v/>
      </c>
      <c r="EU249" s="44" t="str">
        <f t="shared" si="3529"/>
        <v/>
      </c>
      <c r="EV249" s="44" t="str">
        <f t="shared" si="3530"/>
        <v/>
      </c>
      <c r="EW249" s="44" t="str">
        <f t="shared" si="3531"/>
        <v/>
      </c>
      <c r="EX249" s="44" t="str">
        <f t="shared" si="3532"/>
        <v/>
      </c>
      <c r="EY249" s="44" t="str">
        <f t="shared" si="3533"/>
        <v/>
      </c>
      <c r="EZ249" s="44" t="str">
        <f t="shared" si="3534"/>
        <v/>
      </c>
      <c r="FA249" s="44" t="str">
        <f t="shared" si="3535"/>
        <v/>
      </c>
      <c r="FB249" s="44" t="str">
        <f t="shared" si="3536"/>
        <v/>
      </c>
      <c r="FC249" s="44" t="str">
        <f t="shared" si="3537"/>
        <v/>
      </c>
      <c r="FD249" s="44" t="str">
        <f t="shared" si="3538"/>
        <v/>
      </c>
      <c r="FE249" s="44" t="str">
        <f t="shared" si="3539"/>
        <v/>
      </c>
      <c r="FF249" s="44" t="str">
        <f t="shared" si="3540"/>
        <v/>
      </c>
      <c r="FG249" s="44" t="str">
        <f t="shared" si="3541"/>
        <v/>
      </c>
      <c r="FH249" s="44" t="str">
        <f t="shared" si="3542"/>
        <v/>
      </c>
      <c r="FI249" s="44" t="str">
        <f t="shared" si="3543"/>
        <v/>
      </c>
      <c r="FJ249" s="44" t="str">
        <f t="shared" si="3544"/>
        <v/>
      </c>
      <c r="FK249" s="44" t="str">
        <f t="shared" si="3545"/>
        <v/>
      </c>
      <c r="FL249" s="44" t="str">
        <f t="shared" si="3546"/>
        <v/>
      </c>
      <c r="FM249" s="44" t="str">
        <f t="shared" si="3547"/>
        <v/>
      </c>
      <c r="FN249" s="44" t="str">
        <f t="shared" si="3548"/>
        <v/>
      </c>
      <c r="FO249" s="44" t="str">
        <f t="shared" si="3549"/>
        <v/>
      </c>
      <c r="FP249" s="44" t="str">
        <f t="shared" si="3550"/>
        <v/>
      </c>
      <c r="FQ249" s="44" t="str">
        <f t="shared" si="3551"/>
        <v/>
      </c>
      <c r="FR249" s="44" t="str">
        <f t="shared" si="3552"/>
        <v/>
      </c>
      <c r="FS249" s="44" t="str">
        <f t="shared" si="3553"/>
        <v/>
      </c>
    </row>
    <row r="250" spans="1:175" ht="16.5">
      <c r="A250" s="11"/>
      <c r="B250" s="45"/>
      <c r="C250" s="11"/>
      <c r="E250" s="109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78"/>
      <c r="Q250" s="78"/>
      <c r="R250" s="78"/>
      <c r="S250" s="78"/>
      <c r="T250" s="115"/>
      <c r="U250" s="56"/>
      <c r="CU250" s="68" t="str">
        <f t="shared" si="3483"/>
        <v>|n</v>
      </c>
      <c r="CW250" s="7"/>
      <c r="CX250" s="7"/>
      <c r="CY250" s="7"/>
      <c r="CZ250" s="7"/>
      <c r="DA250" s="7"/>
      <c r="DB250" s="44" t="str">
        <f t="shared" si="3484"/>
        <v/>
      </c>
      <c r="DC250" s="44" t="str">
        <f t="shared" si="3485"/>
        <v/>
      </c>
      <c r="DD250" s="44" t="str">
        <f t="shared" si="3486"/>
        <v/>
      </c>
      <c r="DE250" s="44" t="str">
        <f t="shared" si="3487"/>
        <v/>
      </c>
      <c r="DF250" s="44" t="str">
        <f t="shared" si="3488"/>
        <v/>
      </c>
      <c r="DG250" s="44" t="str">
        <f t="shared" si="3489"/>
        <v/>
      </c>
      <c r="DH250" s="44" t="str">
        <f t="shared" si="3490"/>
        <v/>
      </c>
      <c r="DI250" s="44" t="str">
        <f t="shared" si="3491"/>
        <v/>
      </c>
      <c r="DJ250" s="44" t="str">
        <f t="shared" si="3492"/>
        <v/>
      </c>
      <c r="DK250" s="44" t="str">
        <f t="shared" si="3493"/>
        <v/>
      </c>
      <c r="DL250" s="44" t="str">
        <f t="shared" si="3494"/>
        <v/>
      </c>
      <c r="DM250" s="44" t="str">
        <f t="shared" si="3495"/>
        <v/>
      </c>
      <c r="DN250" s="44" t="str">
        <f t="shared" si="3496"/>
        <v/>
      </c>
      <c r="DO250" s="44" t="str">
        <f t="shared" si="3497"/>
        <v/>
      </c>
      <c r="DP250" s="44" t="str">
        <f t="shared" si="3498"/>
        <v/>
      </c>
      <c r="DQ250" s="44" t="str">
        <f t="shared" si="3499"/>
        <v/>
      </c>
      <c r="DR250" s="44" t="str">
        <f t="shared" si="3500"/>
        <v/>
      </c>
      <c r="DS250" s="44" t="str">
        <f t="shared" si="3501"/>
        <v/>
      </c>
      <c r="DT250" s="44" t="str">
        <f t="shared" si="3502"/>
        <v/>
      </c>
      <c r="DU250" s="44" t="str">
        <f t="shared" si="3503"/>
        <v/>
      </c>
      <c r="DV250" s="44" t="str">
        <f t="shared" si="3504"/>
        <v/>
      </c>
      <c r="DW250" s="44" t="str">
        <f t="shared" si="3505"/>
        <v/>
      </c>
      <c r="DX250" s="44" t="str">
        <f t="shared" si="3506"/>
        <v/>
      </c>
      <c r="DY250" s="44" t="str">
        <f t="shared" si="3507"/>
        <v/>
      </c>
      <c r="DZ250" s="44" t="str">
        <f t="shared" si="3508"/>
        <v/>
      </c>
      <c r="EA250" s="44" t="str">
        <f t="shared" si="3509"/>
        <v/>
      </c>
      <c r="EB250" s="44" t="str">
        <f t="shared" si="3510"/>
        <v/>
      </c>
      <c r="EC250" s="44" t="str">
        <f t="shared" si="3511"/>
        <v/>
      </c>
      <c r="ED250" s="44" t="str">
        <f t="shared" si="3512"/>
        <v/>
      </c>
      <c r="EE250" s="44" t="str">
        <f t="shared" si="3513"/>
        <v/>
      </c>
      <c r="EF250" s="44" t="str">
        <f t="shared" si="3514"/>
        <v/>
      </c>
      <c r="EG250" s="44" t="str">
        <f t="shared" si="3515"/>
        <v/>
      </c>
      <c r="EH250" s="44" t="str">
        <f t="shared" si="3516"/>
        <v/>
      </c>
      <c r="EI250" s="44" t="str">
        <f t="shared" si="3517"/>
        <v/>
      </c>
      <c r="EJ250" s="44" t="str">
        <f t="shared" si="3518"/>
        <v/>
      </c>
      <c r="EK250" s="44" t="str">
        <f t="shared" si="3519"/>
        <v/>
      </c>
      <c r="EL250" s="44" t="str">
        <f t="shared" si="3520"/>
        <v/>
      </c>
      <c r="EM250" s="44" t="str">
        <f t="shared" si="3521"/>
        <v/>
      </c>
      <c r="EN250" s="44" t="str">
        <f t="shared" si="3522"/>
        <v/>
      </c>
      <c r="EO250" s="44" t="str">
        <f t="shared" si="3523"/>
        <v/>
      </c>
      <c r="EP250" s="44" t="str">
        <f t="shared" si="3524"/>
        <v/>
      </c>
      <c r="EQ250" s="44" t="str">
        <f t="shared" si="3525"/>
        <v/>
      </c>
      <c r="ER250" s="44" t="str">
        <f t="shared" si="3526"/>
        <v/>
      </c>
      <c r="ES250" s="44" t="str">
        <f t="shared" si="3527"/>
        <v/>
      </c>
      <c r="ET250" s="44" t="str">
        <f t="shared" si="3528"/>
        <v/>
      </c>
      <c r="EU250" s="44" t="str">
        <f t="shared" si="3529"/>
        <v/>
      </c>
      <c r="EV250" s="44" t="str">
        <f t="shared" si="3530"/>
        <v/>
      </c>
      <c r="EW250" s="44" t="str">
        <f t="shared" si="3531"/>
        <v/>
      </c>
      <c r="EX250" s="44" t="str">
        <f t="shared" si="3532"/>
        <v/>
      </c>
      <c r="EY250" s="44" t="str">
        <f t="shared" si="3533"/>
        <v/>
      </c>
      <c r="EZ250" s="44" t="str">
        <f t="shared" si="3534"/>
        <v/>
      </c>
      <c r="FA250" s="44" t="str">
        <f t="shared" si="3535"/>
        <v/>
      </c>
      <c r="FB250" s="44" t="str">
        <f t="shared" si="3536"/>
        <v/>
      </c>
      <c r="FC250" s="44" t="str">
        <f t="shared" si="3537"/>
        <v/>
      </c>
      <c r="FD250" s="44" t="str">
        <f t="shared" si="3538"/>
        <v/>
      </c>
      <c r="FE250" s="44" t="str">
        <f t="shared" si="3539"/>
        <v/>
      </c>
      <c r="FF250" s="44" t="str">
        <f t="shared" si="3540"/>
        <v/>
      </c>
      <c r="FG250" s="44" t="str">
        <f t="shared" si="3541"/>
        <v/>
      </c>
      <c r="FH250" s="44" t="str">
        <f t="shared" si="3542"/>
        <v/>
      </c>
      <c r="FI250" s="44" t="str">
        <f t="shared" si="3543"/>
        <v/>
      </c>
      <c r="FJ250" s="44" t="str">
        <f t="shared" si="3544"/>
        <v/>
      </c>
      <c r="FK250" s="44" t="str">
        <f t="shared" si="3545"/>
        <v/>
      </c>
      <c r="FL250" s="44" t="str">
        <f t="shared" si="3546"/>
        <v/>
      </c>
      <c r="FM250" s="44" t="str">
        <f t="shared" si="3547"/>
        <v/>
      </c>
      <c r="FN250" s="44" t="str">
        <f t="shared" si="3548"/>
        <v/>
      </c>
      <c r="FO250" s="44" t="str">
        <f t="shared" si="3549"/>
        <v/>
      </c>
      <c r="FP250" s="44" t="str">
        <f t="shared" si="3550"/>
        <v/>
      </c>
      <c r="FQ250" s="44" t="str">
        <f t="shared" si="3551"/>
        <v/>
      </c>
      <c r="FR250" s="44" t="str">
        <f t="shared" si="3552"/>
        <v/>
      </c>
      <c r="FS250" s="44" t="str">
        <f t="shared" si="3553"/>
        <v/>
      </c>
    </row>
    <row r="251" spans="1:175" ht="16.5">
      <c r="A251" s="11"/>
      <c r="B251" s="45"/>
      <c r="C251" s="11"/>
      <c r="E251" s="109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78"/>
      <c r="Q251" s="78"/>
      <c r="R251" s="78"/>
      <c r="S251" s="78"/>
      <c r="T251" s="115"/>
      <c r="U251" s="56"/>
      <c r="CU251" s="68" t="str">
        <f t="shared" si="3483"/>
        <v>|n</v>
      </c>
      <c r="CW251" s="7"/>
      <c r="CX251" s="7"/>
      <c r="CY251" s="7"/>
      <c r="CZ251" s="7"/>
      <c r="DA251" s="7"/>
      <c r="DB251" s="44" t="str">
        <f t="shared" si="3484"/>
        <v/>
      </c>
      <c r="DC251" s="44" t="str">
        <f t="shared" si="3485"/>
        <v/>
      </c>
      <c r="DD251" s="44" t="str">
        <f t="shared" si="3486"/>
        <v/>
      </c>
      <c r="DE251" s="44" t="str">
        <f t="shared" si="3487"/>
        <v/>
      </c>
      <c r="DF251" s="44" t="str">
        <f t="shared" si="3488"/>
        <v/>
      </c>
      <c r="DG251" s="44" t="str">
        <f t="shared" si="3489"/>
        <v/>
      </c>
      <c r="DH251" s="44" t="str">
        <f t="shared" si="3490"/>
        <v/>
      </c>
      <c r="DI251" s="44" t="str">
        <f t="shared" si="3491"/>
        <v/>
      </c>
      <c r="DJ251" s="44" t="str">
        <f t="shared" si="3492"/>
        <v/>
      </c>
      <c r="DK251" s="44" t="str">
        <f t="shared" si="3493"/>
        <v/>
      </c>
      <c r="DL251" s="44" t="str">
        <f t="shared" si="3494"/>
        <v/>
      </c>
      <c r="DM251" s="44" t="str">
        <f t="shared" si="3495"/>
        <v/>
      </c>
      <c r="DN251" s="44" t="str">
        <f t="shared" si="3496"/>
        <v/>
      </c>
      <c r="DO251" s="44" t="str">
        <f t="shared" si="3497"/>
        <v/>
      </c>
      <c r="DP251" s="44" t="str">
        <f t="shared" si="3498"/>
        <v/>
      </c>
      <c r="DQ251" s="44" t="str">
        <f t="shared" si="3499"/>
        <v/>
      </c>
      <c r="DR251" s="44" t="str">
        <f t="shared" si="3500"/>
        <v/>
      </c>
      <c r="DS251" s="44" t="str">
        <f t="shared" si="3501"/>
        <v/>
      </c>
      <c r="DT251" s="44" t="str">
        <f t="shared" si="3502"/>
        <v/>
      </c>
      <c r="DU251" s="44" t="str">
        <f t="shared" si="3503"/>
        <v/>
      </c>
      <c r="DV251" s="44" t="str">
        <f t="shared" si="3504"/>
        <v/>
      </c>
      <c r="DW251" s="44" t="str">
        <f t="shared" si="3505"/>
        <v/>
      </c>
      <c r="DX251" s="44" t="str">
        <f t="shared" si="3506"/>
        <v/>
      </c>
      <c r="DY251" s="44" t="str">
        <f t="shared" si="3507"/>
        <v/>
      </c>
      <c r="DZ251" s="44" t="str">
        <f t="shared" si="3508"/>
        <v/>
      </c>
      <c r="EA251" s="44" t="str">
        <f t="shared" si="3509"/>
        <v/>
      </c>
      <c r="EB251" s="44" t="str">
        <f t="shared" si="3510"/>
        <v/>
      </c>
      <c r="EC251" s="44" t="str">
        <f t="shared" si="3511"/>
        <v/>
      </c>
      <c r="ED251" s="44" t="str">
        <f t="shared" si="3512"/>
        <v/>
      </c>
      <c r="EE251" s="44" t="str">
        <f t="shared" si="3513"/>
        <v/>
      </c>
      <c r="EF251" s="44" t="str">
        <f t="shared" si="3514"/>
        <v/>
      </c>
      <c r="EG251" s="44" t="str">
        <f t="shared" si="3515"/>
        <v/>
      </c>
      <c r="EH251" s="44" t="str">
        <f t="shared" si="3516"/>
        <v/>
      </c>
      <c r="EI251" s="44" t="str">
        <f t="shared" si="3517"/>
        <v/>
      </c>
      <c r="EJ251" s="44" t="str">
        <f t="shared" si="3518"/>
        <v/>
      </c>
      <c r="EK251" s="44" t="str">
        <f t="shared" si="3519"/>
        <v/>
      </c>
      <c r="EL251" s="44" t="str">
        <f t="shared" si="3520"/>
        <v/>
      </c>
      <c r="EM251" s="44" t="str">
        <f t="shared" si="3521"/>
        <v/>
      </c>
      <c r="EN251" s="44" t="str">
        <f t="shared" si="3522"/>
        <v/>
      </c>
      <c r="EO251" s="44" t="str">
        <f t="shared" si="3523"/>
        <v/>
      </c>
      <c r="EP251" s="44" t="str">
        <f t="shared" si="3524"/>
        <v/>
      </c>
      <c r="EQ251" s="44" t="str">
        <f t="shared" si="3525"/>
        <v/>
      </c>
      <c r="ER251" s="44" t="str">
        <f t="shared" si="3526"/>
        <v/>
      </c>
      <c r="ES251" s="44" t="str">
        <f t="shared" si="3527"/>
        <v/>
      </c>
      <c r="ET251" s="44" t="str">
        <f t="shared" si="3528"/>
        <v/>
      </c>
      <c r="EU251" s="44" t="str">
        <f t="shared" si="3529"/>
        <v/>
      </c>
      <c r="EV251" s="44" t="str">
        <f t="shared" si="3530"/>
        <v/>
      </c>
      <c r="EW251" s="44" t="str">
        <f t="shared" si="3531"/>
        <v/>
      </c>
      <c r="EX251" s="44" t="str">
        <f t="shared" si="3532"/>
        <v/>
      </c>
      <c r="EY251" s="44" t="str">
        <f t="shared" si="3533"/>
        <v/>
      </c>
      <c r="EZ251" s="44" t="str">
        <f t="shared" si="3534"/>
        <v/>
      </c>
      <c r="FA251" s="44" t="str">
        <f t="shared" si="3535"/>
        <v/>
      </c>
      <c r="FB251" s="44" t="str">
        <f t="shared" si="3536"/>
        <v/>
      </c>
      <c r="FC251" s="44" t="str">
        <f t="shared" si="3537"/>
        <v/>
      </c>
      <c r="FD251" s="44" t="str">
        <f t="shared" si="3538"/>
        <v/>
      </c>
      <c r="FE251" s="44" t="str">
        <f t="shared" si="3539"/>
        <v/>
      </c>
      <c r="FF251" s="44" t="str">
        <f t="shared" si="3540"/>
        <v/>
      </c>
      <c r="FG251" s="44" t="str">
        <f t="shared" si="3541"/>
        <v/>
      </c>
      <c r="FH251" s="44" t="str">
        <f t="shared" si="3542"/>
        <v/>
      </c>
      <c r="FI251" s="44" t="str">
        <f t="shared" si="3543"/>
        <v/>
      </c>
      <c r="FJ251" s="44" t="str">
        <f t="shared" si="3544"/>
        <v/>
      </c>
      <c r="FK251" s="44" t="str">
        <f t="shared" si="3545"/>
        <v/>
      </c>
      <c r="FL251" s="44" t="str">
        <f t="shared" si="3546"/>
        <v/>
      </c>
      <c r="FM251" s="44" t="str">
        <f t="shared" si="3547"/>
        <v/>
      </c>
      <c r="FN251" s="44" t="str">
        <f t="shared" si="3548"/>
        <v/>
      </c>
      <c r="FO251" s="44" t="str">
        <f t="shared" si="3549"/>
        <v/>
      </c>
      <c r="FP251" s="44" t="str">
        <f t="shared" si="3550"/>
        <v/>
      </c>
      <c r="FQ251" s="44" t="str">
        <f t="shared" si="3551"/>
        <v/>
      </c>
      <c r="FR251" s="44" t="str">
        <f t="shared" si="3552"/>
        <v/>
      </c>
      <c r="FS251" s="44" t="str">
        <f t="shared" si="3553"/>
        <v/>
      </c>
    </row>
    <row r="252" spans="1:175" ht="16.5">
      <c r="A252" s="11"/>
      <c r="B252" s="45"/>
      <c r="C252" s="11"/>
      <c r="E252" s="109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78"/>
      <c r="Q252" s="78"/>
      <c r="R252" s="78"/>
      <c r="S252" s="78"/>
      <c r="T252" s="115"/>
      <c r="U252" s="56"/>
      <c r="CU252" s="68" t="str">
        <f t="shared" si="3483"/>
        <v>|n</v>
      </c>
      <c r="CW252" s="7"/>
      <c r="CX252" s="7"/>
      <c r="CY252" s="7"/>
      <c r="CZ252" s="7"/>
      <c r="DA252" s="7"/>
      <c r="DB252" s="44" t="str">
        <f t="shared" si="3484"/>
        <v/>
      </c>
      <c r="DC252" s="44" t="str">
        <f t="shared" si="3485"/>
        <v/>
      </c>
      <c r="DD252" s="44" t="str">
        <f t="shared" si="3486"/>
        <v/>
      </c>
      <c r="DE252" s="44" t="str">
        <f t="shared" si="3487"/>
        <v/>
      </c>
      <c r="DF252" s="44" t="str">
        <f t="shared" si="3488"/>
        <v/>
      </c>
      <c r="DG252" s="44" t="str">
        <f t="shared" si="3489"/>
        <v/>
      </c>
      <c r="DH252" s="44" t="str">
        <f t="shared" si="3490"/>
        <v/>
      </c>
      <c r="DI252" s="44" t="str">
        <f t="shared" si="3491"/>
        <v/>
      </c>
      <c r="DJ252" s="44" t="str">
        <f t="shared" si="3492"/>
        <v/>
      </c>
      <c r="DK252" s="44" t="str">
        <f t="shared" si="3493"/>
        <v/>
      </c>
      <c r="DL252" s="44" t="str">
        <f t="shared" si="3494"/>
        <v/>
      </c>
      <c r="DM252" s="44" t="str">
        <f t="shared" si="3495"/>
        <v/>
      </c>
      <c r="DN252" s="44" t="str">
        <f t="shared" si="3496"/>
        <v/>
      </c>
      <c r="DO252" s="44" t="str">
        <f t="shared" si="3497"/>
        <v/>
      </c>
      <c r="DP252" s="44" t="str">
        <f t="shared" si="3498"/>
        <v/>
      </c>
      <c r="DQ252" s="44" t="str">
        <f t="shared" si="3499"/>
        <v/>
      </c>
      <c r="DR252" s="44" t="str">
        <f t="shared" si="3500"/>
        <v/>
      </c>
      <c r="DS252" s="44" t="str">
        <f t="shared" si="3501"/>
        <v/>
      </c>
      <c r="DT252" s="44" t="str">
        <f t="shared" si="3502"/>
        <v/>
      </c>
      <c r="DU252" s="44" t="str">
        <f t="shared" si="3503"/>
        <v/>
      </c>
      <c r="DV252" s="44" t="str">
        <f t="shared" si="3504"/>
        <v/>
      </c>
      <c r="DW252" s="44" t="str">
        <f t="shared" si="3505"/>
        <v/>
      </c>
      <c r="DX252" s="44" t="str">
        <f t="shared" si="3506"/>
        <v/>
      </c>
      <c r="DY252" s="44" t="str">
        <f t="shared" si="3507"/>
        <v/>
      </c>
      <c r="DZ252" s="44" t="str">
        <f t="shared" si="3508"/>
        <v/>
      </c>
      <c r="EA252" s="44" t="str">
        <f t="shared" si="3509"/>
        <v/>
      </c>
      <c r="EB252" s="44" t="str">
        <f t="shared" si="3510"/>
        <v/>
      </c>
      <c r="EC252" s="44" t="str">
        <f t="shared" si="3511"/>
        <v/>
      </c>
      <c r="ED252" s="44" t="str">
        <f t="shared" si="3512"/>
        <v/>
      </c>
      <c r="EE252" s="44" t="str">
        <f t="shared" si="3513"/>
        <v/>
      </c>
      <c r="EF252" s="44" t="str">
        <f t="shared" si="3514"/>
        <v/>
      </c>
      <c r="EG252" s="44" t="str">
        <f t="shared" si="3515"/>
        <v/>
      </c>
      <c r="EH252" s="44" t="str">
        <f t="shared" si="3516"/>
        <v/>
      </c>
      <c r="EI252" s="44" t="str">
        <f t="shared" si="3517"/>
        <v/>
      </c>
      <c r="EJ252" s="44" t="str">
        <f t="shared" si="3518"/>
        <v/>
      </c>
      <c r="EK252" s="44" t="str">
        <f t="shared" si="3519"/>
        <v/>
      </c>
      <c r="EL252" s="44" t="str">
        <f t="shared" si="3520"/>
        <v/>
      </c>
      <c r="EM252" s="44" t="str">
        <f t="shared" si="3521"/>
        <v/>
      </c>
      <c r="EN252" s="44" t="str">
        <f t="shared" si="3522"/>
        <v/>
      </c>
      <c r="EO252" s="44" t="str">
        <f t="shared" si="3523"/>
        <v/>
      </c>
      <c r="EP252" s="44" t="str">
        <f t="shared" si="3524"/>
        <v/>
      </c>
      <c r="EQ252" s="44" t="str">
        <f t="shared" si="3525"/>
        <v/>
      </c>
      <c r="ER252" s="44" t="str">
        <f t="shared" si="3526"/>
        <v/>
      </c>
      <c r="ES252" s="44" t="str">
        <f t="shared" si="3527"/>
        <v/>
      </c>
      <c r="ET252" s="44" t="str">
        <f t="shared" si="3528"/>
        <v/>
      </c>
      <c r="EU252" s="44" t="str">
        <f t="shared" si="3529"/>
        <v/>
      </c>
      <c r="EV252" s="44" t="str">
        <f t="shared" si="3530"/>
        <v/>
      </c>
      <c r="EW252" s="44" t="str">
        <f t="shared" si="3531"/>
        <v/>
      </c>
      <c r="EX252" s="44" t="str">
        <f t="shared" si="3532"/>
        <v/>
      </c>
      <c r="EY252" s="44" t="str">
        <f t="shared" si="3533"/>
        <v/>
      </c>
      <c r="EZ252" s="44" t="str">
        <f t="shared" si="3534"/>
        <v/>
      </c>
      <c r="FA252" s="44" t="str">
        <f t="shared" si="3535"/>
        <v/>
      </c>
      <c r="FB252" s="44" t="str">
        <f t="shared" si="3536"/>
        <v/>
      </c>
      <c r="FC252" s="44" t="str">
        <f t="shared" si="3537"/>
        <v/>
      </c>
      <c r="FD252" s="44" t="str">
        <f t="shared" si="3538"/>
        <v/>
      </c>
      <c r="FE252" s="44" t="str">
        <f t="shared" si="3539"/>
        <v/>
      </c>
      <c r="FF252" s="44" t="str">
        <f t="shared" si="3540"/>
        <v/>
      </c>
      <c r="FG252" s="44" t="str">
        <f t="shared" si="3541"/>
        <v/>
      </c>
      <c r="FH252" s="44" t="str">
        <f t="shared" si="3542"/>
        <v/>
      </c>
      <c r="FI252" s="44" t="str">
        <f t="shared" si="3543"/>
        <v/>
      </c>
      <c r="FJ252" s="44" t="str">
        <f t="shared" si="3544"/>
        <v/>
      </c>
      <c r="FK252" s="44" t="str">
        <f t="shared" si="3545"/>
        <v/>
      </c>
      <c r="FL252" s="44" t="str">
        <f t="shared" si="3546"/>
        <v/>
      </c>
      <c r="FM252" s="44" t="str">
        <f t="shared" si="3547"/>
        <v/>
      </c>
      <c r="FN252" s="44" t="str">
        <f t="shared" si="3548"/>
        <v/>
      </c>
      <c r="FO252" s="44" t="str">
        <f t="shared" si="3549"/>
        <v/>
      </c>
      <c r="FP252" s="44" t="str">
        <f t="shared" si="3550"/>
        <v/>
      </c>
      <c r="FQ252" s="44" t="str">
        <f t="shared" si="3551"/>
        <v/>
      </c>
      <c r="FR252" s="44" t="str">
        <f t="shared" si="3552"/>
        <v/>
      </c>
      <c r="FS252" s="44" t="str">
        <f t="shared" si="3553"/>
        <v/>
      </c>
    </row>
    <row r="253" spans="1:175" ht="16.5">
      <c r="A253" s="11"/>
      <c r="B253" s="45"/>
      <c r="C253" s="11"/>
      <c r="E253" s="109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78"/>
      <c r="Q253" s="78"/>
      <c r="R253" s="78"/>
      <c r="S253" s="78"/>
      <c r="T253" s="115"/>
      <c r="U253" s="56"/>
      <c r="CU253" s="68" t="str">
        <f t="shared" si="3483"/>
        <v>|n</v>
      </c>
      <c r="CW253" s="7"/>
      <c r="CX253" s="7"/>
      <c r="CY253" s="7"/>
      <c r="CZ253" s="7"/>
      <c r="DA253" s="7"/>
      <c r="DB253" s="44" t="str">
        <f t="shared" si="3484"/>
        <v/>
      </c>
      <c r="DC253" s="44" t="str">
        <f t="shared" si="3485"/>
        <v/>
      </c>
      <c r="DD253" s="44" t="str">
        <f t="shared" si="3486"/>
        <v/>
      </c>
      <c r="DE253" s="44" t="str">
        <f t="shared" si="3487"/>
        <v/>
      </c>
      <c r="DF253" s="44" t="str">
        <f t="shared" si="3488"/>
        <v/>
      </c>
      <c r="DG253" s="44" t="str">
        <f t="shared" si="3489"/>
        <v/>
      </c>
      <c r="DH253" s="44" t="str">
        <f t="shared" si="3490"/>
        <v/>
      </c>
      <c r="DI253" s="44" t="str">
        <f t="shared" si="3491"/>
        <v/>
      </c>
      <c r="DJ253" s="44" t="str">
        <f t="shared" si="3492"/>
        <v/>
      </c>
      <c r="DK253" s="44" t="str">
        <f t="shared" si="3493"/>
        <v/>
      </c>
      <c r="DL253" s="44" t="str">
        <f t="shared" si="3494"/>
        <v/>
      </c>
      <c r="DM253" s="44" t="str">
        <f t="shared" si="3495"/>
        <v/>
      </c>
      <c r="DN253" s="44" t="str">
        <f t="shared" si="3496"/>
        <v/>
      </c>
      <c r="DO253" s="44" t="str">
        <f t="shared" si="3497"/>
        <v/>
      </c>
      <c r="DP253" s="44" t="str">
        <f t="shared" si="3498"/>
        <v/>
      </c>
      <c r="DQ253" s="44" t="str">
        <f t="shared" si="3499"/>
        <v/>
      </c>
      <c r="DR253" s="44" t="str">
        <f t="shared" si="3500"/>
        <v/>
      </c>
      <c r="DS253" s="44" t="str">
        <f t="shared" si="3501"/>
        <v/>
      </c>
      <c r="DT253" s="44" t="str">
        <f t="shared" si="3502"/>
        <v/>
      </c>
      <c r="DU253" s="44" t="str">
        <f t="shared" si="3503"/>
        <v/>
      </c>
      <c r="DV253" s="44" t="str">
        <f t="shared" si="3504"/>
        <v/>
      </c>
      <c r="DW253" s="44" t="str">
        <f t="shared" si="3505"/>
        <v/>
      </c>
      <c r="DX253" s="44" t="str">
        <f t="shared" si="3506"/>
        <v/>
      </c>
      <c r="DY253" s="44" t="str">
        <f t="shared" si="3507"/>
        <v/>
      </c>
      <c r="DZ253" s="44" t="str">
        <f t="shared" si="3508"/>
        <v/>
      </c>
      <c r="EA253" s="44" t="str">
        <f t="shared" si="3509"/>
        <v/>
      </c>
      <c r="EB253" s="44" t="str">
        <f t="shared" si="3510"/>
        <v/>
      </c>
      <c r="EC253" s="44" t="str">
        <f t="shared" si="3511"/>
        <v/>
      </c>
      <c r="ED253" s="44" t="str">
        <f t="shared" si="3512"/>
        <v/>
      </c>
      <c r="EE253" s="44" t="str">
        <f t="shared" si="3513"/>
        <v/>
      </c>
      <c r="EF253" s="44" t="str">
        <f t="shared" si="3514"/>
        <v/>
      </c>
      <c r="EG253" s="44" t="str">
        <f t="shared" si="3515"/>
        <v/>
      </c>
      <c r="EH253" s="44" t="str">
        <f t="shared" si="3516"/>
        <v/>
      </c>
      <c r="EI253" s="44" t="str">
        <f t="shared" si="3517"/>
        <v/>
      </c>
      <c r="EJ253" s="44" t="str">
        <f t="shared" si="3518"/>
        <v/>
      </c>
      <c r="EK253" s="44" t="str">
        <f t="shared" si="3519"/>
        <v/>
      </c>
      <c r="EL253" s="44" t="str">
        <f t="shared" si="3520"/>
        <v/>
      </c>
      <c r="EM253" s="44" t="str">
        <f t="shared" si="3521"/>
        <v/>
      </c>
      <c r="EN253" s="44" t="str">
        <f t="shared" si="3522"/>
        <v/>
      </c>
      <c r="EO253" s="44" t="str">
        <f t="shared" si="3523"/>
        <v/>
      </c>
      <c r="EP253" s="44" t="str">
        <f t="shared" si="3524"/>
        <v/>
      </c>
      <c r="EQ253" s="44" t="str">
        <f t="shared" si="3525"/>
        <v/>
      </c>
      <c r="ER253" s="44" t="str">
        <f t="shared" si="3526"/>
        <v/>
      </c>
      <c r="ES253" s="44" t="str">
        <f t="shared" si="3527"/>
        <v/>
      </c>
      <c r="ET253" s="44" t="str">
        <f t="shared" si="3528"/>
        <v/>
      </c>
      <c r="EU253" s="44" t="str">
        <f t="shared" si="3529"/>
        <v/>
      </c>
      <c r="EV253" s="44" t="str">
        <f t="shared" si="3530"/>
        <v/>
      </c>
      <c r="EW253" s="44" t="str">
        <f t="shared" si="3531"/>
        <v/>
      </c>
      <c r="EX253" s="44" t="str">
        <f t="shared" si="3532"/>
        <v/>
      </c>
      <c r="EY253" s="44" t="str">
        <f t="shared" si="3533"/>
        <v/>
      </c>
      <c r="EZ253" s="44" t="str">
        <f t="shared" si="3534"/>
        <v/>
      </c>
      <c r="FA253" s="44" t="str">
        <f t="shared" si="3535"/>
        <v/>
      </c>
      <c r="FB253" s="44" t="str">
        <f t="shared" si="3536"/>
        <v/>
      </c>
      <c r="FC253" s="44" t="str">
        <f t="shared" si="3537"/>
        <v/>
      </c>
      <c r="FD253" s="44" t="str">
        <f t="shared" si="3538"/>
        <v/>
      </c>
      <c r="FE253" s="44" t="str">
        <f t="shared" si="3539"/>
        <v/>
      </c>
      <c r="FF253" s="44" t="str">
        <f t="shared" si="3540"/>
        <v/>
      </c>
      <c r="FG253" s="44" t="str">
        <f t="shared" si="3541"/>
        <v/>
      </c>
      <c r="FH253" s="44" t="str">
        <f t="shared" si="3542"/>
        <v/>
      </c>
      <c r="FI253" s="44" t="str">
        <f t="shared" si="3543"/>
        <v/>
      </c>
      <c r="FJ253" s="44" t="str">
        <f t="shared" si="3544"/>
        <v/>
      </c>
      <c r="FK253" s="44" t="str">
        <f t="shared" si="3545"/>
        <v/>
      </c>
      <c r="FL253" s="44" t="str">
        <f t="shared" si="3546"/>
        <v/>
      </c>
      <c r="FM253" s="44" t="str">
        <f t="shared" si="3547"/>
        <v/>
      </c>
      <c r="FN253" s="44" t="str">
        <f t="shared" si="3548"/>
        <v/>
      </c>
      <c r="FO253" s="44" t="str">
        <f t="shared" si="3549"/>
        <v/>
      </c>
      <c r="FP253" s="44" t="str">
        <f t="shared" si="3550"/>
        <v/>
      </c>
      <c r="FQ253" s="44" t="str">
        <f t="shared" si="3551"/>
        <v/>
      </c>
      <c r="FR253" s="44" t="str">
        <f t="shared" si="3552"/>
        <v/>
      </c>
      <c r="FS253" s="44" t="str">
        <f t="shared" si="3553"/>
        <v/>
      </c>
    </row>
    <row r="254" spans="1:175" ht="16.5">
      <c r="A254" s="11"/>
      <c r="B254" s="45"/>
      <c r="C254" s="11"/>
      <c r="E254" s="109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78"/>
      <c r="Q254" s="78"/>
      <c r="R254" s="78"/>
      <c r="S254" s="78"/>
      <c r="T254" s="115"/>
      <c r="U254" s="56"/>
      <c r="CU254" s="68" t="str">
        <f t="shared" si="3483"/>
        <v>|n</v>
      </c>
      <c r="CW254" s="7"/>
      <c r="CX254" s="7"/>
      <c r="CY254" s="7"/>
      <c r="CZ254" s="7"/>
      <c r="DA254" s="7"/>
      <c r="DB254" s="44" t="str">
        <f t="shared" si="3484"/>
        <v/>
      </c>
      <c r="DC254" s="44" t="str">
        <f t="shared" si="3485"/>
        <v/>
      </c>
      <c r="DD254" s="44" t="str">
        <f t="shared" si="3486"/>
        <v/>
      </c>
      <c r="DE254" s="44" t="str">
        <f t="shared" si="3487"/>
        <v/>
      </c>
      <c r="DF254" s="44" t="str">
        <f t="shared" si="3488"/>
        <v/>
      </c>
      <c r="DG254" s="44" t="str">
        <f t="shared" si="3489"/>
        <v/>
      </c>
      <c r="DH254" s="44" t="str">
        <f t="shared" si="3490"/>
        <v/>
      </c>
      <c r="DI254" s="44" t="str">
        <f t="shared" si="3491"/>
        <v/>
      </c>
      <c r="DJ254" s="44" t="str">
        <f t="shared" si="3492"/>
        <v/>
      </c>
      <c r="DK254" s="44" t="str">
        <f t="shared" si="3493"/>
        <v/>
      </c>
      <c r="DL254" s="44" t="str">
        <f t="shared" si="3494"/>
        <v/>
      </c>
      <c r="DM254" s="44" t="str">
        <f t="shared" si="3495"/>
        <v/>
      </c>
      <c r="DN254" s="44" t="str">
        <f t="shared" si="3496"/>
        <v/>
      </c>
      <c r="DO254" s="44" t="str">
        <f t="shared" si="3497"/>
        <v/>
      </c>
      <c r="DP254" s="44" t="str">
        <f t="shared" si="3498"/>
        <v/>
      </c>
      <c r="DQ254" s="44" t="str">
        <f t="shared" si="3499"/>
        <v/>
      </c>
      <c r="DR254" s="44" t="str">
        <f t="shared" si="3500"/>
        <v/>
      </c>
      <c r="DS254" s="44" t="str">
        <f t="shared" si="3501"/>
        <v/>
      </c>
      <c r="DT254" s="44" t="str">
        <f t="shared" si="3502"/>
        <v/>
      </c>
      <c r="DU254" s="44" t="str">
        <f t="shared" si="3503"/>
        <v/>
      </c>
      <c r="DV254" s="44" t="str">
        <f t="shared" si="3504"/>
        <v/>
      </c>
      <c r="DW254" s="44" t="str">
        <f t="shared" si="3505"/>
        <v/>
      </c>
      <c r="DX254" s="44" t="str">
        <f t="shared" si="3506"/>
        <v/>
      </c>
      <c r="DY254" s="44" t="str">
        <f t="shared" si="3507"/>
        <v/>
      </c>
      <c r="DZ254" s="44" t="str">
        <f t="shared" si="3508"/>
        <v/>
      </c>
      <c r="EA254" s="44" t="str">
        <f t="shared" si="3509"/>
        <v/>
      </c>
      <c r="EB254" s="44" t="str">
        <f t="shared" si="3510"/>
        <v/>
      </c>
      <c r="EC254" s="44" t="str">
        <f t="shared" si="3511"/>
        <v/>
      </c>
      <c r="ED254" s="44" t="str">
        <f t="shared" si="3512"/>
        <v/>
      </c>
      <c r="EE254" s="44" t="str">
        <f t="shared" si="3513"/>
        <v/>
      </c>
      <c r="EF254" s="44" t="str">
        <f t="shared" si="3514"/>
        <v/>
      </c>
      <c r="EG254" s="44" t="str">
        <f t="shared" si="3515"/>
        <v/>
      </c>
      <c r="EH254" s="44" t="str">
        <f t="shared" si="3516"/>
        <v/>
      </c>
      <c r="EI254" s="44" t="str">
        <f t="shared" si="3517"/>
        <v/>
      </c>
      <c r="EJ254" s="44" t="str">
        <f t="shared" si="3518"/>
        <v/>
      </c>
      <c r="EK254" s="44" t="str">
        <f t="shared" si="3519"/>
        <v/>
      </c>
      <c r="EL254" s="44" t="str">
        <f t="shared" si="3520"/>
        <v/>
      </c>
      <c r="EM254" s="44" t="str">
        <f t="shared" si="3521"/>
        <v/>
      </c>
      <c r="EN254" s="44" t="str">
        <f t="shared" si="3522"/>
        <v/>
      </c>
      <c r="EO254" s="44" t="str">
        <f t="shared" si="3523"/>
        <v/>
      </c>
      <c r="EP254" s="44" t="str">
        <f t="shared" si="3524"/>
        <v/>
      </c>
      <c r="EQ254" s="44" t="str">
        <f t="shared" si="3525"/>
        <v/>
      </c>
      <c r="ER254" s="44" t="str">
        <f t="shared" si="3526"/>
        <v/>
      </c>
      <c r="ES254" s="44" t="str">
        <f t="shared" si="3527"/>
        <v/>
      </c>
      <c r="ET254" s="44" t="str">
        <f t="shared" si="3528"/>
        <v/>
      </c>
      <c r="EU254" s="44" t="str">
        <f t="shared" si="3529"/>
        <v/>
      </c>
      <c r="EV254" s="44" t="str">
        <f t="shared" si="3530"/>
        <v/>
      </c>
      <c r="EW254" s="44" t="str">
        <f t="shared" si="3531"/>
        <v/>
      </c>
      <c r="EX254" s="44" t="str">
        <f t="shared" si="3532"/>
        <v/>
      </c>
      <c r="EY254" s="44" t="str">
        <f t="shared" si="3533"/>
        <v/>
      </c>
      <c r="EZ254" s="44" t="str">
        <f t="shared" si="3534"/>
        <v/>
      </c>
      <c r="FA254" s="44" t="str">
        <f t="shared" si="3535"/>
        <v/>
      </c>
      <c r="FB254" s="44" t="str">
        <f t="shared" si="3536"/>
        <v/>
      </c>
      <c r="FC254" s="44" t="str">
        <f t="shared" si="3537"/>
        <v/>
      </c>
      <c r="FD254" s="44" t="str">
        <f t="shared" si="3538"/>
        <v/>
      </c>
      <c r="FE254" s="44" t="str">
        <f t="shared" si="3539"/>
        <v/>
      </c>
      <c r="FF254" s="44" t="str">
        <f t="shared" si="3540"/>
        <v/>
      </c>
      <c r="FG254" s="44" t="str">
        <f t="shared" si="3541"/>
        <v/>
      </c>
      <c r="FH254" s="44" t="str">
        <f t="shared" si="3542"/>
        <v/>
      </c>
      <c r="FI254" s="44" t="str">
        <f t="shared" si="3543"/>
        <v/>
      </c>
      <c r="FJ254" s="44" t="str">
        <f t="shared" si="3544"/>
        <v/>
      </c>
      <c r="FK254" s="44" t="str">
        <f t="shared" si="3545"/>
        <v/>
      </c>
      <c r="FL254" s="44" t="str">
        <f t="shared" si="3546"/>
        <v/>
      </c>
      <c r="FM254" s="44" t="str">
        <f t="shared" si="3547"/>
        <v/>
      </c>
      <c r="FN254" s="44" t="str">
        <f t="shared" si="3548"/>
        <v/>
      </c>
      <c r="FO254" s="44" t="str">
        <f t="shared" si="3549"/>
        <v/>
      </c>
      <c r="FP254" s="44" t="str">
        <f t="shared" si="3550"/>
        <v/>
      </c>
      <c r="FQ254" s="44" t="str">
        <f t="shared" si="3551"/>
        <v/>
      </c>
      <c r="FR254" s="44" t="str">
        <f t="shared" si="3552"/>
        <v/>
      </c>
      <c r="FS254" s="44" t="str">
        <f t="shared" si="3553"/>
        <v/>
      </c>
    </row>
    <row r="255" spans="1:175" ht="16.5">
      <c r="A255" s="11"/>
      <c r="B255" s="45"/>
      <c r="C255" s="11"/>
      <c r="E255" s="109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78"/>
      <c r="Q255" s="78"/>
      <c r="R255" s="78"/>
      <c r="S255" s="78"/>
      <c r="T255" s="115"/>
      <c r="U255" s="56"/>
      <c r="CU255" s="68" t="str">
        <f t="shared" si="3483"/>
        <v>|n</v>
      </c>
      <c r="CW255" s="7"/>
      <c r="CX255" s="7"/>
      <c r="CY255" s="7"/>
      <c r="CZ255" s="7"/>
      <c r="DA255" s="7"/>
      <c r="DB255" s="44" t="str">
        <f t="shared" si="3484"/>
        <v/>
      </c>
      <c r="DC255" s="44" t="str">
        <f t="shared" si="3485"/>
        <v/>
      </c>
      <c r="DD255" s="44" t="str">
        <f t="shared" si="3486"/>
        <v/>
      </c>
      <c r="DE255" s="44" t="str">
        <f t="shared" si="3487"/>
        <v/>
      </c>
      <c r="DF255" s="44" t="str">
        <f t="shared" si="3488"/>
        <v/>
      </c>
      <c r="DG255" s="44" t="str">
        <f t="shared" si="3489"/>
        <v/>
      </c>
      <c r="DH255" s="44" t="str">
        <f t="shared" si="3490"/>
        <v/>
      </c>
      <c r="DI255" s="44" t="str">
        <f t="shared" si="3491"/>
        <v/>
      </c>
      <c r="DJ255" s="44" t="str">
        <f t="shared" si="3492"/>
        <v/>
      </c>
      <c r="DK255" s="44" t="str">
        <f t="shared" si="3493"/>
        <v/>
      </c>
      <c r="DL255" s="44" t="str">
        <f t="shared" si="3494"/>
        <v/>
      </c>
      <c r="DM255" s="44" t="str">
        <f t="shared" si="3495"/>
        <v/>
      </c>
      <c r="DN255" s="44" t="str">
        <f t="shared" si="3496"/>
        <v/>
      </c>
      <c r="DO255" s="44" t="str">
        <f t="shared" si="3497"/>
        <v/>
      </c>
      <c r="DP255" s="44" t="str">
        <f t="shared" si="3498"/>
        <v/>
      </c>
      <c r="DQ255" s="44" t="str">
        <f t="shared" si="3499"/>
        <v/>
      </c>
      <c r="DR255" s="44" t="str">
        <f t="shared" si="3500"/>
        <v/>
      </c>
      <c r="DS255" s="44" t="str">
        <f t="shared" si="3501"/>
        <v/>
      </c>
      <c r="DT255" s="44" t="str">
        <f t="shared" si="3502"/>
        <v/>
      </c>
      <c r="DU255" s="44" t="str">
        <f t="shared" si="3503"/>
        <v/>
      </c>
      <c r="DV255" s="44" t="str">
        <f t="shared" si="3504"/>
        <v/>
      </c>
      <c r="DW255" s="44" t="str">
        <f t="shared" si="3505"/>
        <v/>
      </c>
      <c r="DX255" s="44" t="str">
        <f t="shared" si="3506"/>
        <v/>
      </c>
      <c r="DY255" s="44" t="str">
        <f t="shared" si="3507"/>
        <v/>
      </c>
      <c r="DZ255" s="44" t="str">
        <f t="shared" si="3508"/>
        <v/>
      </c>
      <c r="EA255" s="44" t="str">
        <f t="shared" si="3509"/>
        <v/>
      </c>
      <c r="EB255" s="44" t="str">
        <f t="shared" si="3510"/>
        <v/>
      </c>
      <c r="EC255" s="44" t="str">
        <f t="shared" si="3511"/>
        <v/>
      </c>
      <c r="ED255" s="44" t="str">
        <f t="shared" si="3512"/>
        <v/>
      </c>
      <c r="EE255" s="44" t="str">
        <f t="shared" si="3513"/>
        <v/>
      </c>
      <c r="EF255" s="44" t="str">
        <f t="shared" si="3514"/>
        <v/>
      </c>
      <c r="EG255" s="44" t="str">
        <f t="shared" si="3515"/>
        <v/>
      </c>
      <c r="EH255" s="44" t="str">
        <f t="shared" si="3516"/>
        <v/>
      </c>
      <c r="EI255" s="44" t="str">
        <f t="shared" si="3517"/>
        <v/>
      </c>
      <c r="EJ255" s="44" t="str">
        <f t="shared" si="3518"/>
        <v/>
      </c>
      <c r="EK255" s="44" t="str">
        <f t="shared" si="3519"/>
        <v/>
      </c>
      <c r="EL255" s="44" t="str">
        <f t="shared" si="3520"/>
        <v/>
      </c>
      <c r="EM255" s="44" t="str">
        <f t="shared" si="3521"/>
        <v/>
      </c>
      <c r="EN255" s="44" t="str">
        <f t="shared" si="3522"/>
        <v/>
      </c>
      <c r="EO255" s="44" t="str">
        <f t="shared" si="3523"/>
        <v/>
      </c>
      <c r="EP255" s="44" t="str">
        <f t="shared" si="3524"/>
        <v/>
      </c>
      <c r="EQ255" s="44" t="str">
        <f t="shared" si="3525"/>
        <v/>
      </c>
      <c r="ER255" s="44" t="str">
        <f t="shared" si="3526"/>
        <v/>
      </c>
      <c r="ES255" s="44" t="str">
        <f t="shared" si="3527"/>
        <v/>
      </c>
      <c r="ET255" s="44" t="str">
        <f t="shared" si="3528"/>
        <v/>
      </c>
      <c r="EU255" s="44" t="str">
        <f t="shared" si="3529"/>
        <v/>
      </c>
      <c r="EV255" s="44" t="str">
        <f t="shared" si="3530"/>
        <v/>
      </c>
      <c r="EW255" s="44" t="str">
        <f t="shared" si="3531"/>
        <v/>
      </c>
      <c r="EX255" s="44" t="str">
        <f t="shared" si="3532"/>
        <v/>
      </c>
      <c r="EY255" s="44" t="str">
        <f t="shared" si="3533"/>
        <v/>
      </c>
      <c r="EZ255" s="44" t="str">
        <f t="shared" si="3534"/>
        <v/>
      </c>
      <c r="FA255" s="44" t="str">
        <f t="shared" si="3535"/>
        <v/>
      </c>
      <c r="FB255" s="44" t="str">
        <f t="shared" si="3536"/>
        <v/>
      </c>
      <c r="FC255" s="44" t="str">
        <f t="shared" si="3537"/>
        <v/>
      </c>
      <c r="FD255" s="44" t="str">
        <f t="shared" si="3538"/>
        <v/>
      </c>
      <c r="FE255" s="44" t="str">
        <f t="shared" si="3539"/>
        <v/>
      </c>
      <c r="FF255" s="44" t="str">
        <f t="shared" si="3540"/>
        <v/>
      </c>
      <c r="FG255" s="44" t="str">
        <f t="shared" si="3541"/>
        <v/>
      </c>
      <c r="FH255" s="44" t="str">
        <f t="shared" si="3542"/>
        <v/>
      </c>
      <c r="FI255" s="44" t="str">
        <f t="shared" si="3543"/>
        <v/>
      </c>
      <c r="FJ255" s="44" t="str">
        <f t="shared" si="3544"/>
        <v/>
      </c>
      <c r="FK255" s="44" t="str">
        <f t="shared" si="3545"/>
        <v/>
      </c>
      <c r="FL255" s="44" t="str">
        <f t="shared" si="3546"/>
        <v/>
      </c>
      <c r="FM255" s="44" t="str">
        <f t="shared" si="3547"/>
        <v/>
      </c>
      <c r="FN255" s="44" t="str">
        <f t="shared" si="3548"/>
        <v/>
      </c>
      <c r="FO255" s="44" t="str">
        <f t="shared" si="3549"/>
        <v/>
      </c>
      <c r="FP255" s="44" t="str">
        <f t="shared" si="3550"/>
        <v/>
      </c>
      <c r="FQ255" s="44" t="str">
        <f t="shared" si="3551"/>
        <v/>
      </c>
      <c r="FR255" s="44" t="str">
        <f t="shared" si="3552"/>
        <v/>
      </c>
      <c r="FS255" s="44" t="str">
        <f t="shared" si="3553"/>
        <v/>
      </c>
    </row>
    <row r="256" spans="1:175" ht="16.5">
      <c r="A256" s="11"/>
      <c r="B256" s="45"/>
      <c r="C256" s="11"/>
      <c r="E256" s="109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78"/>
      <c r="Q256" s="78"/>
      <c r="R256" s="78"/>
      <c r="S256" s="78"/>
      <c r="T256" s="115"/>
      <c r="U256" s="56"/>
      <c r="CU256" s="68" t="str">
        <f t="shared" si="3483"/>
        <v>|n</v>
      </c>
      <c r="CW256" s="7"/>
      <c r="CX256" s="7"/>
      <c r="CY256" s="7"/>
      <c r="CZ256" s="7"/>
      <c r="DA256" s="7"/>
      <c r="DB256" s="44" t="str">
        <f t="shared" si="3484"/>
        <v/>
      </c>
      <c r="DC256" s="44" t="str">
        <f t="shared" si="3485"/>
        <v/>
      </c>
      <c r="DD256" s="44" t="str">
        <f t="shared" si="3486"/>
        <v/>
      </c>
      <c r="DE256" s="44" t="str">
        <f t="shared" si="3487"/>
        <v/>
      </c>
      <c r="DF256" s="44" t="str">
        <f t="shared" si="3488"/>
        <v/>
      </c>
      <c r="DG256" s="44" t="str">
        <f t="shared" si="3489"/>
        <v/>
      </c>
      <c r="DH256" s="44" t="str">
        <f t="shared" si="3490"/>
        <v/>
      </c>
      <c r="DI256" s="44" t="str">
        <f t="shared" si="3491"/>
        <v/>
      </c>
      <c r="DJ256" s="44" t="str">
        <f t="shared" si="3492"/>
        <v/>
      </c>
      <c r="DK256" s="44" t="str">
        <f t="shared" si="3493"/>
        <v/>
      </c>
      <c r="DL256" s="44" t="str">
        <f t="shared" si="3494"/>
        <v/>
      </c>
      <c r="DM256" s="44" t="str">
        <f t="shared" si="3495"/>
        <v/>
      </c>
      <c r="DN256" s="44" t="str">
        <f t="shared" si="3496"/>
        <v/>
      </c>
      <c r="DO256" s="44" t="str">
        <f t="shared" si="3497"/>
        <v/>
      </c>
      <c r="DP256" s="44" t="str">
        <f t="shared" si="3498"/>
        <v/>
      </c>
      <c r="DQ256" s="44" t="str">
        <f t="shared" si="3499"/>
        <v/>
      </c>
      <c r="DR256" s="44" t="str">
        <f t="shared" si="3500"/>
        <v/>
      </c>
      <c r="DS256" s="44" t="str">
        <f t="shared" si="3501"/>
        <v/>
      </c>
      <c r="DT256" s="44" t="str">
        <f t="shared" si="3502"/>
        <v/>
      </c>
      <c r="DU256" s="44" t="str">
        <f t="shared" si="3503"/>
        <v/>
      </c>
      <c r="DV256" s="44" t="str">
        <f t="shared" si="3504"/>
        <v/>
      </c>
      <c r="DW256" s="44" t="str">
        <f t="shared" si="3505"/>
        <v/>
      </c>
      <c r="DX256" s="44" t="str">
        <f t="shared" si="3506"/>
        <v/>
      </c>
      <c r="DY256" s="44" t="str">
        <f t="shared" si="3507"/>
        <v/>
      </c>
      <c r="DZ256" s="44" t="str">
        <f t="shared" si="3508"/>
        <v/>
      </c>
      <c r="EA256" s="44" t="str">
        <f t="shared" si="3509"/>
        <v/>
      </c>
      <c r="EB256" s="44" t="str">
        <f t="shared" si="3510"/>
        <v/>
      </c>
      <c r="EC256" s="44" t="str">
        <f t="shared" si="3511"/>
        <v/>
      </c>
      <c r="ED256" s="44" t="str">
        <f t="shared" si="3512"/>
        <v/>
      </c>
      <c r="EE256" s="44" t="str">
        <f t="shared" si="3513"/>
        <v/>
      </c>
      <c r="EF256" s="44" t="str">
        <f t="shared" si="3514"/>
        <v/>
      </c>
      <c r="EG256" s="44" t="str">
        <f t="shared" si="3515"/>
        <v/>
      </c>
      <c r="EH256" s="44" t="str">
        <f t="shared" si="3516"/>
        <v/>
      </c>
      <c r="EI256" s="44" t="str">
        <f t="shared" si="3517"/>
        <v/>
      </c>
      <c r="EJ256" s="44" t="str">
        <f t="shared" si="3518"/>
        <v/>
      </c>
      <c r="EK256" s="44" t="str">
        <f t="shared" si="3519"/>
        <v/>
      </c>
      <c r="EL256" s="44" t="str">
        <f t="shared" si="3520"/>
        <v/>
      </c>
      <c r="EM256" s="44" t="str">
        <f t="shared" si="3521"/>
        <v/>
      </c>
      <c r="EN256" s="44" t="str">
        <f t="shared" si="3522"/>
        <v/>
      </c>
      <c r="EO256" s="44" t="str">
        <f t="shared" si="3523"/>
        <v/>
      </c>
      <c r="EP256" s="44" t="str">
        <f t="shared" si="3524"/>
        <v/>
      </c>
      <c r="EQ256" s="44" t="str">
        <f t="shared" si="3525"/>
        <v/>
      </c>
      <c r="ER256" s="44" t="str">
        <f t="shared" si="3526"/>
        <v/>
      </c>
      <c r="ES256" s="44" t="str">
        <f t="shared" si="3527"/>
        <v/>
      </c>
      <c r="ET256" s="44" t="str">
        <f t="shared" si="3528"/>
        <v/>
      </c>
      <c r="EU256" s="44" t="str">
        <f t="shared" si="3529"/>
        <v/>
      </c>
      <c r="EV256" s="44" t="str">
        <f t="shared" si="3530"/>
        <v/>
      </c>
      <c r="EW256" s="44" t="str">
        <f t="shared" si="3531"/>
        <v/>
      </c>
      <c r="EX256" s="44" t="str">
        <f t="shared" si="3532"/>
        <v/>
      </c>
      <c r="EY256" s="44" t="str">
        <f t="shared" si="3533"/>
        <v/>
      </c>
      <c r="EZ256" s="44" t="str">
        <f t="shared" si="3534"/>
        <v/>
      </c>
      <c r="FA256" s="44" t="str">
        <f t="shared" si="3535"/>
        <v/>
      </c>
      <c r="FB256" s="44" t="str">
        <f t="shared" si="3536"/>
        <v/>
      </c>
      <c r="FC256" s="44" t="str">
        <f t="shared" si="3537"/>
        <v/>
      </c>
      <c r="FD256" s="44" t="str">
        <f t="shared" si="3538"/>
        <v/>
      </c>
      <c r="FE256" s="44" t="str">
        <f t="shared" si="3539"/>
        <v/>
      </c>
      <c r="FF256" s="44" t="str">
        <f t="shared" si="3540"/>
        <v/>
      </c>
      <c r="FG256" s="44" t="str">
        <f t="shared" si="3541"/>
        <v/>
      </c>
      <c r="FH256" s="44" t="str">
        <f t="shared" si="3542"/>
        <v/>
      </c>
      <c r="FI256" s="44" t="str">
        <f t="shared" si="3543"/>
        <v/>
      </c>
      <c r="FJ256" s="44" t="str">
        <f t="shared" si="3544"/>
        <v/>
      </c>
      <c r="FK256" s="44" t="str">
        <f t="shared" si="3545"/>
        <v/>
      </c>
      <c r="FL256" s="44" t="str">
        <f t="shared" si="3546"/>
        <v/>
      </c>
      <c r="FM256" s="44" t="str">
        <f t="shared" si="3547"/>
        <v/>
      </c>
      <c r="FN256" s="44" t="str">
        <f t="shared" si="3548"/>
        <v/>
      </c>
      <c r="FO256" s="44" t="str">
        <f t="shared" si="3549"/>
        <v/>
      </c>
      <c r="FP256" s="44" t="str">
        <f t="shared" si="3550"/>
        <v/>
      </c>
      <c r="FQ256" s="44" t="str">
        <f t="shared" si="3551"/>
        <v/>
      </c>
      <c r="FR256" s="44" t="str">
        <f t="shared" si="3552"/>
        <v/>
      </c>
      <c r="FS256" s="44" t="str">
        <f t="shared" si="3553"/>
        <v/>
      </c>
    </row>
    <row r="257" spans="1:175">
      <c r="A257" s="8"/>
      <c r="B257" s="8"/>
      <c r="C257" s="8"/>
      <c r="E257" s="116"/>
      <c r="T257" s="114"/>
      <c r="U257" s="56"/>
      <c r="CU257" s="68" t="str">
        <f t="shared" si="3483"/>
        <v>|n</v>
      </c>
      <c r="CW257" s="7"/>
      <c r="CX257" s="7"/>
      <c r="CY257" s="7"/>
      <c r="CZ257" s="7"/>
      <c r="DA257" s="7"/>
      <c r="DB257" s="44" t="str">
        <f t="shared" si="3484"/>
        <v/>
      </c>
      <c r="DC257" s="44" t="str">
        <f t="shared" si="3485"/>
        <v/>
      </c>
      <c r="DD257" s="44" t="str">
        <f t="shared" si="3486"/>
        <v/>
      </c>
      <c r="DE257" s="44" t="str">
        <f t="shared" si="3487"/>
        <v/>
      </c>
      <c r="DF257" s="44" t="str">
        <f t="shared" si="3488"/>
        <v/>
      </c>
      <c r="DG257" s="44" t="str">
        <f t="shared" si="3489"/>
        <v/>
      </c>
      <c r="DH257" s="44" t="str">
        <f t="shared" si="3490"/>
        <v/>
      </c>
      <c r="DI257" s="44" t="str">
        <f t="shared" si="3491"/>
        <v/>
      </c>
      <c r="DJ257" s="44" t="str">
        <f t="shared" si="3492"/>
        <v/>
      </c>
      <c r="DK257" s="44" t="str">
        <f t="shared" si="3493"/>
        <v/>
      </c>
      <c r="DL257" s="44" t="str">
        <f t="shared" si="3494"/>
        <v/>
      </c>
      <c r="DM257" s="44" t="str">
        <f t="shared" si="3495"/>
        <v/>
      </c>
      <c r="DN257" s="44" t="str">
        <f t="shared" si="3496"/>
        <v/>
      </c>
      <c r="DO257" s="44" t="str">
        <f t="shared" si="3497"/>
        <v/>
      </c>
      <c r="DP257" s="44" t="str">
        <f t="shared" si="3498"/>
        <v/>
      </c>
      <c r="DQ257" s="44" t="str">
        <f t="shared" si="3499"/>
        <v/>
      </c>
      <c r="DR257" s="44" t="str">
        <f t="shared" si="3500"/>
        <v/>
      </c>
      <c r="DS257" s="44" t="str">
        <f t="shared" si="3501"/>
        <v/>
      </c>
      <c r="DT257" s="44" t="str">
        <f t="shared" si="3502"/>
        <v/>
      </c>
      <c r="DU257" s="44" t="str">
        <f t="shared" si="3503"/>
        <v/>
      </c>
      <c r="DV257" s="44" t="str">
        <f t="shared" si="3504"/>
        <v/>
      </c>
      <c r="DW257" s="44" t="str">
        <f t="shared" si="3505"/>
        <v/>
      </c>
      <c r="DX257" s="44" t="str">
        <f t="shared" si="3506"/>
        <v/>
      </c>
      <c r="DY257" s="44" t="str">
        <f t="shared" si="3507"/>
        <v/>
      </c>
      <c r="DZ257" s="44" t="str">
        <f t="shared" si="3508"/>
        <v/>
      </c>
      <c r="EA257" s="44" t="str">
        <f t="shared" si="3509"/>
        <v/>
      </c>
      <c r="EB257" s="44" t="str">
        <f t="shared" si="3510"/>
        <v/>
      </c>
      <c r="EC257" s="44" t="str">
        <f t="shared" si="3511"/>
        <v/>
      </c>
      <c r="ED257" s="44" t="str">
        <f t="shared" si="3512"/>
        <v/>
      </c>
      <c r="EE257" s="44" t="str">
        <f t="shared" si="3513"/>
        <v/>
      </c>
      <c r="EF257" s="44" t="str">
        <f t="shared" si="3514"/>
        <v/>
      </c>
      <c r="EG257" s="44" t="str">
        <f t="shared" si="3515"/>
        <v/>
      </c>
      <c r="EH257" s="44" t="str">
        <f t="shared" si="3516"/>
        <v/>
      </c>
      <c r="EI257" s="44" t="str">
        <f t="shared" si="3517"/>
        <v/>
      </c>
      <c r="EJ257" s="44" t="str">
        <f t="shared" si="3518"/>
        <v/>
      </c>
      <c r="EK257" s="44" t="str">
        <f t="shared" si="3519"/>
        <v/>
      </c>
      <c r="EL257" s="44" t="str">
        <f t="shared" si="3520"/>
        <v/>
      </c>
      <c r="EM257" s="44" t="str">
        <f t="shared" si="3521"/>
        <v/>
      </c>
      <c r="EN257" s="44" t="str">
        <f t="shared" si="3522"/>
        <v/>
      </c>
      <c r="EO257" s="44" t="str">
        <f t="shared" si="3523"/>
        <v/>
      </c>
      <c r="EP257" s="44" t="str">
        <f t="shared" si="3524"/>
        <v/>
      </c>
      <c r="EQ257" s="44" t="str">
        <f t="shared" si="3525"/>
        <v/>
      </c>
      <c r="ER257" s="44" t="str">
        <f t="shared" si="3526"/>
        <v/>
      </c>
      <c r="ES257" s="44" t="str">
        <f t="shared" si="3527"/>
        <v/>
      </c>
      <c r="ET257" s="44" t="str">
        <f t="shared" si="3528"/>
        <v/>
      </c>
      <c r="EU257" s="44" t="str">
        <f t="shared" si="3529"/>
        <v/>
      </c>
      <c r="EV257" s="44" t="str">
        <f t="shared" si="3530"/>
        <v/>
      </c>
      <c r="EW257" s="44" t="str">
        <f t="shared" si="3531"/>
        <v/>
      </c>
      <c r="EX257" s="44" t="str">
        <f t="shared" si="3532"/>
        <v/>
      </c>
      <c r="EY257" s="44" t="str">
        <f t="shared" si="3533"/>
        <v/>
      </c>
      <c r="EZ257" s="44" t="str">
        <f t="shared" si="3534"/>
        <v/>
      </c>
      <c r="FA257" s="44" t="str">
        <f t="shared" si="3535"/>
        <v/>
      </c>
      <c r="FB257" s="44" t="str">
        <f t="shared" si="3536"/>
        <v/>
      </c>
      <c r="FC257" s="44" t="str">
        <f t="shared" si="3537"/>
        <v/>
      </c>
      <c r="FD257" s="44" t="str">
        <f t="shared" si="3538"/>
        <v/>
      </c>
      <c r="FE257" s="44" t="str">
        <f t="shared" si="3539"/>
        <v/>
      </c>
      <c r="FF257" s="44" t="str">
        <f t="shared" si="3540"/>
        <v/>
      </c>
      <c r="FG257" s="44" t="str">
        <f t="shared" si="3541"/>
        <v/>
      </c>
      <c r="FH257" s="44" t="str">
        <f t="shared" si="3542"/>
        <v/>
      </c>
      <c r="FI257" s="44" t="str">
        <f t="shared" si="3543"/>
        <v/>
      </c>
      <c r="FJ257" s="44" t="str">
        <f t="shared" si="3544"/>
        <v/>
      </c>
      <c r="FK257" s="44" t="str">
        <f t="shared" si="3545"/>
        <v/>
      </c>
      <c r="FL257" s="44" t="str">
        <f t="shared" si="3546"/>
        <v/>
      </c>
      <c r="FM257" s="44" t="str">
        <f t="shared" si="3547"/>
        <v/>
      </c>
      <c r="FN257" s="44" t="str">
        <f t="shared" si="3548"/>
        <v/>
      </c>
      <c r="FO257" s="44" t="str">
        <f t="shared" si="3549"/>
        <v/>
      </c>
      <c r="FP257" s="44" t="str">
        <f t="shared" si="3550"/>
        <v/>
      </c>
      <c r="FQ257" s="44" t="str">
        <f t="shared" si="3551"/>
        <v/>
      </c>
      <c r="FR257" s="44" t="str">
        <f t="shared" si="3552"/>
        <v/>
      </c>
      <c r="FS257" s="44" t="str">
        <f t="shared" si="3553"/>
        <v/>
      </c>
    </row>
    <row r="258" spans="1:175">
      <c r="A258" s="8"/>
      <c r="B258" s="8"/>
      <c r="C258" s="8"/>
      <c r="E258" s="116"/>
      <c r="T258" s="114"/>
      <c r="U258" s="56"/>
      <c r="CU258" s="68" t="str">
        <f t="shared" si="3483"/>
        <v>|n</v>
      </c>
      <c r="CW258" s="7"/>
      <c r="CX258" s="7"/>
      <c r="CY258" s="7"/>
      <c r="CZ258" s="7"/>
      <c r="DA258" s="7"/>
      <c r="DB258" s="44" t="str">
        <f t="shared" si="3484"/>
        <v/>
      </c>
      <c r="DC258" s="44" t="str">
        <f t="shared" si="3485"/>
        <v/>
      </c>
      <c r="DD258" s="44" t="str">
        <f t="shared" si="3486"/>
        <v/>
      </c>
      <c r="DE258" s="44" t="str">
        <f t="shared" si="3487"/>
        <v/>
      </c>
      <c r="DF258" s="44" t="str">
        <f t="shared" si="3488"/>
        <v/>
      </c>
      <c r="DG258" s="44" t="str">
        <f t="shared" si="3489"/>
        <v/>
      </c>
      <c r="DH258" s="44" t="str">
        <f t="shared" si="3490"/>
        <v/>
      </c>
      <c r="DI258" s="44" t="str">
        <f t="shared" si="3491"/>
        <v/>
      </c>
      <c r="DJ258" s="44" t="str">
        <f t="shared" si="3492"/>
        <v/>
      </c>
      <c r="DK258" s="44" t="str">
        <f t="shared" si="3493"/>
        <v/>
      </c>
      <c r="DL258" s="44" t="str">
        <f t="shared" si="3494"/>
        <v/>
      </c>
      <c r="DM258" s="44" t="str">
        <f t="shared" si="3495"/>
        <v/>
      </c>
      <c r="DN258" s="44" t="str">
        <f t="shared" si="3496"/>
        <v/>
      </c>
      <c r="DO258" s="44" t="str">
        <f t="shared" si="3497"/>
        <v/>
      </c>
      <c r="DP258" s="44" t="str">
        <f t="shared" si="3498"/>
        <v/>
      </c>
      <c r="DQ258" s="44" t="str">
        <f t="shared" si="3499"/>
        <v/>
      </c>
      <c r="DR258" s="44" t="str">
        <f t="shared" si="3500"/>
        <v/>
      </c>
      <c r="DS258" s="44" t="str">
        <f t="shared" si="3501"/>
        <v/>
      </c>
      <c r="DT258" s="44" t="str">
        <f t="shared" si="3502"/>
        <v/>
      </c>
      <c r="DU258" s="44" t="str">
        <f t="shared" si="3503"/>
        <v/>
      </c>
      <c r="DV258" s="44" t="str">
        <f t="shared" si="3504"/>
        <v/>
      </c>
      <c r="DW258" s="44" t="str">
        <f t="shared" si="3505"/>
        <v/>
      </c>
      <c r="DX258" s="44" t="str">
        <f t="shared" si="3506"/>
        <v/>
      </c>
      <c r="DY258" s="44" t="str">
        <f t="shared" si="3507"/>
        <v/>
      </c>
      <c r="DZ258" s="44" t="str">
        <f t="shared" si="3508"/>
        <v/>
      </c>
      <c r="EA258" s="44" t="str">
        <f t="shared" si="3509"/>
        <v/>
      </c>
      <c r="EB258" s="44" t="str">
        <f t="shared" si="3510"/>
        <v/>
      </c>
      <c r="EC258" s="44" t="str">
        <f t="shared" si="3511"/>
        <v/>
      </c>
      <c r="ED258" s="44" t="str">
        <f t="shared" si="3512"/>
        <v/>
      </c>
      <c r="EE258" s="44" t="str">
        <f t="shared" si="3513"/>
        <v/>
      </c>
      <c r="EF258" s="44" t="str">
        <f t="shared" si="3514"/>
        <v/>
      </c>
      <c r="EG258" s="44" t="str">
        <f t="shared" si="3515"/>
        <v/>
      </c>
      <c r="EH258" s="44" t="str">
        <f t="shared" si="3516"/>
        <v/>
      </c>
      <c r="EI258" s="44" t="str">
        <f t="shared" si="3517"/>
        <v/>
      </c>
      <c r="EJ258" s="44" t="str">
        <f t="shared" si="3518"/>
        <v/>
      </c>
      <c r="EK258" s="44" t="str">
        <f t="shared" si="3519"/>
        <v/>
      </c>
      <c r="EL258" s="44" t="str">
        <f t="shared" si="3520"/>
        <v/>
      </c>
      <c r="EM258" s="44" t="str">
        <f t="shared" si="3521"/>
        <v/>
      </c>
      <c r="EN258" s="44" t="str">
        <f t="shared" si="3522"/>
        <v/>
      </c>
      <c r="EO258" s="44" t="str">
        <f t="shared" si="3523"/>
        <v/>
      </c>
      <c r="EP258" s="44" t="str">
        <f t="shared" si="3524"/>
        <v/>
      </c>
      <c r="EQ258" s="44" t="str">
        <f t="shared" si="3525"/>
        <v/>
      </c>
      <c r="ER258" s="44" t="str">
        <f t="shared" si="3526"/>
        <v/>
      </c>
      <c r="ES258" s="44" t="str">
        <f t="shared" si="3527"/>
        <v/>
      </c>
      <c r="ET258" s="44" t="str">
        <f t="shared" si="3528"/>
        <v/>
      </c>
      <c r="EU258" s="44" t="str">
        <f t="shared" si="3529"/>
        <v/>
      </c>
      <c r="EV258" s="44" t="str">
        <f t="shared" si="3530"/>
        <v/>
      </c>
      <c r="EW258" s="44" t="str">
        <f t="shared" si="3531"/>
        <v/>
      </c>
      <c r="EX258" s="44" t="str">
        <f t="shared" si="3532"/>
        <v/>
      </c>
      <c r="EY258" s="44" t="str">
        <f t="shared" si="3533"/>
        <v/>
      </c>
      <c r="EZ258" s="44" t="str">
        <f t="shared" si="3534"/>
        <v/>
      </c>
      <c r="FA258" s="44" t="str">
        <f t="shared" si="3535"/>
        <v/>
      </c>
      <c r="FB258" s="44" t="str">
        <f t="shared" si="3536"/>
        <v/>
      </c>
      <c r="FC258" s="44" t="str">
        <f t="shared" si="3537"/>
        <v/>
      </c>
      <c r="FD258" s="44" t="str">
        <f t="shared" si="3538"/>
        <v/>
      </c>
      <c r="FE258" s="44" t="str">
        <f t="shared" si="3539"/>
        <v/>
      </c>
      <c r="FF258" s="44" t="str">
        <f t="shared" si="3540"/>
        <v/>
      </c>
      <c r="FG258" s="44" t="str">
        <f t="shared" si="3541"/>
        <v/>
      </c>
      <c r="FH258" s="44" t="str">
        <f t="shared" si="3542"/>
        <v/>
      </c>
      <c r="FI258" s="44" t="str">
        <f t="shared" si="3543"/>
        <v/>
      </c>
      <c r="FJ258" s="44" t="str">
        <f t="shared" si="3544"/>
        <v/>
      </c>
      <c r="FK258" s="44" t="str">
        <f t="shared" si="3545"/>
        <v/>
      </c>
      <c r="FL258" s="44" t="str">
        <f t="shared" si="3546"/>
        <v/>
      </c>
      <c r="FM258" s="44" t="str">
        <f t="shared" si="3547"/>
        <v/>
      </c>
      <c r="FN258" s="44" t="str">
        <f t="shared" si="3548"/>
        <v/>
      </c>
      <c r="FO258" s="44" t="str">
        <f t="shared" si="3549"/>
        <v/>
      </c>
      <c r="FP258" s="44" t="str">
        <f t="shared" si="3550"/>
        <v/>
      </c>
      <c r="FQ258" s="44" t="str">
        <f t="shared" si="3551"/>
        <v/>
      </c>
      <c r="FR258" s="44" t="str">
        <f t="shared" si="3552"/>
        <v/>
      </c>
      <c r="FS258" s="44" t="str">
        <f t="shared" si="3553"/>
        <v/>
      </c>
    </row>
    <row r="259" spans="1:175" s="7" customFormat="1" ht="16.5">
      <c r="A259" s="106"/>
      <c r="B259" s="45"/>
      <c r="C259" s="106"/>
      <c r="D259" s="46"/>
      <c r="E259" s="47"/>
      <c r="F259" s="107"/>
      <c r="G259" s="108"/>
      <c r="H259" s="108"/>
      <c r="I259" s="108"/>
      <c r="J259" s="108"/>
      <c r="K259" s="108"/>
      <c r="L259" s="108"/>
      <c r="M259" s="108"/>
      <c r="N259" s="108"/>
      <c r="O259" s="108"/>
      <c r="P259" s="52"/>
      <c r="Q259" s="52"/>
      <c r="R259" s="52"/>
      <c r="S259" s="52"/>
      <c r="T259" s="59"/>
      <c r="U259" s="56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63"/>
      <c r="AS259" s="63"/>
      <c r="AT259" s="57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7"/>
      <c r="CC259" s="57"/>
      <c r="CD259" s="57"/>
      <c r="CE259" s="57"/>
      <c r="CF259" s="57"/>
      <c r="CG259" s="57"/>
      <c r="CH259" s="57"/>
      <c r="CI259" s="57"/>
      <c r="CJ259" s="57"/>
      <c r="CK259" s="57"/>
      <c r="CL259" s="57"/>
      <c r="CM259" s="57"/>
      <c r="CN259" s="66" t="str">
        <f t="shared" ref="CN259:CN262" si="3640">"InitUnitState('"&amp;B259&amp;"',"&amp;V259&amp;","&amp;W259&amp;","&amp;X259&amp;","&amp;Y259&amp;","&amp;Z259&amp;","&amp;AA259&amp;","&amp;AB259&amp;","&amp;AC259&amp;","&amp;AD259&amp;","&amp;AE259&amp;")"</f>
        <v>InitUnitState('',,,,,,,,,,)</v>
      </c>
      <c r="CO259" s="66" t="str">
        <f t="shared" ref="CO259:CO262" si="3641">"InitUnitNormal('"&amp;B259&amp;"',"&amp;AF259&amp;","&amp;AG259&amp;","&amp;AH259&amp;","&amp;AI259&amp;","&amp;AJ259&amp;","&amp;AK259&amp;","&amp;AL259&amp;","&amp;AM259&amp;","&amp;AN259&amp;","&amp;AO259&amp;")"</f>
        <v>InitUnitNormal('',,,,,,,,,,)</v>
      </c>
      <c r="CP259" s="66" t="str">
        <f t="shared" ref="CP259:CP262" si="3642">"InitUnitMagic('"&amp;B259&amp;"',"&amp;AP259&amp;","&amp;AQ259&amp;","&amp;AR259&amp;","&amp;AS259&amp;","&amp;AT259&amp;","&amp;AU259&amp;","&amp;AV259&amp;","&amp;AW259&amp;","&amp;BI259&amp;","&amp;BJ259&amp;")"</f>
        <v>InitUnitMagic('',,,,,,,,,,)</v>
      </c>
      <c r="CQ259" s="66" t="str">
        <f t="shared" ref="CQ259:CQ262" si="3643">"InitUnitAdd('"&amp;B259&amp;"',"&amp;BK259&amp;","&amp;BL259&amp;","&amp;BM259&amp;","&amp;BN259&amp;","&amp;BO259&amp;","&amp;BP259&amp;","&amp;BQ259&amp;","&amp;BR259&amp;","&amp;BS259&amp;","&amp;BT259&amp;")"</f>
        <v>InitUnitAdd('',,,,,,,,,,)</v>
      </c>
      <c r="CR259" s="66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InitEquipData('',,"",,,,,'','','','','','',"")</v>
      </c>
      <c r="CS259" s="66"/>
      <c r="CT259" s="66"/>
      <c r="CU259" s="68" t="str">
        <f t="shared" si="3483"/>
        <v>|n</v>
      </c>
      <c r="CV259" s="6"/>
      <c r="DB259" s="44" t="str">
        <f t="shared" si="3484"/>
        <v/>
      </c>
      <c r="DC259" s="44" t="str">
        <f t="shared" si="3485"/>
        <v/>
      </c>
      <c r="DD259" s="44" t="str">
        <f t="shared" si="3486"/>
        <v/>
      </c>
      <c r="DE259" s="44" t="str">
        <f t="shared" si="3487"/>
        <v/>
      </c>
      <c r="DF259" s="44" t="str">
        <f t="shared" si="3488"/>
        <v/>
      </c>
      <c r="DG259" s="44" t="str">
        <f t="shared" si="3489"/>
        <v/>
      </c>
      <c r="DH259" s="44" t="str">
        <f t="shared" si="3490"/>
        <v/>
      </c>
      <c r="DI259" s="44" t="str">
        <f t="shared" si="3491"/>
        <v/>
      </c>
      <c r="DJ259" s="44" t="str">
        <f t="shared" si="3492"/>
        <v/>
      </c>
      <c r="DK259" s="44" t="str">
        <f t="shared" si="3493"/>
        <v/>
      </c>
      <c r="DL259" s="44" t="str">
        <f t="shared" si="3494"/>
        <v/>
      </c>
      <c r="DM259" s="44" t="str">
        <f t="shared" si="3495"/>
        <v/>
      </c>
      <c r="DN259" s="44" t="str">
        <f t="shared" si="3496"/>
        <v/>
      </c>
      <c r="DO259" s="44" t="str">
        <f t="shared" si="3497"/>
        <v/>
      </c>
      <c r="DP259" s="44" t="str">
        <f t="shared" si="3498"/>
        <v/>
      </c>
      <c r="DQ259" s="44" t="str">
        <f t="shared" si="3499"/>
        <v/>
      </c>
      <c r="DR259" s="44" t="str">
        <f t="shared" si="3500"/>
        <v/>
      </c>
      <c r="DS259" s="44" t="str">
        <f t="shared" si="3501"/>
        <v/>
      </c>
      <c r="DT259" s="44" t="str">
        <f t="shared" si="3502"/>
        <v/>
      </c>
      <c r="DU259" s="44" t="str">
        <f t="shared" si="3503"/>
        <v/>
      </c>
      <c r="DV259" s="44" t="str">
        <f t="shared" si="3504"/>
        <v/>
      </c>
      <c r="DW259" s="44" t="str">
        <f t="shared" si="3505"/>
        <v/>
      </c>
      <c r="DX259" s="44" t="str">
        <f t="shared" si="3506"/>
        <v/>
      </c>
      <c r="DY259" s="44" t="str">
        <f t="shared" si="3507"/>
        <v/>
      </c>
      <c r="DZ259" s="44" t="str">
        <f t="shared" si="3508"/>
        <v/>
      </c>
      <c r="EA259" s="44" t="str">
        <f t="shared" si="3509"/>
        <v/>
      </c>
      <c r="EB259" s="44" t="str">
        <f t="shared" si="3510"/>
        <v/>
      </c>
      <c r="EC259" s="44" t="str">
        <f t="shared" si="3511"/>
        <v/>
      </c>
      <c r="ED259" s="44" t="str">
        <f t="shared" si="3512"/>
        <v/>
      </c>
      <c r="EE259" s="44" t="str">
        <f t="shared" si="3513"/>
        <v/>
      </c>
      <c r="EF259" s="44" t="str">
        <f t="shared" si="3514"/>
        <v/>
      </c>
      <c r="EG259" s="44" t="str">
        <f t="shared" si="3515"/>
        <v/>
      </c>
      <c r="EH259" s="44" t="str">
        <f t="shared" si="3516"/>
        <v/>
      </c>
      <c r="EI259" s="44" t="str">
        <f t="shared" si="3517"/>
        <v/>
      </c>
      <c r="EJ259" s="44" t="str">
        <f t="shared" si="3518"/>
        <v/>
      </c>
      <c r="EK259" s="44" t="str">
        <f t="shared" si="3519"/>
        <v/>
      </c>
      <c r="EL259" s="44" t="str">
        <f t="shared" si="3520"/>
        <v/>
      </c>
      <c r="EM259" s="44" t="str">
        <f t="shared" si="3521"/>
        <v/>
      </c>
      <c r="EN259" s="44" t="str">
        <f t="shared" si="3522"/>
        <v/>
      </c>
      <c r="EO259" s="44" t="str">
        <f t="shared" si="3523"/>
        <v/>
      </c>
      <c r="EP259" s="44" t="str">
        <f t="shared" si="3524"/>
        <v/>
      </c>
      <c r="EQ259" s="44" t="str">
        <f t="shared" si="3525"/>
        <v/>
      </c>
      <c r="ER259" s="44" t="str">
        <f t="shared" si="3526"/>
        <v/>
      </c>
      <c r="ES259" s="44" t="str">
        <f t="shared" si="3527"/>
        <v/>
      </c>
      <c r="ET259" s="44" t="str">
        <f t="shared" si="3528"/>
        <v/>
      </c>
      <c r="EU259" s="44" t="str">
        <f t="shared" si="3529"/>
        <v/>
      </c>
      <c r="EV259" s="44" t="str">
        <f t="shared" si="3530"/>
        <v/>
      </c>
      <c r="EW259" s="44" t="str">
        <f t="shared" si="3531"/>
        <v/>
      </c>
      <c r="EX259" s="44" t="str">
        <f t="shared" si="3532"/>
        <v/>
      </c>
      <c r="EY259" s="44" t="str">
        <f t="shared" si="3533"/>
        <v/>
      </c>
      <c r="EZ259" s="44" t="str">
        <f t="shared" si="3534"/>
        <v/>
      </c>
      <c r="FA259" s="44" t="str">
        <f t="shared" si="3535"/>
        <v/>
      </c>
      <c r="FB259" s="44" t="str">
        <f t="shared" si="3536"/>
        <v/>
      </c>
      <c r="FC259" s="44" t="str">
        <f t="shared" si="3537"/>
        <v/>
      </c>
      <c r="FD259" s="44" t="str">
        <f t="shared" si="3538"/>
        <v/>
      </c>
      <c r="FE259" s="44" t="str">
        <f t="shared" si="3539"/>
        <v/>
      </c>
      <c r="FF259" s="44" t="str">
        <f t="shared" si="3540"/>
        <v/>
      </c>
      <c r="FG259" s="44" t="str">
        <f t="shared" si="3541"/>
        <v/>
      </c>
      <c r="FH259" s="44" t="str">
        <f t="shared" si="3542"/>
        <v/>
      </c>
      <c r="FI259" s="44" t="str">
        <f t="shared" si="3543"/>
        <v/>
      </c>
      <c r="FJ259" s="44" t="str">
        <f t="shared" si="3544"/>
        <v/>
      </c>
      <c r="FK259" s="44" t="str">
        <f t="shared" si="3545"/>
        <v/>
      </c>
      <c r="FL259" s="44" t="str">
        <f t="shared" si="3546"/>
        <v/>
      </c>
      <c r="FM259" s="44" t="str">
        <f t="shared" si="3547"/>
        <v/>
      </c>
      <c r="FN259" s="44" t="str">
        <f t="shared" si="3548"/>
        <v/>
      </c>
      <c r="FO259" s="44" t="str">
        <f t="shared" si="3549"/>
        <v/>
      </c>
      <c r="FP259" s="44" t="str">
        <f t="shared" si="3550"/>
        <v/>
      </c>
      <c r="FQ259" s="44" t="str">
        <f t="shared" si="3551"/>
        <v/>
      </c>
      <c r="FR259" s="44" t="str">
        <f t="shared" si="3552"/>
        <v/>
      </c>
      <c r="FS259" s="44" t="str">
        <f t="shared" si="3553"/>
        <v/>
      </c>
    </row>
    <row r="260" spans="1:175" s="7" customFormat="1" ht="16.5">
      <c r="A260" s="106"/>
      <c r="B260" s="45"/>
      <c r="C260" s="106"/>
      <c r="D260" s="46"/>
      <c r="E260" s="47"/>
      <c r="F260" s="107"/>
      <c r="G260" s="108"/>
      <c r="H260" s="108"/>
      <c r="I260" s="108"/>
      <c r="J260" s="108"/>
      <c r="K260" s="108"/>
      <c r="L260" s="108"/>
      <c r="M260" s="108"/>
      <c r="N260" s="108"/>
      <c r="O260" s="108"/>
      <c r="P260" s="52"/>
      <c r="Q260" s="52"/>
      <c r="R260" s="52"/>
      <c r="S260" s="52"/>
      <c r="T260" s="59"/>
      <c r="U260" s="56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63"/>
      <c r="AS260" s="63"/>
      <c r="AT260" s="57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66" t="str">
        <f t="shared" si="3640"/>
        <v>InitUnitState('',,,,,,,,,,)</v>
      </c>
      <c r="CO260" s="66" t="str">
        <f t="shared" si="3641"/>
        <v>InitUnitNormal('',,,,,,,,,,)</v>
      </c>
      <c r="CP260" s="66" t="str">
        <f t="shared" si="3642"/>
        <v>InitUnitMagic('',,,,,,,,,,)</v>
      </c>
      <c r="CQ260" s="66" t="str">
        <f t="shared" si="3643"/>
        <v>InitUnitAdd('',,,,,,,,,,)</v>
      </c>
      <c r="CR260" s="66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InitEquipData('',,"",,,,,'','','','','','',"")</v>
      </c>
      <c r="CS260" s="66"/>
      <c r="CT260" s="66"/>
      <c r="CU260" s="68" t="str">
        <f t="shared" si="3483"/>
        <v>|n</v>
      </c>
      <c r="CV260" s="6"/>
      <c r="DB260" s="44" t="str">
        <f t="shared" si="3484"/>
        <v/>
      </c>
      <c r="DC260" s="44" t="str">
        <f t="shared" si="3485"/>
        <v/>
      </c>
      <c r="DD260" s="44" t="str">
        <f t="shared" si="3486"/>
        <v/>
      </c>
      <c r="DE260" s="44" t="str">
        <f t="shared" si="3487"/>
        <v/>
      </c>
      <c r="DF260" s="44" t="str">
        <f t="shared" si="3488"/>
        <v/>
      </c>
      <c r="DG260" s="44" t="str">
        <f t="shared" si="3489"/>
        <v/>
      </c>
      <c r="DH260" s="44" t="str">
        <f t="shared" si="3490"/>
        <v/>
      </c>
      <c r="DI260" s="44" t="str">
        <f t="shared" si="3491"/>
        <v/>
      </c>
      <c r="DJ260" s="44" t="str">
        <f t="shared" si="3492"/>
        <v/>
      </c>
      <c r="DK260" s="44" t="str">
        <f t="shared" si="3493"/>
        <v/>
      </c>
      <c r="DL260" s="44" t="str">
        <f t="shared" si="3494"/>
        <v/>
      </c>
      <c r="DM260" s="44" t="str">
        <f t="shared" si="3495"/>
        <v/>
      </c>
      <c r="DN260" s="44" t="str">
        <f t="shared" si="3496"/>
        <v/>
      </c>
      <c r="DO260" s="44" t="str">
        <f t="shared" si="3497"/>
        <v/>
      </c>
      <c r="DP260" s="44" t="str">
        <f t="shared" si="3498"/>
        <v/>
      </c>
      <c r="DQ260" s="44" t="str">
        <f t="shared" si="3499"/>
        <v/>
      </c>
      <c r="DR260" s="44" t="str">
        <f t="shared" si="3500"/>
        <v/>
      </c>
      <c r="DS260" s="44" t="str">
        <f t="shared" si="3501"/>
        <v/>
      </c>
      <c r="DT260" s="44" t="str">
        <f t="shared" si="3502"/>
        <v/>
      </c>
      <c r="DU260" s="44" t="str">
        <f t="shared" si="3503"/>
        <v/>
      </c>
      <c r="DV260" s="44" t="str">
        <f t="shared" si="3504"/>
        <v/>
      </c>
      <c r="DW260" s="44" t="str">
        <f t="shared" si="3505"/>
        <v/>
      </c>
      <c r="DX260" s="44" t="str">
        <f t="shared" si="3506"/>
        <v/>
      </c>
      <c r="DY260" s="44" t="str">
        <f t="shared" si="3507"/>
        <v/>
      </c>
      <c r="DZ260" s="44" t="str">
        <f t="shared" si="3508"/>
        <v/>
      </c>
      <c r="EA260" s="44" t="str">
        <f t="shared" si="3509"/>
        <v/>
      </c>
      <c r="EB260" s="44" t="str">
        <f t="shared" si="3510"/>
        <v/>
      </c>
      <c r="EC260" s="44" t="str">
        <f t="shared" si="3511"/>
        <v/>
      </c>
      <c r="ED260" s="44" t="str">
        <f t="shared" si="3512"/>
        <v/>
      </c>
      <c r="EE260" s="44" t="str">
        <f t="shared" si="3513"/>
        <v/>
      </c>
      <c r="EF260" s="44" t="str">
        <f t="shared" si="3514"/>
        <v/>
      </c>
      <c r="EG260" s="44" t="str">
        <f t="shared" si="3515"/>
        <v/>
      </c>
      <c r="EH260" s="44" t="str">
        <f t="shared" si="3516"/>
        <v/>
      </c>
      <c r="EI260" s="44" t="str">
        <f t="shared" si="3517"/>
        <v/>
      </c>
      <c r="EJ260" s="44" t="str">
        <f t="shared" si="3518"/>
        <v/>
      </c>
      <c r="EK260" s="44" t="str">
        <f t="shared" si="3519"/>
        <v/>
      </c>
      <c r="EL260" s="44" t="str">
        <f t="shared" si="3520"/>
        <v/>
      </c>
      <c r="EM260" s="44" t="str">
        <f t="shared" si="3521"/>
        <v/>
      </c>
      <c r="EN260" s="44" t="str">
        <f t="shared" si="3522"/>
        <v/>
      </c>
      <c r="EO260" s="44" t="str">
        <f t="shared" si="3523"/>
        <v/>
      </c>
      <c r="EP260" s="44" t="str">
        <f t="shared" si="3524"/>
        <v/>
      </c>
      <c r="EQ260" s="44" t="str">
        <f t="shared" si="3525"/>
        <v/>
      </c>
      <c r="ER260" s="44" t="str">
        <f t="shared" si="3526"/>
        <v/>
      </c>
      <c r="ES260" s="44" t="str">
        <f t="shared" si="3527"/>
        <v/>
      </c>
      <c r="ET260" s="44" t="str">
        <f t="shared" si="3528"/>
        <v/>
      </c>
      <c r="EU260" s="44" t="str">
        <f t="shared" si="3529"/>
        <v/>
      </c>
      <c r="EV260" s="44" t="str">
        <f t="shared" si="3530"/>
        <v/>
      </c>
      <c r="EW260" s="44" t="str">
        <f t="shared" si="3531"/>
        <v/>
      </c>
      <c r="EX260" s="44" t="str">
        <f t="shared" si="3532"/>
        <v/>
      </c>
      <c r="EY260" s="44" t="str">
        <f t="shared" si="3533"/>
        <v/>
      </c>
      <c r="EZ260" s="44" t="str">
        <f t="shared" si="3534"/>
        <v/>
      </c>
      <c r="FA260" s="44" t="str">
        <f t="shared" si="3535"/>
        <v/>
      </c>
      <c r="FB260" s="44" t="str">
        <f t="shared" si="3536"/>
        <v/>
      </c>
      <c r="FC260" s="44" t="str">
        <f t="shared" si="3537"/>
        <v/>
      </c>
      <c r="FD260" s="44" t="str">
        <f t="shared" si="3538"/>
        <v/>
      </c>
      <c r="FE260" s="44" t="str">
        <f t="shared" si="3539"/>
        <v/>
      </c>
      <c r="FF260" s="44" t="str">
        <f t="shared" si="3540"/>
        <v/>
      </c>
      <c r="FG260" s="44" t="str">
        <f t="shared" si="3541"/>
        <v/>
      </c>
      <c r="FH260" s="44" t="str">
        <f t="shared" si="3542"/>
        <v/>
      </c>
      <c r="FI260" s="44" t="str">
        <f t="shared" si="3543"/>
        <v/>
      </c>
      <c r="FJ260" s="44" t="str">
        <f t="shared" si="3544"/>
        <v/>
      </c>
      <c r="FK260" s="44" t="str">
        <f t="shared" si="3545"/>
        <v/>
      </c>
      <c r="FL260" s="44" t="str">
        <f t="shared" si="3546"/>
        <v/>
      </c>
      <c r="FM260" s="44" t="str">
        <f t="shared" si="3547"/>
        <v/>
      </c>
      <c r="FN260" s="44" t="str">
        <f t="shared" si="3548"/>
        <v/>
      </c>
      <c r="FO260" s="44" t="str">
        <f t="shared" si="3549"/>
        <v/>
      </c>
      <c r="FP260" s="44" t="str">
        <f t="shared" si="3550"/>
        <v/>
      </c>
      <c r="FQ260" s="44" t="str">
        <f t="shared" si="3551"/>
        <v/>
      </c>
      <c r="FR260" s="44" t="str">
        <f t="shared" si="3552"/>
        <v/>
      </c>
      <c r="FS260" s="44" t="str">
        <f t="shared" si="3553"/>
        <v/>
      </c>
    </row>
    <row r="261" spans="1:175" s="7" customFormat="1" ht="16.5">
      <c r="A261" s="106"/>
      <c r="B261" s="45"/>
      <c r="C261" s="106"/>
      <c r="D261" s="46"/>
      <c r="E261" s="47"/>
      <c r="F261" s="107"/>
      <c r="G261" s="108"/>
      <c r="H261" s="108"/>
      <c r="I261" s="108"/>
      <c r="J261" s="108"/>
      <c r="K261" s="108"/>
      <c r="L261" s="108"/>
      <c r="M261" s="108"/>
      <c r="N261" s="108"/>
      <c r="O261" s="108"/>
      <c r="P261" s="52"/>
      <c r="Q261" s="52"/>
      <c r="R261" s="52"/>
      <c r="S261" s="52"/>
      <c r="T261" s="59"/>
      <c r="U261" s="56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63"/>
      <c r="AS261" s="63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  <c r="BD261" s="57"/>
      <c r="BE261" s="57"/>
      <c r="BF261" s="57"/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66" t="str">
        <f t="shared" si="3640"/>
        <v>InitUnitState('',,,,,,,,,,)</v>
      </c>
      <c r="CO261" s="66" t="str">
        <f t="shared" si="3641"/>
        <v>InitUnitNormal('',,,,,,,,,,)</v>
      </c>
      <c r="CP261" s="66" t="str">
        <f t="shared" si="3642"/>
        <v>InitUnitMagic('',,,,,,,,,,)</v>
      </c>
      <c r="CQ261" s="66" t="str">
        <f t="shared" si="3643"/>
        <v>InitUnitAdd('',,,,,,,,,,)</v>
      </c>
      <c r="CR261" s="66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263&amp;CR$1&amp;")"</f>
        <v>InitEquipData('',,"",,,,,'','','','','','',"")</v>
      </c>
      <c r="CS261" s="66"/>
      <c r="CT261" s="66"/>
      <c r="CU261" s="68" t="str">
        <f t="shared" si="3483"/>
        <v>|n</v>
      </c>
      <c r="CV261" s="6"/>
      <c r="DB261" s="44" t="str">
        <f t="shared" si="3484"/>
        <v/>
      </c>
      <c r="DC261" s="44" t="str">
        <f t="shared" si="3485"/>
        <v/>
      </c>
      <c r="DD261" s="44" t="str">
        <f t="shared" si="3486"/>
        <v/>
      </c>
      <c r="DE261" s="44" t="str">
        <f t="shared" si="3487"/>
        <v/>
      </c>
      <c r="DF261" s="44" t="str">
        <f t="shared" si="3488"/>
        <v/>
      </c>
      <c r="DG261" s="44" t="str">
        <f t="shared" si="3489"/>
        <v/>
      </c>
      <c r="DH261" s="44" t="str">
        <f t="shared" si="3490"/>
        <v/>
      </c>
      <c r="DI261" s="44" t="str">
        <f t="shared" si="3491"/>
        <v/>
      </c>
      <c r="DJ261" s="44" t="str">
        <f t="shared" si="3492"/>
        <v/>
      </c>
      <c r="DK261" s="44" t="str">
        <f t="shared" si="3493"/>
        <v/>
      </c>
      <c r="DL261" s="44" t="str">
        <f t="shared" si="3494"/>
        <v/>
      </c>
      <c r="DM261" s="44" t="str">
        <f t="shared" si="3495"/>
        <v/>
      </c>
      <c r="DN261" s="44" t="str">
        <f t="shared" si="3496"/>
        <v/>
      </c>
      <c r="DO261" s="44" t="str">
        <f t="shared" si="3497"/>
        <v/>
      </c>
      <c r="DP261" s="44" t="str">
        <f t="shared" si="3498"/>
        <v/>
      </c>
      <c r="DQ261" s="44" t="str">
        <f t="shared" si="3499"/>
        <v/>
      </c>
      <c r="DR261" s="44" t="str">
        <f t="shared" si="3500"/>
        <v/>
      </c>
      <c r="DS261" s="44" t="str">
        <f t="shared" si="3501"/>
        <v/>
      </c>
      <c r="DT261" s="44" t="str">
        <f t="shared" si="3502"/>
        <v/>
      </c>
      <c r="DU261" s="44" t="str">
        <f t="shared" si="3503"/>
        <v/>
      </c>
      <c r="DV261" s="44" t="str">
        <f t="shared" si="3504"/>
        <v/>
      </c>
      <c r="DW261" s="44" t="str">
        <f t="shared" si="3505"/>
        <v/>
      </c>
      <c r="DX261" s="44" t="str">
        <f t="shared" si="3506"/>
        <v/>
      </c>
      <c r="DY261" s="44" t="str">
        <f t="shared" si="3507"/>
        <v/>
      </c>
      <c r="DZ261" s="44" t="str">
        <f t="shared" si="3508"/>
        <v/>
      </c>
      <c r="EA261" s="44" t="str">
        <f t="shared" si="3509"/>
        <v/>
      </c>
      <c r="EB261" s="44" t="str">
        <f t="shared" si="3510"/>
        <v/>
      </c>
      <c r="EC261" s="44" t="str">
        <f t="shared" si="3511"/>
        <v/>
      </c>
      <c r="ED261" s="44" t="str">
        <f t="shared" si="3512"/>
        <v/>
      </c>
      <c r="EE261" s="44" t="str">
        <f t="shared" si="3513"/>
        <v/>
      </c>
      <c r="EF261" s="44" t="str">
        <f t="shared" si="3514"/>
        <v/>
      </c>
      <c r="EG261" s="44" t="str">
        <f t="shared" si="3515"/>
        <v/>
      </c>
      <c r="EH261" s="44" t="str">
        <f t="shared" si="3516"/>
        <v/>
      </c>
      <c r="EI261" s="44" t="str">
        <f t="shared" si="3517"/>
        <v/>
      </c>
      <c r="EJ261" s="44" t="str">
        <f t="shared" si="3518"/>
        <v/>
      </c>
      <c r="EK261" s="44" t="str">
        <f t="shared" si="3519"/>
        <v/>
      </c>
      <c r="EL261" s="44" t="str">
        <f t="shared" si="3520"/>
        <v/>
      </c>
      <c r="EM261" s="44" t="str">
        <f t="shared" si="3521"/>
        <v/>
      </c>
      <c r="EN261" s="44" t="str">
        <f t="shared" si="3522"/>
        <v/>
      </c>
      <c r="EO261" s="44" t="str">
        <f t="shared" si="3523"/>
        <v/>
      </c>
      <c r="EP261" s="44" t="str">
        <f t="shared" si="3524"/>
        <v/>
      </c>
      <c r="EQ261" s="44" t="str">
        <f t="shared" si="3525"/>
        <v/>
      </c>
      <c r="ER261" s="44" t="str">
        <f t="shared" si="3526"/>
        <v/>
      </c>
      <c r="ES261" s="44" t="str">
        <f t="shared" si="3527"/>
        <v/>
      </c>
      <c r="ET261" s="44" t="str">
        <f t="shared" si="3528"/>
        <v/>
      </c>
      <c r="EU261" s="44" t="str">
        <f t="shared" si="3529"/>
        <v/>
      </c>
      <c r="EV261" s="44" t="str">
        <f t="shared" si="3530"/>
        <v/>
      </c>
      <c r="EW261" s="44" t="str">
        <f t="shared" si="3531"/>
        <v/>
      </c>
      <c r="EX261" s="44" t="str">
        <f t="shared" si="3532"/>
        <v/>
      </c>
      <c r="EY261" s="44" t="str">
        <f t="shared" si="3533"/>
        <v/>
      </c>
      <c r="EZ261" s="44" t="str">
        <f t="shared" si="3534"/>
        <v/>
      </c>
      <c r="FA261" s="44" t="str">
        <f t="shared" si="3535"/>
        <v/>
      </c>
      <c r="FB261" s="44" t="str">
        <f t="shared" si="3536"/>
        <v/>
      </c>
      <c r="FC261" s="44" t="str">
        <f t="shared" si="3537"/>
        <v/>
      </c>
      <c r="FD261" s="44" t="str">
        <f t="shared" si="3538"/>
        <v/>
      </c>
      <c r="FE261" s="44" t="str">
        <f t="shared" si="3539"/>
        <v/>
      </c>
      <c r="FF261" s="44" t="str">
        <f t="shared" si="3540"/>
        <v/>
      </c>
      <c r="FG261" s="44" t="str">
        <f t="shared" si="3541"/>
        <v/>
      </c>
      <c r="FH261" s="44" t="str">
        <f t="shared" si="3542"/>
        <v/>
      </c>
      <c r="FI261" s="44" t="str">
        <f t="shared" si="3543"/>
        <v/>
      </c>
      <c r="FJ261" s="44" t="str">
        <f t="shared" si="3544"/>
        <v/>
      </c>
      <c r="FK261" s="44" t="str">
        <f t="shared" si="3545"/>
        <v/>
      </c>
      <c r="FL261" s="44" t="str">
        <f t="shared" si="3546"/>
        <v/>
      </c>
      <c r="FM261" s="44" t="str">
        <f t="shared" si="3547"/>
        <v/>
      </c>
      <c r="FN261" s="44" t="str">
        <f t="shared" si="3548"/>
        <v/>
      </c>
      <c r="FO261" s="44" t="str">
        <f t="shared" si="3549"/>
        <v/>
      </c>
      <c r="FP261" s="44" t="str">
        <f t="shared" si="3550"/>
        <v/>
      </c>
      <c r="FQ261" s="44" t="str">
        <f t="shared" si="3551"/>
        <v/>
      </c>
      <c r="FR261" s="44" t="str">
        <f t="shared" si="3552"/>
        <v/>
      </c>
      <c r="FS261" s="44" t="str">
        <f t="shared" si="3553"/>
        <v/>
      </c>
    </row>
    <row r="262" spans="1:175" s="7" customFormat="1" ht="16.5">
      <c r="A262" s="106"/>
      <c r="B262" s="45"/>
      <c r="C262" s="106"/>
      <c r="D262" s="46"/>
      <c r="E262" s="47"/>
      <c r="F262" s="107"/>
      <c r="G262" s="108"/>
      <c r="H262" s="108"/>
      <c r="I262" s="108"/>
      <c r="J262" s="108"/>
      <c r="K262" s="108"/>
      <c r="L262" s="108"/>
      <c r="M262" s="108"/>
      <c r="N262" s="108"/>
      <c r="O262" s="108"/>
      <c r="P262" s="52"/>
      <c r="Q262" s="52"/>
      <c r="R262" s="52"/>
      <c r="S262" s="52"/>
      <c r="T262" s="59"/>
      <c r="U262" s="56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  <c r="AO262" s="57"/>
      <c r="AP262" s="57"/>
      <c r="AQ262" s="57"/>
      <c r="AR262" s="63"/>
      <c r="AS262" s="63"/>
      <c r="AT262" s="57"/>
      <c r="AU262" s="57"/>
      <c r="AV262" s="57"/>
      <c r="AW262" s="57"/>
      <c r="AX262" s="57"/>
      <c r="AY262" s="57"/>
      <c r="AZ262" s="57"/>
      <c r="BA262" s="57"/>
      <c r="BB262" s="57"/>
      <c r="BC262" s="57"/>
      <c r="BD262" s="57"/>
      <c r="BE262" s="57"/>
      <c r="BF262" s="57"/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66" t="str">
        <f t="shared" si="3640"/>
        <v>InitUnitState('',,,,,,,,,,)</v>
      </c>
      <c r="CO262" s="66" t="str">
        <f t="shared" si="3641"/>
        <v>InitUnitNormal('',,,,,,,,,,)</v>
      </c>
      <c r="CP262" s="66" t="str">
        <f t="shared" si="3642"/>
        <v>InitUnitMagic('',,,,,,,,,,)</v>
      </c>
      <c r="CQ262" s="66" t="str">
        <f t="shared" si="3643"/>
        <v>InitUnitAdd('',,,,,,,,,,)</v>
      </c>
      <c r="CR262" s="66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264&amp;CR$1&amp;")"</f>
        <v>InitEquipData('',,"",,,,,'','','','','','',"")</v>
      </c>
      <c r="CS262" s="66"/>
      <c r="CT262" s="66"/>
      <c r="CU262" s="68" t="str">
        <f t="shared" si="3483"/>
        <v>|n</v>
      </c>
      <c r="CV262" s="6"/>
      <c r="DB262" s="44" t="str">
        <f t="shared" si="3484"/>
        <v/>
      </c>
      <c r="DC262" s="44" t="str">
        <f t="shared" si="3485"/>
        <v/>
      </c>
      <c r="DD262" s="44" t="str">
        <f t="shared" si="3486"/>
        <v/>
      </c>
      <c r="DE262" s="44" t="str">
        <f t="shared" si="3487"/>
        <v/>
      </c>
      <c r="DF262" s="44" t="str">
        <f t="shared" si="3488"/>
        <v/>
      </c>
      <c r="DG262" s="44" t="str">
        <f t="shared" si="3489"/>
        <v/>
      </c>
      <c r="DH262" s="44" t="str">
        <f t="shared" si="3490"/>
        <v/>
      </c>
      <c r="DI262" s="44" t="str">
        <f t="shared" si="3491"/>
        <v/>
      </c>
      <c r="DJ262" s="44" t="str">
        <f t="shared" si="3492"/>
        <v/>
      </c>
      <c r="DK262" s="44" t="str">
        <f t="shared" si="3493"/>
        <v/>
      </c>
      <c r="DL262" s="44" t="str">
        <f t="shared" si="3494"/>
        <v/>
      </c>
      <c r="DM262" s="44" t="str">
        <f t="shared" si="3495"/>
        <v/>
      </c>
      <c r="DN262" s="44" t="str">
        <f t="shared" si="3496"/>
        <v/>
      </c>
      <c r="DO262" s="44" t="str">
        <f t="shared" si="3497"/>
        <v/>
      </c>
      <c r="DP262" s="44" t="str">
        <f t="shared" si="3498"/>
        <v/>
      </c>
      <c r="DQ262" s="44" t="str">
        <f t="shared" si="3499"/>
        <v/>
      </c>
      <c r="DR262" s="44" t="str">
        <f t="shared" si="3500"/>
        <v/>
      </c>
      <c r="DS262" s="44" t="str">
        <f t="shared" si="3501"/>
        <v/>
      </c>
      <c r="DT262" s="44" t="str">
        <f t="shared" si="3502"/>
        <v/>
      </c>
      <c r="DU262" s="44" t="str">
        <f t="shared" si="3503"/>
        <v/>
      </c>
      <c r="DV262" s="44" t="str">
        <f t="shared" si="3504"/>
        <v/>
      </c>
      <c r="DW262" s="44" t="str">
        <f t="shared" si="3505"/>
        <v/>
      </c>
      <c r="DX262" s="44" t="str">
        <f t="shared" si="3506"/>
        <v/>
      </c>
      <c r="DY262" s="44" t="str">
        <f t="shared" si="3507"/>
        <v/>
      </c>
      <c r="DZ262" s="44" t="str">
        <f t="shared" si="3508"/>
        <v/>
      </c>
      <c r="EA262" s="44" t="str">
        <f t="shared" si="3509"/>
        <v/>
      </c>
      <c r="EB262" s="44" t="str">
        <f t="shared" si="3510"/>
        <v/>
      </c>
      <c r="EC262" s="44" t="str">
        <f t="shared" si="3511"/>
        <v/>
      </c>
      <c r="ED262" s="44" t="str">
        <f t="shared" si="3512"/>
        <v/>
      </c>
      <c r="EE262" s="44" t="str">
        <f t="shared" si="3513"/>
        <v/>
      </c>
      <c r="EF262" s="44" t="str">
        <f t="shared" si="3514"/>
        <v/>
      </c>
      <c r="EG262" s="44" t="str">
        <f t="shared" si="3515"/>
        <v/>
      </c>
      <c r="EH262" s="44" t="str">
        <f t="shared" si="3516"/>
        <v/>
      </c>
      <c r="EI262" s="44" t="str">
        <f t="shared" si="3517"/>
        <v/>
      </c>
      <c r="EJ262" s="44" t="str">
        <f t="shared" si="3518"/>
        <v/>
      </c>
      <c r="EK262" s="44" t="str">
        <f t="shared" si="3519"/>
        <v/>
      </c>
      <c r="EL262" s="44" t="str">
        <f t="shared" si="3520"/>
        <v/>
      </c>
      <c r="EM262" s="44" t="str">
        <f t="shared" si="3521"/>
        <v/>
      </c>
      <c r="EN262" s="44" t="str">
        <f t="shared" si="3522"/>
        <v/>
      </c>
      <c r="EO262" s="44" t="str">
        <f t="shared" si="3523"/>
        <v/>
      </c>
      <c r="EP262" s="44" t="str">
        <f t="shared" si="3524"/>
        <v/>
      </c>
      <c r="EQ262" s="44" t="str">
        <f t="shared" si="3525"/>
        <v/>
      </c>
      <c r="ER262" s="44" t="str">
        <f t="shared" si="3526"/>
        <v/>
      </c>
      <c r="ES262" s="44" t="str">
        <f t="shared" si="3527"/>
        <v/>
      </c>
      <c r="ET262" s="44" t="str">
        <f t="shared" si="3528"/>
        <v/>
      </c>
      <c r="EU262" s="44" t="str">
        <f t="shared" si="3529"/>
        <v/>
      </c>
      <c r="EV262" s="44" t="str">
        <f t="shared" si="3530"/>
        <v/>
      </c>
      <c r="EW262" s="44" t="str">
        <f t="shared" si="3531"/>
        <v/>
      </c>
      <c r="EX262" s="44" t="str">
        <f t="shared" si="3532"/>
        <v/>
      </c>
      <c r="EY262" s="44" t="str">
        <f t="shared" si="3533"/>
        <v/>
      </c>
      <c r="EZ262" s="44" t="str">
        <f t="shared" si="3534"/>
        <v/>
      </c>
      <c r="FA262" s="44" t="str">
        <f t="shared" si="3535"/>
        <v/>
      </c>
      <c r="FB262" s="44" t="str">
        <f t="shared" si="3536"/>
        <v/>
      </c>
      <c r="FC262" s="44" t="str">
        <f t="shared" si="3537"/>
        <v/>
      </c>
      <c r="FD262" s="44" t="str">
        <f t="shared" si="3538"/>
        <v/>
      </c>
      <c r="FE262" s="44" t="str">
        <f t="shared" si="3539"/>
        <v/>
      </c>
      <c r="FF262" s="44" t="str">
        <f t="shared" si="3540"/>
        <v/>
      </c>
      <c r="FG262" s="44" t="str">
        <f t="shared" si="3541"/>
        <v/>
      </c>
      <c r="FH262" s="44" t="str">
        <f t="shared" si="3542"/>
        <v/>
      </c>
      <c r="FI262" s="44" t="str">
        <f t="shared" si="3543"/>
        <v/>
      </c>
      <c r="FJ262" s="44" t="str">
        <f t="shared" si="3544"/>
        <v/>
      </c>
      <c r="FK262" s="44" t="str">
        <f t="shared" si="3545"/>
        <v/>
      </c>
      <c r="FL262" s="44" t="str">
        <f t="shared" si="3546"/>
        <v/>
      </c>
      <c r="FM262" s="44" t="str">
        <f t="shared" si="3547"/>
        <v/>
      </c>
      <c r="FN262" s="44" t="str">
        <f t="shared" si="3548"/>
        <v/>
      </c>
      <c r="FO262" s="44" t="str">
        <f t="shared" si="3549"/>
        <v/>
      </c>
      <c r="FP262" s="44" t="str">
        <f t="shared" si="3550"/>
        <v/>
      </c>
      <c r="FQ262" s="44" t="str">
        <f t="shared" si="3551"/>
        <v/>
      </c>
      <c r="FR262" s="44" t="str">
        <f t="shared" si="3552"/>
        <v/>
      </c>
      <c r="FS262" s="44" t="str">
        <f t="shared" si="3553"/>
        <v/>
      </c>
    </row>
    <row r="263" spans="1:175" ht="16.5">
      <c r="A263" s="11"/>
      <c r="B263" s="12"/>
      <c r="C263" s="11"/>
      <c r="E263" s="116"/>
      <c r="T263" s="117"/>
      <c r="U263" s="56"/>
      <c r="CU263" s="68" t="str">
        <f t="shared" si="3483"/>
        <v>|n</v>
      </c>
      <c r="CW263" s="7"/>
      <c r="CX263" s="7"/>
      <c r="CY263" s="7"/>
      <c r="CZ263" s="7"/>
      <c r="DA263" s="7"/>
      <c r="DB263" s="44" t="str">
        <f t="shared" si="3484"/>
        <v/>
      </c>
      <c r="DC263" s="44" t="str">
        <f t="shared" si="3485"/>
        <v/>
      </c>
      <c r="DD263" s="44" t="str">
        <f t="shared" si="3486"/>
        <v/>
      </c>
      <c r="DE263" s="44" t="str">
        <f t="shared" si="3487"/>
        <v/>
      </c>
      <c r="DF263" s="44" t="str">
        <f t="shared" si="3488"/>
        <v/>
      </c>
      <c r="DG263" s="44" t="str">
        <f t="shared" si="3489"/>
        <v/>
      </c>
      <c r="DH263" s="44" t="str">
        <f t="shared" si="3490"/>
        <v/>
      </c>
      <c r="DI263" s="44" t="str">
        <f t="shared" si="3491"/>
        <v/>
      </c>
      <c r="DJ263" s="44" t="str">
        <f t="shared" si="3492"/>
        <v/>
      </c>
      <c r="DK263" s="44" t="str">
        <f t="shared" si="3493"/>
        <v/>
      </c>
      <c r="DL263" s="44" t="str">
        <f t="shared" si="3494"/>
        <v/>
      </c>
      <c r="DM263" s="44" t="str">
        <f t="shared" si="3495"/>
        <v/>
      </c>
      <c r="DN263" s="44" t="str">
        <f t="shared" si="3496"/>
        <v/>
      </c>
      <c r="DO263" s="44" t="str">
        <f t="shared" si="3497"/>
        <v/>
      </c>
      <c r="DP263" s="44" t="str">
        <f t="shared" si="3498"/>
        <v/>
      </c>
      <c r="DQ263" s="44" t="str">
        <f t="shared" si="3499"/>
        <v/>
      </c>
      <c r="DR263" s="44" t="str">
        <f t="shared" si="3500"/>
        <v/>
      </c>
      <c r="DS263" s="44" t="str">
        <f t="shared" si="3501"/>
        <v/>
      </c>
      <c r="DT263" s="44" t="str">
        <f t="shared" si="3502"/>
        <v/>
      </c>
      <c r="DU263" s="44" t="str">
        <f t="shared" si="3503"/>
        <v/>
      </c>
      <c r="DV263" s="44" t="str">
        <f t="shared" si="3504"/>
        <v/>
      </c>
      <c r="DW263" s="44" t="str">
        <f t="shared" si="3505"/>
        <v/>
      </c>
      <c r="DX263" s="44" t="str">
        <f t="shared" si="3506"/>
        <v/>
      </c>
      <c r="DY263" s="44" t="str">
        <f t="shared" si="3507"/>
        <v/>
      </c>
      <c r="DZ263" s="44" t="str">
        <f t="shared" si="3508"/>
        <v/>
      </c>
      <c r="EA263" s="44" t="str">
        <f t="shared" si="3509"/>
        <v/>
      </c>
      <c r="EB263" s="44" t="str">
        <f t="shared" si="3510"/>
        <v/>
      </c>
      <c r="EC263" s="44" t="str">
        <f t="shared" si="3511"/>
        <v/>
      </c>
      <c r="ED263" s="44" t="str">
        <f t="shared" si="3512"/>
        <v/>
      </c>
      <c r="EE263" s="44" t="str">
        <f t="shared" si="3513"/>
        <v/>
      </c>
      <c r="EF263" s="44" t="str">
        <f t="shared" si="3514"/>
        <v/>
      </c>
      <c r="EG263" s="44" t="str">
        <f t="shared" si="3515"/>
        <v/>
      </c>
      <c r="EH263" s="44" t="str">
        <f t="shared" si="3516"/>
        <v/>
      </c>
      <c r="EI263" s="44" t="str">
        <f t="shared" si="3517"/>
        <v/>
      </c>
      <c r="EJ263" s="44" t="str">
        <f t="shared" si="3518"/>
        <v/>
      </c>
      <c r="EK263" s="44" t="str">
        <f t="shared" si="3519"/>
        <v/>
      </c>
      <c r="EL263" s="44" t="str">
        <f t="shared" si="3520"/>
        <v/>
      </c>
      <c r="EM263" s="44" t="str">
        <f t="shared" si="3521"/>
        <v/>
      </c>
      <c r="EN263" s="44" t="str">
        <f t="shared" si="3522"/>
        <v/>
      </c>
      <c r="EO263" s="44" t="str">
        <f t="shared" si="3523"/>
        <v/>
      </c>
      <c r="EP263" s="44" t="str">
        <f t="shared" si="3524"/>
        <v/>
      </c>
      <c r="EQ263" s="44" t="str">
        <f t="shared" si="3525"/>
        <v/>
      </c>
      <c r="ER263" s="44" t="str">
        <f t="shared" si="3526"/>
        <v/>
      </c>
      <c r="ES263" s="44" t="str">
        <f t="shared" si="3527"/>
        <v/>
      </c>
      <c r="ET263" s="44" t="str">
        <f t="shared" si="3528"/>
        <v/>
      </c>
      <c r="EU263" s="44" t="str">
        <f t="shared" si="3529"/>
        <v/>
      </c>
      <c r="EV263" s="44" t="str">
        <f t="shared" si="3530"/>
        <v/>
      </c>
      <c r="EW263" s="44" t="str">
        <f t="shared" si="3531"/>
        <v/>
      </c>
      <c r="EX263" s="44" t="str">
        <f t="shared" si="3532"/>
        <v/>
      </c>
      <c r="EY263" s="44" t="str">
        <f t="shared" si="3533"/>
        <v/>
      </c>
      <c r="EZ263" s="44" t="str">
        <f t="shared" si="3534"/>
        <v/>
      </c>
      <c r="FA263" s="44" t="str">
        <f t="shared" si="3535"/>
        <v/>
      </c>
      <c r="FB263" s="44" t="str">
        <f t="shared" si="3536"/>
        <v/>
      </c>
      <c r="FC263" s="44" t="str">
        <f t="shared" si="3537"/>
        <v/>
      </c>
      <c r="FD263" s="44" t="str">
        <f t="shared" si="3538"/>
        <v/>
      </c>
      <c r="FE263" s="44" t="str">
        <f t="shared" si="3539"/>
        <v/>
      </c>
      <c r="FF263" s="44" t="str">
        <f t="shared" si="3540"/>
        <v/>
      </c>
      <c r="FG263" s="44" t="str">
        <f t="shared" si="3541"/>
        <v/>
      </c>
      <c r="FH263" s="44" t="str">
        <f t="shared" si="3542"/>
        <v/>
      </c>
      <c r="FI263" s="44" t="str">
        <f t="shared" si="3543"/>
        <v/>
      </c>
      <c r="FJ263" s="44" t="str">
        <f t="shared" si="3544"/>
        <v/>
      </c>
      <c r="FK263" s="44" t="str">
        <f t="shared" si="3545"/>
        <v/>
      </c>
      <c r="FL263" s="44" t="str">
        <f t="shared" si="3546"/>
        <v/>
      </c>
      <c r="FM263" s="44" t="str">
        <f t="shared" si="3547"/>
        <v/>
      </c>
      <c r="FN263" s="44" t="str">
        <f t="shared" si="3548"/>
        <v/>
      </c>
      <c r="FO263" s="44" t="str">
        <f t="shared" si="3549"/>
        <v/>
      </c>
      <c r="FP263" s="44" t="str">
        <f t="shared" si="3550"/>
        <v/>
      </c>
      <c r="FQ263" s="44" t="str">
        <f t="shared" si="3551"/>
        <v/>
      </c>
      <c r="FR263" s="44" t="str">
        <f t="shared" si="3552"/>
        <v/>
      </c>
      <c r="FS263" s="44" t="str">
        <f t="shared" si="3553"/>
        <v/>
      </c>
    </row>
    <row r="264" spans="1:175" ht="16.5">
      <c r="A264" s="11"/>
      <c r="B264" s="12"/>
      <c r="C264" s="11"/>
      <c r="E264" s="116"/>
      <c r="T264" s="117"/>
      <c r="U264" s="56"/>
      <c r="CU264" s="68" t="str">
        <f t="shared" si="3483"/>
        <v>|n</v>
      </c>
      <c r="CW264" s="7"/>
      <c r="CX264" s="7"/>
      <c r="CY264" s="7"/>
      <c r="CZ264" s="7"/>
      <c r="DA264" s="7"/>
      <c r="DB264" s="44" t="str">
        <f t="shared" si="3484"/>
        <v/>
      </c>
      <c r="DC264" s="44" t="str">
        <f t="shared" si="3485"/>
        <v/>
      </c>
      <c r="DD264" s="44" t="str">
        <f t="shared" si="3486"/>
        <v/>
      </c>
      <c r="DE264" s="44" t="str">
        <f t="shared" si="3487"/>
        <v/>
      </c>
      <c r="DF264" s="44" t="str">
        <f t="shared" si="3488"/>
        <v/>
      </c>
      <c r="DG264" s="44" t="str">
        <f t="shared" si="3489"/>
        <v/>
      </c>
      <c r="DH264" s="44" t="str">
        <f t="shared" si="3490"/>
        <v/>
      </c>
      <c r="DI264" s="44" t="str">
        <f t="shared" si="3491"/>
        <v/>
      </c>
      <c r="DJ264" s="44" t="str">
        <f t="shared" si="3492"/>
        <v/>
      </c>
      <c r="DK264" s="44" t="str">
        <f t="shared" si="3493"/>
        <v/>
      </c>
      <c r="DL264" s="44" t="str">
        <f t="shared" si="3494"/>
        <v/>
      </c>
      <c r="DM264" s="44" t="str">
        <f t="shared" si="3495"/>
        <v/>
      </c>
      <c r="DN264" s="44" t="str">
        <f t="shared" si="3496"/>
        <v/>
      </c>
      <c r="DO264" s="44" t="str">
        <f t="shared" si="3497"/>
        <v/>
      </c>
      <c r="DP264" s="44" t="str">
        <f t="shared" si="3498"/>
        <v/>
      </c>
      <c r="DQ264" s="44" t="str">
        <f t="shared" si="3499"/>
        <v/>
      </c>
      <c r="DR264" s="44" t="str">
        <f t="shared" si="3500"/>
        <v/>
      </c>
      <c r="DS264" s="44" t="str">
        <f t="shared" si="3501"/>
        <v/>
      </c>
      <c r="DT264" s="44" t="str">
        <f t="shared" si="3502"/>
        <v/>
      </c>
      <c r="DU264" s="44" t="str">
        <f t="shared" si="3503"/>
        <v/>
      </c>
      <c r="DV264" s="44" t="str">
        <f t="shared" si="3504"/>
        <v/>
      </c>
      <c r="DW264" s="44" t="str">
        <f t="shared" si="3505"/>
        <v/>
      </c>
      <c r="DX264" s="44" t="str">
        <f t="shared" si="3506"/>
        <v/>
      </c>
      <c r="DY264" s="44" t="str">
        <f t="shared" si="3507"/>
        <v/>
      </c>
      <c r="DZ264" s="44" t="str">
        <f t="shared" si="3508"/>
        <v/>
      </c>
      <c r="EA264" s="44" t="str">
        <f t="shared" si="3509"/>
        <v/>
      </c>
      <c r="EB264" s="44" t="str">
        <f t="shared" si="3510"/>
        <v/>
      </c>
      <c r="EC264" s="44" t="str">
        <f t="shared" si="3511"/>
        <v/>
      </c>
      <c r="ED264" s="44" t="str">
        <f t="shared" si="3512"/>
        <v/>
      </c>
      <c r="EE264" s="44" t="str">
        <f t="shared" si="3513"/>
        <v/>
      </c>
      <c r="EF264" s="44" t="str">
        <f t="shared" si="3514"/>
        <v/>
      </c>
      <c r="EG264" s="44" t="str">
        <f t="shared" si="3515"/>
        <v/>
      </c>
      <c r="EH264" s="44" t="str">
        <f t="shared" si="3516"/>
        <v/>
      </c>
      <c r="EI264" s="44" t="str">
        <f t="shared" si="3517"/>
        <v/>
      </c>
      <c r="EJ264" s="44" t="str">
        <f t="shared" si="3518"/>
        <v/>
      </c>
      <c r="EK264" s="44" t="str">
        <f t="shared" si="3519"/>
        <v/>
      </c>
      <c r="EL264" s="44" t="str">
        <f t="shared" si="3520"/>
        <v/>
      </c>
      <c r="EM264" s="44" t="str">
        <f t="shared" si="3521"/>
        <v/>
      </c>
      <c r="EN264" s="44" t="str">
        <f t="shared" si="3522"/>
        <v/>
      </c>
      <c r="EO264" s="44" t="str">
        <f t="shared" si="3523"/>
        <v/>
      </c>
      <c r="EP264" s="44" t="str">
        <f t="shared" si="3524"/>
        <v/>
      </c>
      <c r="EQ264" s="44" t="str">
        <f t="shared" si="3525"/>
        <v/>
      </c>
      <c r="ER264" s="44" t="str">
        <f t="shared" si="3526"/>
        <v/>
      </c>
      <c r="ES264" s="44" t="str">
        <f t="shared" si="3527"/>
        <v/>
      </c>
      <c r="ET264" s="44" t="str">
        <f t="shared" si="3528"/>
        <v/>
      </c>
      <c r="EU264" s="44" t="str">
        <f t="shared" si="3529"/>
        <v/>
      </c>
      <c r="EV264" s="44" t="str">
        <f t="shared" si="3530"/>
        <v/>
      </c>
      <c r="EW264" s="44" t="str">
        <f t="shared" si="3531"/>
        <v/>
      </c>
      <c r="EX264" s="44" t="str">
        <f t="shared" si="3532"/>
        <v/>
      </c>
      <c r="EY264" s="44" t="str">
        <f t="shared" si="3533"/>
        <v/>
      </c>
      <c r="EZ264" s="44" t="str">
        <f t="shared" si="3534"/>
        <v/>
      </c>
      <c r="FA264" s="44" t="str">
        <f t="shared" si="3535"/>
        <v/>
      </c>
      <c r="FB264" s="44" t="str">
        <f t="shared" si="3536"/>
        <v/>
      </c>
      <c r="FC264" s="44" t="str">
        <f t="shared" si="3537"/>
        <v/>
      </c>
      <c r="FD264" s="44" t="str">
        <f t="shared" si="3538"/>
        <v/>
      </c>
      <c r="FE264" s="44" t="str">
        <f t="shared" si="3539"/>
        <v/>
      </c>
      <c r="FF264" s="44" t="str">
        <f t="shared" si="3540"/>
        <v/>
      </c>
      <c r="FG264" s="44" t="str">
        <f t="shared" si="3541"/>
        <v/>
      </c>
      <c r="FH264" s="44" t="str">
        <f t="shared" si="3542"/>
        <v/>
      </c>
      <c r="FI264" s="44" t="str">
        <f t="shared" si="3543"/>
        <v/>
      </c>
      <c r="FJ264" s="44" t="str">
        <f t="shared" si="3544"/>
        <v/>
      </c>
      <c r="FK264" s="44" t="str">
        <f t="shared" si="3545"/>
        <v/>
      </c>
      <c r="FL264" s="44" t="str">
        <f t="shared" si="3546"/>
        <v/>
      </c>
      <c r="FM264" s="44" t="str">
        <f t="shared" si="3547"/>
        <v/>
      </c>
      <c r="FN264" s="44" t="str">
        <f t="shared" si="3548"/>
        <v/>
      </c>
      <c r="FO264" s="44" t="str">
        <f t="shared" si="3549"/>
        <v/>
      </c>
      <c r="FP264" s="44" t="str">
        <f t="shared" si="3550"/>
        <v/>
      </c>
      <c r="FQ264" s="44" t="str">
        <f t="shared" si="3551"/>
        <v/>
      </c>
      <c r="FR264" s="44" t="str">
        <f t="shared" si="3552"/>
        <v/>
      </c>
      <c r="FS264" s="44" t="str">
        <f t="shared" si="3553"/>
        <v/>
      </c>
    </row>
    <row r="265" spans="1:175" ht="16.5">
      <c r="A265" s="11"/>
      <c r="B265" s="12"/>
      <c r="C265" s="11"/>
      <c r="E265" s="116"/>
      <c r="T265" s="117"/>
      <c r="U265" s="56"/>
      <c r="CU265" s="68" t="str">
        <f t="shared" si="3483"/>
        <v>|n</v>
      </c>
      <c r="CW265" s="7"/>
      <c r="CX265" s="7"/>
      <c r="CY265" s="7"/>
      <c r="CZ265" s="7"/>
      <c r="DA265" s="7"/>
      <c r="DB265" s="44" t="str">
        <f t="shared" si="3484"/>
        <v/>
      </c>
      <c r="DC265" s="44" t="str">
        <f t="shared" si="3485"/>
        <v/>
      </c>
      <c r="DD265" s="44" t="str">
        <f t="shared" si="3486"/>
        <v/>
      </c>
      <c r="DE265" s="44" t="str">
        <f t="shared" si="3487"/>
        <v/>
      </c>
      <c r="DF265" s="44" t="str">
        <f t="shared" si="3488"/>
        <v/>
      </c>
      <c r="DG265" s="44" t="str">
        <f t="shared" si="3489"/>
        <v/>
      </c>
      <c r="DH265" s="44" t="str">
        <f t="shared" si="3490"/>
        <v/>
      </c>
      <c r="DI265" s="44" t="str">
        <f t="shared" si="3491"/>
        <v/>
      </c>
      <c r="DJ265" s="44" t="str">
        <f t="shared" si="3492"/>
        <v/>
      </c>
      <c r="DK265" s="44" t="str">
        <f t="shared" si="3493"/>
        <v/>
      </c>
      <c r="DL265" s="44" t="str">
        <f t="shared" si="3494"/>
        <v/>
      </c>
      <c r="DM265" s="44" t="str">
        <f t="shared" si="3495"/>
        <v/>
      </c>
      <c r="DN265" s="44" t="str">
        <f t="shared" si="3496"/>
        <v/>
      </c>
      <c r="DO265" s="44" t="str">
        <f t="shared" si="3497"/>
        <v/>
      </c>
      <c r="DP265" s="44" t="str">
        <f t="shared" si="3498"/>
        <v/>
      </c>
      <c r="DQ265" s="44" t="str">
        <f t="shared" si="3499"/>
        <v/>
      </c>
      <c r="DR265" s="44" t="str">
        <f t="shared" si="3500"/>
        <v/>
      </c>
      <c r="DS265" s="44" t="str">
        <f t="shared" si="3501"/>
        <v/>
      </c>
      <c r="DT265" s="44" t="str">
        <f t="shared" si="3502"/>
        <v/>
      </c>
      <c r="DU265" s="44" t="str">
        <f t="shared" si="3503"/>
        <v/>
      </c>
      <c r="DV265" s="44" t="str">
        <f t="shared" si="3504"/>
        <v/>
      </c>
      <c r="DW265" s="44" t="str">
        <f t="shared" si="3505"/>
        <v/>
      </c>
      <c r="DX265" s="44" t="str">
        <f t="shared" si="3506"/>
        <v/>
      </c>
      <c r="DY265" s="44" t="str">
        <f t="shared" si="3507"/>
        <v/>
      </c>
      <c r="DZ265" s="44" t="str">
        <f t="shared" si="3508"/>
        <v/>
      </c>
      <c r="EA265" s="44" t="str">
        <f t="shared" si="3509"/>
        <v/>
      </c>
      <c r="EB265" s="44" t="str">
        <f t="shared" si="3510"/>
        <v/>
      </c>
      <c r="EC265" s="44" t="str">
        <f t="shared" si="3511"/>
        <v/>
      </c>
      <c r="ED265" s="44" t="str">
        <f t="shared" si="3512"/>
        <v/>
      </c>
      <c r="EE265" s="44" t="str">
        <f t="shared" si="3513"/>
        <v/>
      </c>
      <c r="EF265" s="44" t="str">
        <f t="shared" si="3514"/>
        <v/>
      </c>
      <c r="EG265" s="44" t="str">
        <f t="shared" si="3515"/>
        <v/>
      </c>
      <c r="EH265" s="44" t="str">
        <f t="shared" si="3516"/>
        <v/>
      </c>
      <c r="EI265" s="44" t="str">
        <f t="shared" si="3517"/>
        <v/>
      </c>
      <c r="EJ265" s="44" t="str">
        <f t="shared" si="3518"/>
        <v/>
      </c>
      <c r="EK265" s="44" t="str">
        <f t="shared" si="3519"/>
        <v/>
      </c>
      <c r="EL265" s="44" t="str">
        <f t="shared" si="3520"/>
        <v/>
      </c>
      <c r="EM265" s="44" t="str">
        <f t="shared" si="3521"/>
        <v/>
      </c>
      <c r="EN265" s="44" t="str">
        <f t="shared" si="3522"/>
        <v/>
      </c>
      <c r="EO265" s="44" t="str">
        <f t="shared" si="3523"/>
        <v/>
      </c>
      <c r="EP265" s="44" t="str">
        <f t="shared" si="3524"/>
        <v/>
      </c>
      <c r="EQ265" s="44" t="str">
        <f t="shared" si="3525"/>
        <v/>
      </c>
      <c r="ER265" s="44" t="str">
        <f t="shared" si="3526"/>
        <v/>
      </c>
      <c r="ES265" s="44" t="str">
        <f t="shared" si="3527"/>
        <v/>
      </c>
      <c r="ET265" s="44" t="str">
        <f t="shared" si="3528"/>
        <v/>
      </c>
      <c r="EU265" s="44" t="str">
        <f t="shared" si="3529"/>
        <v/>
      </c>
      <c r="EV265" s="44" t="str">
        <f t="shared" si="3530"/>
        <v/>
      </c>
      <c r="EW265" s="44" t="str">
        <f t="shared" si="3531"/>
        <v/>
      </c>
      <c r="EX265" s="44" t="str">
        <f t="shared" si="3532"/>
        <v/>
      </c>
      <c r="EY265" s="44" t="str">
        <f t="shared" si="3533"/>
        <v/>
      </c>
      <c r="EZ265" s="44" t="str">
        <f t="shared" si="3534"/>
        <v/>
      </c>
      <c r="FA265" s="44" t="str">
        <f t="shared" si="3535"/>
        <v/>
      </c>
      <c r="FB265" s="44" t="str">
        <f t="shared" si="3536"/>
        <v/>
      </c>
      <c r="FC265" s="44" t="str">
        <f t="shared" si="3537"/>
        <v/>
      </c>
      <c r="FD265" s="44" t="str">
        <f t="shared" si="3538"/>
        <v/>
      </c>
      <c r="FE265" s="44" t="str">
        <f t="shared" si="3539"/>
        <v/>
      </c>
      <c r="FF265" s="44" t="str">
        <f t="shared" si="3540"/>
        <v/>
      </c>
      <c r="FG265" s="44" t="str">
        <f t="shared" si="3541"/>
        <v/>
      </c>
      <c r="FH265" s="44" t="str">
        <f t="shared" si="3542"/>
        <v/>
      </c>
      <c r="FI265" s="44" t="str">
        <f t="shared" si="3543"/>
        <v/>
      </c>
      <c r="FJ265" s="44" t="str">
        <f t="shared" si="3544"/>
        <v/>
      </c>
      <c r="FK265" s="44" t="str">
        <f t="shared" si="3545"/>
        <v/>
      </c>
      <c r="FL265" s="44" t="str">
        <f t="shared" si="3546"/>
        <v/>
      </c>
      <c r="FM265" s="44" t="str">
        <f t="shared" si="3547"/>
        <v/>
      </c>
      <c r="FN265" s="44" t="str">
        <f t="shared" si="3548"/>
        <v/>
      </c>
      <c r="FO265" s="44" t="str">
        <f t="shared" si="3549"/>
        <v/>
      </c>
      <c r="FP265" s="44" t="str">
        <f t="shared" si="3550"/>
        <v/>
      </c>
      <c r="FQ265" s="44" t="str">
        <f t="shared" si="3551"/>
        <v/>
      </c>
      <c r="FR265" s="44" t="str">
        <f t="shared" si="3552"/>
        <v/>
      </c>
      <c r="FS265" s="44" t="str">
        <f t="shared" si="3553"/>
        <v/>
      </c>
    </row>
    <row r="266" spans="1:175" ht="16.5">
      <c r="A266" s="11"/>
      <c r="B266" s="12"/>
      <c r="C266" s="11"/>
      <c r="E266" s="116"/>
      <c r="T266" s="117"/>
      <c r="U266" s="56"/>
      <c r="CU266" s="68" t="str">
        <f t="shared" si="3483"/>
        <v>|n</v>
      </c>
      <c r="CW266" s="7"/>
      <c r="CX266" s="7"/>
      <c r="CY266" s="7"/>
      <c r="CZ266" s="7"/>
      <c r="DA266" s="7"/>
      <c r="DB266" s="44" t="str">
        <f t="shared" si="3484"/>
        <v/>
      </c>
      <c r="DC266" s="44" t="str">
        <f t="shared" si="3485"/>
        <v/>
      </c>
      <c r="DD266" s="44" t="str">
        <f t="shared" si="3486"/>
        <v/>
      </c>
      <c r="DE266" s="44" t="str">
        <f t="shared" si="3487"/>
        <v/>
      </c>
      <c r="DF266" s="44" t="str">
        <f t="shared" si="3488"/>
        <v/>
      </c>
      <c r="DG266" s="44" t="str">
        <f t="shared" si="3489"/>
        <v/>
      </c>
      <c r="DH266" s="44" t="str">
        <f t="shared" si="3490"/>
        <v/>
      </c>
      <c r="DI266" s="44" t="str">
        <f t="shared" si="3491"/>
        <v/>
      </c>
      <c r="DJ266" s="44" t="str">
        <f t="shared" si="3492"/>
        <v/>
      </c>
      <c r="DK266" s="44" t="str">
        <f t="shared" si="3493"/>
        <v/>
      </c>
      <c r="DL266" s="44" t="str">
        <f t="shared" si="3494"/>
        <v/>
      </c>
      <c r="DM266" s="44" t="str">
        <f t="shared" si="3495"/>
        <v/>
      </c>
      <c r="DN266" s="44" t="str">
        <f t="shared" si="3496"/>
        <v/>
      </c>
      <c r="DO266" s="44" t="str">
        <f t="shared" si="3497"/>
        <v/>
      </c>
      <c r="DP266" s="44" t="str">
        <f t="shared" si="3498"/>
        <v/>
      </c>
      <c r="DQ266" s="44" t="str">
        <f t="shared" si="3499"/>
        <v/>
      </c>
      <c r="DR266" s="44" t="str">
        <f t="shared" si="3500"/>
        <v/>
      </c>
      <c r="DS266" s="44" t="str">
        <f t="shared" si="3501"/>
        <v/>
      </c>
      <c r="DT266" s="44" t="str">
        <f t="shared" si="3502"/>
        <v/>
      </c>
      <c r="DU266" s="44" t="str">
        <f t="shared" si="3503"/>
        <v/>
      </c>
      <c r="DV266" s="44" t="str">
        <f t="shared" si="3504"/>
        <v/>
      </c>
      <c r="DW266" s="44" t="str">
        <f t="shared" si="3505"/>
        <v/>
      </c>
      <c r="DX266" s="44" t="str">
        <f t="shared" si="3506"/>
        <v/>
      </c>
      <c r="DY266" s="44" t="str">
        <f t="shared" si="3507"/>
        <v/>
      </c>
      <c r="DZ266" s="44" t="str">
        <f t="shared" si="3508"/>
        <v/>
      </c>
      <c r="EA266" s="44" t="str">
        <f t="shared" si="3509"/>
        <v/>
      </c>
      <c r="EB266" s="44" t="str">
        <f t="shared" si="3510"/>
        <v/>
      </c>
      <c r="EC266" s="44" t="str">
        <f t="shared" si="3511"/>
        <v/>
      </c>
      <c r="ED266" s="44" t="str">
        <f t="shared" si="3512"/>
        <v/>
      </c>
      <c r="EE266" s="44" t="str">
        <f t="shared" si="3513"/>
        <v/>
      </c>
      <c r="EF266" s="44" t="str">
        <f t="shared" si="3514"/>
        <v/>
      </c>
      <c r="EG266" s="44" t="str">
        <f t="shared" si="3515"/>
        <v/>
      </c>
      <c r="EH266" s="44" t="str">
        <f t="shared" si="3516"/>
        <v/>
      </c>
      <c r="EI266" s="44" t="str">
        <f t="shared" si="3517"/>
        <v/>
      </c>
      <c r="EJ266" s="44" t="str">
        <f t="shared" si="3518"/>
        <v/>
      </c>
      <c r="EK266" s="44" t="str">
        <f t="shared" si="3519"/>
        <v/>
      </c>
      <c r="EL266" s="44" t="str">
        <f t="shared" si="3520"/>
        <v/>
      </c>
      <c r="EM266" s="44" t="str">
        <f t="shared" si="3521"/>
        <v/>
      </c>
      <c r="EN266" s="44" t="str">
        <f t="shared" si="3522"/>
        <v/>
      </c>
      <c r="EO266" s="44" t="str">
        <f t="shared" si="3523"/>
        <v/>
      </c>
      <c r="EP266" s="44" t="str">
        <f t="shared" si="3524"/>
        <v/>
      </c>
      <c r="EQ266" s="44" t="str">
        <f t="shared" si="3525"/>
        <v/>
      </c>
      <c r="ER266" s="44" t="str">
        <f t="shared" si="3526"/>
        <v/>
      </c>
      <c r="ES266" s="44" t="str">
        <f t="shared" si="3527"/>
        <v/>
      </c>
      <c r="ET266" s="44" t="str">
        <f t="shared" si="3528"/>
        <v/>
      </c>
      <c r="EU266" s="44" t="str">
        <f t="shared" si="3529"/>
        <v/>
      </c>
      <c r="EV266" s="44" t="str">
        <f t="shared" si="3530"/>
        <v/>
      </c>
      <c r="EW266" s="44" t="str">
        <f t="shared" si="3531"/>
        <v/>
      </c>
      <c r="EX266" s="44" t="str">
        <f t="shared" si="3532"/>
        <v/>
      </c>
      <c r="EY266" s="44" t="str">
        <f t="shared" si="3533"/>
        <v/>
      </c>
      <c r="EZ266" s="44" t="str">
        <f t="shared" si="3534"/>
        <v/>
      </c>
      <c r="FA266" s="44" t="str">
        <f t="shared" si="3535"/>
        <v/>
      </c>
      <c r="FB266" s="44" t="str">
        <f t="shared" si="3536"/>
        <v/>
      </c>
      <c r="FC266" s="44" t="str">
        <f t="shared" si="3537"/>
        <v/>
      </c>
      <c r="FD266" s="44" t="str">
        <f t="shared" si="3538"/>
        <v/>
      </c>
      <c r="FE266" s="44" t="str">
        <f t="shared" si="3539"/>
        <v/>
      </c>
      <c r="FF266" s="44" t="str">
        <f t="shared" si="3540"/>
        <v/>
      </c>
      <c r="FG266" s="44" t="str">
        <f t="shared" si="3541"/>
        <v/>
      </c>
      <c r="FH266" s="44" t="str">
        <f t="shared" si="3542"/>
        <v/>
      </c>
      <c r="FI266" s="44" t="str">
        <f t="shared" si="3543"/>
        <v/>
      </c>
      <c r="FJ266" s="44" t="str">
        <f t="shared" si="3544"/>
        <v/>
      </c>
      <c r="FK266" s="44" t="str">
        <f t="shared" si="3545"/>
        <v/>
      </c>
      <c r="FL266" s="44" t="str">
        <f t="shared" si="3546"/>
        <v/>
      </c>
      <c r="FM266" s="44" t="str">
        <f t="shared" si="3547"/>
        <v/>
      </c>
      <c r="FN266" s="44" t="str">
        <f t="shared" si="3548"/>
        <v/>
      </c>
      <c r="FO266" s="44" t="str">
        <f t="shared" si="3549"/>
        <v/>
      </c>
      <c r="FP266" s="44" t="str">
        <f t="shared" si="3550"/>
        <v/>
      </c>
      <c r="FQ266" s="44" t="str">
        <f t="shared" si="3551"/>
        <v/>
      </c>
      <c r="FR266" s="44" t="str">
        <f t="shared" si="3552"/>
        <v/>
      </c>
      <c r="FS266" s="44" t="str">
        <f t="shared" si="3553"/>
        <v/>
      </c>
    </row>
    <row r="267" spans="1:175" ht="16.5">
      <c r="A267" s="11"/>
      <c r="B267" s="12"/>
      <c r="C267" s="11"/>
      <c r="E267" s="116"/>
      <c r="T267" s="117"/>
      <c r="U267" s="56"/>
      <c r="CU267" s="68" t="str">
        <f t="shared" si="3483"/>
        <v>|n</v>
      </c>
      <c r="CW267" s="7"/>
      <c r="CX267" s="7"/>
      <c r="CY267" s="7"/>
      <c r="CZ267" s="7"/>
      <c r="DA267" s="7"/>
      <c r="DB267" s="44" t="str">
        <f t="shared" si="3484"/>
        <v/>
      </c>
      <c r="DC267" s="44" t="str">
        <f t="shared" si="3485"/>
        <v/>
      </c>
      <c r="DD267" s="44" t="str">
        <f t="shared" si="3486"/>
        <v/>
      </c>
      <c r="DE267" s="44" t="str">
        <f t="shared" si="3487"/>
        <v/>
      </c>
      <c r="DF267" s="44" t="str">
        <f t="shared" si="3488"/>
        <v/>
      </c>
      <c r="DG267" s="44" t="str">
        <f t="shared" si="3489"/>
        <v/>
      </c>
      <c r="DH267" s="44" t="str">
        <f t="shared" si="3490"/>
        <v/>
      </c>
      <c r="DI267" s="44" t="str">
        <f t="shared" si="3491"/>
        <v/>
      </c>
      <c r="DJ267" s="44" t="str">
        <f t="shared" si="3492"/>
        <v/>
      </c>
      <c r="DK267" s="44" t="str">
        <f t="shared" si="3493"/>
        <v/>
      </c>
      <c r="DL267" s="44" t="str">
        <f t="shared" si="3494"/>
        <v/>
      </c>
      <c r="DM267" s="44" t="str">
        <f t="shared" si="3495"/>
        <v/>
      </c>
      <c r="DN267" s="44" t="str">
        <f t="shared" si="3496"/>
        <v/>
      </c>
      <c r="DO267" s="44" t="str">
        <f t="shared" si="3497"/>
        <v/>
      </c>
      <c r="DP267" s="44" t="str">
        <f t="shared" si="3498"/>
        <v/>
      </c>
      <c r="DQ267" s="44" t="str">
        <f t="shared" si="3499"/>
        <v/>
      </c>
      <c r="DR267" s="44" t="str">
        <f t="shared" si="3500"/>
        <v/>
      </c>
      <c r="DS267" s="44" t="str">
        <f t="shared" si="3501"/>
        <v/>
      </c>
      <c r="DT267" s="44" t="str">
        <f t="shared" si="3502"/>
        <v/>
      </c>
      <c r="DU267" s="44" t="str">
        <f t="shared" si="3503"/>
        <v/>
      </c>
      <c r="DV267" s="44" t="str">
        <f t="shared" si="3504"/>
        <v/>
      </c>
      <c r="DW267" s="44" t="str">
        <f t="shared" si="3505"/>
        <v/>
      </c>
      <c r="DX267" s="44" t="str">
        <f t="shared" si="3506"/>
        <v/>
      </c>
      <c r="DY267" s="44" t="str">
        <f t="shared" si="3507"/>
        <v/>
      </c>
      <c r="DZ267" s="44" t="str">
        <f t="shared" si="3508"/>
        <v/>
      </c>
      <c r="EA267" s="44" t="str">
        <f t="shared" si="3509"/>
        <v/>
      </c>
      <c r="EB267" s="44" t="str">
        <f t="shared" si="3510"/>
        <v/>
      </c>
      <c r="EC267" s="44" t="str">
        <f t="shared" si="3511"/>
        <v/>
      </c>
      <c r="ED267" s="44" t="str">
        <f t="shared" si="3512"/>
        <v/>
      </c>
      <c r="EE267" s="44" t="str">
        <f t="shared" si="3513"/>
        <v/>
      </c>
      <c r="EF267" s="44" t="str">
        <f t="shared" si="3514"/>
        <v/>
      </c>
      <c r="EG267" s="44" t="str">
        <f t="shared" si="3515"/>
        <v/>
      </c>
      <c r="EH267" s="44" t="str">
        <f t="shared" si="3516"/>
        <v/>
      </c>
      <c r="EI267" s="44" t="str">
        <f t="shared" si="3517"/>
        <v/>
      </c>
      <c r="EJ267" s="44" t="str">
        <f t="shared" si="3518"/>
        <v/>
      </c>
      <c r="EK267" s="44" t="str">
        <f t="shared" si="3519"/>
        <v/>
      </c>
      <c r="EL267" s="44" t="str">
        <f t="shared" si="3520"/>
        <v/>
      </c>
      <c r="EM267" s="44" t="str">
        <f t="shared" si="3521"/>
        <v/>
      </c>
      <c r="EN267" s="44" t="str">
        <f t="shared" si="3522"/>
        <v/>
      </c>
      <c r="EO267" s="44" t="str">
        <f t="shared" si="3523"/>
        <v/>
      </c>
      <c r="EP267" s="44" t="str">
        <f t="shared" si="3524"/>
        <v/>
      </c>
      <c r="EQ267" s="44" t="str">
        <f t="shared" si="3525"/>
        <v/>
      </c>
      <c r="ER267" s="44" t="str">
        <f t="shared" si="3526"/>
        <v/>
      </c>
      <c r="ES267" s="44" t="str">
        <f t="shared" si="3527"/>
        <v/>
      </c>
      <c r="ET267" s="44" t="str">
        <f t="shared" si="3528"/>
        <v/>
      </c>
      <c r="EU267" s="44" t="str">
        <f t="shared" si="3529"/>
        <v/>
      </c>
      <c r="EV267" s="44" t="str">
        <f t="shared" si="3530"/>
        <v/>
      </c>
      <c r="EW267" s="44" t="str">
        <f t="shared" si="3531"/>
        <v/>
      </c>
      <c r="EX267" s="44" t="str">
        <f t="shared" si="3532"/>
        <v/>
      </c>
      <c r="EY267" s="44" t="str">
        <f t="shared" si="3533"/>
        <v/>
      </c>
      <c r="EZ267" s="44" t="str">
        <f t="shared" si="3534"/>
        <v/>
      </c>
      <c r="FA267" s="44" t="str">
        <f t="shared" si="3535"/>
        <v/>
      </c>
      <c r="FB267" s="44" t="str">
        <f t="shared" si="3536"/>
        <v/>
      </c>
      <c r="FC267" s="44" t="str">
        <f t="shared" si="3537"/>
        <v/>
      </c>
      <c r="FD267" s="44" t="str">
        <f t="shared" si="3538"/>
        <v/>
      </c>
      <c r="FE267" s="44" t="str">
        <f t="shared" si="3539"/>
        <v/>
      </c>
      <c r="FF267" s="44" t="str">
        <f t="shared" si="3540"/>
        <v/>
      </c>
      <c r="FG267" s="44" t="str">
        <f t="shared" si="3541"/>
        <v/>
      </c>
      <c r="FH267" s="44" t="str">
        <f t="shared" si="3542"/>
        <v/>
      </c>
      <c r="FI267" s="44" t="str">
        <f t="shared" si="3543"/>
        <v/>
      </c>
      <c r="FJ267" s="44" t="str">
        <f t="shared" si="3544"/>
        <v/>
      </c>
      <c r="FK267" s="44" t="str">
        <f t="shared" si="3545"/>
        <v/>
      </c>
      <c r="FL267" s="44" t="str">
        <f t="shared" si="3546"/>
        <v/>
      </c>
      <c r="FM267" s="44" t="str">
        <f t="shared" si="3547"/>
        <v/>
      </c>
      <c r="FN267" s="44" t="str">
        <f t="shared" si="3548"/>
        <v/>
      </c>
      <c r="FO267" s="44" t="str">
        <f t="shared" si="3549"/>
        <v/>
      </c>
      <c r="FP267" s="44" t="str">
        <f t="shared" si="3550"/>
        <v/>
      </c>
      <c r="FQ267" s="44" t="str">
        <f t="shared" si="3551"/>
        <v/>
      </c>
      <c r="FR267" s="44" t="str">
        <f t="shared" si="3552"/>
        <v/>
      </c>
      <c r="FS267" s="44" t="str">
        <f t="shared" si="3553"/>
        <v/>
      </c>
    </row>
    <row r="268" spans="1:175" ht="16.5">
      <c r="A268" s="11"/>
      <c r="B268" s="12"/>
      <c r="C268" s="11"/>
      <c r="E268" s="116"/>
      <c r="T268" s="117"/>
      <c r="U268" s="56"/>
      <c r="CU268" s="68" t="str">
        <f t="shared" si="3483"/>
        <v>|n</v>
      </c>
      <c r="CW268" s="7"/>
      <c r="CX268" s="7"/>
      <c r="CY268" s="7"/>
      <c r="CZ268" s="7"/>
      <c r="DA268" s="7"/>
      <c r="DB268" s="44" t="str">
        <f t="shared" si="3484"/>
        <v/>
      </c>
      <c r="DC268" s="44" t="str">
        <f t="shared" si="3485"/>
        <v/>
      </c>
      <c r="DD268" s="44" t="str">
        <f t="shared" si="3486"/>
        <v/>
      </c>
      <c r="DE268" s="44" t="str">
        <f t="shared" si="3487"/>
        <v/>
      </c>
      <c r="DF268" s="44" t="str">
        <f t="shared" si="3488"/>
        <v/>
      </c>
      <c r="DG268" s="44" t="str">
        <f t="shared" si="3489"/>
        <v/>
      </c>
      <c r="DH268" s="44" t="str">
        <f t="shared" si="3490"/>
        <v/>
      </c>
      <c r="DI268" s="44" t="str">
        <f t="shared" si="3491"/>
        <v/>
      </c>
      <c r="DJ268" s="44" t="str">
        <f t="shared" si="3492"/>
        <v/>
      </c>
      <c r="DK268" s="44" t="str">
        <f t="shared" si="3493"/>
        <v/>
      </c>
      <c r="DL268" s="44" t="str">
        <f t="shared" si="3494"/>
        <v/>
      </c>
      <c r="DM268" s="44" t="str">
        <f t="shared" si="3495"/>
        <v/>
      </c>
      <c r="DN268" s="44" t="str">
        <f t="shared" si="3496"/>
        <v/>
      </c>
      <c r="DO268" s="44" t="str">
        <f t="shared" si="3497"/>
        <v/>
      </c>
      <c r="DP268" s="44" t="str">
        <f t="shared" si="3498"/>
        <v/>
      </c>
      <c r="DQ268" s="44" t="str">
        <f t="shared" si="3499"/>
        <v/>
      </c>
      <c r="DR268" s="44" t="str">
        <f t="shared" si="3500"/>
        <v/>
      </c>
      <c r="DS268" s="44" t="str">
        <f t="shared" si="3501"/>
        <v/>
      </c>
      <c r="DT268" s="44" t="str">
        <f t="shared" si="3502"/>
        <v/>
      </c>
      <c r="DU268" s="44" t="str">
        <f t="shared" si="3503"/>
        <v/>
      </c>
      <c r="DV268" s="44" t="str">
        <f t="shared" si="3504"/>
        <v/>
      </c>
      <c r="DW268" s="44" t="str">
        <f t="shared" si="3505"/>
        <v/>
      </c>
      <c r="DX268" s="44" t="str">
        <f t="shared" si="3506"/>
        <v/>
      </c>
      <c r="DY268" s="44" t="str">
        <f t="shared" si="3507"/>
        <v/>
      </c>
      <c r="DZ268" s="44" t="str">
        <f t="shared" si="3508"/>
        <v/>
      </c>
      <c r="EA268" s="44" t="str">
        <f t="shared" si="3509"/>
        <v/>
      </c>
      <c r="EB268" s="44" t="str">
        <f t="shared" si="3510"/>
        <v/>
      </c>
      <c r="EC268" s="44" t="str">
        <f t="shared" si="3511"/>
        <v/>
      </c>
      <c r="ED268" s="44" t="str">
        <f t="shared" si="3512"/>
        <v/>
      </c>
      <c r="EE268" s="44" t="str">
        <f t="shared" si="3513"/>
        <v/>
      </c>
      <c r="EF268" s="44" t="str">
        <f t="shared" si="3514"/>
        <v/>
      </c>
      <c r="EG268" s="44" t="str">
        <f t="shared" si="3515"/>
        <v/>
      </c>
      <c r="EH268" s="44" t="str">
        <f t="shared" si="3516"/>
        <v/>
      </c>
      <c r="EI268" s="44" t="str">
        <f t="shared" si="3517"/>
        <v/>
      </c>
      <c r="EJ268" s="44" t="str">
        <f t="shared" si="3518"/>
        <v/>
      </c>
      <c r="EK268" s="44" t="str">
        <f t="shared" si="3519"/>
        <v/>
      </c>
      <c r="EL268" s="44" t="str">
        <f t="shared" si="3520"/>
        <v/>
      </c>
      <c r="EM268" s="44" t="str">
        <f t="shared" si="3521"/>
        <v/>
      </c>
      <c r="EN268" s="44" t="str">
        <f t="shared" si="3522"/>
        <v/>
      </c>
      <c r="EO268" s="44" t="str">
        <f t="shared" si="3523"/>
        <v/>
      </c>
      <c r="EP268" s="44" t="str">
        <f t="shared" si="3524"/>
        <v/>
      </c>
      <c r="EQ268" s="44" t="str">
        <f t="shared" si="3525"/>
        <v/>
      </c>
      <c r="ER268" s="44" t="str">
        <f t="shared" si="3526"/>
        <v/>
      </c>
      <c r="ES268" s="44" t="str">
        <f t="shared" si="3527"/>
        <v/>
      </c>
      <c r="ET268" s="44" t="str">
        <f t="shared" si="3528"/>
        <v/>
      </c>
      <c r="EU268" s="44" t="str">
        <f t="shared" si="3529"/>
        <v/>
      </c>
      <c r="EV268" s="44" t="str">
        <f t="shared" si="3530"/>
        <v/>
      </c>
      <c r="EW268" s="44" t="str">
        <f t="shared" si="3531"/>
        <v/>
      </c>
      <c r="EX268" s="44" t="str">
        <f t="shared" si="3532"/>
        <v/>
      </c>
      <c r="EY268" s="44" t="str">
        <f t="shared" si="3533"/>
        <v/>
      </c>
      <c r="EZ268" s="44" t="str">
        <f t="shared" si="3534"/>
        <v/>
      </c>
      <c r="FA268" s="44" t="str">
        <f t="shared" si="3535"/>
        <v/>
      </c>
      <c r="FB268" s="44" t="str">
        <f t="shared" si="3536"/>
        <v/>
      </c>
      <c r="FC268" s="44" t="str">
        <f t="shared" si="3537"/>
        <v/>
      </c>
      <c r="FD268" s="44" t="str">
        <f t="shared" si="3538"/>
        <v/>
      </c>
      <c r="FE268" s="44" t="str">
        <f t="shared" si="3539"/>
        <v/>
      </c>
      <c r="FF268" s="44" t="str">
        <f t="shared" si="3540"/>
        <v/>
      </c>
      <c r="FG268" s="44" t="str">
        <f t="shared" si="3541"/>
        <v/>
      </c>
      <c r="FH268" s="44" t="str">
        <f t="shared" si="3542"/>
        <v/>
      </c>
      <c r="FI268" s="44" t="str">
        <f t="shared" si="3543"/>
        <v/>
      </c>
      <c r="FJ268" s="44" t="str">
        <f t="shared" si="3544"/>
        <v/>
      </c>
      <c r="FK268" s="44" t="str">
        <f t="shared" si="3545"/>
        <v/>
      </c>
      <c r="FL268" s="44" t="str">
        <f t="shared" si="3546"/>
        <v/>
      </c>
      <c r="FM268" s="44" t="str">
        <f t="shared" si="3547"/>
        <v/>
      </c>
      <c r="FN268" s="44" t="str">
        <f t="shared" si="3548"/>
        <v/>
      </c>
      <c r="FO268" s="44" t="str">
        <f t="shared" si="3549"/>
        <v/>
      </c>
      <c r="FP268" s="44" t="str">
        <f t="shared" si="3550"/>
        <v/>
      </c>
      <c r="FQ268" s="44" t="str">
        <f t="shared" si="3551"/>
        <v/>
      </c>
      <c r="FR268" s="44" t="str">
        <f t="shared" si="3552"/>
        <v/>
      </c>
      <c r="FS268" s="44" t="str">
        <f t="shared" si="3553"/>
        <v/>
      </c>
    </row>
    <row r="269" spans="1:175" ht="16.5">
      <c r="A269" s="11"/>
      <c r="B269" s="12"/>
      <c r="C269" s="11"/>
      <c r="E269" s="116"/>
      <c r="T269" s="117"/>
      <c r="U269" s="56"/>
      <c r="CU269" s="68" t="str">
        <f t="shared" si="3483"/>
        <v>|n</v>
      </c>
      <c r="CW269" s="7"/>
      <c r="CX269" s="7"/>
      <c r="CY269" s="7"/>
      <c r="CZ269" s="7"/>
      <c r="DA269" s="7"/>
      <c r="DB269" s="44" t="str">
        <f t="shared" si="3484"/>
        <v/>
      </c>
      <c r="DC269" s="44" t="str">
        <f t="shared" si="3485"/>
        <v/>
      </c>
      <c r="DD269" s="44" t="str">
        <f t="shared" si="3486"/>
        <v/>
      </c>
      <c r="DE269" s="44" t="str">
        <f t="shared" si="3487"/>
        <v/>
      </c>
      <c r="DF269" s="44" t="str">
        <f t="shared" si="3488"/>
        <v/>
      </c>
      <c r="DG269" s="44" t="str">
        <f t="shared" si="3489"/>
        <v/>
      </c>
      <c r="DH269" s="44" t="str">
        <f t="shared" si="3490"/>
        <v/>
      </c>
      <c r="DI269" s="44" t="str">
        <f t="shared" si="3491"/>
        <v/>
      </c>
      <c r="DJ269" s="44" t="str">
        <f t="shared" si="3492"/>
        <v/>
      </c>
      <c r="DK269" s="44" t="str">
        <f t="shared" si="3493"/>
        <v/>
      </c>
      <c r="DL269" s="44" t="str">
        <f t="shared" si="3494"/>
        <v/>
      </c>
      <c r="DM269" s="44" t="str">
        <f t="shared" si="3495"/>
        <v/>
      </c>
      <c r="DN269" s="44" t="str">
        <f t="shared" si="3496"/>
        <v/>
      </c>
      <c r="DO269" s="44" t="str">
        <f t="shared" si="3497"/>
        <v/>
      </c>
      <c r="DP269" s="44" t="str">
        <f t="shared" si="3498"/>
        <v/>
      </c>
      <c r="DQ269" s="44" t="str">
        <f t="shared" si="3499"/>
        <v/>
      </c>
      <c r="DR269" s="44" t="str">
        <f t="shared" si="3500"/>
        <v/>
      </c>
      <c r="DS269" s="44" t="str">
        <f t="shared" si="3501"/>
        <v/>
      </c>
      <c r="DT269" s="44" t="str">
        <f t="shared" si="3502"/>
        <v/>
      </c>
      <c r="DU269" s="44" t="str">
        <f t="shared" si="3503"/>
        <v/>
      </c>
      <c r="DV269" s="44" t="str">
        <f t="shared" si="3504"/>
        <v/>
      </c>
      <c r="DW269" s="44" t="str">
        <f t="shared" si="3505"/>
        <v/>
      </c>
      <c r="DX269" s="44" t="str">
        <f t="shared" si="3506"/>
        <v/>
      </c>
      <c r="DY269" s="44" t="str">
        <f t="shared" si="3507"/>
        <v/>
      </c>
      <c r="DZ269" s="44" t="str">
        <f t="shared" si="3508"/>
        <v/>
      </c>
      <c r="EA269" s="44" t="str">
        <f t="shared" si="3509"/>
        <v/>
      </c>
      <c r="EB269" s="44" t="str">
        <f t="shared" si="3510"/>
        <v/>
      </c>
      <c r="EC269" s="44" t="str">
        <f t="shared" si="3511"/>
        <v/>
      </c>
      <c r="ED269" s="44" t="str">
        <f t="shared" si="3512"/>
        <v/>
      </c>
      <c r="EE269" s="44" t="str">
        <f t="shared" si="3513"/>
        <v/>
      </c>
      <c r="EF269" s="44" t="str">
        <f t="shared" si="3514"/>
        <v/>
      </c>
      <c r="EG269" s="44" t="str">
        <f t="shared" si="3515"/>
        <v/>
      </c>
      <c r="EH269" s="44" t="str">
        <f t="shared" si="3516"/>
        <v/>
      </c>
      <c r="EI269" s="44" t="str">
        <f t="shared" si="3517"/>
        <v/>
      </c>
      <c r="EJ269" s="44" t="str">
        <f t="shared" si="3518"/>
        <v/>
      </c>
      <c r="EK269" s="44" t="str">
        <f t="shared" si="3519"/>
        <v/>
      </c>
      <c r="EL269" s="44" t="str">
        <f t="shared" si="3520"/>
        <v/>
      </c>
      <c r="EM269" s="44" t="str">
        <f t="shared" si="3521"/>
        <v/>
      </c>
      <c r="EN269" s="44" t="str">
        <f t="shared" si="3522"/>
        <v/>
      </c>
      <c r="EO269" s="44" t="str">
        <f t="shared" si="3523"/>
        <v/>
      </c>
      <c r="EP269" s="44" t="str">
        <f t="shared" si="3524"/>
        <v/>
      </c>
      <c r="EQ269" s="44" t="str">
        <f t="shared" si="3525"/>
        <v/>
      </c>
      <c r="ER269" s="44" t="str">
        <f t="shared" si="3526"/>
        <v/>
      </c>
      <c r="ES269" s="44" t="str">
        <f t="shared" si="3527"/>
        <v/>
      </c>
      <c r="ET269" s="44" t="str">
        <f t="shared" si="3528"/>
        <v/>
      </c>
      <c r="EU269" s="44" t="str">
        <f t="shared" si="3529"/>
        <v/>
      </c>
      <c r="EV269" s="44" t="str">
        <f t="shared" si="3530"/>
        <v/>
      </c>
      <c r="EW269" s="44" t="str">
        <f t="shared" si="3531"/>
        <v/>
      </c>
      <c r="EX269" s="44" t="str">
        <f t="shared" si="3532"/>
        <v/>
      </c>
      <c r="EY269" s="44" t="str">
        <f t="shared" si="3533"/>
        <v/>
      </c>
      <c r="EZ269" s="44" t="str">
        <f t="shared" si="3534"/>
        <v/>
      </c>
      <c r="FA269" s="44" t="str">
        <f t="shared" si="3535"/>
        <v/>
      </c>
      <c r="FB269" s="44" t="str">
        <f t="shared" si="3536"/>
        <v/>
      </c>
      <c r="FC269" s="44" t="str">
        <f t="shared" si="3537"/>
        <v/>
      </c>
      <c r="FD269" s="44" t="str">
        <f t="shared" si="3538"/>
        <v/>
      </c>
      <c r="FE269" s="44" t="str">
        <f t="shared" si="3539"/>
        <v/>
      </c>
      <c r="FF269" s="44" t="str">
        <f t="shared" si="3540"/>
        <v/>
      </c>
      <c r="FG269" s="44" t="str">
        <f t="shared" si="3541"/>
        <v/>
      </c>
      <c r="FH269" s="44" t="str">
        <f t="shared" si="3542"/>
        <v/>
      </c>
      <c r="FI269" s="44" t="str">
        <f t="shared" si="3543"/>
        <v/>
      </c>
      <c r="FJ269" s="44" t="str">
        <f t="shared" si="3544"/>
        <v/>
      </c>
      <c r="FK269" s="44" t="str">
        <f t="shared" si="3545"/>
        <v/>
      </c>
      <c r="FL269" s="44" t="str">
        <f t="shared" si="3546"/>
        <v/>
      </c>
      <c r="FM269" s="44" t="str">
        <f t="shared" si="3547"/>
        <v/>
      </c>
      <c r="FN269" s="44" t="str">
        <f t="shared" si="3548"/>
        <v/>
      </c>
      <c r="FO269" s="44" t="str">
        <f t="shared" si="3549"/>
        <v/>
      </c>
      <c r="FP269" s="44" t="str">
        <f t="shared" si="3550"/>
        <v/>
      </c>
      <c r="FQ269" s="44" t="str">
        <f t="shared" si="3551"/>
        <v/>
      </c>
      <c r="FR269" s="44" t="str">
        <f t="shared" si="3552"/>
        <v/>
      </c>
      <c r="FS269" s="44" t="str">
        <f t="shared" si="3553"/>
        <v/>
      </c>
    </row>
    <row r="270" spans="1:175" ht="16.5">
      <c r="A270" s="11"/>
      <c r="B270" s="12"/>
      <c r="C270" s="11"/>
      <c r="E270" s="116"/>
      <c r="T270" s="117"/>
      <c r="U270" s="56"/>
      <c r="CU270" s="68" t="str">
        <f t="shared" si="3483"/>
        <v>|n</v>
      </c>
      <c r="CW270" s="7"/>
      <c r="CX270" s="7"/>
      <c r="CY270" s="7"/>
      <c r="CZ270" s="7"/>
      <c r="DA270" s="7"/>
      <c r="DB270" s="44" t="str">
        <f t="shared" si="3484"/>
        <v/>
      </c>
      <c r="DC270" s="44" t="str">
        <f t="shared" si="3485"/>
        <v/>
      </c>
      <c r="DD270" s="44" t="str">
        <f t="shared" si="3486"/>
        <v/>
      </c>
      <c r="DE270" s="44" t="str">
        <f t="shared" si="3487"/>
        <v/>
      </c>
      <c r="DF270" s="44" t="str">
        <f t="shared" si="3488"/>
        <v/>
      </c>
      <c r="DG270" s="44" t="str">
        <f t="shared" si="3489"/>
        <v/>
      </c>
      <c r="DH270" s="44" t="str">
        <f t="shared" si="3490"/>
        <v/>
      </c>
      <c r="DI270" s="44" t="str">
        <f t="shared" si="3491"/>
        <v/>
      </c>
      <c r="DJ270" s="44" t="str">
        <f t="shared" si="3492"/>
        <v/>
      </c>
      <c r="DK270" s="44" t="str">
        <f t="shared" si="3493"/>
        <v/>
      </c>
      <c r="DL270" s="44" t="str">
        <f t="shared" si="3494"/>
        <v/>
      </c>
      <c r="DM270" s="44" t="str">
        <f t="shared" si="3495"/>
        <v/>
      </c>
      <c r="DN270" s="44" t="str">
        <f t="shared" si="3496"/>
        <v/>
      </c>
      <c r="DO270" s="44" t="str">
        <f t="shared" si="3497"/>
        <v/>
      </c>
      <c r="DP270" s="44" t="str">
        <f t="shared" si="3498"/>
        <v/>
      </c>
      <c r="DQ270" s="44" t="str">
        <f t="shared" si="3499"/>
        <v/>
      </c>
      <c r="DR270" s="44" t="str">
        <f t="shared" si="3500"/>
        <v/>
      </c>
      <c r="DS270" s="44" t="str">
        <f t="shared" si="3501"/>
        <v/>
      </c>
      <c r="DT270" s="44" t="str">
        <f t="shared" si="3502"/>
        <v/>
      </c>
      <c r="DU270" s="44" t="str">
        <f t="shared" si="3503"/>
        <v/>
      </c>
      <c r="DV270" s="44" t="str">
        <f t="shared" si="3504"/>
        <v/>
      </c>
      <c r="DW270" s="44" t="str">
        <f t="shared" si="3505"/>
        <v/>
      </c>
      <c r="DX270" s="44" t="str">
        <f t="shared" si="3506"/>
        <v/>
      </c>
      <c r="DY270" s="44" t="str">
        <f t="shared" si="3507"/>
        <v/>
      </c>
      <c r="DZ270" s="44" t="str">
        <f t="shared" si="3508"/>
        <v/>
      </c>
      <c r="EA270" s="44" t="str">
        <f t="shared" si="3509"/>
        <v/>
      </c>
      <c r="EB270" s="44" t="str">
        <f t="shared" si="3510"/>
        <v/>
      </c>
      <c r="EC270" s="44" t="str">
        <f t="shared" si="3511"/>
        <v/>
      </c>
      <c r="ED270" s="44" t="str">
        <f t="shared" si="3512"/>
        <v/>
      </c>
      <c r="EE270" s="44" t="str">
        <f t="shared" si="3513"/>
        <v/>
      </c>
      <c r="EF270" s="44" t="str">
        <f t="shared" si="3514"/>
        <v/>
      </c>
      <c r="EG270" s="44" t="str">
        <f t="shared" si="3515"/>
        <v/>
      </c>
      <c r="EH270" s="44" t="str">
        <f t="shared" si="3516"/>
        <v/>
      </c>
      <c r="EI270" s="44" t="str">
        <f t="shared" si="3517"/>
        <v/>
      </c>
      <c r="EJ270" s="44" t="str">
        <f t="shared" si="3518"/>
        <v/>
      </c>
      <c r="EK270" s="44" t="str">
        <f t="shared" si="3519"/>
        <v/>
      </c>
      <c r="EL270" s="44" t="str">
        <f t="shared" si="3520"/>
        <v/>
      </c>
      <c r="EM270" s="44" t="str">
        <f t="shared" si="3521"/>
        <v/>
      </c>
      <c r="EN270" s="44" t="str">
        <f t="shared" si="3522"/>
        <v/>
      </c>
      <c r="EO270" s="44" t="str">
        <f t="shared" si="3523"/>
        <v/>
      </c>
      <c r="EP270" s="44" t="str">
        <f t="shared" si="3524"/>
        <v/>
      </c>
      <c r="EQ270" s="44" t="str">
        <f t="shared" si="3525"/>
        <v/>
      </c>
      <c r="ER270" s="44" t="str">
        <f t="shared" si="3526"/>
        <v/>
      </c>
      <c r="ES270" s="44" t="str">
        <f t="shared" si="3527"/>
        <v/>
      </c>
      <c r="ET270" s="44" t="str">
        <f t="shared" si="3528"/>
        <v/>
      </c>
      <c r="EU270" s="44" t="str">
        <f t="shared" si="3529"/>
        <v/>
      </c>
      <c r="EV270" s="44" t="str">
        <f t="shared" si="3530"/>
        <v/>
      </c>
      <c r="EW270" s="44" t="str">
        <f t="shared" si="3531"/>
        <v/>
      </c>
      <c r="EX270" s="44" t="str">
        <f t="shared" si="3532"/>
        <v/>
      </c>
      <c r="EY270" s="44" t="str">
        <f t="shared" si="3533"/>
        <v/>
      </c>
      <c r="EZ270" s="44" t="str">
        <f t="shared" si="3534"/>
        <v/>
      </c>
      <c r="FA270" s="44" t="str">
        <f t="shared" si="3535"/>
        <v/>
      </c>
      <c r="FB270" s="44" t="str">
        <f t="shared" si="3536"/>
        <v/>
      </c>
      <c r="FC270" s="44" t="str">
        <f t="shared" si="3537"/>
        <v/>
      </c>
      <c r="FD270" s="44" t="str">
        <f t="shared" si="3538"/>
        <v/>
      </c>
      <c r="FE270" s="44" t="str">
        <f t="shared" si="3539"/>
        <v/>
      </c>
      <c r="FF270" s="44" t="str">
        <f t="shared" si="3540"/>
        <v/>
      </c>
      <c r="FG270" s="44" t="str">
        <f t="shared" si="3541"/>
        <v/>
      </c>
      <c r="FH270" s="44" t="str">
        <f t="shared" si="3542"/>
        <v/>
      </c>
      <c r="FI270" s="44" t="str">
        <f t="shared" si="3543"/>
        <v/>
      </c>
      <c r="FJ270" s="44" t="str">
        <f t="shared" si="3544"/>
        <v/>
      </c>
      <c r="FK270" s="44" t="str">
        <f t="shared" si="3545"/>
        <v/>
      </c>
      <c r="FL270" s="44" t="str">
        <f t="shared" si="3546"/>
        <v/>
      </c>
      <c r="FM270" s="44" t="str">
        <f t="shared" si="3547"/>
        <v/>
      </c>
      <c r="FN270" s="44" t="str">
        <f t="shared" si="3548"/>
        <v/>
      </c>
      <c r="FO270" s="44" t="str">
        <f t="shared" si="3549"/>
        <v/>
      </c>
      <c r="FP270" s="44" t="str">
        <f t="shared" si="3550"/>
        <v/>
      </c>
      <c r="FQ270" s="44" t="str">
        <f t="shared" si="3551"/>
        <v/>
      </c>
      <c r="FR270" s="44" t="str">
        <f t="shared" si="3552"/>
        <v/>
      </c>
      <c r="FS270" s="44" t="str">
        <f t="shared" si="3553"/>
        <v/>
      </c>
    </row>
    <row r="271" spans="1:175" ht="16.5">
      <c r="A271" s="11"/>
      <c r="B271" s="12"/>
      <c r="C271" s="11"/>
      <c r="E271" s="116"/>
      <c r="T271" s="117"/>
      <c r="U271" s="56"/>
      <c r="CU271" s="68" t="str">
        <f t="shared" si="3483"/>
        <v>|n</v>
      </c>
      <c r="CW271" s="7"/>
      <c r="CX271" s="7"/>
      <c r="CY271" s="7"/>
      <c r="CZ271" s="7"/>
      <c r="DA271" s="7"/>
      <c r="DB271" s="44" t="str">
        <f t="shared" si="3484"/>
        <v/>
      </c>
      <c r="DC271" s="44" t="str">
        <f t="shared" si="3485"/>
        <v/>
      </c>
      <c r="DD271" s="44" t="str">
        <f t="shared" si="3486"/>
        <v/>
      </c>
      <c r="DE271" s="44" t="str">
        <f t="shared" si="3487"/>
        <v/>
      </c>
      <c r="DF271" s="44" t="str">
        <f t="shared" si="3488"/>
        <v/>
      </c>
      <c r="DG271" s="44" t="str">
        <f t="shared" si="3489"/>
        <v/>
      </c>
      <c r="DH271" s="44" t="str">
        <f t="shared" si="3490"/>
        <v/>
      </c>
      <c r="DI271" s="44" t="str">
        <f t="shared" si="3491"/>
        <v/>
      </c>
      <c r="DJ271" s="44" t="str">
        <f t="shared" si="3492"/>
        <v/>
      </c>
      <c r="DK271" s="44" t="str">
        <f t="shared" si="3493"/>
        <v/>
      </c>
      <c r="DL271" s="44" t="str">
        <f t="shared" si="3494"/>
        <v/>
      </c>
      <c r="DM271" s="44" t="str">
        <f t="shared" si="3495"/>
        <v/>
      </c>
      <c r="DN271" s="44" t="str">
        <f t="shared" si="3496"/>
        <v/>
      </c>
      <c r="DO271" s="44" t="str">
        <f t="shared" si="3497"/>
        <v/>
      </c>
      <c r="DP271" s="44" t="str">
        <f t="shared" si="3498"/>
        <v/>
      </c>
      <c r="DQ271" s="44" t="str">
        <f t="shared" si="3499"/>
        <v/>
      </c>
      <c r="DR271" s="44" t="str">
        <f t="shared" si="3500"/>
        <v/>
      </c>
      <c r="DS271" s="44" t="str">
        <f t="shared" si="3501"/>
        <v/>
      </c>
      <c r="DT271" s="44" t="str">
        <f t="shared" si="3502"/>
        <v/>
      </c>
      <c r="DU271" s="44" t="str">
        <f t="shared" si="3503"/>
        <v/>
      </c>
      <c r="DV271" s="44" t="str">
        <f t="shared" si="3504"/>
        <v/>
      </c>
      <c r="DW271" s="44" t="str">
        <f t="shared" si="3505"/>
        <v/>
      </c>
      <c r="DX271" s="44" t="str">
        <f t="shared" si="3506"/>
        <v/>
      </c>
      <c r="DY271" s="44" t="str">
        <f t="shared" si="3507"/>
        <v/>
      </c>
      <c r="DZ271" s="44" t="str">
        <f t="shared" si="3508"/>
        <v/>
      </c>
      <c r="EA271" s="44" t="str">
        <f t="shared" si="3509"/>
        <v/>
      </c>
      <c r="EB271" s="44" t="str">
        <f t="shared" si="3510"/>
        <v/>
      </c>
      <c r="EC271" s="44" t="str">
        <f t="shared" si="3511"/>
        <v/>
      </c>
      <c r="ED271" s="44" t="str">
        <f t="shared" si="3512"/>
        <v/>
      </c>
      <c r="EE271" s="44" t="str">
        <f t="shared" si="3513"/>
        <v/>
      </c>
      <c r="EF271" s="44" t="str">
        <f t="shared" si="3514"/>
        <v/>
      </c>
      <c r="EG271" s="44" t="str">
        <f t="shared" si="3515"/>
        <v/>
      </c>
      <c r="EH271" s="44" t="str">
        <f t="shared" si="3516"/>
        <v/>
      </c>
      <c r="EI271" s="44" t="str">
        <f t="shared" si="3517"/>
        <v/>
      </c>
      <c r="EJ271" s="44" t="str">
        <f t="shared" si="3518"/>
        <v/>
      </c>
      <c r="EK271" s="44" t="str">
        <f t="shared" si="3519"/>
        <v/>
      </c>
      <c r="EL271" s="44" t="str">
        <f t="shared" si="3520"/>
        <v/>
      </c>
      <c r="EM271" s="44" t="str">
        <f t="shared" si="3521"/>
        <v/>
      </c>
      <c r="EN271" s="44" t="str">
        <f t="shared" si="3522"/>
        <v/>
      </c>
      <c r="EO271" s="44" t="str">
        <f t="shared" si="3523"/>
        <v/>
      </c>
      <c r="EP271" s="44" t="str">
        <f t="shared" si="3524"/>
        <v/>
      </c>
      <c r="EQ271" s="44" t="str">
        <f t="shared" si="3525"/>
        <v/>
      </c>
      <c r="ER271" s="44" t="str">
        <f t="shared" si="3526"/>
        <v/>
      </c>
      <c r="ES271" s="44" t="str">
        <f t="shared" si="3527"/>
        <v/>
      </c>
      <c r="ET271" s="44" t="str">
        <f t="shared" si="3528"/>
        <v/>
      </c>
      <c r="EU271" s="44" t="str">
        <f t="shared" si="3529"/>
        <v/>
      </c>
      <c r="EV271" s="44" t="str">
        <f t="shared" si="3530"/>
        <v/>
      </c>
      <c r="EW271" s="44" t="str">
        <f t="shared" si="3531"/>
        <v/>
      </c>
      <c r="EX271" s="44" t="str">
        <f t="shared" si="3532"/>
        <v/>
      </c>
      <c r="EY271" s="44" t="str">
        <f t="shared" si="3533"/>
        <v/>
      </c>
      <c r="EZ271" s="44" t="str">
        <f t="shared" si="3534"/>
        <v/>
      </c>
      <c r="FA271" s="44" t="str">
        <f t="shared" si="3535"/>
        <v/>
      </c>
      <c r="FB271" s="44" t="str">
        <f t="shared" si="3536"/>
        <v/>
      </c>
      <c r="FC271" s="44" t="str">
        <f t="shared" si="3537"/>
        <v/>
      </c>
      <c r="FD271" s="44" t="str">
        <f t="shared" si="3538"/>
        <v/>
      </c>
      <c r="FE271" s="44" t="str">
        <f t="shared" si="3539"/>
        <v/>
      </c>
      <c r="FF271" s="44" t="str">
        <f t="shared" si="3540"/>
        <v/>
      </c>
      <c r="FG271" s="44" t="str">
        <f t="shared" si="3541"/>
        <v/>
      </c>
      <c r="FH271" s="44" t="str">
        <f t="shared" si="3542"/>
        <v/>
      </c>
      <c r="FI271" s="44" t="str">
        <f t="shared" si="3543"/>
        <v/>
      </c>
      <c r="FJ271" s="44" t="str">
        <f t="shared" si="3544"/>
        <v/>
      </c>
      <c r="FK271" s="44" t="str">
        <f t="shared" si="3545"/>
        <v/>
      </c>
      <c r="FL271" s="44" t="str">
        <f t="shared" si="3546"/>
        <v/>
      </c>
      <c r="FM271" s="44" t="str">
        <f t="shared" si="3547"/>
        <v/>
      </c>
      <c r="FN271" s="44" t="str">
        <f t="shared" si="3548"/>
        <v/>
      </c>
      <c r="FO271" s="44" t="str">
        <f t="shared" si="3549"/>
        <v/>
      </c>
      <c r="FP271" s="44" t="str">
        <f t="shared" si="3550"/>
        <v/>
      </c>
      <c r="FQ271" s="44" t="str">
        <f t="shared" si="3551"/>
        <v/>
      </c>
      <c r="FR271" s="44" t="str">
        <f t="shared" si="3552"/>
        <v/>
      </c>
      <c r="FS271" s="44" t="str">
        <f t="shared" si="3553"/>
        <v/>
      </c>
    </row>
    <row r="272" spans="1:175" ht="16.5">
      <c r="A272" s="11"/>
      <c r="B272" s="12"/>
      <c r="C272" s="11"/>
      <c r="E272" s="116"/>
      <c r="T272" s="117"/>
      <c r="U272" s="56"/>
      <c r="CU272" s="68" t="str">
        <f t="shared" si="3483"/>
        <v>|n</v>
      </c>
      <c r="CW272" s="7"/>
      <c r="CX272" s="7"/>
      <c r="CY272" s="7"/>
      <c r="CZ272" s="7"/>
      <c r="DA272" s="7"/>
      <c r="DB272" s="44" t="str">
        <f t="shared" si="3484"/>
        <v/>
      </c>
      <c r="DC272" s="44" t="str">
        <f t="shared" si="3485"/>
        <v/>
      </c>
      <c r="DD272" s="44" t="str">
        <f t="shared" si="3486"/>
        <v/>
      </c>
      <c r="DE272" s="44" t="str">
        <f t="shared" si="3487"/>
        <v/>
      </c>
      <c r="DF272" s="44" t="str">
        <f t="shared" si="3488"/>
        <v/>
      </c>
      <c r="DG272" s="44" t="str">
        <f t="shared" si="3489"/>
        <v/>
      </c>
      <c r="DH272" s="44" t="str">
        <f t="shared" si="3490"/>
        <v/>
      </c>
      <c r="DI272" s="44" t="str">
        <f t="shared" si="3491"/>
        <v/>
      </c>
      <c r="DJ272" s="44" t="str">
        <f t="shared" si="3492"/>
        <v/>
      </c>
      <c r="DK272" s="44" t="str">
        <f t="shared" si="3493"/>
        <v/>
      </c>
      <c r="DL272" s="44" t="str">
        <f t="shared" si="3494"/>
        <v/>
      </c>
      <c r="DM272" s="44" t="str">
        <f t="shared" si="3495"/>
        <v/>
      </c>
      <c r="DN272" s="44" t="str">
        <f t="shared" si="3496"/>
        <v/>
      </c>
      <c r="DO272" s="44" t="str">
        <f t="shared" si="3497"/>
        <v/>
      </c>
      <c r="DP272" s="44" t="str">
        <f t="shared" si="3498"/>
        <v/>
      </c>
      <c r="DQ272" s="44" t="str">
        <f t="shared" si="3499"/>
        <v/>
      </c>
      <c r="DR272" s="44" t="str">
        <f t="shared" si="3500"/>
        <v/>
      </c>
      <c r="DS272" s="44" t="str">
        <f t="shared" si="3501"/>
        <v/>
      </c>
      <c r="DT272" s="44" t="str">
        <f t="shared" si="3502"/>
        <v/>
      </c>
      <c r="DU272" s="44" t="str">
        <f t="shared" si="3503"/>
        <v/>
      </c>
      <c r="DV272" s="44" t="str">
        <f t="shared" si="3504"/>
        <v/>
      </c>
      <c r="DW272" s="44" t="str">
        <f t="shared" si="3505"/>
        <v/>
      </c>
      <c r="DX272" s="44" t="str">
        <f t="shared" si="3506"/>
        <v/>
      </c>
      <c r="DY272" s="44" t="str">
        <f t="shared" si="3507"/>
        <v/>
      </c>
      <c r="DZ272" s="44" t="str">
        <f t="shared" si="3508"/>
        <v/>
      </c>
      <c r="EA272" s="44" t="str">
        <f t="shared" si="3509"/>
        <v/>
      </c>
      <c r="EB272" s="44" t="str">
        <f t="shared" si="3510"/>
        <v/>
      </c>
      <c r="EC272" s="44" t="str">
        <f t="shared" si="3511"/>
        <v/>
      </c>
      <c r="ED272" s="44" t="str">
        <f t="shared" si="3512"/>
        <v/>
      </c>
      <c r="EE272" s="44" t="str">
        <f t="shared" si="3513"/>
        <v/>
      </c>
      <c r="EF272" s="44" t="str">
        <f t="shared" si="3514"/>
        <v/>
      </c>
      <c r="EG272" s="44" t="str">
        <f t="shared" si="3515"/>
        <v/>
      </c>
      <c r="EH272" s="44" t="str">
        <f t="shared" si="3516"/>
        <v/>
      </c>
      <c r="EI272" s="44" t="str">
        <f t="shared" si="3517"/>
        <v/>
      </c>
      <c r="EJ272" s="44" t="str">
        <f t="shared" si="3518"/>
        <v/>
      </c>
      <c r="EK272" s="44" t="str">
        <f t="shared" si="3519"/>
        <v/>
      </c>
      <c r="EL272" s="44" t="str">
        <f t="shared" si="3520"/>
        <v/>
      </c>
      <c r="EM272" s="44" t="str">
        <f t="shared" si="3521"/>
        <v/>
      </c>
      <c r="EN272" s="44" t="str">
        <f t="shared" si="3522"/>
        <v/>
      </c>
      <c r="EO272" s="44" t="str">
        <f t="shared" si="3523"/>
        <v/>
      </c>
      <c r="EP272" s="44" t="str">
        <f t="shared" si="3524"/>
        <v/>
      </c>
      <c r="EQ272" s="44" t="str">
        <f t="shared" si="3525"/>
        <v/>
      </c>
      <c r="ER272" s="44" t="str">
        <f t="shared" si="3526"/>
        <v/>
      </c>
      <c r="ES272" s="44" t="str">
        <f t="shared" si="3527"/>
        <v/>
      </c>
      <c r="ET272" s="44" t="str">
        <f t="shared" si="3528"/>
        <v/>
      </c>
      <c r="EU272" s="44" t="str">
        <f t="shared" si="3529"/>
        <v/>
      </c>
      <c r="EV272" s="44" t="str">
        <f t="shared" si="3530"/>
        <v/>
      </c>
      <c r="EW272" s="44" t="str">
        <f t="shared" si="3531"/>
        <v/>
      </c>
      <c r="EX272" s="44" t="str">
        <f t="shared" si="3532"/>
        <v/>
      </c>
      <c r="EY272" s="44" t="str">
        <f t="shared" si="3533"/>
        <v/>
      </c>
      <c r="EZ272" s="44" t="str">
        <f t="shared" si="3534"/>
        <v/>
      </c>
      <c r="FA272" s="44" t="str">
        <f t="shared" si="3535"/>
        <v/>
      </c>
      <c r="FB272" s="44" t="str">
        <f t="shared" si="3536"/>
        <v/>
      </c>
      <c r="FC272" s="44" t="str">
        <f t="shared" si="3537"/>
        <v/>
      </c>
      <c r="FD272" s="44" t="str">
        <f t="shared" si="3538"/>
        <v/>
      </c>
      <c r="FE272" s="44" t="str">
        <f t="shared" si="3539"/>
        <v/>
      </c>
      <c r="FF272" s="44" t="str">
        <f t="shared" si="3540"/>
        <v/>
      </c>
      <c r="FG272" s="44" t="str">
        <f t="shared" si="3541"/>
        <v/>
      </c>
      <c r="FH272" s="44" t="str">
        <f t="shared" si="3542"/>
        <v/>
      </c>
      <c r="FI272" s="44" t="str">
        <f t="shared" si="3543"/>
        <v/>
      </c>
      <c r="FJ272" s="44" t="str">
        <f t="shared" si="3544"/>
        <v/>
      </c>
      <c r="FK272" s="44" t="str">
        <f t="shared" si="3545"/>
        <v/>
      </c>
      <c r="FL272" s="44" t="str">
        <f t="shared" si="3546"/>
        <v/>
      </c>
      <c r="FM272" s="44" t="str">
        <f t="shared" si="3547"/>
        <v/>
      </c>
      <c r="FN272" s="44" t="str">
        <f t="shared" si="3548"/>
        <v/>
      </c>
      <c r="FO272" s="44" t="str">
        <f t="shared" si="3549"/>
        <v/>
      </c>
      <c r="FP272" s="44" t="str">
        <f t="shared" si="3550"/>
        <v/>
      </c>
      <c r="FQ272" s="44" t="str">
        <f t="shared" si="3551"/>
        <v/>
      </c>
      <c r="FR272" s="44" t="str">
        <f t="shared" si="3552"/>
        <v/>
      </c>
      <c r="FS272" s="44" t="str">
        <f t="shared" si="3553"/>
        <v/>
      </c>
    </row>
    <row r="273" spans="1:175" ht="16.5">
      <c r="A273" s="11"/>
      <c r="B273" s="12"/>
      <c r="C273" s="11"/>
      <c r="E273" s="116"/>
      <c r="T273" s="117"/>
      <c r="U273" s="56"/>
      <c r="CU273" s="68" t="str">
        <f t="shared" si="3483"/>
        <v>|n</v>
      </c>
      <c r="CW273" s="7"/>
      <c r="CX273" s="7"/>
      <c r="CY273" s="7"/>
      <c r="CZ273" s="7"/>
      <c r="DA273" s="7"/>
      <c r="DB273" s="44" t="str">
        <f t="shared" si="3484"/>
        <v/>
      </c>
      <c r="DC273" s="44" t="str">
        <f t="shared" si="3485"/>
        <v/>
      </c>
      <c r="DD273" s="44" t="str">
        <f t="shared" si="3486"/>
        <v/>
      </c>
      <c r="DE273" s="44" t="str">
        <f t="shared" si="3487"/>
        <v/>
      </c>
      <c r="DF273" s="44" t="str">
        <f t="shared" si="3488"/>
        <v/>
      </c>
      <c r="DG273" s="44" t="str">
        <f t="shared" si="3489"/>
        <v/>
      </c>
      <c r="DH273" s="44" t="str">
        <f t="shared" si="3490"/>
        <v/>
      </c>
      <c r="DI273" s="44" t="str">
        <f t="shared" si="3491"/>
        <v/>
      </c>
      <c r="DJ273" s="44" t="str">
        <f t="shared" si="3492"/>
        <v/>
      </c>
      <c r="DK273" s="44" t="str">
        <f t="shared" si="3493"/>
        <v/>
      </c>
      <c r="DL273" s="44" t="str">
        <f t="shared" si="3494"/>
        <v/>
      </c>
      <c r="DM273" s="44" t="str">
        <f t="shared" si="3495"/>
        <v/>
      </c>
      <c r="DN273" s="44" t="str">
        <f t="shared" si="3496"/>
        <v/>
      </c>
      <c r="DO273" s="44" t="str">
        <f t="shared" si="3497"/>
        <v/>
      </c>
      <c r="DP273" s="44" t="str">
        <f t="shared" si="3498"/>
        <v/>
      </c>
      <c r="DQ273" s="44" t="str">
        <f t="shared" si="3499"/>
        <v/>
      </c>
      <c r="DR273" s="44" t="str">
        <f t="shared" si="3500"/>
        <v/>
      </c>
      <c r="DS273" s="44" t="str">
        <f t="shared" si="3501"/>
        <v/>
      </c>
      <c r="DT273" s="44" t="str">
        <f t="shared" si="3502"/>
        <v/>
      </c>
      <c r="DU273" s="44" t="str">
        <f t="shared" si="3503"/>
        <v/>
      </c>
      <c r="DV273" s="44" t="str">
        <f t="shared" si="3504"/>
        <v/>
      </c>
      <c r="DW273" s="44" t="str">
        <f t="shared" si="3505"/>
        <v/>
      </c>
      <c r="DX273" s="44" t="str">
        <f t="shared" si="3506"/>
        <v/>
      </c>
      <c r="DY273" s="44" t="str">
        <f t="shared" si="3507"/>
        <v/>
      </c>
      <c r="DZ273" s="44" t="str">
        <f t="shared" si="3508"/>
        <v/>
      </c>
      <c r="EA273" s="44" t="str">
        <f t="shared" si="3509"/>
        <v/>
      </c>
      <c r="EB273" s="44" t="str">
        <f t="shared" si="3510"/>
        <v/>
      </c>
      <c r="EC273" s="44" t="str">
        <f t="shared" si="3511"/>
        <v/>
      </c>
      <c r="ED273" s="44" t="str">
        <f t="shared" si="3512"/>
        <v/>
      </c>
      <c r="EE273" s="44" t="str">
        <f t="shared" si="3513"/>
        <v/>
      </c>
      <c r="EF273" s="44" t="str">
        <f t="shared" si="3514"/>
        <v/>
      </c>
      <c r="EG273" s="44" t="str">
        <f t="shared" si="3515"/>
        <v/>
      </c>
      <c r="EH273" s="44" t="str">
        <f t="shared" si="3516"/>
        <v/>
      </c>
      <c r="EI273" s="44" t="str">
        <f t="shared" si="3517"/>
        <v/>
      </c>
      <c r="EJ273" s="44" t="str">
        <f t="shared" si="3518"/>
        <v/>
      </c>
      <c r="EK273" s="44" t="str">
        <f t="shared" si="3519"/>
        <v/>
      </c>
      <c r="EL273" s="44" t="str">
        <f t="shared" si="3520"/>
        <v/>
      </c>
      <c r="EM273" s="44" t="str">
        <f t="shared" si="3521"/>
        <v/>
      </c>
      <c r="EN273" s="44" t="str">
        <f t="shared" si="3522"/>
        <v/>
      </c>
      <c r="EO273" s="44" t="str">
        <f t="shared" si="3523"/>
        <v/>
      </c>
      <c r="EP273" s="44" t="str">
        <f t="shared" si="3524"/>
        <v/>
      </c>
      <c r="EQ273" s="44" t="str">
        <f t="shared" si="3525"/>
        <v/>
      </c>
      <c r="ER273" s="44" t="str">
        <f t="shared" si="3526"/>
        <v/>
      </c>
      <c r="ES273" s="44" t="str">
        <f t="shared" si="3527"/>
        <v/>
      </c>
      <c r="ET273" s="44" t="str">
        <f t="shared" si="3528"/>
        <v/>
      </c>
      <c r="EU273" s="44" t="str">
        <f t="shared" si="3529"/>
        <v/>
      </c>
      <c r="EV273" s="44" t="str">
        <f t="shared" si="3530"/>
        <v/>
      </c>
      <c r="EW273" s="44" t="str">
        <f t="shared" si="3531"/>
        <v/>
      </c>
      <c r="EX273" s="44" t="str">
        <f t="shared" si="3532"/>
        <v/>
      </c>
      <c r="EY273" s="44" t="str">
        <f t="shared" si="3533"/>
        <v/>
      </c>
      <c r="EZ273" s="44" t="str">
        <f t="shared" si="3534"/>
        <v/>
      </c>
      <c r="FA273" s="44" t="str">
        <f t="shared" si="3535"/>
        <v/>
      </c>
      <c r="FB273" s="44" t="str">
        <f t="shared" si="3536"/>
        <v/>
      </c>
      <c r="FC273" s="44" t="str">
        <f t="shared" si="3537"/>
        <v/>
      </c>
      <c r="FD273" s="44" t="str">
        <f t="shared" si="3538"/>
        <v/>
      </c>
      <c r="FE273" s="44" t="str">
        <f t="shared" si="3539"/>
        <v/>
      </c>
      <c r="FF273" s="44" t="str">
        <f t="shared" si="3540"/>
        <v/>
      </c>
      <c r="FG273" s="44" t="str">
        <f t="shared" si="3541"/>
        <v/>
      </c>
      <c r="FH273" s="44" t="str">
        <f t="shared" si="3542"/>
        <v/>
      </c>
      <c r="FI273" s="44" t="str">
        <f t="shared" si="3543"/>
        <v/>
      </c>
      <c r="FJ273" s="44" t="str">
        <f t="shared" si="3544"/>
        <v/>
      </c>
      <c r="FK273" s="44" t="str">
        <f t="shared" si="3545"/>
        <v/>
      </c>
      <c r="FL273" s="44" t="str">
        <f t="shared" si="3546"/>
        <v/>
      </c>
      <c r="FM273" s="44" t="str">
        <f t="shared" si="3547"/>
        <v/>
      </c>
      <c r="FN273" s="44" t="str">
        <f t="shared" si="3548"/>
        <v/>
      </c>
      <c r="FO273" s="44" t="str">
        <f t="shared" si="3549"/>
        <v/>
      </c>
      <c r="FP273" s="44" t="str">
        <f t="shared" si="3550"/>
        <v/>
      </c>
      <c r="FQ273" s="44" t="str">
        <f t="shared" si="3551"/>
        <v/>
      </c>
      <c r="FR273" s="44" t="str">
        <f t="shared" si="3552"/>
        <v/>
      </c>
      <c r="FS273" s="44" t="str">
        <f t="shared" si="3553"/>
        <v/>
      </c>
    </row>
    <row r="274" spans="1:175" ht="16.5">
      <c r="A274" s="11"/>
      <c r="B274" s="12"/>
      <c r="C274" s="11"/>
      <c r="E274" s="116"/>
      <c r="T274" s="117"/>
      <c r="U274" s="56"/>
      <c r="CU274" s="68" t="str">
        <f t="shared" si="3483"/>
        <v>|n</v>
      </c>
      <c r="CW274" s="7"/>
      <c r="CX274" s="7"/>
      <c r="CY274" s="7"/>
      <c r="CZ274" s="7"/>
      <c r="DA274" s="7"/>
      <c r="DB274" s="44" t="str">
        <f t="shared" si="3484"/>
        <v/>
      </c>
      <c r="DC274" s="44" t="str">
        <f t="shared" si="3485"/>
        <v/>
      </c>
      <c r="DD274" s="44" t="str">
        <f t="shared" si="3486"/>
        <v/>
      </c>
      <c r="DE274" s="44" t="str">
        <f t="shared" si="3487"/>
        <v/>
      </c>
      <c r="DF274" s="44" t="str">
        <f t="shared" si="3488"/>
        <v/>
      </c>
      <c r="DG274" s="44" t="str">
        <f t="shared" si="3489"/>
        <v/>
      </c>
      <c r="DH274" s="44" t="str">
        <f t="shared" si="3490"/>
        <v/>
      </c>
      <c r="DI274" s="44" t="str">
        <f t="shared" si="3491"/>
        <v/>
      </c>
      <c r="DJ274" s="44" t="str">
        <f t="shared" si="3492"/>
        <v/>
      </c>
      <c r="DK274" s="44" t="str">
        <f t="shared" si="3493"/>
        <v/>
      </c>
      <c r="DL274" s="44" t="str">
        <f t="shared" si="3494"/>
        <v/>
      </c>
      <c r="DM274" s="44" t="str">
        <f t="shared" si="3495"/>
        <v/>
      </c>
      <c r="DN274" s="44" t="str">
        <f t="shared" si="3496"/>
        <v/>
      </c>
      <c r="DO274" s="44" t="str">
        <f t="shared" si="3497"/>
        <v/>
      </c>
      <c r="DP274" s="44" t="str">
        <f t="shared" si="3498"/>
        <v/>
      </c>
      <c r="DQ274" s="44" t="str">
        <f t="shared" si="3499"/>
        <v/>
      </c>
      <c r="DR274" s="44" t="str">
        <f t="shared" si="3500"/>
        <v/>
      </c>
      <c r="DS274" s="44" t="str">
        <f t="shared" si="3501"/>
        <v/>
      </c>
      <c r="DT274" s="44" t="str">
        <f t="shared" si="3502"/>
        <v/>
      </c>
      <c r="DU274" s="44" t="str">
        <f t="shared" si="3503"/>
        <v/>
      </c>
      <c r="DV274" s="44" t="str">
        <f t="shared" si="3504"/>
        <v/>
      </c>
      <c r="DW274" s="44" t="str">
        <f t="shared" si="3505"/>
        <v/>
      </c>
      <c r="DX274" s="44" t="str">
        <f t="shared" si="3506"/>
        <v/>
      </c>
      <c r="DY274" s="44" t="str">
        <f t="shared" si="3507"/>
        <v/>
      </c>
      <c r="DZ274" s="44" t="str">
        <f t="shared" si="3508"/>
        <v/>
      </c>
      <c r="EA274" s="44" t="str">
        <f t="shared" si="3509"/>
        <v/>
      </c>
      <c r="EB274" s="44" t="str">
        <f t="shared" si="3510"/>
        <v/>
      </c>
      <c r="EC274" s="44" t="str">
        <f t="shared" si="3511"/>
        <v/>
      </c>
      <c r="ED274" s="44" t="str">
        <f t="shared" si="3512"/>
        <v/>
      </c>
      <c r="EE274" s="44" t="str">
        <f t="shared" si="3513"/>
        <v/>
      </c>
      <c r="EF274" s="44" t="str">
        <f t="shared" si="3514"/>
        <v/>
      </c>
      <c r="EG274" s="44" t="str">
        <f t="shared" si="3515"/>
        <v/>
      </c>
      <c r="EH274" s="44" t="str">
        <f t="shared" si="3516"/>
        <v/>
      </c>
      <c r="EI274" s="44" t="str">
        <f t="shared" si="3517"/>
        <v/>
      </c>
      <c r="EJ274" s="44" t="str">
        <f t="shared" si="3518"/>
        <v/>
      </c>
      <c r="EK274" s="44" t="str">
        <f t="shared" si="3519"/>
        <v/>
      </c>
      <c r="EL274" s="44" t="str">
        <f t="shared" si="3520"/>
        <v/>
      </c>
      <c r="EM274" s="44" t="str">
        <f t="shared" si="3521"/>
        <v/>
      </c>
      <c r="EN274" s="44" t="str">
        <f t="shared" si="3522"/>
        <v/>
      </c>
      <c r="EO274" s="44" t="str">
        <f t="shared" si="3523"/>
        <v/>
      </c>
      <c r="EP274" s="44" t="str">
        <f t="shared" si="3524"/>
        <v/>
      </c>
      <c r="EQ274" s="44" t="str">
        <f t="shared" si="3525"/>
        <v/>
      </c>
      <c r="ER274" s="44" t="str">
        <f t="shared" si="3526"/>
        <v/>
      </c>
      <c r="ES274" s="44" t="str">
        <f t="shared" si="3527"/>
        <v/>
      </c>
      <c r="ET274" s="44" t="str">
        <f t="shared" si="3528"/>
        <v/>
      </c>
      <c r="EU274" s="44" t="str">
        <f t="shared" si="3529"/>
        <v/>
      </c>
      <c r="EV274" s="44" t="str">
        <f t="shared" si="3530"/>
        <v/>
      </c>
      <c r="EW274" s="44" t="str">
        <f t="shared" si="3531"/>
        <v/>
      </c>
      <c r="EX274" s="44" t="str">
        <f t="shared" si="3532"/>
        <v/>
      </c>
      <c r="EY274" s="44" t="str">
        <f t="shared" si="3533"/>
        <v/>
      </c>
      <c r="EZ274" s="44" t="str">
        <f t="shared" si="3534"/>
        <v/>
      </c>
      <c r="FA274" s="44" t="str">
        <f t="shared" si="3535"/>
        <v/>
      </c>
      <c r="FB274" s="44" t="str">
        <f t="shared" si="3536"/>
        <v/>
      </c>
      <c r="FC274" s="44" t="str">
        <f t="shared" si="3537"/>
        <v/>
      </c>
      <c r="FD274" s="44" t="str">
        <f t="shared" si="3538"/>
        <v/>
      </c>
      <c r="FE274" s="44" t="str">
        <f t="shared" si="3539"/>
        <v/>
      </c>
      <c r="FF274" s="44" t="str">
        <f t="shared" si="3540"/>
        <v/>
      </c>
      <c r="FG274" s="44" t="str">
        <f t="shared" si="3541"/>
        <v/>
      </c>
      <c r="FH274" s="44" t="str">
        <f t="shared" si="3542"/>
        <v/>
      </c>
      <c r="FI274" s="44" t="str">
        <f t="shared" si="3543"/>
        <v/>
      </c>
      <c r="FJ274" s="44" t="str">
        <f t="shared" si="3544"/>
        <v/>
      </c>
      <c r="FK274" s="44" t="str">
        <f t="shared" si="3545"/>
        <v/>
      </c>
      <c r="FL274" s="44" t="str">
        <f t="shared" si="3546"/>
        <v/>
      </c>
      <c r="FM274" s="44" t="str">
        <f t="shared" si="3547"/>
        <v/>
      </c>
      <c r="FN274" s="44" t="str">
        <f t="shared" si="3548"/>
        <v/>
      </c>
      <c r="FO274" s="44" t="str">
        <f t="shared" si="3549"/>
        <v/>
      </c>
      <c r="FP274" s="44" t="str">
        <f t="shared" si="3550"/>
        <v/>
      </c>
      <c r="FQ274" s="44" t="str">
        <f t="shared" si="3551"/>
        <v/>
      </c>
      <c r="FR274" s="44" t="str">
        <f t="shared" si="3552"/>
        <v/>
      </c>
      <c r="FS274" s="44" t="str">
        <f t="shared" si="3553"/>
        <v/>
      </c>
    </row>
    <row r="275" spans="1:175" ht="16.5">
      <c r="A275" s="11"/>
      <c r="B275" s="12"/>
      <c r="C275" s="11"/>
      <c r="E275" s="116"/>
      <c r="T275" s="117"/>
      <c r="U275" s="56"/>
      <c r="CU275" s="68" t="str">
        <f t="shared" si="3483"/>
        <v>|n</v>
      </c>
      <c r="CW275" s="7"/>
      <c r="CX275" s="7"/>
      <c r="CY275" s="7"/>
      <c r="CZ275" s="7"/>
      <c r="DA275" s="7"/>
      <c r="DB275" s="44" t="str">
        <f t="shared" si="3484"/>
        <v/>
      </c>
      <c r="DC275" s="44" t="str">
        <f t="shared" si="3485"/>
        <v/>
      </c>
      <c r="DD275" s="44" t="str">
        <f t="shared" si="3486"/>
        <v/>
      </c>
      <c r="DE275" s="44" t="str">
        <f t="shared" si="3487"/>
        <v/>
      </c>
      <c r="DF275" s="44" t="str">
        <f t="shared" si="3488"/>
        <v/>
      </c>
      <c r="DG275" s="44" t="str">
        <f t="shared" si="3489"/>
        <v/>
      </c>
      <c r="DH275" s="44" t="str">
        <f t="shared" si="3490"/>
        <v/>
      </c>
      <c r="DI275" s="44" t="str">
        <f t="shared" si="3491"/>
        <v/>
      </c>
      <c r="DJ275" s="44" t="str">
        <f t="shared" si="3492"/>
        <v/>
      </c>
      <c r="DK275" s="44" t="str">
        <f t="shared" si="3493"/>
        <v/>
      </c>
      <c r="DL275" s="44" t="str">
        <f t="shared" si="3494"/>
        <v/>
      </c>
      <c r="DM275" s="44" t="str">
        <f t="shared" si="3495"/>
        <v/>
      </c>
      <c r="DN275" s="44" t="str">
        <f t="shared" si="3496"/>
        <v/>
      </c>
      <c r="DO275" s="44" t="str">
        <f t="shared" si="3497"/>
        <v/>
      </c>
      <c r="DP275" s="44" t="str">
        <f t="shared" si="3498"/>
        <v/>
      </c>
      <c r="DQ275" s="44" t="str">
        <f t="shared" si="3499"/>
        <v/>
      </c>
      <c r="DR275" s="44" t="str">
        <f t="shared" si="3500"/>
        <v/>
      </c>
      <c r="DS275" s="44" t="str">
        <f t="shared" si="3501"/>
        <v/>
      </c>
      <c r="DT275" s="44" t="str">
        <f t="shared" si="3502"/>
        <v/>
      </c>
      <c r="DU275" s="44" t="str">
        <f t="shared" si="3503"/>
        <v/>
      </c>
      <c r="DV275" s="44" t="str">
        <f t="shared" si="3504"/>
        <v/>
      </c>
      <c r="DW275" s="44" t="str">
        <f t="shared" si="3505"/>
        <v/>
      </c>
      <c r="DX275" s="44" t="str">
        <f t="shared" si="3506"/>
        <v/>
      </c>
      <c r="DY275" s="44" t="str">
        <f t="shared" si="3507"/>
        <v/>
      </c>
      <c r="DZ275" s="44" t="str">
        <f t="shared" si="3508"/>
        <v/>
      </c>
      <c r="EA275" s="44" t="str">
        <f t="shared" si="3509"/>
        <v/>
      </c>
      <c r="EB275" s="44" t="str">
        <f t="shared" si="3510"/>
        <v/>
      </c>
      <c r="EC275" s="44" t="str">
        <f t="shared" si="3511"/>
        <v/>
      </c>
      <c r="ED275" s="44" t="str">
        <f t="shared" si="3512"/>
        <v/>
      </c>
      <c r="EE275" s="44" t="str">
        <f t="shared" si="3513"/>
        <v/>
      </c>
      <c r="EF275" s="44" t="str">
        <f t="shared" si="3514"/>
        <v/>
      </c>
      <c r="EG275" s="44" t="str">
        <f t="shared" si="3515"/>
        <v/>
      </c>
      <c r="EH275" s="44" t="str">
        <f t="shared" si="3516"/>
        <v/>
      </c>
      <c r="EI275" s="44" t="str">
        <f t="shared" si="3517"/>
        <v/>
      </c>
      <c r="EJ275" s="44" t="str">
        <f t="shared" si="3518"/>
        <v/>
      </c>
      <c r="EK275" s="44" t="str">
        <f t="shared" si="3519"/>
        <v/>
      </c>
      <c r="EL275" s="44" t="str">
        <f t="shared" si="3520"/>
        <v/>
      </c>
      <c r="EM275" s="44" t="str">
        <f t="shared" si="3521"/>
        <v/>
      </c>
      <c r="EN275" s="44" t="str">
        <f t="shared" si="3522"/>
        <v/>
      </c>
      <c r="EO275" s="44" t="str">
        <f t="shared" si="3523"/>
        <v/>
      </c>
      <c r="EP275" s="44" t="str">
        <f t="shared" si="3524"/>
        <v/>
      </c>
      <c r="EQ275" s="44" t="str">
        <f t="shared" si="3525"/>
        <v/>
      </c>
      <c r="ER275" s="44" t="str">
        <f t="shared" si="3526"/>
        <v/>
      </c>
      <c r="ES275" s="44" t="str">
        <f t="shared" si="3527"/>
        <v/>
      </c>
      <c r="ET275" s="44" t="str">
        <f t="shared" si="3528"/>
        <v/>
      </c>
      <c r="EU275" s="44" t="str">
        <f t="shared" si="3529"/>
        <v/>
      </c>
      <c r="EV275" s="44" t="str">
        <f t="shared" si="3530"/>
        <v/>
      </c>
      <c r="EW275" s="44" t="str">
        <f t="shared" si="3531"/>
        <v/>
      </c>
      <c r="EX275" s="44" t="str">
        <f t="shared" si="3532"/>
        <v/>
      </c>
      <c r="EY275" s="44" t="str">
        <f t="shared" si="3533"/>
        <v/>
      </c>
      <c r="EZ275" s="44" t="str">
        <f t="shared" si="3534"/>
        <v/>
      </c>
      <c r="FA275" s="44" t="str">
        <f t="shared" si="3535"/>
        <v/>
      </c>
      <c r="FB275" s="44" t="str">
        <f t="shared" si="3536"/>
        <v/>
      </c>
      <c r="FC275" s="44" t="str">
        <f t="shared" si="3537"/>
        <v/>
      </c>
      <c r="FD275" s="44" t="str">
        <f t="shared" si="3538"/>
        <v/>
      </c>
      <c r="FE275" s="44" t="str">
        <f t="shared" si="3539"/>
        <v/>
      </c>
      <c r="FF275" s="44" t="str">
        <f t="shared" si="3540"/>
        <v/>
      </c>
      <c r="FG275" s="44" t="str">
        <f t="shared" si="3541"/>
        <v/>
      </c>
      <c r="FH275" s="44" t="str">
        <f t="shared" si="3542"/>
        <v/>
      </c>
      <c r="FI275" s="44" t="str">
        <f t="shared" si="3543"/>
        <v/>
      </c>
      <c r="FJ275" s="44" t="str">
        <f t="shared" si="3544"/>
        <v/>
      </c>
      <c r="FK275" s="44" t="str">
        <f t="shared" si="3545"/>
        <v/>
      </c>
      <c r="FL275" s="44" t="str">
        <f t="shared" si="3546"/>
        <v/>
      </c>
      <c r="FM275" s="44" t="str">
        <f t="shared" si="3547"/>
        <v/>
      </c>
      <c r="FN275" s="44" t="str">
        <f t="shared" si="3548"/>
        <v/>
      </c>
      <c r="FO275" s="44" t="str">
        <f t="shared" si="3549"/>
        <v/>
      </c>
      <c r="FP275" s="44" t="str">
        <f t="shared" si="3550"/>
        <v/>
      </c>
      <c r="FQ275" s="44" t="str">
        <f t="shared" si="3551"/>
        <v/>
      </c>
      <c r="FR275" s="44" t="str">
        <f t="shared" si="3552"/>
        <v/>
      </c>
      <c r="FS275" s="44" t="str">
        <f t="shared" si="3553"/>
        <v/>
      </c>
    </row>
    <row r="276" spans="1:175" ht="16.5">
      <c r="A276" s="11"/>
      <c r="B276" s="12"/>
      <c r="C276" s="11"/>
      <c r="E276" s="116"/>
      <c r="T276" s="117"/>
      <c r="U276" s="56"/>
      <c r="CU276" s="68" t="str">
        <f t="shared" si="3483"/>
        <v>|n</v>
      </c>
      <c r="CW276" s="7"/>
      <c r="CX276" s="7"/>
      <c r="CY276" s="7"/>
      <c r="CZ276" s="7"/>
      <c r="DA276" s="7"/>
      <c r="DB276" s="44" t="str">
        <f t="shared" si="3484"/>
        <v/>
      </c>
      <c r="DC276" s="44" t="str">
        <f t="shared" si="3485"/>
        <v/>
      </c>
      <c r="DD276" s="44" t="str">
        <f t="shared" si="3486"/>
        <v/>
      </c>
      <c r="DE276" s="44" t="str">
        <f t="shared" si="3487"/>
        <v/>
      </c>
      <c r="DF276" s="44" t="str">
        <f t="shared" si="3488"/>
        <v/>
      </c>
      <c r="DG276" s="44" t="str">
        <f t="shared" si="3489"/>
        <v/>
      </c>
      <c r="DH276" s="44" t="str">
        <f t="shared" si="3490"/>
        <v/>
      </c>
      <c r="DI276" s="44" t="str">
        <f t="shared" si="3491"/>
        <v/>
      </c>
      <c r="DJ276" s="44" t="str">
        <f t="shared" si="3492"/>
        <v/>
      </c>
      <c r="DK276" s="44" t="str">
        <f t="shared" si="3493"/>
        <v/>
      </c>
      <c r="DL276" s="44" t="str">
        <f t="shared" si="3494"/>
        <v/>
      </c>
      <c r="DM276" s="44" t="str">
        <f t="shared" si="3495"/>
        <v/>
      </c>
      <c r="DN276" s="44" t="str">
        <f t="shared" si="3496"/>
        <v/>
      </c>
      <c r="DO276" s="44" t="str">
        <f t="shared" si="3497"/>
        <v/>
      </c>
      <c r="DP276" s="44" t="str">
        <f t="shared" si="3498"/>
        <v/>
      </c>
      <c r="DQ276" s="44" t="str">
        <f t="shared" si="3499"/>
        <v/>
      </c>
      <c r="DR276" s="44" t="str">
        <f t="shared" si="3500"/>
        <v/>
      </c>
      <c r="DS276" s="44" t="str">
        <f t="shared" si="3501"/>
        <v/>
      </c>
      <c r="DT276" s="44" t="str">
        <f t="shared" si="3502"/>
        <v/>
      </c>
      <c r="DU276" s="44" t="str">
        <f t="shared" si="3503"/>
        <v/>
      </c>
      <c r="DV276" s="44" t="str">
        <f t="shared" si="3504"/>
        <v/>
      </c>
      <c r="DW276" s="44" t="str">
        <f t="shared" si="3505"/>
        <v/>
      </c>
      <c r="DX276" s="44" t="str">
        <f t="shared" si="3506"/>
        <v/>
      </c>
      <c r="DY276" s="44" t="str">
        <f t="shared" si="3507"/>
        <v/>
      </c>
      <c r="DZ276" s="44" t="str">
        <f t="shared" si="3508"/>
        <v/>
      </c>
      <c r="EA276" s="44" t="str">
        <f t="shared" si="3509"/>
        <v/>
      </c>
      <c r="EB276" s="44" t="str">
        <f t="shared" si="3510"/>
        <v/>
      </c>
      <c r="EC276" s="44" t="str">
        <f t="shared" si="3511"/>
        <v/>
      </c>
      <c r="ED276" s="44" t="str">
        <f t="shared" si="3512"/>
        <v/>
      </c>
      <c r="EE276" s="44" t="str">
        <f t="shared" si="3513"/>
        <v/>
      </c>
      <c r="EF276" s="44" t="str">
        <f t="shared" si="3514"/>
        <v/>
      </c>
      <c r="EG276" s="44" t="str">
        <f t="shared" si="3515"/>
        <v/>
      </c>
      <c r="EH276" s="44" t="str">
        <f t="shared" si="3516"/>
        <v/>
      </c>
      <c r="EI276" s="44" t="str">
        <f t="shared" si="3517"/>
        <v/>
      </c>
      <c r="EJ276" s="44" t="str">
        <f t="shared" si="3518"/>
        <v/>
      </c>
      <c r="EK276" s="44" t="str">
        <f t="shared" si="3519"/>
        <v/>
      </c>
      <c r="EL276" s="44" t="str">
        <f t="shared" si="3520"/>
        <v/>
      </c>
      <c r="EM276" s="44" t="str">
        <f t="shared" si="3521"/>
        <v/>
      </c>
      <c r="EN276" s="44" t="str">
        <f t="shared" si="3522"/>
        <v/>
      </c>
      <c r="EO276" s="44" t="str">
        <f t="shared" si="3523"/>
        <v/>
      </c>
      <c r="EP276" s="44" t="str">
        <f t="shared" si="3524"/>
        <v/>
      </c>
      <c r="EQ276" s="44" t="str">
        <f t="shared" si="3525"/>
        <v/>
      </c>
      <c r="ER276" s="44" t="str">
        <f t="shared" si="3526"/>
        <v/>
      </c>
      <c r="ES276" s="44" t="str">
        <f t="shared" si="3527"/>
        <v/>
      </c>
      <c r="ET276" s="44" t="str">
        <f t="shared" si="3528"/>
        <v/>
      </c>
      <c r="EU276" s="44" t="str">
        <f t="shared" si="3529"/>
        <v/>
      </c>
      <c r="EV276" s="44" t="str">
        <f t="shared" si="3530"/>
        <v/>
      </c>
      <c r="EW276" s="44" t="str">
        <f t="shared" si="3531"/>
        <v/>
      </c>
      <c r="EX276" s="44" t="str">
        <f t="shared" si="3532"/>
        <v/>
      </c>
      <c r="EY276" s="44" t="str">
        <f t="shared" si="3533"/>
        <v/>
      </c>
      <c r="EZ276" s="44" t="str">
        <f t="shared" si="3534"/>
        <v/>
      </c>
      <c r="FA276" s="44" t="str">
        <f t="shared" si="3535"/>
        <v/>
      </c>
      <c r="FB276" s="44" t="str">
        <f t="shared" si="3536"/>
        <v/>
      </c>
      <c r="FC276" s="44" t="str">
        <f t="shared" si="3537"/>
        <v/>
      </c>
      <c r="FD276" s="44" t="str">
        <f t="shared" si="3538"/>
        <v/>
      </c>
      <c r="FE276" s="44" t="str">
        <f t="shared" si="3539"/>
        <v/>
      </c>
      <c r="FF276" s="44" t="str">
        <f t="shared" si="3540"/>
        <v/>
      </c>
      <c r="FG276" s="44" t="str">
        <f t="shared" si="3541"/>
        <v/>
      </c>
      <c r="FH276" s="44" t="str">
        <f t="shared" si="3542"/>
        <v/>
      </c>
      <c r="FI276" s="44" t="str">
        <f t="shared" si="3543"/>
        <v/>
      </c>
      <c r="FJ276" s="44" t="str">
        <f t="shared" si="3544"/>
        <v/>
      </c>
      <c r="FK276" s="44" t="str">
        <f t="shared" si="3545"/>
        <v/>
      </c>
      <c r="FL276" s="44" t="str">
        <f t="shared" si="3546"/>
        <v/>
      </c>
      <c r="FM276" s="44" t="str">
        <f t="shared" si="3547"/>
        <v/>
      </c>
      <c r="FN276" s="44" t="str">
        <f t="shared" si="3548"/>
        <v/>
      </c>
      <c r="FO276" s="44" t="str">
        <f t="shared" si="3549"/>
        <v/>
      </c>
      <c r="FP276" s="44" t="str">
        <f t="shared" si="3550"/>
        <v/>
      </c>
      <c r="FQ276" s="44" t="str">
        <f t="shared" si="3551"/>
        <v/>
      </c>
      <c r="FR276" s="44" t="str">
        <f t="shared" si="3552"/>
        <v/>
      </c>
      <c r="FS276" s="44" t="str">
        <f t="shared" si="3553"/>
        <v/>
      </c>
    </row>
    <row r="277" spans="1:175">
      <c r="CN277" s="13" t="str">
        <f t="shared" ref="CN277:CN308" si="3644">"InitUnitState('"&amp;B277&amp;"',"&amp;V277&amp;","&amp;W277&amp;","&amp;X277&amp;","&amp;Y277&amp;","&amp;Z277&amp;","&amp;AA277&amp;","&amp;AB277&amp;","&amp;AC277&amp;","&amp;AD277&amp;","&amp;AE277&amp;")"</f>
        <v>InitUnitState('',,,,,,,,,,)</v>
      </c>
      <c r="CO277" s="13" t="str">
        <f t="shared" ref="CO277:CO308" si="3645">"InitUnitNormal('"&amp;B277&amp;"',"&amp;AF277&amp;","&amp;AG277&amp;","&amp;AH277&amp;","&amp;AI277&amp;","&amp;AJ277&amp;","&amp;AK277&amp;","&amp;AL277&amp;","&amp;AM277&amp;","&amp;AN277&amp;","&amp;AO277&amp;")"</f>
        <v>InitUnitNormal('',,,,,,,,,,)</v>
      </c>
      <c r="CP277" s="13" t="str">
        <f t="shared" ref="CP277:CP308" si="3646">"InitUnitMagic('"&amp;B277&amp;"',"&amp;AP277&amp;","&amp;AQ277&amp;","&amp;AR277&amp;","&amp;AS277&amp;","&amp;AT277&amp;","&amp;AU277&amp;","&amp;AV277&amp;","&amp;AW277&amp;","&amp;BI277&amp;","&amp;BJ277&amp;")"</f>
        <v>InitUnitMagic('',,,,,,,,,,)</v>
      </c>
      <c r="CQ277" s="13" t="str">
        <f t="shared" ref="CQ277:CQ308" si="3647">"InitUnitAdd('"&amp;B277&amp;"',"&amp;BK277&amp;","&amp;BL277&amp;","&amp;BM277&amp;","&amp;BN277&amp;","&amp;BO277&amp;","&amp;BP277&amp;","&amp;BQ277&amp;","&amp;BR277&amp;","&amp;BS277&amp;","&amp;BT277&amp;")"</f>
        <v>InitUnitAdd('',,,,,,,,,,)</v>
      </c>
      <c r="CR277" s="13" t="str">
        <f t="shared" ref="CR277:CR308" si="3648"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InitEquipData('',,"",,,,,'','','','','','',"")</v>
      </c>
      <c r="CU277" s="6" t="str">
        <f t="shared" ref="CU277:CU289" si="3649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7"/>
      <c r="CX277" s="7"/>
      <c r="CY277" s="7"/>
      <c r="CZ277" s="7"/>
      <c r="DA277" s="7"/>
      <c r="DB277" s="44" t="str">
        <f t="shared" ref="DB277:DB297" si="3650">IF(V277="","","|n"&amp;DB$2&amp;"+"&amp;V277&amp;DB$1)</f>
        <v/>
      </c>
      <c r="DC277" s="44" t="str">
        <f t="shared" ref="DC277:DC297" si="3651">IF(W277="","","|n"&amp;DC$2&amp;"+"&amp;W277&amp;DC$1)</f>
        <v/>
      </c>
      <c r="DD277" s="44" t="str">
        <f t="shared" ref="DD277:DD297" si="3652">IF(X277="","","|n"&amp;DD$2&amp;"+"&amp;X277&amp;DD$1)</f>
        <v/>
      </c>
      <c r="DE277" s="44" t="str">
        <f t="shared" ref="DE277:DE297" si="3653">IF(Y277="","","|n"&amp;DE$2&amp;"+"&amp;Y277&amp;DE$1)</f>
        <v/>
      </c>
      <c r="DF277" s="44" t="str">
        <f t="shared" ref="DF277:DF297" si="3654">IF(Z277="","","|n"&amp;DF$2&amp;"+"&amp;Z277&amp;DF$1)</f>
        <v/>
      </c>
      <c r="DG277" s="44" t="str">
        <f t="shared" ref="DG277:DG297" si="3655">IF(AA277="","","|n"&amp;DG$2&amp;"+"&amp;AA277&amp;DG$1)</f>
        <v/>
      </c>
      <c r="DH277" s="44" t="str">
        <f t="shared" ref="DH277:DH297" si="3656">IF(AB277="","","|n"&amp;DH$2&amp;"+"&amp;AB277&amp;DH$1)</f>
        <v/>
      </c>
      <c r="DI277" s="44" t="str">
        <f t="shared" ref="DI277:DI297" si="3657">IF(AC277="","","|n"&amp;DI$2&amp;"+"&amp;AC277&amp;DI$1)</f>
        <v/>
      </c>
      <c r="DJ277" s="44" t="str">
        <f t="shared" ref="DJ277:DJ297" si="3658">IF(AD277="","","|n"&amp;DJ$2&amp;"+"&amp;AD277&amp;DJ$1)</f>
        <v/>
      </c>
      <c r="DK277" s="44" t="str">
        <f t="shared" ref="DK277:DK297" si="3659">IF(AE277="","","|n"&amp;DK$2&amp;"+"&amp;AE277&amp;DK$1)</f>
        <v/>
      </c>
      <c r="DL277" s="44" t="str">
        <f t="shared" ref="DL277:DL297" si="3660">IF(AF277="","","|n"&amp;DL$2&amp;"+"&amp;AF277&amp;DL$1)</f>
        <v/>
      </c>
      <c r="DM277" s="44" t="str">
        <f t="shared" ref="DM277:DM297" si="3661">IF(AG277="","","|n"&amp;DM$2&amp;"+"&amp;AG277&amp;DM$1)</f>
        <v/>
      </c>
      <c r="DN277" s="44" t="str">
        <f t="shared" ref="DN277:DN297" si="3662">IF(AH277="","","|n"&amp;DN$2&amp;"+"&amp;AH277&amp;DN$1)</f>
        <v/>
      </c>
      <c r="DO277" s="44" t="str">
        <f t="shared" ref="DO277:DO297" si="3663">IF(AI277="","","|n"&amp;DO$2&amp;"+"&amp;AI277&amp;DO$1)</f>
        <v/>
      </c>
      <c r="DP277" s="44" t="str">
        <f t="shared" ref="DP277:DP297" si="3664">IF(AJ277="","","|n"&amp;DP$2&amp;"+"&amp;AJ277&amp;DP$1)</f>
        <v/>
      </c>
      <c r="DQ277" s="44" t="str">
        <f t="shared" ref="DQ277:DQ297" si="3665">IF(AK277="","","|n"&amp;DQ$2&amp;"+"&amp;AK277&amp;DQ$1)</f>
        <v/>
      </c>
      <c r="DR277" s="44" t="str">
        <f t="shared" ref="DR277:DR297" si="3666">IF(AL277="","","|n"&amp;DR$2&amp;"+"&amp;AL277&amp;DR$1)</f>
        <v/>
      </c>
      <c r="DS277" s="44" t="str">
        <f t="shared" ref="DS277:DS297" si="3667">IF(AM277="","","|n"&amp;DS$2&amp;"+"&amp;AM277&amp;DS$1)</f>
        <v/>
      </c>
      <c r="DT277" s="44" t="str">
        <f t="shared" ref="DT277:DT297" si="3668">IF(AN277="","","|n"&amp;DT$2&amp;"+"&amp;AN277&amp;DT$1)</f>
        <v/>
      </c>
      <c r="DU277" s="44" t="str">
        <f t="shared" ref="DU277:DU297" si="3669">IF(AO277="","","|n"&amp;DU$2&amp;"+"&amp;AO277&amp;DU$1)</f>
        <v/>
      </c>
      <c r="DV277" s="44" t="str">
        <f t="shared" ref="DV277:DV297" si="3670">IF(AP277="","","|n"&amp;DV$2&amp;"+"&amp;AP277&amp;DV$1)</f>
        <v/>
      </c>
      <c r="DW277" s="44" t="str">
        <f t="shared" ref="DW277:DW297" si="3671">IF(AQ277="","","|n"&amp;DW$2&amp;"+"&amp;AQ277&amp;DW$1)</f>
        <v/>
      </c>
      <c r="DX277" s="44" t="str">
        <f t="shared" ref="DX277:DX297" si="3672">IF(AR277="","","|n"&amp;DX$2&amp;"+"&amp;AR277&amp;DX$1)</f>
        <v/>
      </c>
      <c r="DY277" s="44" t="str">
        <f t="shared" ref="DY277:DY297" si="3673">IF(AS277="","","|n"&amp;DY$2&amp;"+"&amp;AS277&amp;DY$1)</f>
        <v/>
      </c>
      <c r="DZ277" s="44" t="str">
        <f t="shared" ref="DZ277:DZ297" si="3674">IF(AT277="","","|n"&amp;DZ$2&amp;"+"&amp;AT277&amp;DZ$1)</f>
        <v/>
      </c>
      <c r="EA277" s="44" t="str">
        <f t="shared" ref="EA277:EA297" si="3675">IF(AU277="","","|n"&amp;EA$2&amp;"+"&amp;AU277&amp;EA$1)</f>
        <v/>
      </c>
      <c r="EB277" s="44" t="str">
        <f t="shared" ref="EB277:EB297" si="3676">IF(AV277="","","|n"&amp;EB$2&amp;"+"&amp;AV277&amp;EB$1)</f>
        <v/>
      </c>
      <c r="EC277" s="44" t="str">
        <f t="shared" ref="EC277:EC297" si="3677">IF(AW277="","","|n"&amp;EC$2&amp;"+"&amp;AW277&amp;EC$1)</f>
        <v/>
      </c>
      <c r="ED277" s="44" t="str">
        <f t="shared" ref="ED277:ED297" si="3678">IF(AX277="","","|n"&amp;ED$2&amp;"+"&amp;AX277&amp;ED$1)</f>
        <v/>
      </c>
      <c r="EE277" s="44" t="str">
        <f t="shared" ref="EE277:EE297" si="3679">IF(AY277="","","|n"&amp;EE$2&amp;"+"&amp;AY277&amp;EE$1)</f>
        <v/>
      </c>
      <c r="EF277" s="44" t="str">
        <f t="shared" ref="EF277:EF297" si="3680">IF(AZ277="","","|n"&amp;EF$2&amp;"+"&amp;AZ277&amp;EF$1)</f>
        <v/>
      </c>
      <c r="EG277" s="44" t="str">
        <f t="shared" ref="EG277:EG297" si="3681">IF(BA277="","","|n"&amp;EG$2&amp;"+"&amp;BA277&amp;EG$1)</f>
        <v/>
      </c>
      <c r="EH277" s="44" t="str">
        <f t="shared" ref="EH277:EH297" si="3682">IF(BB277="","","|n"&amp;EH$2&amp;"+"&amp;BB277&amp;EH$1)</f>
        <v/>
      </c>
      <c r="EI277" s="44" t="str">
        <f t="shared" ref="EI277:EI297" si="3683">IF(BC277="","","|n"&amp;EI$2&amp;"+"&amp;BC277&amp;EI$1)</f>
        <v/>
      </c>
      <c r="EJ277" s="44" t="str">
        <f t="shared" ref="EJ277:EJ297" si="3684">IF(BD277="","","|n"&amp;EJ$2&amp;"+"&amp;BD277&amp;EJ$1)</f>
        <v/>
      </c>
      <c r="EK277" s="44" t="str">
        <f t="shared" ref="EK277:EK297" si="3685">IF(BE277="","","|n"&amp;EK$2&amp;"+"&amp;BE277&amp;EK$1)</f>
        <v/>
      </c>
      <c r="EL277" s="44" t="str">
        <f t="shared" ref="EL277:EL297" si="3686">IF(BF277="","","|n"&amp;EL$2&amp;"+"&amp;BF277&amp;EL$1)</f>
        <v/>
      </c>
      <c r="EM277" s="44" t="str">
        <f t="shared" ref="EM277:EM297" si="3687">IF(BG277="","","|n"&amp;EM$2&amp;"+"&amp;BG277&amp;EM$1)</f>
        <v/>
      </c>
      <c r="EN277" s="44" t="str">
        <f t="shared" ref="EN277:EN297" si="3688">IF(BH277="","","|n"&amp;EN$2&amp;"+"&amp;BH277&amp;EN$1)</f>
        <v/>
      </c>
      <c r="EO277" s="44" t="str">
        <f t="shared" ref="EO277:EO297" si="3689">IF(BI277="","","|n"&amp;EO$2&amp;"+"&amp;BI277&amp;EO$1)</f>
        <v/>
      </c>
      <c r="EP277" s="44" t="str">
        <f t="shared" ref="EP277:EP297" si="3690">IF(BJ277="","","|n"&amp;EP$2&amp;"+"&amp;BJ277&amp;EP$1)</f>
        <v/>
      </c>
      <c r="EQ277" s="44" t="str">
        <f t="shared" ref="EQ277:EQ297" si="3691">IF(BK277="","","|n"&amp;EQ$2&amp;"+"&amp;BK277&amp;EQ$1)</f>
        <v/>
      </c>
      <c r="ER277" s="44" t="str">
        <f t="shared" ref="ER277:ER297" si="3692">IF(BL277="","","|n"&amp;ER$2&amp;"+"&amp;BL277&amp;ER$1)</f>
        <v/>
      </c>
      <c r="ES277" s="44" t="str">
        <f t="shared" ref="ES277:ES297" si="3693">IF(BM277="","","|n"&amp;ES$2&amp;"+"&amp;BM277&amp;ES$1)</f>
        <v/>
      </c>
      <c r="ET277" s="44" t="str">
        <f t="shared" ref="ET277:ET297" si="3694">IF(BN277="","","|n"&amp;ET$2&amp;"+"&amp;BN277&amp;ET$1)</f>
        <v/>
      </c>
      <c r="EU277" s="44" t="str">
        <f t="shared" ref="EU277:EU297" si="3695">IF(BO277="","","|n"&amp;EU$2&amp;"+"&amp;BO277&amp;EU$1)</f>
        <v/>
      </c>
      <c r="EV277" s="44" t="str">
        <f t="shared" ref="EV277:EV297" si="3696">IF(BP277="","","|n"&amp;EV$2&amp;"+"&amp;BP277&amp;EV$1)</f>
        <v/>
      </c>
      <c r="EW277" s="44" t="str">
        <f t="shared" ref="EW277:EW297" si="3697">IF(BQ277="","","|n"&amp;EW$2&amp;"+"&amp;BQ277&amp;EW$1)</f>
        <v/>
      </c>
      <c r="EX277" s="44" t="str">
        <f t="shared" ref="EX277:EX297" si="3698">IF(BR277="","","|n"&amp;EX$2&amp;"+"&amp;BR277&amp;EX$1)</f>
        <v/>
      </c>
      <c r="EY277" s="44" t="str">
        <f t="shared" ref="EY277:EY297" si="3699">IF(BS277="","","|n"&amp;EY$2&amp;"+"&amp;BS277&amp;EY$1)</f>
        <v/>
      </c>
      <c r="EZ277" s="44" t="str">
        <f t="shared" ref="EZ277:EZ297" si="3700">IF(BT277="","","|n"&amp;EZ$2&amp;"+"&amp;BT277&amp;EZ$1)</f>
        <v/>
      </c>
      <c r="FA277" s="44" t="str">
        <f t="shared" ref="FA277:FA297" si="3701">IF(BU277="","","|n"&amp;FA$2&amp;"+"&amp;BU277&amp;FA$1)</f>
        <v/>
      </c>
      <c r="FB277" s="44" t="str">
        <f t="shared" ref="FB277:FB297" si="3702">IF(BV277="","","|n"&amp;FB$2&amp;"+"&amp;BV277&amp;FB$1)</f>
        <v/>
      </c>
      <c r="FC277" s="44" t="str">
        <f t="shared" ref="FC277:FC297" si="3703">IF(BW277="","","|n"&amp;FC$2&amp;"+"&amp;BW277&amp;FC$1)</f>
        <v/>
      </c>
      <c r="FD277" s="44" t="str">
        <f t="shared" ref="FD277:FD297" si="3704">IF(BX277="","","|n"&amp;FD$2&amp;"+"&amp;BX277&amp;FD$1)</f>
        <v/>
      </c>
      <c r="FE277" s="44" t="str">
        <f t="shared" ref="FE277:FE297" si="3705">IF(BY277="","","|n"&amp;FE$2&amp;"+"&amp;BY277&amp;FE$1)</f>
        <v/>
      </c>
      <c r="FF277" s="44" t="str">
        <f t="shared" ref="FF277:FF297" si="3706">IF(BZ277="","","|n"&amp;FF$2&amp;"+"&amp;BZ277&amp;FF$1)</f>
        <v/>
      </c>
      <c r="FG277" s="44" t="str">
        <f t="shared" ref="FG277:FG297" si="3707">IF(CA277="","","|n"&amp;FG$2&amp;"+"&amp;CA277&amp;FG$1)</f>
        <v/>
      </c>
      <c r="FH277" s="44" t="str">
        <f t="shared" ref="FH277:FH297" si="3708">IF(CB277="","","|n"&amp;FH$2&amp;"+"&amp;CB277&amp;FH$1)</f>
        <v/>
      </c>
      <c r="FI277" s="44" t="str">
        <f t="shared" ref="FI277:FI297" si="3709">IF(CC277="","","|n"&amp;FI$2&amp;"+"&amp;CC277&amp;FI$1)</f>
        <v/>
      </c>
      <c r="FJ277" s="44" t="str">
        <f t="shared" ref="FJ277:FJ297" si="3710">IF(CD277="","","|n"&amp;FJ$2&amp;"+"&amp;CD277&amp;FJ$1)</f>
        <v/>
      </c>
      <c r="FK277" s="44" t="str">
        <f t="shared" ref="FK277:FK297" si="3711">IF(CE277="","","|n"&amp;FK$2&amp;"+"&amp;CE277&amp;FK$1)</f>
        <v/>
      </c>
      <c r="FL277" s="44" t="str">
        <f t="shared" ref="FL277:FL297" si="3712">IF(CF277="","","|n"&amp;FL$2&amp;"+"&amp;CF277&amp;FL$1)</f>
        <v/>
      </c>
      <c r="FM277" s="44" t="str">
        <f t="shared" ref="FM277:FM297" si="3713">IF(CG277="","","|n"&amp;FM$2&amp;"+"&amp;CG277&amp;FM$1)</f>
        <v/>
      </c>
      <c r="FN277" s="44" t="str">
        <f t="shared" ref="FN277:FN297" si="3714">IF(CH277="","","|n"&amp;FN$2&amp;"+"&amp;CH277&amp;FN$1)</f>
        <v/>
      </c>
      <c r="FO277" s="44" t="str">
        <f t="shared" ref="FO277:FO297" si="3715">IF(CI277="","","|n"&amp;FO$2&amp;"+"&amp;CI277&amp;FO$1)</f>
        <v/>
      </c>
      <c r="FP277" s="44" t="str">
        <f t="shared" ref="FP277:FP297" si="3716">IF(CJ277="","","|n"&amp;FP$2&amp;"+"&amp;CJ277&amp;FP$1)</f>
        <v/>
      </c>
      <c r="FQ277" s="44" t="str">
        <f t="shared" ref="FQ277:FQ297" si="3717">IF(CK277="","","|n"&amp;FQ$2&amp;"+"&amp;CK277&amp;FQ$1)</f>
        <v/>
      </c>
      <c r="FR277" s="44" t="str">
        <f t="shared" ref="FR277:FR297" si="3718">IF(CL277="","","|n"&amp;FR$2&amp;"+"&amp;CL277&amp;FR$1)</f>
        <v/>
      </c>
      <c r="FS277" s="44" t="str">
        <f t="shared" ref="FS277:FS297" si="3719">IF(CM277="","","|n"&amp;FS$2&amp;"+"&amp;CM277&amp;FS$1)</f>
        <v/>
      </c>
    </row>
    <row r="278" spans="1:175">
      <c r="CN278" s="13" t="str">
        <f t="shared" si="3644"/>
        <v>InitUnitState('',,,,,,,,,,)</v>
      </c>
      <c r="CO278" s="13" t="str">
        <f t="shared" si="3645"/>
        <v>InitUnitNormal('',,,,,,,,,,)</v>
      </c>
      <c r="CP278" s="13" t="str">
        <f t="shared" si="3646"/>
        <v>InitUnitMagic('',,,,,,,,,,)</v>
      </c>
      <c r="CQ278" s="13" t="str">
        <f t="shared" si="3647"/>
        <v>InitUnitAdd('',,,,,,,,,,)</v>
      </c>
      <c r="CR278" s="13" t="str">
        <f t="shared" si="3648"/>
        <v>InitEquipData('',,"",,,,,'','','','','','',"")</v>
      </c>
      <c r="CU278" s="6" t="str">
        <f t="shared" si="3649"/>
        <v>|n</v>
      </c>
      <c r="CW278" s="7"/>
      <c r="CX278" s="7"/>
      <c r="CY278" s="7"/>
      <c r="CZ278" s="7"/>
      <c r="DA278" s="7"/>
      <c r="DB278" s="44" t="str">
        <f t="shared" si="3650"/>
        <v/>
      </c>
      <c r="DC278" s="44" t="str">
        <f t="shared" si="3651"/>
        <v/>
      </c>
      <c r="DD278" s="44" t="str">
        <f t="shared" si="3652"/>
        <v/>
      </c>
      <c r="DE278" s="44" t="str">
        <f t="shared" si="3653"/>
        <v/>
      </c>
      <c r="DF278" s="44" t="str">
        <f t="shared" si="3654"/>
        <v/>
      </c>
      <c r="DG278" s="44" t="str">
        <f t="shared" si="3655"/>
        <v/>
      </c>
      <c r="DH278" s="44" t="str">
        <f t="shared" si="3656"/>
        <v/>
      </c>
      <c r="DI278" s="44" t="str">
        <f t="shared" si="3657"/>
        <v/>
      </c>
      <c r="DJ278" s="44" t="str">
        <f t="shared" si="3658"/>
        <v/>
      </c>
      <c r="DK278" s="44" t="str">
        <f t="shared" si="3659"/>
        <v/>
      </c>
      <c r="DL278" s="44" t="str">
        <f t="shared" si="3660"/>
        <v/>
      </c>
      <c r="DM278" s="44" t="str">
        <f t="shared" si="3661"/>
        <v/>
      </c>
      <c r="DN278" s="44" t="str">
        <f t="shared" si="3662"/>
        <v/>
      </c>
      <c r="DO278" s="44" t="str">
        <f t="shared" si="3663"/>
        <v/>
      </c>
      <c r="DP278" s="44" t="str">
        <f t="shared" si="3664"/>
        <v/>
      </c>
      <c r="DQ278" s="44" t="str">
        <f t="shared" si="3665"/>
        <v/>
      </c>
      <c r="DR278" s="44" t="str">
        <f t="shared" si="3666"/>
        <v/>
      </c>
      <c r="DS278" s="44" t="str">
        <f t="shared" si="3667"/>
        <v/>
      </c>
      <c r="DT278" s="44" t="str">
        <f t="shared" si="3668"/>
        <v/>
      </c>
      <c r="DU278" s="44" t="str">
        <f t="shared" si="3669"/>
        <v/>
      </c>
      <c r="DV278" s="44" t="str">
        <f t="shared" si="3670"/>
        <v/>
      </c>
      <c r="DW278" s="44" t="str">
        <f t="shared" si="3671"/>
        <v/>
      </c>
      <c r="DX278" s="44" t="str">
        <f t="shared" si="3672"/>
        <v/>
      </c>
      <c r="DY278" s="44" t="str">
        <f t="shared" si="3673"/>
        <v/>
      </c>
      <c r="DZ278" s="44" t="str">
        <f t="shared" si="3674"/>
        <v/>
      </c>
      <c r="EA278" s="44" t="str">
        <f t="shared" si="3675"/>
        <v/>
      </c>
      <c r="EB278" s="44" t="str">
        <f t="shared" si="3676"/>
        <v/>
      </c>
      <c r="EC278" s="44" t="str">
        <f t="shared" si="3677"/>
        <v/>
      </c>
      <c r="ED278" s="44" t="str">
        <f t="shared" si="3678"/>
        <v/>
      </c>
      <c r="EE278" s="44" t="str">
        <f t="shared" si="3679"/>
        <v/>
      </c>
      <c r="EF278" s="44" t="str">
        <f t="shared" si="3680"/>
        <v/>
      </c>
      <c r="EG278" s="44" t="str">
        <f t="shared" si="3681"/>
        <v/>
      </c>
      <c r="EH278" s="44" t="str">
        <f t="shared" si="3682"/>
        <v/>
      </c>
      <c r="EI278" s="44" t="str">
        <f t="shared" si="3683"/>
        <v/>
      </c>
      <c r="EJ278" s="44" t="str">
        <f t="shared" si="3684"/>
        <v/>
      </c>
      <c r="EK278" s="44" t="str">
        <f t="shared" si="3685"/>
        <v/>
      </c>
      <c r="EL278" s="44" t="str">
        <f t="shared" si="3686"/>
        <v/>
      </c>
      <c r="EM278" s="44" t="str">
        <f t="shared" si="3687"/>
        <v/>
      </c>
      <c r="EN278" s="44" t="str">
        <f t="shared" si="3688"/>
        <v/>
      </c>
      <c r="EO278" s="44" t="str">
        <f t="shared" si="3689"/>
        <v/>
      </c>
      <c r="EP278" s="44" t="str">
        <f t="shared" si="3690"/>
        <v/>
      </c>
      <c r="EQ278" s="44" t="str">
        <f t="shared" si="3691"/>
        <v/>
      </c>
      <c r="ER278" s="44" t="str">
        <f t="shared" si="3692"/>
        <v/>
      </c>
      <c r="ES278" s="44" t="str">
        <f t="shared" si="3693"/>
        <v/>
      </c>
      <c r="ET278" s="44" t="str">
        <f t="shared" si="3694"/>
        <v/>
      </c>
      <c r="EU278" s="44" t="str">
        <f t="shared" si="3695"/>
        <v/>
      </c>
      <c r="EV278" s="44" t="str">
        <f t="shared" si="3696"/>
        <v/>
      </c>
      <c r="EW278" s="44" t="str">
        <f t="shared" si="3697"/>
        <v/>
      </c>
      <c r="EX278" s="44" t="str">
        <f t="shared" si="3698"/>
        <v/>
      </c>
      <c r="EY278" s="44" t="str">
        <f t="shared" si="3699"/>
        <v/>
      </c>
      <c r="EZ278" s="44" t="str">
        <f t="shared" si="3700"/>
        <v/>
      </c>
      <c r="FA278" s="44" t="str">
        <f t="shared" si="3701"/>
        <v/>
      </c>
      <c r="FB278" s="44" t="str">
        <f t="shared" si="3702"/>
        <v/>
      </c>
      <c r="FC278" s="44" t="str">
        <f t="shared" si="3703"/>
        <v/>
      </c>
      <c r="FD278" s="44" t="str">
        <f t="shared" si="3704"/>
        <v/>
      </c>
      <c r="FE278" s="44" t="str">
        <f t="shared" si="3705"/>
        <v/>
      </c>
      <c r="FF278" s="44" t="str">
        <f t="shared" si="3706"/>
        <v/>
      </c>
      <c r="FG278" s="44" t="str">
        <f t="shared" si="3707"/>
        <v/>
      </c>
      <c r="FH278" s="44" t="str">
        <f t="shared" si="3708"/>
        <v/>
      </c>
      <c r="FI278" s="44" t="str">
        <f t="shared" si="3709"/>
        <v/>
      </c>
      <c r="FJ278" s="44" t="str">
        <f t="shared" si="3710"/>
        <v/>
      </c>
      <c r="FK278" s="44" t="str">
        <f t="shared" si="3711"/>
        <v/>
      </c>
      <c r="FL278" s="44" t="str">
        <f t="shared" si="3712"/>
        <v/>
      </c>
      <c r="FM278" s="44" t="str">
        <f t="shared" si="3713"/>
        <v/>
      </c>
      <c r="FN278" s="44" t="str">
        <f t="shared" si="3714"/>
        <v/>
      </c>
      <c r="FO278" s="44" t="str">
        <f t="shared" si="3715"/>
        <v/>
      </c>
      <c r="FP278" s="44" t="str">
        <f t="shared" si="3716"/>
        <v/>
      </c>
      <c r="FQ278" s="44" t="str">
        <f t="shared" si="3717"/>
        <v/>
      </c>
      <c r="FR278" s="44" t="str">
        <f t="shared" si="3718"/>
        <v/>
      </c>
      <c r="FS278" s="44" t="str">
        <f t="shared" si="3719"/>
        <v/>
      </c>
    </row>
    <row r="279" spans="1:175">
      <c r="CN279" s="13" t="str">
        <f t="shared" si="3644"/>
        <v>InitUnitState('',,,,,,,,,,)</v>
      </c>
      <c r="CO279" s="13" t="str">
        <f t="shared" si="3645"/>
        <v>InitUnitNormal('',,,,,,,,,,)</v>
      </c>
      <c r="CP279" s="13" t="str">
        <f t="shared" si="3646"/>
        <v>InitUnitMagic('',,,,,,,,,,)</v>
      </c>
      <c r="CQ279" s="13" t="str">
        <f t="shared" si="3647"/>
        <v>InitUnitAdd('',,,,,,,,,,)</v>
      </c>
      <c r="CR279" s="13" t="str">
        <f t="shared" si="3648"/>
        <v>InitEquipData('',,"",,,,,'','','','','','',"")</v>
      </c>
      <c r="CU279" s="6" t="str">
        <f t="shared" si="3649"/>
        <v>|n</v>
      </c>
      <c r="CW279" s="7"/>
      <c r="CX279" s="7"/>
      <c r="CY279" s="7"/>
      <c r="CZ279" s="7"/>
      <c r="DA279" s="7"/>
      <c r="DB279" s="44" t="str">
        <f t="shared" si="3650"/>
        <v/>
      </c>
      <c r="DC279" s="44" t="str">
        <f t="shared" si="3651"/>
        <v/>
      </c>
      <c r="DD279" s="44" t="str">
        <f t="shared" si="3652"/>
        <v/>
      </c>
      <c r="DE279" s="44" t="str">
        <f t="shared" si="3653"/>
        <v/>
      </c>
      <c r="DF279" s="44" t="str">
        <f t="shared" si="3654"/>
        <v/>
      </c>
      <c r="DG279" s="44" t="str">
        <f t="shared" si="3655"/>
        <v/>
      </c>
      <c r="DH279" s="44" t="str">
        <f t="shared" si="3656"/>
        <v/>
      </c>
      <c r="DI279" s="44" t="str">
        <f t="shared" si="3657"/>
        <v/>
      </c>
      <c r="DJ279" s="44" t="str">
        <f t="shared" si="3658"/>
        <v/>
      </c>
      <c r="DK279" s="44" t="str">
        <f t="shared" si="3659"/>
        <v/>
      </c>
      <c r="DL279" s="44" t="str">
        <f t="shared" si="3660"/>
        <v/>
      </c>
      <c r="DM279" s="44" t="str">
        <f t="shared" si="3661"/>
        <v/>
      </c>
      <c r="DN279" s="44" t="str">
        <f t="shared" si="3662"/>
        <v/>
      </c>
      <c r="DO279" s="44" t="str">
        <f t="shared" si="3663"/>
        <v/>
      </c>
      <c r="DP279" s="44" t="str">
        <f t="shared" si="3664"/>
        <v/>
      </c>
      <c r="DQ279" s="44" t="str">
        <f t="shared" si="3665"/>
        <v/>
      </c>
      <c r="DR279" s="44" t="str">
        <f t="shared" si="3666"/>
        <v/>
      </c>
      <c r="DS279" s="44" t="str">
        <f t="shared" si="3667"/>
        <v/>
      </c>
      <c r="DT279" s="44" t="str">
        <f t="shared" si="3668"/>
        <v/>
      </c>
      <c r="DU279" s="44" t="str">
        <f t="shared" si="3669"/>
        <v/>
      </c>
      <c r="DV279" s="44" t="str">
        <f t="shared" si="3670"/>
        <v/>
      </c>
      <c r="DW279" s="44" t="str">
        <f t="shared" si="3671"/>
        <v/>
      </c>
      <c r="DX279" s="44" t="str">
        <f t="shared" si="3672"/>
        <v/>
      </c>
      <c r="DY279" s="44" t="str">
        <f t="shared" si="3673"/>
        <v/>
      </c>
      <c r="DZ279" s="44" t="str">
        <f t="shared" si="3674"/>
        <v/>
      </c>
      <c r="EA279" s="44" t="str">
        <f t="shared" si="3675"/>
        <v/>
      </c>
      <c r="EB279" s="44" t="str">
        <f t="shared" si="3676"/>
        <v/>
      </c>
      <c r="EC279" s="44" t="str">
        <f t="shared" si="3677"/>
        <v/>
      </c>
      <c r="ED279" s="44" t="str">
        <f t="shared" si="3678"/>
        <v/>
      </c>
      <c r="EE279" s="44" t="str">
        <f t="shared" si="3679"/>
        <v/>
      </c>
      <c r="EF279" s="44" t="str">
        <f t="shared" si="3680"/>
        <v/>
      </c>
      <c r="EG279" s="44" t="str">
        <f t="shared" si="3681"/>
        <v/>
      </c>
      <c r="EH279" s="44" t="str">
        <f t="shared" si="3682"/>
        <v/>
      </c>
      <c r="EI279" s="44" t="str">
        <f t="shared" si="3683"/>
        <v/>
      </c>
      <c r="EJ279" s="44" t="str">
        <f t="shared" si="3684"/>
        <v/>
      </c>
      <c r="EK279" s="44" t="str">
        <f t="shared" si="3685"/>
        <v/>
      </c>
      <c r="EL279" s="44" t="str">
        <f t="shared" si="3686"/>
        <v/>
      </c>
      <c r="EM279" s="44" t="str">
        <f t="shared" si="3687"/>
        <v/>
      </c>
      <c r="EN279" s="44" t="str">
        <f t="shared" si="3688"/>
        <v/>
      </c>
      <c r="EO279" s="44" t="str">
        <f t="shared" si="3689"/>
        <v/>
      </c>
      <c r="EP279" s="44" t="str">
        <f t="shared" si="3690"/>
        <v/>
      </c>
      <c r="EQ279" s="44" t="str">
        <f t="shared" si="3691"/>
        <v/>
      </c>
      <c r="ER279" s="44" t="str">
        <f t="shared" si="3692"/>
        <v/>
      </c>
      <c r="ES279" s="44" t="str">
        <f t="shared" si="3693"/>
        <v/>
      </c>
      <c r="ET279" s="44" t="str">
        <f t="shared" si="3694"/>
        <v/>
      </c>
      <c r="EU279" s="44" t="str">
        <f t="shared" si="3695"/>
        <v/>
      </c>
      <c r="EV279" s="44" t="str">
        <f t="shared" si="3696"/>
        <v/>
      </c>
      <c r="EW279" s="44" t="str">
        <f t="shared" si="3697"/>
        <v/>
      </c>
      <c r="EX279" s="44" t="str">
        <f t="shared" si="3698"/>
        <v/>
      </c>
      <c r="EY279" s="44" t="str">
        <f t="shared" si="3699"/>
        <v/>
      </c>
      <c r="EZ279" s="44" t="str">
        <f t="shared" si="3700"/>
        <v/>
      </c>
      <c r="FA279" s="44" t="str">
        <f t="shared" si="3701"/>
        <v/>
      </c>
      <c r="FB279" s="44" t="str">
        <f t="shared" si="3702"/>
        <v/>
      </c>
      <c r="FC279" s="44" t="str">
        <f t="shared" si="3703"/>
        <v/>
      </c>
      <c r="FD279" s="44" t="str">
        <f t="shared" si="3704"/>
        <v/>
      </c>
      <c r="FE279" s="44" t="str">
        <f t="shared" si="3705"/>
        <v/>
      </c>
      <c r="FF279" s="44" t="str">
        <f t="shared" si="3706"/>
        <v/>
      </c>
      <c r="FG279" s="44" t="str">
        <f t="shared" si="3707"/>
        <v/>
      </c>
      <c r="FH279" s="44" t="str">
        <f t="shared" si="3708"/>
        <v/>
      </c>
      <c r="FI279" s="44" t="str">
        <f t="shared" si="3709"/>
        <v/>
      </c>
      <c r="FJ279" s="44" t="str">
        <f t="shared" si="3710"/>
        <v/>
      </c>
      <c r="FK279" s="44" t="str">
        <f t="shared" si="3711"/>
        <v/>
      </c>
      <c r="FL279" s="44" t="str">
        <f t="shared" si="3712"/>
        <v/>
      </c>
      <c r="FM279" s="44" t="str">
        <f t="shared" si="3713"/>
        <v/>
      </c>
      <c r="FN279" s="44" t="str">
        <f t="shared" si="3714"/>
        <v/>
      </c>
      <c r="FO279" s="44" t="str">
        <f t="shared" si="3715"/>
        <v/>
      </c>
      <c r="FP279" s="44" t="str">
        <f t="shared" si="3716"/>
        <v/>
      </c>
      <c r="FQ279" s="44" t="str">
        <f t="shared" si="3717"/>
        <v/>
      </c>
      <c r="FR279" s="44" t="str">
        <f t="shared" si="3718"/>
        <v/>
      </c>
      <c r="FS279" s="44" t="str">
        <f t="shared" si="3719"/>
        <v/>
      </c>
    </row>
    <row r="280" spans="1:175">
      <c r="CN280" s="13" t="str">
        <f t="shared" si="3644"/>
        <v>InitUnitState('',,,,,,,,,,)</v>
      </c>
      <c r="CO280" s="13" t="str">
        <f t="shared" si="3645"/>
        <v>InitUnitNormal('',,,,,,,,,,)</v>
      </c>
      <c r="CP280" s="13" t="str">
        <f t="shared" si="3646"/>
        <v>InitUnitMagic('',,,,,,,,,,)</v>
      </c>
      <c r="CQ280" s="13" t="str">
        <f t="shared" si="3647"/>
        <v>InitUnitAdd('',,,,,,,,,,)</v>
      </c>
      <c r="CR280" s="13" t="str">
        <f t="shared" si="3648"/>
        <v>InitEquipData('',,"",,,,,'','','','','','',"")</v>
      </c>
      <c r="CU280" s="6" t="str">
        <f t="shared" si="3649"/>
        <v>|n</v>
      </c>
      <c r="CW280" s="7"/>
      <c r="CX280" s="7"/>
      <c r="CY280" s="7"/>
      <c r="CZ280" s="7"/>
      <c r="DA280" s="7"/>
      <c r="DB280" s="44" t="str">
        <f t="shared" si="3650"/>
        <v/>
      </c>
      <c r="DC280" s="44" t="str">
        <f t="shared" si="3651"/>
        <v/>
      </c>
      <c r="DD280" s="44" t="str">
        <f t="shared" si="3652"/>
        <v/>
      </c>
      <c r="DE280" s="44" t="str">
        <f t="shared" si="3653"/>
        <v/>
      </c>
      <c r="DF280" s="44" t="str">
        <f t="shared" si="3654"/>
        <v/>
      </c>
      <c r="DG280" s="44" t="str">
        <f t="shared" si="3655"/>
        <v/>
      </c>
      <c r="DH280" s="44" t="str">
        <f t="shared" si="3656"/>
        <v/>
      </c>
      <c r="DI280" s="44" t="str">
        <f t="shared" si="3657"/>
        <v/>
      </c>
      <c r="DJ280" s="44" t="str">
        <f t="shared" si="3658"/>
        <v/>
      </c>
      <c r="DK280" s="44" t="str">
        <f t="shared" si="3659"/>
        <v/>
      </c>
      <c r="DL280" s="44" t="str">
        <f t="shared" si="3660"/>
        <v/>
      </c>
      <c r="DM280" s="44" t="str">
        <f t="shared" si="3661"/>
        <v/>
      </c>
      <c r="DN280" s="44" t="str">
        <f t="shared" si="3662"/>
        <v/>
      </c>
      <c r="DO280" s="44" t="str">
        <f t="shared" si="3663"/>
        <v/>
      </c>
      <c r="DP280" s="44" t="str">
        <f t="shared" si="3664"/>
        <v/>
      </c>
      <c r="DQ280" s="44" t="str">
        <f t="shared" si="3665"/>
        <v/>
      </c>
      <c r="DR280" s="44" t="str">
        <f t="shared" si="3666"/>
        <v/>
      </c>
      <c r="DS280" s="44" t="str">
        <f t="shared" si="3667"/>
        <v/>
      </c>
      <c r="DT280" s="44" t="str">
        <f t="shared" si="3668"/>
        <v/>
      </c>
      <c r="DU280" s="44" t="str">
        <f t="shared" si="3669"/>
        <v/>
      </c>
      <c r="DV280" s="44" t="str">
        <f t="shared" si="3670"/>
        <v/>
      </c>
      <c r="DW280" s="44" t="str">
        <f t="shared" si="3671"/>
        <v/>
      </c>
      <c r="DX280" s="44" t="str">
        <f t="shared" si="3672"/>
        <v/>
      </c>
      <c r="DY280" s="44" t="str">
        <f t="shared" si="3673"/>
        <v/>
      </c>
      <c r="DZ280" s="44" t="str">
        <f t="shared" si="3674"/>
        <v/>
      </c>
      <c r="EA280" s="44" t="str">
        <f t="shared" si="3675"/>
        <v/>
      </c>
      <c r="EB280" s="44" t="str">
        <f t="shared" si="3676"/>
        <v/>
      </c>
      <c r="EC280" s="44" t="str">
        <f t="shared" si="3677"/>
        <v/>
      </c>
      <c r="ED280" s="44" t="str">
        <f t="shared" si="3678"/>
        <v/>
      </c>
      <c r="EE280" s="44" t="str">
        <f t="shared" si="3679"/>
        <v/>
      </c>
      <c r="EF280" s="44" t="str">
        <f t="shared" si="3680"/>
        <v/>
      </c>
      <c r="EG280" s="44" t="str">
        <f t="shared" si="3681"/>
        <v/>
      </c>
      <c r="EH280" s="44" t="str">
        <f t="shared" si="3682"/>
        <v/>
      </c>
      <c r="EI280" s="44" t="str">
        <f t="shared" si="3683"/>
        <v/>
      </c>
      <c r="EJ280" s="44" t="str">
        <f t="shared" si="3684"/>
        <v/>
      </c>
      <c r="EK280" s="44" t="str">
        <f t="shared" si="3685"/>
        <v/>
      </c>
      <c r="EL280" s="44" t="str">
        <f t="shared" si="3686"/>
        <v/>
      </c>
      <c r="EM280" s="44" t="str">
        <f t="shared" si="3687"/>
        <v/>
      </c>
      <c r="EN280" s="44" t="str">
        <f t="shared" si="3688"/>
        <v/>
      </c>
      <c r="EO280" s="44" t="str">
        <f t="shared" si="3689"/>
        <v/>
      </c>
      <c r="EP280" s="44" t="str">
        <f t="shared" si="3690"/>
        <v/>
      </c>
      <c r="EQ280" s="44" t="str">
        <f t="shared" si="3691"/>
        <v/>
      </c>
      <c r="ER280" s="44" t="str">
        <f t="shared" si="3692"/>
        <v/>
      </c>
      <c r="ES280" s="44" t="str">
        <f t="shared" si="3693"/>
        <v/>
      </c>
      <c r="ET280" s="44" t="str">
        <f t="shared" si="3694"/>
        <v/>
      </c>
      <c r="EU280" s="44" t="str">
        <f t="shared" si="3695"/>
        <v/>
      </c>
      <c r="EV280" s="44" t="str">
        <f t="shared" si="3696"/>
        <v/>
      </c>
      <c r="EW280" s="44" t="str">
        <f t="shared" si="3697"/>
        <v/>
      </c>
      <c r="EX280" s="44" t="str">
        <f t="shared" si="3698"/>
        <v/>
      </c>
      <c r="EY280" s="44" t="str">
        <f t="shared" si="3699"/>
        <v/>
      </c>
      <c r="EZ280" s="44" t="str">
        <f t="shared" si="3700"/>
        <v/>
      </c>
      <c r="FA280" s="44" t="str">
        <f t="shared" si="3701"/>
        <v/>
      </c>
      <c r="FB280" s="44" t="str">
        <f t="shared" si="3702"/>
        <v/>
      </c>
      <c r="FC280" s="44" t="str">
        <f t="shared" si="3703"/>
        <v/>
      </c>
      <c r="FD280" s="44" t="str">
        <f t="shared" si="3704"/>
        <v/>
      </c>
      <c r="FE280" s="44" t="str">
        <f t="shared" si="3705"/>
        <v/>
      </c>
      <c r="FF280" s="44" t="str">
        <f t="shared" si="3706"/>
        <v/>
      </c>
      <c r="FG280" s="44" t="str">
        <f t="shared" si="3707"/>
        <v/>
      </c>
      <c r="FH280" s="44" t="str">
        <f t="shared" si="3708"/>
        <v/>
      </c>
      <c r="FI280" s="44" t="str">
        <f t="shared" si="3709"/>
        <v/>
      </c>
      <c r="FJ280" s="44" t="str">
        <f t="shared" si="3710"/>
        <v/>
      </c>
      <c r="FK280" s="44" t="str">
        <f t="shared" si="3711"/>
        <v/>
      </c>
      <c r="FL280" s="44" t="str">
        <f t="shared" si="3712"/>
        <v/>
      </c>
      <c r="FM280" s="44" t="str">
        <f t="shared" si="3713"/>
        <v/>
      </c>
      <c r="FN280" s="44" t="str">
        <f t="shared" si="3714"/>
        <v/>
      </c>
      <c r="FO280" s="44" t="str">
        <f t="shared" si="3715"/>
        <v/>
      </c>
      <c r="FP280" s="44" t="str">
        <f t="shared" si="3716"/>
        <v/>
      </c>
      <c r="FQ280" s="44" t="str">
        <f t="shared" si="3717"/>
        <v/>
      </c>
      <c r="FR280" s="44" t="str">
        <f t="shared" si="3718"/>
        <v/>
      </c>
      <c r="FS280" s="44" t="str">
        <f t="shared" si="3719"/>
        <v/>
      </c>
    </row>
    <row r="281" spans="1:175">
      <c r="CN281" s="13" t="str">
        <f t="shared" si="3644"/>
        <v>InitUnitState('',,,,,,,,,,)</v>
      </c>
      <c r="CO281" s="13" t="str">
        <f t="shared" si="3645"/>
        <v>InitUnitNormal('',,,,,,,,,,)</v>
      </c>
      <c r="CP281" s="13" t="str">
        <f t="shared" si="3646"/>
        <v>InitUnitMagic('',,,,,,,,,,)</v>
      </c>
      <c r="CQ281" s="13" t="str">
        <f t="shared" si="3647"/>
        <v>InitUnitAdd('',,,,,,,,,,)</v>
      </c>
      <c r="CR281" s="13" t="str">
        <f t="shared" si="3648"/>
        <v>InitEquipData('',,"",,,,,'','','','','','',"")</v>
      </c>
      <c r="CU281" s="6" t="str">
        <f t="shared" si="3649"/>
        <v>|n</v>
      </c>
      <c r="CW281" s="7"/>
      <c r="CX281" s="7"/>
      <c r="CY281" s="7"/>
      <c r="CZ281" s="7"/>
      <c r="DA281" s="7"/>
      <c r="DB281" s="44" t="str">
        <f t="shared" si="3650"/>
        <v/>
      </c>
      <c r="DC281" s="44" t="str">
        <f t="shared" si="3651"/>
        <v/>
      </c>
      <c r="DD281" s="44" t="str">
        <f t="shared" si="3652"/>
        <v/>
      </c>
      <c r="DE281" s="44" t="str">
        <f t="shared" si="3653"/>
        <v/>
      </c>
      <c r="DF281" s="44" t="str">
        <f t="shared" si="3654"/>
        <v/>
      </c>
      <c r="DG281" s="44" t="str">
        <f t="shared" si="3655"/>
        <v/>
      </c>
      <c r="DH281" s="44" t="str">
        <f t="shared" si="3656"/>
        <v/>
      </c>
      <c r="DI281" s="44" t="str">
        <f t="shared" si="3657"/>
        <v/>
      </c>
      <c r="DJ281" s="44" t="str">
        <f t="shared" si="3658"/>
        <v/>
      </c>
      <c r="DK281" s="44" t="str">
        <f t="shared" si="3659"/>
        <v/>
      </c>
      <c r="DL281" s="44" t="str">
        <f t="shared" si="3660"/>
        <v/>
      </c>
      <c r="DM281" s="44" t="str">
        <f t="shared" si="3661"/>
        <v/>
      </c>
      <c r="DN281" s="44" t="str">
        <f t="shared" si="3662"/>
        <v/>
      </c>
      <c r="DO281" s="44" t="str">
        <f t="shared" si="3663"/>
        <v/>
      </c>
      <c r="DP281" s="44" t="str">
        <f t="shared" si="3664"/>
        <v/>
      </c>
      <c r="DQ281" s="44" t="str">
        <f t="shared" si="3665"/>
        <v/>
      </c>
      <c r="DR281" s="44" t="str">
        <f t="shared" si="3666"/>
        <v/>
      </c>
      <c r="DS281" s="44" t="str">
        <f t="shared" si="3667"/>
        <v/>
      </c>
      <c r="DT281" s="44" t="str">
        <f t="shared" si="3668"/>
        <v/>
      </c>
      <c r="DU281" s="44" t="str">
        <f t="shared" si="3669"/>
        <v/>
      </c>
      <c r="DV281" s="44" t="str">
        <f t="shared" si="3670"/>
        <v/>
      </c>
      <c r="DW281" s="44" t="str">
        <f t="shared" si="3671"/>
        <v/>
      </c>
      <c r="DX281" s="44" t="str">
        <f t="shared" si="3672"/>
        <v/>
      </c>
      <c r="DY281" s="44" t="str">
        <f t="shared" si="3673"/>
        <v/>
      </c>
      <c r="DZ281" s="44" t="str">
        <f t="shared" si="3674"/>
        <v/>
      </c>
      <c r="EA281" s="44" t="str">
        <f t="shared" si="3675"/>
        <v/>
      </c>
      <c r="EB281" s="44" t="str">
        <f t="shared" si="3676"/>
        <v/>
      </c>
      <c r="EC281" s="44" t="str">
        <f t="shared" si="3677"/>
        <v/>
      </c>
      <c r="ED281" s="44" t="str">
        <f t="shared" si="3678"/>
        <v/>
      </c>
      <c r="EE281" s="44" t="str">
        <f t="shared" si="3679"/>
        <v/>
      </c>
      <c r="EF281" s="44" t="str">
        <f t="shared" si="3680"/>
        <v/>
      </c>
      <c r="EG281" s="44" t="str">
        <f t="shared" si="3681"/>
        <v/>
      </c>
      <c r="EH281" s="44" t="str">
        <f t="shared" si="3682"/>
        <v/>
      </c>
      <c r="EI281" s="44" t="str">
        <f t="shared" si="3683"/>
        <v/>
      </c>
      <c r="EJ281" s="44" t="str">
        <f t="shared" si="3684"/>
        <v/>
      </c>
      <c r="EK281" s="44" t="str">
        <f t="shared" si="3685"/>
        <v/>
      </c>
      <c r="EL281" s="44" t="str">
        <f t="shared" si="3686"/>
        <v/>
      </c>
      <c r="EM281" s="44" t="str">
        <f t="shared" si="3687"/>
        <v/>
      </c>
      <c r="EN281" s="44" t="str">
        <f t="shared" si="3688"/>
        <v/>
      </c>
      <c r="EO281" s="44" t="str">
        <f t="shared" si="3689"/>
        <v/>
      </c>
      <c r="EP281" s="44" t="str">
        <f t="shared" si="3690"/>
        <v/>
      </c>
      <c r="EQ281" s="44" t="str">
        <f t="shared" si="3691"/>
        <v/>
      </c>
      <c r="ER281" s="44" t="str">
        <f t="shared" si="3692"/>
        <v/>
      </c>
      <c r="ES281" s="44" t="str">
        <f t="shared" si="3693"/>
        <v/>
      </c>
      <c r="ET281" s="44" t="str">
        <f t="shared" si="3694"/>
        <v/>
      </c>
      <c r="EU281" s="44" t="str">
        <f t="shared" si="3695"/>
        <v/>
      </c>
      <c r="EV281" s="44" t="str">
        <f t="shared" si="3696"/>
        <v/>
      </c>
      <c r="EW281" s="44" t="str">
        <f t="shared" si="3697"/>
        <v/>
      </c>
      <c r="EX281" s="44" t="str">
        <f t="shared" si="3698"/>
        <v/>
      </c>
      <c r="EY281" s="44" t="str">
        <f t="shared" si="3699"/>
        <v/>
      </c>
      <c r="EZ281" s="44" t="str">
        <f t="shared" si="3700"/>
        <v/>
      </c>
      <c r="FA281" s="44" t="str">
        <f t="shared" si="3701"/>
        <v/>
      </c>
      <c r="FB281" s="44" t="str">
        <f t="shared" si="3702"/>
        <v/>
      </c>
      <c r="FC281" s="44" t="str">
        <f t="shared" si="3703"/>
        <v/>
      </c>
      <c r="FD281" s="44" t="str">
        <f t="shared" si="3704"/>
        <v/>
      </c>
      <c r="FE281" s="44" t="str">
        <f t="shared" si="3705"/>
        <v/>
      </c>
      <c r="FF281" s="44" t="str">
        <f t="shared" si="3706"/>
        <v/>
      </c>
      <c r="FG281" s="44" t="str">
        <f t="shared" si="3707"/>
        <v/>
      </c>
      <c r="FH281" s="44" t="str">
        <f t="shared" si="3708"/>
        <v/>
      </c>
      <c r="FI281" s="44" t="str">
        <f t="shared" si="3709"/>
        <v/>
      </c>
      <c r="FJ281" s="44" t="str">
        <f t="shared" si="3710"/>
        <v/>
      </c>
      <c r="FK281" s="44" t="str">
        <f t="shared" si="3711"/>
        <v/>
      </c>
      <c r="FL281" s="44" t="str">
        <f t="shared" si="3712"/>
        <v/>
      </c>
      <c r="FM281" s="44" t="str">
        <f t="shared" si="3713"/>
        <v/>
      </c>
      <c r="FN281" s="44" t="str">
        <f t="shared" si="3714"/>
        <v/>
      </c>
      <c r="FO281" s="44" t="str">
        <f t="shared" si="3715"/>
        <v/>
      </c>
      <c r="FP281" s="44" t="str">
        <f t="shared" si="3716"/>
        <v/>
      </c>
      <c r="FQ281" s="44" t="str">
        <f t="shared" si="3717"/>
        <v/>
      </c>
      <c r="FR281" s="44" t="str">
        <f t="shared" si="3718"/>
        <v/>
      </c>
      <c r="FS281" s="44" t="str">
        <f t="shared" si="3719"/>
        <v/>
      </c>
    </row>
    <row r="282" spans="1:175">
      <c r="CN282" s="13" t="str">
        <f t="shared" si="3644"/>
        <v>InitUnitState('',,,,,,,,,,)</v>
      </c>
      <c r="CO282" s="13" t="str">
        <f t="shared" si="3645"/>
        <v>InitUnitNormal('',,,,,,,,,,)</v>
      </c>
      <c r="CP282" s="13" t="str">
        <f t="shared" si="3646"/>
        <v>InitUnitMagic('',,,,,,,,,,)</v>
      </c>
      <c r="CQ282" s="13" t="str">
        <f t="shared" si="3647"/>
        <v>InitUnitAdd('',,,,,,,,,,)</v>
      </c>
      <c r="CR282" s="13" t="str">
        <f t="shared" si="3648"/>
        <v>InitEquipData('',,"",,,,,'','','','','','',"")</v>
      </c>
      <c r="CU282" s="6" t="str">
        <f t="shared" si="3649"/>
        <v>|n</v>
      </c>
      <c r="CW282" s="7"/>
      <c r="CX282" s="7"/>
      <c r="CY282" s="7"/>
      <c r="CZ282" s="7"/>
      <c r="DA282" s="7"/>
      <c r="DB282" s="44" t="str">
        <f t="shared" si="3650"/>
        <v/>
      </c>
      <c r="DC282" s="44" t="str">
        <f t="shared" si="3651"/>
        <v/>
      </c>
      <c r="DD282" s="44" t="str">
        <f t="shared" si="3652"/>
        <v/>
      </c>
      <c r="DE282" s="44" t="str">
        <f t="shared" si="3653"/>
        <v/>
      </c>
      <c r="DF282" s="44" t="str">
        <f t="shared" si="3654"/>
        <v/>
      </c>
      <c r="DG282" s="44" t="str">
        <f t="shared" si="3655"/>
        <v/>
      </c>
      <c r="DH282" s="44" t="str">
        <f t="shared" si="3656"/>
        <v/>
      </c>
      <c r="DI282" s="44" t="str">
        <f t="shared" si="3657"/>
        <v/>
      </c>
      <c r="DJ282" s="44" t="str">
        <f t="shared" si="3658"/>
        <v/>
      </c>
      <c r="DK282" s="44" t="str">
        <f t="shared" si="3659"/>
        <v/>
      </c>
      <c r="DL282" s="44" t="str">
        <f t="shared" si="3660"/>
        <v/>
      </c>
      <c r="DM282" s="44" t="str">
        <f t="shared" si="3661"/>
        <v/>
      </c>
      <c r="DN282" s="44" t="str">
        <f t="shared" si="3662"/>
        <v/>
      </c>
      <c r="DO282" s="44" t="str">
        <f t="shared" si="3663"/>
        <v/>
      </c>
      <c r="DP282" s="44" t="str">
        <f t="shared" si="3664"/>
        <v/>
      </c>
      <c r="DQ282" s="44" t="str">
        <f t="shared" si="3665"/>
        <v/>
      </c>
      <c r="DR282" s="44" t="str">
        <f t="shared" si="3666"/>
        <v/>
      </c>
      <c r="DS282" s="44" t="str">
        <f t="shared" si="3667"/>
        <v/>
      </c>
      <c r="DT282" s="44" t="str">
        <f t="shared" si="3668"/>
        <v/>
      </c>
      <c r="DU282" s="44" t="str">
        <f t="shared" si="3669"/>
        <v/>
      </c>
      <c r="DV282" s="44" t="str">
        <f t="shared" si="3670"/>
        <v/>
      </c>
      <c r="DW282" s="44" t="str">
        <f t="shared" si="3671"/>
        <v/>
      </c>
      <c r="DX282" s="44" t="str">
        <f t="shared" si="3672"/>
        <v/>
      </c>
      <c r="DY282" s="44" t="str">
        <f t="shared" si="3673"/>
        <v/>
      </c>
      <c r="DZ282" s="44" t="str">
        <f t="shared" si="3674"/>
        <v/>
      </c>
      <c r="EA282" s="44" t="str">
        <f t="shared" si="3675"/>
        <v/>
      </c>
      <c r="EB282" s="44" t="str">
        <f t="shared" si="3676"/>
        <v/>
      </c>
      <c r="EC282" s="44" t="str">
        <f t="shared" si="3677"/>
        <v/>
      </c>
      <c r="ED282" s="44" t="str">
        <f t="shared" si="3678"/>
        <v/>
      </c>
      <c r="EE282" s="44" t="str">
        <f t="shared" si="3679"/>
        <v/>
      </c>
      <c r="EF282" s="44" t="str">
        <f t="shared" si="3680"/>
        <v/>
      </c>
      <c r="EG282" s="44" t="str">
        <f t="shared" si="3681"/>
        <v/>
      </c>
      <c r="EH282" s="44" t="str">
        <f t="shared" si="3682"/>
        <v/>
      </c>
      <c r="EI282" s="44" t="str">
        <f t="shared" si="3683"/>
        <v/>
      </c>
      <c r="EJ282" s="44" t="str">
        <f t="shared" si="3684"/>
        <v/>
      </c>
      <c r="EK282" s="44" t="str">
        <f t="shared" si="3685"/>
        <v/>
      </c>
      <c r="EL282" s="44" t="str">
        <f t="shared" si="3686"/>
        <v/>
      </c>
      <c r="EM282" s="44" t="str">
        <f t="shared" si="3687"/>
        <v/>
      </c>
      <c r="EN282" s="44" t="str">
        <f t="shared" si="3688"/>
        <v/>
      </c>
      <c r="EO282" s="44" t="str">
        <f t="shared" si="3689"/>
        <v/>
      </c>
      <c r="EP282" s="44" t="str">
        <f t="shared" si="3690"/>
        <v/>
      </c>
      <c r="EQ282" s="44" t="str">
        <f t="shared" si="3691"/>
        <v/>
      </c>
      <c r="ER282" s="44" t="str">
        <f t="shared" si="3692"/>
        <v/>
      </c>
      <c r="ES282" s="44" t="str">
        <f t="shared" si="3693"/>
        <v/>
      </c>
      <c r="ET282" s="44" t="str">
        <f t="shared" si="3694"/>
        <v/>
      </c>
      <c r="EU282" s="44" t="str">
        <f t="shared" si="3695"/>
        <v/>
      </c>
      <c r="EV282" s="44" t="str">
        <f t="shared" si="3696"/>
        <v/>
      </c>
      <c r="EW282" s="44" t="str">
        <f t="shared" si="3697"/>
        <v/>
      </c>
      <c r="EX282" s="44" t="str">
        <f t="shared" si="3698"/>
        <v/>
      </c>
      <c r="EY282" s="44" t="str">
        <f t="shared" si="3699"/>
        <v/>
      </c>
      <c r="EZ282" s="44" t="str">
        <f t="shared" si="3700"/>
        <v/>
      </c>
      <c r="FA282" s="44" t="str">
        <f t="shared" si="3701"/>
        <v/>
      </c>
      <c r="FB282" s="44" t="str">
        <f t="shared" si="3702"/>
        <v/>
      </c>
      <c r="FC282" s="44" t="str">
        <f t="shared" si="3703"/>
        <v/>
      </c>
      <c r="FD282" s="44" t="str">
        <f t="shared" si="3704"/>
        <v/>
      </c>
      <c r="FE282" s="44" t="str">
        <f t="shared" si="3705"/>
        <v/>
      </c>
      <c r="FF282" s="44" t="str">
        <f t="shared" si="3706"/>
        <v/>
      </c>
      <c r="FG282" s="44" t="str">
        <f t="shared" si="3707"/>
        <v/>
      </c>
      <c r="FH282" s="44" t="str">
        <f t="shared" si="3708"/>
        <v/>
      </c>
      <c r="FI282" s="44" t="str">
        <f t="shared" si="3709"/>
        <v/>
      </c>
      <c r="FJ282" s="44" t="str">
        <f t="shared" si="3710"/>
        <v/>
      </c>
      <c r="FK282" s="44" t="str">
        <f t="shared" si="3711"/>
        <v/>
      </c>
      <c r="FL282" s="44" t="str">
        <f t="shared" si="3712"/>
        <v/>
      </c>
      <c r="FM282" s="44" t="str">
        <f t="shared" si="3713"/>
        <v/>
      </c>
      <c r="FN282" s="44" t="str">
        <f t="shared" si="3714"/>
        <v/>
      </c>
      <c r="FO282" s="44" t="str">
        <f t="shared" si="3715"/>
        <v/>
      </c>
      <c r="FP282" s="44" t="str">
        <f t="shared" si="3716"/>
        <v/>
      </c>
      <c r="FQ282" s="44" t="str">
        <f t="shared" si="3717"/>
        <v/>
      </c>
      <c r="FR282" s="44" t="str">
        <f t="shared" si="3718"/>
        <v/>
      </c>
      <c r="FS282" s="44" t="str">
        <f t="shared" si="3719"/>
        <v/>
      </c>
    </row>
    <row r="283" spans="1:175">
      <c r="CN283" s="13" t="str">
        <f t="shared" si="3644"/>
        <v>InitUnitState('',,,,,,,,,,)</v>
      </c>
      <c r="CO283" s="13" t="str">
        <f t="shared" si="3645"/>
        <v>InitUnitNormal('',,,,,,,,,,)</v>
      </c>
      <c r="CP283" s="13" t="str">
        <f t="shared" si="3646"/>
        <v>InitUnitMagic('',,,,,,,,,,)</v>
      </c>
      <c r="CQ283" s="13" t="str">
        <f t="shared" si="3647"/>
        <v>InitUnitAdd('',,,,,,,,,,)</v>
      </c>
      <c r="CR283" s="13" t="str">
        <f t="shared" si="3648"/>
        <v>InitEquipData('',,"",,,,,'','','','','','',"")</v>
      </c>
      <c r="CU283" s="6" t="str">
        <f t="shared" si="3649"/>
        <v>|n</v>
      </c>
      <c r="CW283" s="7"/>
      <c r="CX283" s="7"/>
      <c r="CY283" s="7"/>
      <c r="CZ283" s="7"/>
      <c r="DA283" s="7"/>
      <c r="DB283" s="44" t="str">
        <f t="shared" si="3650"/>
        <v/>
      </c>
      <c r="DC283" s="44" t="str">
        <f t="shared" si="3651"/>
        <v/>
      </c>
      <c r="DD283" s="44" t="str">
        <f t="shared" si="3652"/>
        <v/>
      </c>
      <c r="DE283" s="44" t="str">
        <f t="shared" si="3653"/>
        <v/>
      </c>
      <c r="DF283" s="44" t="str">
        <f t="shared" si="3654"/>
        <v/>
      </c>
      <c r="DG283" s="44" t="str">
        <f t="shared" si="3655"/>
        <v/>
      </c>
      <c r="DH283" s="44" t="str">
        <f t="shared" si="3656"/>
        <v/>
      </c>
      <c r="DI283" s="44" t="str">
        <f t="shared" si="3657"/>
        <v/>
      </c>
      <c r="DJ283" s="44" t="str">
        <f t="shared" si="3658"/>
        <v/>
      </c>
      <c r="DK283" s="44" t="str">
        <f t="shared" si="3659"/>
        <v/>
      </c>
      <c r="DL283" s="44" t="str">
        <f t="shared" si="3660"/>
        <v/>
      </c>
      <c r="DM283" s="44" t="str">
        <f t="shared" si="3661"/>
        <v/>
      </c>
      <c r="DN283" s="44" t="str">
        <f t="shared" si="3662"/>
        <v/>
      </c>
      <c r="DO283" s="44" t="str">
        <f t="shared" si="3663"/>
        <v/>
      </c>
      <c r="DP283" s="44" t="str">
        <f t="shared" si="3664"/>
        <v/>
      </c>
      <c r="DQ283" s="44" t="str">
        <f t="shared" si="3665"/>
        <v/>
      </c>
      <c r="DR283" s="44" t="str">
        <f t="shared" si="3666"/>
        <v/>
      </c>
      <c r="DS283" s="44" t="str">
        <f t="shared" si="3667"/>
        <v/>
      </c>
      <c r="DT283" s="44" t="str">
        <f t="shared" si="3668"/>
        <v/>
      </c>
      <c r="DU283" s="44" t="str">
        <f t="shared" si="3669"/>
        <v/>
      </c>
      <c r="DV283" s="44" t="str">
        <f t="shared" si="3670"/>
        <v/>
      </c>
      <c r="DW283" s="44" t="str">
        <f t="shared" si="3671"/>
        <v/>
      </c>
      <c r="DX283" s="44" t="str">
        <f t="shared" si="3672"/>
        <v/>
      </c>
      <c r="DY283" s="44" t="str">
        <f t="shared" si="3673"/>
        <v/>
      </c>
      <c r="DZ283" s="44" t="str">
        <f t="shared" si="3674"/>
        <v/>
      </c>
      <c r="EA283" s="44" t="str">
        <f t="shared" si="3675"/>
        <v/>
      </c>
      <c r="EB283" s="44" t="str">
        <f t="shared" si="3676"/>
        <v/>
      </c>
      <c r="EC283" s="44" t="str">
        <f t="shared" si="3677"/>
        <v/>
      </c>
      <c r="ED283" s="44" t="str">
        <f t="shared" si="3678"/>
        <v/>
      </c>
      <c r="EE283" s="44" t="str">
        <f t="shared" si="3679"/>
        <v/>
      </c>
      <c r="EF283" s="44" t="str">
        <f t="shared" si="3680"/>
        <v/>
      </c>
      <c r="EG283" s="44" t="str">
        <f t="shared" si="3681"/>
        <v/>
      </c>
      <c r="EH283" s="44" t="str">
        <f t="shared" si="3682"/>
        <v/>
      </c>
      <c r="EI283" s="44" t="str">
        <f t="shared" si="3683"/>
        <v/>
      </c>
      <c r="EJ283" s="44" t="str">
        <f t="shared" si="3684"/>
        <v/>
      </c>
      <c r="EK283" s="44" t="str">
        <f t="shared" si="3685"/>
        <v/>
      </c>
      <c r="EL283" s="44" t="str">
        <f t="shared" si="3686"/>
        <v/>
      </c>
      <c r="EM283" s="44" t="str">
        <f t="shared" si="3687"/>
        <v/>
      </c>
      <c r="EN283" s="44" t="str">
        <f t="shared" si="3688"/>
        <v/>
      </c>
      <c r="EO283" s="44" t="str">
        <f t="shared" si="3689"/>
        <v/>
      </c>
      <c r="EP283" s="44" t="str">
        <f t="shared" si="3690"/>
        <v/>
      </c>
      <c r="EQ283" s="44" t="str">
        <f t="shared" si="3691"/>
        <v/>
      </c>
      <c r="ER283" s="44" t="str">
        <f t="shared" si="3692"/>
        <v/>
      </c>
      <c r="ES283" s="44" t="str">
        <f t="shared" si="3693"/>
        <v/>
      </c>
      <c r="ET283" s="44" t="str">
        <f t="shared" si="3694"/>
        <v/>
      </c>
      <c r="EU283" s="44" t="str">
        <f t="shared" si="3695"/>
        <v/>
      </c>
      <c r="EV283" s="44" t="str">
        <f t="shared" si="3696"/>
        <v/>
      </c>
      <c r="EW283" s="44" t="str">
        <f t="shared" si="3697"/>
        <v/>
      </c>
      <c r="EX283" s="44" t="str">
        <f t="shared" si="3698"/>
        <v/>
      </c>
      <c r="EY283" s="44" t="str">
        <f t="shared" si="3699"/>
        <v/>
      </c>
      <c r="EZ283" s="44" t="str">
        <f t="shared" si="3700"/>
        <v/>
      </c>
      <c r="FA283" s="44" t="str">
        <f t="shared" si="3701"/>
        <v/>
      </c>
      <c r="FB283" s="44" t="str">
        <f t="shared" si="3702"/>
        <v/>
      </c>
      <c r="FC283" s="44" t="str">
        <f t="shared" si="3703"/>
        <v/>
      </c>
      <c r="FD283" s="44" t="str">
        <f t="shared" si="3704"/>
        <v/>
      </c>
      <c r="FE283" s="44" t="str">
        <f t="shared" si="3705"/>
        <v/>
      </c>
      <c r="FF283" s="44" t="str">
        <f t="shared" si="3706"/>
        <v/>
      </c>
      <c r="FG283" s="44" t="str">
        <f t="shared" si="3707"/>
        <v/>
      </c>
      <c r="FH283" s="44" t="str">
        <f t="shared" si="3708"/>
        <v/>
      </c>
      <c r="FI283" s="44" t="str">
        <f t="shared" si="3709"/>
        <v/>
      </c>
      <c r="FJ283" s="44" t="str">
        <f t="shared" si="3710"/>
        <v/>
      </c>
      <c r="FK283" s="44" t="str">
        <f t="shared" si="3711"/>
        <v/>
      </c>
      <c r="FL283" s="44" t="str">
        <f t="shared" si="3712"/>
        <v/>
      </c>
      <c r="FM283" s="44" t="str">
        <f t="shared" si="3713"/>
        <v/>
      </c>
      <c r="FN283" s="44" t="str">
        <f t="shared" si="3714"/>
        <v/>
      </c>
      <c r="FO283" s="44" t="str">
        <f t="shared" si="3715"/>
        <v/>
      </c>
      <c r="FP283" s="44" t="str">
        <f t="shared" si="3716"/>
        <v/>
      </c>
      <c r="FQ283" s="44" t="str">
        <f t="shared" si="3717"/>
        <v/>
      </c>
      <c r="FR283" s="44" t="str">
        <f t="shared" si="3718"/>
        <v/>
      </c>
      <c r="FS283" s="44" t="str">
        <f t="shared" si="3719"/>
        <v/>
      </c>
    </row>
    <row r="284" spans="1:175">
      <c r="CN284" s="13" t="str">
        <f t="shared" si="3644"/>
        <v>InitUnitState('',,,,,,,,,,)</v>
      </c>
      <c r="CO284" s="13" t="str">
        <f t="shared" si="3645"/>
        <v>InitUnitNormal('',,,,,,,,,,)</v>
      </c>
      <c r="CP284" s="13" t="str">
        <f t="shared" si="3646"/>
        <v>InitUnitMagic('',,,,,,,,,,)</v>
      </c>
      <c r="CQ284" s="13" t="str">
        <f t="shared" si="3647"/>
        <v>InitUnitAdd('',,,,,,,,,,)</v>
      </c>
      <c r="CR284" s="13" t="str">
        <f t="shared" si="3648"/>
        <v>InitEquipData('',,"",,,,,'','','','','','',"")</v>
      </c>
      <c r="CU284" s="6" t="str">
        <f t="shared" si="3649"/>
        <v>|n</v>
      </c>
      <c r="CW284" s="7"/>
      <c r="CX284" s="7"/>
      <c r="CY284" s="7"/>
      <c r="CZ284" s="7"/>
      <c r="DA284" s="7"/>
      <c r="DB284" s="44" t="str">
        <f t="shared" si="3650"/>
        <v/>
      </c>
      <c r="DC284" s="44" t="str">
        <f t="shared" si="3651"/>
        <v/>
      </c>
      <c r="DD284" s="44" t="str">
        <f t="shared" si="3652"/>
        <v/>
      </c>
      <c r="DE284" s="44" t="str">
        <f t="shared" si="3653"/>
        <v/>
      </c>
      <c r="DF284" s="44" t="str">
        <f t="shared" si="3654"/>
        <v/>
      </c>
      <c r="DG284" s="44" t="str">
        <f t="shared" si="3655"/>
        <v/>
      </c>
      <c r="DH284" s="44" t="str">
        <f t="shared" si="3656"/>
        <v/>
      </c>
      <c r="DI284" s="44" t="str">
        <f t="shared" si="3657"/>
        <v/>
      </c>
      <c r="DJ284" s="44" t="str">
        <f t="shared" si="3658"/>
        <v/>
      </c>
      <c r="DK284" s="44" t="str">
        <f t="shared" si="3659"/>
        <v/>
      </c>
      <c r="DL284" s="44" t="str">
        <f t="shared" si="3660"/>
        <v/>
      </c>
      <c r="DM284" s="44" t="str">
        <f t="shared" si="3661"/>
        <v/>
      </c>
      <c r="DN284" s="44" t="str">
        <f t="shared" si="3662"/>
        <v/>
      </c>
      <c r="DO284" s="44" t="str">
        <f t="shared" si="3663"/>
        <v/>
      </c>
      <c r="DP284" s="44" t="str">
        <f t="shared" si="3664"/>
        <v/>
      </c>
      <c r="DQ284" s="44" t="str">
        <f t="shared" si="3665"/>
        <v/>
      </c>
      <c r="DR284" s="44" t="str">
        <f t="shared" si="3666"/>
        <v/>
      </c>
      <c r="DS284" s="44" t="str">
        <f t="shared" si="3667"/>
        <v/>
      </c>
      <c r="DT284" s="44" t="str">
        <f t="shared" si="3668"/>
        <v/>
      </c>
      <c r="DU284" s="44" t="str">
        <f t="shared" si="3669"/>
        <v/>
      </c>
      <c r="DV284" s="44" t="str">
        <f t="shared" si="3670"/>
        <v/>
      </c>
      <c r="DW284" s="44" t="str">
        <f t="shared" si="3671"/>
        <v/>
      </c>
      <c r="DX284" s="44" t="str">
        <f t="shared" si="3672"/>
        <v/>
      </c>
      <c r="DY284" s="44" t="str">
        <f t="shared" si="3673"/>
        <v/>
      </c>
      <c r="DZ284" s="44" t="str">
        <f t="shared" si="3674"/>
        <v/>
      </c>
      <c r="EA284" s="44" t="str">
        <f t="shared" si="3675"/>
        <v/>
      </c>
      <c r="EB284" s="44" t="str">
        <f t="shared" si="3676"/>
        <v/>
      </c>
      <c r="EC284" s="44" t="str">
        <f t="shared" si="3677"/>
        <v/>
      </c>
      <c r="ED284" s="44" t="str">
        <f t="shared" si="3678"/>
        <v/>
      </c>
      <c r="EE284" s="44" t="str">
        <f t="shared" si="3679"/>
        <v/>
      </c>
      <c r="EF284" s="44" t="str">
        <f t="shared" si="3680"/>
        <v/>
      </c>
      <c r="EG284" s="44" t="str">
        <f t="shared" si="3681"/>
        <v/>
      </c>
      <c r="EH284" s="44" t="str">
        <f t="shared" si="3682"/>
        <v/>
      </c>
      <c r="EI284" s="44" t="str">
        <f t="shared" si="3683"/>
        <v/>
      </c>
      <c r="EJ284" s="44" t="str">
        <f t="shared" si="3684"/>
        <v/>
      </c>
      <c r="EK284" s="44" t="str">
        <f t="shared" si="3685"/>
        <v/>
      </c>
      <c r="EL284" s="44" t="str">
        <f t="shared" si="3686"/>
        <v/>
      </c>
      <c r="EM284" s="44" t="str">
        <f t="shared" si="3687"/>
        <v/>
      </c>
      <c r="EN284" s="44" t="str">
        <f t="shared" si="3688"/>
        <v/>
      </c>
      <c r="EO284" s="44" t="str">
        <f t="shared" si="3689"/>
        <v/>
      </c>
      <c r="EP284" s="44" t="str">
        <f t="shared" si="3690"/>
        <v/>
      </c>
      <c r="EQ284" s="44" t="str">
        <f t="shared" si="3691"/>
        <v/>
      </c>
      <c r="ER284" s="44" t="str">
        <f t="shared" si="3692"/>
        <v/>
      </c>
      <c r="ES284" s="44" t="str">
        <f t="shared" si="3693"/>
        <v/>
      </c>
      <c r="ET284" s="44" t="str">
        <f t="shared" si="3694"/>
        <v/>
      </c>
      <c r="EU284" s="44" t="str">
        <f t="shared" si="3695"/>
        <v/>
      </c>
      <c r="EV284" s="44" t="str">
        <f t="shared" si="3696"/>
        <v/>
      </c>
      <c r="EW284" s="44" t="str">
        <f t="shared" si="3697"/>
        <v/>
      </c>
      <c r="EX284" s="44" t="str">
        <f t="shared" si="3698"/>
        <v/>
      </c>
      <c r="EY284" s="44" t="str">
        <f t="shared" si="3699"/>
        <v/>
      </c>
      <c r="EZ284" s="44" t="str">
        <f t="shared" si="3700"/>
        <v/>
      </c>
      <c r="FA284" s="44" t="str">
        <f t="shared" si="3701"/>
        <v/>
      </c>
      <c r="FB284" s="44" t="str">
        <f t="shared" si="3702"/>
        <v/>
      </c>
      <c r="FC284" s="44" t="str">
        <f t="shared" si="3703"/>
        <v/>
      </c>
      <c r="FD284" s="44" t="str">
        <f t="shared" si="3704"/>
        <v/>
      </c>
      <c r="FE284" s="44" t="str">
        <f t="shared" si="3705"/>
        <v/>
      </c>
      <c r="FF284" s="44" t="str">
        <f t="shared" si="3706"/>
        <v/>
      </c>
      <c r="FG284" s="44" t="str">
        <f t="shared" si="3707"/>
        <v/>
      </c>
      <c r="FH284" s="44" t="str">
        <f t="shared" si="3708"/>
        <v/>
      </c>
      <c r="FI284" s="44" t="str">
        <f t="shared" si="3709"/>
        <v/>
      </c>
      <c r="FJ284" s="44" t="str">
        <f t="shared" si="3710"/>
        <v/>
      </c>
      <c r="FK284" s="44" t="str">
        <f t="shared" si="3711"/>
        <v/>
      </c>
      <c r="FL284" s="44" t="str">
        <f t="shared" si="3712"/>
        <v/>
      </c>
      <c r="FM284" s="44" t="str">
        <f t="shared" si="3713"/>
        <v/>
      </c>
      <c r="FN284" s="44" t="str">
        <f t="shared" si="3714"/>
        <v/>
      </c>
      <c r="FO284" s="44" t="str">
        <f t="shared" si="3715"/>
        <v/>
      </c>
      <c r="FP284" s="44" t="str">
        <f t="shared" si="3716"/>
        <v/>
      </c>
      <c r="FQ284" s="44" t="str">
        <f t="shared" si="3717"/>
        <v/>
      </c>
      <c r="FR284" s="44" t="str">
        <f t="shared" si="3718"/>
        <v/>
      </c>
      <c r="FS284" s="44" t="str">
        <f t="shared" si="3719"/>
        <v/>
      </c>
    </row>
    <row r="285" spans="1:175">
      <c r="CN285" s="13" t="str">
        <f t="shared" si="3644"/>
        <v>InitUnitState('',,,,,,,,,,)</v>
      </c>
      <c r="CO285" s="13" t="str">
        <f t="shared" si="3645"/>
        <v>InitUnitNormal('',,,,,,,,,,)</v>
      </c>
      <c r="CP285" s="13" t="str">
        <f t="shared" si="3646"/>
        <v>InitUnitMagic('',,,,,,,,,,)</v>
      </c>
      <c r="CQ285" s="13" t="str">
        <f t="shared" si="3647"/>
        <v>InitUnitAdd('',,,,,,,,,,)</v>
      </c>
      <c r="CR285" s="13" t="str">
        <f t="shared" si="3648"/>
        <v>InitEquipData('',,"",,,,,'','','','','','',"")</v>
      </c>
      <c r="CU285" s="6" t="str">
        <f t="shared" si="3649"/>
        <v>|n</v>
      </c>
      <c r="CW285" s="7"/>
      <c r="CX285" s="7"/>
      <c r="CY285" s="7"/>
      <c r="CZ285" s="7"/>
      <c r="DA285" s="7"/>
      <c r="DB285" s="44" t="str">
        <f t="shared" si="3650"/>
        <v/>
      </c>
      <c r="DC285" s="44" t="str">
        <f t="shared" si="3651"/>
        <v/>
      </c>
      <c r="DD285" s="44" t="str">
        <f t="shared" si="3652"/>
        <v/>
      </c>
      <c r="DE285" s="44" t="str">
        <f t="shared" si="3653"/>
        <v/>
      </c>
      <c r="DF285" s="44" t="str">
        <f t="shared" si="3654"/>
        <v/>
      </c>
      <c r="DG285" s="44" t="str">
        <f t="shared" si="3655"/>
        <v/>
      </c>
      <c r="DH285" s="44" t="str">
        <f t="shared" si="3656"/>
        <v/>
      </c>
      <c r="DI285" s="44" t="str">
        <f t="shared" si="3657"/>
        <v/>
      </c>
      <c r="DJ285" s="44" t="str">
        <f t="shared" si="3658"/>
        <v/>
      </c>
      <c r="DK285" s="44" t="str">
        <f t="shared" si="3659"/>
        <v/>
      </c>
      <c r="DL285" s="44" t="str">
        <f t="shared" si="3660"/>
        <v/>
      </c>
      <c r="DM285" s="44" t="str">
        <f t="shared" si="3661"/>
        <v/>
      </c>
      <c r="DN285" s="44" t="str">
        <f t="shared" si="3662"/>
        <v/>
      </c>
      <c r="DO285" s="44" t="str">
        <f t="shared" si="3663"/>
        <v/>
      </c>
      <c r="DP285" s="44" t="str">
        <f t="shared" si="3664"/>
        <v/>
      </c>
      <c r="DQ285" s="44" t="str">
        <f t="shared" si="3665"/>
        <v/>
      </c>
      <c r="DR285" s="44" t="str">
        <f t="shared" si="3666"/>
        <v/>
      </c>
      <c r="DS285" s="44" t="str">
        <f t="shared" si="3667"/>
        <v/>
      </c>
      <c r="DT285" s="44" t="str">
        <f t="shared" si="3668"/>
        <v/>
      </c>
      <c r="DU285" s="44" t="str">
        <f t="shared" si="3669"/>
        <v/>
      </c>
      <c r="DV285" s="44" t="str">
        <f t="shared" si="3670"/>
        <v/>
      </c>
      <c r="DW285" s="44" t="str">
        <f t="shared" si="3671"/>
        <v/>
      </c>
      <c r="DX285" s="44" t="str">
        <f t="shared" si="3672"/>
        <v/>
      </c>
      <c r="DY285" s="44" t="str">
        <f t="shared" si="3673"/>
        <v/>
      </c>
      <c r="DZ285" s="44" t="str">
        <f t="shared" si="3674"/>
        <v/>
      </c>
      <c r="EA285" s="44" t="str">
        <f t="shared" si="3675"/>
        <v/>
      </c>
      <c r="EB285" s="44" t="str">
        <f t="shared" si="3676"/>
        <v/>
      </c>
      <c r="EC285" s="44" t="str">
        <f t="shared" si="3677"/>
        <v/>
      </c>
      <c r="ED285" s="44" t="str">
        <f t="shared" si="3678"/>
        <v/>
      </c>
      <c r="EE285" s="44" t="str">
        <f t="shared" si="3679"/>
        <v/>
      </c>
      <c r="EF285" s="44" t="str">
        <f t="shared" si="3680"/>
        <v/>
      </c>
      <c r="EG285" s="44" t="str">
        <f t="shared" si="3681"/>
        <v/>
      </c>
      <c r="EH285" s="44" t="str">
        <f t="shared" si="3682"/>
        <v/>
      </c>
      <c r="EI285" s="44" t="str">
        <f t="shared" si="3683"/>
        <v/>
      </c>
      <c r="EJ285" s="44" t="str">
        <f t="shared" si="3684"/>
        <v/>
      </c>
      <c r="EK285" s="44" t="str">
        <f t="shared" si="3685"/>
        <v/>
      </c>
      <c r="EL285" s="44" t="str">
        <f t="shared" si="3686"/>
        <v/>
      </c>
      <c r="EM285" s="44" t="str">
        <f t="shared" si="3687"/>
        <v/>
      </c>
      <c r="EN285" s="44" t="str">
        <f t="shared" si="3688"/>
        <v/>
      </c>
      <c r="EO285" s="44" t="str">
        <f t="shared" si="3689"/>
        <v/>
      </c>
      <c r="EP285" s="44" t="str">
        <f t="shared" si="3690"/>
        <v/>
      </c>
      <c r="EQ285" s="44" t="str">
        <f t="shared" si="3691"/>
        <v/>
      </c>
      <c r="ER285" s="44" t="str">
        <f t="shared" si="3692"/>
        <v/>
      </c>
      <c r="ES285" s="44" t="str">
        <f t="shared" si="3693"/>
        <v/>
      </c>
      <c r="ET285" s="44" t="str">
        <f t="shared" si="3694"/>
        <v/>
      </c>
      <c r="EU285" s="44" t="str">
        <f t="shared" si="3695"/>
        <v/>
      </c>
      <c r="EV285" s="44" t="str">
        <f t="shared" si="3696"/>
        <v/>
      </c>
      <c r="EW285" s="44" t="str">
        <f t="shared" si="3697"/>
        <v/>
      </c>
      <c r="EX285" s="44" t="str">
        <f t="shared" si="3698"/>
        <v/>
      </c>
      <c r="EY285" s="44" t="str">
        <f t="shared" si="3699"/>
        <v/>
      </c>
      <c r="EZ285" s="44" t="str">
        <f t="shared" si="3700"/>
        <v/>
      </c>
      <c r="FA285" s="44" t="str">
        <f t="shared" si="3701"/>
        <v/>
      </c>
      <c r="FB285" s="44" t="str">
        <f t="shared" si="3702"/>
        <v/>
      </c>
      <c r="FC285" s="44" t="str">
        <f t="shared" si="3703"/>
        <v/>
      </c>
      <c r="FD285" s="44" t="str">
        <f t="shared" si="3704"/>
        <v/>
      </c>
      <c r="FE285" s="44" t="str">
        <f t="shared" si="3705"/>
        <v/>
      </c>
      <c r="FF285" s="44" t="str">
        <f t="shared" si="3706"/>
        <v/>
      </c>
      <c r="FG285" s="44" t="str">
        <f t="shared" si="3707"/>
        <v/>
      </c>
      <c r="FH285" s="44" t="str">
        <f t="shared" si="3708"/>
        <v/>
      </c>
      <c r="FI285" s="44" t="str">
        <f t="shared" si="3709"/>
        <v/>
      </c>
      <c r="FJ285" s="44" t="str">
        <f t="shared" si="3710"/>
        <v/>
      </c>
      <c r="FK285" s="44" t="str">
        <f t="shared" si="3711"/>
        <v/>
      </c>
      <c r="FL285" s="44" t="str">
        <f t="shared" si="3712"/>
        <v/>
      </c>
      <c r="FM285" s="44" t="str">
        <f t="shared" si="3713"/>
        <v/>
      </c>
      <c r="FN285" s="44" t="str">
        <f t="shared" si="3714"/>
        <v/>
      </c>
      <c r="FO285" s="44" t="str">
        <f t="shared" si="3715"/>
        <v/>
      </c>
      <c r="FP285" s="44" t="str">
        <f t="shared" si="3716"/>
        <v/>
      </c>
      <c r="FQ285" s="44" t="str">
        <f t="shared" si="3717"/>
        <v/>
      </c>
      <c r="FR285" s="44" t="str">
        <f t="shared" si="3718"/>
        <v/>
      </c>
      <c r="FS285" s="44" t="str">
        <f t="shared" si="3719"/>
        <v/>
      </c>
    </row>
    <row r="286" spans="1:175">
      <c r="CN286" s="13" t="str">
        <f t="shared" si="3644"/>
        <v>InitUnitState('',,,,,,,,,,)</v>
      </c>
      <c r="CO286" s="13" t="str">
        <f t="shared" si="3645"/>
        <v>InitUnitNormal('',,,,,,,,,,)</v>
      </c>
      <c r="CP286" s="13" t="str">
        <f t="shared" si="3646"/>
        <v>InitUnitMagic('',,,,,,,,,,)</v>
      </c>
      <c r="CQ286" s="13" t="str">
        <f t="shared" si="3647"/>
        <v>InitUnitAdd('',,,,,,,,,,)</v>
      </c>
      <c r="CR286" s="13" t="str">
        <f t="shared" si="3648"/>
        <v>InitEquipData('',,"",,,,,'','','','','','',"")</v>
      </c>
      <c r="CU286" s="6" t="str">
        <f t="shared" si="3649"/>
        <v>|n</v>
      </c>
      <c r="CW286" s="7"/>
      <c r="CX286" s="7"/>
      <c r="CY286" s="7"/>
      <c r="CZ286" s="7"/>
      <c r="DA286" s="7"/>
      <c r="DB286" s="44" t="str">
        <f t="shared" si="3650"/>
        <v/>
      </c>
      <c r="DC286" s="44" t="str">
        <f t="shared" si="3651"/>
        <v/>
      </c>
      <c r="DD286" s="44" t="str">
        <f t="shared" si="3652"/>
        <v/>
      </c>
      <c r="DE286" s="44" t="str">
        <f t="shared" si="3653"/>
        <v/>
      </c>
      <c r="DF286" s="44" t="str">
        <f t="shared" si="3654"/>
        <v/>
      </c>
      <c r="DG286" s="44" t="str">
        <f t="shared" si="3655"/>
        <v/>
      </c>
      <c r="DH286" s="44" t="str">
        <f t="shared" si="3656"/>
        <v/>
      </c>
      <c r="DI286" s="44" t="str">
        <f t="shared" si="3657"/>
        <v/>
      </c>
      <c r="DJ286" s="44" t="str">
        <f t="shared" si="3658"/>
        <v/>
      </c>
      <c r="DK286" s="44" t="str">
        <f t="shared" si="3659"/>
        <v/>
      </c>
      <c r="DL286" s="44" t="str">
        <f t="shared" si="3660"/>
        <v/>
      </c>
      <c r="DM286" s="44" t="str">
        <f t="shared" si="3661"/>
        <v/>
      </c>
      <c r="DN286" s="44" t="str">
        <f t="shared" si="3662"/>
        <v/>
      </c>
      <c r="DO286" s="44" t="str">
        <f t="shared" si="3663"/>
        <v/>
      </c>
      <c r="DP286" s="44" t="str">
        <f t="shared" si="3664"/>
        <v/>
      </c>
      <c r="DQ286" s="44" t="str">
        <f t="shared" si="3665"/>
        <v/>
      </c>
      <c r="DR286" s="44" t="str">
        <f t="shared" si="3666"/>
        <v/>
      </c>
      <c r="DS286" s="44" t="str">
        <f t="shared" si="3667"/>
        <v/>
      </c>
      <c r="DT286" s="44" t="str">
        <f t="shared" si="3668"/>
        <v/>
      </c>
      <c r="DU286" s="44" t="str">
        <f t="shared" si="3669"/>
        <v/>
      </c>
      <c r="DV286" s="44" t="str">
        <f t="shared" si="3670"/>
        <v/>
      </c>
      <c r="DW286" s="44" t="str">
        <f t="shared" si="3671"/>
        <v/>
      </c>
      <c r="DX286" s="44" t="str">
        <f t="shared" si="3672"/>
        <v/>
      </c>
      <c r="DY286" s="44" t="str">
        <f t="shared" si="3673"/>
        <v/>
      </c>
      <c r="DZ286" s="44" t="str">
        <f t="shared" si="3674"/>
        <v/>
      </c>
      <c r="EA286" s="44" t="str">
        <f t="shared" si="3675"/>
        <v/>
      </c>
      <c r="EB286" s="44" t="str">
        <f t="shared" si="3676"/>
        <v/>
      </c>
      <c r="EC286" s="44" t="str">
        <f t="shared" si="3677"/>
        <v/>
      </c>
      <c r="ED286" s="44" t="str">
        <f t="shared" si="3678"/>
        <v/>
      </c>
      <c r="EE286" s="44" t="str">
        <f t="shared" si="3679"/>
        <v/>
      </c>
      <c r="EF286" s="44" t="str">
        <f t="shared" si="3680"/>
        <v/>
      </c>
      <c r="EG286" s="44" t="str">
        <f t="shared" si="3681"/>
        <v/>
      </c>
      <c r="EH286" s="44" t="str">
        <f t="shared" si="3682"/>
        <v/>
      </c>
      <c r="EI286" s="44" t="str">
        <f t="shared" si="3683"/>
        <v/>
      </c>
      <c r="EJ286" s="44" t="str">
        <f t="shared" si="3684"/>
        <v/>
      </c>
      <c r="EK286" s="44" t="str">
        <f t="shared" si="3685"/>
        <v/>
      </c>
      <c r="EL286" s="44" t="str">
        <f t="shared" si="3686"/>
        <v/>
      </c>
      <c r="EM286" s="44" t="str">
        <f t="shared" si="3687"/>
        <v/>
      </c>
      <c r="EN286" s="44" t="str">
        <f t="shared" si="3688"/>
        <v/>
      </c>
      <c r="EO286" s="44" t="str">
        <f t="shared" si="3689"/>
        <v/>
      </c>
      <c r="EP286" s="44" t="str">
        <f t="shared" si="3690"/>
        <v/>
      </c>
      <c r="EQ286" s="44" t="str">
        <f t="shared" si="3691"/>
        <v/>
      </c>
      <c r="ER286" s="44" t="str">
        <f t="shared" si="3692"/>
        <v/>
      </c>
      <c r="ES286" s="44" t="str">
        <f t="shared" si="3693"/>
        <v/>
      </c>
      <c r="ET286" s="44" t="str">
        <f t="shared" si="3694"/>
        <v/>
      </c>
      <c r="EU286" s="44" t="str">
        <f t="shared" si="3695"/>
        <v/>
      </c>
      <c r="EV286" s="44" t="str">
        <f t="shared" si="3696"/>
        <v/>
      </c>
      <c r="EW286" s="44" t="str">
        <f t="shared" si="3697"/>
        <v/>
      </c>
      <c r="EX286" s="44" t="str">
        <f t="shared" si="3698"/>
        <v/>
      </c>
      <c r="EY286" s="44" t="str">
        <f t="shared" si="3699"/>
        <v/>
      </c>
      <c r="EZ286" s="44" t="str">
        <f t="shared" si="3700"/>
        <v/>
      </c>
      <c r="FA286" s="44" t="str">
        <f t="shared" si="3701"/>
        <v/>
      </c>
      <c r="FB286" s="44" t="str">
        <f t="shared" si="3702"/>
        <v/>
      </c>
      <c r="FC286" s="44" t="str">
        <f t="shared" si="3703"/>
        <v/>
      </c>
      <c r="FD286" s="44" t="str">
        <f t="shared" si="3704"/>
        <v/>
      </c>
      <c r="FE286" s="44" t="str">
        <f t="shared" si="3705"/>
        <v/>
      </c>
      <c r="FF286" s="44" t="str">
        <f t="shared" si="3706"/>
        <v/>
      </c>
      <c r="FG286" s="44" t="str">
        <f t="shared" si="3707"/>
        <v/>
      </c>
      <c r="FH286" s="44" t="str">
        <f t="shared" si="3708"/>
        <v/>
      </c>
      <c r="FI286" s="44" t="str">
        <f t="shared" si="3709"/>
        <v/>
      </c>
      <c r="FJ286" s="44" t="str">
        <f t="shared" si="3710"/>
        <v/>
      </c>
      <c r="FK286" s="44" t="str">
        <f t="shared" si="3711"/>
        <v/>
      </c>
      <c r="FL286" s="44" t="str">
        <f t="shared" si="3712"/>
        <v/>
      </c>
      <c r="FM286" s="44" t="str">
        <f t="shared" si="3713"/>
        <v/>
      </c>
      <c r="FN286" s="44" t="str">
        <f t="shared" si="3714"/>
        <v/>
      </c>
      <c r="FO286" s="44" t="str">
        <f t="shared" si="3715"/>
        <v/>
      </c>
      <c r="FP286" s="44" t="str">
        <f t="shared" si="3716"/>
        <v/>
      </c>
      <c r="FQ286" s="44" t="str">
        <f t="shared" si="3717"/>
        <v/>
      </c>
      <c r="FR286" s="44" t="str">
        <f t="shared" si="3718"/>
        <v/>
      </c>
      <c r="FS286" s="44" t="str">
        <f t="shared" si="3719"/>
        <v/>
      </c>
    </row>
    <row r="287" spans="1:175">
      <c r="CN287" s="13" t="str">
        <f t="shared" si="3644"/>
        <v>InitUnitState('',,,,,,,,,,)</v>
      </c>
      <c r="CO287" s="13" t="str">
        <f t="shared" si="3645"/>
        <v>InitUnitNormal('',,,,,,,,,,)</v>
      </c>
      <c r="CP287" s="13" t="str">
        <f t="shared" si="3646"/>
        <v>InitUnitMagic('',,,,,,,,,,)</v>
      </c>
      <c r="CQ287" s="13" t="str">
        <f t="shared" si="3647"/>
        <v>InitUnitAdd('',,,,,,,,,,)</v>
      </c>
      <c r="CR287" s="13" t="str">
        <f t="shared" si="3648"/>
        <v>InitEquipData('',,"",,,,,'','','','','','',"")</v>
      </c>
      <c r="CU287" s="6" t="str">
        <f t="shared" si="3649"/>
        <v>|n</v>
      </c>
      <c r="CW287" s="7"/>
      <c r="CX287" s="7"/>
      <c r="CY287" s="7"/>
      <c r="CZ287" s="7"/>
      <c r="DA287" s="7"/>
      <c r="DB287" s="44" t="str">
        <f t="shared" si="3650"/>
        <v/>
      </c>
      <c r="DC287" s="44" t="str">
        <f t="shared" si="3651"/>
        <v/>
      </c>
      <c r="DD287" s="44" t="str">
        <f t="shared" si="3652"/>
        <v/>
      </c>
      <c r="DE287" s="44" t="str">
        <f t="shared" si="3653"/>
        <v/>
      </c>
      <c r="DF287" s="44" t="str">
        <f t="shared" si="3654"/>
        <v/>
      </c>
      <c r="DG287" s="44" t="str">
        <f t="shared" si="3655"/>
        <v/>
      </c>
      <c r="DH287" s="44" t="str">
        <f t="shared" si="3656"/>
        <v/>
      </c>
      <c r="DI287" s="44" t="str">
        <f t="shared" si="3657"/>
        <v/>
      </c>
      <c r="DJ287" s="44" t="str">
        <f t="shared" si="3658"/>
        <v/>
      </c>
      <c r="DK287" s="44" t="str">
        <f t="shared" si="3659"/>
        <v/>
      </c>
      <c r="DL287" s="44" t="str">
        <f t="shared" si="3660"/>
        <v/>
      </c>
      <c r="DM287" s="44" t="str">
        <f t="shared" si="3661"/>
        <v/>
      </c>
      <c r="DN287" s="44" t="str">
        <f t="shared" si="3662"/>
        <v/>
      </c>
      <c r="DO287" s="44" t="str">
        <f t="shared" si="3663"/>
        <v/>
      </c>
      <c r="DP287" s="44" t="str">
        <f t="shared" si="3664"/>
        <v/>
      </c>
      <c r="DQ287" s="44" t="str">
        <f t="shared" si="3665"/>
        <v/>
      </c>
      <c r="DR287" s="44" t="str">
        <f t="shared" si="3666"/>
        <v/>
      </c>
      <c r="DS287" s="44" t="str">
        <f t="shared" si="3667"/>
        <v/>
      </c>
      <c r="DT287" s="44" t="str">
        <f t="shared" si="3668"/>
        <v/>
      </c>
      <c r="DU287" s="44" t="str">
        <f t="shared" si="3669"/>
        <v/>
      </c>
      <c r="DV287" s="44" t="str">
        <f t="shared" si="3670"/>
        <v/>
      </c>
      <c r="DW287" s="44" t="str">
        <f t="shared" si="3671"/>
        <v/>
      </c>
      <c r="DX287" s="44" t="str">
        <f t="shared" si="3672"/>
        <v/>
      </c>
      <c r="DY287" s="44" t="str">
        <f t="shared" si="3673"/>
        <v/>
      </c>
      <c r="DZ287" s="44" t="str">
        <f t="shared" si="3674"/>
        <v/>
      </c>
      <c r="EA287" s="44" t="str">
        <f t="shared" si="3675"/>
        <v/>
      </c>
      <c r="EB287" s="44" t="str">
        <f t="shared" si="3676"/>
        <v/>
      </c>
      <c r="EC287" s="44" t="str">
        <f t="shared" si="3677"/>
        <v/>
      </c>
      <c r="ED287" s="44" t="str">
        <f t="shared" si="3678"/>
        <v/>
      </c>
      <c r="EE287" s="44" t="str">
        <f t="shared" si="3679"/>
        <v/>
      </c>
      <c r="EF287" s="44" t="str">
        <f t="shared" si="3680"/>
        <v/>
      </c>
      <c r="EG287" s="44" t="str">
        <f t="shared" si="3681"/>
        <v/>
      </c>
      <c r="EH287" s="44" t="str">
        <f t="shared" si="3682"/>
        <v/>
      </c>
      <c r="EI287" s="44" t="str">
        <f t="shared" si="3683"/>
        <v/>
      </c>
      <c r="EJ287" s="44" t="str">
        <f t="shared" si="3684"/>
        <v/>
      </c>
      <c r="EK287" s="44" t="str">
        <f t="shared" si="3685"/>
        <v/>
      </c>
      <c r="EL287" s="44" t="str">
        <f t="shared" si="3686"/>
        <v/>
      </c>
      <c r="EM287" s="44" t="str">
        <f t="shared" si="3687"/>
        <v/>
      </c>
      <c r="EN287" s="44" t="str">
        <f t="shared" si="3688"/>
        <v/>
      </c>
      <c r="EO287" s="44" t="str">
        <f t="shared" si="3689"/>
        <v/>
      </c>
      <c r="EP287" s="44" t="str">
        <f t="shared" si="3690"/>
        <v/>
      </c>
      <c r="EQ287" s="44" t="str">
        <f t="shared" si="3691"/>
        <v/>
      </c>
      <c r="ER287" s="44" t="str">
        <f t="shared" si="3692"/>
        <v/>
      </c>
      <c r="ES287" s="44" t="str">
        <f t="shared" si="3693"/>
        <v/>
      </c>
      <c r="ET287" s="44" t="str">
        <f t="shared" si="3694"/>
        <v/>
      </c>
      <c r="EU287" s="44" t="str">
        <f t="shared" si="3695"/>
        <v/>
      </c>
      <c r="EV287" s="44" t="str">
        <f t="shared" si="3696"/>
        <v/>
      </c>
      <c r="EW287" s="44" t="str">
        <f t="shared" si="3697"/>
        <v/>
      </c>
      <c r="EX287" s="44" t="str">
        <f t="shared" si="3698"/>
        <v/>
      </c>
      <c r="EY287" s="44" t="str">
        <f t="shared" si="3699"/>
        <v/>
      </c>
      <c r="EZ287" s="44" t="str">
        <f t="shared" si="3700"/>
        <v/>
      </c>
      <c r="FA287" s="44" t="str">
        <f t="shared" si="3701"/>
        <v/>
      </c>
      <c r="FB287" s="44" t="str">
        <f t="shared" si="3702"/>
        <v/>
      </c>
      <c r="FC287" s="44" t="str">
        <f t="shared" si="3703"/>
        <v/>
      </c>
      <c r="FD287" s="44" t="str">
        <f t="shared" si="3704"/>
        <v/>
      </c>
      <c r="FE287" s="44" t="str">
        <f t="shared" si="3705"/>
        <v/>
      </c>
      <c r="FF287" s="44" t="str">
        <f t="shared" si="3706"/>
        <v/>
      </c>
      <c r="FG287" s="44" t="str">
        <f t="shared" si="3707"/>
        <v/>
      </c>
      <c r="FH287" s="44" t="str">
        <f t="shared" si="3708"/>
        <v/>
      </c>
      <c r="FI287" s="44" t="str">
        <f t="shared" si="3709"/>
        <v/>
      </c>
      <c r="FJ287" s="44" t="str">
        <f t="shared" si="3710"/>
        <v/>
      </c>
      <c r="FK287" s="44" t="str">
        <f t="shared" si="3711"/>
        <v/>
      </c>
      <c r="FL287" s="44" t="str">
        <f t="shared" si="3712"/>
        <v/>
      </c>
      <c r="FM287" s="44" t="str">
        <f t="shared" si="3713"/>
        <v/>
      </c>
      <c r="FN287" s="44" t="str">
        <f t="shared" si="3714"/>
        <v/>
      </c>
      <c r="FO287" s="44" t="str">
        <f t="shared" si="3715"/>
        <v/>
      </c>
      <c r="FP287" s="44" t="str">
        <f t="shared" si="3716"/>
        <v/>
      </c>
      <c r="FQ287" s="44" t="str">
        <f t="shared" si="3717"/>
        <v/>
      </c>
      <c r="FR287" s="44" t="str">
        <f t="shared" si="3718"/>
        <v/>
      </c>
      <c r="FS287" s="44" t="str">
        <f t="shared" si="3719"/>
        <v/>
      </c>
    </row>
    <row r="288" spans="1:175">
      <c r="CN288" s="13" t="str">
        <f t="shared" si="3644"/>
        <v>InitUnitState('',,,,,,,,,,)</v>
      </c>
      <c r="CO288" s="13" t="str">
        <f t="shared" si="3645"/>
        <v>InitUnitNormal('',,,,,,,,,,)</v>
      </c>
      <c r="CP288" s="13" t="str">
        <f t="shared" si="3646"/>
        <v>InitUnitMagic('',,,,,,,,,,)</v>
      </c>
      <c r="CQ288" s="13" t="str">
        <f t="shared" si="3647"/>
        <v>InitUnitAdd('',,,,,,,,,,)</v>
      </c>
      <c r="CR288" s="13" t="str">
        <f t="shared" si="3648"/>
        <v>InitEquipData('',,"",,,,,'','','','','','',"")</v>
      </c>
      <c r="CU288" s="6" t="str">
        <f t="shared" si="3649"/>
        <v>|n</v>
      </c>
      <c r="CW288" s="7"/>
      <c r="CX288" s="7"/>
      <c r="CY288" s="7"/>
      <c r="CZ288" s="7"/>
      <c r="DA288" s="7"/>
      <c r="DB288" s="44" t="str">
        <f t="shared" si="3650"/>
        <v/>
      </c>
      <c r="DC288" s="44" t="str">
        <f t="shared" si="3651"/>
        <v/>
      </c>
      <c r="DD288" s="44" t="str">
        <f t="shared" si="3652"/>
        <v/>
      </c>
      <c r="DE288" s="44" t="str">
        <f t="shared" si="3653"/>
        <v/>
      </c>
      <c r="DF288" s="44" t="str">
        <f t="shared" si="3654"/>
        <v/>
      </c>
      <c r="DG288" s="44" t="str">
        <f t="shared" si="3655"/>
        <v/>
      </c>
      <c r="DH288" s="44" t="str">
        <f t="shared" si="3656"/>
        <v/>
      </c>
      <c r="DI288" s="44" t="str">
        <f t="shared" si="3657"/>
        <v/>
      </c>
      <c r="DJ288" s="44" t="str">
        <f t="shared" si="3658"/>
        <v/>
      </c>
      <c r="DK288" s="44" t="str">
        <f t="shared" si="3659"/>
        <v/>
      </c>
      <c r="DL288" s="44" t="str">
        <f t="shared" si="3660"/>
        <v/>
      </c>
      <c r="DM288" s="44" t="str">
        <f t="shared" si="3661"/>
        <v/>
      </c>
      <c r="DN288" s="44" t="str">
        <f t="shared" si="3662"/>
        <v/>
      </c>
      <c r="DO288" s="44" t="str">
        <f t="shared" si="3663"/>
        <v/>
      </c>
      <c r="DP288" s="44" t="str">
        <f t="shared" si="3664"/>
        <v/>
      </c>
      <c r="DQ288" s="44" t="str">
        <f t="shared" si="3665"/>
        <v/>
      </c>
      <c r="DR288" s="44" t="str">
        <f t="shared" si="3666"/>
        <v/>
      </c>
      <c r="DS288" s="44" t="str">
        <f t="shared" si="3667"/>
        <v/>
      </c>
      <c r="DT288" s="44" t="str">
        <f t="shared" si="3668"/>
        <v/>
      </c>
      <c r="DU288" s="44" t="str">
        <f t="shared" si="3669"/>
        <v/>
      </c>
      <c r="DV288" s="44" t="str">
        <f t="shared" si="3670"/>
        <v/>
      </c>
      <c r="DW288" s="44" t="str">
        <f t="shared" si="3671"/>
        <v/>
      </c>
      <c r="DX288" s="44" t="str">
        <f t="shared" si="3672"/>
        <v/>
      </c>
      <c r="DY288" s="44" t="str">
        <f t="shared" si="3673"/>
        <v/>
      </c>
      <c r="DZ288" s="44" t="str">
        <f t="shared" si="3674"/>
        <v/>
      </c>
      <c r="EA288" s="44" t="str">
        <f t="shared" si="3675"/>
        <v/>
      </c>
      <c r="EB288" s="44" t="str">
        <f t="shared" si="3676"/>
        <v/>
      </c>
      <c r="EC288" s="44" t="str">
        <f t="shared" si="3677"/>
        <v/>
      </c>
      <c r="ED288" s="44" t="str">
        <f t="shared" si="3678"/>
        <v/>
      </c>
      <c r="EE288" s="44" t="str">
        <f t="shared" si="3679"/>
        <v/>
      </c>
      <c r="EF288" s="44" t="str">
        <f t="shared" si="3680"/>
        <v/>
      </c>
      <c r="EG288" s="44" t="str">
        <f t="shared" si="3681"/>
        <v/>
      </c>
      <c r="EH288" s="44" t="str">
        <f t="shared" si="3682"/>
        <v/>
      </c>
      <c r="EI288" s="44" t="str">
        <f t="shared" si="3683"/>
        <v/>
      </c>
      <c r="EJ288" s="44" t="str">
        <f t="shared" si="3684"/>
        <v/>
      </c>
      <c r="EK288" s="44" t="str">
        <f t="shared" si="3685"/>
        <v/>
      </c>
      <c r="EL288" s="44" t="str">
        <f t="shared" si="3686"/>
        <v/>
      </c>
      <c r="EM288" s="44" t="str">
        <f t="shared" si="3687"/>
        <v/>
      </c>
      <c r="EN288" s="44" t="str">
        <f t="shared" si="3688"/>
        <v/>
      </c>
      <c r="EO288" s="44" t="str">
        <f t="shared" si="3689"/>
        <v/>
      </c>
      <c r="EP288" s="44" t="str">
        <f t="shared" si="3690"/>
        <v/>
      </c>
      <c r="EQ288" s="44" t="str">
        <f t="shared" si="3691"/>
        <v/>
      </c>
      <c r="ER288" s="44" t="str">
        <f t="shared" si="3692"/>
        <v/>
      </c>
      <c r="ES288" s="44" t="str">
        <f t="shared" si="3693"/>
        <v/>
      </c>
      <c r="ET288" s="44" t="str">
        <f t="shared" si="3694"/>
        <v/>
      </c>
      <c r="EU288" s="44" t="str">
        <f t="shared" si="3695"/>
        <v/>
      </c>
      <c r="EV288" s="44" t="str">
        <f t="shared" si="3696"/>
        <v/>
      </c>
      <c r="EW288" s="44" t="str">
        <f t="shared" si="3697"/>
        <v/>
      </c>
      <c r="EX288" s="44" t="str">
        <f t="shared" si="3698"/>
        <v/>
      </c>
      <c r="EY288" s="44" t="str">
        <f t="shared" si="3699"/>
        <v/>
      </c>
      <c r="EZ288" s="44" t="str">
        <f t="shared" si="3700"/>
        <v/>
      </c>
      <c r="FA288" s="44" t="str">
        <f t="shared" si="3701"/>
        <v/>
      </c>
      <c r="FB288" s="44" t="str">
        <f t="shared" si="3702"/>
        <v/>
      </c>
      <c r="FC288" s="44" t="str">
        <f t="shared" si="3703"/>
        <v/>
      </c>
      <c r="FD288" s="44" t="str">
        <f t="shared" si="3704"/>
        <v/>
      </c>
      <c r="FE288" s="44" t="str">
        <f t="shared" si="3705"/>
        <v/>
      </c>
      <c r="FF288" s="44" t="str">
        <f t="shared" si="3706"/>
        <v/>
      </c>
      <c r="FG288" s="44" t="str">
        <f t="shared" si="3707"/>
        <v/>
      </c>
      <c r="FH288" s="44" t="str">
        <f t="shared" si="3708"/>
        <v/>
      </c>
      <c r="FI288" s="44" t="str">
        <f t="shared" si="3709"/>
        <v/>
      </c>
      <c r="FJ288" s="44" t="str">
        <f t="shared" si="3710"/>
        <v/>
      </c>
      <c r="FK288" s="44" t="str">
        <f t="shared" si="3711"/>
        <v/>
      </c>
      <c r="FL288" s="44" t="str">
        <f t="shared" si="3712"/>
        <v/>
      </c>
      <c r="FM288" s="44" t="str">
        <f t="shared" si="3713"/>
        <v/>
      </c>
      <c r="FN288" s="44" t="str">
        <f t="shared" si="3714"/>
        <v/>
      </c>
      <c r="FO288" s="44" t="str">
        <f t="shared" si="3715"/>
        <v/>
      </c>
      <c r="FP288" s="44" t="str">
        <f t="shared" si="3716"/>
        <v/>
      </c>
      <c r="FQ288" s="44" t="str">
        <f t="shared" si="3717"/>
        <v/>
      </c>
      <c r="FR288" s="44" t="str">
        <f t="shared" si="3718"/>
        <v/>
      </c>
      <c r="FS288" s="44" t="str">
        <f t="shared" si="3719"/>
        <v/>
      </c>
    </row>
    <row r="289" spans="92:175">
      <c r="CN289" s="13" t="str">
        <f t="shared" si="3644"/>
        <v>InitUnitState('',,,,,,,,,,)</v>
      </c>
      <c r="CO289" s="13" t="str">
        <f t="shared" si="3645"/>
        <v>InitUnitNormal('',,,,,,,,,,)</v>
      </c>
      <c r="CP289" s="13" t="str">
        <f t="shared" si="3646"/>
        <v>InitUnitMagic('',,,,,,,,,,)</v>
      </c>
      <c r="CQ289" s="13" t="str">
        <f t="shared" si="3647"/>
        <v>InitUnitAdd('',,,,,,,,,,)</v>
      </c>
      <c r="CR289" s="13" t="str">
        <f t="shared" si="3648"/>
        <v>InitEquipData('',,"",,,,,'','','','','','',"")</v>
      </c>
      <c r="CU289" s="6" t="str">
        <f t="shared" si="3649"/>
        <v>|n</v>
      </c>
      <c r="CW289" s="7"/>
      <c r="CX289" s="7"/>
      <c r="CY289" s="7"/>
      <c r="CZ289" s="7"/>
      <c r="DA289" s="7"/>
      <c r="DB289" s="44" t="str">
        <f t="shared" si="3650"/>
        <v/>
      </c>
      <c r="DC289" s="44" t="str">
        <f t="shared" si="3651"/>
        <v/>
      </c>
      <c r="DD289" s="44" t="str">
        <f t="shared" si="3652"/>
        <v/>
      </c>
      <c r="DE289" s="44" t="str">
        <f t="shared" si="3653"/>
        <v/>
      </c>
      <c r="DF289" s="44" t="str">
        <f t="shared" si="3654"/>
        <v/>
      </c>
      <c r="DG289" s="44" t="str">
        <f t="shared" si="3655"/>
        <v/>
      </c>
      <c r="DH289" s="44" t="str">
        <f t="shared" si="3656"/>
        <v/>
      </c>
      <c r="DI289" s="44" t="str">
        <f t="shared" si="3657"/>
        <v/>
      </c>
      <c r="DJ289" s="44" t="str">
        <f t="shared" si="3658"/>
        <v/>
      </c>
      <c r="DK289" s="44" t="str">
        <f t="shared" si="3659"/>
        <v/>
      </c>
      <c r="DL289" s="44" t="str">
        <f t="shared" si="3660"/>
        <v/>
      </c>
      <c r="DM289" s="44" t="str">
        <f t="shared" si="3661"/>
        <v/>
      </c>
      <c r="DN289" s="44" t="str">
        <f t="shared" si="3662"/>
        <v/>
      </c>
      <c r="DO289" s="44" t="str">
        <f t="shared" si="3663"/>
        <v/>
      </c>
      <c r="DP289" s="44" t="str">
        <f t="shared" si="3664"/>
        <v/>
      </c>
      <c r="DQ289" s="44" t="str">
        <f t="shared" si="3665"/>
        <v/>
      </c>
      <c r="DR289" s="44" t="str">
        <f t="shared" si="3666"/>
        <v/>
      </c>
      <c r="DS289" s="44" t="str">
        <f t="shared" si="3667"/>
        <v/>
      </c>
      <c r="DT289" s="44" t="str">
        <f t="shared" si="3668"/>
        <v/>
      </c>
      <c r="DU289" s="44" t="str">
        <f t="shared" si="3669"/>
        <v/>
      </c>
      <c r="DV289" s="44" t="str">
        <f t="shared" si="3670"/>
        <v/>
      </c>
      <c r="DW289" s="44" t="str">
        <f t="shared" si="3671"/>
        <v/>
      </c>
      <c r="DX289" s="44" t="str">
        <f t="shared" si="3672"/>
        <v/>
      </c>
      <c r="DY289" s="44" t="str">
        <f t="shared" si="3673"/>
        <v/>
      </c>
      <c r="DZ289" s="44" t="str">
        <f t="shared" si="3674"/>
        <v/>
      </c>
      <c r="EA289" s="44" t="str">
        <f t="shared" si="3675"/>
        <v/>
      </c>
      <c r="EB289" s="44" t="str">
        <f t="shared" si="3676"/>
        <v/>
      </c>
      <c r="EC289" s="44" t="str">
        <f t="shared" si="3677"/>
        <v/>
      </c>
      <c r="ED289" s="44" t="str">
        <f t="shared" si="3678"/>
        <v/>
      </c>
      <c r="EE289" s="44" t="str">
        <f t="shared" si="3679"/>
        <v/>
      </c>
      <c r="EF289" s="44" t="str">
        <f t="shared" si="3680"/>
        <v/>
      </c>
      <c r="EG289" s="44" t="str">
        <f t="shared" si="3681"/>
        <v/>
      </c>
      <c r="EH289" s="44" t="str">
        <f t="shared" si="3682"/>
        <v/>
      </c>
      <c r="EI289" s="44" t="str">
        <f t="shared" si="3683"/>
        <v/>
      </c>
      <c r="EJ289" s="44" t="str">
        <f t="shared" si="3684"/>
        <v/>
      </c>
      <c r="EK289" s="44" t="str">
        <f t="shared" si="3685"/>
        <v/>
      </c>
      <c r="EL289" s="44" t="str">
        <f t="shared" si="3686"/>
        <v/>
      </c>
      <c r="EM289" s="44" t="str">
        <f t="shared" si="3687"/>
        <v/>
      </c>
      <c r="EN289" s="44" t="str">
        <f t="shared" si="3688"/>
        <v/>
      </c>
      <c r="EO289" s="44" t="str">
        <f t="shared" si="3689"/>
        <v/>
      </c>
      <c r="EP289" s="44" t="str">
        <f t="shared" si="3690"/>
        <v/>
      </c>
      <c r="EQ289" s="44" t="str">
        <f t="shared" si="3691"/>
        <v/>
      </c>
      <c r="ER289" s="44" t="str">
        <f t="shared" si="3692"/>
        <v/>
      </c>
      <c r="ES289" s="44" t="str">
        <f t="shared" si="3693"/>
        <v/>
      </c>
      <c r="ET289" s="44" t="str">
        <f t="shared" si="3694"/>
        <v/>
      </c>
      <c r="EU289" s="44" t="str">
        <f t="shared" si="3695"/>
        <v/>
      </c>
      <c r="EV289" s="44" t="str">
        <f t="shared" si="3696"/>
        <v/>
      </c>
      <c r="EW289" s="44" t="str">
        <f t="shared" si="3697"/>
        <v/>
      </c>
      <c r="EX289" s="44" t="str">
        <f t="shared" si="3698"/>
        <v/>
      </c>
      <c r="EY289" s="44" t="str">
        <f t="shared" si="3699"/>
        <v/>
      </c>
      <c r="EZ289" s="44" t="str">
        <f t="shared" si="3700"/>
        <v/>
      </c>
      <c r="FA289" s="44" t="str">
        <f t="shared" si="3701"/>
        <v/>
      </c>
      <c r="FB289" s="44" t="str">
        <f t="shared" si="3702"/>
        <v/>
      </c>
      <c r="FC289" s="44" t="str">
        <f t="shared" si="3703"/>
        <v/>
      </c>
      <c r="FD289" s="44" t="str">
        <f t="shared" si="3704"/>
        <v/>
      </c>
      <c r="FE289" s="44" t="str">
        <f t="shared" si="3705"/>
        <v/>
      </c>
      <c r="FF289" s="44" t="str">
        <f t="shared" si="3706"/>
        <v/>
      </c>
      <c r="FG289" s="44" t="str">
        <f t="shared" si="3707"/>
        <v/>
      </c>
      <c r="FH289" s="44" t="str">
        <f t="shared" si="3708"/>
        <v/>
      </c>
      <c r="FI289" s="44" t="str">
        <f t="shared" si="3709"/>
        <v/>
      </c>
      <c r="FJ289" s="44" t="str">
        <f t="shared" si="3710"/>
        <v/>
      </c>
      <c r="FK289" s="44" t="str">
        <f t="shared" si="3711"/>
        <v/>
      </c>
      <c r="FL289" s="44" t="str">
        <f t="shared" si="3712"/>
        <v/>
      </c>
      <c r="FM289" s="44" t="str">
        <f t="shared" si="3713"/>
        <v/>
      </c>
      <c r="FN289" s="44" t="str">
        <f t="shared" si="3714"/>
        <v/>
      </c>
      <c r="FO289" s="44" t="str">
        <f t="shared" si="3715"/>
        <v/>
      </c>
      <c r="FP289" s="44" t="str">
        <f t="shared" si="3716"/>
        <v/>
      </c>
      <c r="FQ289" s="44" t="str">
        <f t="shared" si="3717"/>
        <v/>
      </c>
      <c r="FR289" s="44" t="str">
        <f t="shared" si="3718"/>
        <v/>
      </c>
      <c r="FS289" s="44" t="str">
        <f t="shared" si="3719"/>
        <v/>
      </c>
    </row>
    <row r="290" spans="92:175">
      <c r="CN290" s="13" t="str">
        <f t="shared" si="3644"/>
        <v>InitUnitState('',,,,,,,,,,)</v>
      </c>
      <c r="CO290" s="13" t="str">
        <f t="shared" si="3645"/>
        <v>InitUnitNormal('',,,,,,,,,,)</v>
      </c>
      <c r="CP290" s="13" t="str">
        <f t="shared" si="3646"/>
        <v>InitUnitMagic('',,,,,,,,,,)</v>
      </c>
      <c r="CQ290" s="13" t="str">
        <f t="shared" si="3647"/>
        <v>InitUnitAdd('',,,,,,,,,,)</v>
      </c>
      <c r="CR290" s="13" t="str">
        <f t="shared" si="3648"/>
        <v>InitEquipData('',,"",,,,,'','','','','','',"")</v>
      </c>
      <c r="CU290" s="6" t="str">
        <f t="shared" ref="CU290:CU328" si="3720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7"/>
      <c r="CX290" s="7"/>
      <c r="CY290" s="7"/>
      <c r="CZ290" s="7"/>
      <c r="DA290" s="7"/>
      <c r="DB290" s="44" t="str">
        <f t="shared" si="3650"/>
        <v/>
      </c>
      <c r="DC290" s="44" t="str">
        <f t="shared" si="3651"/>
        <v/>
      </c>
      <c r="DD290" s="44" t="str">
        <f t="shared" si="3652"/>
        <v/>
      </c>
      <c r="DE290" s="44" t="str">
        <f t="shared" si="3653"/>
        <v/>
      </c>
      <c r="DF290" s="44" t="str">
        <f t="shared" si="3654"/>
        <v/>
      </c>
      <c r="DG290" s="44" t="str">
        <f t="shared" si="3655"/>
        <v/>
      </c>
      <c r="DH290" s="44" t="str">
        <f t="shared" si="3656"/>
        <v/>
      </c>
      <c r="DI290" s="44" t="str">
        <f t="shared" si="3657"/>
        <v/>
      </c>
      <c r="DJ290" s="44" t="str">
        <f t="shared" si="3658"/>
        <v/>
      </c>
      <c r="DK290" s="44" t="str">
        <f t="shared" si="3659"/>
        <v/>
      </c>
      <c r="DL290" s="44" t="str">
        <f t="shared" si="3660"/>
        <v/>
      </c>
      <c r="DM290" s="44" t="str">
        <f t="shared" si="3661"/>
        <v/>
      </c>
      <c r="DN290" s="44" t="str">
        <f t="shared" si="3662"/>
        <v/>
      </c>
      <c r="DO290" s="44" t="str">
        <f t="shared" si="3663"/>
        <v/>
      </c>
      <c r="DP290" s="44" t="str">
        <f t="shared" si="3664"/>
        <v/>
      </c>
      <c r="DQ290" s="44" t="str">
        <f t="shared" si="3665"/>
        <v/>
      </c>
      <c r="DR290" s="44" t="str">
        <f t="shared" si="3666"/>
        <v/>
      </c>
      <c r="DS290" s="44" t="str">
        <f t="shared" si="3667"/>
        <v/>
      </c>
      <c r="DT290" s="44" t="str">
        <f t="shared" si="3668"/>
        <v/>
      </c>
      <c r="DU290" s="44" t="str">
        <f t="shared" si="3669"/>
        <v/>
      </c>
      <c r="DV290" s="44" t="str">
        <f t="shared" si="3670"/>
        <v/>
      </c>
      <c r="DW290" s="44" t="str">
        <f t="shared" si="3671"/>
        <v/>
      </c>
      <c r="DX290" s="44" t="str">
        <f t="shared" si="3672"/>
        <v/>
      </c>
      <c r="DY290" s="44" t="str">
        <f t="shared" si="3673"/>
        <v/>
      </c>
      <c r="DZ290" s="44" t="str">
        <f t="shared" si="3674"/>
        <v/>
      </c>
      <c r="EA290" s="44" t="str">
        <f t="shared" si="3675"/>
        <v/>
      </c>
      <c r="EB290" s="44" t="str">
        <f t="shared" si="3676"/>
        <v/>
      </c>
      <c r="EC290" s="44" t="str">
        <f t="shared" si="3677"/>
        <v/>
      </c>
      <c r="ED290" s="44" t="str">
        <f t="shared" si="3678"/>
        <v/>
      </c>
      <c r="EE290" s="44" t="str">
        <f t="shared" si="3679"/>
        <v/>
      </c>
      <c r="EF290" s="44" t="str">
        <f t="shared" si="3680"/>
        <v/>
      </c>
      <c r="EG290" s="44" t="str">
        <f t="shared" si="3681"/>
        <v/>
      </c>
      <c r="EH290" s="44" t="str">
        <f t="shared" si="3682"/>
        <v/>
      </c>
      <c r="EI290" s="44" t="str">
        <f t="shared" si="3683"/>
        <v/>
      </c>
      <c r="EJ290" s="44" t="str">
        <f t="shared" si="3684"/>
        <v/>
      </c>
      <c r="EK290" s="44" t="str">
        <f t="shared" si="3685"/>
        <v/>
      </c>
      <c r="EL290" s="44" t="str">
        <f t="shared" si="3686"/>
        <v/>
      </c>
      <c r="EM290" s="44" t="str">
        <f t="shared" si="3687"/>
        <v/>
      </c>
      <c r="EN290" s="44" t="str">
        <f t="shared" si="3688"/>
        <v/>
      </c>
      <c r="EO290" s="44" t="str">
        <f t="shared" si="3689"/>
        <v/>
      </c>
      <c r="EP290" s="44" t="str">
        <f t="shared" si="3690"/>
        <v/>
      </c>
      <c r="EQ290" s="44" t="str">
        <f t="shared" si="3691"/>
        <v/>
      </c>
      <c r="ER290" s="44" t="str">
        <f t="shared" si="3692"/>
        <v/>
      </c>
      <c r="ES290" s="44" t="str">
        <f t="shared" si="3693"/>
        <v/>
      </c>
      <c r="ET290" s="44" t="str">
        <f t="shared" si="3694"/>
        <v/>
      </c>
      <c r="EU290" s="44" t="str">
        <f t="shared" si="3695"/>
        <v/>
      </c>
      <c r="EV290" s="44" t="str">
        <f t="shared" si="3696"/>
        <v/>
      </c>
      <c r="EW290" s="44" t="str">
        <f t="shared" si="3697"/>
        <v/>
      </c>
      <c r="EX290" s="44" t="str">
        <f t="shared" si="3698"/>
        <v/>
      </c>
      <c r="EY290" s="44" t="str">
        <f t="shared" si="3699"/>
        <v/>
      </c>
      <c r="EZ290" s="44" t="str">
        <f t="shared" si="3700"/>
        <v/>
      </c>
      <c r="FA290" s="44" t="str">
        <f t="shared" si="3701"/>
        <v/>
      </c>
      <c r="FB290" s="44" t="str">
        <f t="shared" si="3702"/>
        <v/>
      </c>
      <c r="FC290" s="44" t="str">
        <f t="shared" si="3703"/>
        <v/>
      </c>
      <c r="FD290" s="44" t="str">
        <f t="shared" si="3704"/>
        <v/>
      </c>
      <c r="FE290" s="44" t="str">
        <f t="shared" si="3705"/>
        <v/>
      </c>
      <c r="FF290" s="44" t="str">
        <f t="shared" si="3706"/>
        <v/>
      </c>
      <c r="FG290" s="44" t="str">
        <f t="shared" si="3707"/>
        <v/>
      </c>
      <c r="FH290" s="44" t="str">
        <f t="shared" si="3708"/>
        <v/>
      </c>
      <c r="FI290" s="44" t="str">
        <f t="shared" si="3709"/>
        <v/>
      </c>
      <c r="FJ290" s="44" t="str">
        <f t="shared" si="3710"/>
        <v/>
      </c>
      <c r="FK290" s="44" t="str">
        <f t="shared" si="3711"/>
        <v/>
      </c>
      <c r="FL290" s="44" t="str">
        <f t="shared" si="3712"/>
        <v/>
      </c>
      <c r="FM290" s="44" t="str">
        <f t="shared" si="3713"/>
        <v/>
      </c>
      <c r="FN290" s="44" t="str">
        <f t="shared" si="3714"/>
        <v/>
      </c>
      <c r="FO290" s="44" t="str">
        <f t="shared" si="3715"/>
        <v/>
      </c>
      <c r="FP290" s="44" t="str">
        <f t="shared" si="3716"/>
        <v/>
      </c>
      <c r="FQ290" s="44" t="str">
        <f t="shared" si="3717"/>
        <v/>
      </c>
      <c r="FR290" s="44" t="str">
        <f t="shared" si="3718"/>
        <v/>
      </c>
      <c r="FS290" s="44" t="str">
        <f t="shared" si="3719"/>
        <v/>
      </c>
    </row>
    <row r="291" spans="92:175">
      <c r="CN291" s="13" t="str">
        <f t="shared" si="3644"/>
        <v>InitUnitState('',,,,,,,,,,)</v>
      </c>
      <c r="CO291" s="13" t="str">
        <f t="shared" si="3645"/>
        <v>InitUnitNormal('',,,,,,,,,,)</v>
      </c>
      <c r="CP291" s="13" t="str">
        <f t="shared" si="3646"/>
        <v>InitUnitMagic('',,,,,,,,,,)</v>
      </c>
      <c r="CQ291" s="13" t="str">
        <f t="shared" si="3647"/>
        <v>InitUnitAdd('',,,,,,,,,,)</v>
      </c>
      <c r="CR291" s="13" t="str">
        <f t="shared" si="3648"/>
        <v>InitEquipData('',,"",,,,,'','','','','','',"")</v>
      </c>
      <c r="CU291" s="6" t="str">
        <f t="shared" si="3720"/>
        <v>|n</v>
      </c>
      <c r="CW291" s="7"/>
      <c r="CX291" s="7"/>
      <c r="CY291" s="7"/>
      <c r="CZ291" s="7"/>
      <c r="DA291" s="7"/>
      <c r="DB291" s="44" t="str">
        <f t="shared" si="3650"/>
        <v/>
      </c>
      <c r="DC291" s="44" t="str">
        <f t="shared" si="3651"/>
        <v/>
      </c>
      <c r="DD291" s="44" t="str">
        <f t="shared" si="3652"/>
        <v/>
      </c>
      <c r="DE291" s="44" t="str">
        <f t="shared" si="3653"/>
        <v/>
      </c>
      <c r="DF291" s="44" t="str">
        <f t="shared" si="3654"/>
        <v/>
      </c>
      <c r="DG291" s="44" t="str">
        <f t="shared" si="3655"/>
        <v/>
      </c>
      <c r="DH291" s="44" t="str">
        <f t="shared" si="3656"/>
        <v/>
      </c>
      <c r="DI291" s="44" t="str">
        <f t="shared" si="3657"/>
        <v/>
      </c>
      <c r="DJ291" s="44" t="str">
        <f t="shared" si="3658"/>
        <v/>
      </c>
      <c r="DK291" s="44" t="str">
        <f t="shared" si="3659"/>
        <v/>
      </c>
      <c r="DL291" s="44" t="str">
        <f t="shared" si="3660"/>
        <v/>
      </c>
      <c r="DM291" s="44" t="str">
        <f t="shared" si="3661"/>
        <v/>
      </c>
      <c r="DN291" s="44" t="str">
        <f t="shared" si="3662"/>
        <v/>
      </c>
      <c r="DO291" s="44" t="str">
        <f t="shared" si="3663"/>
        <v/>
      </c>
      <c r="DP291" s="44" t="str">
        <f t="shared" si="3664"/>
        <v/>
      </c>
      <c r="DQ291" s="44" t="str">
        <f t="shared" si="3665"/>
        <v/>
      </c>
      <c r="DR291" s="44" t="str">
        <f t="shared" si="3666"/>
        <v/>
      </c>
      <c r="DS291" s="44" t="str">
        <f t="shared" si="3667"/>
        <v/>
      </c>
      <c r="DT291" s="44" t="str">
        <f t="shared" si="3668"/>
        <v/>
      </c>
      <c r="DU291" s="44" t="str">
        <f t="shared" si="3669"/>
        <v/>
      </c>
      <c r="DV291" s="44" t="str">
        <f t="shared" si="3670"/>
        <v/>
      </c>
      <c r="DW291" s="44" t="str">
        <f t="shared" si="3671"/>
        <v/>
      </c>
      <c r="DX291" s="44" t="str">
        <f t="shared" si="3672"/>
        <v/>
      </c>
      <c r="DY291" s="44" t="str">
        <f t="shared" si="3673"/>
        <v/>
      </c>
      <c r="DZ291" s="44" t="str">
        <f t="shared" si="3674"/>
        <v/>
      </c>
      <c r="EA291" s="44" t="str">
        <f t="shared" si="3675"/>
        <v/>
      </c>
      <c r="EB291" s="44" t="str">
        <f t="shared" si="3676"/>
        <v/>
      </c>
      <c r="EC291" s="44" t="str">
        <f t="shared" si="3677"/>
        <v/>
      </c>
      <c r="ED291" s="44" t="str">
        <f t="shared" si="3678"/>
        <v/>
      </c>
      <c r="EE291" s="44" t="str">
        <f t="shared" si="3679"/>
        <v/>
      </c>
      <c r="EF291" s="44" t="str">
        <f t="shared" si="3680"/>
        <v/>
      </c>
      <c r="EG291" s="44" t="str">
        <f t="shared" si="3681"/>
        <v/>
      </c>
      <c r="EH291" s="44" t="str">
        <f t="shared" si="3682"/>
        <v/>
      </c>
      <c r="EI291" s="44" t="str">
        <f t="shared" si="3683"/>
        <v/>
      </c>
      <c r="EJ291" s="44" t="str">
        <f t="shared" si="3684"/>
        <v/>
      </c>
      <c r="EK291" s="44" t="str">
        <f t="shared" si="3685"/>
        <v/>
      </c>
      <c r="EL291" s="44" t="str">
        <f t="shared" si="3686"/>
        <v/>
      </c>
      <c r="EM291" s="44" t="str">
        <f t="shared" si="3687"/>
        <v/>
      </c>
      <c r="EN291" s="44" t="str">
        <f t="shared" si="3688"/>
        <v/>
      </c>
      <c r="EO291" s="44" t="str">
        <f t="shared" si="3689"/>
        <v/>
      </c>
      <c r="EP291" s="44" t="str">
        <f t="shared" si="3690"/>
        <v/>
      </c>
      <c r="EQ291" s="44" t="str">
        <f t="shared" si="3691"/>
        <v/>
      </c>
      <c r="ER291" s="44" t="str">
        <f t="shared" si="3692"/>
        <v/>
      </c>
      <c r="ES291" s="44" t="str">
        <f t="shared" si="3693"/>
        <v/>
      </c>
      <c r="ET291" s="44" t="str">
        <f t="shared" si="3694"/>
        <v/>
      </c>
      <c r="EU291" s="44" t="str">
        <f t="shared" si="3695"/>
        <v/>
      </c>
      <c r="EV291" s="44" t="str">
        <f t="shared" si="3696"/>
        <v/>
      </c>
      <c r="EW291" s="44" t="str">
        <f t="shared" si="3697"/>
        <v/>
      </c>
      <c r="EX291" s="44" t="str">
        <f t="shared" si="3698"/>
        <v/>
      </c>
      <c r="EY291" s="44" t="str">
        <f t="shared" si="3699"/>
        <v/>
      </c>
      <c r="EZ291" s="44" t="str">
        <f t="shared" si="3700"/>
        <v/>
      </c>
      <c r="FA291" s="44" t="str">
        <f t="shared" si="3701"/>
        <v/>
      </c>
      <c r="FB291" s="44" t="str">
        <f t="shared" si="3702"/>
        <v/>
      </c>
      <c r="FC291" s="44" t="str">
        <f t="shared" si="3703"/>
        <v/>
      </c>
      <c r="FD291" s="44" t="str">
        <f t="shared" si="3704"/>
        <v/>
      </c>
      <c r="FE291" s="44" t="str">
        <f t="shared" si="3705"/>
        <v/>
      </c>
      <c r="FF291" s="44" t="str">
        <f t="shared" si="3706"/>
        <v/>
      </c>
      <c r="FG291" s="44" t="str">
        <f t="shared" si="3707"/>
        <v/>
      </c>
      <c r="FH291" s="44" t="str">
        <f t="shared" si="3708"/>
        <v/>
      </c>
      <c r="FI291" s="44" t="str">
        <f t="shared" si="3709"/>
        <v/>
      </c>
      <c r="FJ291" s="44" t="str">
        <f t="shared" si="3710"/>
        <v/>
      </c>
      <c r="FK291" s="44" t="str">
        <f t="shared" si="3711"/>
        <v/>
      </c>
      <c r="FL291" s="44" t="str">
        <f t="shared" si="3712"/>
        <v/>
      </c>
      <c r="FM291" s="44" t="str">
        <f t="shared" si="3713"/>
        <v/>
      </c>
      <c r="FN291" s="44" t="str">
        <f t="shared" si="3714"/>
        <v/>
      </c>
      <c r="FO291" s="44" t="str">
        <f t="shared" si="3715"/>
        <v/>
      </c>
      <c r="FP291" s="44" t="str">
        <f t="shared" si="3716"/>
        <v/>
      </c>
      <c r="FQ291" s="44" t="str">
        <f t="shared" si="3717"/>
        <v/>
      </c>
      <c r="FR291" s="44" t="str">
        <f t="shared" si="3718"/>
        <v/>
      </c>
      <c r="FS291" s="44" t="str">
        <f t="shared" si="3719"/>
        <v/>
      </c>
    </row>
    <row r="292" spans="92:175">
      <c r="CN292" s="13" t="str">
        <f t="shared" si="3644"/>
        <v>InitUnitState('',,,,,,,,,,)</v>
      </c>
      <c r="CO292" s="13" t="str">
        <f t="shared" si="3645"/>
        <v>InitUnitNormal('',,,,,,,,,,)</v>
      </c>
      <c r="CP292" s="13" t="str">
        <f t="shared" si="3646"/>
        <v>InitUnitMagic('',,,,,,,,,,)</v>
      </c>
      <c r="CQ292" s="13" t="str">
        <f t="shared" si="3647"/>
        <v>InitUnitAdd('',,,,,,,,,,)</v>
      </c>
      <c r="CR292" s="13" t="str">
        <f t="shared" si="3648"/>
        <v>InitEquipData('',,"",,,,,'','','','','','',"")</v>
      </c>
      <c r="CU292" s="6" t="str">
        <f t="shared" si="3720"/>
        <v>|n</v>
      </c>
      <c r="CW292" s="7"/>
      <c r="CX292" s="7"/>
      <c r="CY292" s="7"/>
      <c r="CZ292" s="7"/>
      <c r="DA292" s="7"/>
      <c r="DB292" s="44" t="str">
        <f t="shared" si="3650"/>
        <v/>
      </c>
      <c r="DC292" s="44" t="str">
        <f t="shared" si="3651"/>
        <v/>
      </c>
      <c r="DD292" s="44" t="str">
        <f t="shared" si="3652"/>
        <v/>
      </c>
      <c r="DE292" s="44" t="str">
        <f t="shared" si="3653"/>
        <v/>
      </c>
      <c r="DF292" s="44" t="str">
        <f t="shared" si="3654"/>
        <v/>
      </c>
      <c r="DG292" s="44" t="str">
        <f t="shared" si="3655"/>
        <v/>
      </c>
      <c r="DH292" s="44" t="str">
        <f t="shared" si="3656"/>
        <v/>
      </c>
      <c r="DI292" s="44" t="str">
        <f t="shared" si="3657"/>
        <v/>
      </c>
      <c r="DJ292" s="44" t="str">
        <f t="shared" si="3658"/>
        <v/>
      </c>
      <c r="DK292" s="44" t="str">
        <f t="shared" si="3659"/>
        <v/>
      </c>
      <c r="DL292" s="44" t="str">
        <f t="shared" si="3660"/>
        <v/>
      </c>
      <c r="DM292" s="44" t="str">
        <f t="shared" si="3661"/>
        <v/>
      </c>
      <c r="DN292" s="44" t="str">
        <f t="shared" si="3662"/>
        <v/>
      </c>
      <c r="DO292" s="44" t="str">
        <f t="shared" si="3663"/>
        <v/>
      </c>
      <c r="DP292" s="44" t="str">
        <f t="shared" si="3664"/>
        <v/>
      </c>
      <c r="DQ292" s="44" t="str">
        <f t="shared" si="3665"/>
        <v/>
      </c>
      <c r="DR292" s="44" t="str">
        <f t="shared" si="3666"/>
        <v/>
      </c>
      <c r="DS292" s="44" t="str">
        <f t="shared" si="3667"/>
        <v/>
      </c>
      <c r="DT292" s="44" t="str">
        <f t="shared" si="3668"/>
        <v/>
      </c>
      <c r="DU292" s="44" t="str">
        <f t="shared" si="3669"/>
        <v/>
      </c>
      <c r="DV292" s="44" t="str">
        <f t="shared" si="3670"/>
        <v/>
      </c>
      <c r="DW292" s="44" t="str">
        <f t="shared" si="3671"/>
        <v/>
      </c>
      <c r="DX292" s="44" t="str">
        <f t="shared" si="3672"/>
        <v/>
      </c>
      <c r="DY292" s="44" t="str">
        <f t="shared" si="3673"/>
        <v/>
      </c>
      <c r="DZ292" s="44" t="str">
        <f t="shared" si="3674"/>
        <v/>
      </c>
      <c r="EA292" s="44" t="str">
        <f t="shared" si="3675"/>
        <v/>
      </c>
      <c r="EB292" s="44" t="str">
        <f t="shared" si="3676"/>
        <v/>
      </c>
      <c r="EC292" s="44" t="str">
        <f t="shared" si="3677"/>
        <v/>
      </c>
      <c r="ED292" s="44" t="str">
        <f t="shared" si="3678"/>
        <v/>
      </c>
      <c r="EE292" s="44" t="str">
        <f t="shared" si="3679"/>
        <v/>
      </c>
      <c r="EF292" s="44" t="str">
        <f t="shared" si="3680"/>
        <v/>
      </c>
      <c r="EG292" s="44" t="str">
        <f t="shared" si="3681"/>
        <v/>
      </c>
      <c r="EH292" s="44" t="str">
        <f t="shared" si="3682"/>
        <v/>
      </c>
      <c r="EI292" s="44" t="str">
        <f t="shared" si="3683"/>
        <v/>
      </c>
      <c r="EJ292" s="44" t="str">
        <f t="shared" si="3684"/>
        <v/>
      </c>
      <c r="EK292" s="44" t="str">
        <f t="shared" si="3685"/>
        <v/>
      </c>
      <c r="EL292" s="44" t="str">
        <f t="shared" si="3686"/>
        <v/>
      </c>
      <c r="EM292" s="44" t="str">
        <f t="shared" si="3687"/>
        <v/>
      </c>
      <c r="EN292" s="44" t="str">
        <f t="shared" si="3688"/>
        <v/>
      </c>
      <c r="EO292" s="44" t="str">
        <f t="shared" si="3689"/>
        <v/>
      </c>
      <c r="EP292" s="44" t="str">
        <f t="shared" si="3690"/>
        <v/>
      </c>
      <c r="EQ292" s="44" t="str">
        <f t="shared" si="3691"/>
        <v/>
      </c>
      <c r="ER292" s="44" t="str">
        <f t="shared" si="3692"/>
        <v/>
      </c>
      <c r="ES292" s="44" t="str">
        <f t="shared" si="3693"/>
        <v/>
      </c>
      <c r="ET292" s="44" t="str">
        <f t="shared" si="3694"/>
        <v/>
      </c>
      <c r="EU292" s="44" t="str">
        <f t="shared" si="3695"/>
        <v/>
      </c>
      <c r="EV292" s="44" t="str">
        <f t="shared" si="3696"/>
        <v/>
      </c>
      <c r="EW292" s="44" t="str">
        <f t="shared" si="3697"/>
        <v/>
      </c>
      <c r="EX292" s="44" t="str">
        <f t="shared" si="3698"/>
        <v/>
      </c>
      <c r="EY292" s="44" t="str">
        <f t="shared" si="3699"/>
        <v/>
      </c>
      <c r="EZ292" s="44" t="str">
        <f t="shared" si="3700"/>
        <v/>
      </c>
      <c r="FA292" s="44" t="str">
        <f t="shared" si="3701"/>
        <v/>
      </c>
      <c r="FB292" s="44" t="str">
        <f t="shared" si="3702"/>
        <v/>
      </c>
      <c r="FC292" s="44" t="str">
        <f t="shared" si="3703"/>
        <v/>
      </c>
      <c r="FD292" s="44" t="str">
        <f t="shared" si="3704"/>
        <v/>
      </c>
      <c r="FE292" s="44" t="str">
        <f t="shared" si="3705"/>
        <v/>
      </c>
      <c r="FF292" s="44" t="str">
        <f t="shared" si="3706"/>
        <v/>
      </c>
      <c r="FG292" s="44" t="str">
        <f t="shared" si="3707"/>
        <v/>
      </c>
      <c r="FH292" s="44" t="str">
        <f t="shared" si="3708"/>
        <v/>
      </c>
      <c r="FI292" s="44" t="str">
        <f t="shared" si="3709"/>
        <v/>
      </c>
      <c r="FJ292" s="44" t="str">
        <f t="shared" si="3710"/>
        <v/>
      </c>
      <c r="FK292" s="44" t="str">
        <f t="shared" si="3711"/>
        <v/>
      </c>
      <c r="FL292" s="44" t="str">
        <f t="shared" si="3712"/>
        <v/>
      </c>
      <c r="FM292" s="44" t="str">
        <f t="shared" si="3713"/>
        <v/>
      </c>
      <c r="FN292" s="44" t="str">
        <f t="shared" si="3714"/>
        <v/>
      </c>
      <c r="FO292" s="44" t="str">
        <f t="shared" si="3715"/>
        <v/>
      </c>
      <c r="FP292" s="44" t="str">
        <f t="shared" si="3716"/>
        <v/>
      </c>
      <c r="FQ292" s="44" t="str">
        <f t="shared" si="3717"/>
        <v/>
      </c>
      <c r="FR292" s="44" t="str">
        <f t="shared" si="3718"/>
        <v/>
      </c>
      <c r="FS292" s="44" t="str">
        <f t="shared" si="3719"/>
        <v/>
      </c>
    </row>
    <row r="293" spans="92:175">
      <c r="CN293" s="13" t="str">
        <f t="shared" si="3644"/>
        <v>InitUnitState('',,,,,,,,,,)</v>
      </c>
      <c r="CO293" s="13" t="str">
        <f t="shared" si="3645"/>
        <v>InitUnitNormal('',,,,,,,,,,)</v>
      </c>
      <c r="CP293" s="13" t="str">
        <f t="shared" si="3646"/>
        <v>InitUnitMagic('',,,,,,,,,,)</v>
      </c>
      <c r="CQ293" s="13" t="str">
        <f t="shared" si="3647"/>
        <v>InitUnitAdd('',,,,,,,,,,)</v>
      </c>
      <c r="CR293" s="13" t="str">
        <f t="shared" si="3648"/>
        <v>InitEquipData('',,"",,,,,'','','','','','',"")</v>
      </c>
      <c r="CU293" s="6" t="str">
        <f t="shared" si="3720"/>
        <v>|n</v>
      </c>
      <c r="CW293" s="7"/>
      <c r="CX293" s="7"/>
      <c r="CY293" s="7"/>
      <c r="CZ293" s="7"/>
      <c r="DA293" s="7"/>
      <c r="DB293" s="44" t="str">
        <f t="shared" si="3650"/>
        <v/>
      </c>
      <c r="DC293" s="44" t="str">
        <f t="shared" si="3651"/>
        <v/>
      </c>
      <c r="DD293" s="44" t="str">
        <f t="shared" si="3652"/>
        <v/>
      </c>
      <c r="DE293" s="44" t="str">
        <f t="shared" si="3653"/>
        <v/>
      </c>
      <c r="DF293" s="44" t="str">
        <f t="shared" si="3654"/>
        <v/>
      </c>
      <c r="DG293" s="44" t="str">
        <f t="shared" si="3655"/>
        <v/>
      </c>
      <c r="DH293" s="44" t="str">
        <f t="shared" si="3656"/>
        <v/>
      </c>
      <c r="DI293" s="44" t="str">
        <f t="shared" si="3657"/>
        <v/>
      </c>
      <c r="DJ293" s="44" t="str">
        <f t="shared" si="3658"/>
        <v/>
      </c>
      <c r="DK293" s="44" t="str">
        <f t="shared" si="3659"/>
        <v/>
      </c>
      <c r="DL293" s="44" t="str">
        <f t="shared" si="3660"/>
        <v/>
      </c>
      <c r="DM293" s="44" t="str">
        <f t="shared" si="3661"/>
        <v/>
      </c>
      <c r="DN293" s="44" t="str">
        <f t="shared" si="3662"/>
        <v/>
      </c>
      <c r="DO293" s="44" t="str">
        <f t="shared" si="3663"/>
        <v/>
      </c>
      <c r="DP293" s="44" t="str">
        <f t="shared" si="3664"/>
        <v/>
      </c>
      <c r="DQ293" s="44" t="str">
        <f t="shared" si="3665"/>
        <v/>
      </c>
      <c r="DR293" s="44" t="str">
        <f t="shared" si="3666"/>
        <v/>
      </c>
      <c r="DS293" s="44" t="str">
        <f t="shared" si="3667"/>
        <v/>
      </c>
      <c r="DT293" s="44" t="str">
        <f t="shared" si="3668"/>
        <v/>
      </c>
      <c r="DU293" s="44" t="str">
        <f t="shared" si="3669"/>
        <v/>
      </c>
      <c r="DV293" s="44" t="str">
        <f t="shared" si="3670"/>
        <v/>
      </c>
      <c r="DW293" s="44" t="str">
        <f t="shared" si="3671"/>
        <v/>
      </c>
      <c r="DX293" s="44" t="str">
        <f t="shared" si="3672"/>
        <v/>
      </c>
      <c r="DY293" s="44" t="str">
        <f t="shared" si="3673"/>
        <v/>
      </c>
      <c r="DZ293" s="44" t="str">
        <f t="shared" si="3674"/>
        <v/>
      </c>
      <c r="EA293" s="44" t="str">
        <f t="shared" si="3675"/>
        <v/>
      </c>
      <c r="EB293" s="44" t="str">
        <f t="shared" si="3676"/>
        <v/>
      </c>
      <c r="EC293" s="44" t="str">
        <f t="shared" si="3677"/>
        <v/>
      </c>
      <c r="ED293" s="44" t="str">
        <f t="shared" si="3678"/>
        <v/>
      </c>
      <c r="EE293" s="44" t="str">
        <f t="shared" si="3679"/>
        <v/>
      </c>
      <c r="EF293" s="44" t="str">
        <f t="shared" si="3680"/>
        <v/>
      </c>
      <c r="EG293" s="44" t="str">
        <f t="shared" si="3681"/>
        <v/>
      </c>
      <c r="EH293" s="44" t="str">
        <f t="shared" si="3682"/>
        <v/>
      </c>
      <c r="EI293" s="44" t="str">
        <f t="shared" si="3683"/>
        <v/>
      </c>
      <c r="EJ293" s="44" t="str">
        <f t="shared" si="3684"/>
        <v/>
      </c>
      <c r="EK293" s="44" t="str">
        <f t="shared" si="3685"/>
        <v/>
      </c>
      <c r="EL293" s="44" t="str">
        <f t="shared" si="3686"/>
        <v/>
      </c>
      <c r="EM293" s="44" t="str">
        <f t="shared" si="3687"/>
        <v/>
      </c>
      <c r="EN293" s="44" t="str">
        <f t="shared" si="3688"/>
        <v/>
      </c>
      <c r="EO293" s="44" t="str">
        <f t="shared" si="3689"/>
        <v/>
      </c>
      <c r="EP293" s="44" t="str">
        <f t="shared" si="3690"/>
        <v/>
      </c>
      <c r="EQ293" s="44" t="str">
        <f t="shared" si="3691"/>
        <v/>
      </c>
      <c r="ER293" s="44" t="str">
        <f t="shared" si="3692"/>
        <v/>
      </c>
      <c r="ES293" s="44" t="str">
        <f t="shared" si="3693"/>
        <v/>
      </c>
      <c r="ET293" s="44" t="str">
        <f t="shared" si="3694"/>
        <v/>
      </c>
      <c r="EU293" s="44" t="str">
        <f t="shared" si="3695"/>
        <v/>
      </c>
      <c r="EV293" s="44" t="str">
        <f t="shared" si="3696"/>
        <v/>
      </c>
      <c r="EW293" s="44" t="str">
        <f t="shared" si="3697"/>
        <v/>
      </c>
      <c r="EX293" s="44" t="str">
        <f t="shared" si="3698"/>
        <v/>
      </c>
      <c r="EY293" s="44" t="str">
        <f t="shared" si="3699"/>
        <v/>
      </c>
      <c r="EZ293" s="44" t="str">
        <f t="shared" si="3700"/>
        <v/>
      </c>
      <c r="FA293" s="44" t="str">
        <f t="shared" si="3701"/>
        <v/>
      </c>
      <c r="FB293" s="44" t="str">
        <f t="shared" si="3702"/>
        <v/>
      </c>
      <c r="FC293" s="44" t="str">
        <f t="shared" si="3703"/>
        <v/>
      </c>
      <c r="FD293" s="44" t="str">
        <f t="shared" si="3704"/>
        <v/>
      </c>
      <c r="FE293" s="44" t="str">
        <f t="shared" si="3705"/>
        <v/>
      </c>
      <c r="FF293" s="44" t="str">
        <f t="shared" si="3706"/>
        <v/>
      </c>
      <c r="FG293" s="44" t="str">
        <f t="shared" si="3707"/>
        <v/>
      </c>
      <c r="FH293" s="44" t="str">
        <f t="shared" si="3708"/>
        <v/>
      </c>
      <c r="FI293" s="44" t="str">
        <f t="shared" si="3709"/>
        <v/>
      </c>
      <c r="FJ293" s="44" t="str">
        <f t="shared" si="3710"/>
        <v/>
      </c>
      <c r="FK293" s="44" t="str">
        <f t="shared" si="3711"/>
        <v/>
      </c>
      <c r="FL293" s="44" t="str">
        <f t="shared" si="3712"/>
        <v/>
      </c>
      <c r="FM293" s="44" t="str">
        <f t="shared" si="3713"/>
        <v/>
      </c>
      <c r="FN293" s="44" t="str">
        <f t="shared" si="3714"/>
        <v/>
      </c>
      <c r="FO293" s="44" t="str">
        <f t="shared" si="3715"/>
        <v/>
      </c>
      <c r="FP293" s="44" t="str">
        <f t="shared" si="3716"/>
        <v/>
      </c>
      <c r="FQ293" s="44" t="str">
        <f t="shared" si="3717"/>
        <v/>
      </c>
      <c r="FR293" s="44" t="str">
        <f t="shared" si="3718"/>
        <v/>
      </c>
      <c r="FS293" s="44" t="str">
        <f t="shared" si="3719"/>
        <v/>
      </c>
    </row>
    <row r="294" spans="92:175">
      <c r="CN294" s="13" t="str">
        <f t="shared" si="3644"/>
        <v>InitUnitState('',,,,,,,,,,)</v>
      </c>
      <c r="CO294" s="13" t="str">
        <f t="shared" si="3645"/>
        <v>InitUnitNormal('',,,,,,,,,,)</v>
      </c>
      <c r="CP294" s="13" t="str">
        <f t="shared" si="3646"/>
        <v>InitUnitMagic('',,,,,,,,,,)</v>
      </c>
      <c r="CQ294" s="13" t="str">
        <f t="shared" si="3647"/>
        <v>InitUnitAdd('',,,,,,,,,,)</v>
      </c>
      <c r="CR294" s="13" t="str">
        <f t="shared" si="3648"/>
        <v>InitEquipData('',,"",,,,,'','','','','','',"")</v>
      </c>
      <c r="CU294" s="6" t="str">
        <f t="shared" si="3720"/>
        <v>|n</v>
      </c>
      <c r="CW294" s="7"/>
      <c r="CX294" s="7"/>
      <c r="CY294" s="7"/>
      <c r="CZ294" s="7"/>
      <c r="DA294" s="7"/>
      <c r="DB294" s="44" t="str">
        <f t="shared" si="3650"/>
        <v/>
      </c>
      <c r="DC294" s="44" t="str">
        <f t="shared" si="3651"/>
        <v/>
      </c>
      <c r="DD294" s="44" t="str">
        <f t="shared" si="3652"/>
        <v/>
      </c>
      <c r="DE294" s="44" t="str">
        <f t="shared" si="3653"/>
        <v/>
      </c>
      <c r="DF294" s="44" t="str">
        <f t="shared" si="3654"/>
        <v/>
      </c>
      <c r="DG294" s="44" t="str">
        <f t="shared" si="3655"/>
        <v/>
      </c>
      <c r="DH294" s="44" t="str">
        <f t="shared" si="3656"/>
        <v/>
      </c>
      <c r="DI294" s="44" t="str">
        <f t="shared" si="3657"/>
        <v/>
      </c>
      <c r="DJ294" s="44" t="str">
        <f t="shared" si="3658"/>
        <v/>
      </c>
      <c r="DK294" s="44" t="str">
        <f t="shared" si="3659"/>
        <v/>
      </c>
      <c r="DL294" s="44" t="str">
        <f t="shared" si="3660"/>
        <v/>
      </c>
      <c r="DM294" s="44" t="str">
        <f t="shared" si="3661"/>
        <v/>
      </c>
      <c r="DN294" s="44" t="str">
        <f t="shared" si="3662"/>
        <v/>
      </c>
      <c r="DO294" s="44" t="str">
        <f t="shared" si="3663"/>
        <v/>
      </c>
      <c r="DP294" s="44" t="str">
        <f t="shared" si="3664"/>
        <v/>
      </c>
      <c r="DQ294" s="44" t="str">
        <f t="shared" si="3665"/>
        <v/>
      </c>
      <c r="DR294" s="44" t="str">
        <f t="shared" si="3666"/>
        <v/>
      </c>
      <c r="DS294" s="44" t="str">
        <f t="shared" si="3667"/>
        <v/>
      </c>
      <c r="DT294" s="44" t="str">
        <f t="shared" si="3668"/>
        <v/>
      </c>
      <c r="DU294" s="44" t="str">
        <f t="shared" si="3669"/>
        <v/>
      </c>
      <c r="DV294" s="44" t="str">
        <f t="shared" si="3670"/>
        <v/>
      </c>
      <c r="DW294" s="44" t="str">
        <f t="shared" si="3671"/>
        <v/>
      </c>
      <c r="DX294" s="44" t="str">
        <f t="shared" si="3672"/>
        <v/>
      </c>
      <c r="DY294" s="44" t="str">
        <f t="shared" si="3673"/>
        <v/>
      </c>
      <c r="DZ294" s="44" t="str">
        <f t="shared" si="3674"/>
        <v/>
      </c>
      <c r="EA294" s="44" t="str">
        <f t="shared" si="3675"/>
        <v/>
      </c>
      <c r="EB294" s="44" t="str">
        <f t="shared" si="3676"/>
        <v/>
      </c>
      <c r="EC294" s="44" t="str">
        <f t="shared" si="3677"/>
        <v/>
      </c>
      <c r="ED294" s="44" t="str">
        <f t="shared" si="3678"/>
        <v/>
      </c>
      <c r="EE294" s="44" t="str">
        <f t="shared" si="3679"/>
        <v/>
      </c>
      <c r="EF294" s="44" t="str">
        <f t="shared" si="3680"/>
        <v/>
      </c>
      <c r="EG294" s="44" t="str">
        <f t="shared" si="3681"/>
        <v/>
      </c>
      <c r="EH294" s="44" t="str">
        <f t="shared" si="3682"/>
        <v/>
      </c>
      <c r="EI294" s="44" t="str">
        <f t="shared" si="3683"/>
        <v/>
      </c>
      <c r="EJ294" s="44" t="str">
        <f t="shared" si="3684"/>
        <v/>
      </c>
      <c r="EK294" s="44" t="str">
        <f t="shared" si="3685"/>
        <v/>
      </c>
      <c r="EL294" s="44" t="str">
        <f t="shared" si="3686"/>
        <v/>
      </c>
      <c r="EM294" s="44" t="str">
        <f t="shared" si="3687"/>
        <v/>
      </c>
      <c r="EN294" s="44" t="str">
        <f t="shared" si="3688"/>
        <v/>
      </c>
      <c r="EO294" s="44" t="str">
        <f t="shared" si="3689"/>
        <v/>
      </c>
      <c r="EP294" s="44" t="str">
        <f t="shared" si="3690"/>
        <v/>
      </c>
      <c r="EQ294" s="44" t="str">
        <f t="shared" si="3691"/>
        <v/>
      </c>
      <c r="ER294" s="44" t="str">
        <f t="shared" si="3692"/>
        <v/>
      </c>
      <c r="ES294" s="44" t="str">
        <f t="shared" si="3693"/>
        <v/>
      </c>
      <c r="ET294" s="44" t="str">
        <f t="shared" si="3694"/>
        <v/>
      </c>
      <c r="EU294" s="44" t="str">
        <f t="shared" si="3695"/>
        <v/>
      </c>
      <c r="EV294" s="44" t="str">
        <f t="shared" si="3696"/>
        <v/>
      </c>
      <c r="EW294" s="44" t="str">
        <f t="shared" si="3697"/>
        <v/>
      </c>
      <c r="EX294" s="44" t="str">
        <f t="shared" si="3698"/>
        <v/>
      </c>
      <c r="EY294" s="44" t="str">
        <f t="shared" si="3699"/>
        <v/>
      </c>
      <c r="EZ294" s="44" t="str">
        <f t="shared" si="3700"/>
        <v/>
      </c>
      <c r="FA294" s="44" t="str">
        <f t="shared" si="3701"/>
        <v/>
      </c>
      <c r="FB294" s="44" t="str">
        <f t="shared" si="3702"/>
        <v/>
      </c>
      <c r="FC294" s="44" t="str">
        <f t="shared" si="3703"/>
        <v/>
      </c>
      <c r="FD294" s="44" t="str">
        <f t="shared" si="3704"/>
        <v/>
      </c>
      <c r="FE294" s="44" t="str">
        <f t="shared" si="3705"/>
        <v/>
      </c>
      <c r="FF294" s="44" t="str">
        <f t="shared" si="3706"/>
        <v/>
      </c>
      <c r="FG294" s="44" t="str">
        <f t="shared" si="3707"/>
        <v/>
      </c>
      <c r="FH294" s="44" t="str">
        <f t="shared" si="3708"/>
        <v/>
      </c>
      <c r="FI294" s="44" t="str">
        <f t="shared" si="3709"/>
        <v/>
      </c>
      <c r="FJ294" s="44" t="str">
        <f t="shared" si="3710"/>
        <v/>
      </c>
      <c r="FK294" s="44" t="str">
        <f t="shared" si="3711"/>
        <v/>
      </c>
      <c r="FL294" s="44" t="str">
        <f t="shared" si="3712"/>
        <v/>
      </c>
      <c r="FM294" s="44" t="str">
        <f t="shared" si="3713"/>
        <v/>
      </c>
      <c r="FN294" s="44" t="str">
        <f t="shared" si="3714"/>
        <v/>
      </c>
      <c r="FO294" s="44" t="str">
        <f t="shared" si="3715"/>
        <v/>
      </c>
      <c r="FP294" s="44" t="str">
        <f t="shared" si="3716"/>
        <v/>
      </c>
      <c r="FQ294" s="44" t="str">
        <f t="shared" si="3717"/>
        <v/>
      </c>
      <c r="FR294" s="44" t="str">
        <f t="shared" si="3718"/>
        <v/>
      </c>
      <c r="FS294" s="44" t="str">
        <f t="shared" si="3719"/>
        <v/>
      </c>
    </row>
    <row r="295" spans="92:175">
      <c r="CN295" s="13" t="str">
        <f t="shared" si="3644"/>
        <v>InitUnitState('',,,,,,,,,,)</v>
      </c>
      <c r="CO295" s="13" t="str">
        <f t="shared" si="3645"/>
        <v>InitUnitNormal('',,,,,,,,,,)</v>
      </c>
      <c r="CP295" s="13" t="str">
        <f t="shared" si="3646"/>
        <v>InitUnitMagic('',,,,,,,,,,)</v>
      </c>
      <c r="CQ295" s="13" t="str">
        <f t="shared" si="3647"/>
        <v>InitUnitAdd('',,,,,,,,,,)</v>
      </c>
      <c r="CR295" s="13" t="str">
        <f t="shared" si="3648"/>
        <v>InitEquipData('',,"",,,,,'','','','','','',"")</v>
      </c>
      <c r="CU295" s="6" t="str">
        <f t="shared" si="3720"/>
        <v>|n</v>
      </c>
      <c r="CW295" s="7"/>
      <c r="CX295" s="7"/>
      <c r="CY295" s="7"/>
      <c r="CZ295" s="7"/>
      <c r="DA295" s="7"/>
      <c r="DB295" s="44" t="str">
        <f t="shared" si="3650"/>
        <v/>
      </c>
      <c r="DC295" s="44" t="str">
        <f t="shared" si="3651"/>
        <v/>
      </c>
      <c r="DD295" s="44" t="str">
        <f t="shared" si="3652"/>
        <v/>
      </c>
      <c r="DE295" s="44" t="str">
        <f t="shared" si="3653"/>
        <v/>
      </c>
      <c r="DF295" s="44" t="str">
        <f t="shared" si="3654"/>
        <v/>
      </c>
      <c r="DG295" s="44" t="str">
        <f t="shared" si="3655"/>
        <v/>
      </c>
      <c r="DH295" s="44" t="str">
        <f t="shared" si="3656"/>
        <v/>
      </c>
      <c r="DI295" s="44" t="str">
        <f t="shared" si="3657"/>
        <v/>
      </c>
      <c r="DJ295" s="44" t="str">
        <f t="shared" si="3658"/>
        <v/>
      </c>
      <c r="DK295" s="44" t="str">
        <f t="shared" si="3659"/>
        <v/>
      </c>
      <c r="DL295" s="44" t="str">
        <f t="shared" si="3660"/>
        <v/>
      </c>
      <c r="DM295" s="44" t="str">
        <f t="shared" si="3661"/>
        <v/>
      </c>
      <c r="DN295" s="44" t="str">
        <f t="shared" si="3662"/>
        <v/>
      </c>
      <c r="DO295" s="44" t="str">
        <f t="shared" si="3663"/>
        <v/>
      </c>
      <c r="DP295" s="44" t="str">
        <f t="shared" si="3664"/>
        <v/>
      </c>
      <c r="DQ295" s="44" t="str">
        <f t="shared" si="3665"/>
        <v/>
      </c>
      <c r="DR295" s="44" t="str">
        <f t="shared" si="3666"/>
        <v/>
      </c>
      <c r="DS295" s="44" t="str">
        <f t="shared" si="3667"/>
        <v/>
      </c>
      <c r="DT295" s="44" t="str">
        <f t="shared" si="3668"/>
        <v/>
      </c>
      <c r="DU295" s="44" t="str">
        <f t="shared" si="3669"/>
        <v/>
      </c>
      <c r="DV295" s="44" t="str">
        <f t="shared" si="3670"/>
        <v/>
      </c>
      <c r="DW295" s="44" t="str">
        <f t="shared" si="3671"/>
        <v/>
      </c>
      <c r="DX295" s="44" t="str">
        <f t="shared" si="3672"/>
        <v/>
      </c>
      <c r="DY295" s="44" t="str">
        <f t="shared" si="3673"/>
        <v/>
      </c>
      <c r="DZ295" s="44" t="str">
        <f t="shared" si="3674"/>
        <v/>
      </c>
      <c r="EA295" s="44" t="str">
        <f t="shared" si="3675"/>
        <v/>
      </c>
      <c r="EB295" s="44" t="str">
        <f t="shared" si="3676"/>
        <v/>
      </c>
      <c r="EC295" s="44" t="str">
        <f t="shared" si="3677"/>
        <v/>
      </c>
      <c r="ED295" s="44" t="str">
        <f t="shared" si="3678"/>
        <v/>
      </c>
      <c r="EE295" s="44" t="str">
        <f t="shared" si="3679"/>
        <v/>
      </c>
      <c r="EF295" s="44" t="str">
        <f t="shared" si="3680"/>
        <v/>
      </c>
      <c r="EG295" s="44" t="str">
        <f t="shared" si="3681"/>
        <v/>
      </c>
      <c r="EH295" s="44" t="str">
        <f t="shared" si="3682"/>
        <v/>
      </c>
      <c r="EI295" s="44" t="str">
        <f t="shared" si="3683"/>
        <v/>
      </c>
      <c r="EJ295" s="44" t="str">
        <f t="shared" si="3684"/>
        <v/>
      </c>
      <c r="EK295" s="44" t="str">
        <f t="shared" si="3685"/>
        <v/>
      </c>
      <c r="EL295" s="44" t="str">
        <f t="shared" si="3686"/>
        <v/>
      </c>
      <c r="EM295" s="44" t="str">
        <f t="shared" si="3687"/>
        <v/>
      </c>
      <c r="EN295" s="44" t="str">
        <f t="shared" si="3688"/>
        <v/>
      </c>
      <c r="EO295" s="44" t="str">
        <f t="shared" si="3689"/>
        <v/>
      </c>
      <c r="EP295" s="44" t="str">
        <f t="shared" si="3690"/>
        <v/>
      </c>
      <c r="EQ295" s="44" t="str">
        <f t="shared" si="3691"/>
        <v/>
      </c>
      <c r="ER295" s="44" t="str">
        <f t="shared" si="3692"/>
        <v/>
      </c>
      <c r="ES295" s="44" t="str">
        <f t="shared" si="3693"/>
        <v/>
      </c>
      <c r="ET295" s="44" t="str">
        <f t="shared" si="3694"/>
        <v/>
      </c>
      <c r="EU295" s="44" t="str">
        <f t="shared" si="3695"/>
        <v/>
      </c>
      <c r="EV295" s="44" t="str">
        <f t="shared" si="3696"/>
        <v/>
      </c>
      <c r="EW295" s="44" t="str">
        <f t="shared" si="3697"/>
        <v/>
      </c>
      <c r="EX295" s="44" t="str">
        <f t="shared" si="3698"/>
        <v/>
      </c>
      <c r="EY295" s="44" t="str">
        <f t="shared" si="3699"/>
        <v/>
      </c>
      <c r="EZ295" s="44" t="str">
        <f t="shared" si="3700"/>
        <v/>
      </c>
      <c r="FA295" s="44" t="str">
        <f t="shared" si="3701"/>
        <v/>
      </c>
      <c r="FB295" s="44" t="str">
        <f t="shared" si="3702"/>
        <v/>
      </c>
      <c r="FC295" s="44" t="str">
        <f t="shared" si="3703"/>
        <v/>
      </c>
      <c r="FD295" s="44" t="str">
        <f t="shared" si="3704"/>
        <v/>
      </c>
      <c r="FE295" s="44" t="str">
        <f t="shared" si="3705"/>
        <v/>
      </c>
      <c r="FF295" s="44" t="str">
        <f t="shared" si="3706"/>
        <v/>
      </c>
      <c r="FG295" s="44" t="str">
        <f t="shared" si="3707"/>
        <v/>
      </c>
      <c r="FH295" s="44" t="str">
        <f t="shared" si="3708"/>
        <v/>
      </c>
      <c r="FI295" s="44" t="str">
        <f t="shared" si="3709"/>
        <v/>
      </c>
      <c r="FJ295" s="44" t="str">
        <f t="shared" si="3710"/>
        <v/>
      </c>
      <c r="FK295" s="44" t="str">
        <f t="shared" si="3711"/>
        <v/>
      </c>
      <c r="FL295" s="44" t="str">
        <f t="shared" si="3712"/>
        <v/>
      </c>
      <c r="FM295" s="44" t="str">
        <f t="shared" si="3713"/>
        <v/>
      </c>
      <c r="FN295" s="44" t="str">
        <f t="shared" si="3714"/>
        <v/>
      </c>
      <c r="FO295" s="44" t="str">
        <f t="shared" si="3715"/>
        <v/>
      </c>
      <c r="FP295" s="44" t="str">
        <f t="shared" si="3716"/>
        <v/>
      </c>
      <c r="FQ295" s="44" t="str">
        <f t="shared" si="3717"/>
        <v/>
      </c>
      <c r="FR295" s="44" t="str">
        <f t="shared" si="3718"/>
        <v/>
      </c>
      <c r="FS295" s="44" t="str">
        <f t="shared" si="3719"/>
        <v/>
      </c>
    </row>
    <row r="296" spans="92:175">
      <c r="CN296" s="13" t="str">
        <f t="shared" si="3644"/>
        <v>InitUnitState('',,,,,,,,,,)</v>
      </c>
      <c r="CO296" s="13" t="str">
        <f t="shared" si="3645"/>
        <v>InitUnitNormal('',,,,,,,,,,)</v>
      </c>
      <c r="CP296" s="13" t="str">
        <f t="shared" si="3646"/>
        <v>InitUnitMagic('',,,,,,,,,,)</v>
      </c>
      <c r="CQ296" s="13" t="str">
        <f t="shared" si="3647"/>
        <v>InitUnitAdd('',,,,,,,,,,)</v>
      </c>
      <c r="CR296" s="13" t="str">
        <f t="shared" si="3648"/>
        <v>InitEquipData('',,"",,,,,'','','','','','',"")</v>
      </c>
      <c r="CU296" s="6" t="str">
        <f t="shared" si="3720"/>
        <v>|n</v>
      </c>
      <c r="CW296" s="7"/>
      <c r="CX296" s="7"/>
      <c r="CY296" s="7"/>
      <c r="CZ296" s="7"/>
      <c r="DA296" s="7"/>
      <c r="DB296" s="44" t="str">
        <f t="shared" si="3650"/>
        <v/>
      </c>
      <c r="DC296" s="44" t="str">
        <f t="shared" si="3651"/>
        <v/>
      </c>
      <c r="DD296" s="44" t="str">
        <f t="shared" si="3652"/>
        <v/>
      </c>
      <c r="DE296" s="44" t="str">
        <f t="shared" si="3653"/>
        <v/>
      </c>
      <c r="DF296" s="44" t="str">
        <f t="shared" si="3654"/>
        <v/>
      </c>
      <c r="DG296" s="44" t="str">
        <f t="shared" si="3655"/>
        <v/>
      </c>
      <c r="DH296" s="44" t="str">
        <f t="shared" si="3656"/>
        <v/>
      </c>
      <c r="DI296" s="44" t="str">
        <f t="shared" si="3657"/>
        <v/>
      </c>
      <c r="DJ296" s="44" t="str">
        <f t="shared" si="3658"/>
        <v/>
      </c>
      <c r="DK296" s="44" t="str">
        <f t="shared" si="3659"/>
        <v/>
      </c>
      <c r="DL296" s="44" t="str">
        <f t="shared" si="3660"/>
        <v/>
      </c>
      <c r="DM296" s="44" t="str">
        <f t="shared" si="3661"/>
        <v/>
      </c>
      <c r="DN296" s="44" t="str">
        <f t="shared" si="3662"/>
        <v/>
      </c>
      <c r="DO296" s="44" t="str">
        <f t="shared" si="3663"/>
        <v/>
      </c>
      <c r="DP296" s="44" t="str">
        <f t="shared" si="3664"/>
        <v/>
      </c>
      <c r="DQ296" s="44" t="str">
        <f t="shared" si="3665"/>
        <v/>
      </c>
      <c r="DR296" s="44" t="str">
        <f t="shared" si="3666"/>
        <v/>
      </c>
      <c r="DS296" s="44" t="str">
        <f t="shared" si="3667"/>
        <v/>
      </c>
      <c r="DT296" s="44" t="str">
        <f t="shared" si="3668"/>
        <v/>
      </c>
      <c r="DU296" s="44" t="str">
        <f t="shared" si="3669"/>
        <v/>
      </c>
      <c r="DV296" s="44" t="str">
        <f t="shared" si="3670"/>
        <v/>
      </c>
      <c r="DW296" s="44" t="str">
        <f t="shared" si="3671"/>
        <v/>
      </c>
      <c r="DX296" s="44" t="str">
        <f t="shared" si="3672"/>
        <v/>
      </c>
      <c r="DY296" s="44" t="str">
        <f t="shared" si="3673"/>
        <v/>
      </c>
      <c r="DZ296" s="44" t="str">
        <f t="shared" si="3674"/>
        <v/>
      </c>
      <c r="EA296" s="44" t="str">
        <f t="shared" si="3675"/>
        <v/>
      </c>
      <c r="EB296" s="44" t="str">
        <f t="shared" si="3676"/>
        <v/>
      </c>
      <c r="EC296" s="44" t="str">
        <f t="shared" si="3677"/>
        <v/>
      </c>
      <c r="ED296" s="44" t="str">
        <f t="shared" si="3678"/>
        <v/>
      </c>
      <c r="EE296" s="44" t="str">
        <f t="shared" si="3679"/>
        <v/>
      </c>
      <c r="EF296" s="44" t="str">
        <f t="shared" si="3680"/>
        <v/>
      </c>
      <c r="EG296" s="44" t="str">
        <f t="shared" si="3681"/>
        <v/>
      </c>
      <c r="EH296" s="44" t="str">
        <f t="shared" si="3682"/>
        <v/>
      </c>
      <c r="EI296" s="44" t="str">
        <f t="shared" si="3683"/>
        <v/>
      </c>
      <c r="EJ296" s="44" t="str">
        <f t="shared" si="3684"/>
        <v/>
      </c>
      <c r="EK296" s="44" t="str">
        <f t="shared" si="3685"/>
        <v/>
      </c>
      <c r="EL296" s="44" t="str">
        <f t="shared" si="3686"/>
        <v/>
      </c>
      <c r="EM296" s="44" t="str">
        <f t="shared" si="3687"/>
        <v/>
      </c>
      <c r="EN296" s="44" t="str">
        <f t="shared" si="3688"/>
        <v/>
      </c>
      <c r="EO296" s="44" t="str">
        <f t="shared" si="3689"/>
        <v/>
      </c>
      <c r="EP296" s="44" t="str">
        <f t="shared" si="3690"/>
        <v/>
      </c>
      <c r="EQ296" s="44" t="str">
        <f t="shared" si="3691"/>
        <v/>
      </c>
      <c r="ER296" s="44" t="str">
        <f t="shared" si="3692"/>
        <v/>
      </c>
      <c r="ES296" s="44" t="str">
        <f t="shared" si="3693"/>
        <v/>
      </c>
      <c r="ET296" s="44" t="str">
        <f t="shared" si="3694"/>
        <v/>
      </c>
      <c r="EU296" s="44" t="str">
        <f t="shared" si="3695"/>
        <v/>
      </c>
      <c r="EV296" s="44" t="str">
        <f t="shared" si="3696"/>
        <v/>
      </c>
      <c r="EW296" s="44" t="str">
        <f t="shared" si="3697"/>
        <v/>
      </c>
      <c r="EX296" s="44" t="str">
        <f t="shared" si="3698"/>
        <v/>
      </c>
      <c r="EY296" s="44" t="str">
        <f t="shared" si="3699"/>
        <v/>
      </c>
      <c r="EZ296" s="44" t="str">
        <f t="shared" si="3700"/>
        <v/>
      </c>
      <c r="FA296" s="44" t="str">
        <f t="shared" si="3701"/>
        <v/>
      </c>
      <c r="FB296" s="44" t="str">
        <f t="shared" si="3702"/>
        <v/>
      </c>
      <c r="FC296" s="44" t="str">
        <f t="shared" si="3703"/>
        <v/>
      </c>
      <c r="FD296" s="44" t="str">
        <f t="shared" si="3704"/>
        <v/>
      </c>
      <c r="FE296" s="44" t="str">
        <f t="shared" si="3705"/>
        <v/>
      </c>
      <c r="FF296" s="44" t="str">
        <f t="shared" si="3706"/>
        <v/>
      </c>
      <c r="FG296" s="44" t="str">
        <f t="shared" si="3707"/>
        <v/>
      </c>
      <c r="FH296" s="44" t="str">
        <f t="shared" si="3708"/>
        <v/>
      </c>
      <c r="FI296" s="44" t="str">
        <f t="shared" si="3709"/>
        <v/>
      </c>
      <c r="FJ296" s="44" t="str">
        <f t="shared" si="3710"/>
        <v/>
      </c>
      <c r="FK296" s="44" t="str">
        <f t="shared" si="3711"/>
        <v/>
      </c>
      <c r="FL296" s="44" t="str">
        <f t="shared" si="3712"/>
        <v/>
      </c>
      <c r="FM296" s="44" t="str">
        <f t="shared" si="3713"/>
        <v/>
      </c>
      <c r="FN296" s="44" t="str">
        <f t="shared" si="3714"/>
        <v/>
      </c>
      <c r="FO296" s="44" t="str">
        <f t="shared" si="3715"/>
        <v/>
      </c>
      <c r="FP296" s="44" t="str">
        <f t="shared" si="3716"/>
        <v/>
      </c>
      <c r="FQ296" s="44" t="str">
        <f t="shared" si="3717"/>
        <v/>
      </c>
      <c r="FR296" s="44" t="str">
        <f t="shared" si="3718"/>
        <v/>
      </c>
      <c r="FS296" s="44" t="str">
        <f t="shared" si="3719"/>
        <v/>
      </c>
    </row>
    <row r="297" spans="92:175">
      <c r="CN297" s="13" t="str">
        <f t="shared" si="3644"/>
        <v>InitUnitState('',,,,,,,,,,)</v>
      </c>
      <c r="CO297" s="13" t="str">
        <f t="shared" si="3645"/>
        <v>InitUnitNormal('',,,,,,,,,,)</v>
      </c>
      <c r="CP297" s="13" t="str">
        <f t="shared" si="3646"/>
        <v>InitUnitMagic('',,,,,,,,,,)</v>
      </c>
      <c r="CQ297" s="13" t="str">
        <f t="shared" si="3647"/>
        <v>InitUnitAdd('',,,,,,,,,,)</v>
      </c>
      <c r="CR297" s="13" t="str">
        <f t="shared" si="3648"/>
        <v>InitEquipData('',,"",,,,,'','','','','','',"")</v>
      </c>
      <c r="CU297" s="6" t="str">
        <f t="shared" si="3720"/>
        <v>|n</v>
      </c>
      <c r="CW297" s="7"/>
      <c r="CX297" s="7"/>
      <c r="CY297" s="7"/>
      <c r="CZ297" s="7"/>
      <c r="DA297" s="7"/>
      <c r="DB297" s="44" t="str">
        <f t="shared" si="3650"/>
        <v/>
      </c>
      <c r="DC297" s="44" t="str">
        <f t="shared" si="3651"/>
        <v/>
      </c>
      <c r="DD297" s="44" t="str">
        <f t="shared" si="3652"/>
        <v/>
      </c>
      <c r="DE297" s="44" t="str">
        <f t="shared" si="3653"/>
        <v/>
      </c>
      <c r="DF297" s="44" t="str">
        <f t="shared" si="3654"/>
        <v/>
      </c>
      <c r="DG297" s="44" t="str">
        <f t="shared" si="3655"/>
        <v/>
      </c>
      <c r="DH297" s="44" t="str">
        <f t="shared" si="3656"/>
        <v/>
      </c>
      <c r="DI297" s="44" t="str">
        <f t="shared" si="3657"/>
        <v/>
      </c>
      <c r="DJ297" s="44" t="str">
        <f t="shared" si="3658"/>
        <v/>
      </c>
      <c r="DK297" s="44" t="str">
        <f t="shared" si="3659"/>
        <v/>
      </c>
      <c r="DL297" s="44" t="str">
        <f t="shared" si="3660"/>
        <v/>
      </c>
      <c r="DM297" s="44" t="str">
        <f t="shared" si="3661"/>
        <v/>
      </c>
      <c r="DN297" s="44" t="str">
        <f t="shared" si="3662"/>
        <v/>
      </c>
      <c r="DO297" s="44" t="str">
        <f t="shared" si="3663"/>
        <v/>
      </c>
      <c r="DP297" s="44" t="str">
        <f t="shared" si="3664"/>
        <v/>
      </c>
      <c r="DQ297" s="44" t="str">
        <f t="shared" si="3665"/>
        <v/>
      </c>
      <c r="DR297" s="44" t="str">
        <f t="shared" si="3666"/>
        <v/>
      </c>
      <c r="DS297" s="44" t="str">
        <f t="shared" si="3667"/>
        <v/>
      </c>
      <c r="DT297" s="44" t="str">
        <f t="shared" si="3668"/>
        <v/>
      </c>
      <c r="DU297" s="44" t="str">
        <f t="shared" si="3669"/>
        <v/>
      </c>
      <c r="DV297" s="44" t="str">
        <f t="shared" si="3670"/>
        <v/>
      </c>
      <c r="DW297" s="44" t="str">
        <f t="shared" si="3671"/>
        <v/>
      </c>
      <c r="DX297" s="44" t="str">
        <f t="shared" si="3672"/>
        <v/>
      </c>
      <c r="DY297" s="44" t="str">
        <f t="shared" si="3673"/>
        <v/>
      </c>
      <c r="DZ297" s="44" t="str">
        <f t="shared" si="3674"/>
        <v/>
      </c>
      <c r="EA297" s="44" t="str">
        <f t="shared" si="3675"/>
        <v/>
      </c>
      <c r="EB297" s="44" t="str">
        <f t="shared" si="3676"/>
        <v/>
      </c>
      <c r="EC297" s="44" t="str">
        <f t="shared" si="3677"/>
        <v/>
      </c>
      <c r="ED297" s="44" t="str">
        <f t="shared" si="3678"/>
        <v/>
      </c>
      <c r="EE297" s="44" t="str">
        <f t="shared" si="3679"/>
        <v/>
      </c>
      <c r="EF297" s="44" t="str">
        <f t="shared" si="3680"/>
        <v/>
      </c>
      <c r="EG297" s="44" t="str">
        <f t="shared" si="3681"/>
        <v/>
      </c>
      <c r="EH297" s="44" t="str">
        <f t="shared" si="3682"/>
        <v/>
      </c>
      <c r="EI297" s="44" t="str">
        <f t="shared" si="3683"/>
        <v/>
      </c>
      <c r="EJ297" s="44" t="str">
        <f t="shared" si="3684"/>
        <v/>
      </c>
      <c r="EK297" s="44" t="str">
        <f t="shared" si="3685"/>
        <v/>
      </c>
      <c r="EL297" s="44" t="str">
        <f t="shared" si="3686"/>
        <v/>
      </c>
      <c r="EM297" s="44" t="str">
        <f t="shared" si="3687"/>
        <v/>
      </c>
      <c r="EN297" s="44" t="str">
        <f t="shared" si="3688"/>
        <v/>
      </c>
      <c r="EO297" s="44" t="str">
        <f t="shared" si="3689"/>
        <v/>
      </c>
      <c r="EP297" s="44" t="str">
        <f t="shared" si="3690"/>
        <v/>
      </c>
      <c r="EQ297" s="44" t="str">
        <f t="shared" si="3691"/>
        <v/>
      </c>
      <c r="ER297" s="44" t="str">
        <f t="shared" si="3692"/>
        <v/>
      </c>
      <c r="ES297" s="44" t="str">
        <f t="shared" si="3693"/>
        <v/>
      </c>
      <c r="ET297" s="44" t="str">
        <f t="shared" si="3694"/>
        <v/>
      </c>
      <c r="EU297" s="44" t="str">
        <f t="shared" si="3695"/>
        <v/>
      </c>
      <c r="EV297" s="44" t="str">
        <f t="shared" si="3696"/>
        <v/>
      </c>
      <c r="EW297" s="44" t="str">
        <f t="shared" si="3697"/>
        <v/>
      </c>
      <c r="EX297" s="44" t="str">
        <f t="shared" si="3698"/>
        <v/>
      </c>
      <c r="EY297" s="44" t="str">
        <f t="shared" si="3699"/>
        <v/>
      </c>
      <c r="EZ297" s="44" t="str">
        <f t="shared" si="3700"/>
        <v/>
      </c>
      <c r="FA297" s="44" t="str">
        <f t="shared" si="3701"/>
        <v/>
      </c>
      <c r="FB297" s="44" t="str">
        <f t="shared" si="3702"/>
        <v/>
      </c>
      <c r="FC297" s="44" t="str">
        <f t="shared" si="3703"/>
        <v/>
      </c>
      <c r="FD297" s="44" t="str">
        <f t="shared" si="3704"/>
        <v/>
      </c>
      <c r="FE297" s="44" t="str">
        <f t="shared" si="3705"/>
        <v/>
      </c>
      <c r="FF297" s="44" t="str">
        <f t="shared" si="3706"/>
        <v/>
      </c>
      <c r="FG297" s="44" t="str">
        <f t="shared" si="3707"/>
        <v/>
      </c>
      <c r="FH297" s="44" t="str">
        <f t="shared" si="3708"/>
        <v/>
      </c>
      <c r="FI297" s="44" t="str">
        <f t="shared" si="3709"/>
        <v/>
      </c>
      <c r="FJ297" s="44" t="str">
        <f t="shared" si="3710"/>
        <v/>
      </c>
      <c r="FK297" s="44" t="str">
        <f t="shared" si="3711"/>
        <v/>
      </c>
      <c r="FL297" s="44" t="str">
        <f t="shared" si="3712"/>
        <v/>
      </c>
      <c r="FM297" s="44" t="str">
        <f t="shared" si="3713"/>
        <v/>
      </c>
      <c r="FN297" s="44" t="str">
        <f t="shared" si="3714"/>
        <v/>
      </c>
      <c r="FO297" s="44" t="str">
        <f t="shared" si="3715"/>
        <v/>
      </c>
      <c r="FP297" s="44" t="str">
        <f t="shared" si="3716"/>
        <v/>
      </c>
      <c r="FQ297" s="44" t="str">
        <f t="shared" si="3717"/>
        <v/>
      </c>
      <c r="FR297" s="44" t="str">
        <f t="shared" si="3718"/>
        <v/>
      </c>
      <c r="FS297" s="44" t="str">
        <f t="shared" si="3719"/>
        <v/>
      </c>
    </row>
    <row r="298" spans="92:175">
      <c r="CN298" s="13" t="str">
        <f t="shared" si="3644"/>
        <v>InitUnitState('',,,,,,,,,,)</v>
      </c>
      <c r="CO298" s="13" t="str">
        <f t="shared" si="3645"/>
        <v>InitUnitNormal('',,,,,,,,,,)</v>
      </c>
      <c r="CP298" s="13" t="str">
        <f t="shared" si="3646"/>
        <v>InitUnitMagic('',,,,,,,,,,)</v>
      </c>
      <c r="CQ298" s="13" t="str">
        <f t="shared" si="3647"/>
        <v>InitUnitAdd('',,,,,,,,,,)</v>
      </c>
      <c r="CR298" s="13" t="str">
        <f t="shared" si="3648"/>
        <v>InitEquipData('',,"",,,,,'','','','','','',"")</v>
      </c>
      <c r="CU298" s="6" t="str">
        <f t="shared" si="3720"/>
        <v>|n</v>
      </c>
      <c r="DB298" s="44" t="str">
        <f>IF(V298="","","|n"&amp;#REF!&amp;"+"&amp;V298)</f>
        <v/>
      </c>
      <c r="DC298" s="44" t="str">
        <f>IF(W298="","","|n"&amp;#REF!&amp;"+"&amp;W298)</f>
        <v/>
      </c>
      <c r="DD298" s="44" t="str">
        <f>IF(X298="","","|n"&amp;#REF!&amp;"+"&amp;X298)</f>
        <v/>
      </c>
      <c r="DE298" s="44" t="str">
        <f>IF(Y298="","","|n"&amp;#REF!&amp;"+"&amp;Y298)</f>
        <v/>
      </c>
      <c r="DF298" s="44" t="str">
        <f>IF(Z298="","","|n"&amp;#REF!&amp;"+"&amp;Z298)</f>
        <v/>
      </c>
      <c r="DG298" s="44" t="str">
        <f>IF(AA298="","","|n"&amp;#REF!&amp;"+"&amp;AA298)</f>
        <v/>
      </c>
      <c r="DH298" s="44" t="str">
        <f>IF(AB298="","","|n"&amp;#REF!&amp;"+"&amp;AB298)</f>
        <v/>
      </c>
      <c r="DI298" s="44" t="str">
        <f>IF(AC298="","","|n"&amp;#REF!&amp;"+"&amp;AC298&amp;"%")</f>
        <v/>
      </c>
      <c r="DJ298" s="44" t="str">
        <f>IF(AD298="","","|n"&amp;#REF!&amp;"+"&amp;AD298)</f>
        <v/>
      </c>
      <c r="DK298" s="44" t="str">
        <f>IF(AE298="","","|n"&amp;#REF!&amp;"+"&amp;AE298)</f>
        <v/>
      </c>
      <c r="DL298" s="44" t="str">
        <f>IF(AF298="","","|n"&amp;#REF!&amp;"+"&amp;AF298)</f>
        <v/>
      </c>
      <c r="DM298" s="44" t="str">
        <f>IF(AG298="","","|n"&amp;#REF!&amp;"+"&amp;AG298&amp;"%")</f>
        <v/>
      </c>
      <c r="DN298" s="44" t="str">
        <f>IF(AH298="","","|n"&amp;#REF!&amp;"+"&amp;AH298)</f>
        <v/>
      </c>
      <c r="DO298" s="44" t="str">
        <f>IF(AI298="","","|n"&amp;#REF!&amp;"+"&amp;AI298)</f>
        <v/>
      </c>
      <c r="DP298" s="44" t="str">
        <f>IF(AJ298="","","|n"&amp;#REF!&amp;"+"&amp;AJ298)</f>
        <v/>
      </c>
    </row>
    <row r="299" spans="92:175">
      <c r="CN299" s="13" t="str">
        <f t="shared" si="3644"/>
        <v>InitUnitState('',,,,,,,,,,)</v>
      </c>
      <c r="CO299" s="13" t="str">
        <f t="shared" si="3645"/>
        <v>InitUnitNormal('',,,,,,,,,,)</v>
      </c>
      <c r="CP299" s="13" t="str">
        <f t="shared" si="3646"/>
        <v>InitUnitMagic('',,,,,,,,,,)</v>
      </c>
      <c r="CQ299" s="13" t="str">
        <f t="shared" si="3647"/>
        <v>InitUnitAdd('',,,,,,,,,,)</v>
      </c>
      <c r="CR299" s="13" t="str">
        <f t="shared" si="3648"/>
        <v>InitEquipData('',,"",,,,,'','','','','','',"")</v>
      </c>
      <c r="CU299" s="6" t="str">
        <f t="shared" si="3720"/>
        <v>|n</v>
      </c>
      <c r="DB299" s="44" t="str">
        <f>IF(V299="","","|n"&amp;#REF!&amp;"+"&amp;V299)</f>
        <v/>
      </c>
      <c r="DC299" s="44" t="str">
        <f>IF(W299="","","|n"&amp;#REF!&amp;"+"&amp;W299)</f>
        <v/>
      </c>
      <c r="DD299" s="44" t="str">
        <f>IF(X299="","","|n"&amp;#REF!&amp;"+"&amp;X299)</f>
        <v/>
      </c>
      <c r="DE299" s="44" t="str">
        <f>IF(Y299="","","|n"&amp;#REF!&amp;"+"&amp;Y299)</f>
        <v/>
      </c>
      <c r="DF299" s="44" t="str">
        <f>IF(Z299="","","|n"&amp;#REF!&amp;"+"&amp;Z299)</f>
        <v/>
      </c>
      <c r="DG299" s="44" t="str">
        <f>IF(AA299="","","|n"&amp;#REF!&amp;"+"&amp;AA299)</f>
        <v/>
      </c>
      <c r="DH299" s="44" t="str">
        <f>IF(AB299="","","|n"&amp;#REF!&amp;"+"&amp;AB299)</f>
        <v/>
      </c>
      <c r="DI299" s="44" t="str">
        <f>IF(AC299="","","|n"&amp;#REF!&amp;"+"&amp;AC299&amp;"%")</f>
        <v/>
      </c>
      <c r="DJ299" s="44" t="str">
        <f>IF(AD299="","","|n"&amp;#REF!&amp;"+"&amp;AD299)</f>
        <v/>
      </c>
      <c r="DK299" s="44" t="str">
        <f>IF(AE299="","","|n"&amp;#REF!&amp;"+"&amp;AE299)</f>
        <v/>
      </c>
      <c r="DL299" s="44" t="str">
        <f>IF(AF299="","","|n"&amp;#REF!&amp;"+"&amp;AF299)</f>
        <v/>
      </c>
      <c r="DM299" s="44" t="str">
        <f>IF(AG299="","","|n"&amp;#REF!&amp;"+"&amp;AG299&amp;"%")</f>
        <v/>
      </c>
      <c r="DN299" s="44" t="str">
        <f>IF(AH299="","","|n"&amp;#REF!&amp;"+"&amp;AH299)</f>
        <v/>
      </c>
      <c r="DO299" s="44" t="str">
        <f>IF(AI299="","","|n"&amp;#REF!&amp;"+"&amp;AI299)</f>
        <v/>
      </c>
      <c r="DP299" s="44" t="str">
        <f>IF(AJ299="","","|n"&amp;#REF!&amp;"+"&amp;AJ299)</f>
        <v/>
      </c>
    </row>
    <row r="300" spans="92:175">
      <c r="CN300" s="13" t="str">
        <f t="shared" si="3644"/>
        <v>InitUnitState('',,,,,,,,,,)</v>
      </c>
      <c r="CO300" s="13" t="str">
        <f t="shared" si="3645"/>
        <v>InitUnitNormal('',,,,,,,,,,)</v>
      </c>
      <c r="CP300" s="13" t="str">
        <f t="shared" si="3646"/>
        <v>InitUnitMagic('',,,,,,,,,,)</v>
      </c>
      <c r="CQ300" s="13" t="str">
        <f t="shared" si="3647"/>
        <v>InitUnitAdd('',,,,,,,,,,)</v>
      </c>
      <c r="CR300" s="13" t="str">
        <f t="shared" si="3648"/>
        <v>InitEquipData('',,"",,,,,'','','','','','',"")</v>
      </c>
      <c r="CU300" s="6" t="str">
        <f t="shared" si="3720"/>
        <v>|n</v>
      </c>
      <c r="DB300" s="44" t="str">
        <f>IF(V300="","","|n"&amp;#REF!&amp;"+"&amp;V300)</f>
        <v/>
      </c>
      <c r="DC300" s="44" t="str">
        <f>IF(W300="","","|n"&amp;#REF!&amp;"+"&amp;W300)</f>
        <v/>
      </c>
      <c r="DD300" s="44" t="str">
        <f>IF(X300="","","|n"&amp;#REF!&amp;"+"&amp;X300)</f>
        <v/>
      </c>
      <c r="DE300" s="44" t="str">
        <f>IF(Y300="","","|n"&amp;#REF!&amp;"+"&amp;Y300)</f>
        <v/>
      </c>
      <c r="DF300" s="44" t="str">
        <f>IF(Z300="","","|n"&amp;#REF!&amp;"+"&amp;Z300)</f>
        <v/>
      </c>
      <c r="DG300" s="44" t="str">
        <f>IF(AA300="","","|n"&amp;#REF!&amp;"+"&amp;AA300)</f>
        <v/>
      </c>
      <c r="DH300" s="44" t="str">
        <f>IF(AB300="","","|n"&amp;#REF!&amp;"+"&amp;AB300)</f>
        <v/>
      </c>
      <c r="DI300" s="44" t="str">
        <f>IF(AC300="","","|n"&amp;#REF!&amp;"+"&amp;AC300&amp;"%")</f>
        <v/>
      </c>
      <c r="DJ300" s="44" t="str">
        <f>IF(AD300="","","|n"&amp;#REF!&amp;"+"&amp;AD300)</f>
        <v/>
      </c>
      <c r="DK300" s="44" t="str">
        <f>IF(AE300="","","|n"&amp;#REF!&amp;"+"&amp;AE300)</f>
        <v/>
      </c>
      <c r="DL300" s="44" t="str">
        <f>IF(AF300="","","|n"&amp;#REF!&amp;"+"&amp;AF300)</f>
        <v/>
      </c>
      <c r="DM300" s="44" t="str">
        <f>IF(AG300="","","|n"&amp;#REF!&amp;"+"&amp;AG300&amp;"%")</f>
        <v/>
      </c>
      <c r="DN300" s="44" t="str">
        <f>IF(AH300="","","|n"&amp;#REF!&amp;"+"&amp;AH300)</f>
        <v/>
      </c>
      <c r="DO300" s="44" t="str">
        <f>IF(AI300="","","|n"&amp;#REF!&amp;"+"&amp;AI300)</f>
        <v/>
      </c>
      <c r="DP300" s="44" t="str">
        <f>IF(AJ300="","","|n"&amp;#REF!&amp;"+"&amp;AJ300)</f>
        <v/>
      </c>
    </row>
    <row r="301" spans="92:175">
      <c r="CN301" s="13" t="str">
        <f t="shared" si="3644"/>
        <v>InitUnitState('',,,,,,,,,,)</v>
      </c>
      <c r="CO301" s="13" t="str">
        <f t="shared" si="3645"/>
        <v>InitUnitNormal('',,,,,,,,,,)</v>
      </c>
      <c r="CP301" s="13" t="str">
        <f t="shared" si="3646"/>
        <v>InitUnitMagic('',,,,,,,,,,)</v>
      </c>
      <c r="CQ301" s="13" t="str">
        <f t="shared" si="3647"/>
        <v>InitUnitAdd('',,,,,,,,,,)</v>
      </c>
      <c r="CR301" s="13" t="str">
        <f t="shared" si="3648"/>
        <v>InitEquipData('',,"",,,,,'','','','','','',"")</v>
      </c>
      <c r="CU301" s="6" t="str">
        <f t="shared" si="3720"/>
        <v>|n</v>
      </c>
      <c r="DB301" s="44" t="str">
        <f>IF(V301="","","|n"&amp;#REF!&amp;"+"&amp;V301)</f>
        <v/>
      </c>
      <c r="DC301" s="44" t="str">
        <f>IF(W301="","","|n"&amp;#REF!&amp;"+"&amp;W301)</f>
        <v/>
      </c>
      <c r="DD301" s="44" t="str">
        <f>IF(X301="","","|n"&amp;#REF!&amp;"+"&amp;X301)</f>
        <v/>
      </c>
      <c r="DE301" s="44" t="str">
        <f>IF(Y301="","","|n"&amp;#REF!&amp;"+"&amp;Y301)</f>
        <v/>
      </c>
      <c r="DF301" s="44" t="str">
        <f>IF(Z301="","","|n"&amp;#REF!&amp;"+"&amp;Z301)</f>
        <v/>
      </c>
      <c r="DG301" s="44" t="str">
        <f>IF(AA301="","","|n"&amp;#REF!&amp;"+"&amp;AA301)</f>
        <v/>
      </c>
      <c r="DH301" s="44" t="str">
        <f>IF(AB301="","","|n"&amp;#REF!&amp;"+"&amp;AB301)</f>
        <v/>
      </c>
      <c r="DI301" s="44" t="str">
        <f>IF(AC301="","","|n"&amp;#REF!&amp;"+"&amp;AC301&amp;"%")</f>
        <v/>
      </c>
      <c r="DJ301" s="44" t="str">
        <f>IF(AD301="","","|n"&amp;#REF!&amp;"+"&amp;AD301)</f>
        <v/>
      </c>
      <c r="DK301" s="44" t="str">
        <f>IF(AE301="","","|n"&amp;#REF!&amp;"+"&amp;AE301)</f>
        <v/>
      </c>
      <c r="DL301" s="44" t="str">
        <f>IF(AF301="","","|n"&amp;#REF!&amp;"+"&amp;AF301)</f>
        <v/>
      </c>
      <c r="DM301" s="44" t="str">
        <f>IF(AG301="","","|n"&amp;#REF!&amp;"+"&amp;AG301&amp;"%")</f>
        <v/>
      </c>
      <c r="DN301" s="44" t="str">
        <f>IF(AH301="","","|n"&amp;#REF!&amp;"+"&amp;AH301)</f>
        <v/>
      </c>
      <c r="DO301" s="44" t="str">
        <f>IF(AI301="","","|n"&amp;#REF!&amp;"+"&amp;AI301)</f>
        <v/>
      </c>
      <c r="DP301" s="44" t="str">
        <f>IF(AJ301="","","|n"&amp;#REF!&amp;"+"&amp;AJ301)</f>
        <v/>
      </c>
    </row>
    <row r="302" spans="92:175">
      <c r="CN302" s="13" t="str">
        <f t="shared" si="3644"/>
        <v>InitUnitState('',,,,,,,,,,)</v>
      </c>
      <c r="CO302" s="13" t="str">
        <f t="shared" si="3645"/>
        <v>InitUnitNormal('',,,,,,,,,,)</v>
      </c>
      <c r="CP302" s="13" t="str">
        <f t="shared" si="3646"/>
        <v>InitUnitMagic('',,,,,,,,,,)</v>
      </c>
      <c r="CQ302" s="13" t="str">
        <f t="shared" si="3647"/>
        <v>InitUnitAdd('',,,,,,,,,,)</v>
      </c>
      <c r="CR302" s="13" t="str">
        <f t="shared" si="3648"/>
        <v>InitEquipData('',,"",,,,,'','','','','','',"")</v>
      </c>
      <c r="CU302" s="6" t="str">
        <f t="shared" si="3720"/>
        <v>|n</v>
      </c>
      <c r="DB302" s="44" t="str">
        <f>IF(V302="","","|n"&amp;#REF!&amp;"+"&amp;V302)</f>
        <v/>
      </c>
      <c r="DC302" s="44" t="str">
        <f>IF(W302="","","|n"&amp;#REF!&amp;"+"&amp;W302)</f>
        <v/>
      </c>
      <c r="DD302" s="44" t="str">
        <f>IF(X302="","","|n"&amp;#REF!&amp;"+"&amp;X302)</f>
        <v/>
      </c>
      <c r="DE302" s="44" t="str">
        <f>IF(Y302="","","|n"&amp;#REF!&amp;"+"&amp;Y302)</f>
        <v/>
      </c>
      <c r="DF302" s="44" t="str">
        <f>IF(Z302="","","|n"&amp;#REF!&amp;"+"&amp;Z302)</f>
        <v/>
      </c>
      <c r="DG302" s="44" t="str">
        <f>IF(AA302="","","|n"&amp;#REF!&amp;"+"&amp;AA302)</f>
        <v/>
      </c>
      <c r="DH302" s="44" t="str">
        <f>IF(AB302="","","|n"&amp;#REF!&amp;"+"&amp;AB302)</f>
        <v/>
      </c>
      <c r="DI302" s="44" t="str">
        <f>IF(AC302="","","|n"&amp;#REF!&amp;"+"&amp;AC302&amp;"%")</f>
        <v/>
      </c>
      <c r="DJ302" s="44" t="str">
        <f>IF(AD302="","","|n"&amp;#REF!&amp;"+"&amp;AD302)</f>
        <v/>
      </c>
      <c r="DK302" s="44" t="str">
        <f>IF(AE302="","","|n"&amp;#REF!&amp;"+"&amp;AE302)</f>
        <v/>
      </c>
      <c r="DL302" s="44" t="str">
        <f>IF(AF302="","","|n"&amp;#REF!&amp;"+"&amp;AF302)</f>
        <v/>
      </c>
      <c r="DM302" s="44" t="str">
        <f>IF(AG302="","","|n"&amp;#REF!&amp;"+"&amp;AG302&amp;"%")</f>
        <v/>
      </c>
      <c r="DN302" s="44" t="str">
        <f>IF(AH302="","","|n"&amp;#REF!&amp;"+"&amp;AH302)</f>
        <v/>
      </c>
      <c r="DO302" s="44" t="str">
        <f>IF(AI302="","","|n"&amp;#REF!&amp;"+"&amp;AI302)</f>
        <v/>
      </c>
      <c r="DP302" s="44" t="str">
        <f>IF(AJ302="","","|n"&amp;#REF!&amp;"+"&amp;AJ302)</f>
        <v/>
      </c>
    </row>
    <row r="303" spans="92:175">
      <c r="CN303" s="13" t="str">
        <f t="shared" si="3644"/>
        <v>InitUnitState('',,,,,,,,,,)</v>
      </c>
      <c r="CO303" s="13" t="str">
        <f t="shared" si="3645"/>
        <v>InitUnitNormal('',,,,,,,,,,)</v>
      </c>
      <c r="CP303" s="13" t="str">
        <f t="shared" si="3646"/>
        <v>InitUnitMagic('',,,,,,,,,,)</v>
      </c>
      <c r="CQ303" s="13" t="str">
        <f t="shared" si="3647"/>
        <v>InitUnitAdd('',,,,,,,,,,)</v>
      </c>
      <c r="CR303" s="13" t="str">
        <f t="shared" si="3648"/>
        <v>InitEquipData('',,"",,,,,'','','','','','',"")</v>
      </c>
      <c r="CU303" s="6" t="str">
        <f t="shared" si="3720"/>
        <v>|n</v>
      </c>
      <c r="DB303" s="44" t="str">
        <f>IF(V303="","","|n"&amp;#REF!&amp;"+"&amp;V303)</f>
        <v/>
      </c>
      <c r="DC303" s="44" t="str">
        <f>IF(W303="","","|n"&amp;#REF!&amp;"+"&amp;W303)</f>
        <v/>
      </c>
      <c r="DD303" s="44" t="str">
        <f>IF(X303="","","|n"&amp;#REF!&amp;"+"&amp;X303)</f>
        <v/>
      </c>
      <c r="DE303" s="44" t="str">
        <f>IF(Y303="","","|n"&amp;#REF!&amp;"+"&amp;Y303)</f>
        <v/>
      </c>
      <c r="DF303" s="44" t="str">
        <f>IF(Z303="","","|n"&amp;#REF!&amp;"+"&amp;Z303)</f>
        <v/>
      </c>
      <c r="DG303" s="44" t="str">
        <f>IF(AA303="","","|n"&amp;#REF!&amp;"+"&amp;AA303)</f>
        <v/>
      </c>
      <c r="DH303" s="44" t="str">
        <f>IF(AB303="","","|n"&amp;#REF!&amp;"+"&amp;AB303)</f>
        <v/>
      </c>
      <c r="DI303" s="44" t="str">
        <f>IF(AC303="","","|n"&amp;#REF!&amp;"+"&amp;AC303&amp;"%")</f>
        <v/>
      </c>
      <c r="DJ303" s="44" t="str">
        <f>IF(AD303="","","|n"&amp;#REF!&amp;"+"&amp;AD303)</f>
        <v/>
      </c>
      <c r="DK303" s="44" t="str">
        <f>IF(AE303="","","|n"&amp;#REF!&amp;"+"&amp;AE303)</f>
        <v/>
      </c>
      <c r="DL303" s="44" t="str">
        <f>IF(AF303="","","|n"&amp;#REF!&amp;"+"&amp;AF303)</f>
        <v/>
      </c>
      <c r="DM303" s="44" t="str">
        <f>IF(AG303="","","|n"&amp;#REF!&amp;"+"&amp;AG303&amp;"%")</f>
        <v/>
      </c>
      <c r="DN303" s="44" t="str">
        <f>IF(AH303="","","|n"&amp;#REF!&amp;"+"&amp;AH303)</f>
        <v/>
      </c>
      <c r="DO303" s="44" t="str">
        <f>IF(AI303="","","|n"&amp;#REF!&amp;"+"&amp;AI303)</f>
        <v/>
      </c>
      <c r="DP303" s="44" t="str">
        <f>IF(AJ303="","","|n"&amp;#REF!&amp;"+"&amp;AJ303)</f>
        <v/>
      </c>
    </row>
    <row r="304" spans="92:175">
      <c r="CN304" s="13" t="str">
        <f t="shared" si="3644"/>
        <v>InitUnitState('',,,,,,,,,,)</v>
      </c>
      <c r="CO304" s="13" t="str">
        <f t="shared" si="3645"/>
        <v>InitUnitNormal('',,,,,,,,,,)</v>
      </c>
      <c r="CP304" s="13" t="str">
        <f t="shared" si="3646"/>
        <v>InitUnitMagic('',,,,,,,,,,)</v>
      </c>
      <c r="CQ304" s="13" t="str">
        <f t="shared" si="3647"/>
        <v>InitUnitAdd('',,,,,,,,,,)</v>
      </c>
      <c r="CR304" s="13" t="str">
        <f t="shared" si="3648"/>
        <v>InitEquipData('',,"",,,,,'','','','','','',"")</v>
      </c>
      <c r="CU304" s="6" t="str">
        <f t="shared" si="3720"/>
        <v>|n</v>
      </c>
      <c r="DB304" s="44" t="str">
        <f>IF(V304="","","|n"&amp;#REF!&amp;"+"&amp;V304)</f>
        <v/>
      </c>
      <c r="DC304" s="44" t="str">
        <f>IF(W304="","","|n"&amp;#REF!&amp;"+"&amp;W304)</f>
        <v/>
      </c>
      <c r="DD304" s="44" t="str">
        <f>IF(X304="","","|n"&amp;#REF!&amp;"+"&amp;X304)</f>
        <v/>
      </c>
      <c r="DE304" s="44" t="str">
        <f>IF(Y304="","","|n"&amp;#REF!&amp;"+"&amp;Y304)</f>
        <v/>
      </c>
      <c r="DF304" s="44" t="str">
        <f>IF(Z304="","","|n"&amp;#REF!&amp;"+"&amp;Z304)</f>
        <v/>
      </c>
      <c r="DG304" s="44" t="str">
        <f>IF(AA304="","","|n"&amp;#REF!&amp;"+"&amp;AA304)</f>
        <v/>
      </c>
      <c r="DH304" s="44" t="str">
        <f>IF(AB304="","","|n"&amp;#REF!&amp;"+"&amp;AB304)</f>
        <v/>
      </c>
      <c r="DI304" s="44" t="str">
        <f>IF(AC304="","","|n"&amp;#REF!&amp;"+"&amp;AC304&amp;"%")</f>
        <v/>
      </c>
      <c r="DJ304" s="44" t="str">
        <f>IF(AD304="","","|n"&amp;#REF!&amp;"+"&amp;AD304)</f>
        <v/>
      </c>
      <c r="DK304" s="44" t="str">
        <f>IF(AE304="","","|n"&amp;#REF!&amp;"+"&amp;AE304)</f>
        <v/>
      </c>
      <c r="DL304" s="44" t="str">
        <f>IF(AF304="","","|n"&amp;#REF!&amp;"+"&amp;AF304)</f>
        <v/>
      </c>
      <c r="DM304" s="44" t="str">
        <f>IF(AG304="","","|n"&amp;#REF!&amp;"+"&amp;AG304&amp;"%")</f>
        <v/>
      </c>
      <c r="DN304" s="44" t="str">
        <f>IF(AH304="","","|n"&amp;#REF!&amp;"+"&amp;AH304)</f>
        <v/>
      </c>
      <c r="DO304" s="44" t="str">
        <f>IF(AI304="","","|n"&amp;#REF!&amp;"+"&amp;AI304)</f>
        <v/>
      </c>
      <c r="DP304" s="44" t="str">
        <f>IF(AJ304="","","|n"&amp;#REF!&amp;"+"&amp;AJ304)</f>
        <v/>
      </c>
    </row>
    <row r="305" spans="92:120">
      <c r="CN305" s="13" t="str">
        <f t="shared" si="3644"/>
        <v>InitUnitState('',,,,,,,,,,)</v>
      </c>
      <c r="CO305" s="13" t="str">
        <f t="shared" si="3645"/>
        <v>InitUnitNormal('',,,,,,,,,,)</v>
      </c>
      <c r="CP305" s="13" t="str">
        <f t="shared" si="3646"/>
        <v>InitUnitMagic('',,,,,,,,,,)</v>
      </c>
      <c r="CQ305" s="13" t="str">
        <f t="shared" si="3647"/>
        <v>InitUnitAdd('',,,,,,,,,,)</v>
      </c>
      <c r="CR305" s="13" t="str">
        <f t="shared" si="3648"/>
        <v>InitEquipData('',,"",,,,,'','','','','','',"")</v>
      </c>
      <c r="CU305" s="6" t="str">
        <f t="shared" si="3720"/>
        <v>|n</v>
      </c>
      <c r="DB305" s="44" t="str">
        <f>IF(V305="","","|n"&amp;#REF!&amp;"+"&amp;V305)</f>
        <v/>
      </c>
      <c r="DC305" s="44" t="str">
        <f>IF(W305="","","|n"&amp;#REF!&amp;"+"&amp;W305)</f>
        <v/>
      </c>
      <c r="DD305" s="44" t="str">
        <f>IF(X305="","","|n"&amp;#REF!&amp;"+"&amp;X305)</f>
        <v/>
      </c>
      <c r="DE305" s="44" t="str">
        <f>IF(Y305="","","|n"&amp;#REF!&amp;"+"&amp;Y305)</f>
        <v/>
      </c>
      <c r="DF305" s="44" t="str">
        <f>IF(Z305="","","|n"&amp;#REF!&amp;"+"&amp;Z305)</f>
        <v/>
      </c>
      <c r="DG305" s="44" t="str">
        <f>IF(AA305="","","|n"&amp;#REF!&amp;"+"&amp;AA305)</f>
        <v/>
      </c>
      <c r="DH305" s="44" t="str">
        <f>IF(AB305="","","|n"&amp;#REF!&amp;"+"&amp;AB305)</f>
        <v/>
      </c>
      <c r="DI305" s="44" t="str">
        <f>IF(AC305="","","|n"&amp;#REF!&amp;"+"&amp;AC305&amp;"%")</f>
        <v/>
      </c>
      <c r="DJ305" s="44" t="str">
        <f>IF(AD305="","","|n"&amp;#REF!&amp;"+"&amp;AD305)</f>
        <v/>
      </c>
      <c r="DK305" s="44" t="str">
        <f>IF(AE305="","","|n"&amp;#REF!&amp;"+"&amp;AE305)</f>
        <v/>
      </c>
      <c r="DL305" s="44" t="str">
        <f>IF(AF305="","","|n"&amp;#REF!&amp;"+"&amp;AF305)</f>
        <v/>
      </c>
      <c r="DM305" s="44" t="str">
        <f>IF(AG305="","","|n"&amp;#REF!&amp;"+"&amp;AG305&amp;"%")</f>
        <v/>
      </c>
      <c r="DN305" s="44" t="str">
        <f>IF(AH305="","","|n"&amp;#REF!&amp;"+"&amp;AH305)</f>
        <v/>
      </c>
      <c r="DO305" s="44" t="str">
        <f>IF(AI305="","","|n"&amp;#REF!&amp;"+"&amp;AI305)</f>
        <v/>
      </c>
      <c r="DP305" s="44" t="str">
        <f>IF(AJ305="","","|n"&amp;#REF!&amp;"+"&amp;AJ305)</f>
        <v/>
      </c>
    </row>
    <row r="306" spans="92:120">
      <c r="CN306" s="13" t="str">
        <f t="shared" si="3644"/>
        <v>InitUnitState('',,,,,,,,,,)</v>
      </c>
      <c r="CO306" s="13" t="str">
        <f t="shared" si="3645"/>
        <v>InitUnitNormal('',,,,,,,,,,)</v>
      </c>
      <c r="CP306" s="13" t="str">
        <f t="shared" si="3646"/>
        <v>InitUnitMagic('',,,,,,,,,,)</v>
      </c>
      <c r="CQ306" s="13" t="str">
        <f t="shared" si="3647"/>
        <v>InitUnitAdd('',,,,,,,,,,)</v>
      </c>
      <c r="CR306" s="13" t="str">
        <f t="shared" si="3648"/>
        <v>InitEquipData('',,"",,,,,'','','','','','',"")</v>
      </c>
      <c r="CU306" s="6" t="str">
        <f t="shared" si="3720"/>
        <v>|n</v>
      </c>
      <c r="DB306" s="44" t="str">
        <f>IF(V306="","","|n"&amp;#REF!&amp;"+"&amp;V306)</f>
        <v/>
      </c>
      <c r="DC306" s="44" t="str">
        <f>IF(W306="","","|n"&amp;#REF!&amp;"+"&amp;W306)</f>
        <v/>
      </c>
      <c r="DD306" s="44" t="str">
        <f>IF(X306="","","|n"&amp;#REF!&amp;"+"&amp;X306)</f>
        <v/>
      </c>
      <c r="DE306" s="44" t="str">
        <f>IF(Y306="","","|n"&amp;#REF!&amp;"+"&amp;Y306)</f>
        <v/>
      </c>
      <c r="DF306" s="44" t="str">
        <f>IF(Z306="","","|n"&amp;#REF!&amp;"+"&amp;Z306)</f>
        <v/>
      </c>
      <c r="DG306" s="44" t="str">
        <f>IF(AA306="","","|n"&amp;#REF!&amp;"+"&amp;AA306)</f>
        <v/>
      </c>
      <c r="DH306" s="44" t="str">
        <f>IF(AB306="","","|n"&amp;#REF!&amp;"+"&amp;AB306)</f>
        <v/>
      </c>
      <c r="DI306" s="44" t="str">
        <f>IF(AC306="","","|n"&amp;#REF!&amp;"+"&amp;AC306&amp;"%")</f>
        <v/>
      </c>
      <c r="DJ306" s="44" t="str">
        <f>IF(AD306="","","|n"&amp;#REF!&amp;"+"&amp;AD306)</f>
        <v/>
      </c>
      <c r="DK306" s="44" t="str">
        <f>IF(AE306="","","|n"&amp;#REF!&amp;"+"&amp;AE306)</f>
        <v/>
      </c>
      <c r="DL306" s="44" t="str">
        <f>IF(AF306="","","|n"&amp;#REF!&amp;"+"&amp;AF306)</f>
        <v/>
      </c>
      <c r="DM306" s="44" t="str">
        <f>IF(AG306="","","|n"&amp;#REF!&amp;"+"&amp;AG306&amp;"%")</f>
        <v/>
      </c>
      <c r="DN306" s="44" t="str">
        <f>IF(AH306="","","|n"&amp;#REF!&amp;"+"&amp;AH306)</f>
        <v/>
      </c>
      <c r="DO306" s="44" t="str">
        <f>IF(AI306="","","|n"&amp;#REF!&amp;"+"&amp;AI306)</f>
        <v/>
      </c>
      <c r="DP306" s="44" t="str">
        <f>IF(AJ306="","","|n"&amp;#REF!&amp;"+"&amp;AJ306)</f>
        <v/>
      </c>
    </row>
    <row r="307" spans="92:120">
      <c r="CN307" s="13" t="str">
        <f t="shared" si="3644"/>
        <v>InitUnitState('',,,,,,,,,,)</v>
      </c>
      <c r="CO307" s="13" t="str">
        <f t="shared" si="3645"/>
        <v>InitUnitNormal('',,,,,,,,,,)</v>
      </c>
      <c r="CP307" s="13" t="str">
        <f t="shared" si="3646"/>
        <v>InitUnitMagic('',,,,,,,,,,)</v>
      </c>
      <c r="CQ307" s="13" t="str">
        <f t="shared" si="3647"/>
        <v>InitUnitAdd('',,,,,,,,,,)</v>
      </c>
      <c r="CR307" s="13" t="str">
        <f t="shared" si="3648"/>
        <v>InitEquipData('',,"",,,,,'','','','','','',"")</v>
      </c>
      <c r="CU307" s="6" t="str">
        <f t="shared" si="3720"/>
        <v>|n</v>
      </c>
      <c r="DB307" s="44" t="str">
        <f>IF(V307="","","|n"&amp;#REF!&amp;"+"&amp;V307)</f>
        <v/>
      </c>
      <c r="DC307" s="44" t="str">
        <f>IF(W307="","","|n"&amp;#REF!&amp;"+"&amp;W307)</f>
        <v/>
      </c>
      <c r="DD307" s="44" t="str">
        <f>IF(X307="","","|n"&amp;#REF!&amp;"+"&amp;X307)</f>
        <v/>
      </c>
      <c r="DE307" s="44" t="str">
        <f>IF(Y307="","","|n"&amp;#REF!&amp;"+"&amp;Y307)</f>
        <v/>
      </c>
      <c r="DF307" s="44" t="str">
        <f>IF(Z307="","","|n"&amp;#REF!&amp;"+"&amp;Z307)</f>
        <v/>
      </c>
      <c r="DG307" s="44" t="str">
        <f>IF(AA307="","","|n"&amp;#REF!&amp;"+"&amp;AA307)</f>
        <v/>
      </c>
      <c r="DH307" s="44" t="str">
        <f>IF(AB307="","","|n"&amp;#REF!&amp;"+"&amp;AB307)</f>
        <v/>
      </c>
      <c r="DI307" s="44" t="str">
        <f>IF(AC307="","","|n"&amp;#REF!&amp;"+"&amp;AC307&amp;"%")</f>
        <v/>
      </c>
      <c r="DJ307" s="44" t="str">
        <f>IF(AD307="","","|n"&amp;#REF!&amp;"+"&amp;AD307)</f>
        <v/>
      </c>
      <c r="DK307" s="44" t="str">
        <f>IF(AE307="","","|n"&amp;#REF!&amp;"+"&amp;AE307)</f>
        <v/>
      </c>
      <c r="DL307" s="44" t="str">
        <f>IF(AF307="","","|n"&amp;#REF!&amp;"+"&amp;AF307)</f>
        <v/>
      </c>
      <c r="DM307" s="44" t="str">
        <f>IF(AG307="","","|n"&amp;#REF!&amp;"+"&amp;AG307&amp;"%")</f>
        <v/>
      </c>
      <c r="DN307" s="44" t="str">
        <f>IF(AH307="","","|n"&amp;#REF!&amp;"+"&amp;AH307)</f>
        <v/>
      </c>
      <c r="DO307" s="44" t="str">
        <f>IF(AI307="","","|n"&amp;#REF!&amp;"+"&amp;AI307)</f>
        <v/>
      </c>
      <c r="DP307" s="44" t="str">
        <f>IF(AJ307="","","|n"&amp;#REF!&amp;"+"&amp;AJ307)</f>
        <v/>
      </c>
    </row>
    <row r="308" spans="92:120">
      <c r="CN308" s="13" t="str">
        <f t="shared" si="3644"/>
        <v>InitUnitState('',,,,,,,,,,)</v>
      </c>
      <c r="CO308" s="13" t="str">
        <f t="shared" si="3645"/>
        <v>InitUnitNormal('',,,,,,,,,,)</v>
      </c>
      <c r="CP308" s="13" t="str">
        <f t="shared" si="3646"/>
        <v>InitUnitMagic('',,,,,,,,,,)</v>
      </c>
      <c r="CQ308" s="13" t="str">
        <f t="shared" si="3647"/>
        <v>InitUnitAdd('',,,,,,,,,,)</v>
      </c>
      <c r="CR308" s="13" t="str">
        <f t="shared" si="3648"/>
        <v>InitEquipData('',,"",,,,,'','','','','','',"")</v>
      </c>
      <c r="CU308" s="6" t="str">
        <f t="shared" si="3720"/>
        <v>|n</v>
      </c>
      <c r="DB308" s="44" t="str">
        <f>IF(V308="","","|n"&amp;#REF!&amp;"+"&amp;V308)</f>
        <v/>
      </c>
      <c r="DC308" s="44" t="str">
        <f>IF(W308="","","|n"&amp;#REF!&amp;"+"&amp;W308)</f>
        <v/>
      </c>
      <c r="DD308" s="44" t="str">
        <f>IF(X308="","","|n"&amp;#REF!&amp;"+"&amp;X308)</f>
        <v/>
      </c>
      <c r="DE308" s="44" t="str">
        <f>IF(Y308="","","|n"&amp;#REF!&amp;"+"&amp;Y308)</f>
        <v/>
      </c>
      <c r="DF308" s="44" t="str">
        <f>IF(Z308="","","|n"&amp;#REF!&amp;"+"&amp;Z308)</f>
        <v/>
      </c>
      <c r="DG308" s="44" t="str">
        <f>IF(AA308="","","|n"&amp;#REF!&amp;"+"&amp;AA308)</f>
        <v/>
      </c>
      <c r="DH308" s="44" t="str">
        <f>IF(AB308="","","|n"&amp;#REF!&amp;"+"&amp;AB308)</f>
        <v/>
      </c>
      <c r="DI308" s="44" t="str">
        <f>IF(AC308="","","|n"&amp;#REF!&amp;"+"&amp;AC308&amp;"%")</f>
        <v/>
      </c>
      <c r="DJ308" s="44" t="str">
        <f>IF(AD308="","","|n"&amp;#REF!&amp;"+"&amp;AD308)</f>
        <v/>
      </c>
      <c r="DK308" s="44" t="str">
        <f>IF(AE308="","","|n"&amp;#REF!&amp;"+"&amp;AE308)</f>
        <v/>
      </c>
      <c r="DL308" s="44" t="str">
        <f>IF(AF308="","","|n"&amp;#REF!&amp;"+"&amp;AF308)</f>
        <v/>
      </c>
      <c r="DM308" s="44" t="str">
        <f>IF(AG308="","","|n"&amp;#REF!&amp;"+"&amp;AG308&amp;"%")</f>
        <v/>
      </c>
      <c r="DN308" s="44" t="str">
        <f>IF(AH308="","","|n"&amp;#REF!&amp;"+"&amp;AH308)</f>
        <v/>
      </c>
      <c r="DO308" s="44" t="str">
        <f>IF(AI308="","","|n"&amp;#REF!&amp;"+"&amp;AI308)</f>
        <v/>
      </c>
      <c r="DP308" s="44" t="str">
        <f>IF(AJ308="","","|n"&amp;#REF!&amp;"+"&amp;AJ308)</f>
        <v/>
      </c>
    </row>
    <row r="309" spans="92:120">
      <c r="CN309" s="13" t="str">
        <f t="shared" ref="CN309:CN328" si="3721">"InitUnitState('"&amp;B309&amp;"',"&amp;V309&amp;","&amp;W309&amp;","&amp;X309&amp;","&amp;Y309&amp;","&amp;Z309&amp;","&amp;AA309&amp;","&amp;AB309&amp;","&amp;AC309&amp;","&amp;AD309&amp;","&amp;AE309&amp;")"</f>
        <v>InitUnitState('',,,,,,,,,,)</v>
      </c>
      <c r="CO309" s="13" t="str">
        <f t="shared" ref="CO309:CO328" si="3722">"InitUnitNormal('"&amp;B309&amp;"',"&amp;AF309&amp;","&amp;AG309&amp;","&amp;AH309&amp;","&amp;AI309&amp;","&amp;AJ309&amp;","&amp;AK309&amp;","&amp;AL309&amp;","&amp;AM309&amp;","&amp;AN309&amp;","&amp;AO309&amp;")"</f>
        <v>InitUnitNormal('',,,,,,,,,,)</v>
      </c>
      <c r="CP309" s="13" t="str">
        <f t="shared" ref="CP309:CP328" si="3723">"InitUnitMagic('"&amp;B309&amp;"',"&amp;AP309&amp;","&amp;AQ309&amp;","&amp;AR309&amp;","&amp;AS309&amp;","&amp;AT309&amp;","&amp;AU309&amp;","&amp;AV309&amp;","&amp;AW309&amp;","&amp;BI309&amp;","&amp;BJ309&amp;")"</f>
        <v>InitUnitMagic('',,,,,,,,,,)</v>
      </c>
      <c r="CQ309" s="13" t="str">
        <f t="shared" ref="CQ309:CQ328" si="3724">"InitUnitAdd('"&amp;B309&amp;"',"&amp;BK309&amp;","&amp;BL309&amp;","&amp;BM309&amp;","&amp;BN309&amp;","&amp;BO309&amp;","&amp;BP309&amp;","&amp;BQ309&amp;","&amp;BR309&amp;","&amp;BS309&amp;","&amp;BT309&amp;")"</f>
        <v>InitUnitAdd('',,,,,,,,,,)</v>
      </c>
      <c r="CR309" s="13" t="str">
        <f t="shared" ref="CR309:CR328" si="3725"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U309" s="6" t="str">
        <f t="shared" si="3720"/>
        <v>|n</v>
      </c>
      <c r="DB309" s="44" t="str">
        <f>IF(V309="","","|n"&amp;#REF!&amp;"+"&amp;V309)</f>
        <v/>
      </c>
      <c r="DC309" s="44" t="str">
        <f>IF(W309="","","|n"&amp;#REF!&amp;"+"&amp;W309)</f>
        <v/>
      </c>
      <c r="DD309" s="44" t="str">
        <f>IF(X309="","","|n"&amp;#REF!&amp;"+"&amp;X309)</f>
        <v/>
      </c>
      <c r="DE309" s="44" t="str">
        <f>IF(Y309="","","|n"&amp;#REF!&amp;"+"&amp;Y309)</f>
        <v/>
      </c>
      <c r="DF309" s="44" t="str">
        <f>IF(Z309="","","|n"&amp;#REF!&amp;"+"&amp;Z309)</f>
        <v/>
      </c>
      <c r="DG309" s="44" t="str">
        <f>IF(AA309="","","|n"&amp;#REF!&amp;"+"&amp;AA309)</f>
        <v/>
      </c>
      <c r="DH309" s="44" t="str">
        <f>IF(AB309="","","|n"&amp;#REF!&amp;"+"&amp;AB309)</f>
        <v/>
      </c>
      <c r="DI309" s="44" t="str">
        <f>IF(AC309="","","|n"&amp;#REF!&amp;"+"&amp;AC309&amp;"%")</f>
        <v/>
      </c>
      <c r="DJ309" s="44" t="str">
        <f>IF(AD309="","","|n"&amp;#REF!&amp;"+"&amp;AD309)</f>
        <v/>
      </c>
      <c r="DK309" s="44" t="str">
        <f>IF(AE309="","","|n"&amp;#REF!&amp;"+"&amp;AE309)</f>
        <v/>
      </c>
      <c r="DL309" s="44" t="str">
        <f>IF(AF309="","","|n"&amp;#REF!&amp;"+"&amp;AF309)</f>
        <v/>
      </c>
      <c r="DM309" s="44" t="str">
        <f>IF(AG309="","","|n"&amp;#REF!&amp;"+"&amp;AG309&amp;"%")</f>
        <v/>
      </c>
      <c r="DN309" s="44" t="str">
        <f>IF(AH309="","","|n"&amp;#REF!&amp;"+"&amp;AH309)</f>
        <v/>
      </c>
      <c r="DO309" s="44" t="str">
        <f>IF(AI309="","","|n"&amp;#REF!&amp;"+"&amp;AI309)</f>
        <v/>
      </c>
      <c r="DP309" s="44" t="str">
        <f>IF(AJ309="","","|n"&amp;#REF!&amp;"+"&amp;AJ309)</f>
        <v/>
      </c>
    </row>
    <row r="310" spans="92:120">
      <c r="CN310" s="13" t="str">
        <f t="shared" si="3721"/>
        <v>InitUnitState('',,,,,,,,,,)</v>
      </c>
      <c r="CO310" s="13" t="str">
        <f t="shared" si="3722"/>
        <v>InitUnitNormal('',,,,,,,,,,)</v>
      </c>
      <c r="CP310" s="13" t="str">
        <f t="shared" si="3723"/>
        <v>InitUnitMagic('',,,,,,,,,,)</v>
      </c>
      <c r="CQ310" s="13" t="str">
        <f t="shared" si="3724"/>
        <v>InitUnitAdd('',,,,,,,,,,)</v>
      </c>
      <c r="CR310" s="13" t="str">
        <f t="shared" si="3725"/>
        <v>InitEquipData('',,"",,,,,'','','','','','',"")</v>
      </c>
      <c r="CU310" s="6" t="str">
        <f t="shared" si="3720"/>
        <v>|n</v>
      </c>
      <c r="DB310" s="44" t="str">
        <f>IF(V310="","","|n"&amp;#REF!&amp;"+"&amp;V310)</f>
        <v/>
      </c>
      <c r="DC310" s="44" t="str">
        <f>IF(W310="","","|n"&amp;#REF!&amp;"+"&amp;W310)</f>
        <v/>
      </c>
      <c r="DD310" s="44" t="str">
        <f>IF(X310="","","|n"&amp;#REF!&amp;"+"&amp;X310)</f>
        <v/>
      </c>
      <c r="DE310" s="44" t="str">
        <f>IF(Y310="","","|n"&amp;#REF!&amp;"+"&amp;Y310)</f>
        <v/>
      </c>
      <c r="DF310" s="44" t="str">
        <f>IF(Z310="","","|n"&amp;#REF!&amp;"+"&amp;Z310)</f>
        <v/>
      </c>
      <c r="DG310" s="44" t="str">
        <f>IF(AA310="","","|n"&amp;#REF!&amp;"+"&amp;AA310)</f>
        <v/>
      </c>
      <c r="DH310" s="44" t="str">
        <f>IF(AB310="","","|n"&amp;#REF!&amp;"+"&amp;AB310)</f>
        <v/>
      </c>
      <c r="DI310" s="44" t="str">
        <f>IF(AC310="","","|n"&amp;#REF!&amp;"+"&amp;AC310&amp;"%")</f>
        <v/>
      </c>
      <c r="DJ310" s="44" t="str">
        <f>IF(AD310="","","|n"&amp;#REF!&amp;"+"&amp;AD310)</f>
        <v/>
      </c>
      <c r="DK310" s="44" t="str">
        <f>IF(AE310="","","|n"&amp;#REF!&amp;"+"&amp;AE310)</f>
        <v/>
      </c>
      <c r="DL310" s="44" t="str">
        <f>IF(AF310="","","|n"&amp;#REF!&amp;"+"&amp;AF310)</f>
        <v/>
      </c>
      <c r="DM310" s="44" t="str">
        <f>IF(AG310="","","|n"&amp;#REF!&amp;"+"&amp;AG310&amp;"%")</f>
        <v/>
      </c>
      <c r="DN310" s="44" t="str">
        <f>IF(AH310="","","|n"&amp;#REF!&amp;"+"&amp;AH310)</f>
        <v/>
      </c>
      <c r="DO310" s="44" t="str">
        <f>IF(AI310="","","|n"&amp;#REF!&amp;"+"&amp;AI310)</f>
        <v/>
      </c>
      <c r="DP310" s="44" t="str">
        <f>IF(AJ310="","","|n"&amp;#REF!&amp;"+"&amp;AJ310)</f>
        <v/>
      </c>
    </row>
    <row r="311" spans="92:120">
      <c r="CN311" s="13" t="str">
        <f t="shared" si="3721"/>
        <v>InitUnitState('',,,,,,,,,,)</v>
      </c>
      <c r="CO311" s="13" t="str">
        <f t="shared" si="3722"/>
        <v>InitUnitNormal('',,,,,,,,,,)</v>
      </c>
      <c r="CP311" s="13" t="str">
        <f t="shared" si="3723"/>
        <v>InitUnitMagic('',,,,,,,,,,)</v>
      </c>
      <c r="CQ311" s="13" t="str">
        <f t="shared" si="3724"/>
        <v>InitUnitAdd('',,,,,,,,,,)</v>
      </c>
      <c r="CR311" s="13" t="str">
        <f t="shared" si="3725"/>
        <v>InitEquipData('',,"",,,,,'','','','','','',"")</v>
      </c>
      <c r="CU311" s="6" t="str">
        <f t="shared" si="3720"/>
        <v>|n</v>
      </c>
      <c r="DB311" s="44" t="str">
        <f>IF(V311="","","|n"&amp;#REF!&amp;"+"&amp;V311)</f>
        <v/>
      </c>
      <c r="DC311" s="44" t="str">
        <f>IF(W311="","","|n"&amp;#REF!&amp;"+"&amp;W311)</f>
        <v/>
      </c>
      <c r="DD311" s="44" t="str">
        <f>IF(X311="","","|n"&amp;#REF!&amp;"+"&amp;X311)</f>
        <v/>
      </c>
      <c r="DE311" s="44" t="str">
        <f>IF(Y311="","","|n"&amp;#REF!&amp;"+"&amp;Y311)</f>
        <v/>
      </c>
      <c r="DF311" s="44" t="str">
        <f>IF(Z311="","","|n"&amp;#REF!&amp;"+"&amp;Z311)</f>
        <v/>
      </c>
      <c r="DG311" s="44" t="str">
        <f>IF(AA311="","","|n"&amp;#REF!&amp;"+"&amp;AA311)</f>
        <v/>
      </c>
      <c r="DH311" s="44" t="str">
        <f>IF(AB311="","","|n"&amp;#REF!&amp;"+"&amp;AB311)</f>
        <v/>
      </c>
      <c r="DI311" s="44" t="str">
        <f>IF(AC311="","","|n"&amp;#REF!&amp;"+"&amp;AC311&amp;"%")</f>
        <v/>
      </c>
      <c r="DJ311" s="44" t="str">
        <f>IF(AD311="","","|n"&amp;#REF!&amp;"+"&amp;AD311)</f>
        <v/>
      </c>
      <c r="DK311" s="44" t="str">
        <f>IF(AE311="","","|n"&amp;#REF!&amp;"+"&amp;AE311)</f>
        <v/>
      </c>
      <c r="DL311" s="44" t="str">
        <f>IF(AF311="","","|n"&amp;#REF!&amp;"+"&amp;AF311)</f>
        <v/>
      </c>
      <c r="DM311" s="44" t="str">
        <f>IF(AG311="","","|n"&amp;#REF!&amp;"+"&amp;AG311&amp;"%")</f>
        <v/>
      </c>
      <c r="DN311" s="44" t="str">
        <f>IF(AH311="","","|n"&amp;#REF!&amp;"+"&amp;AH311)</f>
        <v/>
      </c>
      <c r="DO311" s="44" t="str">
        <f>IF(AI311="","","|n"&amp;#REF!&amp;"+"&amp;AI311)</f>
        <v/>
      </c>
      <c r="DP311" s="44" t="str">
        <f>IF(AJ311="","","|n"&amp;#REF!&amp;"+"&amp;AJ311)</f>
        <v/>
      </c>
    </row>
    <row r="312" spans="92:120">
      <c r="CN312" s="13" t="str">
        <f t="shared" si="3721"/>
        <v>InitUnitState('',,,,,,,,,,)</v>
      </c>
      <c r="CO312" s="13" t="str">
        <f t="shared" si="3722"/>
        <v>InitUnitNormal('',,,,,,,,,,)</v>
      </c>
      <c r="CP312" s="13" t="str">
        <f t="shared" si="3723"/>
        <v>InitUnitMagic('',,,,,,,,,,)</v>
      </c>
      <c r="CQ312" s="13" t="str">
        <f t="shared" si="3724"/>
        <v>InitUnitAdd('',,,,,,,,,,)</v>
      </c>
      <c r="CR312" s="13" t="str">
        <f t="shared" si="3725"/>
        <v>InitEquipData('',,"",,,,,'','','','','','',"")</v>
      </c>
      <c r="CU312" s="6" t="str">
        <f t="shared" si="3720"/>
        <v>|n</v>
      </c>
      <c r="DB312" s="44" t="str">
        <f>IF(V312="","","|n"&amp;#REF!&amp;"+"&amp;V312)</f>
        <v/>
      </c>
      <c r="DC312" s="44" t="str">
        <f>IF(W312="","","|n"&amp;#REF!&amp;"+"&amp;W312)</f>
        <v/>
      </c>
      <c r="DD312" s="44" t="str">
        <f>IF(X312="","","|n"&amp;#REF!&amp;"+"&amp;X312)</f>
        <v/>
      </c>
      <c r="DE312" s="44" t="str">
        <f>IF(Y312="","","|n"&amp;#REF!&amp;"+"&amp;Y312)</f>
        <v/>
      </c>
      <c r="DF312" s="44" t="str">
        <f>IF(Z312="","","|n"&amp;#REF!&amp;"+"&amp;Z312)</f>
        <v/>
      </c>
      <c r="DG312" s="44" t="str">
        <f>IF(AA312="","","|n"&amp;#REF!&amp;"+"&amp;AA312)</f>
        <v/>
      </c>
      <c r="DH312" s="44" t="str">
        <f>IF(AB312="","","|n"&amp;#REF!&amp;"+"&amp;AB312)</f>
        <v/>
      </c>
      <c r="DI312" s="44" t="str">
        <f>IF(AC312="","","|n"&amp;#REF!&amp;"+"&amp;AC312&amp;"%")</f>
        <v/>
      </c>
      <c r="DJ312" s="44" t="str">
        <f>IF(AD312="","","|n"&amp;#REF!&amp;"+"&amp;AD312)</f>
        <v/>
      </c>
      <c r="DK312" s="44" t="str">
        <f>IF(AE312="","","|n"&amp;#REF!&amp;"+"&amp;AE312)</f>
        <v/>
      </c>
      <c r="DL312" s="44" t="str">
        <f>IF(AF312="","","|n"&amp;#REF!&amp;"+"&amp;AF312)</f>
        <v/>
      </c>
      <c r="DM312" s="44" t="str">
        <f>IF(AG312="","","|n"&amp;#REF!&amp;"+"&amp;AG312&amp;"%")</f>
        <v/>
      </c>
      <c r="DN312" s="44" t="str">
        <f>IF(AH312="","","|n"&amp;#REF!&amp;"+"&amp;AH312)</f>
        <v/>
      </c>
      <c r="DO312" s="44" t="str">
        <f>IF(AI312="","","|n"&amp;#REF!&amp;"+"&amp;AI312)</f>
        <v/>
      </c>
      <c r="DP312" s="44" t="str">
        <f>IF(AJ312="","","|n"&amp;#REF!&amp;"+"&amp;AJ312)</f>
        <v/>
      </c>
    </row>
    <row r="313" spans="92:120">
      <c r="CN313" s="13" t="str">
        <f t="shared" si="3721"/>
        <v>InitUnitState('',,,,,,,,,,)</v>
      </c>
      <c r="CO313" s="13" t="str">
        <f t="shared" si="3722"/>
        <v>InitUnitNormal('',,,,,,,,,,)</v>
      </c>
      <c r="CP313" s="13" t="str">
        <f t="shared" si="3723"/>
        <v>InitUnitMagic('',,,,,,,,,,)</v>
      </c>
      <c r="CQ313" s="13" t="str">
        <f t="shared" si="3724"/>
        <v>InitUnitAdd('',,,,,,,,,,)</v>
      </c>
      <c r="CR313" s="13" t="str">
        <f t="shared" si="3725"/>
        <v>InitEquipData('',,"",,,,,'','','','','','',"")</v>
      </c>
      <c r="CU313" s="6" t="str">
        <f t="shared" si="3720"/>
        <v>|n</v>
      </c>
      <c r="DB313" s="44" t="str">
        <f>IF(V313="","","|n"&amp;#REF!&amp;"+"&amp;V313)</f>
        <v/>
      </c>
      <c r="DC313" s="44" t="str">
        <f>IF(W313="","","|n"&amp;#REF!&amp;"+"&amp;W313)</f>
        <v/>
      </c>
      <c r="DD313" s="44" t="str">
        <f>IF(X313="","","|n"&amp;#REF!&amp;"+"&amp;X313)</f>
        <v/>
      </c>
      <c r="DE313" s="44" t="str">
        <f>IF(Y313="","","|n"&amp;#REF!&amp;"+"&amp;Y313)</f>
        <v/>
      </c>
      <c r="DF313" s="44" t="str">
        <f>IF(Z313="","","|n"&amp;#REF!&amp;"+"&amp;Z313)</f>
        <v/>
      </c>
      <c r="DG313" s="44" t="str">
        <f>IF(AA313="","","|n"&amp;#REF!&amp;"+"&amp;AA313)</f>
        <v/>
      </c>
      <c r="DH313" s="44" t="str">
        <f>IF(AB313="","","|n"&amp;#REF!&amp;"+"&amp;AB313)</f>
        <v/>
      </c>
      <c r="DI313" s="44" t="str">
        <f>IF(AC313="","","|n"&amp;#REF!&amp;"+"&amp;AC313&amp;"%")</f>
        <v/>
      </c>
      <c r="DJ313" s="44" t="str">
        <f>IF(AD313="","","|n"&amp;#REF!&amp;"+"&amp;AD313)</f>
        <v/>
      </c>
      <c r="DK313" s="44" t="str">
        <f>IF(AE313="","","|n"&amp;#REF!&amp;"+"&amp;AE313)</f>
        <v/>
      </c>
      <c r="DL313" s="44" t="str">
        <f>IF(AF313="","","|n"&amp;#REF!&amp;"+"&amp;AF313)</f>
        <v/>
      </c>
      <c r="DM313" s="44" t="str">
        <f>IF(AG313="","","|n"&amp;#REF!&amp;"+"&amp;AG313&amp;"%")</f>
        <v/>
      </c>
      <c r="DN313" s="44" t="str">
        <f>IF(AH313="","","|n"&amp;#REF!&amp;"+"&amp;AH313)</f>
        <v/>
      </c>
      <c r="DO313" s="44" t="str">
        <f>IF(AI313="","","|n"&amp;#REF!&amp;"+"&amp;AI313)</f>
        <v/>
      </c>
      <c r="DP313" s="44" t="str">
        <f>IF(AJ313="","","|n"&amp;#REF!&amp;"+"&amp;AJ313)</f>
        <v/>
      </c>
    </row>
    <row r="314" spans="92:120">
      <c r="CN314" s="13" t="str">
        <f t="shared" si="3721"/>
        <v>InitUnitState('',,,,,,,,,,)</v>
      </c>
      <c r="CO314" s="13" t="str">
        <f t="shared" si="3722"/>
        <v>InitUnitNormal('',,,,,,,,,,)</v>
      </c>
      <c r="CP314" s="13" t="str">
        <f t="shared" si="3723"/>
        <v>InitUnitMagic('',,,,,,,,,,)</v>
      </c>
      <c r="CQ314" s="13" t="str">
        <f t="shared" si="3724"/>
        <v>InitUnitAdd('',,,,,,,,,,)</v>
      </c>
      <c r="CR314" s="13" t="str">
        <f t="shared" si="3725"/>
        <v>InitEquipData('',,"",,,,,'','','','','','',"")</v>
      </c>
      <c r="CU314" s="6" t="str">
        <f t="shared" si="3720"/>
        <v>|n</v>
      </c>
      <c r="DB314" s="44" t="str">
        <f>IF(V314="","","|n"&amp;#REF!&amp;"+"&amp;V314)</f>
        <v/>
      </c>
      <c r="DC314" s="44" t="str">
        <f>IF(W314="","","|n"&amp;#REF!&amp;"+"&amp;W314)</f>
        <v/>
      </c>
      <c r="DD314" s="44" t="str">
        <f>IF(X314="","","|n"&amp;#REF!&amp;"+"&amp;X314)</f>
        <v/>
      </c>
      <c r="DE314" s="44" t="str">
        <f>IF(Y314="","","|n"&amp;#REF!&amp;"+"&amp;Y314)</f>
        <v/>
      </c>
      <c r="DF314" s="44" t="str">
        <f>IF(Z314="","","|n"&amp;#REF!&amp;"+"&amp;Z314)</f>
        <v/>
      </c>
      <c r="DG314" s="44" t="str">
        <f>IF(AA314="","","|n"&amp;#REF!&amp;"+"&amp;AA314)</f>
        <v/>
      </c>
      <c r="DH314" s="44" t="str">
        <f>IF(AB314="","","|n"&amp;#REF!&amp;"+"&amp;AB314)</f>
        <v/>
      </c>
      <c r="DI314" s="44" t="str">
        <f>IF(AC314="","","|n"&amp;#REF!&amp;"+"&amp;AC314&amp;"%")</f>
        <v/>
      </c>
      <c r="DJ314" s="44" t="str">
        <f>IF(AD314="","","|n"&amp;#REF!&amp;"+"&amp;AD314)</f>
        <v/>
      </c>
      <c r="DK314" s="44" t="str">
        <f>IF(AE314="","","|n"&amp;#REF!&amp;"+"&amp;AE314)</f>
        <v/>
      </c>
      <c r="DL314" s="44" t="str">
        <f>IF(AF314="","","|n"&amp;#REF!&amp;"+"&amp;AF314)</f>
        <v/>
      </c>
      <c r="DM314" s="44" t="str">
        <f>IF(AG314="","","|n"&amp;#REF!&amp;"+"&amp;AG314&amp;"%")</f>
        <v/>
      </c>
      <c r="DN314" s="44" t="str">
        <f>IF(AH314="","","|n"&amp;#REF!&amp;"+"&amp;AH314)</f>
        <v/>
      </c>
      <c r="DO314" s="44" t="str">
        <f>IF(AI314="","","|n"&amp;#REF!&amp;"+"&amp;AI314)</f>
        <v/>
      </c>
      <c r="DP314" s="44" t="str">
        <f>IF(AJ314="","","|n"&amp;#REF!&amp;"+"&amp;AJ314)</f>
        <v/>
      </c>
    </row>
    <row r="315" spans="92:120">
      <c r="CN315" s="13" t="str">
        <f t="shared" si="3721"/>
        <v>InitUnitState('',,,,,,,,,,)</v>
      </c>
      <c r="CO315" s="13" t="str">
        <f t="shared" si="3722"/>
        <v>InitUnitNormal('',,,,,,,,,,)</v>
      </c>
      <c r="CP315" s="13" t="str">
        <f t="shared" si="3723"/>
        <v>InitUnitMagic('',,,,,,,,,,)</v>
      </c>
      <c r="CQ315" s="13" t="str">
        <f t="shared" si="3724"/>
        <v>InitUnitAdd('',,,,,,,,,,)</v>
      </c>
      <c r="CR315" s="13" t="str">
        <f t="shared" si="3725"/>
        <v>InitEquipData('',,"",,,,,'','','','','','',"")</v>
      </c>
      <c r="CU315" s="6" t="str">
        <f t="shared" si="3720"/>
        <v>|n</v>
      </c>
      <c r="DB315" s="44" t="str">
        <f>IF(V315="","","|n"&amp;#REF!&amp;"+"&amp;V315)</f>
        <v/>
      </c>
      <c r="DC315" s="44" t="str">
        <f>IF(W315="","","|n"&amp;#REF!&amp;"+"&amp;W315)</f>
        <v/>
      </c>
      <c r="DD315" s="44" t="str">
        <f>IF(X315="","","|n"&amp;#REF!&amp;"+"&amp;X315)</f>
        <v/>
      </c>
      <c r="DE315" s="44" t="str">
        <f>IF(Y315="","","|n"&amp;#REF!&amp;"+"&amp;Y315)</f>
        <v/>
      </c>
      <c r="DF315" s="44" t="str">
        <f>IF(Z315="","","|n"&amp;#REF!&amp;"+"&amp;Z315)</f>
        <v/>
      </c>
      <c r="DG315" s="44" t="str">
        <f>IF(AA315="","","|n"&amp;#REF!&amp;"+"&amp;AA315)</f>
        <v/>
      </c>
      <c r="DH315" s="44" t="str">
        <f>IF(AB315="","","|n"&amp;#REF!&amp;"+"&amp;AB315)</f>
        <v/>
      </c>
      <c r="DI315" s="44" t="str">
        <f>IF(AC315="","","|n"&amp;#REF!&amp;"+"&amp;AC315&amp;"%")</f>
        <v/>
      </c>
      <c r="DJ315" s="44" t="str">
        <f>IF(AD315="","","|n"&amp;#REF!&amp;"+"&amp;AD315)</f>
        <v/>
      </c>
      <c r="DK315" s="44" t="str">
        <f>IF(AE315="","","|n"&amp;#REF!&amp;"+"&amp;AE315)</f>
        <v/>
      </c>
      <c r="DL315" s="44" t="str">
        <f>IF(AF315="","","|n"&amp;#REF!&amp;"+"&amp;AF315)</f>
        <v/>
      </c>
      <c r="DM315" s="44" t="str">
        <f>IF(AG315="","","|n"&amp;#REF!&amp;"+"&amp;AG315&amp;"%")</f>
        <v/>
      </c>
      <c r="DN315" s="44" t="str">
        <f>IF(AH315="","","|n"&amp;#REF!&amp;"+"&amp;AH315)</f>
        <v/>
      </c>
      <c r="DO315" s="44" t="str">
        <f>IF(AI315="","","|n"&amp;#REF!&amp;"+"&amp;AI315)</f>
        <v/>
      </c>
      <c r="DP315" s="44" t="str">
        <f>IF(AJ315="","","|n"&amp;#REF!&amp;"+"&amp;AJ315)</f>
        <v/>
      </c>
    </row>
    <row r="316" spans="92:120">
      <c r="CN316" s="13" t="str">
        <f t="shared" si="3721"/>
        <v>InitUnitState('',,,,,,,,,,)</v>
      </c>
      <c r="CO316" s="13" t="str">
        <f t="shared" si="3722"/>
        <v>InitUnitNormal('',,,,,,,,,,)</v>
      </c>
      <c r="CP316" s="13" t="str">
        <f t="shared" si="3723"/>
        <v>InitUnitMagic('',,,,,,,,,,)</v>
      </c>
      <c r="CQ316" s="13" t="str">
        <f t="shared" si="3724"/>
        <v>InitUnitAdd('',,,,,,,,,,)</v>
      </c>
      <c r="CR316" s="13" t="str">
        <f t="shared" si="3725"/>
        <v>InitEquipData('',,"",,,,,'','','','','','',"")</v>
      </c>
      <c r="CU316" s="6" t="str">
        <f t="shared" si="3720"/>
        <v>|n</v>
      </c>
      <c r="DB316" s="44" t="str">
        <f>IF(V316="","","|n"&amp;#REF!&amp;"+"&amp;V316)</f>
        <v/>
      </c>
      <c r="DC316" s="44" t="str">
        <f>IF(W316="","","|n"&amp;#REF!&amp;"+"&amp;W316)</f>
        <v/>
      </c>
      <c r="DD316" s="44" t="str">
        <f>IF(X316="","","|n"&amp;#REF!&amp;"+"&amp;X316)</f>
        <v/>
      </c>
      <c r="DE316" s="44" t="str">
        <f>IF(Y316="","","|n"&amp;#REF!&amp;"+"&amp;Y316)</f>
        <v/>
      </c>
      <c r="DF316" s="44" t="str">
        <f>IF(Z316="","","|n"&amp;#REF!&amp;"+"&amp;Z316)</f>
        <v/>
      </c>
      <c r="DG316" s="44" t="str">
        <f>IF(AA316="","","|n"&amp;#REF!&amp;"+"&amp;AA316)</f>
        <v/>
      </c>
      <c r="DH316" s="44" t="str">
        <f>IF(AB316="","","|n"&amp;#REF!&amp;"+"&amp;AB316)</f>
        <v/>
      </c>
      <c r="DI316" s="44" t="str">
        <f>IF(AC316="","","|n"&amp;#REF!&amp;"+"&amp;AC316&amp;"%")</f>
        <v/>
      </c>
      <c r="DJ316" s="44" t="str">
        <f>IF(AD316="","","|n"&amp;#REF!&amp;"+"&amp;AD316)</f>
        <v/>
      </c>
      <c r="DK316" s="44" t="str">
        <f>IF(AE316="","","|n"&amp;#REF!&amp;"+"&amp;AE316)</f>
        <v/>
      </c>
      <c r="DL316" s="44" t="str">
        <f>IF(AF316="","","|n"&amp;#REF!&amp;"+"&amp;AF316)</f>
        <v/>
      </c>
      <c r="DM316" s="44" t="str">
        <f>IF(AG316="","","|n"&amp;#REF!&amp;"+"&amp;AG316&amp;"%")</f>
        <v/>
      </c>
      <c r="DN316" s="44" t="str">
        <f>IF(AH316="","","|n"&amp;#REF!&amp;"+"&amp;AH316)</f>
        <v/>
      </c>
      <c r="DO316" s="44" t="str">
        <f>IF(AI316="","","|n"&amp;#REF!&amp;"+"&amp;AI316)</f>
        <v/>
      </c>
      <c r="DP316" s="44" t="str">
        <f>IF(AJ316="","","|n"&amp;#REF!&amp;"+"&amp;AJ316)</f>
        <v/>
      </c>
    </row>
    <row r="317" spans="92:120">
      <c r="CN317" s="13" t="str">
        <f t="shared" si="3721"/>
        <v>InitUnitState('',,,,,,,,,,)</v>
      </c>
      <c r="CO317" s="13" t="str">
        <f t="shared" si="3722"/>
        <v>InitUnitNormal('',,,,,,,,,,)</v>
      </c>
      <c r="CP317" s="13" t="str">
        <f t="shared" si="3723"/>
        <v>InitUnitMagic('',,,,,,,,,,)</v>
      </c>
      <c r="CQ317" s="13" t="str">
        <f t="shared" si="3724"/>
        <v>InitUnitAdd('',,,,,,,,,,)</v>
      </c>
      <c r="CR317" s="13" t="str">
        <f t="shared" si="3725"/>
        <v>InitEquipData('',,"",,,,,'','','','','','',"")</v>
      </c>
      <c r="CU317" s="6" t="str">
        <f t="shared" si="3720"/>
        <v>|n</v>
      </c>
      <c r="DB317" s="44" t="str">
        <f>IF(V317="","","|n"&amp;#REF!&amp;"+"&amp;V317)</f>
        <v/>
      </c>
      <c r="DC317" s="44" t="str">
        <f>IF(W317="","","|n"&amp;#REF!&amp;"+"&amp;W317)</f>
        <v/>
      </c>
      <c r="DD317" s="44" t="str">
        <f>IF(X317="","","|n"&amp;#REF!&amp;"+"&amp;X317)</f>
        <v/>
      </c>
      <c r="DE317" s="44" t="str">
        <f>IF(Y317="","","|n"&amp;#REF!&amp;"+"&amp;Y317)</f>
        <v/>
      </c>
      <c r="DF317" s="44" t="str">
        <f>IF(Z317="","","|n"&amp;#REF!&amp;"+"&amp;Z317)</f>
        <v/>
      </c>
      <c r="DG317" s="44" t="str">
        <f>IF(AA317="","","|n"&amp;#REF!&amp;"+"&amp;AA317)</f>
        <v/>
      </c>
      <c r="DH317" s="44" t="str">
        <f>IF(AB317="","","|n"&amp;#REF!&amp;"+"&amp;AB317)</f>
        <v/>
      </c>
      <c r="DI317" s="44" t="str">
        <f>IF(AC317="","","|n"&amp;#REF!&amp;"+"&amp;AC317&amp;"%")</f>
        <v/>
      </c>
      <c r="DJ317" s="44" t="str">
        <f>IF(AD317="","","|n"&amp;#REF!&amp;"+"&amp;AD317)</f>
        <v/>
      </c>
      <c r="DK317" s="44" t="str">
        <f>IF(AE317="","","|n"&amp;#REF!&amp;"+"&amp;AE317)</f>
        <v/>
      </c>
      <c r="DL317" s="44" t="str">
        <f>IF(AF317="","","|n"&amp;#REF!&amp;"+"&amp;AF317)</f>
        <v/>
      </c>
      <c r="DM317" s="44" t="str">
        <f>IF(AG317="","","|n"&amp;#REF!&amp;"+"&amp;AG317&amp;"%")</f>
        <v/>
      </c>
      <c r="DN317" s="44" t="str">
        <f>IF(AH317="","","|n"&amp;#REF!&amp;"+"&amp;AH317)</f>
        <v/>
      </c>
      <c r="DO317" s="44" t="str">
        <f>IF(AI317="","","|n"&amp;#REF!&amp;"+"&amp;AI317)</f>
        <v/>
      </c>
      <c r="DP317" s="44" t="str">
        <f>IF(AJ317="","","|n"&amp;#REF!&amp;"+"&amp;AJ317)</f>
        <v/>
      </c>
    </row>
    <row r="318" spans="92:120">
      <c r="CN318" s="13" t="str">
        <f t="shared" si="3721"/>
        <v>InitUnitState('',,,,,,,,,,)</v>
      </c>
      <c r="CO318" s="13" t="str">
        <f t="shared" si="3722"/>
        <v>InitUnitNormal('',,,,,,,,,,)</v>
      </c>
      <c r="CP318" s="13" t="str">
        <f t="shared" si="3723"/>
        <v>InitUnitMagic('',,,,,,,,,,)</v>
      </c>
      <c r="CQ318" s="13" t="str">
        <f t="shared" si="3724"/>
        <v>InitUnitAdd('',,,,,,,,,,)</v>
      </c>
      <c r="CR318" s="13" t="str">
        <f t="shared" si="3725"/>
        <v>InitEquipData('',,"",,,,,'','','','','','',"")</v>
      </c>
      <c r="CU318" s="6" t="str">
        <f t="shared" si="3720"/>
        <v>|n</v>
      </c>
      <c r="DB318" s="44" t="str">
        <f>IF(V318="","","|n"&amp;#REF!&amp;"+"&amp;V318)</f>
        <v/>
      </c>
      <c r="DC318" s="44" t="str">
        <f>IF(W318="","","|n"&amp;#REF!&amp;"+"&amp;W318)</f>
        <v/>
      </c>
      <c r="DD318" s="44" t="str">
        <f>IF(X318="","","|n"&amp;#REF!&amp;"+"&amp;X318)</f>
        <v/>
      </c>
      <c r="DE318" s="44" t="str">
        <f>IF(Y318="","","|n"&amp;#REF!&amp;"+"&amp;Y318)</f>
        <v/>
      </c>
      <c r="DF318" s="44" t="str">
        <f>IF(Z318="","","|n"&amp;#REF!&amp;"+"&amp;Z318)</f>
        <v/>
      </c>
      <c r="DG318" s="44" t="str">
        <f>IF(AA318="","","|n"&amp;#REF!&amp;"+"&amp;AA318)</f>
        <v/>
      </c>
      <c r="DH318" s="44" t="str">
        <f>IF(AB318="","","|n"&amp;#REF!&amp;"+"&amp;AB318)</f>
        <v/>
      </c>
      <c r="DI318" s="44" t="str">
        <f>IF(AC318="","","|n"&amp;#REF!&amp;"+"&amp;AC318&amp;"%")</f>
        <v/>
      </c>
      <c r="DJ318" s="44" t="str">
        <f>IF(AD318="","","|n"&amp;#REF!&amp;"+"&amp;AD318)</f>
        <v/>
      </c>
      <c r="DK318" s="44" t="str">
        <f>IF(AE318="","","|n"&amp;#REF!&amp;"+"&amp;AE318)</f>
        <v/>
      </c>
      <c r="DL318" s="44" t="str">
        <f>IF(AF318="","","|n"&amp;#REF!&amp;"+"&amp;AF318)</f>
        <v/>
      </c>
      <c r="DM318" s="44" t="str">
        <f>IF(AG318="","","|n"&amp;#REF!&amp;"+"&amp;AG318&amp;"%")</f>
        <v/>
      </c>
      <c r="DN318" s="44" t="str">
        <f>IF(AH318="","","|n"&amp;#REF!&amp;"+"&amp;AH318)</f>
        <v/>
      </c>
      <c r="DO318" s="44" t="str">
        <f>IF(AI318="","","|n"&amp;#REF!&amp;"+"&amp;AI318)</f>
        <v/>
      </c>
      <c r="DP318" s="44" t="str">
        <f>IF(AJ318="","","|n"&amp;#REF!&amp;"+"&amp;AJ318)</f>
        <v/>
      </c>
    </row>
    <row r="319" spans="92:120">
      <c r="CN319" s="13" t="str">
        <f t="shared" si="3721"/>
        <v>InitUnitState('',,,,,,,,,,)</v>
      </c>
      <c r="CO319" s="13" t="str">
        <f t="shared" si="3722"/>
        <v>InitUnitNormal('',,,,,,,,,,)</v>
      </c>
      <c r="CP319" s="13" t="str">
        <f t="shared" si="3723"/>
        <v>InitUnitMagic('',,,,,,,,,,)</v>
      </c>
      <c r="CQ319" s="13" t="str">
        <f t="shared" si="3724"/>
        <v>InitUnitAdd('',,,,,,,,,,)</v>
      </c>
      <c r="CR319" s="13" t="str">
        <f t="shared" si="3725"/>
        <v>InitEquipData('',,"",,,,,'','','','','','',"")</v>
      </c>
      <c r="CU319" s="6" t="str">
        <f t="shared" si="3720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20">
      <c r="CN320" s="13" t="str">
        <f t="shared" si="3721"/>
        <v>InitUnitState('',,,,,,,,,,)</v>
      </c>
      <c r="CO320" s="13" t="str">
        <f t="shared" si="3722"/>
        <v>InitUnitNormal('',,,,,,,,,,)</v>
      </c>
      <c r="CP320" s="13" t="str">
        <f t="shared" si="3723"/>
        <v>InitUnitMagic('',,,,,,,,,,)</v>
      </c>
      <c r="CQ320" s="13" t="str">
        <f t="shared" si="3724"/>
        <v>InitUnitAdd('',,,,,,,,,,)</v>
      </c>
      <c r="CR320" s="13" t="str">
        <f t="shared" si="3725"/>
        <v>InitEquipData('',,"",,,,,'','','','','','',"")</v>
      </c>
      <c r="CU320" s="6" t="str">
        <f t="shared" si="3720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721"/>
        <v>InitUnitState('',,,,,,,,,,)</v>
      </c>
      <c r="CO321" s="13" t="str">
        <f t="shared" si="3722"/>
        <v>InitUnitNormal('',,,,,,,,,,)</v>
      </c>
      <c r="CP321" s="13" t="str">
        <f t="shared" si="3723"/>
        <v>InitUnitMagic('',,,,,,,,,,)</v>
      </c>
      <c r="CQ321" s="13" t="str">
        <f t="shared" si="3724"/>
        <v>InitUnitAdd('',,,,,,,,,,)</v>
      </c>
      <c r="CR321" s="13" t="str">
        <f t="shared" si="3725"/>
        <v>InitEquipData('',,"",,,,,'','','','','','',"")</v>
      </c>
      <c r="CU321" s="6" t="str">
        <f t="shared" si="3720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721"/>
        <v>InitUnitState('',,,,,,,,,,)</v>
      </c>
      <c r="CO322" s="13" t="str">
        <f t="shared" si="3722"/>
        <v>InitUnitNormal('',,,,,,,,,,)</v>
      </c>
      <c r="CP322" s="13" t="str">
        <f t="shared" si="3723"/>
        <v>InitUnitMagic('',,,,,,,,,,)</v>
      </c>
      <c r="CQ322" s="13" t="str">
        <f t="shared" si="3724"/>
        <v>InitUnitAdd('',,,,,,,,,,)</v>
      </c>
      <c r="CR322" s="13" t="str">
        <f t="shared" si="3725"/>
        <v>InitEquipData('',,"",,,,,'','','','','','',"")</v>
      </c>
      <c r="CU322" s="6" t="str">
        <f t="shared" si="3720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721"/>
        <v>InitUnitState('',,,,,,,,,,)</v>
      </c>
      <c r="CO323" s="13" t="str">
        <f t="shared" si="3722"/>
        <v>InitUnitNormal('',,,,,,,,,,)</v>
      </c>
      <c r="CP323" s="13" t="str">
        <f t="shared" si="3723"/>
        <v>InitUnitMagic('',,,,,,,,,,)</v>
      </c>
      <c r="CQ323" s="13" t="str">
        <f t="shared" si="3724"/>
        <v>InitUnitAdd('',,,,,,,,,,)</v>
      </c>
      <c r="CR323" s="13" t="str">
        <f t="shared" si="3725"/>
        <v>InitEquipData('',,"",,,,,'','','','','','',"")</v>
      </c>
      <c r="CU323" s="6" t="str">
        <f t="shared" si="3720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721"/>
        <v>InitUnitState('',,,,,,,,,,)</v>
      </c>
      <c r="CO324" s="13" t="str">
        <f t="shared" si="3722"/>
        <v>InitUnitNormal('',,,,,,,,,,)</v>
      </c>
      <c r="CP324" s="13" t="str">
        <f t="shared" si="3723"/>
        <v>InitUnitMagic('',,,,,,,,,,)</v>
      </c>
      <c r="CQ324" s="13" t="str">
        <f t="shared" si="3724"/>
        <v>InitUnitAdd('',,,,,,,,,,)</v>
      </c>
      <c r="CR324" s="13" t="str">
        <f t="shared" si="3725"/>
        <v>InitEquipData('',,"",,,,,'','','','','','',"")</v>
      </c>
      <c r="CU324" s="6" t="str">
        <f t="shared" si="3720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721"/>
        <v>InitUnitState('',,,,,,,,,,)</v>
      </c>
      <c r="CO325" s="13" t="str">
        <f t="shared" si="3722"/>
        <v>InitUnitNormal('',,,,,,,,,,)</v>
      </c>
      <c r="CP325" s="13" t="str">
        <f t="shared" si="3723"/>
        <v>InitUnitMagic('',,,,,,,,,,)</v>
      </c>
      <c r="CQ325" s="13" t="str">
        <f t="shared" si="3724"/>
        <v>InitUnitAdd('',,,,,,,,,,)</v>
      </c>
      <c r="CR325" s="13" t="str">
        <f t="shared" si="3725"/>
        <v>InitEquipData('',,"",,,,,'','','','','','',"")</v>
      </c>
      <c r="CU325" s="6" t="str">
        <f t="shared" si="3720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721"/>
        <v>InitUnitState('',,,,,,,,,,)</v>
      </c>
      <c r="CO326" s="13" t="str">
        <f t="shared" si="3722"/>
        <v>InitUnitNormal('',,,,,,,,,,)</v>
      </c>
      <c r="CP326" s="13" t="str">
        <f t="shared" si="3723"/>
        <v>InitUnitMagic('',,,,,,,,,,)</v>
      </c>
      <c r="CQ326" s="13" t="str">
        <f t="shared" si="3724"/>
        <v>InitUnitAdd('',,,,,,,,,,)</v>
      </c>
      <c r="CR326" s="13" t="str">
        <f t="shared" si="3725"/>
        <v>InitEquipData('',,"",,,,,'','','','','','',"")</v>
      </c>
      <c r="CU326" s="6" t="str">
        <f t="shared" si="3720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721"/>
        <v>InitUnitState('',,,,,,,,,,)</v>
      </c>
      <c r="CO327" s="13" t="str">
        <f t="shared" si="3722"/>
        <v>InitUnitNormal('',,,,,,,,,,)</v>
      </c>
      <c r="CP327" s="13" t="str">
        <f t="shared" si="3723"/>
        <v>InitUnitMagic('',,,,,,,,,,)</v>
      </c>
      <c r="CQ327" s="13" t="str">
        <f t="shared" si="3724"/>
        <v>InitUnitAdd('',,,,,,,,,,)</v>
      </c>
      <c r="CR327" s="13" t="str">
        <f t="shared" si="3725"/>
        <v>InitEquipData('',,"",,,,,'','','','','','',"")</v>
      </c>
      <c r="CU327" s="6" t="str">
        <f t="shared" si="3720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721"/>
        <v>InitUnitState('',,,,,,,,,,)</v>
      </c>
      <c r="CO328" s="13" t="str">
        <f t="shared" si="3722"/>
        <v>InitUnitNormal('',,,,,,,,,,)</v>
      </c>
      <c r="CP328" s="13" t="str">
        <f t="shared" si="3723"/>
        <v>InitUnitMagic('',,,,,,,,,,)</v>
      </c>
      <c r="CQ328" s="13" t="str">
        <f t="shared" si="3724"/>
        <v>InitUnitAdd('',,,,,,,,,,)</v>
      </c>
      <c r="CR328" s="13" t="str">
        <f t="shared" si="3725"/>
        <v>InitEquipData('',,"",,,,,'','','','','','',"")</v>
      </c>
      <c r="CU328" s="6" t="str">
        <f t="shared" si="3720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</sheetData>
  <mergeCells count="3">
    <mergeCell ref="F1:O1"/>
    <mergeCell ref="P1:S1"/>
    <mergeCell ref="T1:U1"/>
  </mergeCells>
  <phoneticPr fontId="27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31" customWidth="1"/>
    <col min="2" max="2" width="9" style="31"/>
    <col min="3" max="14" width="9" style="31" hidden="1" customWidth="1"/>
    <col min="15" max="15" width="41" style="31" customWidth="1"/>
    <col min="16" max="16" width="102.875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28">
      <c r="A1" s="32" t="s">
        <v>772</v>
      </c>
      <c r="B1" s="33" t="s">
        <v>96</v>
      </c>
      <c r="C1" s="34" t="s">
        <v>103</v>
      </c>
      <c r="D1" s="34" t="s">
        <v>104</v>
      </c>
      <c r="E1" s="34" t="s">
        <v>105</v>
      </c>
      <c r="F1" s="34" t="s">
        <v>106</v>
      </c>
      <c r="G1" s="34" t="s">
        <v>107</v>
      </c>
      <c r="H1" s="34" t="s">
        <v>108</v>
      </c>
      <c r="I1" s="34" t="s">
        <v>103</v>
      </c>
      <c r="J1" s="34" t="s">
        <v>104</v>
      </c>
      <c r="K1" s="34" t="s">
        <v>105</v>
      </c>
      <c r="L1" s="34" t="s">
        <v>106</v>
      </c>
      <c r="M1" s="34" t="s">
        <v>107</v>
      </c>
      <c r="N1" s="34" t="s">
        <v>108</v>
      </c>
      <c r="O1" s="35" t="s">
        <v>773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物品!A150</f>
        <v>0</v>
      </c>
      <c r="B173" s="32" t="str">
        <f>"'"&amp;物品!B150&amp;"'"</f>
        <v>'IP01'</v>
      </c>
      <c r="C173" s="32">
        <f>物品!J150</f>
        <v>0</v>
      </c>
      <c r="D173" s="32">
        <f>物品!K150</f>
        <v>0</v>
      </c>
      <c r="E173" s="32">
        <f>物品!L150</f>
        <v>0</v>
      </c>
      <c r="F173" s="32">
        <f>物品!M150</f>
        <v>0</v>
      </c>
      <c r="G173" s="32">
        <f>物品!N150</f>
        <v>0</v>
      </c>
      <c r="H173" s="32">
        <f>物品!O150</f>
        <v>0</v>
      </c>
      <c r="I173" s="32">
        <f>IF(物品!J150=0,0,"'"&amp;物品!J150&amp;"'")</f>
        <v>0</v>
      </c>
      <c r="J173" s="32">
        <f>IF(物品!K150=0,0,"'"&amp;物品!K150&amp;"'")</f>
        <v>0</v>
      </c>
      <c r="K173" s="32">
        <f>IF(物品!L150=0,0,"'"&amp;物品!L150&amp;"'")</f>
        <v>0</v>
      </c>
      <c r="L173" s="32">
        <f>IF(物品!M150=0,0,"'"&amp;物品!M150&amp;"'")</f>
        <v>0</v>
      </c>
      <c r="M173" s="32">
        <f>IF(物品!N150=0,0,"'"&amp;物品!N150&amp;"'")</f>
        <v>0</v>
      </c>
      <c r="N173" s="32">
        <f>IF(物品!O150=0,0,"'"&amp;物品!O150&amp;"'")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物品!A151</f>
        <v>0</v>
      </c>
      <c r="B174" s="32" t="str">
        <f>"'"&amp;物品!B151&amp;"'"</f>
        <v>'IP02'</v>
      </c>
      <c r="C174" s="32">
        <f>物品!J151</f>
        <v>0</v>
      </c>
      <c r="D174" s="32">
        <f>物品!K151</f>
        <v>0</v>
      </c>
      <c r="E174" s="32">
        <f>物品!L151</f>
        <v>0</v>
      </c>
      <c r="F174" s="32">
        <f>物品!M151</f>
        <v>0</v>
      </c>
      <c r="G174" s="32">
        <f>物品!N151</f>
        <v>0</v>
      </c>
      <c r="H174" s="32">
        <f>物品!O151</f>
        <v>0</v>
      </c>
      <c r="I174" s="32">
        <f>IF(物品!J151=0,0,"'"&amp;物品!J151&amp;"'")</f>
        <v>0</v>
      </c>
      <c r="J174" s="32">
        <f>IF(物品!K151=0,0,"'"&amp;物品!K151&amp;"'")</f>
        <v>0</v>
      </c>
      <c r="K174" s="32">
        <f>IF(物品!L151=0,0,"'"&amp;物品!L151&amp;"'")</f>
        <v>0</v>
      </c>
      <c r="L174" s="32">
        <f>IF(物品!M151=0,0,"'"&amp;物品!M151&amp;"'")</f>
        <v>0</v>
      </c>
      <c r="M174" s="32">
        <f>IF(物品!N151=0,0,"'"&amp;物品!N151&amp;"'")</f>
        <v>0</v>
      </c>
      <c r="N174" s="32">
        <f>IF(物品!O151=0,0,"'"&amp;物品!O151&amp;"'")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物品!A152</f>
        <v>0</v>
      </c>
      <c r="B175" s="32" t="str">
        <f>"'"&amp;物品!B152&amp;"'"</f>
        <v>'IP03'</v>
      </c>
      <c r="C175" s="32">
        <f>物品!J152</f>
        <v>0</v>
      </c>
      <c r="D175" s="32">
        <f>物品!K152</f>
        <v>0</v>
      </c>
      <c r="E175" s="32">
        <f>物品!L152</f>
        <v>0</v>
      </c>
      <c r="F175" s="32">
        <f>物品!M152</f>
        <v>0</v>
      </c>
      <c r="G175" s="32">
        <f>物品!N152</f>
        <v>0</v>
      </c>
      <c r="H175" s="32">
        <f>物品!O152</f>
        <v>0</v>
      </c>
      <c r="I175" s="32">
        <f>IF(物品!J152=0,0,"'"&amp;物品!J152&amp;"'")</f>
        <v>0</v>
      </c>
      <c r="J175" s="32">
        <f>IF(物品!K152=0,0,"'"&amp;物品!K152&amp;"'")</f>
        <v>0</v>
      </c>
      <c r="K175" s="32">
        <f>IF(物品!L152=0,0,"'"&amp;物品!L152&amp;"'")</f>
        <v>0</v>
      </c>
      <c r="L175" s="32">
        <f>IF(物品!M152=0,0,"'"&amp;物品!M152&amp;"'")</f>
        <v>0</v>
      </c>
      <c r="M175" s="32">
        <f>IF(物品!N152=0,0,"'"&amp;物品!N152&amp;"'")</f>
        <v>0</v>
      </c>
      <c r="N175" s="32">
        <f>IF(物品!O152=0,0,"'"&amp;物品!O152&amp;"'")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物品!A159</f>
        <v>0</v>
      </c>
      <c r="B176" s="32" t="str">
        <f>"'"&amp;物品!B159&amp;"'"</f>
        <v>'IT01'</v>
      </c>
      <c r="C176" s="32">
        <f>物品!J159</f>
        <v>0</v>
      </c>
      <c r="D176" s="32">
        <f>物品!K159</f>
        <v>0</v>
      </c>
      <c r="E176" s="32">
        <f>物品!L159</f>
        <v>0</v>
      </c>
      <c r="F176" s="32">
        <f>物品!M159</f>
        <v>0</v>
      </c>
      <c r="G176" s="32">
        <f>物品!N159</f>
        <v>0</v>
      </c>
      <c r="H176" s="32">
        <f>物品!O159</f>
        <v>0</v>
      </c>
      <c r="I176" s="32">
        <f>IF(物品!J159=0,0,"'"&amp;物品!J159&amp;"'")</f>
        <v>0</v>
      </c>
      <c r="J176" s="32">
        <f>IF(物品!K159=0,0,"'"&amp;物品!K159&amp;"'")</f>
        <v>0</v>
      </c>
      <c r="K176" s="32">
        <f>IF(物品!L159=0,0,"'"&amp;物品!L159&amp;"'")</f>
        <v>0</v>
      </c>
      <c r="L176" s="32">
        <f>IF(物品!M159=0,0,"'"&amp;物品!M159&amp;"'")</f>
        <v>0</v>
      </c>
      <c r="M176" s="32">
        <f>IF(物品!N159=0,0,"'"&amp;物品!N159&amp;"'")</f>
        <v>0</v>
      </c>
      <c r="N176" s="32">
        <f>IF(物品!O159=0,0,"'"&amp;物品!O159&amp;"'")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物品!A160</f>
        <v>0</v>
      </c>
      <c r="B177" s="32" t="str">
        <f>"'"&amp;物品!B160&amp;"'"</f>
        <v>'IT02'</v>
      </c>
      <c r="C177" s="32">
        <f>物品!J160</f>
        <v>0</v>
      </c>
      <c r="D177" s="32">
        <f>物品!K160</f>
        <v>0</v>
      </c>
      <c r="E177" s="32">
        <f>物品!L160</f>
        <v>0</v>
      </c>
      <c r="F177" s="32">
        <f>物品!M160</f>
        <v>0</v>
      </c>
      <c r="G177" s="32">
        <f>物品!N160</f>
        <v>0</v>
      </c>
      <c r="H177" s="32">
        <f>物品!O160</f>
        <v>0</v>
      </c>
      <c r="I177" s="32">
        <f>IF(物品!J160=0,0,"'"&amp;物品!J160&amp;"'")</f>
        <v>0</v>
      </c>
      <c r="J177" s="32">
        <f>IF(物品!K160=0,0,"'"&amp;物品!K160&amp;"'")</f>
        <v>0</v>
      </c>
      <c r="K177" s="32">
        <f>IF(物品!L160=0,0,"'"&amp;物品!L160&amp;"'")</f>
        <v>0</v>
      </c>
      <c r="L177" s="32">
        <f>IF(物品!M160=0,0,"'"&amp;物品!M160&amp;"'")</f>
        <v>0</v>
      </c>
      <c r="M177" s="32">
        <f>IF(物品!N160=0,0,"'"&amp;物品!N160&amp;"'")</f>
        <v>0</v>
      </c>
      <c r="N177" s="32">
        <f>IF(物品!O160=0,0,"'"&amp;物品!O160&amp;"'")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物品!A161</f>
        <v>0</v>
      </c>
      <c r="B178" s="32" t="str">
        <f>"'"&amp;物品!B161&amp;"'"</f>
        <v>'IT03'</v>
      </c>
      <c r="C178" s="32">
        <f>物品!J161</f>
        <v>0</v>
      </c>
      <c r="D178" s="32">
        <f>物品!K161</f>
        <v>0</v>
      </c>
      <c r="E178" s="32">
        <f>物品!L161</f>
        <v>0</v>
      </c>
      <c r="F178" s="32">
        <f>物品!M161</f>
        <v>0</v>
      </c>
      <c r="G178" s="32">
        <f>物品!N161</f>
        <v>0</v>
      </c>
      <c r="H178" s="32">
        <f>物品!O161</f>
        <v>0</v>
      </c>
      <c r="I178" s="32">
        <f>IF(物品!J161=0,0,"'"&amp;物品!J161&amp;"'")</f>
        <v>0</v>
      </c>
      <c r="J178" s="32">
        <f>IF(物品!K161=0,0,"'"&amp;物品!K161&amp;"'")</f>
        <v>0</v>
      </c>
      <c r="K178" s="32">
        <f>IF(物品!L161=0,0,"'"&amp;物品!L161&amp;"'")</f>
        <v>0</v>
      </c>
      <c r="L178" s="32">
        <f>IF(物品!M161=0,0,"'"&amp;物品!M161&amp;"'")</f>
        <v>0</v>
      </c>
      <c r="M178" s="32">
        <f>IF(物品!N161=0,0,"'"&amp;物品!N161&amp;"'")</f>
        <v>0</v>
      </c>
      <c r="N178" s="32">
        <f>IF(物品!O161=0,0,"'"&amp;物品!O161&amp;"'")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物品!A162</f>
        <v>0</v>
      </c>
      <c r="B179" s="32" t="str">
        <f>"'"&amp;物品!B162&amp;"'"</f>
        <v>'IT04'</v>
      </c>
      <c r="C179" s="32">
        <f>物品!J162</f>
        <v>0</v>
      </c>
      <c r="D179" s="32">
        <f>物品!K162</f>
        <v>0</v>
      </c>
      <c r="E179" s="32">
        <f>物品!L162</f>
        <v>0</v>
      </c>
      <c r="F179" s="32">
        <f>物品!M162</f>
        <v>0</v>
      </c>
      <c r="G179" s="32">
        <f>物品!N162</f>
        <v>0</v>
      </c>
      <c r="H179" s="32">
        <f>物品!O162</f>
        <v>0</v>
      </c>
      <c r="I179" s="32">
        <f>IF(物品!J162=0,0,"'"&amp;物品!J162&amp;"'")</f>
        <v>0</v>
      </c>
      <c r="J179" s="32">
        <f>IF(物品!K162=0,0,"'"&amp;物品!K162&amp;"'")</f>
        <v>0</v>
      </c>
      <c r="K179" s="32">
        <f>IF(物品!L162=0,0,"'"&amp;物品!L162&amp;"'")</f>
        <v>0</v>
      </c>
      <c r="L179" s="32">
        <f>IF(物品!M162=0,0,"'"&amp;物品!M162&amp;"'")</f>
        <v>0</v>
      </c>
      <c r="M179" s="32">
        <f>IF(物品!N162=0,0,"'"&amp;物品!N162&amp;"'")</f>
        <v>0</v>
      </c>
      <c r="N179" s="32">
        <f>IF(物品!O162=0,0,"'"&amp;物品!O162&amp;"'")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物品!A163</f>
        <v>0</v>
      </c>
      <c r="B180" s="32" t="str">
        <f>"'"&amp;物品!B163&amp;"'"</f>
        <v>'IT05'</v>
      </c>
      <c r="C180" s="32">
        <f>物品!J163</f>
        <v>0</v>
      </c>
      <c r="D180" s="32">
        <f>物品!K163</f>
        <v>0</v>
      </c>
      <c r="E180" s="32">
        <f>物品!L163</f>
        <v>0</v>
      </c>
      <c r="F180" s="32">
        <f>物品!M163</f>
        <v>0</v>
      </c>
      <c r="G180" s="32">
        <f>物品!N163</f>
        <v>0</v>
      </c>
      <c r="H180" s="32">
        <f>物品!O163</f>
        <v>0</v>
      </c>
      <c r="I180" s="32">
        <f>IF(物品!J163=0,0,"'"&amp;物品!J163&amp;"'")</f>
        <v>0</v>
      </c>
      <c r="J180" s="32">
        <f>IF(物品!K163=0,0,"'"&amp;物品!K163&amp;"'")</f>
        <v>0</v>
      </c>
      <c r="K180" s="32">
        <f>IF(物品!L163=0,0,"'"&amp;物品!L163&amp;"'")</f>
        <v>0</v>
      </c>
      <c r="L180" s="32">
        <f>IF(物品!M163=0,0,"'"&amp;物品!M163&amp;"'")</f>
        <v>0</v>
      </c>
      <c r="M180" s="32">
        <f>IF(物品!N163=0,0,"'"&amp;物品!N163&amp;"'")</f>
        <v>0</v>
      </c>
      <c r="N180" s="32">
        <f>IF(物品!O163=0,0,"'"&amp;物品!O163&amp;"'")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物品!A164</f>
        <v>0</v>
      </c>
      <c r="B181" s="32" t="str">
        <f>"'"&amp;物品!B164&amp;"'"</f>
        <v>'IT06'</v>
      </c>
      <c r="C181" s="32">
        <f>物品!J164</f>
        <v>0</v>
      </c>
      <c r="D181" s="32">
        <f>物品!K164</f>
        <v>0</v>
      </c>
      <c r="E181" s="32">
        <f>物品!L164</f>
        <v>0</v>
      </c>
      <c r="F181" s="32">
        <f>物品!M164</f>
        <v>0</v>
      </c>
      <c r="G181" s="32">
        <f>物品!N164</f>
        <v>0</v>
      </c>
      <c r="H181" s="32">
        <f>物品!O164</f>
        <v>0</v>
      </c>
      <c r="I181" s="32">
        <f>IF(物品!J164=0,0,"'"&amp;物品!J164&amp;"'")</f>
        <v>0</v>
      </c>
      <c r="J181" s="32">
        <f>IF(物品!K164=0,0,"'"&amp;物品!K164&amp;"'")</f>
        <v>0</v>
      </c>
      <c r="K181" s="32">
        <f>IF(物品!L164=0,0,"'"&amp;物品!L164&amp;"'")</f>
        <v>0</v>
      </c>
      <c r="L181" s="32">
        <f>IF(物品!M164=0,0,"'"&amp;物品!M164&amp;"'")</f>
        <v>0</v>
      </c>
      <c r="M181" s="32">
        <f>IF(物品!N164=0,0,"'"&amp;物品!N164&amp;"'")</f>
        <v>0</v>
      </c>
      <c r="N181" s="32">
        <f>IF(物品!O164=0,0,"'"&amp;物品!O164&amp;"'")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物品!A165</f>
        <v>0</v>
      </c>
      <c r="B182" s="32" t="str">
        <f>"'"&amp;物品!B165&amp;"'"</f>
        <v>'IT07'</v>
      </c>
      <c r="C182" s="32">
        <f>物品!J165</f>
        <v>0</v>
      </c>
      <c r="D182" s="32">
        <f>物品!K165</f>
        <v>0</v>
      </c>
      <c r="E182" s="32">
        <f>物品!L165</f>
        <v>0</v>
      </c>
      <c r="F182" s="32">
        <f>物品!M165</f>
        <v>0</v>
      </c>
      <c r="G182" s="32">
        <f>物品!N165</f>
        <v>0</v>
      </c>
      <c r="H182" s="32">
        <f>物品!O165</f>
        <v>0</v>
      </c>
      <c r="I182" s="32">
        <f>IF(物品!J165=0,0,"'"&amp;物品!J165&amp;"'")</f>
        <v>0</v>
      </c>
      <c r="J182" s="32">
        <f>IF(物品!K165=0,0,"'"&amp;物品!K165&amp;"'")</f>
        <v>0</v>
      </c>
      <c r="K182" s="32">
        <f>IF(物品!L165=0,0,"'"&amp;物品!L165&amp;"'")</f>
        <v>0</v>
      </c>
      <c r="L182" s="32">
        <f>IF(物品!M165=0,0,"'"&amp;物品!M165&amp;"'")</f>
        <v>0</v>
      </c>
      <c r="M182" s="32">
        <f>IF(物品!N165=0,0,"'"&amp;物品!N165&amp;"'")</f>
        <v>0</v>
      </c>
      <c r="N182" s="32">
        <f>IF(物品!O165=0,0,"'"&amp;物品!O165&amp;"'")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物品!A166</f>
        <v>.</v>
      </c>
      <c r="B183" s="32" t="str">
        <f>"'"&amp;物品!B166&amp;"'"</f>
        <v>'IT08'</v>
      </c>
      <c r="C183" s="32">
        <f>物品!J166</f>
        <v>0</v>
      </c>
      <c r="D183" s="32">
        <f>物品!K166</f>
        <v>0</v>
      </c>
      <c r="E183" s="32">
        <f>物品!L166</f>
        <v>0</v>
      </c>
      <c r="F183" s="32">
        <f>物品!M166</f>
        <v>0</v>
      </c>
      <c r="G183" s="32">
        <f>物品!N166</f>
        <v>0</v>
      </c>
      <c r="H183" s="32">
        <f>物品!O166</f>
        <v>0</v>
      </c>
      <c r="I183" s="32">
        <f>IF(物品!J166=0,0,"'"&amp;物品!J166&amp;"'")</f>
        <v>0</v>
      </c>
      <c r="J183" s="32">
        <f>IF(物品!K166=0,0,"'"&amp;物品!K166&amp;"'")</f>
        <v>0</v>
      </c>
      <c r="K183" s="32">
        <f>IF(物品!L166=0,0,"'"&amp;物品!L166&amp;"'")</f>
        <v>0</v>
      </c>
      <c r="L183" s="32">
        <f>IF(物品!M166=0,0,"'"&amp;物品!M166&amp;"'")</f>
        <v>0</v>
      </c>
      <c r="M183" s="32">
        <f>IF(物品!N166=0,0,"'"&amp;物品!N166&amp;"'")</f>
        <v>0</v>
      </c>
      <c r="N183" s="32">
        <f>IF(物品!O166=0,0,"'"&amp;物品!O166&amp;"'")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物品!A167</f>
        <v>0</v>
      </c>
      <c r="B184" s="32" t="str">
        <f>"'"&amp;物品!B167&amp;"'"</f>
        <v>'IT09'</v>
      </c>
      <c r="C184" s="32">
        <f>物品!J167</f>
        <v>0</v>
      </c>
      <c r="D184" s="32">
        <f>物品!K167</f>
        <v>0</v>
      </c>
      <c r="E184" s="32">
        <f>物品!L167</f>
        <v>0</v>
      </c>
      <c r="F184" s="32">
        <f>物品!M167</f>
        <v>0</v>
      </c>
      <c r="G184" s="32">
        <f>物品!N167</f>
        <v>0</v>
      </c>
      <c r="H184" s="32">
        <f>物品!O167</f>
        <v>0</v>
      </c>
      <c r="I184" s="32">
        <f>IF(物品!J167=0,0,"'"&amp;物品!J167&amp;"'")</f>
        <v>0</v>
      </c>
      <c r="J184" s="32">
        <f>IF(物品!K167=0,0,"'"&amp;物品!K167&amp;"'")</f>
        <v>0</v>
      </c>
      <c r="K184" s="32">
        <f>IF(物品!L167=0,0,"'"&amp;物品!L167&amp;"'")</f>
        <v>0</v>
      </c>
      <c r="L184" s="32">
        <f>IF(物品!M167=0,0,"'"&amp;物品!M167&amp;"'")</f>
        <v>0</v>
      </c>
      <c r="M184" s="32">
        <f>IF(物品!N167=0,0,"'"&amp;物品!N167&amp;"'")</f>
        <v>0</v>
      </c>
      <c r="N184" s="32">
        <f>IF(物品!O167=0,0,"'"&amp;物品!O167&amp;"'")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物品!A168</f>
        <v>0</v>
      </c>
      <c r="B185" s="32" t="str">
        <f>"'"&amp;物品!B168&amp;"'"</f>
        <v>'IT10'</v>
      </c>
      <c r="C185" s="32">
        <f>物品!J168</f>
        <v>0</v>
      </c>
      <c r="D185" s="32">
        <f>物品!K168</f>
        <v>0</v>
      </c>
      <c r="E185" s="32">
        <f>物品!L168</f>
        <v>0</v>
      </c>
      <c r="F185" s="32">
        <f>物品!M168</f>
        <v>0</v>
      </c>
      <c r="G185" s="32">
        <f>物品!N168</f>
        <v>0</v>
      </c>
      <c r="H185" s="32">
        <f>物品!O168</f>
        <v>0</v>
      </c>
      <c r="I185" s="32">
        <f>IF(物品!J168=0,0,"'"&amp;物品!J168&amp;"'")</f>
        <v>0</v>
      </c>
      <c r="J185" s="32">
        <f>IF(物品!K168=0,0,"'"&amp;物品!K168&amp;"'")</f>
        <v>0</v>
      </c>
      <c r="K185" s="32">
        <f>IF(物品!L168=0,0,"'"&amp;物品!L168&amp;"'")</f>
        <v>0</v>
      </c>
      <c r="L185" s="32">
        <f>IF(物品!M168=0,0,"'"&amp;物品!M168&amp;"'")</f>
        <v>0</v>
      </c>
      <c r="M185" s="32">
        <f>IF(物品!N168=0,0,"'"&amp;物品!N168&amp;"'")</f>
        <v>0</v>
      </c>
      <c r="N185" s="32">
        <f>IF(物品!O168=0,0,"'"&amp;物品!O168&amp;"'")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物品!A177</f>
        <v>0</v>
      </c>
      <c r="B186" s="32" t="str">
        <f>"'"&amp;物品!B177&amp;"'"</f>
        <v>'IS02'</v>
      </c>
      <c r="C186" s="32">
        <f>物品!J177</f>
        <v>0</v>
      </c>
      <c r="D186" s="32">
        <f>物品!K177</f>
        <v>0</v>
      </c>
      <c r="E186" s="32">
        <f>物品!L177</f>
        <v>0</v>
      </c>
      <c r="F186" s="32">
        <f>物品!M177</f>
        <v>0</v>
      </c>
      <c r="G186" s="32">
        <f>物品!N177</f>
        <v>0</v>
      </c>
      <c r="H186" s="32">
        <f>物品!O177</f>
        <v>0</v>
      </c>
      <c r="I186" s="32">
        <f>IF(物品!J177=0,0,"'"&amp;物品!J177&amp;"'")</f>
        <v>0</v>
      </c>
      <c r="J186" s="32">
        <f>IF(物品!K177=0,0,"'"&amp;物品!K177&amp;"'")</f>
        <v>0</v>
      </c>
      <c r="K186" s="32">
        <f>IF(物品!L177=0,0,"'"&amp;物品!L177&amp;"'")</f>
        <v>0</v>
      </c>
      <c r="L186" s="32">
        <f>IF(物品!M177=0,0,"'"&amp;物品!M177&amp;"'")</f>
        <v>0</v>
      </c>
      <c r="M186" s="32">
        <f>IF(物品!N177=0,0,"'"&amp;物品!N177&amp;"'")</f>
        <v>0</v>
      </c>
      <c r="N186" s="32">
        <f>IF(物品!O177=0,0,"'"&amp;物品!O177&amp;"'")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物品!A178</f>
        <v>0</v>
      </c>
      <c r="B187" s="32" t="str">
        <f>"'"&amp;物品!B178&amp;"'"</f>
        <v>'IS03'</v>
      </c>
      <c r="C187" s="32">
        <f>物品!J178</f>
        <v>0</v>
      </c>
      <c r="D187" s="32">
        <f>物品!K178</f>
        <v>0</v>
      </c>
      <c r="E187" s="32">
        <f>物品!L178</f>
        <v>0</v>
      </c>
      <c r="F187" s="32">
        <f>物品!M178</f>
        <v>0</v>
      </c>
      <c r="G187" s="32">
        <f>物品!N178</f>
        <v>0</v>
      </c>
      <c r="H187" s="32">
        <f>物品!O178</f>
        <v>0</v>
      </c>
      <c r="I187" s="32">
        <f>IF(物品!J178=0,0,"'"&amp;物品!J178&amp;"'")</f>
        <v>0</v>
      </c>
      <c r="J187" s="32">
        <f>IF(物品!K178=0,0,"'"&amp;物品!K178&amp;"'")</f>
        <v>0</v>
      </c>
      <c r="K187" s="32">
        <f>IF(物品!L178=0,0,"'"&amp;物品!L178&amp;"'")</f>
        <v>0</v>
      </c>
      <c r="L187" s="32">
        <f>IF(物品!M178=0,0,"'"&amp;物品!M178&amp;"'")</f>
        <v>0</v>
      </c>
      <c r="M187" s="32">
        <f>IF(物品!N178=0,0,"'"&amp;物品!N178&amp;"'")</f>
        <v>0</v>
      </c>
      <c r="N187" s="32">
        <f>IF(物品!O178=0,0,"'"&amp;物品!O178&amp;"'")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物品!A186</f>
        <v>0</v>
      </c>
      <c r="B190" s="32" t="str">
        <f>"'"&amp;物品!B186&amp;"'"</f>
        <v>'IS12'</v>
      </c>
      <c r="C190" s="32">
        <f>物品!J186</f>
        <v>0</v>
      </c>
      <c r="D190" s="32">
        <f>物品!K186</f>
        <v>0</v>
      </c>
      <c r="E190" s="32">
        <f>物品!L186</f>
        <v>0</v>
      </c>
      <c r="F190" s="32">
        <f>物品!M186</f>
        <v>0</v>
      </c>
      <c r="G190" s="32">
        <f>物品!N186</f>
        <v>0</v>
      </c>
      <c r="H190" s="32">
        <f>物品!O186</f>
        <v>0</v>
      </c>
      <c r="I190" s="32">
        <f>IF(物品!J186=0,0,"'"&amp;物品!J186&amp;"'")</f>
        <v>0</v>
      </c>
      <c r="J190" s="32">
        <f>IF(物品!K186=0,0,"'"&amp;物品!K186&amp;"'")</f>
        <v>0</v>
      </c>
      <c r="K190" s="32">
        <f>IF(物品!L186=0,0,"'"&amp;物品!L186&amp;"'")</f>
        <v>0</v>
      </c>
      <c r="L190" s="32">
        <f>IF(物品!M186=0,0,"'"&amp;物品!M186&amp;"'")</f>
        <v>0</v>
      </c>
      <c r="M190" s="32">
        <f>IF(物品!N186=0,0,"'"&amp;物品!N186&amp;"'")</f>
        <v>0</v>
      </c>
      <c r="N190" s="32">
        <f>IF(物品!O186=0,0,"'"&amp;物品!O186&amp;"'")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物品!A207</f>
        <v>0</v>
      </c>
      <c r="B199" s="32" t="str">
        <f>"'"&amp;物品!B207&amp;"'"</f>
        <v>'IF01'</v>
      </c>
      <c r="C199" s="32">
        <f>物品!J207</f>
        <v>0</v>
      </c>
      <c r="D199" s="32">
        <f>物品!K207</f>
        <v>0</v>
      </c>
      <c r="E199" s="32">
        <f>物品!L207</f>
        <v>0</v>
      </c>
      <c r="F199" s="32">
        <f>物品!M207</f>
        <v>0</v>
      </c>
      <c r="G199" s="32">
        <f>物品!N207</f>
        <v>0</v>
      </c>
      <c r="H199" s="32">
        <f>物品!O207</f>
        <v>0</v>
      </c>
      <c r="I199" s="32">
        <f>IF(物品!J207=0,0,"'"&amp;物品!J207&amp;"'")</f>
        <v>0</v>
      </c>
      <c r="J199" s="32">
        <f>IF(物品!K207=0,0,"'"&amp;物品!K207&amp;"'")</f>
        <v>0</v>
      </c>
      <c r="K199" s="32">
        <f>IF(物品!L207=0,0,"'"&amp;物品!L207&amp;"'")</f>
        <v>0</v>
      </c>
      <c r="L199" s="32">
        <f>IF(物品!M207=0,0,"'"&amp;物品!M207&amp;"'")</f>
        <v>0</v>
      </c>
      <c r="M199" s="32">
        <f>IF(物品!N207=0,0,"'"&amp;物品!N207&amp;"'")</f>
        <v>0</v>
      </c>
      <c r="N199" s="32">
        <f>IF(物品!O207=0,0,"'"&amp;物品!O207&amp;"'")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物品!A208</f>
        <v>0</v>
      </c>
      <c r="B200" s="32" t="str">
        <f>"'"&amp;物品!B208&amp;"'"</f>
        <v>'IF02'</v>
      </c>
      <c r="C200" s="32">
        <f>物品!J208</f>
        <v>0</v>
      </c>
      <c r="D200" s="32">
        <f>物品!K208</f>
        <v>0</v>
      </c>
      <c r="E200" s="32">
        <f>物品!L208</f>
        <v>0</v>
      </c>
      <c r="F200" s="32">
        <f>物品!M208</f>
        <v>0</v>
      </c>
      <c r="G200" s="32">
        <f>物品!N208</f>
        <v>0</v>
      </c>
      <c r="H200" s="32">
        <f>物品!O208</f>
        <v>0</v>
      </c>
      <c r="I200" s="32">
        <f>IF(物品!J208=0,0,"'"&amp;物品!J208&amp;"'")</f>
        <v>0</v>
      </c>
      <c r="J200" s="32">
        <f>IF(物品!K208=0,0,"'"&amp;物品!K208&amp;"'")</f>
        <v>0</v>
      </c>
      <c r="K200" s="32">
        <f>IF(物品!L208=0,0,"'"&amp;物品!L208&amp;"'")</f>
        <v>0</v>
      </c>
      <c r="L200" s="32">
        <f>IF(物品!M208=0,0,"'"&amp;物品!M208&amp;"'")</f>
        <v>0</v>
      </c>
      <c r="M200" s="32">
        <f>IF(物品!N208=0,0,"'"&amp;物品!N208&amp;"'")</f>
        <v>0</v>
      </c>
      <c r="N200" s="32">
        <f>IF(物品!O208=0,0,"'"&amp;物品!O208&amp;"'")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物品!A209</f>
        <v>0</v>
      </c>
      <c r="B201" s="32" t="str">
        <f>"'"&amp;物品!B209&amp;"'"</f>
        <v>'IF03'</v>
      </c>
      <c r="C201" s="32">
        <f>物品!J209</f>
        <v>0</v>
      </c>
      <c r="D201" s="32">
        <f>物品!K209</f>
        <v>0</v>
      </c>
      <c r="E201" s="32">
        <f>物品!L209</f>
        <v>0</v>
      </c>
      <c r="F201" s="32">
        <f>物品!M209</f>
        <v>0</v>
      </c>
      <c r="G201" s="32">
        <f>物品!N209</f>
        <v>0</v>
      </c>
      <c r="H201" s="32">
        <f>物品!O209</f>
        <v>0</v>
      </c>
      <c r="I201" s="32">
        <f>IF(物品!J209=0,0,"'"&amp;物品!J209&amp;"'")</f>
        <v>0</v>
      </c>
      <c r="J201" s="32">
        <f>IF(物品!K209=0,0,"'"&amp;物品!K209&amp;"'")</f>
        <v>0</v>
      </c>
      <c r="K201" s="32">
        <f>IF(物品!L209=0,0,"'"&amp;物品!L209&amp;"'")</f>
        <v>0</v>
      </c>
      <c r="L201" s="32">
        <f>IF(物品!M209=0,0,"'"&amp;物品!M209&amp;"'")</f>
        <v>0</v>
      </c>
      <c r="M201" s="32">
        <f>IF(物品!N209=0,0,"'"&amp;物品!N209&amp;"'")</f>
        <v>0</v>
      </c>
      <c r="N201" s="32">
        <f>IF(物品!O209=0,0,"'"&amp;物品!O209&amp;"'")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物品!A210</f>
        <v>0</v>
      </c>
      <c r="B202" s="32" t="str">
        <f>"'"&amp;物品!B210&amp;"'"</f>
        <v>'IF04'</v>
      </c>
      <c r="C202" s="32">
        <f>物品!J210</f>
        <v>0</v>
      </c>
      <c r="D202" s="32">
        <f>物品!K210</f>
        <v>0</v>
      </c>
      <c r="E202" s="32">
        <f>物品!L210</f>
        <v>0</v>
      </c>
      <c r="F202" s="32">
        <f>物品!M210</f>
        <v>0</v>
      </c>
      <c r="G202" s="32">
        <f>物品!N210</f>
        <v>0</v>
      </c>
      <c r="H202" s="32">
        <f>物品!O210</f>
        <v>0</v>
      </c>
      <c r="I202" s="32">
        <f>IF(物品!J210=0,0,"'"&amp;物品!J210&amp;"'")</f>
        <v>0</v>
      </c>
      <c r="J202" s="32">
        <f>IF(物品!K210=0,0,"'"&amp;物品!K210&amp;"'")</f>
        <v>0</v>
      </c>
      <c r="K202" s="32">
        <f>IF(物品!L210=0,0,"'"&amp;物品!L210&amp;"'")</f>
        <v>0</v>
      </c>
      <c r="L202" s="32">
        <f>IF(物品!M210=0,0,"'"&amp;物品!M210&amp;"'")</f>
        <v>0</v>
      </c>
      <c r="M202" s="32">
        <f>IF(物品!N210=0,0,"'"&amp;物品!N210&amp;"'")</f>
        <v>0</v>
      </c>
      <c r="N202" s="32">
        <f>IF(物品!O210=0,0,"'"&amp;物品!O210&amp;"'")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物品!A211</f>
        <v>0</v>
      </c>
      <c r="B203" s="32" t="str">
        <f>"'"&amp;物品!B211&amp;"'"</f>
        <v>'IF05'</v>
      </c>
      <c r="C203" s="32">
        <f>物品!J211</f>
        <v>0</v>
      </c>
      <c r="D203" s="32">
        <f>物品!K211</f>
        <v>0</v>
      </c>
      <c r="E203" s="32">
        <f>物品!L211</f>
        <v>0</v>
      </c>
      <c r="F203" s="32">
        <f>物品!M211</f>
        <v>0</v>
      </c>
      <c r="G203" s="32">
        <f>物品!N211</f>
        <v>0</v>
      </c>
      <c r="H203" s="32">
        <f>物品!O211</f>
        <v>0</v>
      </c>
      <c r="I203" s="32">
        <f>IF(物品!J211=0,0,"'"&amp;物品!J211&amp;"'")</f>
        <v>0</v>
      </c>
      <c r="J203" s="32">
        <f>IF(物品!K211=0,0,"'"&amp;物品!K211&amp;"'")</f>
        <v>0</v>
      </c>
      <c r="K203" s="32">
        <f>IF(物品!L211=0,0,"'"&amp;物品!L211&amp;"'")</f>
        <v>0</v>
      </c>
      <c r="L203" s="32">
        <f>IF(物品!M211=0,0,"'"&amp;物品!M211&amp;"'")</f>
        <v>0</v>
      </c>
      <c r="M203" s="32">
        <f>IF(物品!N211=0,0,"'"&amp;物品!N211&amp;"'")</f>
        <v>0</v>
      </c>
      <c r="N203" s="32">
        <f>IF(物品!O211=0,0,"'"&amp;物品!O211&amp;"'")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物品!A212</f>
        <v>0</v>
      </c>
      <c r="B204" s="32" t="str">
        <f>"'"&amp;物品!B212&amp;"'"</f>
        <v>'IF06'</v>
      </c>
      <c r="C204" s="32">
        <f>物品!J212</f>
        <v>0</v>
      </c>
      <c r="D204" s="32">
        <f>物品!K212</f>
        <v>0</v>
      </c>
      <c r="E204" s="32">
        <f>物品!L212</f>
        <v>0</v>
      </c>
      <c r="F204" s="32">
        <f>物品!M212</f>
        <v>0</v>
      </c>
      <c r="G204" s="32">
        <f>物品!N212</f>
        <v>0</v>
      </c>
      <c r="H204" s="32">
        <f>物品!O212</f>
        <v>0</v>
      </c>
      <c r="I204" s="32">
        <f>IF(物品!J212=0,0,"'"&amp;物品!J212&amp;"'")</f>
        <v>0</v>
      </c>
      <c r="J204" s="32">
        <f>IF(物品!K212=0,0,"'"&amp;物品!K212&amp;"'")</f>
        <v>0</v>
      </c>
      <c r="K204" s="32">
        <f>IF(物品!L212=0,0,"'"&amp;物品!L212&amp;"'")</f>
        <v>0</v>
      </c>
      <c r="L204" s="32">
        <f>IF(物品!M212=0,0,"'"&amp;物品!M212&amp;"'")</f>
        <v>0</v>
      </c>
      <c r="M204" s="32">
        <f>IF(物品!N212=0,0,"'"&amp;物品!N212&amp;"'")</f>
        <v>0</v>
      </c>
      <c r="N204" s="32">
        <f>IF(物品!O212=0,0,"'"&amp;物品!O212&amp;"'")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物品!A213</f>
        <v>0</v>
      </c>
      <c r="B205" s="32" t="str">
        <f>"'"&amp;物品!B213&amp;"'"</f>
        <v>'IF07'</v>
      </c>
      <c r="C205" s="32">
        <f>物品!J213</f>
        <v>0</v>
      </c>
      <c r="D205" s="32">
        <f>物品!K213</f>
        <v>0</v>
      </c>
      <c r="E205" s="32">
        <f>物品!L213</f>
        <v>0</v>
      </c>
      <c r="F205" s="32">
        <f>物品!M213</f>
        <v>0</v>
      </c>
      <c r="G205" s="32">
        <f>物品!N213</f>
        <v>0</v>
      </c>
      <c r="H205" s="32">
        <f>物品!O213</f>
        <v>0</v>
      </c>
      <c r="I205" s="32">
        <f>IF(物品!J213=0,0,"'"&amp;物品!J213&amp;"'")</f>
        <v>0</v>
      </c>
      <c r="J205" s="32">
        <f>IF(物品!K213=0,0,"'"&amp;物品!K213&amp;"'")</f>
        <v>0</v>
      </c>
      <c r="K205" s="32">
        <f>IF(物品!L213=0,0,"'"&amp;物品!L213&amp;"'")</f>
        <v>0</v>
      </c>
      <c r="L205" s="32">
        <f>IF(物品!M213=0,0,"'"&amp;物品!M213&amp;"'")</f>
        <v>0</v>
      </c>
      <c r="M205" s="32">
        <f>IF(物品!N213=0,0,"'"&amp;物品!N213&amp;"'")</f>
        <v>0</v>
      </c>
      <c r="N205" s="32">
        <f>IF(物品!O213=0,0,"'"&amp;物品!O213&amp;"'")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物品!A214</f>
        <v>0</v>
      </c>
      <c r="B206" s="32" t="str">
        <f>"'"&amp;物品!B214&amp;"'"</f>
        <v>'IF08'</v>
      </c>
      <c r="C206" s="32">
        <f>物品!J214</f>
        <v>0</v>
      </c>
      <c r="D206" s="32">
        <f>物品!K214</f>
        <v>0</v>
      </c>
      <c r="E206" s="32">
        <f>物品!L214</f>
        <v>0</v>
      </c>
      <c r="F206" s="32">
        <f>物品!M214</f>
        <v>0</v>
      </c>
      <c r="G206" s="32">
        <f>物品!N214</f>
        <v>0</v>
      </c>
      <c r="H206" s="32">
        <f>物品!O214</f>
        <v>0</v>
      </c>
      <c r="I206" s="32">
        <f>IF(物品!J214=0,0,"'"&amp;物品!J214&amp;"'")</f>
        <v>0</v>
      </c>
      <c r="J206" s="32">
        <f>IF(物品!K214=0,0,"'"&amp;物品!K214&amp;"'")</f>
        <v>0</v>
      </c>
      <c r="K206" s="32">
        <f>IF(物品!L214=0,0,"'"&amp;物品!L214&amp;"'")</f>
        <v>0</v>
      </c>
      <c r="L206" s="32">
        <f>IF(物品!M214=0,0,"'"&amp;物品!M214&amp;"'")</f>
        <v>0</v>
      </c>
      <c r="M206" s="32">
        <f>IF(物品!N214=0,0,"'"&amp;物品!N214&amp;"'")</f>
        <v>0</v>
      </c>
      <c r="N206" s="32">
        <f>IF(物品!O214=0,0,"'"&amp;物品!O214&amp;"'")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物品!A215</f>
        <v>0</v>
      </c>
      <c r="B207" s="32" t="str">
        <f>"'"&amp;物品!B215&amp;"'"</f>
        <v>'IF09'</v>
      </c>
      <c r="C207" s="32">
        <f>物品!J215</f>
        <v>0</v>
      </c>
      <c r="D207" s="32">
        <f>物品!K215</f>
        <v>0</v>
      </c>
      <c r="E207" s="32">
        <f>物品!L215</f>
        <v>0</v>
      </c>
      <c r="F207" s="32">
        <f>物品!M215</f>
        <v>0</v>
      </c>
      <c r="G207" s="32">
        <f>物品!N215</f>
        <v>0</v>
      </c>
      <c r="H207" s="32">
        <f>物品!O215</f>
        <v>0</v>
      </c>
      <c r="I207" s="32">
        <f>IF(物品!J215=0,0,"'"&amp;物品!J215&amp;"'")</f>
        <v>0</v>
      </c>
      <c r="J207" s="32">
        <f>IF(物品!K215=0,0,"'"&amp;物品!K215&amp;"'")</f>
        <v>0</v>
      </c>
      <c r="K207" s="32">
        <f>IF(物品!L215=0,0,"'"&amp;物品!L215&amp;"'")</f>
        <v>0</v>
      </c>
      <c r="L207" s="32">
        <f>IF(物品!M215=0,0,"'"&amp;物品!M215&amp;"'")</f>
        <v>0</v>
      </c>
      <c r="M207" s="32">
        <f>IF(物品!N215=0,0,"'"&amp;物品!N215&amp;"'")</f>
        <v>0</v>
      </c>
      <c r="N207" s="32">
        <f>IF(物品!O215=0,0,"'"&amp;物品!O215&amp;"'")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物品!A216</f>
        <v>0</v>
      </c>
      <c r="B208" s="32" t="str">
        <f>"'"&amp;物品!B216&amp;"'"</f>
        <v>'IF10'</v>
      </c>
      <c r="C208" s="32">
        <f>物品!J216</f>
        <v>0</v>
      </c>
      <c r="D208" s="32">
        <f>物品!K216</f>
        <v>0</v>
      </c>
      <c r="E208" s="32">
        <f>物品!L216</f>
        <v>0</v>
      </c>
      <c r="F208" s="32">
        <f>物品!M216</f>
        <v>0</v>
      </c>
      <c r="G208" s="32">
        <f>物品!N216</f>
        <v>0</v>
      </c>
      <c r="H208" s="32">
        <f>物品!O216</f>
        <v>0</v>
      </c>
      <c r="I208" s="32">
        <f>IF(物品!J216=0,0,"'"&amp;物品!J216&amp;"'")</f>
        <v>0</v>
      </c>
      <c r="J208" s="32">
        <f>IF(物品!K216=0,0,"'"&amp;物品!K216&amp;"'")</f>
        <v>0</v>
      </c>
      <c r="K208" s="32">
        <f>IF(物品!L216=0,0,"'"&amp;物品!L216&amp;"'")</f>
        <v>0</v>
      </c>
      <c r="L208" s="32">
        <f>IF(物品!M216=0,0,"'"&amp;物品!M216&amp;"'")</f>
        <v>0</v>
      </c>
      <c r="M208" s="32">
        <f>IF(物品!N216=0,0,"'"&amp;物品!N216&amp;"'")</f>
        <v>0</v>
      </c>
      <c r="N208" s="32">
        <f>IF(物品!O216=0,0,"'"&amp;物品!O216&amp;"'")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物品!A217</f>
        <v>0</v>
      </c>
      <c r="B209" s="32" t="str">
        <f>"'"&amp;物品!B217&amp;"'"</f>
        <v>'IF11'</v>
      </c>
      <c r="C209" s="32">
        <f>物品!J217</f>
        <v>0</v>
      </c>
      <c r="D209" s="32">
        <f>物品!K217</f>
        <v>0</v>
      </c>
      <c r="E209" s="32">
        <f>物品!L217</f>
        <v>0</v>
      </c>
      <c r="F209" s="32">
        <f>物品!M217</f>
        <v>0</v>
      </c>
      <c r="G209" s="32">
        <f>物品!N217</f>
        <v>0</v>
      </c>
      <c r="H209" s="32">
        <f>物品!O217</f>
        <v>0</v>
      </c>
      <c r="I209" s="32">
        <f>IF(物品!J217=0,0,"'"&amp;物品!J217&amp;"'")</f>
        <v>0</v>
      </c>
      <c r="J209" s="32">
        <f>IF(物品!K217=0,0,"'"&amp;物品!K217&amp;"'")</f>
        <v>0</v>
      </c>
      <c r="K209" s="32">
        <f>IF(物品!L217=0,0,"'"&amp;物品!L217&amp;"'")</f>
        <v>0</v>
      </c>
      <c r="L209" s="32">
        <f>IF(物品!M217=0,0,"'"&amp;物品!M217&amp;"'")</f>
        <v>0</v>
      </c>
      <c r="M209" s="32">
        <f>IF(物品!N217=0,0,"'"&amp;物品!N217&amp;"'")</f>
        <v>0</v>
      </c>
      <c r="N209" s="32">
        <f>IF(物品!O217=0,0,"'"&amp;物品!O217&amp;"'")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物品!A218</f>
        <v>0</v>
      </c>
      <c r="B210" s="32" t="str">
        <f>"'"&amp;物品!B218&amp;"'"</f>
        <v>'IF12'</v>
      </c>
      <c r="C210" s="32">
        <f>物品!J218</f>
        <v>0</v>
      </c>
      <c r="D210" s="32">
        <f>物品!K218</f>
        <v>0</v>
      </c>
      <c r="E210" s="32">
        <f>物品!L218</f>
        <v>0</v>
      </c>
      <c r="F210" s="32">
        <f>物品!M218</f>
        <v>0</v>
      </c>
      <c r="G210" s="32">
        <f>物品!N218</f>
        <v>0</v>
      </c>
      <c r="H210" s="32">
        <f>物品!O218</f>
        <v>0</v>
      </c>
      <c r="I210" s="32">
        <f>IF(物品!J218=0,0,"'"&amp;物品!J218&amp;"'")</f>
        <v>0</v>
      </c>
      <c r="J210" s="32">
        <f>IF(物品!K218=0,0,"'"&amp;物品!K218&amp;"'")</f>
        <v>0</v>
      </c>
      <c r="K210" s="32">
        <f>IF(物品!L218=0,0,"'"&amp;物品!L218&amp;"'")</f>
        <v>0</v>
      </c>
      <c r="L210" s="32">
        <f>IF(物品!M218=0,0,"'"&amp;物品!M218&amp;"'")</f>
        <v>0</v>
      </c>
      <c r="M210" s="32">
        <f>IF(物品!N218=0,0,"'"&amp;物品!N218&amp;"'")</f>
        <v>0</v>
      </c>
      <c r="N210" s="32">
        <f>IF(物品!O218=0,0,"'"&amp;物品!O218&amp;"'")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物品!A219</f>
        <v>0</v>
      </c>
      <c r="B211" s="32" t="str">
        <f>"'"&amp;物品!B219&amp;"'"</f>
        <v>'IF13'</v>
      </c>
      <c r="C211" s="32">
        <f>物品!J219</f>
        <v>0</v>
      </c>
      <c r="D211" s="32">
        <f>物品!K219</f>
        <v>0</v>
      </c>
      <c r="E211" s="32">
        <f>物品!L219</f>
        <v>0</v>
      </c>
      <c r="F211" s="32">
        <f>物品!M219</f>
        <v>0</v>
      </c>
      <c r="G211" s="32">
        <f>物品!N219</f>
        <v>0</v>
      </c>
      <c r="H211" s="32">
        <f>物品!O219</f>
        <v>0</v>
      </c>
      <c r="I211" s="32">
        <f>IF(物品!J219=0,0,"'"&amp;物品!J219&amp;"'")</f>
        <v>0</v>
      </c>
      <c r="J211" s="32">
        <f>IF(物品!K219=0,0,"'"&amp;物品!K219&amp;"'")</f>
        <v>0</v>
      </c>
      <c r="K211" s="32">
        <f>IF(物品!L219=0,0,"'"&amp;物品!L219&amp;"'")</f>
        <v>0</v>
      </c>
      <c r="L211" s="32">
        <f>IF(物品!M219=0,0,"'"&amp;物品!M219&amp;"'")</f>
        <v>0</v>
      </c>
      <c r="M211" s="32">
        <f>IF(物品!N219=0,0,"'"&amp;物品!N219&amp;"'")</f>
        <v>0</v>
      </c>
      <c r="N211" s="32">
        <f>IF(物品!O219=0,0,"'"&amp;物品!O219&amp;"'")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物品!A220</f>
        <v>0</v>
      </c>
      <c r="B212" s="32" t="str">
        <f>"'"&amp;物品!B220&amp;"'"</f>
        <v>'IF14'</v>
      </c>
      <c r="C212" s="32">
        <f>物品!J220</f>
        <v>0</v>
      </c>
      <c r="D212" s="32">
        <f>物品!K220</f>
        <v>0</v>
      </c>
      <c r="E212" s="32">
        <f>物品!L220</f>
        <v>0</v>
      </c>
      <c r="F212" s="32">
        <f>物品!M220</f>
        <v>0</v>
      </c>
      <c r="G212" s="32">
        <f>物品!N220</f>
        <v>0</v>
      </c>
      <c r="H212" s="32">
        <f>物品!O220</f>
        <v>0</v>
      </c>
      <c r="I212" s="32">
        <f>IF(物品!J220=0,0,"'"&amp;物品!J220&amp;"'")</f>
        <v>0</v>
      </c>
      <c r="J212" s="32">
        <f>IF(物品!K220=0,0,"'"&amp;物品!K220&amp;"'")</f>
        <v>0</v>
      </c>
      <c r="K212" s="32">
        <f>IF(物品!L220=0,0,"'"&amp;物品!L220&amp;"'")</f>
        <v>0</v>
      </c>
      <c r="L212" s="32">
        <f>IF(物品!M220=0,0,"'"&amp;物品!M220&amp;"'")</f>
        <v>0</v>
      </c>
      <c r="M212" s="32">
        <f>IF(物品!N220=0,0,"'"&amp;物品!N220&amp;"'")</f>
        <v>0</v>
      </c>
      <c r="N212" s="32">
        <f>IF(物品!O220=0,0,"'"&amp;物品!O220&amp;"'")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物品!A221</f>
        <v>0</v>
      </c>
      <c r="B213" s="32" t="str">
        <f>"'"&amp;物品!B221&amp;"'"</f>
        <v>'IF15'</v>
      </c>
      <c r="C213" s="32">
        <f>物品!J221</f>
        <v>0</v>
      </c>
      <c r="D213" s="32">
        <f>物品!K221</f>
        <v>0</v>
      </c>
      <c r="E213" s="32">
        <f>物品!L221</f>
        <v>0</v>
      </c>
      <c r="F213" s="32">
        <f>物品!M221</f>
        <v>0</v>
      </c>
      <c r="G213" s="32">
        <f>物品!N221</f>
        <v>0</v>
      </c>
      <c r="H213" s="32">
        <f>物品!O221</f>
        <v>0</v>
      </c>
      <c r="I213" s="32">
        <f>IF(物品!J221=0,0,"'"&amp;物品!J221&amp;"'")</f>
        <v>0</v>
      </c>
      <c r="J213" s="32">
        <f>IF(物品!K221=0,0,"'"&amp;物品!K221&amp;"'")</f>
        <v>0</v>
      </c>
      <c r="K213" s="32">
        <f>IF(物品!L221=0,0,"'"&amp;物品!L221&amp;"'")</f>
        <v>0</v>
      </c>
      <c r="L213" s="32">
        <f>IF(物品!M221=0,0,"'"&amp;物品!M221&amp;"'")</f>
        <v>0</v>
      </c>
      <c r="M213" s="32">
        <f>IF(物品!N221=0,0,"'"&amp;物品!N221&amp;"'")</f>
        <v>0</v>
      </c>
      <c r="N213" s="32">
        <f>IF(物品!O221=0,0,"'"&amp;物品!O221&amp;"'")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物品!A222</f>
        <v>0</v>
      </c>
      <c r="B214" s="32" t="str">
        <f>"'"&amp;物品!B222&amp;"'"</f>
        <v>'IF16'</v>
      </c>
      <c r="C214" s="32">
        <f>物品!J222</f>
        <v>0</v>
      </c>
      <c r="D214" s="32">
        <f>物品!K222</f>
        <v>0</v>
      </c>
      <c r="E214" s="32">
        <f>物品!L222</f>
        <v>0</v>
      </c>
      <c r="F214" s="32">
        <f>物品!M222</f>
        <v>0</v>
      </c>
      <c r="G214" s="32">
        <f>物品!N222</f>
        <v>0</v>
      </c>
      <c r="H214" s="32">
        <f>物品!O222</f>
        <v>0</v>
      </c>
      <c r="I214" s="32">
        <f>IF(物品!J222=0,0,"'"&amp;物品!J222&amp;"'")</f>
        <v>0</v>
      </c>
      <c r="J214" s="32">
        <f>IF(物品!K222=0,0,"'"&amp;物品!K222&amp;"'")</f>
        <v>0</v>
      </c>
      <c r="K214" s="32">
        <f>IF(物品!L222=0,0,"'"&amp;物品!L222&amp;"'")</f>
        <v>0</v>
      </c>
      <c r="L214" s="32">
        <f>IF(物品!M222=0,0,"'"&amp;物品!M222&amp;"'")</f>
        <v>0</v>
      </c>
      <c r="M214" s="32">
        <f>IF(物品!N222=0,0,"'"&amp;物品!N222&amp;"'")</f>
        <v>0</v>
      </c>
      <c r="N214" s="32">
        <f>IF(物品!O222=0,0,"'"&amp;物品!O222&amp;"'")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物品!A223</f>
        <v>0</v>
      </c>
      <c r="B215" s="32" t="str">
        <f>"'"&amp;物品!B223&amp;"'"</f>
        <v>'IF17'</v>
      </c>
      <c r="C215" s="32">
        <f>物品!J223</f>
        <v>0</v>
      </c>
      <c r="D215" s="32">
        <f>物品!K223</f>
        <v>0</v>
      </c>
      <c r="E215" s="32">
        <f>物品!L223</f>
        <v>0</v>
      </c>
      <c r="F215" s="32">
        <f>物品!M223</f>
        <v>0</v>
      </c>
      <c r="G215" s="32">
        <f>物品!N223</f>
        <v>0</v>
      </c>
      <c r="H215" s="32">
        <f>物品!O223</f>
        <v>0</v>
      </c>
      <c r="I215" s="32">
        <f>IF(物品!J223=0,0,"'"&amp;物品!J223&amp;"'")</f>
        <v>0</v>
      </c>
      <c r="J215" s="32">
        <f>IF(物品!K223=0,0,"'"&amp;物品!K223&amp;"'")</f>
        <v>0</v>
      </c>
      <c r="K215" s="32">
        <f>IF(物品!L223=0,0,"'"&amp;物品!L223&amp;"'")</f>
        <v>0</v>
      </c>
      <c r="L215" s="32">
        <f>IF(物品!M223=0,0,"'"&amp;物品!M223&amp;"'")</f>
        <v>0</v>
      </c>
      <c r="M215" s="32">
        <f>IF(物品!N223=0,0,"'"&amp;物品!N223&amp;"'")</f>
        <v>0</v>
      </c>
      <c r="N215" s="32">
        <f>IF(物品!O223=0,0,"'"&amp;物品!O223&amp;"'")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物品!A224</f>
        <v>0</v>
      </c>
      <c r="B216" s="32" t="str">
        <f>"'"&amp;物品!B224&amp;"'"</f>
        <v>'IF18'</v>
      </c>
      <c r="C216" s="32">
        <f>物品!J224</f>
        <v>0</v>
      </c>
      <c r="D216" s="32">
        <f>物品!K224</f>
        <v>0</v>
      </c>
      <c r="E216" s="32">
        <f>物品!L224</f>
        <v>0</v>
      </c>
      <c r="F216" s="32">
        <f>物品!M224</f>
        <v>0</v>
      </c>
      <c r="G216" s="32">
        <f>物品!N224</f>
        <v>0</v>
      </c>
      <c r="H216" s="32">
        <f>物品!O224</f>
        <v>0</v>
      </c>
      <c r="I216" s="32">
        <f>IF(物品!J224=0,0,"'"&amp;物品!J224&amp;"'")</f>
        <v>0</v>
      </c>
      <c r="J216" s="32">
        <f>IF(物品!K224=0,0,"'"&amp;物品!K224&amp;"'")</f>
        <v>0</v>
      </c>
      <c r="K216" s="32">
        <f>IF(物品!L224=0,0,"'"&amp;物品!L224&amp;"'")</f>
        <v>0</v>
      </c>
      <c r="L216" s="32">
        <f>IF(物品!M224=0,0,"'"&amp;物品!M224&amp;"'")</f>
        <v>0</v>
      </c>
      <c r="M216" s="32">
        <f>IF(物品!N224=0,0,"'"&amp;物品!N224&amp;"'")</f>
        <v>0</v>
      </c>
      <c r="N216" s="32">
        <f>IF(物品!O224=0,0,"'"&amp;物品!O224&amp;"'")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物品!A225</f>
        <v>0</v>
      </c>
      <c r="B217" s="32" t="str">
        <f>"'"&amp;物品!B225&amp;"'"</f>
        <v>'IF19'</v>
      </c>
      <c r="C217" s="32">
        <f>物品!J225</f>
        <v>0</v>
      </c>
      <c r="D217" s="32">
        <f>物品!K225</f>
        <v>0</v>
      </c>
      <c r="E217" s="32">
        <f>物品!L225</f>
        <v>0</v>
      </c>
      <c r="F217" s="32">
        <f>物品!M225</f>
        <v>0</v>
      </c>
      <c r="G217" s="32">
        <f>物品!N225</f>
        <v>0</v>
      </c>
      <c r="H217" s="32">
        <f>物品!O225</f>
        <v>0</v>
      </c>
      <c r="I217" s="32">
        <f>IF(物品!J225=0,0,"'"&amp;物品!J225&amp;"'")</f>
        <v>0</v>
      </c>
      <c r="J217" s="32">
        <f>IF(物品!K225=0,0,"'"&amp;物品!K225&amp;"'")</f>
        <v>0</v>
      </c>
      <c r="K217" s="32">
        <f>IF(物品!L225=0,0,"'"&amp;物品!L225&amp;"'")</f>
        <v>0</v>
      </c>
      <c r="L217" s="32">
        <f>IF(物品!M225=0,0,"'"&amp;物品!M225&amp;"'")</f>
        <v>0</v>
      </c>
      <c r="M217" s="32">
        <f>IF(物品!N225=0,0,"'"&amp;物品!N225&amp;"'")</f>
        <v>0</v>
      </c>
      <c r="N217" s="32">
        <f>IF(物品!O225=0,0,"'"&amp;物品!O225&amp;"'")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物品!A226</f>
        <v>0</v>
      </c>
      <c r="B218" s="32" t="str">
        <f>"'"&amp;物品!B226&amp;"'"</f>
        <v>'IF20'</v>
      </c>
      <c r="C218" s="32">
        <f>物品!J226</f>
        <v>0</v>
      </c>
      <c r="D218" s="32">
        <f>物品!K226</f>
        <v>0</v>
      </c>
      <c r="E218" s="32">
        <f>物品!L226</f>
        <v>0</v>
      </c>
      <c r="F218" s="32">
        <f>物品!M226</f>
        <v>0</v>
      </c>
      <c r="G218" s="32">
        <f>物品!N226</f>
        <v>0</v>
      </c>
      <c r="H218" s="32">
        <f>物品!O226</f>
        <v>0</v>
      </c>
      <c r="I218" s="32">
        <f>IF(物品!J226=0,0,"'"&amp;物品!J226&amp;"'")</f>
        <v>0</v>
      </c>
      <c r="J218" s="32">
        <f>IF(物品!K226=0,0,"'"&amp;物品!K226&amp;"'")</f>
        <v>0</v>
      </c>
      <c r="K218" s="32">
        <f>IF(物品!L226=0,0,"'"&amp;物品!L226&amp;"'")</f>
        <v>0</v>
      </c>
      <c r="L218" s="32">
        <f>IF(物品!M226=0,0,"'"&amp;物品!M226&amp;"'")</f>
        <v>0</v>
      </c>
      <c r="M218" s="32">
        <f>IF(物品!N226=0,0,"'"&amp;物品!N226&amp;"'")</f>
        <v>0</v>
      </c>
      <c r="N218" s="32">
        <f>IF(物品!O226=0,0,"'"&amp;物品!O226&amp;"'")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物品!A227</f>
        <v>0</v>
      </c>
      <c r="B219" s="32" t="str">
        <f>"'"&amp;物品!B227&amp;"'"</f>
        <v>'IF21'</v>
      </c>
      <c r="C219" s="32">
        <f>物品!J227</f>
        <v>0</v>
      </c>
      <c r="D219" s="32">
        <f>物品!K227</f>
        <v>0</v>
      </c>
      <c r="E219" s="32">
        <f>物品!L227</f>
        <v>0</v>
      </c>
      <c r="F219" s="32">
        <f>物品!M227</f>
        <v>0</v>
      </c>
      <c r="G219" s="32">
        <f>物品!N227</f>
        <v>0</v>
      </c>
      <c r="H219" s="32">
        <f>物品!O227</f>
        <v>0</v>
      </c>
      <c r="I219" s="32">
        <f>IF(物品!J227=0,0,"'"&amp;物品!J227&amp;"'")</f>
        <v>0</v>
      </c>
      <c r="J219" s="32">
        <f>IF(物品!K227=0,0,"'"&amp;物品!K227&amp;"'")</f>
        <v>0</v>
      </c>
      <c r="K219" s="32">
        <f>IF(物品!L227=0,0,"'"&amp;物品!L227&amp;"'")</f>
        <v>0</v>
      </c>
      <c r="L219" s="32">
        <f>IF(物品!M227=0,0,"'"&amp;物品!M227&amp;"'")</f>
        <v>0</v>
      </c>
      <c r="M219" s="32">
        <f>IF(物品!N227=0,0,"'"&amp;物品!N227&amp;"'")</f>
        <v>0</v>
      </c>
      <c r="N219" s="32">
        <f>IF(物品!O227=0,0,"'"&amp;物品!O227&amp;"'")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物品!A228</f>
        <v>0</v>
      </c>
      <c r="B220" s="32" t="str">
        <f>"'"&amp;物品!B228&amp;"'"</f>
        <v>'IF22'</v>
      </c>
      <c r="C220" s="32">
        <f>物品!J228</f>
        <v>0</v>
      </c>
      <c r="D220" s="32">
        <f>物品!K228</f>
        <v>0</v>
      </c>
      <c r="E220" s="32">
        <f>物品!L228</f>
        <v>0</v>
      </c>
      <c r="F220" s="32">
        <f>物品!M228</f>
        <v>0</v>
      </c>
      <c r="G220" s="32">
        <f>物品!N228</f>
        <v>0</v>
      </c>
      <c r="H220" s="32">
        <f>物品!O228</f>
        <v>0</v>
      </c>
      <c r="I220" s="32">
        <f>IF(物品!J228=0,0,"'"&amp;物品!J228&amp;"'")</f>
        <v>0</v>
      </c>
      <c r="J220" s="32">
        <f>IF(物品!K228=0,0,"'"&amp;物品!K228&amp;"'")</f>
        <v>0</v>
      </c>
      <c r="K220" s="32">
        <f>IF(物品!L228=0,0,"'"&amp;物品!L228&amp;"'")</f>
        <v>0</v>
      </c>
      <c r="L220" s="32">
        <f>IF(物品!M228=0,0,"'"&amp;物品!M228&amp;"'")</f>
        <v>0</v>
      </c>
      <c r="M220" s="32">
        <f>IF(物品!N228=0,0,"'"&amp;物品!N228&amp;"'")</f>
        <v>0</v>
      </c>
      <c r="N220" s="32">
        <f>IF(物品!O228=0,0,"'"&amp;物品!O228&amp;"'")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物品!A229</f>
        <v>0</v>
      </c>
      <c r="B221" s="32" t="str">
        <f>"'"&amp;物品!B229&amp;"'"</f>
        <v>'IF23'</v>
      </c>
      <c r="C221" s="32">
        <f>物品!J229</f>
        <v>0</v>
      </c>
      <c r="D221" s="32">
        <f>物品!K229</f>
        <v>0</v>
      </c>
      <c r="E221" s="32">
        <f>物品!L229</f>
        <v>0</v>
      </c>
      <c r="F221" s="32">
        <f>物品!M229</f>
        <v>0</v>
      </c>
      <c r="G221" s="32">
        <f>物品!N229</f>
        <v>0</v>
      </c>
      <c r="H221" s="32">
        <f>物品!O229</f>
        <v>0</v>
      </c>
      <c r="I221" s="32">
        <f>IF(物品!J229=0,0,"'"&amp;物品!J229&amp;"'")</f>
        <v>0</v>
      </c>
      <c r="J221" s="32">
        <f>IF(物品!K229=0,0,"'"&amp;物品!K229&amp;"'")</f>
        <v>0</v>
      </c>
      <c r="K221" s="32">
        <f>IF(物品!L229=0,0,"'"&amp;物品!L229&amp;"'")</f>
        <v>0</v>
      </c>
      <c r="L221" s="32">
        <f>IF(物品!M229=0,0,"'"&amp;物品!M229&amp;"'")</f>
        <v>0</v>
      </c>
      <c r="M221" s="32">
        <f>IF(物品!N229=0,0,"'"&amp;物品!N229&amp;"'")</f>
        <v>0</v>
      </c>
      <c r="N221" s="32">
        <f>IF(物品!O229=0,0,"'"&amp;物品!O229&amp;"'")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物品!A230</f>
        <v>0</v>
      </c>
      <c r="B222" s="32" t="str">
        <f>"'"&amp;物品!B230&amp;"'"</f>
        <v>'IF24'</v>
      </c>
      <c r="C222" s="32">
        <f>物品!J230</f>
        <v>0</v>
      </c>
      <c r="D222" s="32">
        <f>物品!K230</f>
        <v>0</v>
      </c>
      <c r="E222" s="32">
        <f>物品!L230</f>
        <v>0</v>
      </c>
      <c r="F222" s="32">
        <f>物品!M230</f>
        <v>0</v>
      </c>
      <c r="G222" s="32">
        <f>物品!N230</f>
        <v>0</v>
      </c>
      <c r="H222" s="32">
        <f>物品!O230</f>
        <v>0</v>
      </c>
      <c r="I222" s="32">
        <f>IF(物品!J230=0,0,"'"&amp;物品!J230&amp;"'")</f>
        <v>0</v>
      </c>
      <c r="J222" s="32">
        <f>IF(物品!K230=0,0,"'"&amp;物品!K230&amp;"'")</f>
        <v>0</v>
      </c>
      <c r="K222" s="32">
        <f>IF(物品!L230=0,0,"'"&amp;物品!L230&amp;"'")</f>
        <v>0</v>
      </c>
      <c r="L222" s="32">
        <f>IF(物品!M230=0,0,"'"&amp;物品!M230&amp;"'")</f>
        <v>0</v>
      </c>
      <c r="M222" s="32">
        <f>IF(物品!N230=0,0,"'"&amp;物品!N230&amp;"'")</f>
        <v>0</v>
      </c>
      <c r="N222" s="32">
        <f>IF(物品!O230=0,0,"'"&amp;物品!O230&amp;"'")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物品!A231</f>
        <v>0</v>
      </c>
      <c r="B223" s="32" t="str">
        <f>"'"&amp;物品!B231&amp;"'"</f>
        <v>'IF25'</v>
      </c>
      <c r="C223" s="32">
        <f>物品!J231</f>
        <v>0</v>
      </c>
      <c r="D223" s="32">
        <f>物品!K231</f>
        <v>0</v>
      </c>
      <c r="E223" s="32">
        <f>物品!L231</f>
        <v>0</v>
      </c>
      <c r="F223" s="32">
        <f>物品!M231</f>
        <v>0</v>
      </c>
      <c r="G223" s="32">
        <f>物品!N231</f>
        <v>0</v>
      </c>
      <c r="H223" s="32">
        <f>物品!O231</f>
        <v>0</v>
      </c>
      <c r="I223" s="32">
        <f>IF(物品!J231=0,0,"'"&amp;物品!J231&amp;"'")</f>
        <v>0</v>
      </c>
      <c r="J223" s="32">
        <f>IF(物品!K231=0,0,"'"&amp;物品!K231&amp;"'")</f>
        <v>0</v>
      </c>
      <c r="K223" s="32">
        <f>IF(物品!L231=0,0,"'"&amp;物品!L231&amp;"'")</f>
        <v>0</v>
      </c>
      <c r="L223" s="32">
        <f>IF(物品!M231=0,0,"'"&amp;物品!M231&amp;"'")</f>
        <v>0</v>
      </c>
      <c r="M223" s="32">
        <f>IF(物品!N231=0,0,"'"&amp;物品!N231&amp;"'")</f>
        <v>0</v>
      </c>
      <c r="N223" s="32">
        <f>IF(物品!O231=0,0,"'"&amp;物品!O231&amp;"'")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物品!A232</f>
        <v>0</v>
      </c>
      <c r="B224" s="32" t="str">
        <f>"'"&amp;物品!B232&amp;"'"</f>
        <v>'IF26'</v>
      </c>
      <c r="C224" s="32">
        <f>物品!J232</f>
        <v>0</v>
      </c>
      <c r="D224" s="32">
        <f>物品!K232</f>
        <v>0</v>
      </c>
      <c r="E224" s="32">
        <f>物品!L232</f>
        <v>0</v>
      </c>
      <c r="F224" s="32">
        <f>物品!M232</f>
        <v>0</v>
      </c>
      <c r="G224" s="32">
        <f>物品!N232</f>
        <v>0</v>
      </c>
      <c r="H224" s="32">
        <f>物品!O232</f>
        <v>0</v>
      </c>
      <c r="I224" s="32">
        <f>IF(物品!J232=0,0,"'"&amp;物品!J232&amp;"'")</f>
        <v>0</v>
      </c>
      <c r="J224" s="32">
        <f>IF(物品!K232=0,0,"'"&amp;物品!K232&amp;"'")</f>
        <v>0</v>
      </c>
      <c r="K224" s="32">
        <f>IF(物品!L232=0,0,"'"&amp;物品!L232&amp;"'")</f>
        <v>0</v>
      </c>
      <c r="L224" s="32">
        <f>IF(物品!M232=0,0,"'"&amp;物品!M232&amp;"'")</f>
        <v>0</v>
      </c>
      <c r="M224" s="32">
        <f>IF(物品!N232=0,0,"'"&amp;物品!N232&amp;"'")</f>
        <v>0</v>
      </c>
      <c r="N224" s="32">
        <f>IF(物品!O232=0,0,"'"&amp;物品!O232&amp;"'")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物品!A233</f>
        <v>0</v>
      </c>
      <c r="B225" s="32" t="str">
        <f>"'"&amp;物品!B233&amp;"'"</f>
        <v>'IF27'</v>
      </c>
      <c r="C225" s="32">
        <f>物品!J233</f>
        <v>0</v>
      </c>
      <c r="D225" s="32">
        <f>物品!K233</f>
        <v>0</v>
      </c>
      <c r="E225" s="32">
        <f>物品!L233</f>
        <v>0</v>
      </c>
      <c r="F225" s="32">
        <f>物品!M233</f>
        <v>0</v>
      </c>
      <c r="G225" s="32">
        <f>物品!N233</f>
        <v>0</v>
      </c>
      <c r="H225" s="32">
        <f>物品!O233</f>
        <v>0</v>
      </c>
      <c r="I225" s="32">
        <f>IF(物品!J233=0,0,"'"&amp;物品!J233&amp;"'")</f>
        <v>0</v>
      </c>
      <c r="J225" s="32">
        <f>IF(物品!K233=0,0,"'"&amp;物品!K233&amp;"'")</f>
        <v>0</v>
      </c>
      <c r="K225" s="32">
        <f>IF(物品!L233=0,0,"'"&amp;物品!L233&amp;"'")</f>
        <v>0</v>
      </c>
      <c r="L225" s="32">
        <f>IF(物品!M233=0,0,"'"&amp;物品!M233&amp;"'")</f>
        <v>0</v>
      </c>
      <c r="M225" s="32">
        <f>IF(物品!N233=0,0,"'"&amp;物品!N233&amp;"'")</f>
        <v>0</v>
      </c>
      <c r="N225" s="32">
        <f>IF(物品!O233=0,0,"'"&amp;物品!O233&amp;"'")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物品!A239</f>
        <v>0</v>
      </c>
      <c r="B226" s="32" t="str">
        <f>"'"&amp;物品!B239&amp;"'"</f>
        <v>'IC01'</v>
      </c>
      <c r="C226" s="32">
        <f>物品!J239</f>
        <v>0</v>
      </c>
      <c r="D226" s="32">
        <f>物品!K239</f>
        <v>0</v>
      </c>
      <c r="E226" s="32">
        <f>物品!L239</f>
        <v>0</v>
      </c>
      <c r="F226" s="32">
        <f>物品!M239</f>
        <v>0</v>
      </c>
      <c r="G226" s="32">
        <f>物品!N239</f>
        <v>0</v>
      </c>
      <c r="H226" s="32">
        <f>物品!O239</f>
        <v>0</v>
      </c>
      <c r="I226" s="32">
        <f>IF(物品!J239=0,0,"'"&amp;物品!J239&amp;"'")</f>
        <v>0</v>
      </c>
      <c r="J226" s="32">
        <f>IF(物品!K239=0,0,"'"&amp;物品!K239&amp;"'")</f>
        <v>0</v>
      </c>
      <c r="K226" s="32">
        <f>IF(物品!L239=0,0,"'"&amp;物品!L239&amp;"'")</f>
        <v>0</v>
      </c>
      <c r="L226" s="32">
        <f>IF(物品!M239=0,0,"'"&amp;物品!M239&amp;"'")</f>
        <v>0</v>
      </c>
      <c r="M226" s="32">
        <f>IF(物品!N239=0,0,"'"&amp;物品!N239&amp;"'")</f>
        <v>0</v>
      </c>
      <c r="N226" s="32">
        <f>IF(物品!O239=0,0,"'"&amp;物品!O239&amp;"'")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物品!A240</f>
        <v>0</v>
      </c>
      <c r="B227" s="32" t="str">
        <f>"'"&amp;物品!B240&amp;"'"</f>
        <v>'IC02'</v>
      </c>
      <c r="C227" s="32">
        <f>物品!J240</f>
        <v>0</v>
      </c>
      <c r="D227" s="32">
        <f>物品!K240</f>
        <v>0</v>
      </c>
      <c r="E227" s="32">
        <f>物品!L240</f>
        <v>0</v>
      </c>
      <c r="F227" s="32">
        <f>物品!M240</f>
        <v>0</v>
      </c>
      <c r="G227" s="32">
        <f>物品!N240</f>
        <v>0</v>
      </c>
      <c r="H227" s="32">
        <f>物品!O240</f>
        <v>0</v>
      </c>
      <c r="I227" s="32">
        <f>IF(物品!J240=0,0,"'"&amp;物品!J240&amp;"'")</f>
        <v>0</v>
      </c>
      <c r="J227" s="32">
        <f>IF(物品!K240=0,0,"'"&amp;物品!K240&amp;"'")</f>
        <v>0</v>
      </c>
      <c r="K227" s="32">
        <f>IF(物品!L240=0,0,"'"&amp;物品!L240&amp;"'")</f>
        <v>0</v>
      </c>
      <c r="L227" s="32">
        <f>IF(物品!M240=0,0,"'"&amp;物品!M240&amp;"'")</f>
        <v>0</v>
      </c>
      <c r="M227" s="32">
        <f>IF(物品!N240=0,0,"'"&amp;物品!N240&amp;"'")</f>
        <v>0</v>
      </c>
      <c r="N227" s="32">
        <f>IF(物品!O240=0,0,"'"&amp;物品!O240&amp;"'")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物品!A241</f>
        <v>0</v>
      </c>
      <c r="B228" s="32" t="str">
        <f>"'"&amp;物品!B241&amp;"'"</f>
        <v>'IC03'</v>
      </c>
      <c r="C228" s="32">
        <f>物品!J241</f>
        <v>0</v>
      </c>
      <c r="D228" s="32">
        <f>物品!K241</f>
        <v>0</v>
      </c>
      <c r="E228" s="32">
        <f>物品!L241</f>
        <v>0</v>
      </c>
      <c r="F228" s="32">
        <f>物品!M241</f>
        <v>0</v>
      </c>
      <c r="G228" s="32">
        <f>物品!N241</f>
        <v>0</v>
      </c>
      <c r="H228" s="32">
        <f>物品!O241</f>
        <v>0</v>
      </c>
      <c r="I228" s="32">
        <f>IF(物品!J241=0,0,"'"&amp;物品!J241&amp;"'")</f>
        <v>0</v>
      </c>
      <c r="J228" s="32">
        <f>IF(物品!K241=0,0,"'"&amp;物品!K241&amp;"'")</f>
        <v>0</v>
      </c>
      <c r="K228" s="32">
        <f>IF(物品!L241=0,0,"'"&amp;物品!L241&amp;"'")</f>
        <v>0</v>
      </c>
      <c r="L228" s="32">
        <f>IF(物品!M241=0,0,"'"&amp;物品!M241&amp;"'")</f>
        <v>0</v>
      </c>
      <c r="M228" s="32">
        <f>IF(物品!N241=0,0,"'"&amp;物品!N241&amp;"'")</f>
        <v>0</v>
      </c>
      <c r="N228" s="32">
        <f>IF(物品!O241=0,0,"'"&amp;物品!O241&amp;"'")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物品!A242</f>
        <v>0</v>
      </c>
      <c r="B229" s="32" t="str">
        <f>"'"&amp;物品!B242&amp;"'"</f>
        <v>'IC04'</v>
      </c>
      <c r="C229" s="32">
        <f>物品!J242</f>
        <v>0</v>
      </c>
      <c r="D229" s="32">
        <f>物品!K242</f>
        <v>0</v>
      </c>
      <c r="E229" s="32">
        <f>物品!L242</f>
        <v>0</v>
      </c>
      <c r="F229" s="32">
        <f>物品!M242</f>
        <v>0</v>
      </c>
      <c r="G229" s="32">
        <f>物品!N242</f>
        <v>0</v>
      </c>
      <c r="H229" s="32">
        <f>物品!O242</f>
        <v>0</v>
      </c>
      <c r="I229" s="32">
        <f>IF(物品!J242=0,0,"'"&amp;物品!J242&amp;"'")</f>
        <v>0</v>
      </c>
      <c r="J229" s="32">
        <f>IF(物品!K242=0,0,"'"&amp;物品!K242&amp;"'")</f>
        <v>0</v>
      </c>
      <c r="K229" s="32">
        <f>IF(物品!L242=0,0,"'"&amp;物品!L242&amp;"'")</f>
        <v>0</v>
      </c>
      <c r="L229" s="32">
        <f>IF(物品!M242=0,0,"'"&amp;物品!M242&amp;"'")</f>
        <v>0</v>
      </c>
      <c r="M229" s="32">
        <f>IF(物品!N242=0,0,"'"&amp;物品!N242&amp;"'")</f>
        <v>0</v>
      </c>
      <c r="N229" s="32">
        <f>IF(物品!O242=0,0,"'"&amp;物品!O242&amp;"'")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物品!A243</f>
        <v>0</v>
      </c>
      <c r="B230" s="32" t="str">
        <f>"'"&amp;物品!B243&amp;"'"</f>
        <v>'IC05'</v>
      </c>
      <c r="C230" s="32">
        <f>物品!J243</f>
        <v>0</v>
      </c>
      <c r="D230" s="32">
        <f>物品!K243</f>
        <v>0</v>
      </c>
      <c r="E230" s="32">
        <f>物品!L243</f>
        <v>0</v>
      </c>
      <c r="F230" s="32">
        <f>物品!M243</f>
        <v>0</v>
      </c>
      <c r="G230" s="32">
        <f>物品!N243</f>
        <v>0</v>
      </c>
      <c r="H230" s="32">
        <f>物品!O243</f>
        <v>0</v>
      </c>
      <c r="I230" s="32">
        <f>IF(物品!J243=0,0,"'"&amp;物品!J243&amp;"'")</f>
        <v>0</v>
      </c>
      <c r="J230" s="32">
        <f>IF(物品!K243=0,0,"'"&amp;物品!K243&amp;"'")</f>
        <v>0</v>
      </c>
      <c r="K230" s="32">
        <f>IF(物品!L243=0,0,"'"&amp;物品!L243&amp;"'")</f>
        <v>0</v>
      </c>
      <c r="L230" s="32">
        <f>IF(物品!M243=0,0,"'"&amp;物品!M243&amp;"'")</f>
        <v>0</v>
      </c>
      <c r="M230" s="32">
        <f>IF(物品!N243=0,0,"'"&amp;物品!N243&amp;"'")</f>
        <v>0</v>
      </c>
      <c r="N230" s="32">
        <f>IF(物品!O243=0,0,"'"&amp;物品!O243&amp;"'")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物品!A244</f>
        <v>0</v>
      </c>
      <c r="B231" s="32" t="str">
        <f>"'"&amp;物品!B244&amp;"'"</f>
        <v>'IC06'</v>
      </c>
      <c r="C231" s="32">
        <f>物品!J244</f>
        <v>0</v>
      </c>
      <c r="D231" s="32">
        <f>物品!K244</f>
        <v>0</v>
      </c>
      <c r="E231" s="32">
        <f>物品!L244</f>
        <v>0</v>
      </c>
      <c r="F231" s="32">
        <f>物品!M244</f>
        <v>0</v>
      </c>
      <c r="G231" s="32">
        <f>物品!N244</f>
        <v>0</v>
      </c>
      <c r="H231" s="32">
        <f>物品!O244</f>
        <v>0</v>
      </c>
      <c r="I231" s="32">
        <f>IF(物品!J244=0,0,"'"&amp;物品!J244&amp;"'")</f>
        <v>0</v>
      </c>
      <c r="J231" s="32">
        <f>IF(物品!K244=0,0,"'"&amp;物品!K244&amp;"'")</f>
        <v>0</v>
      </c>
      <c r="K231" s="32">
        <f>IF(物品!L244=0,0,"'"&amp;物品!L244&amp;"'")</f>
        <v>0</v>
      </c>
      <c r="L231" s="32">
        <f>IF(物品!M244=0,0,"'"&amp;物品!M244&amp;"'")</f>
        <v>0</v>
      </c>
      <c r="M231" s="32">
        <f>IF(物品!N244=0,0,"'"&amp;物品!N244&amp;"'")</f>
        <v>0</v>
      </c>
      <c r="N231" s="32">
        <f>IF(物品!O244=0,0,"'"&amp;物品!O244&amp;"'")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物品!A245</f>
        <v>0</v>
      </c>
      <c r="B232" s="32" t="str">
        <f>"'"&amp;物品!B245&amp;"'"</f>
        <v>'IC07'</v>
      </c>
      <c r="C232" s="32">
        <f>物品!J245</f>
        <v>0</v>
      </c>
      <c r="D232" s="32">
        <f>物品!K245</f>
        <v>0</v>
      </c>
      <c r="E232" s="32">
        <f>物品!L245</f>
        <v>0</v>
      </c>
      <c r="F232" s="32">
        <f>物品!M245</f>
        <v>0</v>
      </c>
      <c r="G232" s="32">
        <f>物品!N245</f>
        <v>0</v>
      </c>
      <c r="H232" s="32">
        <f>物品!O245</f>
        <v>0</v>
      </c>
      <c r="I232" s="32">
        <f>IF(物品!J245=0,0,"'"&amp;物品!J245&amp;"'")</f>
        <v>0</v>
      </c>
      <c r="J232" s="32">
        <f>IF(物品!K245=0,0,"'"&amp;物品!K245&amp;"'")</f>
        <v>0</v>
      </c>
      <c r="K232" s="32">
        <f>IF(物品!L245=0,0,"'"&amp;物品!L245&amp;"'")</f>
        <v>0</v>
      </c>
      <c r="L232" s="32">
        <f>IF(物品!M245=0,0,"'"&amp;物品!M245&amp;"'")</f>
        <v>0</v>
      </c>
      <c r="M232" s="32">
        <f>IF(物品!N245=0,0,"'"&amp;物品!N245&amp;"'")</f>
        <v>0</v>
      </c>
      <c r="N232" s="32">
        <f>IF(物品!O245=0,0,"'"&amp;物品!O245&amp;"'")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物品!A246</f>
        <v>0</v>
      </c>
      <c r="B233" s="32" t="str">
        <f>"'"&amp;物品!B246&amp;"'"</f>
        <v>'IC08'</v>
      </c>
      <c r="C233" s="32">
        <f>物品!J246</f>
        <v>0</v>
      </c>
      <c r="D233" s="32">
        <f>物品!K246</f>
        <v>0</v>
      </c>
      <c r="E233" s="32">
        <f>物品!L246</f>
        <v>0</v>
      </c>
      <c r="F233" s="32">
        <f>物品!M246</f>
        <v>0</v>
      </c>
      <c r="G233" s="32">
        <f>物品!N246</f>
        <v>0</v>
      </c>
      <c r="H233" s="32">
        <f>物品!O246</f>
        <v>0</v>
      </c>
      <c r="I233" s="32">
        <f>IF(物品!J246=0,0,"'"&amp;物品!J246&amp;"'")</f>
        <v>0</v>
      </c>
      <c r="J233" s="32">
        <f>IF(物品!K246=0,0,"'"&amp;物品!K246&amp;"'")</f>
        <v>0</v>
      </c>
      <c r="K233" s="32">
        <f>IF(物品!L246=0,0,"'"&amp;物品!L246&amp;"'")</f>
        <v>0</v>
      </c>
      <c r="L233" s="32">
        <f>IF(物品!M246=0,0,"'"&amp;物品!M246&amp;"'")</f>
        <v>0</v>
      </c>
      <c r="M233" s="32">
        <f>IF(物品!N246=0,0,"'"&amp;物品!N246&amp;"'")</f>
        <v>0</v>
      </c>
      <c r="N233" s="32">
        <f>IF(物品!O246=0,0,"'"&amp;物品!O246&amp;"'")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物品!A247</f>
        <v>0</v>
      </c>
      <c r="B234" s="32" t="str">
        <f>"'"&amp;物品!B247&amp;"'"</f>
        <v>'IC09'</v>
      </c>
      <c r="C234" s="32">
        <f>物品!J247</f>
        <v>0</v>
      </c>
      <c r="D234" s="32">
        <f>物品!K247</f>
        <v>0</v>
      </c>
      <c r="E234" s="32">
        <f>物品!L247</f>
        <v>0</v>
      </c>
      <c r="F234" s="32">
        <f>物品!M247</f>
        <v>0</v>
      </c>
      <c r="G234" s="32">
        <f>物品!N247</f>
        <v>0</v>
      </c>
      <c r="H234" s="32">
        <f>物品!O247</f>
        <v>0</v>
      </c>
      <c r="I234" s="32">
        <f>IF(物品!J247=0,0,"'"&amp;物品!J247&amp;"'")</f>
        <v>0</v>
      </c>
      <c r="J234" s="32">
        <f>IF(物品!K247=0,0,"'"&amp;物品!K247&amp;"'")</f>
        <v>0</v>
      </c>
      <c r="K234" s="32">
        <f>IF(物品!L247=0,0,"'"&amp;物品!L247&amp;"'")</f>
        <v>0</v>
      </c>
      <c r="L234" s="32">
        <f>IF(物品!M247=0,0,"'"&amp;物品!M247&amp;"'")</f>
        <v>0</v>
      </c>
      <c r="M234" s="32">
        <f>IF(物品!N247=0,0,"'"&amp;物品!N247&amp;"'")</f>
        <v>0</v>
      </c>
      <c r="N234" s="32">
        <f>IF(物品!O247=0,0,"'"&amp;物品!O247&amp;"'")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物品!A248</f>
        <v>0</v>
      </c>
      <c r="B235" s="32" t="str">
        <f>"'"&amp;物品!B248&amp;"'"</f>
        <v>'IC10'</v>
      </c>
      <c r="C235" s="32">
        <f>物品!J248</f>
        <v>0</v>
      </c>
      <c r="D235" s="32">
        <f>物品!K248</f>
        <v>0</v>
      </c>
      <c r="E235" s="32">
        <f>物品!L248</f>
        <v>0</v>
      </c>
      <c r="F235" s="32">
        <f>物品!M248</f>
        <v>0</v>
      </c>
      <c r="G235" s="32">
        <f>物品!N248</f>
        <v>0</v>
      </c>
      <c r="H235" s="32">
        <f>物品!O248</f>
        <v>0</v>
      </c>
      <c r="I235" s="32">
        <f>IF(物品!J248=0,0,"'"&amp;物品!J248&amp;"'")</f>
        <v>0</v>
      </c>
      <c r="J235" s="32">
        <f>IF(物品!K248=0,0,"'"&amp;物品!K248&amp;"'")</f>
        <v>0</v>
      </c>
      <c r="K235" s="32">
        <f>IF(物品!L248=0,0,"'"&amp;物品!L248&amp;"'")</f>
        <v>0</v>
      </c>
      <c r="L235" s="32">
        <f>IF(物品!M248=0,0,"'"&amp;物品!M248&amp;"'")</f>
        <v>0</v>
      </c>
      <c r="M235" s="32">
        <f>IF(物品!N248=0,0,"'"&amp;物品!N248&amp;"'")</f>
        <v>0</v>
      </c>
      <c r="N235" s="32">
        <f>IF(物品!O248=0,0,"'"&amp;物品!O248&amp;"'")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物品!A249</f>
        <v>0</v>
      </c>
      <c r="B236" s="32" t="str">
        <f>"'"&amp;物品!B249&amp;"'"</f>
        <v>'IC11'</v>
      </c>
      <c r="C236" s="32">
        <f>物品!J249</f>
        <v>0</v>
      </c>
      <c r="D236" s="32">
        <f>物品!K249</f>
        <v>0</v>
      </c>
      <c r="E236" s="32">
        <f>物品!L249</f>
        <v>0</v>
      </c>
      <c r="F236" s="32">
        <f>物品!M249</f>
        <v>0</v>
      </c>
      <c r="G236" s="32">
        <f>物品!N249</f>
        <v>0</v>
      </c>
      <c r="H236" s="32">
        <f>物品!O249</f>
        <v>0</v>
      </c>
      <c r="I236" s="32">
        <f>IF(物品!J249=0,0,"'"&amp;物品!J249&amp;"'")</f>
        <v>0</v>
      </c>
      <c r="J236" s="32">
        <f>IF(物品!K249=0,0,"'"&amp;物品!K249&amp;"'")</f>
        <v>0</v>
      </c>
      <c r="K236" s="32">
        <f>IF(物品!L249=0,0,"'"&amp;物品!L249&amp;"'")</f>
        <v>0</v>
      </c>
      <c r="L236" s="32">
        <f>IF(物品!M249=0,0,"'"&amp;物品!M249&amp;"'")</f>
        <v>0</v>
      </c>
      <c r="M236" s="32">
        <f>IF(物品!N249=0,0,"'"&amp;物品!N249&amp;"'")</f>
        <v>0</v>
      </c>
      <c r="N236" s="32">
        <f>IF(物品!O249=0,0,"'"&amp;物品!O249&amp;"'")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物品!A250</f>
        <v>0</v>
      </c>
      <c r="B237" s="32" t="str">
        <f>"'"&amp;物品!B250&amp;"'"</f>
        <v>''</v>
      </c>
      <c r="C237" s="32">
        <f>物品!J250</f>
        <v>0</v>
      </c>
      <c r="D237" s="32">
        <f>物品!K250</f>
        <v>0</v>
      </c>
      <c r="E237" s="32">
        <f>物品!L250</f>
        <v>0</v>
      </c>
      <c r="F237" s="32">
        <f>物品!M250</f>
        <v>0</v>
      </c>
      <c r="G237" s="32">
        <f>物品!N250</f>
        <v>0</v>
      </c>
      <c r="H237" s="32">
        <f>物品!O250</f>
        <v>0</v>
      </c>
      <c r="I237" s="32">
        <f>IF(物品!J250=0,0,"'"&amp;物品!J250&amp;"'")</f>
        <v>0</v>
      </c>
      <c r="J237" s="32">
        <f>IF(物品!K250=0,0,"'"&amp;物品!K250&amp;"'")</f>
        <v>0</v>
      </c>
      <c r="K237" s="32">
        <f>IF(物品!L250=0,0,"'"&amp;物品!L250&amp;"'")</f>
        <v>0</v>
      </c>
      <c r="L237" s="32">
        <f>IF(物品!M250=0,0,"'"&amp;物品!M250&amp;"'")</f>
        <v>0</v>
      </c>
      <c r="M237" s="32">
        <f>IF(物品!N250=0,0,"'"&amp;物品!N250&amp;"'")</f>
        <v>0</v>
      </c>
      <c r="N237" s="32">
        <f>IF(物品!O250=0,0,"'"&amp;物品!O250&amp;"'")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物品!A251</f>
        <v>0</v>
      </c>
      <c r="B238" s="32" t="str">
        <f>"'"&amp;物品!B251&amp;"'"</f>
        <v>''</v>
      </c>
      <c r="C238" s="32">
        <f>物品!J251</f>
        <v>0</v>
      </c>
      <c r="D238" s="32">
        <f>物品!K251</f>
        <v>0</v>
      </c>
      <c r="E238" s="32">
        <f>物品!L251</f>
        <v>0</v>
      </c>
      <c r="F238" s="32">
        <f>物品!M251</f>
        <v>0</v>
      </c>
      <c r="G238" s="32">
        <f>物品!N251</f>
        <v>0</v>
      </c>
      <c r="H238" s="32">
        <f>物品!O251</f>
        <v>0</v>
      </c>
      <c r="I238" s="32">
        <f>IF(物品!J251=0,0,"'"&amp;物品!J251&amp;"'")</f>
        <v>0</v>
      </c>
      <c r="J238" s="32">
        <f>IF(物品!K251=0,0,"'"&amp;物品!K251&amp;"'")</f>
        <v>0</v>
      </c>
      <c r="K238" s="32">
        <f>IF(物品!L251=0,0,"'"&amp;物品!L251&amp;"'")</f>
        <v>0</v>
      </c>
      <c r="L238" s="32">
        <f>IF(物品!M251=0,0,"'"&amp;物品!M251&amp;"'")</f>
        <v>0</v>
      </c>
      <c r="M238" s="32">
        <f>IF(物品!N251=0,0,"'"&amp;物品!N251&amp;"'")</f>
        <v>0</v>
      </c>
      <c r="N238" s="32">
        <f>IF(物品!O251=0,0,"'"&amp;物品!O251&amp;"'")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物品!A252</f>
        <v>0</v>
      </c>
      <c r="B239" s="32" t="str">
        <f>"'"&amp;物品!B252&amp;"'"</f>
        <v>''</v>
      </c>
      <c r="C239" s="32">
        <f>物品!J252</f>
        <v>0</v>
      </c>
      <c r="D239" s="32">
        <f>物品!K252</f>
        <v>0</v>
      </c>
      <c r="E239" s="32">
        <f>物品!L252</f>
        <v>0</v>
      </c>
      <c r="F239" s="32">
        <f>物品!M252</f>
        <v>0</v>
      </c>
      <c r="G239" s="32">
        <f>物品!N252</f>
        <v>0</v>
      </c>
      <c r="H239" s="32">
        <f>物品!O252</f>
        <v>0</v>
      </c>
      <c r="I239" s="32">
        <f>IF(物品!J252=0,0,"'"&amp;物品!J252&amp;"'")</f>
        <v>0</v>
      </c>
      <c r="J239" s="32">
        <f>IF(物品!K252=0,0,"'"&amp;物品!K252&amp;"'")</f>
        <v>0</v>
      </c>
      <c r="K239" s="32">
        <f>IF(物品!L252=0,0,"'"&amp;物品!L252&amp;"'")</f>
        <v>0</v>
      </c>
      <c r="L239" s="32">
        <f>IF(物品!M252=0,0,"'"&amp;物品!M252&amp;"'")</f>
        <v>0</v>
      </c>
      <c r="M239" s="32">
        <f>IF(物品!N252=0,0,"'"&amp;物品!N252&amp;"'")</f>
        <v>0</v>
      </c>
      <c r="N239" s="32">
        <f>IF(物品!O252=0,0,"'"&amp;物品!O252&amp;"'")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物品!A253</f>
        <v>0</v>
      </c>
      <c r="B240" s="32" t="str">
        <f>"'"&amp;物品!B253&amp;"'"</f>
        <v>''</v>
      </c>
      <c r="C240" s="32">
        <f>物品!J253</f>
        <v>0</v>
      </c>
      <c r="D240" s="32">
        <f>物品!K253</f>
        <v>0</v>
      </c>
      <c r="E240" s="32">
        <f>物品!L253</f>
        <v>0</v>
      </c>
      <c r="F240" s="32">
        <f>物品!M253</f>
        <v>0</v>
      </c>
      <c r="G240" s="32">
        <f>物品!N253</f>
        <v>0</v>
      </c>
      <c r="H240" s="32">
        <f>物品!O253</f>
        <v>0</v>
      </c>
      <c r="I240" s="32">
        <f>IF(物品!J253=0,0,"'"&amp;物品!J253&amp;"'")</f>
        <v>0</v>
      </c>
      <c r="J240" s="32">
        <f>IF(物品!K253=0,0,"'"&amp;物品!K253&amp;"'")</f>
        <v>0</v>
      </c>
      <c r="K240" s="32">
        <f>IF(物品!L253=0,0,"'"&amp;物品!L253&amp;"'")</f>
        <v>0</v>
      </c>
      <c r="L240" s="32">
        <f>IF(物品!M253=0,0,"'"&amp;物品!M253&amp;"'")</f>
        <v>0</v>
      </c>
      <c r="M240" s="32">
        <f>IF(物品!N253=0,0,"'"&amp;物品!N253&amp;"'")</f>
        <v>0</v>
      </c>
      <c r="N240" s="32">
        <f>IF(物品!O253=0,0,"'"&amp;物品!O253&amp;"'")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物品!A254</f>
        <v>0</v>
      </c>
      <c r="B241" s="32" t="str">
        <f>"'"&amp;物品!B254&amp;"'"</f>
        <v>''</v>
      </c>
      <c r="C241" s="32">
        <f>物品!J254</f>
        <v>0</v>
      </c>
      <c r="D241" s="32">
        <f>物品!K254</f>
        <v>0</v>
      </c>
      <c r="E241" s="32">
        <f>物品!L254</f>
        <v>0</v>
      </c>
      <c r="F241" s="32">
        <f>物品!M254</f>
        <v>0</v>
      </c>
      <c r="G241" s="32">
        <f>物品!N254</f>
        <v>0</v>
      </c>
      <c r="H241" s="32">
        <f>物品!O254</f>
        <v>0</v>
      </c>
      <c r="I241" s="32">
        <f>IF(物品!J254=0,0,"'"&amp;物品!J254&amp;"'")</f>
        <v>0</v>
      </c>
      <c r="J241" s="32">
        <f>IF(物品!K254=0,0,"'"&amp;物品!K254&amp;"'")</f>
        <v>0</v>
      </c>
      <c r="K241" s="32">
        <f>IF(物品!L254=0,0,"'"&amp;物品!L254&amp;"'")</f>
        <v>0</v>
      </c>
      <c r="L241" s="32">
        <f>IF(物品!M254=0,0,"'"&amp;物品!M254&amp;"'")</f>
        <v>0</v>
      </c>
      <c r="M241" s="32">
        <f>IF(物品!N254=0,0,"'"&amp;物品!N254&amp;"'")</f>
        <v>0</v>
      </c>
      <c r="N241" s="32">
        <f>IF(物品!O254=0,0,"'"&amp;物品!O254&amp;"'")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物品!A255</f>
        <v>0</v>
      </c>
      <c r="B242" s="32" t="str">
        <f>"'"&amp;物品!B255&amp;"'"</f>
        <v>''</v>
      </c>
      <c r="C242" s="32">
        <f>物品!J255</f>
        <v>0</v>
      </c>
      <c r="D242" s="32">
        <f>物品!K255</f>
        <v>0</v>
      </c>
      <c r="E242" s="32">
        <f>物品!L255</f>
        <v>0</v>
      </c>
      <c r="F242" s="32">
        <f>物品!M255</f>
        <v>0</v>
      </c>
      <c r="G242" s="32">
        <f>物品!N255</f>
        <v>0</v>
      </c>
      <c r="H242" s="32">
        <f>物品!O255</f>
        <v>0</v>
      </c>
      <c r="I242" s="32">
        <f>IF(物品!J255=0,0,"'"&amp;物品!J255&amp;"'")</f>
        <v>0</v>
      </c>
      <c r="J242" s="32">
        <f>IF(物品!K255=0,0,"'"&amp;物品!K255&amp;"'")</f>
        <v>0</v>
      </c>
      <c r="K242" s="32">
        <f>IF(物品!L255=0,0,"'"&amp;物品!L255&amp;"'")</f>
        <v>0</v>
      </c>
      <c r="L242" s="32">
        <f>IF(物品!M255=0,0,"'"&amp;物品!M255&amp;"'")</f>
        <v>0</v>
      </c>
      <c r="M242" s="32">
        <f>IF(物品!N255=0,0,"'"&amp;物品!N255&amp;"'")</f>
        <v>0</v>
      </c>
      <c r="N242" s="32">
        <f>IF(物品!O255=0,0,"'"&amp;物品!O255&amp;"'")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物品!A256</f>
        <v>0</v>
      </c>
      <c r="B243" s="32" t="str">
        <f>"'"&amp;物品!B256&amp;"'"</f>
        <v>''</v>
      </c>
      <c r="C243" s="32">
        <f>物品!J256</f>
        <v>0</v>
      </c>
      <c r="D243" s="32">
        <f>物品!K256</f>
        <v>0</v>
      </c>
      <c r="E243" s="32">
        <f>物品!L256</f>
        <v>0</v>
      </c>
      <c r="F243" s="32">
        <f>物品!M256</f>
        <v>0</v>
      </c>
      <c r="G243" s="32">
        <f>物品!N256</f>
        <v>0</v>
      </c>
      <c r="H243" s="32">
        <f>物品!O256</f>
        <v>0</v>
      </c>
      <c r="I243" s="32">
        <f>IF(物品!J256=0,0,"'"&amp;物品!J256&amp;"'")</f>
        <v>0</v>
      </c>
      <c r="J243" s="32">
        <f>IF(物品!K256=0,0,"'"&amp;物品!K256&amp;"'")</f>
        <v>0</v>
      </c>
      <c r="K243" s="32">
        <f>IF(物品!L256=0,0,"'"&amp;物品!L256&amp;"'")</f>
        <v>0</v>
      </c>
      <c r="L243" s="32">
        <f>IF(物品!M256=0,0,"'"&amp;物品!M256&amp;"'")</f>
        <v>0</v>
      </c>
      <c r="M243" s="32">
        <f>IF(物品!N256=0,0,"'"&amp;物品!N256&amp;"'")</f>
        <v>0</v>
      </c>
      <c r="N243" s="32">
        <f>IF(物品!O256=0,0,"'"&amp;物品!O256&amp;"'")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物品!A257</f>
        <v>0</v>
      </c>
      <c r="B244" s="32" t="str">
        <f>"'"&amp;物品!B257&amp;"'"</f>
        <v>''</v>
      </c>
      <c r="C244" s="32">
        <f>物品!J257</f>
        <v>0</v>
      </c>
      <c r="D244" s="32">
        <f>物品!K257</f>
        <v>0</v>
      </c>
      <c r="E244" s="32">
        <f>物品!L257</f>
        <v>0</v>
      </c>
      <c r="F244" s="32">
        <f>物品!M257</f>
        <v>0</v>
      </c>
      <c r="G244" s="32">
        <f>物品!N257</f>
        <v>0</v>
      </c>
      <c r="H244" s="32">
        <f>物品!O257</f>
        <v>0</v>
      </c>
      <c r="I244" s="32">
        <f>IF(物品!J257=0,0,"'"&amp;物品!J257&amp;"'")</f>
        <v>0</v>
      </c>
      <c r="J244" s="32">
        <f>IF(物品!K257=0,0,"'"&amp;物品!K257&amp;"'")</f>
        <v>0</v>
      </c>
      <c r="K244" s="32">
        <f>IF(物品!L257=0,0,"'"&amp;物品!L257&amp;"'")</f>
        <v>0</v>
      </c>
      <c r="L244" s="32">
        <f>IF(物品!M257=0,0,"'"&amp;物品!M257&amp;"'")</f>
        <v>0</v>
      </c>
      <c r="M244" s="32">
        <f>IF(物品!N257=0,0,"'"&amp;物品!N257&amp;"'")</f>
        <v>0</v>
      </c>
      <c r="N244" s="32">
        <f>IF(物品!O257=0,0,"'"&amp;物品!O257&amp;"'")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物品!A258</f>
        <v>0</v>
      </c>
      <c r="B245" s="32" t="str">
        <f>"'"&amp;物品!B258&amp;"'"</f>
        <v>''</v>
      </c>
      <c r="C245" s="32">
        <f>物品!J258</f>
        <v>0</v>
      </c>
      <c r="D245" s="32">
        <f>物品!K258</f>
        <v>0</v>
      </c>
      <c r="E245" s="32">
        <f>物品!L258</f>
        <v>0</v>
      </c>
      <c r="F245" s="32">
        <f>物品!M258</f>
        <v>0</v>
      </c>
      <c r="G245" s="32">
        <f>物品!N258</f>
        <v>0</v>
      </c>
      <c r="H245" s="32">
        <f>物品!O258</f>
        <v>0</v>
      </c>
      <c r="I245" s="32">
        <f>IF(物品!J258=0,0,"'"&amp;物品!J258&amp;"'")</f>
        <v>0</v>
      </c>
      <c r="J245" s="32">
        <f>IF(物品!K258=0,0,"'"&amp;物品!K258&amp;"'")</f>
        <v>0</v>
      </c>
      <c r="K245" s="32">
        <f>IF(物品!L258=0,0,"'"&amp;物品!L258&amp;"'")</f>
        <v>0</v>
      </c>
      <c r="L245" s="32">
        <f>IF(物品!M258=0,0,"'"&amp;物品!M258&amp;"'")</f>
        <v>0</v>
      </c>
      <c r="M245" s="32">
        <f>IF(物品!N258=0,0,"'"&amp;物品!N258&amp;"'")</f>
        <v>0</v>
      </c>
      <c r="N245" s="32">
        <f>IF(物品!O258=0,0,"'"&amp;物品!O258&amp;"'")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物品!A259</f>
        <v>0</v>
      </c>
      <c r="B246" s="32" t="str">
        <f>"'"&amp;物品!B259&amp;"'"</f>
        <v>''</v>
      </c>
      <c r="C246" s="32">
        <f>物品!J259</f>
        <v>0</v>
      </c>
      <c r="D246" s="32">
        <f>物品!K259</f>
        <v>0</v>
      </c>
      <c r="E246" s="32">
        <f>物品!L259</f>
        <v>0</v>
      </c>
      <c r="F246" s="32">
        <f>物品!M259</f>
        <v>0</v>
      </c>
      <c r="G246" s="32">
        <f>物品!N259</f>
        <v>0</v>
      </c>
      <c r="H246" s="32">
        <f>物品!O259</f>
        <v>0</v>
      </c>
      <c r="I246" s="32">
        <f>IF(物品!J259=0,0,"'"&amp;物品!J259&amp;"'")</f>
        <v>0</v>
      </c>
      <c r="J246" s="32">
        <f>IF(物品!K259=0,0,"'"&amp;物品!K259&amp;"'")</f>
        <v>0</v>
      </c>
      <c r="K246" s="32">
        <f>IF(物品!L259=0,0,"'"&amp;物品!L259&amp;"'")</f>
        <v>0</v>
      </c>
      <c r="L246" s="32">
        <f>IF(物品!M259=0,0,"'"&amp;物品!M259&amp;"'")</f>
        <v>0</v>
      </c>
      <c r="M246" s="32">
        <f>IF(物品!N259=0,0,"'"&amp;物品!N259&amp;"'")</f>
        <v>0</v>
      </c>
      <c r="N246" s="32">
        <f>IF(物品!O259=0,0,"'"&amp;物品!O259&amp;"'")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物品!A260</f>
        <v>0</v>
      </c>
      <c r="B247" s="32" t="str">
        <f>"'"&amp;物品!B260&amp;"'"</f>
        <v>''</v>
      </c>
      <c r="C247" s="32">
        <f>物品!J260</f>
        <v>0</v>
      </c>
      <c r="D247" s="32">
        <f>物品!K260</f>
        <v>0</v>
      </c>
      <c r="E247" s="32">
        <f>物品!L260</f>
        <v>0</v>
      </c>
      <c r="F247" s="32">
        <f>物品!M260</f>
        <v>0</v>
      </c>
      <c r="G247" s="32">
        <f>物品!N260</f>
        <v>0</v>
      </c>
      <c r="H247" s="32">
        <f>物品!O260</f>
        <v>0</v>
      </c>
      <c r="I247" s="32">
        <f>IF(物品!J260=0,0,"'"&amp;物品!J260&amp;"'")</f>
        <v>0</v>
      </c>
      <c r="J247" s="32">
        <f>IF(物品!K260=0,0,"'"&amp;物品!K260&amp;"'")</f>
        <v>0</v>
      </c>
      <c r="K247" s="32">
        <f>IF(物品!L260=0,0,"'"&amp;物品!L260&amp;"'")</f>
        <v>0</v>
      </c>
      <c r="L247" s="32">
        <f>IF(物品!M260=0,0,"'"&amp;物品!M260&amp;"'")</f>
        <v>0</v>
      </c>
      <c r="M247" s="32">
        <f>IF(物品!N260=0,0,"'"&amp;物品!N260&amp;"'")</f>
        <v>0</v>
      </c>
      <c r="N247" s="32">
        <f>IF(物品!O260=0,0,"'"&amp;物品!O260&amp;"'")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物品!A261</f>
        <v>0</v>
      </c>
      <c r="B248" s="32" t="str">
        <f>"'"&amp;物品!B261&amp;"'"</f>
        <v>''</v>
      </c>
      <c r="C248" s="32">
        <f>物品!J261</f>
        <v>0</v>
      </c>
      <c r="D248" s="32">
        <f>物品!K261</f>
        <v>0</v>
      </c>
      <c r="E248" s="32">
        <f>物品!L261</f>
        <v>0</v>
      </c>
      <c r="F248" s="32">
        <f>物品!M261</f>
        <v>0</v>
      </c>
      <c r="G248" s="32">
        <f>物品!N261</f>
        <v>0</v>
      </c>
      <c r="H248" s="32">
        <f>物品!O261</f>
        <v>0</v>
      </c>
      <c r="I248" s="32">
        <f>IF(物品!J261=0,0,"'"&amp;物品!J261&amp;"'")</f>
        <v>0</v>
      </c>
      <c r="J248" s="32">
        <f>IF(物品!K261=0,0,"'"&amp;物品!K261&amp;"'")</f>
        <v>0</v>
      </c>
      <c r="K248" s="32">
        <f>IF(物品!L261=0,0,"'"&amp;物品!L261&amp;"'")</f>
        <v>0</v>
      </c>
      <c r="L248" s="32">
        <f>IF(物品!M261=0,0,"'"&amp;物品!M261&amp;"'")</f>
        <v>0</v>
      </c>
      <c r="M248" s="32">
        <f>IF(物品!N261=0,0,"'"&amp;物品!N261&amp;"'")</f>
        <v>0</v>
      </c>
      <c r="N248" s="32">
        <f>IF(物品!O261=0,0,"'"&amp;物品!O261&amp;"'")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物品!A262</f>
        <v>0</v>
      </c>
      <c r="B249" s="32" t="str">
        <f>"'"&amp;物品!B262&amp;"'"</f>
        <v>''</v>
      </c>
      <c r="C249" s="32">
        <f>物品!J262</f>
        <v>0</v>
      </c>
      <c r="D249" s="32">
        <f>物品!K262</f>
        <v>0</v>
      </c>
      <c r="E249" s="32">
        <f>物品!L262</f>
        <v>0</v>
      </c>
      <c r="F249" s="32">
        <f>物品!M262</f>
        <v>0</v>
      </c>
      <c r="G249" s="32">
        <f>物品!N262</f>
        <v>0</v>
      </c>
      <c r="H249" s="32">
        <f>物品!O262</f>
        <v>0</v>
      </c>
      <c r="I249" s="32">
        <f>IF(物品!J262=0,0,"'"&amp;物品!J262&amp;"'")</f>
        <v>0</v>
      </c>
      <c r="J249" s="32">
        <f>IF(物品!K262=0,0,"'"&amp;物品!K262&amp;"'")</f>
        <v>0</v>
      </c>
      <c r="K249" s="32">
        <f>IF(物品!L262=0,0,"'"&amp;物品!L262&amp;"'")</f>
        <v>0</v>
      </c>
      <c r="L249" s="32">
        <f>IF(物品!M262=0,0,"'"&amp;物品!M262&amp;"'")</f>
        <v>0</v>
      </c>
      <c r="M249" s="32">
        <f>IF(物品!N262=0,0,"'"&amp;物品!N262&amp;"'")</f>
        <v>0</v>
      </c>
      <c r="N249" s="32">
        <f>IF(物品!O262=0,0,"'"&amp;物品!O262&amp;"'")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物品!A263</f>
        <v>0</v>
      </c>
      <c r="B250" s="32" t="str">
        <f>"'"&amp;物品!B263&amp;"'"</f>
        <v>''</v>
      </c>
      <c r="C250" s="32">
        <f>物品!J263</f>
        <v>0</v>
      </c>
      <c r="D250" s="32">
        <f>物品!K263</f>
        <v>0</v>
      </c>
      <c r="E250" s="32">
        <f>物品!L263</f>
        <v>0</v>
      </c>
      <c r="F250" s="32">
        <f>物品!M263</f>
        <v>0</v>
      </c>
      <c r="G250" s="32">
        <f>物品!N263</f>
        <v>0</v>
      </c>
      <c r="H250" s="32">
        <f>物品!O263</f>
        <v>0</v>
      </c>
      <c r="I250" s="32">
        <f>IF(物品!J263=0,0,"'"&amp;物品!J263&amp;"'")</f>
        <v>0</v>
      </c>
      <c r="J250" s="32">
        <f>IF(物品!K263=0,0,"'"&amp;物品!K263&amp;"'")</f>
        <v>0</v>
      </c>
      <c r="K250" s="32">
        <f>IF(物品!L263=0,0,"'"&amp;物品!L263&amp;"'")</f>
        <v>0</v>
      </c>
      <c r="L250" s="32">
        <f>IF(物品!M263=0,0,"'"&amp;物品!M263&amp;"'")</f>
        <v>0</v>
      </c>
      <c r="M250" s="32">
        <f>IF(物品!N263=0,0,"'"&amp;物品!N263&amp;"'")</f>
        <v>0</v>
      </c>
      <c r="N250" s="32">
        <f>IF(物品!O263=0,0,"'"&amp;物品!O263&amp;"'")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物品!A264</f>
        <v>0</v>
      </c>
      <c r="B251" s="32" t="str">
        <f>"'"&amp;物品!B264&amp;"'"</f>
        <v>''</v>
      </c>
      <c r="C251" s="32">
        <f>物品!J264</f>
        <v>0</v>
      </c>
      <c r="D251" s="32">
        <f>物品!K264</f>
        <v>0</v>
      </c>
      <c r="E251" s="32">
        <f>物品!L264</f>
        <v>0</v>
      </c>
      <c r="F251" s="32">
        <f>物品!M264</f>
        <v>0</v>
      </c>
      <c r="G251" s="32">
        <f>物品!N264</f>
        <v>0</v>
      </c>
      <c r="H251" s="32">
        <f>物品!O264</f>
        <v>0</v>
      </c>
      <c r="I251" s="32">
        <f>IF(物品!J264=0,0,"'"&amp;物品!J264&amp;"'")</f>
        <v>0</v>
      </c>
      <c r="J251" s="32">
        <f>IF(物品!K264=0,0,"'"&amp;物品!K264&amp;"'")</f>
        <v>0</v>
      </c>
      <c r="K251" s="32">
        <f>IF(物品!L264=0,0,"'"&amp;物品!L264&amp;"'")</f>
        <v>0</v>
      </c>
      <c r="L251" s="32">
        <f>IF(物品!M264=0,0,"'"&amp;物品!M264&amp;"'")</f>
        <v>0</v>
      </c>
      <c r="M251" s="32">
        <f>IF(物品!N264=0,0,"'"&amp;物品!N264&amp;"'")</f>
        <v>0</v>
      </c>
      <c r="N251" s="32">
        <f>IF(物品!O264=0,0,"'"&amp;物品!O264&amp;"'")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物品!A265</f>
        <v>0</v>
      </c>
      <c r="B252" s="32" t="str">
        <f>"'"&amp;物品!B265&amp;"'"</f>
        <v>''</v>
      </c>
      <c r="C252" s="32">
        <f>物品!J265</f>
        <v>0</v>
      </c>
      <c r="D252" s="32">
        <f>物品!K265</f>
        <v>0</v>
      </c>
      <c r="E252" s="32">
        <f>物品!L265</f>
        <v>0</v>
      </c>
      <c r="F252" s="32">
        <f>物品!M265</f>
        <v>0</v>
      </c>
      <c r="G252" s="32">
        <f>物品!N265</f>
        <v>0</v>
      </c>
      <c r="H252" s="32">
        <f>物品!O265</f>
        <v>0</v>
      </c>
      <c r="I252" s="32">
        <f>IF(物品!J265=0,0,"'"&amp;物品!J265&amp;"'")</f>
        <v>0</v>
      </c>
      <c r="J252" s="32">
        <f>IF(物品!K265=0,0,"'"&amp;物品!K265&amp;"'")</f>
        <v>0</v>
      </c>
      <c r="K252" s="32">
        <f>IF(物品!L265=0,0,"'"&amp;物品!L265&amp;"'")</f>
        <v>0</v>
      </c>
      <c r="L252" s="32">
        <f>IF(物品!M265=0,0,"'"&amp;物品!M265&amp;"'")</f>
        <v>0</v>
      </c>
      <c r="M252" s="32">
        <f>IF(物品!N265=0,0,"'"&amp;物品!N265&amp;"'")</f>
        <v>0</v>
      </c>
      <c r="N252" s="32">
        <f>IF(物品!O265=0,0,"'"&amp;物品!O265&amp;"'")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物品!A266</f>
        <v>0</v>
      </c>
      <c r="B253" s="32" t="str">
        <f>"'"&amp;物品!B266&amp;"'"</f>
        <v>''</v>
      </c>
      <c r="C253" s="32">
        <f>物品!J266</f>
        <v>0</v>
      </c>
      <c r="D253" s="32">
        <f>物品!K266</f>
        <v>0</v>
      </c>
      <c r="E253" s="32">
        <f>物品!L266</f>
        <v>0</v>
      </c>
      <c r="F253" s="32">
        <f>物品!M266</f>
        <v>0</v>
      </c>
      <c r="G253" s="32">
        <f>物品!N266</f>
        <v>0</v>
      </c>
      <c r="H253" s="32">
        <f>物品!O266</f>
        <v>0</v>
      </c>
      <c r="I253" s="32">
        <f>IF(物品!J266=0,0,"'"&amp;物品!J266&amp;"'")</f>
        <v>0</v>
      </c>
      <c r="J253" s="32">
        <f>IF(物品!K266=0,0,"'"&amp;物品!K266&amp;"'")</f>
        <v>0</v>
      </c>
      <c r="K253" s="32">
        <f>IF(物品!L266=0,0,"'"&amp;物品!L266&amp;"'")</f>
        <v>0</v>
      </c>
      <c r="L253" s="32">
        <f>IF(物品!M266=0,0,"'"&amp;物品!M266&amp;"'")</f>
        <v>0</v>
      </c>
      <c r="M253" s="32">
        <f>IF(物品!N266=0,0,"'"&amp;物品!N266&amp;"'")</f>
        <v>0</v>
      </c>
      <c r="N253" s="32">
        <f>IF(物品!O266=0,0,"'"&amp;物品!O266&amp;"'")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物品!A267</f>
        <v>0</v>
      </c>
      <c r="B254" s="32" t="str">
        <f>"'"&amp;物品!B267&amp;"'"</f>
        <v>''</v>
      </c>
      <c r="C254" s="32">
        <f>物品!J267</f>
        <v>0</v>
      </c>
      <c r="D254" s="32">
        <f>物品!K267</f>
        <v>0</v>
      </c>
      <c r="E254" s="32">
        <f>物品!L267</f>
        <v>0</v>
      </c>
      <c r="F254" s="32">
        <f>物品!M267</f>
        <v>0</v>
      </c>
      <c r="G254" s="32">
        <f>物品!N267</f>
        <v>0</v>
      </c>
      <c r="H254" s="32">
        <f>物品!O267</f>
        <v>0</v>
      </c>
      <c r="I254" s="32">
        <f>IF(物品!J267=0,0,"'"&amp;物品!J267&amp;"'")</f>
        <v>0</v>
      </c>
      <c r="J254" s="32">
        <f>IF(物品!K267=0,0,"'"&amp;物品!K267&amp;"'")</f>
        <v>0</v>
      </c>
      <c r="K254" s="32">
        <f>IF(物品!L267=0,0,"'"&amp;物品!L267&amp;"'")</f>
        <v>0</v>
      </c>
      <c r="L254" s="32">
        <f>IF(物品!M267=0,0,"'"&amp;物品!M267&amp;"'")</f>
        <v>0</v>
      </c>
      <c r="M254" s="32">
        <f>IF(物品!N267=0,0,"'"&amp;物品!N267&amp;"'")</f>
        <v>0</v>
      </c>
      <c r="N254" s="32">
        <f>IF(物品!O267=0,0,"'"&amp;物品!O267&amp;"'")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物品!A268</f>
        <v>0</v>
      </c>
      <c r="B255" s="32" t="str">
        <f>"'"&amp;物品!B268&amp;"'"</f>
        <v>''</v>
      </c>
      <c r="C255" s="32">
        <f>物品!J268</f>
        <v>0</v>
      </c>
      <c r="D255" s="32">
        <f>物品!K268</f>
        <v>0</v>
      </c>
      <c r="E255" s="32">
        <f>物品!L268</f>
        <v>0</v>
      </c>
      <c r="F255" s="32">
        <f>物品!M268</f>
        <v>0</v>
      </c>
      <c r="G255" s="32">
        <f>物品!N268</f>
        <v>0</v>
      </c>
      <c r="H255" s="32">
        <f>物品!O268</f>
        <v>0</v>
      </c>
      <c r="I255" s="32">
        <f>IF(物品!J268=0,0,"'"&amp;物品!J268&amp;"'")</f>
        <v>0</v>
      </c>
      <c r="J255" s="32">
        <f>IF(物品!K268=0,0,"'"&amp;物品!K268&amp;"'")</f>
        <v>0</v>
      </c>
      <c r="K255" s="32">
        <f>IF(物品!L268=0,0,"'"&amp;物品!L268&amp;"'")</f>
        <v>0</v>
      </c>
      <c r="L255" s="32">
        <f>IF(物品!M268=0,0,"'"&amp;物品!M268&amp;"'")</f>
        <v>0</v>
      </c>
      <c r="M255" s="32">
        <f>IF(物品!N268=0,0,"'"&amp;物品!N268&amp;"'")</f>
        <v>0</v>
      </c>
      <c r="N255" s="32">
        <f>IF(物品!O268=0,0,"'"&amp;物品!O268&amp;"'")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物品!A269</f>
        <v>0</v>
      </c>
      <c r="B256" s="32" t="str">
        <f>"'"&amp;物品!B269&amp;"'"</f>
        <v>''</v>
      </c>
      <c r="C256" s="32">
        <f>物品!J269</f>
        <v>0</v>
      </c>
      <c r="D256" s="32">
        <f>物品!K269</f>
        <v>0</v>
      </c>
      <c r="E256" s="32">
        <f>物品!L269</f>
        <v>0</v>
      </c>
      <c r="F256" s="32">
        <f>物品!M269</f>
        <v>0</v>
      </c>
      <c r="G256" s="32">
        <f>物品!N269</f>
        <v>0</v>
      </c>
      <c r="H256" s="32">
        <f>物品!O269</f>
        <v>0</v>
      </c>
      <c r="I256" s="32">
        <f>IF(物品!J269=0,0,"'"&amp;物品!J269&amp;"'")</f>
        <v>0</v>
      </c>
      <c r="J256" s="32">
        <f>IF(物品!K269=0,0,"'"&amp;物品!K269&amp;"'")</f>
        <v>0</v>
      </c>
      <c r="K256" s="32">
        <f>IF(物品!L269=0,0,"'"&amp;物品!L269&amp;"'")</f>
        <v>0</v>
      </c>
      <c r="L256" s="32">
        <f>IF(物品!M269=0,0,"'"&amp;物品!M269&amp;"'")</f>
        <v>0</v>
      </c>
      <c r="M256" s="32">
        <f>IF(物品!N269=0,0,"'"&amp;物品!N269&amp;"'")</f>
        <v>0</v>
      </c>
      <c r="N256" s="32">
        <f>IF(物品!O269=0,0,"'"&amp;物品!O269&amp;"'")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物品!A270</f>
        <v>0</v>
      </c>
      <c r="B257" s="32" t="str">
        <f>"'"&amp;物品!B270&amp;"'"</f>
        <v>''</v>
      </c>
      <c r="C257" s="32">
        <f>物品!J270</f>
        <v>0</v>
      </c>
      <c r="D257" s="32">
        <f>物品!K270</f>
        <v>0</v>
      </c>
      <c r="E257" s="32">
        <f>物品!L270</f>
        <v>0</v>
      </c>
      <c r="F257" s="32">
        <f>物品!M270</f>
        <v>0</v>
      </c>
      <c r="G257" s="32">
        <f>物品!N270</f>
        <v>0</v>
      </c>
      <c r="H257" s="32">
        <f>物品!O270</f>
        <v>0</v>
      </c>
      <c r="I257" s="32">
        <f>IF(物品!J270=0,0,"'"&amp;物品!J270&amp;"'")</f>
        <v>0</v>
      </c>
      <c r="J257" s="32">
        <f>IF(物品!K270=0,0,"'"&amp;物品!K270&amp;"'")</f>
        <v>0</v>
      </c>
      <c r="K257" s="32">
        <f>IF(物品!L270=0,0,"'"&amp;物品!L270&amp;"'")</f>
        <v>0</v>
      </c>
      <c r="L257" s="32">
        <f>IF(物品!M270=0,0,"'"&amp;物品!M270&amp;"'")</f>
        <v>0</v>
      </c>
      <c r="M257" s="32">
        <f>IF(物品!N270=0,0,"'"&amp;物品!N270&amp;"'")</f>
        <v>0</v>
      </c>
      <c r="N257" s="32">
        <f>IF(物品!O270=0,0,"'"&amp;物品!O270&amp;"'")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物品!A271</f>
        <v>0</v>
      </c>
      <c r="B258" s="32" t="str">
        <f>"'"&amp;物品!B271&amp;"'"</f>
        <v>''</v>
      </c>
      <c r="C258" s="32">
        <f>物品!J271</f>
        <v>0</v>
      </c>
      <c r="D258" s="32">
        <f>物品!K271</f>
        <v>0</v>
      </c>
      <c r="E258" s="32">
        <f>物品!L271</f>
        <v>0</v>
      </c>
      <c r="F258" s="32">
        <f>物品!M271</f>
        <v>0</v>
      </c>
      <c r="G258" s="32">
        <f>物品!N271</f>
        <v>0</v>
      </c>
      <c r="H258" s="32">
        <f>物品!O271</f>
        <v>0</v>
      </c>
      <c r="I258" s="32">
        <f>IF(物品!J271=0,0,"'"&amp;物品!J271&amp;"'")</f>
        <v>0</v>
      </c>
      <c r="J258" s="32">
        <f>IF(物品!K271=0,0,"'"&amp;物品!K271&amp;"'")</f>
        <v>0</v>
      </c>
      <c r="K258" s="32">
        <f>IF(物品!L271=0,0,"'"&amp;物品!L271&amp;"'")</f>
        <v>0</v>
      </c>
      <c r="L258" s="32">
        <f>IF(物品!M271=0,0,"'"&amp;物品!M271&amp;"'")</f>
        <v>0</v>
      </c>
      <c r="M258" s="32">
        <f>IF(物品!N271=0,0,"'"&amp;物品!N271&amp;"'")</f>
        <v>0</v>
      </c>
      <c r="N258" s="32">
        <f>IF(物品!O271=0,0,"'"&amp;物品!O271&amp;"'")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物品!A272</f>
        <v>0</v>
      </c>
      <c r="B259" s="32" t="str">
        <f>"'"&amp;物品!B272&amp;"'"</f>
        <v>''</v>
      </c>
      <c r="C259" s="32">
        <f>物品!J272</f>
        <v>0</v>
      </c>
      <c r="D259" s="32">
        <f>物品!K272</f>
        <v>0</v>
      </c>
      <c r="E259" s="32">
        <f>物品!L272</f>
        <v>0</v>
      </c>
      <c r="F259" s="32">
        <f>物品!M272</f>
        <v>0</v>
      </c>
      <c r="G259" s="32">
        <f>物品!N272</f>
        <v>0</v>
      </c>
      <c r="H259" s="32">
        <f>物品!O272</f>
        <v>0</v>
      </c>
      <c r="I259" s="32">
        <f>IF(物品!J272=0,0,"'"&amp;物品!J272&amp;"'")</f>
        <v>0</v>
      </c>
      <c r="J259" s="32">
        <f>IF(物品!K272=0,0,"'"&amp;物品!K272&amp;"'")</f>
        <v>0</v>
      </c>
      <c r="K259" s="32">
        <f>IF(物品!L272=0,0,"'"&amp;物品!L272&amp;"'")</f>
        <v>0</v>
      </c>
      <c r="L259" s="32">
        <f>IF(物品!M272=0,0,"'"&amp;物品!M272&amp;"'")</f>
        <v>0</v>
      </c>
      <c r="M259" s="32">
        <f>IF(物品!N272=0,0,"'"&amp;物品!N272&amp;"'")</f>
        <v>0</v>
      </c>
      <c r="N259" s="32">
        <f>IF(物品!O272=0,0,"'"&amp;物品!O272&amp;"'")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物品!A273</f>
        <v>0</v>
      </c>
      <c r="B260" s="32" t="str">
        <f>"'"&amp;物品!B273&amp;"'"</f>
        <v>''</v>
      </c>
      <c r="C260" s="32">
        <f>物品!J273</f>
        <v>0</v>
      </c>
      <c r="D260" s="32">
        <f>物品!K273</f>
        <v>0</v>
      </c>
      <c r="E260" s="32">
        <f>物品!L273</f>
        <v>0</v>
      </c>
      <c r="F260" s="32">
        <f>物品!M273</f>
        <v>0</v>
      </c>
      <c r="G260" s="32">
        <f>物品!N273</f>
        <v>0</v>
      </c>
      <c r="H260" s="32">
        <f>物品!O273</f>
        <v>0</v>
      </c>
      <c r="I260" s="32">
        <f>IF(物品!J273=0,0,"'"&amp;物品!J273&amp;"'")</f>
        <v>0</v>
      </c>
      <c r="J260" s="32">
        <f>IF(物品!K273=0,0,"'"&amp;物品!K273&amp;"'")</f>
        <v>0</v>
      </c>
      <c r="K260" s="32">
        <f>IF(物品!L273=0,0,"'"&amp;物品!L273&amp;"'")</f>
        <v>0</v>
      </c>
      <c r="L260" s="32">
        <f>IF(物品!M273=0,0,"'"&amp;物品!M273&amp;"'")</f>
        <v>0</v>
      </c>
      <c r="M260" s="32">
        <f>IF(物品!N273=0,0,"'"&amp;物品!N273&amp;"'")</f>
        <v>0</v>
      </c>
      <c r="N260" s="32">
        <f>IF(物品!O273=0,0,"'"&amp;物品!O273&amp;"'")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物品!A274</f>
        <v>0</v>
      </c>
      <c r="B261" s="32" t="str">
        <f>"'"&amp;物品!B274&amp;"'"</f>
        <v>''</v>
      </c>
      <c r="C261" s="32">
        <f>物品!J274</f>
        <v>0</v>
      </c>
      <c r="D261" s="32">
        <f>物品!K274</f>
        <v>0</v>
      </c>
      <c r="E261" s="32">
        <f>物品!L274</f>
        <v>0</v>
      </c>
      <c r="F261" s="32">
        <f>物品!M274</f>
        <v>0</v>
      </c>
      <c r="G261" s="32">
        <f>物品!N274</f>
        <v>0</v>
      </c>
      <c r="H261" s="32">
        <f>物品!O274</f>
        <v>0</v>
      </c>
      <c r="I261" s="32">
        <f>IF(物品!J274=0,0,"'"&amp;物品!J274&amp;"'")</f>
        <v>0</v>
      </c>
      <c r="J261" s="32">
        <f>IF(物品!K274=0,0,"'"&amp;物品!K274&amp;"'")</f>
        <v>0</v>
      </c>
      <c r="K261" s="32">
        <f>IF(物品!L274=0,0,"'"&amp;物品!L274&amp;"'")</f>
        <v>0</v>
      </c>
      <c r="L261" s="32">
        <f>IF(物品!M274=0,0,"'"&amp;物品!M274&amp;"'")</f>
        <v>0</v>
      </c>
      <c r="M261" s="32">
        <f>IF(物品!N274=0,0,"'"&amp;物品!N274&amp;"'")</f>
        <v>0</v>
      </c>
      <c r="N261" s="32">
        <f>IF(物品!O274=0,0,"'"&amp;物品!O274&amp;"'")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物品!A275</f>
        <v>0</v>
      </c>
      <c r="B262" s="32" t="str">
        <f>"'"&amp;物品!B275&amp;"'"</f>
        <v>''</v>
      </c>
      <c r="C262" s="32">
        <f>物品!J275</f>
        <v>0</v>
      </c>
      <c r="D262" s="32">
        <f>物品!K275</f>
        <v>0</v>
      </c>
      <c r="E262" s="32">
        <f>物品!L275</f>
        <v>0</v>
      </c>
      <c r="F262" s="32">
        <f>物品!M275</f>
        <v>0</v>
      </c>
      <c r="G262" s="32">
        <f>物品!N275</f>
        <v>0</v>
      </c>
      <c r="H262" s="32">
        <f>物品!O275</f>
        <v>0</v>
      </c>
      <c r="I262" s="32">
        <f>IF(物品!J275=0,0,"'"&amp;物品!J275&amp;"'")</f>
        <v>0</v>
      </c>
      <c r="J262" s="32">
        <f>IF(物品!K275=0,0,"'"&amp;物品!K275&amp;"'")</f>
        <v>0</v>
      </c>
      <c r="K262" s="32">
        <f>IF(物品!L275=0,0,"'"&amp;物品!L275&amp;"'")</f>
        <v>0</v>
      </c>
      <c r="L262" s="32">
        <f>IF(物品!M275=0,0,"'"&amp;物品!M275&amp;"'")</f>
        <v>0</v>
      </c>
      <c r="M262" s="32">
        <f>IF(物品!N275=0,0,"'"&amp;物品!N275&amp;"'")</f>
        <v>0</v>
      </c>
      <c r="N262" s="32">
        <f>IF(物品!O275=0,0,"'"&amp;物品!O275&amp;"'")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物品!A276</f>
        <v>0</v>
      </c>
      <c r="B263" s="32" t="str">
        <f>"'"&amp;物品!B276&amp;"'"</f>
        <v>''</v>
      </c>
      <c r="C263" s="32">
        <f>物品!J276</f>
        <v>0</v>
      </c>
      <c r="D263" s="32">
        <f>物品!K276</f>
        <v>0</v>
      </c>
      <c r="E263" s="32">
        <f>物品!L276</f>
        <v>0</v>
      </c>
      <c r="F263" s="32">
        <f>物品!M276</f>
        <v>0</v>
      </c>
      <c r="G263" s="32">
        <f>物品!N276</f>
        <v>0</v>
      </c>
      <c r="H263" s="32">
        <f>物品!O276</f>
        <v>0</v>
      </c>
      <c r="I263" s="32">
        <f>IF(物品!J276=0,0,"'"&amp;物品!J276&amp;"'")</f>
        <v>0</v>
      </c>
      <c r="J263" s="32">
        <f>IF(物品!K276=0,0,"'"&amp;物品!K276&amp;"'")</f>
        <v>0</v>
      </c>
      <c r="K263" s="32">
        <f>IF(物品!L276=0,0,"'"&amp;物品!L276&amp;"'")</f>
        <v>0</v>
      </c>
      <c r="L263" s="32">
        <f>IF(物品!M276=0,0,"'"&amp;物品!M276&amp;"'")</f>
        <v>0</v>
      </c>
      <c r="M263" s="32">
        <f>IF(物品!N276=0,0,"'"&amp;物品!N276&amp;"'")</f>
        <v>0</v>
      </c>
      <c r="N263" s="32">
        <f>IF(物品!O276=0,0,"'"&amp;物品!O276&amp;"'")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honeticPr fontId="2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4" t="s">
        <v>96</v>
      </c>
      <c r="B1" s="14" t="s">
        <v>97</v>
      </c>
      <c r="C1" s="14" t="s">
        <v>98</v>
      </c>
      <c r="D1" s="15" t="s">
        <v>99</v>
      </c>
      <c r="E1" s="15" t="s">
        <v>109</v>
      </c>
      <c r="F1" s="15" t="s">
        <v>101</v>
      </c>
      <c r="G1" s="15" t="s">
        <v>774</v>
      </c>
      <c r="H1" s="16" t="s">
        <v>775</v>
      </c>
      <c r="I1" s="20" t="s">
        <v>776</v>
      </c>
      <c r="J1" s="21" t="s">
        <v>772</v>
      </c>
      <c r="K1" s="22" t="s">
        <v>112</v>
      </c>
      <c r="L1" s="23" t="s">
        <v>113</v>
      </c>
      <c r="M1" s="24" t="s">
        <v>777</v>
      </c>
      <c r="N1" s="25" t="s">
        <v>778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IF(物品!B150="",0,"'"&amp;物品!B150&amp;"'")</f>
        <v>'IP01'</v>
      </c>
      <c r="B93" t="e">
        <f>物品!#REF!</f>
        <v>#REF!</v>
      </c>
      <c r="C93">
        <f>物品!E150</f>
        <v>0</v>
      </c>
      <c r="D93">
        <f>物品!F150</f>
        <v>0</v>
      </c>
      <c r="E93">
        <f>IF(ISTEXT(物品!G150)=TRUE,"'"&amp;物品!G150&amp;"'",物品!G150)</f>
        <v>0</v>
      </c>
      <c r="F93">
        <f>IF(ISTEXT(物品!H150)=TRUE,"'"&amp;物品!H150&amp;"'",物品!H150)</f>
        <v>0</v>
      </c>
      <c r="G93">
        <f>IF(物品!I150="",0,"'"&amp;物品!I150&amp;"'")</f>
        <v>0</v>
      </c>
      <c r="H93">
        <f>IF(物品!R150="",0,物品!R150)</f>
        <v>0</v>
      </c>
      <c r="I93">
        <f>IF(物品!S150="",0,物品!S150)</f>
        <v>0</v>
      </c>
      <c r="J93" t="str">
        <f>IF(物品!C150="",0,""""&amp;物品!C150&amp;"""")</f>
        <v>"|CffFF0000时渊碎片|r"</v>
      </c>
      <c r="K93" t="str">
        <f>IF(物品!T150="","""""",""""&amp;物品!T150&amp;"""")</f>
        <v>"每次|Cffffd24d完成|r时渊副本将消耗|Cffffd24d1|r个|Cffffd24d时渊碎片|r"</v>
      </c>
      <c r="L93" t="str">
        <f>IF(物品!U150="",0,""""&amp;物品!U150&amp;"""")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IF(物品!B151="",0,"'"&amp;物品!B151&amp;"'")</f>
        <v>'IP02'</v>
      </c>
      <c r="B94">
        <f>物品!D113</f>
        <v>0</v>
      </c>
      <c r="C94">
        <f>物品!E151</f>
        <v>0</v>
      </c>
      <c r="D94">
        <f>物品!F151</f>
        <v>0</v>
      </c>
      <c r="E94">
        <f>IF(ISTEXT(物品!G151)=TRUE,"'"&amp;物品!G151&amp;"'",物品!G151)</f>
        <v>0</v>
      </c>
      <c r="F94">
        <f>IF(ISTEXT(物品!H151)=TRUE,"'"&amp;物品!H151&amp;"'",物品!H151)</f>
        <v>0</v>
      </c>
      <c r="G94">
        <f>IF(物品!I151="",0,"'"&amp;物品!I151&amp;"'")</f>
        <v>0</v>
      </c>
      <c r="H94">
        <f>IF(物品!R151="",0,物品!R151)</f>
        <v>0</v>
      </c>
      <c r="I94">
        <f>IF(物品!S151="",0,物品!S151)</f>
        <v>0</v>
      </c>
      <c r="J94" t="str">
        <f>IF(物品!C151="",0,""""&amp;物品!C151&amp;"""")</f>
        <v>"|CffFFD24D补天石|r"</v>
      </c>
      <c r="K94" t="str">
        <f>IF(物品!T151="","""""",""""&amp;物品!T151&amp;"""")</f>
        <v>"点击|Cffffc926选中指定法宝|r后，再点击|Cffffc926重铸|r，可|Cffffc926重置|r指定法宝，|Cffffc926品质不变|r。|n|n|Cff00ff7f每次重铸消耗1个补天石|r"</v>
      </c>
      <c r="L94" t="str">
        <f>IF(物品!U151="",0,""""&amp;物品!U151&amp;"""")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IF(物品!B152="",0,"'"&amp;物品!B152&amp;"'")</f>
        <v>'IP03'</v>
      </c>
      <c r="B95">
        <f>物品!D114</f>
        <v>0</v>
      </c>
      <c r="C95">
        <f>物品!E152</f>
        <v>0</v>
      </c>
      <c r="D95">
        <f>物品!F152</f>
        <v>0</v>
      </c>
      <c r="E95">
        <f>IF(ISTEXT(物品!G152)=TRUE,"'"&amp;物品!G152&amp;"'",物品!G152)</f>
        <v>0</v>
      </c>
      <c r="F95">
        <f>IF(ISTEXT(物品!H152)=TRUE,"'"&amp;物品!H152&amp;"'",物品!H152)</f>
        <v>0</v>
      </c>
      <c r="G95">
        <f>IF(物品!I152="",0,"'"&amp;物品!I152&amp;"'")</f>
        <v>0</v>
      </c>
      <c r="H95">
        <f>IF(物品!R152="",0,物品!R152)</f>
        <v>0</v>
      </c>
      <c r="I95">
        <f>IF(物品!S152="",0,物品!S152)</f>
        <v>0</v>
      </c>
      <c r="J95" t="str">
        <f>IF(物品!C152="",0,""""&amp;物品!C152&amp;"""")</f>
        <v>"|CffFF0000鸿蒙结晶|r"</v>
      </c>
      <c r="K95" t="str">
        <f>IF(物品!T152="","""""",""""&amp;物品!T152&amp;"""")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IF(物品!U152="",0,""""&amp;物品!U152&amp;"""")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IF(物品!B159="",0,"'"&amp;物品!B159&amp;"'")</f>
        <v>'IT01'</v>
      </c>
      <c r="B96">
        <f>物品!D115</f>
        <v>0</v>
      </c>
      <c r="C96">
        <f>物品!E159</f>
        <v>0</v>
      </c>
      <c r="D96">
        <f>物品!F159</f>
        <v>0</v>
      </c>
      <c r="E96">
        <f>IF(ISTEXT(物品!G159)=TRUE,"'"&amp;物品!G159&amp;"'",物品!G159)</f>
        <v>0</v>
      </c>
      <c r="F96">
        <f>IF(ISTEXT(物品!H159)=TRUE,"'"&amp;物品!H159&amp;"'",物品!H159)</f>
        <v>0</v>
      </c>
      <c r="G96">
        <f>IF(物品!I159="",0,"'"&amp;物品!I159&amp;"'")</f>
        <v>0</v>
      </c>
      <c r="H96">
        <f>IF(物品!R159="",0,物品!R159)</f>
        <v>-8086</v>
      </c>
      <c r="I96">
        <f>IF(物品!S159="",0,物品!S159)</f>
        <v>-3245</v>
      </c>
      <c r="J96" t="str">
        <f>IF(物品!C159="",0,""""&amp;物品!C159&amp;"""")</f>
        <v>"噬心劫"</v>
      </c>
      <c r="K96" t="str">
        <f>IF(物品!T159="","""""",""""&amp;物品!T159&amp;"""")</f>
        <v>"渡过该劫后可结成|CffCCCCCC低级道果|r。|n|n|CffCCCCCC低级道果：|r|n攻击+7500|n生命值+30000|n物理伤害+15%|n法术伤害+15%|n杀敌攻击+8|n杀敌业力+1|n杀敌生命+30|n"</v>
      </c>
      <c r="L96" t="str">
        <f>IF(物品!U159="",0,""""&amp;物品!U159&amp;"""")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+15%|n法术伤害+15%|n杀敌攻击+8|n杀敌业力+1|n杀敌生命+30|n")</v>
      </c>
    </row>
    <row r="97" spans="1:14">
      <c r="A97" t="str">
        <f>IF(物品!B160="",0,"'"&amp;物品!B160&amp;"'")</f>
        <v>'IT02'</v>
      </c>
      <c r="B97">
        <f>物品!D116</f>
        <v>0</v>
      </c>
      <c r="C97">
        <f>物品!E160</f>
        <v>0</v>
      </c>
      <c r="D97">
        <f>物品!F160</f>
        <v>0</v>
      </c>
      <c r="E97">
        <f>IF(ISTEXT(物品!G160)=TRUE,"'"&amp;物品!G160&amp;"'",物品!G160)</f>
        <v>0</v>
      </c>
      <c r="F97">
        <f>IF(ISTEXT(物品!H160)=TRUE,"'"&amp;物品!H160&amp;"'",物品!H160)</f>
        <v>0</v>
      </c>
      <c r="G97">
        <f>IF(物品!I160="",0,"'"&amp;物品!I160&amp;"'")</f>
        <v>0</v>
      </c>
      <c r="H97">
        <f>IF(物品!R160="",0,物品!R160)</f>
        <v>-7991</v>
      </c>
      <c r="I97">
        <f>IF(物品!S160="",0,物品!S160)</f>
        <v>-2312</v>
      </c>
      <c r="J97" t="str">
        <f>IF(物品!C160="",0,""""&amp;物品!C160&amp;"""")</f>
        <v>"三重轰雷劫"</v>
      </c>
      <c r="K97" t="str">
        <f>IF(物品!T160="","""""",""""&amp;物品!T160&amp;"""")</f>
        <v>"渡过该劫后可结成|CffCCCCCC中级道果|r。|n|n|CffCCCCCC中级道果：|r|n攻击+18000|n生命值+72000|n物理伤害+15%|n法术伤害+15%|n杀敌攻击+8|n杀敌业力+1|n杀敌生命+30|n"</v>
      </c>
      <c r="L97" t="str">
        <f>IF(物品!U160="",0,""""&amp;物品!U160&amp;"""")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+18000|n生命值+72000|n物理伤害+15%|n法术伤害+15%|n杀敌攻击+8|n杀敌业力+1|n杀敌生命+30|n")</v>
      </c>
    </row>
    <row r="98" spans="1:14">
      <c r="A98" t="str">
        <f>IF(物品!B161="",0,"'"&amp;物品!B161&amp;"'")</f>
        <v>'IT03'</v>
      </c>
      <c r="B98">
        <f>物品!D117</f>
        <v>0</v>
      </c>
      <c r="C98">
        <f>物品!E161</f>
        <v>0</v>
      </c>
      <c r="D98">
        <f>物品!F161</f>
        <v>0</v>
      </c>
      <c r="E98">
        <f>IF(ISTEXT(物品!G161)=TRUE,"'"&amp;物品!G161&amp;"'",物品!G161)</f>
        <v>0</v>
      </c>
      <c r="F98">
        <f>IF(ISTEXT(物品!H161)=TRUE,"'"&amp;物品!H161&amp;"'",物品!H161)</f>
        <v>0</v>
      </c>
      <c r="G98">
        <f>IF(物品!I161="",0,"'"&amp;物品!I161&amp;"'")</f>
        <v>0</v>
      </c>
      <c r="H98">
        <f>IF(物品!R161="",0,物品!R161)</f>
        <v>-8089</v>
      </c>
      <c r="I98">
        <f>IF(物品!S161="",0,物品!S161)</f>
        <v>-1230</v>
      </c>
      <c r="J98" t="str">
        <f>IF(物品!C161="",0,""""&amp;物品!C161&amp;"""")</f>
        <v>"|Cff00FF7F六重天雷劫|r"</v>
      </c>
      <c r="K98" t="str">
        <f>IF(物品!T161="","""""",""""&amp;物品!T161&amp;"""")</f>
        <v>"渡过该劫后可结成|Cff00ff7f高级道果|r。|n|n|Cff00ff7f高级道果：|r|n攻击+37500|n生命值+150000|n物理伤害+15%|n法术伤害+15%|n杀敌攻击+8|n杀敌业力+1|n杀敌生命+30|n"</v>
      </c>
      <c r="L98" t="str">
        <f>IF(物品!U161="",0,""""&amp;物品!U161&amp;"""")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+37500|n生命值+150000|n物理伤害+15%|n法术伤害+15%|n杀敌攻击+8|n杀敌业力+1|n杀敌生命+30|n")</v>
      </c>
    </row>
    <row r="99" spans="1:14">
      <c r="A99" t="str">
        <f>IF(物品!B162="",0,"'"&amp;物品!B162&amp;"'")</f>
        <v>'IT04'</v>
      </c>
      <c r="B99">
        <f>物品!D118</f>
        <v>0</v>
      </c>
      <c r="C99">
        <f>物品!E162</f>
        <v>0</v>
      </c>
      <c r="D99">
        <f>物品!F162</f>
        <v>0</v>
      </c>
      <c r="E99">
        <f>IF(ISTEXT(物品!G162)=TRUE,"'"&amp;物品!G162&amp;"'",物品!G162)</f>
        <v>0</v>
      </c>
      <c r="F99">
        <f>IF(ISTEXT(物品!H162)=TRUE,"'"&amp;物品!H162&amp;"'",物品!H162)</f>
        <v>0</v>
      </c>
      <c r="G99">
        <f>IF(物品!I162="",0,"'"&amp;物品!I162&amp;"'")</f>
        <v>0</v>
      </c>
      <c r="H99">
        <f>IF(物品!R162="",0,物品!R162)</f>
        <v>-7794</v>
      </c>
      <c r="I99">
        <f>IF(物品!S162="",0,物品!S162)</f>
        <v>195</v>
      </c>
      <c r="J99" t="str">
        <f>IF(物品!C162="",0,""""&amp;物品!C162&amp;"""")</f>
        <v>"|Cff00FF7F九重煅神劫|r"</v>
      </c>
      <c r="K99" t="str">
        <f>IF(物品!T162="","""""",""""&amp;物品!T162&amp;"""")</f>
        <v>"渡过该劫后可结成|Cff00ff7f黄级道果|r。|n|n|Cff00ff7f黄级道果：|r|n攻击+60000|n生命值+240000|n物理伤害+20%|n法术伤害+20%|n杀敌攻击+8|n杀敌业力+1|n杀敌生命+30|n"</v>
      </c>
      <c r="L99" t="str">
        <f>IF(物品!U162="",0,""""&amp;物品!U162&amp;"""")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+60000|n生命值+240000|n物理伤害+20%|n法术伤害+20%|n杀敌攻击+8|n杀敌业力+1|n杀敌生命+30|n")</v>
      </c>
    </row>
    <row r="100" spans="1:14">
      <c r="A100" t="str">
        <f>IF(物品!B163="",0,"'"&amp;物品!B163&amp;"'")</f>
        <v>'IT05'</v>
      </c>
      <c r="B100">
        <f>物品!D119</f>
        <v>0</v>
      </c>
      <c r="C100">
        <f>物品!E163</f>
        <v>0</v>
      </c>
      <c r="D100">
        <f>物品!F163</f>
        <v>0</v>
      </c>
      <c r="E100">
        <f>IF(ISTEXT(物品!G163)=TRUE,"'"&amp;物品!G163&amp;"'",物品!G163)</f>
        <v>0</v>
      </c>
      <c r="F100">
        <f>IF(ISTEXT(物品!H163)=TRUE,"'"&amp;物品!H163&amp;"'",物品!H163)</f>
        <v>0</v>
      </c>
      <c r="G100">
        <f>IF(物品!I163="",0,"'"&amp;物品!I163&amp;"'")</f>
        <v>0</v>
      </c>
      <c r="H100">
        <f>IF(物品!R163="",0,物品!R163)</f>
        <v>-8110</v>
      </c>
      <c r="I100">
        <f>IF(物品!S163="",0,物品!S163)</f>
        <v>1810</v>
      </c>
      <c r="J100" t="str">
        <f>IF(物品!C163="",0,""""&amp;物品!C163&amp;"""")</f>
        <v>"|Cff00BFFF灭魄血煞劫|r"</v>
      </c>
      <c r="K100" t="str">
        <f>IF(物品!T163="","""""",""""&amp;物品!T163&amp;"""")</f>
        <v>"渡过该劫后可结成|Cff00bfff玄级道果|r。|n|n|Cff00bfff玄级道果：|r|n攻击+82500|n生命值+330000|n物理伤害+20%|n法术伤害+20%|n杀敌攻击+8|n杀敌业力+1|n杀敌生命+30|n"</v>
      </c>
      <c r="L100" t="str">
        <f>IF(物品!U163="",0,""""&amp;物品!U163&amp;"""")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+82500|n生命值+330000|n物理伤害+20%|n法术伤害+20%|n杀敌攻击+8|n杀敌业力+1|n杀敌生命+30|n")</v>
      </c>
    </row>
    <row r="101" spans="1:14">
      <c r="A101" t="str">
        <f>IF(物品!B164="",0,"'"&amp;物品!B164&amp;"'")</f>
        <v>'IT06'</v>
      </c>
      <c r="B101">
        <f>物品!D120</f>
        <v>0</v>
      </c>
      <c r="C101">
        <f>物品!E164</f>
        <v>0</v>
      </c>
      <c r="D101">
        <f>物品!F164</f>
        <v>0</v>
      </c>
      <c r="E101">
        <f>IF(ISTEXT(物品!G164)=TRUE,"'"&amp;物品!G164&amp;"'",物品!G164)</f>
        <v>0</v>
      </c>
      <c r="F101">
        <f>IF(ISTEXT(物品!H164)=TRUE,"'"&amp;物品!H164&amp;"'",物品!H164)</f>
        <v>0</v>
      </c>
      <c r="G101">
        <f>IF(物品!I164="",0,"'"&amp;物品!I164&amp;"'")</f>
        <v>0</v>
      </c>
      <c r="H101">
        <f>IF(物品!R164="",0,物品!R164)</f>
        <v>-7896</v>
      </c>
      <c r="I101">
        <f>IF(物品!S164="",0,物品!S164)</f>
        <v>3839</v>
      </c>
      <c r="J101" t="str">
        <f>IF(物品!C164="",0,""""&amp;物品!C164&amp;"""")</f>
        <v>"|Cff00BFFF入微洞虚劫|r"</v>
      </c>
      <c r="K101" t="str">
        <f>IF(物品!T164="","""""",""""&amp;物品!T164&amp;"""")</f>
        <v>"渡过该劫后可结成|Cff00bfff地级道果|r。|n|n|Cff00bfff地级道果：|r|n攻击+120000|n生命值+480000|n物理伤害+20%|n法术伤害+20%|n杀敌攻击+8|n杀敌业力+1|n杀敌生命+30|n"</v>
      </c>
      <c r="L101" t="str">
        <f>IF(物品!U164="",0,""""&amp;物品!U164&amp;"""")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+120000|n生命值+480000|n物理伤害+20%|n法术伤害+20%|n杀敌攻击+8|n杀敌业力+1|n杀敌生命+30|n")</v>
      </c>
    </row>
    <row r="102" spans="1:14">
      <c r="A102" t="str">
        <f>IF(物品!B165="",0,"'"&amp;物品!B165&amp;"'")</f>
        <v>'IT07'</v>
      </c>
      <c r="B102">
        <f>物品!D121</f>
        <v>0</v>
      </c>
      <c r="C102">
        <f>物品!E165</f>
        <v>0</v>
      </c>
      <c r="D102">
        <f>物品!F165</f>
        <v>0</v>
      </c>
      <c r="E102">
        <f>IF(ISTEXT(物品!G165)=TRUE,"'"&amp;物品!G165&amp;"'",物品!G165)</f>
        <v>0</v>
      </c>
      <c r="F102">
        <f>IF(ISTEXT(物品!H165)=TRUE,"'"&amp;物品!H165&amp;"'",物品!H165)</f>
        <v>0</v>
      </c>
      <c r="G102">
        <f>IF(物品!I165="",0,"'"&amp;物品!I165&amp;"'")</f>
        <v>0</v>
      </c>
      <c r="H102">
        <f>IF(物品!R165="",0,物品!R165)</f>
        <v>-7896</v>
      </c>
      <c r="I102">
        <f>IF(物品!S165="",0,物品!S165)</f>
        <v>5906</v>
      </c>
      <c r="J102" t="str">
        <f>IF(物品!C165="",0,""""&amp;物品!C165&amp;"""")</f>
        <v>"|CffFFD24D因果厄难劫|r"</v>
      </c>
      <c r="K102" t="str">
        <f>IF(物品!T165="","""""",""""&amp;物品!T165&amp;"""")</f>
        <v>"渡过该劫后可结成|Cffffc926天级道果|r。|n|n|Cffffc926天级道果：|r|n攻击+180000|n生命值+720000|n物理伤害+25%|n法术伤害+25%|n杀敌攻击+8|n杀敌业力+1|n杀敌生命+30|n"</v>
      </c>
      <c r="L102" t="str">
        <f>IF(物品!U165="",0,""""&amp;物品!U165&amp;"""")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+180000|n生命值+720000|n物理伤害+25%|n法术伤害+25%|n杀敌攻击+8|n杀敌业力+1|n杀敌生命+30|n")</v>
      </c>
    </row>
    <row r="103" spans="1:14">
      <c r="A103" t="str">
        <f>IF(物品!B166="",0,"'"&amp;物品!B166&amp;"'")</f>
        <v>'IT08'</v>
      </c>
      <c r="B103">
        <f>物品!D122</f>
        <v>0</v>
      </c>
      <c r="C103">
        <f>物品!E166</f>
        <v>0</v>
      </c>
      <c r="D103">
        <f>物品!F166</f>
        <v>0</v>
      </c>
      <c r="E103">
        <f>IF(ISTEXT(物品!G166)=TRUE,"'"&amp;物品!G166&amp;"'",物品!G166)</f>
        <v>0</v>
      </c>
      <c r="F103">
        <f>IF(ISTEXT(物品!H166)=TRUE,"'"&amp;物品!H166&amp;"'",物品!H166)</f>
        <v>0</v>
      </c>
      <c r="G103">
        <f>IF(物品!I166="",0,"'"&amp;物品!I166&amp;"'")</f>
        <v>0</v>
      </c>
      <c r="H103">
        <f>IF(物品!R166="",0,物品!R166)</f>
        <v>-7970</v>
      </c>
      <c r="I103">
        <f>IF(物品!S166="",0,物品!S166)</f>
        <v>7965</v>
      </c>
      <c r="J103" t="str">
        <f>IF(物品!C166="",0,""""&amp;物品!C166&amp;"""")</f>
        <v>"|CffFFD24D迷魂幻世劫|r"</v>
      </c>
      <c r="K103" t="str">
        <f>IF(物品!T166="","""""",""""&amp;物品!T166&amp;"""")</f>
        <v>"渡过该劫后可结成|Cffffc926仙品道果|r。|n|n|Cffffc926仙品道果：|r|n攻击+300000|n生命值+1200000|n物理伤害+25%|n法术伤害+25%|n杀敌攻击+8|n杀敌业力+1|n杀敌生命+30|n"</v>
      </c>
      <c r="L103" t="str">
        <f>IF(物品!U166="",0,""""&amp;物品!U166&amp;"""")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+300000|n生命值+1200000|n物理伤害+25%|n法术伤害+25%|n杀敌攻击+8|n杀敌业力+1|n杀敌生命+30|n")</v>
      </c>
    </row>
    <row r="104" spans="1:14">
      <c r="A104" t="str">
        <f>IF(物品!B167="",0,"'"&amp;物品!B167&amp;"'")</f>
        <v>'IT09'</v>
      </c>
      <c r="B104" t="e">
        <f>物品!#REF!</f>
        <v>#REF!</v>
      </c>
      <c r="C104">
        <f>物品!E167</f>
        <v>0</v>
      </c>
      <c r="D104">
        <f>物品!F167</f>
        <v>0</v>
      </c>
      <c r="E104">
        <f>IF(ISTEXT(物品!G167)=TRUE,"'"&amp;物品!G167&amp;"'",物品!G167)</f>
        <v>0</v>
      </c>
      <c r="F104">
        <f>IF(ISTEXT(物品!H167)=TRUE,"'"&amp;物品!H167&amp;"'",物品!H167)</f>
        <v>0</v>
      </c>
      <c r="G104">
        <f>IF(物品!I167="",0,"'"&amp;物品!I167&amp;"'")</f>
        <v>0</v>
      </c>
      <c r="H104">
        <f>IF(物品!R167="",0,物品!R167)</f>
        <v>2100</v>
      </c>
      <c r="I104">
        <f>IF(物品!S167="",0,物品!S167)</f>
        <v>-5120</v>
      </c>
      <c r="J104" t="str">
        <f>IF(物品!C167="",0,""""&amp;物品!C167&amp;"""")</f>
        <v>"|CffFF0000天人五衰劫|r"</v>
      </c>
      <c r="K104" t="str">
        <f>IF(物品!T167="","""""",""""&amp;物品!T167&amp;"""")</f>
        <v>"渡过该劫后可结成|Cffff0000至圣道果|r。|n|n|Cffff0000至圣道果：|r|n攻击+450000|n生命值+1800000|n物理伤害+25%|n法术伤害+25%|n杀敌攻击+8|n杀敌业力+1|n杀敌生命+30|n"</v>
      </c>
      <c r="L104" t="str">
        <f>IF(物品!U167="",0,""""&amp;物品!U167&amp;"""")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+450000|n生命值+1800000|n物理伤害+25%|n法术伤害+25%|n杀敌攻击+8|n杀敌业力+1|n杀敌生命+30|n")</v>
      </c>
    </row>
    <row r="105" spans="1:14">
      <c r="A105" t="str">
        <f>IF(物品!B168="",0,"'"&amp;物品!B168&amp;"'")</f>
        <v>'IT10'</v>
      </c>
      <c r="B105" t="e">
        <f>物品!#REF!</f>
        <v>#REF!</v>
      </c>
      <c r="C105">
        <f>物品!E168</f>
        <v>0</v>
      </c>
      <c r="D105">
        <f>物品!F168</f>
        <v>0</v>
      </c>
      <c r="E105">
        <f>IF(ISTEXT(物品!G168)=TRUE,"'"&amp;物品!G168&amp;"'",物品!G168)</f>
        <v>0</v>
      </c>
      <c r="F105">
        <f>IF(ISTEXT(物品!H168)=TRUE,"'"&amp;物品!H168&amp;"'",物品!H168)</f>
        <v>0</v>
      </c>
      <c r="G105">
        <f>IF(物品!I168="",0,"'"&amp;物品!I168&amp;"'")</f>
        <v>0</v>
      </c>
      <c r="H105">
        <f>IF(物品!R168="",0,物品!R168)</f>
        <v>2268</v>
      </c>
      <c r="I105">
        <f>IF(物品!S168="",0,物品!S168)</f>
        <v>-8065</v>
      </c>
      <c r="J105" t="str">
        <f>IF(物品!C168="",0,""""&amp;物品!C168&amp;"""")</f>
        <v>"|CffFF0000混元灭世劫|r"</v>
      </c>
      <c r="K105" t="str">
        <f>IF(物品!T168="","""""",""""&amp;物品!T168&amp;"""")</f>
        <v>"渡过该劫后可结成|Cffff0000混沌道果|r。|n|n|Cffff0000混沌道果：|r|n攻击+750000|n生命值+3000000|n物理伤害+30%|n法术伤害+30%|n杀敌攻击+8|n杀敌业力+1|n杀敌生命+30|n"</v>
      </c>
      <c r="L105" t="str">
        <f>IF(物品!U168="",0,""""&amp;物品!U168&amp;"""")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+750000|n生命值+3000000|n物理伤害+30%|n法术伤害+30%|n杀敌攻击+8|n杀敌业力+1|n杀敌生命+30|n")</v>
      </c>
    </row>
    <row r="106" spans="1:14">
      <c r="A106" t="str">
        <f>IF(物品!B169="",0,"'"&amp;物品!B169&amp;"'")</f>
        <v>'IT11'</v>
      </c>
      <c r="B106" t="e">
        <f>物品!#REF!</f>
        <v>#REF!</v>
      </c>
      <c r="C106">
        <f>物品!E169</f>
        <v>0</v>
      </c>
      <c r="D106">
        <f>物品!F169</f>
        <v>0</v>
      </c>
      <c r="E106">
        <f>IF(ISTEXT(物品!G169)=TRUE,"'"&amp;物品!G169&amp;"'",物品!G169)</f>
        <v>0</v>
      </c>
      <c r="F106">
        <f>IF(ISTEXT(物品!H169)=TRUE,"'"&amp;物品!H169&amp;"'",物品!H169)</f>
        <v>0</v>
      </c>
      <c r="G106">
        <f>IF(物品!I169="",0,"'"&amp;物品!I169&amp;"'")</f>
        <v>0</v>
      </c>
      <c r="H106">
        <f>IF(物品!R169="",0,物品!R169)</f>
        <v>0</v>
      </c>
      <c r="I106">
        <f>IF(物品!S169="",0,物品!S169)</f>
        <v>0</v>
      </c>
      <c r="J106" t="str">
        <f>IF(物品!C169="",0,""""&amp;物品!C169&amp;"""")</f>
        <v>"斩三尸"</v>
      </c>
      <c r="K106" t="str">
        <f>IF(物品!T169="","""""",""""&amp;物品!T169&amp;"""")</f>
        <v>"境界挑战11"</v>
      </c>
      <c r="L106" t="str">
        <f>IF(物品!U169="",0,""""&amp;物品!U169&amp;"""")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IF(物品!B170="",0,"'"&amp;物品!B170&amp;"'")</f>
        <v>'IT12'</v>
      </c>
      <c r="B107" t="e">
        <f>物品!#REF!</f>
        <v>#REF!</v>
      </c>
      <c r="C107">
        <f>物品!E170</f>
        <v>0</v>
      </c>
      <c r="D107">
        <f>物品!F170</f>
        <v>0</v>
      </c>
      <c r="E107">
        <f>IF(ISTEXT(物品!G170)=TRUE,"'"&amp;物品!G170&amp;"'",物品!G170)</f>
        <v>0</v>
      </c>
      <c r="F107">
        <f>IF(ISTEXT(物品!H170)=TRUE,"'"&amp;物品!H170&amp;"'",物品!H170)</f>
        <v>0</v>
      </c>
      <c r="G107">
        <f>IF(物品!I170="",0,"'"&amp;物品!I170&amp;"'")</f>
        <v>0</v>
      </c>
      <c r="H107">
        <f>IF(物品!R170="",0,物品!R170)</f>
        <v>0</v>
      </c>
      <c r="I107">
        <f>IF(物品!S170="",0,物品!S170)</f>
        <v>0</v>
      </c>
      <c r="J107" t="str">
        <f>IF(物品!C170="",0,""""&amp;物品!C170&amp;"""")</f>
        <v>"无量量劫"</v>
      </c>
      <c r="K107" t="str">
        <f>IF(物品!T170="","""""",""""&amp;物品!T170&amp;"""")</f>
        <v>"境界挑战12"</v>
      </c>
      <c r="L107" t="str">
        <f>IF(物品!U170="",0,""""&amp;物品!U170&amp;"""")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IF(物品!B171="",0,"'"&amp;物品!B171&amp;"'")</f>
        <v>'IT13'</v>
      </c>
      <c r="B108" t="e">
        <f>物品!#REF!</f>
        <v>#REF!</v>
      </c>
      <c r="C108">
        <f>物品!E171</f>
        <v>0</v>
      </c>
      <c r="D108">
        <f>物品!F171</f>
        <v>0</v>
      </c>
      <c r="E108">
        <f>IF(ISTEXT(物品!G171)=TRUE,"'"&amp;物品!G171&amp;"'",物品!G171)</f>
        <v>0</v>
      </c>
      <c r="F108">
        <f>IF(ISTEXT(物品!H171)=TRUE,"'"&amp;物品!H171&amp;"'",物品!H171)</f>
        <v>0</v>
      </c>
      <c r="G108">
        <f>IF(物品!I171="",0,"'"&amp;物品!I171&amp;"'")</f>
        <v>0</v>
      </c>
      <c r="H108">
        <f>IF(物品!R171="",0,物品!R171)</f>
        <v>0</v>
      </c>
      <c r="I108">
        <f>IF(物品!S171="",0,物品!S171)</f>
        <v>0</v>
      </c>
      <c r="J108" t="str">
        <f>IF(物品!C171="",0,""""&amp;物品!C171&amp;"""")</f>
        <v>"鸿钧对练"</v>
      </c>
      <c r="K108" t="str">
        <f>IF(物品!T171="","""""",""""&amp;物品!T171&amp;"""")</f>
        <v>"境界挑战13"</v>
      </c>
      <c r="L108" t="str">
        <f>IF(物品!U171="",0,""""&amp;物品!U171&amp;"""")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IF(物品!B172="",0,"'"&amp;物品!B172&amp;"'")</f>
        <v>'IT14'</v>
      </c>
      <c r="B109" t="e">
        <f>物品!#REF!</f>
        <v>#REF!</v>
      </c>
      <c r="C109">
        <f>物品!E172</f>
        <v>0</v>
      </c>
      <c r="D109">
        <f>物品!F172</f>
        <v>0</v>
      </c>
      <c r="E109">
        <f>IF(ISTEXT(物品!G172)=TRUE,"'"&amp;物品!G172&amp;"'",物品!G172)</f>
        <v>0</v>
      </c>
      <c r="F109">
        <f>IF(ISTEXT(物品!H172)=TRUE,"'"&amp;物品!H172&amp;"'",物品!H172)</f>
        <v>0</v>
      </c>
      <c r="G109">
        <f>IF(物品!I172="",0,"'"&amp;物品!I172&amp;"'")</f>
        <v>0</v>
      </c>
      <c r="H109">
        <f>IF(物品!R172="",0,物品!R172)</f>
        <v>0</v>
      </c>
      <c r="I109">
        <f>IF(物品!S172="",0,物品!S172)</f>
        <v>0</v>
      </c>
      <c r="J109" t="str">
        <f>IF(物品!C172="",0,""""&amp;物品!C172&amp;"""")</f>
        <v>"境界挑战14"</v>
      </c>
      <c r="K109" t="str">
        <f>IF(物品!T172="","""""",""""&amp;物品!T172&amp;"""")</f>
        <v>"境界挑战14"</v>
      </c>
      <c r="L109" t="str">
        <f>IF(物品!U172="",0,""""&amp;物品!U172&amp;"""")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IF(物品!B177="",0,"'"&amp;物品!B177&amp;"'")</f>
        <v>'IS02'</v>
      </c>
      <c r="B110" t="e">
        <f>物品!#REF!</f>
        <v>#REF!</v>
      </c>
      <c r="C110">
        <f>物品!E177</f>
        <v>0</v>
      </c>
      <c r="D110">
        <f>物品!F177</f>
        <v>0</v>
      </c>
      <c r="E110">
        <f>IF(ISTEXT(物品!G177)=TRUE,"'"&amp;物品!G177&amp;"'",物品!G177)</f>
        <v>0</v>
      </c>
      <c r="F110">
        <f>IF(ISTEXT(物品!H177)=TRUE,"'"&amp;物品!H177&amp;"'",物品!H177)</f>
        <v>0</v>
      </c>
      <c r="G110">
        <f>IF(物品!I177="",0,"'"&amp;物品!I177&amp;"'")</f>
        <v>0</v>
      </c>
      <c r="H110">
        <f>IF(物品!R177="",0,物品!R177)</f>
        <v>0</v>
      </c>
      <c r="I110">
        <f>IF(物品!S177="",0,物品!S177)</f>
        <v>0</v>
      </c>
      <c r="J110" t="str">
        <f>IF(物品!C177="",0,""""&amp;物品!C177&amp;"""")</f>
        <v>"学习W技能"</v>
      </c>
      <c r="K110" t="str">
        <f>IF(物品!T177="","""""",""""&amp;物品!T177&amp;"""")</f>
        <v>"学习或重置当前|cffffd24dW技能|r。|n|cffffcc00抽取消耗：|r5000金币*次数|n|cffffcc00抽取次数：|r0/10|n|n|cff00ff7f单局最多抽取10次|r"</v>
      </c>
      <c r="L110" t="str">
        <f>IF(物品!U177="",0,""""&amp;物品!U177&amp;"""")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IF(物品!B178="",0,"'"&amp;物品!B178&amp;"'")</f>
        <v>'IS03'</v>
      </c>
      <c r="B111" t="e">
        <f>物品!#REF!</f>
        <v>#REF!</v>
      </c>
      <c r="C111">
        <f>物品!E178</f>
        <v>0</v>
      </c>
      <c r="D111">
        <f>物品!F178</f>
        <v>0</v>
      </c>
      <c r="E111">
        <f>IF(ISTEXT(物品!G178)=TRUE,"'"&amp;物品!G178&amp;"'",物品!G178)</f>
        <v>0</v>
      </c>
      <c r="F111">
        <f>IF(ISTEXT(物品!H178)=TRUE,"'"&amp;物品!H178&amp;"'",物品!H178)</f>
        <v>0</v>
      </c>
      <c r="G111">
        <f>IF(物品!I178="",0,"'"&amp;物品!I178&amp;"'")</f>
        <v>0</v>
      </c>
      <c r="H111">
        <f>IF(物品!R178="",0,物品!R178)</f>
        <v>0</v>
      </c>
      <c r="I111">
        <f>IF(物品!S178="",0,物品!S178)</f>
        <v>0</v>
      </c>
      <c r="J111" t="str">
        <f>IF(物品!C178="",0,""""&amp;物品!C178&amp;"""")</f>
        <v>"学习E技能"</v>
      </c>
      <c r="K111" t="str">
        <f>IF(物品!T178="","""""",""""&amp;物品!T178&amp;"""")</f>
        <v>"学习或重置当前|cffffd24dE技能|r。|n|cffffcc00抽取消耗：|r20000金币*次数|n|cffffcc00抽取次数：|r0/10|n|n|cff00ff7f单局最多抽取10次|r"</v>
      </c>
      <c r="L111" t="str">
        <f>IF(物品!U178="",0,""""&amp;物品!U178&amp;"""")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InitTypeIdStrings('IS03',"学习E技能","ReplaceableTextures\\CommandButtons\\BTN003.blp","学习或重置当前|cffffd24dE技能|r。|n|cffffcc00抽取消耗：|r20000金币*次数|n|cffffcc00抽取次数：|r0/10|n|n|cff00ff7f单局最多抽取10次|r")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IF(物品!B186="",0,"'"&amp;物品!B186&amp;"'")</f>
        <v>'IS12'</v>
      </c>
      <c r="B114" t="e">
        <f>物品!#REF!</f>
        <v>#REF!</v>
      </c>
      <c r="C114">
        <f>物品!E186</f>
        <v>0</v>
      </c>
      <c r="D114">
        <f>物品!F186</f>
        <v>0</v>
      </c>
      <c r="E114">
        <f>IF(ISTEXT(物品!G186)=TRUE,"'"&amp;物品!G186&amp;"'",物品!G186)</f>
        <v>0</v>
      </c>
      <c r="F114">
        <f>IF(ISTEXT(物品!H186)=TRUE,"'"&amp;物品!H186&amp;"'",物品!H186)</f>
        <v>0</v>
      </c>
      <c r="G114">
        <f>IF(物品!I186="",0,"'"&amp;物品!I186&amp;"'")</f>
        <v>0</v>
      </c>
      <c r="H114">
        <f>IF(物品!R186="",0,物品!R186)</f>
        <v>0</v>
      </c>
      <c r="I114">
        <f>IF(物品!S186="",0,物品!S186)</f>
        <v>0</v>
      </c>
      <c r="J114" t="str">
        <f>IF(物品!C186="",0,""""&amp;物品!C186&amp;"""")</f>
        <v>"|CffFFD24D兽魂抽奖|r"</v>
      </c>
      <c r="K114" t="str">
        <f>IF(物品!T186="","""""",""""&amp;物品!T186&amp;"""")</f>
        <v>"|CffFFD24D兽魂抽奖|r"</v>
      </c>
      <c r="L114" t="str">
        <f>IF(物品!U186="",0,""""&amp;物品!U186&amp;"""")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IF(物品!B189="",0,"'"&amp;物品!B189&amp;"'")</f>
        <v>'IB01'</v>
      </c>
      <c r="B123" t="e">
        <f>物品!#REF!</f>
        <v>#REF!</v>
      </c>
      <c r="C123">
        <f>物品!E189</f>
        <v>0</v>
      </c>
      <c r="D123">
        <f>物品!F189</f>
        <v>0</v>
      </c>
      <c r="E123">
        <f>IF(ISTEXT(物品!G189)=TRUE,"'"&amp;物品!G189&amp;"'",物品!G189)</f>
        <v>0</v>
      </c>
      <c r="F123">
        <f>IF(ISTEXT(物品!H189)=TRUE,"'"&amp;物品!H189&amp;"'",物品!H189)</f>
        <v>0</v>
      </c>
      <c r="G123">
        <f>IF(物品!I189="",0,"'"&amp;物品!I189&amp;"'")</f>
        <v>0</v>
      </c>
      <c r="H123">
        <f>IF(物品!R189="",0,物品!R189)</f>
        <v>0</v>
      </c>
      <c r="I123">
        <f>IF(物品!S189="",0,物品!S189)</f>
        <v>0</v>
      </c>
      <c r="J123" t="str">
        <f>IF(物品!C189="",0,""""&amp;物品!C189&amp;"""")</f>
        <v>"公众号礼包"</v>
      </c>
      <c r="K123" t="str">
        <f>IF(物品!T189="","""""",""""&amp;物品!T189&amp;"""")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IF(物品!U189="",0,""""&amp;物品!U189&amp;"""")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IF(物品!B190="",0,"'"&amp;物品!B190&amp;"'")</f>
        <v>'IB02'</v>
      </c>
      <c r="B124" t="e">
        <f>物品!#REF!</f>
        <v>#REF!</v>
      </c>
      <c r="C124">
        <f>物品!E190</f>
        <v>0</v>
      </c>
      <c r="D124">
        <f>物品!F190</f>
        <v>0</v>
      </c>
      <c r="E124">
        <f>IF(ISTEXT(物品!G190)=TRUE,"'"&amp;物品!G190&amp;"'",物品!G190)</f>
        <v>0</v>
      </c>
      <c r="F124">
        <f>IF(ISTEXT(物品!H190)=TRUE,"'"&amp;物品!H190&amp;"'",物品!H190)</f>
        <v>0</v>
      </c>
      <c r="G124">
        <f>IF(物品!I190="",0,"'"&amp;物品!I190&amp;"'")</f>
        <v>0</v>
      </c>
      <c r="H124">
        <f>IF(物品!R190="",0,物品!R190)</f>
        <v>0</v>
      </c>
      <c r="I124">
        <f>IF(物品!S190="",0,物品!S190)</f>
        <v>0</v>
      </c>
      <c r="J124" t="str">
        <f>IF(物品!C190="",0,""""&amp;物品!C190&amp;"""")</f>
        <v>"入群礼包"</v>
      </c>
      <c r="K124" t="str">
        <f>IF(物品!T190="","""""",""""&amp;物品!T190&amp;"""")</f>
        <v>"加入《|cff00ffcc全民封神|r》官方QQ群，即可获得入群礼包码！|n|n输入礼包码即可获得：|n|cff00ff7f招魂幡Lv2|r"</v>
      </c>
      <c r="L124" t="str">
        <f>IF(物品!U190="",0,""""&amp;物品!U190&amp;"""")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IF(物品!B191="",0,"'"&amp;物品!B191&amp;"'")</f>
        <v>'IB03'</v>
      </c>
      <c r="B125" t="e">
        <f>物品!#REF!</f>
        <v>#REF!</v>
      </c>
      <c r="C125">
        <f>物品!E191</f>
        <v>0</v>
      </c>
      <c r="D125">
        <f>物品!F191</f>
        <v>0</v>
      </c>
      <c r="E125">
        <f>IF(ISTEXT(物品!G191)=TRUE,"'"&amp;物品!G191&amp;"'",物品!G191)</f>
        <v>0</v>
      </c>
      <c r="F125">
        <f>IF(ISTEXT(物品!H191)=TRUE,"'"&amp;物品!H191&amp;"'",物品!H191)</f>
        <v>0</v>
      </c>
      <c r="G125">
        <f>IF(物品!I191="",0,"'"&amp;物品!I191&amp;"'")</f>
        <v>0</v>
      </c>
      <c r="H125">
        <f>IF(物品!R191="",0,物品!R191)</f>
        <v>0</v>
      </c>
      <c r="I125">
        <f>IF(物品!S191="",0,物品!S191)</f>
        <v>0</v>
      </c>
      <c r="J125" t="str">
        <f>IF(物品!C191="",0,""""&amp;物品!C191&amp;"""")</f>
        <v>"拜年礼包"</v>
      </c>
      <c r="K125" t="str">
        <f>IF(物品!T191="","""""",""""&amp;物品!T191&amp;"""")</f>
        <v>"|cff99ccff给与地图有效评论建议|r即可领取：|n|cffffff00杀敌生命+5+3*通行证等级|n杀敌业力+1|n|n|r|cff808080地图等级达到3级可领取|r"</v>
      </c>
      <c r="L125" t="str">
        <f>IF(物品!U191="",0,""""&amp;物品!U191&amp;"""")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IF(物品!B192="",0,"'"&amp;物品!B192&amp;"'")</f>
        <v>'IB04'</v>
      </c>
      <c r="B126" t="e">
        <f>物品!#REF!</f>
        <v>#REF!</v>
      </c>
      <c r="C126">
        <f>物品!E192</f>
        <v>0</v>
      </c>
      <c r="D126">
        <f>物品!F192</f>
        <v>0</v>
      </c>
      <c r="E126">
        <f>IF(ISTEXT(物品!G192)=TRUE,"'"&amp;物品!G192&amp;"'",物品!G192)</f>
        <v>0</v>
      </c>
      <c r="F126">
        <f>IF(ISTEXT(物品!H192)=TRUE,"'"&amp;物品!H192&amp;"'",物品!H192)</f>
        <v>0</v>
      </c>
      <c r="G126">
        <f>IF(物品!I192="",0,"'"&amp;物品!I192&amp;"'")</f>
        <v>0</v>
      </c>
      <c r="H126">
        <f>IF(物品!R192="",0,物品!R192)</f>
        <v>0</v>
      </c>
      <c r="I126">
        <f>IF(物品!S192="",0,物品!S192)</f>
        <v>0</v>
      </c>
      <c r="J126" t="str">
        <f>IF(物品!C192="",0,""""&amp;物品!C192&amp;"""")</f>
        <v>"收藏礼包"</v>
      </c>
      <c r="K126" t="str">
        <f>IF(物品!T192="","""""",""""&amp;物品!T192&amp;"""")</f>
        <v>"|cff99ccff房间大厅界面点击右上角《|r|cffcc99ff收藏|r|cff99ccff》后可领取该礼包。|n|n|r属性：|n|cffffcc33物理伤害+5%|n法术伤害+5%|r"</v>
      </c>
      <c r="L126" t="str">
        <f>IF(物品!U192="",0,""""&amp;物品!U192&amp;"""")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IF(物品!B193="",0,"'"&amp;物品!B193&amp;"'")</f>
        <v>'IB05'</v>
      </c>
      <c r="B127" t="e">
        <f>物品!#REF!</f>
        <v>#REF!</v>
      </c>
      <c r="C127">
        <f>物品!E193</f>
        <v>0</v>
      </c>
      <c r="D127">
        <f>物品!F193</f>
        <v>0</v>
      </c>
      <c r="E127">
        <f>IF(ISTEXT(物品!G193)=TRUE,"'"&amp;物品!G193&amp;"'",物品!G193)</f>
        <v>0</v>
      </c>
      <c r="F127">
        <f>IF(ISTEXT(物品!H193)=TRUE,"'"&amp;物品!H193&amp;"'",物品!H193)</f>
        <v>0</v>
      </c>
      <c r="G127">
        <f>IF(物品!I193="",0,"'"&amp;物品!I193&amp;"'")</f>
        <v>0</v>
      </c>
      <c r="H127">
        <f>IF(物品!R193="",0,物品!R193)</f>
        <v>0</v>
      </c>
      <c r="I127">
        <f>IF(物品!S193="",0,物品!S193)</f>
        <v>0</v>
      </c>
      <c r="J127" t="str">
        <f>IF(物品!C193="",0,""""&amp;物品!C193&amp;"""")</f>
        <v>"重置版礼包"</v>
      </c>
      <c r="K127" t="str">
        <f>IF(物品!T193="","""""",""""&amp;物品!T193&amp;"""")</f>
        <v>"|cff33ff00购买魔兽重制版可领取该礼包！|n|n|r属性：|n|cffffcc33金币+2000|n每秒攻击+2|n每秒业力+1|r"</v>
      </c>
      <c r="L127" t="str">
        <f>IF(物品!U193="",0,""""&amp;物品!U193&amp;"""")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IF(物品!B207="",0,"'"&amp;物品!B207&amp;"'")</f>
        <v>'IF01'</v>
      </c>
      <c r="B128">
        <f>物品!D124</f>
        <v>0</v>
      </c>
      <c r="C128">
        <f>物品!E207</f>
        <v>0</v>
      </c>
      <c r="D128">
        <f>物品!F207</f>
        <v>0</v>
      </c>
      <c r="E128">
        <f>IF(ISTEXT(物品!G207)=TRUE,"'"&amp;物品!G207&amp;"'",物品!G207)</f>
        <v>0</v>
      </c>
      <c r="F128">
        <f>IF(ISTEXT(物品!H207)=TRUE,"'"&amp;物品!H207&amp;"'",物品!H207)</f>
        <v>0</v>
      </c>
      <c r="G128">
        <f>IF(物品!I207="",0,"'"&amp;物品!I207&amp;"'")</f>
        <v>0</v>
      </c>
      <c r="H128">
        <f>IF(物品!R207="",0,物品!R207)</f>
        <v>0</v>
      </c>
      <c r="I128">
        <f>IF(物品!S207="",0,物品!S207)</f>
        <v>0</v>
      </c>
      <c r="J128" t="str">
        <f>IF(物品!C207="",0,""""&amp;物品!C207&amp;"""")</f>
        <v>"附魔"</v>
      </c>
      <c r="K128" t="str">
        <f>IF(物品!T207="","""""",""""&amp;物品!T207&amp;"""")</f>
        <v>""</v>
      </c>
      <c r="L128">
        <f>IF(物品!U207="",0,""""&amp;物品!U207&amp;"""")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IF(物品!B208="",0,"'"&amp;物品!B208&amp;"'")</f>
        <v>'IF02'</v>
      </c>
      <c r="B129" t="e">
        <f>物品!#REF!</f>
        <v>#REF!</v>
      </c>
      <c r="C129">
        <f>物品!E208</f>
        <v>0</v>
      </c>
      <c r="D129">
        <f>物品!F208</f>
        <v>0</v>
      </c>
      <c r="E129">
        <f>IF(ISTEXT(物品!G208)=TRUE,"'"&amp;物品!G208&amp;"'",物品!G208)</f>
        <v>0</v>
      </c>
      <c r="F129">
        <f>IF(ISTEXT(物品!H208)=TRUE,"'"&amp;物品!H208&amp;"'",物品!H208)</f>
        <v>0</v>
      </c>
      <c r="G129">
        <f>IF(物品!I208="",0,"'"&amp;物品!I208&amp;"'")</f>
        <v>0</v>
      </c>
      <c r="H129">
        <f>IF(物品!R208="",0,物品!R208)</f>
        <v>0</v>
      </c>
      <c r="I129">
        <f>IF(物品!S208="",0,物品!S208)</f>
        <v>0</v>
      </c>
      <c r="J129" t="str">
        <f>IF(物品!C208="",0,""""&amp;物品!C208&amp;"""")</f>
        <v>"附魔"</v>
      </c>
      <c r="K129" t="str">
        <f>IF(物品!T208="","""""",""""&amp;物品!T208&amp;"""")</f>
        <v>""</v>
      </c>
      <c r="L129">
        <f>IF(物品!U208="",0,""""&amp;物品!U208&amp;"""")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IF(物品!B209="",0,"'"&amp;物品!B209&amp;"'")</f>
        <v>'IF03'</v>
      </c>
      <c r="B130" t="e">
        <f>物品!#REF!</f>
        <v>#REF!</v>
      </c>
      <c r="C130">
        <f>物品!E209</f>
        <v>0</v>
      </c>
      <c r="D130">
        <f>物品!F209</f>
        <v>0</v>
      </c>
      <c r="E130">
        <f>IF(ISTEXT(物品!G209)=TRUE,"'"&amp;物品!G209&amp;"'",物品!G209)</f>
        <v>0</v>
      </c>
      <c r="F130">
        <f>IF(ISTEXT(物品!H209)=TRUE,"'"&amp;物品!H209&amp;"'",物品!H209)</f>
        <v>0</v>
      </c>
      <c r="G130">
        <f>IF(物品!I209="",0,"'"&amp;物品!I209&amp;"'")</f>
        <v>0</v>
      </c>
      <c r="H130">
        <f>IF(物品!R209="",0,物品!R209)</f>
        <v>0</v>
      </c>
      <c r="I130">
        <f>IF(物品!S209="",0,物品!S209)</f>
        <v>0</v>
      </c>
      <c r="J130" t="str">
        <f>IF(物品!C209="",0,""""&amp;物品!C209&amp;"""")</f>
        <v>"附魔"</v>
      </c>
      <c r="K130" t="str">
        <f>IF(物品!T209="","""""",""""&amp;物品!T209&amp;"""")</f>
        <v>""</v>
      </c>
      <c r="L130">
        <f>IF(物品!U209="",0,""""&amp;物品!U209&amp;"""")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IF(物品!B210="",0,"'"&amp;物品!B210&amp;"'")</f>
        <v>'IF04'</v>
      </c>
      <c r="B131" t="e">
        <f>物品!#REF!</f>
        <v>#REF!</v>
      </c>
      <c r="C131">
        <f>物品!E210</f>
        <v>0</v>
      </c>
      <c r="D131">
        <f>物品!F210</f>
        <v>0</v>
      </c>
      <c r="E131">
        <f>IF(ISTEXT(物品!G210)=TRUE,"'"&amp;物品!G210&amp;"'",物品!G210)</f>
        <v>0</v>
      </c>
      <c r="F131">
        <f>IF(ISTEXT(物品!H210)=TRUE,"'"&amp;物品!H210&amp;"'",物品!H210)</f>
        <v>0</v>
      </c>
      <c r="G131">
        <f>IF(物品!I210="",0,"'"&amp;物品!I210&amp;"'")</f>
        <v>0</v>
      </c>
      <c r="H131">
        <f>IF(物品!R210="",0,物品!R210)</f>
        <v>0</v>
      </c>
      <c r="I131">
        <f>IF(物品!S210="",0,物品!S210)</f>
        <v>0</v>
      </c>
      <c r="J131" t="str">
        <f>IF(物品!C210="",0,""""&amp;物品!C210&amp;"""")</f>
        <v>"附魔"</v>
      </c>
      <c r="K131" t="str">
        <f>IF(物品!T210="","""""",""""&amp;物品!T210&amp;"""")</f>
        <v>""</v>
      </c>
      <c r="L131">
        <f>IF(物品!U210="",0,""""&amp;物品!U210&amp;"""")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IF(物品!B211="",0,"'"&amp;物品!B211&amp;"'")</f>
        <v>'IF05'</v>
      </c>
      <c r="B132" t="e">
        <f>物品!#REF!</f>
        <v>#REF!</v>
      </c>
      <c r="C132">
        <f>物品!E211</f>
        <v>0</v>
      </c>
      <c r="D132">
        <f>物品!F211</f>
        <v>0</v>
      </c>
      <c r="E132">
        <f>IF(ISTEXT(物品!G211)=TRUE,"'"&amp;物品!G211&amp;"'",物品!G211)</f>
        <v>0</v>
      </c>
      <c r="F132">
        <f>IF(ISTEXT(物品!H211)=TRUE,"'"&amp;物品!H211&amp;"'",物品!H211)</f>
        <v>0</v>
      </c>
      <c r="G132">
        <f>IF(物品!I211="",0,"'"&amp;物品!I211&amp;"'")</f>
        <v>0</v>
      </c>
      <c r="H132">
        <f>IF(物品!R211="",0,物品!R211)</f>
        <v>0</v>
      </c>
      <c r="I132">
        <f>IF(物品!S211="",0,物品!S211)</f>
        <v>0</v>
      </c>
      <c r="J132" t="str">
        <f>IF(物品!C211="",0,""""&amp;物品!C211&amp;"""")</f>
        <v>"附魔"</v>
      </c>
      <c r="K132" t="str">
        <f>IF(物品!T211="","""""",""""&amp;物品!T211&amp;"""")</f>
        <v>""</v>
      </c>
      <c r="L132">
        <f>IF(物品!U211="",0,""""&amp;物品!U211&amp;"""")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IF(物品!B212="",0,"'"&amp;物品!B212&amp;"'")</f>
        <v>'IF06'</v>
      </c>
      <c r="B133" t="e">
        <f>物品!#REF!</f>
        <v>#REF!</v>
      </c>
      <c r="C133">
        <f>物品!E212</f>
        <v>0</v>
      </c>
      <c r="D133">
        <f>物品!F212</f>
        <v>0</v>
      </c>
      <c r="E133">
        <f>IF(ISTEXT(物品!G212)=TRUE,"'"&amp;物品!G212&amp;"'",物品!G212)</f>
        <v>0</v>
      </c>
      <c r="F133">
        <f>IF(ISTEXT(物品!H212)=TRUE,"'"&amp;物品!H212&amp;"'",物品!H212)</f>
        <v>0</v>
      </c>
      <c r="G133">
        <f>IF(物品!I212="",0,"'"&amp;物品!I212&amp;"'")</f>
        <v>0</v>
      </c>
      <c r="H133">
        <f>IF(物品!R212="",0,物品!R212)</f>
        <v>0</v>
      </c>
      <c r="I133">
        <f>IF(物品!S212="",0,物品!S212)</f>
        <v>0</v>
      </c>
      <c r="J133" t="str">
        <f>IF(物品!C212="",0,""""&amp;物品!C212&amp;"""")</f>
        <v>"附魔"</v>
      </c>
      <c r="K133" t="str">
        <f>IF(物品!T212="","""""",""""&amp;物品!T212&amp;"""")</f>
        <v>""</v>
      </c>
      <c r="L133">
        <f>IF(物品!U212="",0,""""&amp;物品!U212&amp;"""")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IF(物品!B213="",0,"'"&amp;物品!B213&amp;"'")</f>
        <v>'IF07'</v>
      </c>
      <c r="B134" t="e">
        <f>物品!#REF!</f>
        <v>#REF!</v>
      </c>
      <c r="C134">
        <f>物品!E213</f>
        <v>0</v>
      </c>
      <c r="D134">
        <f>物品!F213</f>
        <v>0</v>
      </c>
      <c r="E134">
        <f>IF(ISTEXT(物品!G213)=TRUE,"'"&amp;物品!G213&amp;"'",物品!G213)</f>
        <v>0</v>
      </c>
      <c r="F134">
        <f>IF(ISTEXT(物品!H213)=TRUE,"'"&amp;物品!H213&amp;"'",物品!H213)</f>
        <v>0</v>
      </c>
      <c r="G134">
        <f>IF(物品!I213="",0,"'"&amp;物品!I213&amp;"'")</f>
        <v>0</v>
      </c>
      <c r="H134">
        <f>IF(物品!R213="",0,物品!R213)</f>
        <v>0</v>
      </c>
      <c r="I134">
        <f>IF(物品!S213="",0,物品!S213)</f>
        <v>0</v>
      </c>
      <c r="J134" t="str">
        <f>IF(物品!C213="",0,""""&amp;物品!C213&amp;"""")</f>
        <v>"附魔"</v>
      </c>
      <c r="K134" t="str">
        <f>IF(物品!T213="","""""",""""&amp;物品!T213&amp;"""")</f>
        <v>""</v>
      </c>
      <c r="L134">
        <f>IF(物品!U213="",0,""""&amp;物品!U213&amp;"""")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IF(物品!B214="",0,"'"&amp;物品!B214&amp;"'")</f>
        <v>'IF08'</v>
      </c>
      <c r="B135">
        <f>物品!D125</f>
        <v>0</v>
      </c>
      <c r="C135">
        <f>物品!E214</f>
        <v>0</v>
      </c>
      <c r="D135">
        <f>物品!F214</f>
        <v>0</v>
      </c>
      <c r="E135">
        <f>IF(ISTEXT(物品!G214)=TRUE,"'"&amp;物品!G214&amp;"'",物品!G214)</f>
        <v>0</v>
      </c>
      <c r="F135">
        <f>IF(ISTEXT(物品!H214)=TRUE,"'"&amp;物品!H214&amp;"'",物品!H214)</f>
        <v>0</v>
      </c>
      <c r="G135">
        <f>IF(物品!I214="",0,"'"&amp;物品!I214&amp;"'")</f>
        <v>0</v>
      </c>
      <c r="H135">
        <f>IF(物品!R214="",0,物品!R214)</f>
        <v>0</v>
      </c>
      <c r="I135">
        <f>IF(物品!S214="",0,物品!S214)</f>
        <v>0</v>
      </c>
      <c r="J135" t="str">
        <f>IF(物品!C214="",0,""""&amp;物品!C214&amp;"""")</f>
        <v>"附魔"</v>
      </c>
      <c r="K135" t="str">
        <f>IF(物品!T214="","""""",""""&amp;物品!T214&amp;"""")</f>
        <v>""</v>
      </c>
      <c r="L135">
        <f>IF(物品!U214="",0,""""&amp;物品!U214&amp;"""")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IF(物品!B215="",0,"'"&amp;物品!B215&amp;"'")</f>
        <v>'IF09'</v>
      </c>
      <c r="B136">
        <f>物品!D126</f>
        <v>0</v>
      </c>
      <c r="C136">
        <f>物品!E215</f>
        <v>0</v>
      </c>
      <c r="D136">
        <f>物品!F215</f>
        <v>0</v>
      </c>
      <c r="E136">
        <f>IF(ISTEXT(物品!G215)=TRUE,"'"&amp;物品!G215&amp;"'",物品!G215)</f>
        <v>0</v>
      </c>
      <c r="F136">
        <f>IF(ISTEXT(物品!H215)=TRUE,"'"&amp;物品!H215&amp;"'",物品!H215)</f>
        <v>0</v>
      </c>
      <c r="G136">
        <f>IF(物品!I215="",0,"'"&amp;物品!I215&amp;"'")</f>
        <v>0</v>
      </c>
      <c r="H136">
        <f>IF(物品!R215="",0,物品!R215)</f>
        <v>0</v>
      </c>
      <c r="I136">
        <f>IF(物品!S215="",0,物品!S215)</f>
        <v>0</v>
      </c>
      <c r="J136" t="str">
        <f>IF(物品!C215="",0,""""&amp;物品!C215&amp;"""")</f>
        <v>"附魔"</v>
      </c>
      <c r="K136" t="str">
        <f>IF(物品!T215="","""""",""""&amp;物品!T215&amp;"""")</f>
        <v>""</v>
      </c>
      <c r="L136">
        <f>IF(物品!U215="",0,""""&amp;物品!U215&amp;"""")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IF(物品!B216="",0,"'"&amp;物品!B216&amp;"'")</f>
        <v>'IF10'</v>
      </c>
      <c r="B137">
        <f>物品!D127</f>
        <v>0</v>
      </c>
      <c r="C137">
        <f>物品!E216</f>
        <v>0</v>
      </c>
      <c r="D137">
        <f>物品!F216</f>
        <v>0</v>
      </c>
      <c r="E137">
        <f>IF(ISTEXT(物品!G216)=TRUE,"'"&amp;物品!G216&amp;"'",物品!G216)</f>
        <v>0</v>
      </c>
      <c r="F137">
        <f>IF(ISTEXT(物品!H216)=TRUE,"'"&amp;物品!H216&amp;"'",物品!H216)</f>
        <v>0</v>
      </c>
      <c r="G137">
        <f>IF(物品!I216="",0,"'"&amp;物品!I216&amp;"'")</f>
        <v>0</v>
      </c>
      <c r="H137">
        <f>IF(物品!R216="",0,物品!R216)</f>
        <v>0</v>
      </c>
      <c r="I137">
        <f>IF(物品!S216="",0,物品!S216)</f>
        <v>0</v>
      </c>
      <c r="J137" t="str">
        <f>IF(物品!C216="",0,""""&amp;物品!C216&amp;"""")</f>
        <v>"附魔"</v>
      </c>
      <c r="K137" t="str">
        <f>IF(物品!T216="","""""",""""&amp;物品!T216&amp;"""")</f>
        <v>""</v>
      </c>
      <c r="L137">
        <f>IF(物品!U216="",0,""""&amp;物品!U216&amp;"""")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IF(物品!B217="",0,"'"&amp;物品!B217&amp;"'")</f>
        <v>'IF11'</v>
      </c>
      <c r="B138">
        <f>物品!D128</f>
        <v>0</v>
      </c>
      <c r="C138">
        <f>物品!E217</f>
        <v>0</v>
      </c>
      <c r="D138">
        <f>物品!F217</f>
        <v>0</v>
      </c>
      <c r="E138">
        <f>IF(ISTEXT(物品!G217)=TRUE,"'"&amp;物品!G217&amp;"'",物品!G217)</f>
        <v>0</v>
      </c>
      <c r="F138">
        <f>IF(ISTEXT(物品!H217)=TRUE,"'"&amp;物品!H217&amp;"'",物品!H217)</f>
        <v>0</v>
      </c>
      <c r="G138">
        <f>IF(物品!I217="",0,"'"&amp;物品!I217&amp;"'")</f>
        <v>0</v>
      </c>
      <c r="H138">
        <f>IF(物品!R217="",0,物品!R217)</f>
        <v>0</v>
      </c>
      <c r="I138">
        <f>IF(物品!S217="",0,物品!S217)</f>
        <v>0</v>
      </c>
      <c r="J138" t="str">
        <f>IF(物品!C217="",0,""""&amp;物品!C217&amp;"""")</f>
        <v>"附魔"</v>
      </c>
      <c r="K138" t="str">
        <f>IF(物品!T217="","""""",""""&amp;物品!T217&amp;"""")</f>
        <v>""</v>
      </c>
      <c r="L138">
        <f>IF(物品!U217="",0,""""&amp;物品!U217&amp;"""")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IF(物品!B218="",0,"'"&amp;物品!B218&amp;"'")</f>
        <v>'IF12'</v>
      </c>
      <c r="B139">
        <f>物品!D129</f>
        <v>0</v>
      </c>
      <c r="C139">
        <f>物品!E218</f>
        <v>0</v>
      </c>
      <c r="D139">
        <f>物品!F218</f>
        <v>0</v>
      </c>
      <c r="E139">
        <f>IF(ISTEXT(物品!G218)=TRUE,"'"&amp;物品!G218&amp;"'",物品!G218)</f>
        <v>0</v>
      </c>
      <c r="F139">
        <f>IF(ISTEXT(物品!H218)=TRUE,"'"&amp;物品!H218&amp;"'",物品!H218)</f>
        <v>0</v>
      </c>
      <c r="G139">
        <f>IF(物品!I218="",0,"'"&amp;物品!I218&amp;"'")</f>
        <v>0</v>
      </c>
      <c r="H139">
        <f>IF(物品!R218="",0,物品!R218)</f>
        <v>0</v>
      </c>
      <c r="I139">
        <f>IF(物品!S218="",0,物品!S218)</f>
        <v>0</v>
      </c>
      <c r="J139" t="str">
        <f>IF(物品!C218="",0,""""&amp;物品!C218&amp;"""")</f>
        <v>"附魔"</v>
      </c>
      <c r="K139" t="str">
        <f>IF(物品!T218="","""""",""""&amp;物品!T218&amp;"""")</f>
        <v>""</v>
      </c>
      <c r="L139">
        <f>IF(物品!U218="",0,""""&amp;物品!U218&amp;"""")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IF(物品!B219="",0,"'"&amp;物品!B219&amp;"'")</f>
        <v>'IF13'</v>
      </c>
      <c r="B140">
        <f>物品!D130</f>
        <v>0</v>
      </c>
      <c r="C140">
        <f>物品!E219</f>
        <v>0</v>
      </c>
      <c r="D140">
        <f>物品!F219</f>
        <v>0</v>
      </c>
      <c r="E140">
        <f>IF(ISTEXT(物品!G219)=TRUE,"'"&amp;物品!G219&amp;"'",物品!G219)</f>
        <v>0</v>
      </c>
      <c r="F140">
        <f>IF(ISTEXT(物品!H219)=TRUE,"'"&amp;物品!H219&amp;"'",物品!H219)</f>
        <v>0</v>
      </c>
      <c r="G140">
        <f>IF(物品!I219="",0,"'"&amp;物品!I219&amp;"'")</f>
        <v>0</v>
      </c>
      <c r="H140">
        <f>IF(物品!R219="",0,物品!R219)</f>
        <v>0</v>
      </c>
      <c r="I140">
        <f>IF(物品!S219="",0,物品!S219)</f>
        <v>0</v>
      </c>
      <c r="J140" t="str">
        <f>IF(物品!C219="",0,""""&amp;物品!C219&amp;"""")</f>
        <v>"附魔"</v>
      </c>
      <c r="K140" t="str">
        <f>IF(物品!T219="","""""",""""&amp;物品!T219&amp;"""")</f>
        <v>""</v>
      </c>
      <c r="L140">
        <f>IF(物品!U219="",0,""""&amp;物品!U219&amp;"""")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IF(物品!B220="",0,"'"&amp;物品!B220&amp;"'")</f>
        <v>'IF14'</v>
      </c>
      <c r="B141">
        <f>物品!D131</f>
        <v>0</v>
      </c>
      <c r="C141">
        <f>物品!E220</f>
        <v>0</v>
      </c>
      <c r="D141">
        <f>物品!F220</f>
        <v>0</v>
      </c>
      <c r="E141">
        <f>IF(ISTEXT(物品!G220)=TRUE,"'"&amp;物品!G220&amp;"'",物品!G220)</f>
        <v>0</v>
      </c>
      <c r="F141">
        <f>IF(ISTEXT(物品!H220)=TRUE,"'"&amp;物品!H220&amp;"'",物品!H220)</f>
        <v>0</v>
      </c>
      <c r="G141">
        <f>IF(物品!I220="",0,"'"&amp;物品!I220&amp;"'")</f>
        <v>0</v>
      </c>
      <c r="H141">
        <f>IF(物品!R220="",0,物品!R220)</f>
        <v>0</v>
      </c>
      <c r="I141">
        <f>IF(物品!S220="",0,物品!S220)</f>
        <v>0</v>
      </c>
      <c r="J141" t="str">
        <f>IF(物品!C220="",0,""""&amp;物品!C220&amp;"""")</f>
        <v>"附魔"</v>
      </c>
      <c r="K141" t="str">
        <f>IF(物品!T220="","""""",""""&amp;物品!T220&amp;"""")</f>
        <v>""</v>
      </c>
      <c r="L141">
        <f>IF(物品!U220="",0,""""&amp;物品!U220&amp;"""")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IF(物品!B221="",0,"'"&amp;物品!B221&amp;"'")</f>
        <v>'IF15'</v>
      </c>
      <c r="B142">
        <f>物品!D132</f>
        <v>0</v>
      </c>
      <c r="C142">
        <f>物品!E221</f>
        <v>0</v>
      </c>
      <c r="D142">
        <f>物品!F221</f>
        <v>0</v>
      </c>
      <c r="E142">
        <f>IF(ISTEXT(物品!G221)=TRUE,"'"&amp;物品!G221&amp;"'",物品!G221)</f>
        <v>0</v>
      </c>
      <c r="F142">
        <f>IF(ISTEXT(物品!H221)=TRUE,"'"&amp;物品!H221&amp;"'",物品!H221)</f>
        <v>0</v>
      </c>
      <c r="G142">
        <f>IF(物品!I221="",0,"'"&amp;物品!I221&amp;"'")</f>
        <v>0</v>
      </c>
      <c r="H142">
        <f>IF(物品!R221="",0,物品!R221)</f>
        <v>0</v>
      </c>
      <c r="I142">
        <f>IF(物品!S221="",0,物品!S221)</f>
        <v>0</v>
      </c>
      <c r="J142" t="str">
        <f>IF(物品!C221="",0,""""&amp;物品!C221&amp;"""")</f>
        <v>"附魔"</v>
      </c>
      <c r="K142" t="str">
        <f>IF(物品!T221="","""""",""""&amp;物品!T221&amp;"""")</f>
        <v>""</v>
      </c>
      <c r="L142">
        <f>IF(物品!U221="",0,""""&amp;物品!U221&amp;"""")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IF(物品!B222="",0,"'"&amp;物品!B222&amp;"'")</f>
        <v>'IF16'</v>
      </c>
      <c r="B143">
        <f>物品!D133</f>
        <v>0</v>
      </c>
      <c r="C143">
        <f>物品!E222</f>
        <v>0</v>
      </c>
      <c r="D143">
        <f>物品!F222</f>
        <v>0</v>
      </c>
      <c r="E143">
        <f>IF(ISTEXT(物品!G222)=TRUE,"'"&amp;物品!G222&amp;"'",物品!G222)</f>
        <v>0</v>
      </c>
      <c r="F143">
        <f>IF(ISTEXT(物品!H222)=TRUE,"'"&amp;物品!H222&amp;"'",物品!H222)</f>
        <v>0</v>
      </c>
      <c r="G143">
        <f>IF(物品!I222="",0,"'"&amp;物品!I222&amp;"'")</f>
        <v>0</v>
      </c>
      <c r="H143">
        <f>IF(物品!R222="",0,物品!R222)</f>
        <v>0</v>
      </c>
      <c r="I143">
        <f>IF(物品!S222="",0,物品!S222)</f>
        <v>0</v>
      </c>
      <c r="J143" t="str">
        <f>IF(物品!C222="",0,""""&amp;物品!C222&amp;"""")</f>
        <v>"附魔"</v>
      </c>
      <c r="K143" t="str">
        <f>IF(物品!T222="","""""",""""&amp;物品!T222&amp;"""")</f>
        <v>""</v>
      </c>
      <c r="L143">
        <f>IF(物品!U222="",0,""""&amp;物品!U222&amp;"""")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IF(物品!B223="",0,"'"&amp;物品!B223&amp;"'")</f>
        <v>'IF17'</v>
      </c>
      <c r="B144">
        <f>物品!D134</f>
        <v>0</v>
      </c>
      <c r="C144">
        <f>物品!E223</f>
        <v>0</v>
      </c>
      <c r="D144">
        <f>物品!F223</f>
        <v>0</v>
      </c>
      <c r="E144">
        <f>IF(ISTEXT(物品!G223)=TRUE,"'"&amp;物品!G223&amp;"'",物品!G223)</f>
        <v>0</v>
      </c>
      <c r="F144">
        <f>IF(ISTEXT(物品!H223)=TRUE,"'"&amp;物品!H223&amp;"'",物品!H223)</f>
        <v>0</v>
      </c>
      <c r="G144">
        <f>IF(物品!I223="",0,"'"&amp;物品!I223&amp;"'")</f>
        <v>0</v>
      </c>
      <c r="H144">
        <f>IF(物品!R223="",0,物品!R223)</f>
        <v>0</v>
      </c>
      <c r="I144">
        <f>IF(物品!S223="",0,物品!S223)</f>
        <v>0</v>
      </c>
      <c r="J144" t="str">
        <f>IF(物品!C223="",0,""""&amp;物品!C223&amp;"""")</f>
        <v>"附魔"</v>
      </c>
      <c r="K144" t="str">
        <f>IF(物品!T223="","""""",""""&amp;物品!T223&amp;"""")</f>
        <v>""</v>
      </c>
      <c r="L144">
        <f>IF(物品!U223="",0,""""&amp;物品!U223&amp;"""")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IF(物品!B224="",0,"'"&amp;物品!B224&amp;"'")</f>
        <v>'IF18'</v>
      </c>
      <c r="B145">
        <f>物品!D135</f>
        <v>0</v>
      </c>
      <c r="C145">
        <f>物品!E224</f>
        <v>0</v>
      </c>
      <c r="D145">
        <f>物品!F224</f>
        <v>0</v>
      </c>
      <c r="E145">
        <f>IF(ISTEXT(物品!G224)=TRUE,"'"&amp;物品!G224&amp;"'",物品!G224)</f>
        <v>0</v>
      </c>
      <c r="F145">
        <f>IF(ISTEXT(物品!H224)=TRUE,"'"&amp;物品!H224&amp;"'",物品!H224)</f>
        <v>0</v>
      </c>
      <c r="G145">
        <f>IF(物品!I224="",0,"'"&amp;物品!I224&amp;"'")</f>
        <v>0</v>
      </c>
      <c r="H145">
        <f>IF(物品!R224="",0,物品!R224)</f>
        <v>0</v>
      </c>
      <c r="I145">
        <f>IF(物品!S224="",0,物品!S224)</f>
        <v>0</v>
      </c>
      <c r="J145" t="str">
        <f>IF(物品!C224="",0,""""&amp;物品!C224&amp;"""")</f>
        <v>"附魔"</v>
      </c>
      <c r="K145" t="str">
        <f>IF(物品!T224="","""""",""""&amp;物品!T224&amp;"""")</f>
        <v>""</v>
      </c>
      <c r="L145">
        <f>IF(物品!U224="",0,""""&amp;物品!U224&amp;"""")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IF(物品!B225="",0,"'"&amp;物品!B225&amp;"'")</f>
        <v>'IF19'</v>
      </c>
      <c r="B146">
        <f>物品!D136</f>
        <v>0</v>
      </c>
      <c r="C146">
        <f>物品!E225</f>
        <v>0</v>
      </c>
      <c r="D146">
        <f>物品!F225</f>
        <v>0</v>
      </c>
      <c r="E146">
        <f>IF(ISTEXT(物品!G225)=TRUE,"'"&amp;物品!G225&amp;"'",物品!G225)</f>
        <v>0</v>
      </c>
      <c r="F146">
        <f>IF(ISTEXT(物品!H225)=TRUE,"'"&amp;物品!H225&amp;"'",物品!H225)</f>
        <v>0</v>
      </c>
      <c r="G146">
        <f>IF(物品!I225="",0,"'"&amp;物品!I225&amp;"'")</f>
        <v>0</v>
      </c>
      <c r="H146">
        <f>IF(物品!R225="",0,物品!R225)</f>
        <v>0</v>
      </c>
      <c r="I146">
        <f>IF(物品!S225="",0,物品!S225)</f>
        <v>0</v>
      </c>
      <c r="J146" t="str">
        <f>IF(物品!C225="",0,""""&amp;物品!C225&amp;"""")</f>
        <v>"附魔"</v>
      </c>
      <c r="K146" t="str">
        <f>IF(物品!T225="","""""",""""&amp;物品!T225&amp;"""")</f>
        <v>""</v>
      </c>
      <c r="L146">
        <f>IF(物品!U225="",0,""""&amp;物品!U225&amp;"""")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IF(物品!B226="",0,"'"&amp;物品!B226&amp;"'")</f>
        <v>'IF20'</v>
      </c>
      <c r="B147">
        <f>物品!D137</f>
        <v>0</v>
      </c>
      <c r="C147">
        <f>物品!E226</f>
        <v>0</v>
      </c>
      <c r="D147">
        <f>物品!F226</f>
        <v>0</v>
      </c>
      <c r="E147">
        <f>IF(ISTEXT(物品!G226)=TRUE,"'"&amp;物品!G226&amp;"'",物品!G226)</f>
        <v>0</v>
      </c>
      <c r="F147">
        <f>IF(ISTEXT(物品!H226)=TRUE,"'"&amp;物品!H226&amp;"'",物品!H226)</f>
        <v>0</v>
      </c>
      <c r="G147">
        <f>IF(物品!I226="",0,"'"&amp;物品!I226&amp;"'")</f>
        <v>0</v>
      </c>
      <c r="H147">
        <f>IF(物品!R226="",0,物品!R226)</f>
        <v>0</v>
      </c>
      <c r="I147">
        <f>IF(物品!S226="",0,物品!S226)</f>
        <v>0</v>
      </c>
      <c r="J147" t="str">
        <f>IF(物品!C226="",0,""""&amp;物品!C226&amp;"""")</f>
        <v>"附魔"</v>
      </c>
      <c r="K147" t="str">
        <f>IF(物品!T226="","""""",""""&amp;物品!T226&amp;"""")</f>
        <v>""</v>
      </c>
      <c r="L147">
        <f>IF(物品!U226="",0,""""&amp;物品!U226&amp;"""")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IF(物品!B227="",0,"'"&amp;物品!B227&amp;"'")</f>
        <v>'IF21'</v>
      </c>
      <c r="B148">
        <f>物品!D150</f>
        <v>0</v>
      </c>
      <c r="C148">
        <f>物品!E227</f>
        <v>0</v>
      </c>
      <c r="D148">
        <f>物品!F227</f>
        <v>0</v>
      </c>
      <c r="E148">
        <f>IF(ISTEXT(物品!G227)=TRUE,"'"&amp;物品!G227&amp;"'",物品!G227)</f>
        <v>0</v>
      </c>
      <c r="F148">
        <f>IF(ISTEXT(物品!H227)=TRUE,"'"&amp;物品!H227&amp;"'",物品!H227)</f>
        <v>0</v>
      </c>
      <c r="G148">
        <f>IF(物品!I227="",0,"'"&amp;物品!I227&amp;"'")</f>
        <v>0</v>
      </c>
      <c r="H148">
        <f>IF(物品!R227="",0,物品!R227)</f>
        <v>0</v>
      </c>
      <c r="I148">
        <f>IF(物品!S227="",0,物品!S227)</f>
        <v>0</v>
      </c>
      <c r="J148" t="str">
        <f>IF(物品!C227="",0,""""&amp;物品!C227&amp;"""")</f>
        <v>"附魔"</v>
      </c>
      <c r="K148" t="str">
        <f>IF(物品!T227="","""""",""""&amp;物品!T227&amp;"""")</f>
        <v>""</v>
      </c>
      <c r="L148">
        <f>IF(物品!U227="",0,""""&amp;物品!U227&amp;"""")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IF(物品!B228="",0,"'"&amp;物品!B228&amp;"'")</f>
        <v>'IF22'</v>
      </c>
      <c r="B149">
        <f>物品!D151</f>
        <v>0</v>
      </c>
      <c r="C149">
        <f>物品!E228</f>
        <v>0</v>
      </c>
      <c r="D149">
        <f>物品!F228</f>
        <v>0</v>
      </c>
      <c r="E149">
        <f>IF(ISTEXT(物品!G228)=TRUE,"'"&amp;物品!G228&amp;"'",物品!G228)</f>
        <v>0</v>
      </c>
      <c r="F149">
        <f>IF(ISTEXT(物品!H228)=TRUE,"'"&amp;物品!H228&amp;"'",物品!H228)</f>
        <v>0</v>
      </c>
      <c r="G149">
        <f>IF(物品!I228="",0,"'"&amp;物品!I228&amp;"'")</f>
        <v>0</v>
      </c>
      <c r="H149">
        <f>IF(物品!R228="",0,物品!R228)</f>
        <v>0</v>
      </c>
      <c r="I149">
        <f>IF(物品!S228="",0,物品!S228)</f>
        <v>0</v>
      </c>
      <c r="J149" t="str">
        <f>IF(物品!C228="",0,""""&amp;物品!C228&amp;"""")</f>
        <v>"附魔"</v>
      </c>
      <c r="K149" t="str">
        <f>IF(物品!T228="","""""",""""&amp;物品!T228&amp;"""")</f>
        <v>""</v>
      </c>
      <c r="L149">
        <f>IF(物品!U228="",0,""""&amp;物品!U228&amp;"""")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IF(物品!B229="",0,"'"&amp;物品!B229&amp;"'")</f>
        <v>'IF23'</v>
      </c>
      <c r="B150">
        <f>物品!D152</f>
        <v>0</v>
      </c>
      <c r="C150">
        <f>物品!E229</f>
        <v>0</v>
      </c>
      <c r="D150">
        <f>物品!F229</f>
        <v>0</v>
      </c>
      <c r="E150">
        <f>IF(ISTEXT(物品!G229)=TRUE,"'"&amp;物品!G229&amp;"'",物品!G229)</f>
        <v>0</v>
      </c>
      <c r="F150">
        <f>IF(ISTEXT(物品!H229)=TRUE,"'"&amp;物品!H229&amp;"'",物品!H229)</f>
        <v>0</v>
      </c>
      <c r="G150">
        <f>IF(物品!I229="",0,"'"&amp;物品!I229&amp;"'")</f>
        <v>0</v>
      </c>
      <c r="H150">
        <f>IF(物品!R229="",0,物品!R229)</f>
        <v>0</v>
      </c>
      <c r="I150">
        <f>IF(物品!S229="",0,物品!S229)</f>
        <v>0</v>
      </c>
      <c r="J150" t="str">
        <f>IF(物品!C229="",0,""""&amp;物品!C229&amp;"""")</f>
        <v>"附魔"</v>
      </c>
      <c r="K150" t="str">
        <f>IF(物品!T229="","""""",""""&amp;物品!T229&amp;"""")</f>
        <v>""</v>
      </c>
      <c r="L150">
        <f>IF(物品!U229="",0,""""&amp;物品!U229&amp;"""")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IF(物品!B230="",0,"'"&amp;物品!B230&amp;"'")</f>
        <v>'IF24'</v>
      </c>
      <c r="B151">
        <f>物品!D153</f>
        <v>0</v>
      </c>
      <c r="C151">
        <f>物品!E230</f>
        <v>0</v>
      </c>
      <c r="D151">
        <f>物品!F230</f>
        <v>0</v>
      </c>
      <c r="E151">
        <f>IF(ISTEXT(物品!G230)=TRUE,"'"&amp;物品!G230&amp;"'",物品!G230)</f>
        <v>0</v>
      </c>
      <c r="F151">
        <f>IF(ISTEXT(物品!H230)=TRUE,"'"&amp;物品!H230&amp;"'",物品!H230)</f>
        <v>0</v>
      </c>
      <c r="G151">
        <f>IF(物品!I230="",0,"'"&amp;物品!I230&amp;"'")</f>
        <v>0</v>
      </c>
      <c r="H151">
        <f>IF(物品!R230="",0,物品!R230)</f>
        <v>0</v>
      </c>
      <c r="I151">
        <f>IF(物品!S230="",0,物品!S230)</f>
        <v>0</v>
      </c>
      <c r="J151" t="str">
        <f>IF(物品!C230="",0,""""&amp;物品!C230&amp;"""")</f>
        <v>"附魔"</v>
      </c>
      <c r="K151" t="str">
        <f>IF(物品!T230="","""""",""""&amp;物品!T230&amp;"""")</f>
        <v>""</v>
      </c>
      <c r="L151">
        <f>IF(物品!U230="",0,""""&amp;物品!U230&amp;"""")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IF(物品!B231="",0,"'"&amp;物品!B231&amp;"'")</f>
        <v>'IF25'</v>
      </c>
      <c r="B152">
        <f>物品!D154</f>
        <v>0</v>
      </c>
      <c r="C152">
        <f>物品!E231</f>
        <v>0</v>
      </c>
      <c r="D152">
        <f>物品!F231</f>
        <v>0</v>
      </c>
      <c r="E152">
        <f>IF(ISTEXT(物品!G231)=TRUE,"'"&amp;物品!G231&amp;"'",物品!G231)</f>
        <v>0</v>
      </c>
      <c r="F152">
        <f>IF(ISTEXT(物品!H231)=TRUE,"'"&amp;物品!H231&amp;"'",物品!H231)</f>
        <v>0</v>
      </c>
      <c r="G152">
        <f>IF(物品!I231="",0,"'"&amp;物品!I231&amp;"'")</f>
        <v>0</v>
      </c>
      <c r="H152">
        <f>IF(物品!R231="",0,物品!R231)</f>
        <v>0</v>
      </c>
      <c r="I152">
        <f>IF(物品!S231="",0,物品!S231)</f>
        <v>0</v>
      </c>
      <c r="J152" t="str">
        <f>IF(物品!C231="",0,""""&amp;物品!C231&amp;"""")</f>
        <v>"附魔"</v>
      </c>
      <c r="K152" t="str">
        <f>IF(物品!T231="","""""",""""&amp;物品!T231&amp;"""")</f>
        <v>""</v>
      </c>
      <c r="L152">
        <f>IF(物品!U231="",0,""""&amp;物品!U231&amp;"""")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IF(物品!B232="",0,"'"&amp;物品!B232&amp;"'")</f>
        <v>'IF26'</v>
      </c>
      <c r="B153">
        <f>物品!D159</f>
        <v>0</v>
      </c>
      <c r="C153">
        <f>物品!E232</f>
        <v>0</v>
      </c>
      <c r="D153">
        <f>物品!F232</f>
        <v>0</v>
      </c>
      <c r="E153">
        <f>IF(ISTEXT(物品!G232)=TRUE,"'"&amp;物品!G232&amp;"'",物品!G232)</f>
        <v>0</v>
      </c>
      <c r="F153">
        <f>IF(ISTEXT(物品!H232)=TRUE,"'"&amp;物品!H232&amp;"'",物品!H232)</f>
        <v>0</v>
      </c>
      <c r="G153">
        <f>IF(物品!I232="",0,"'"&amp;物品!I232&amp;"'")</f>
        <v>0</v>
      </c>
      <c r="H153">
        <f>IF(物品!R232="",0,物品!R232)</f>
        <v>0</v>
      </c>
      <c r="I153">
        <f>IF(物品!S232="",0,物品!S232)</f>
        <v>0</v>
      </c>
      <c r="J153" t="str">
        <f>IF(物品!C232="",0,""""&amp;物品!C232&amp;"""")</f>
        <v>"附魔"</v>
      </c>
      <c r="K153" t="str">
        <f>IF(物品!T232="","""""",""""&amp;物品!T232&amp;"""")</f>
        <v>""</v>
      </c>
      <c r="L153">
        <f>IF(物品!U232="",0,""""&amp;物品!U232&amp;"""")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IF(物品!B233="",0,"'"&amp;物品!B233&amp;"'")</f>
        <v>'IF27'</v>
      </c>
      <c r="B154">
        <f>物品!D160</f>
        <v>0</v>
      </c>
      <c r="C154">
        <f>物品!E233</f>
        <v>0</v>
      </c>
      <c r="D154">
        <f>物品!F233</f>
        <v>0</v>
      </c>
      <c r="E154">
        <f>IF(ISTEXT(物品!G233)=TRUE,"'"&amp;物品!G233&amp;"'",物品!G233)</f>
        <v>0</v>
      </c>
      <c r="F154">
        <f>IF(ISTEXT(物品!H233)=TRUE,"'"&amp;物品!H233&amp;"'",物品!H233)</f>
        <v>0</v>
      </c>
      <c r="G154">
        <f>IF(物品!I233="",0,"'"&amp;物品!I233&amp;"'")</f>
        <v>0</v>
      </c>
      <c r="H154">
        <f>IF(物品!R233="",0,物品!R233)</f>
        <v>0</v>
      </c>
      <c r="I154">
        <f>IF(物品!S233="",0,物品!S233)</f>
        <v>0</v>
      </c>
      <c r="J154" t="str">
        <f>IF(物品!C233="",0,""""&amp;物品!C233&amp;"""")</f>
        <v>"附魔"</v>
      </c>
      <c r="K154" t="str">
        <f>IF(物品!T233="","""""",""""&amp;物品!T233&amp;"""")</f>
        <v>""</v>
      </c>
      <c r="L154">
        <f>IF(物品!U233="",0,""""&amp;物品!U233&amp;"""")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IF(物品!B239="",0,"'"&amp;物品!B239&amp;"'")</f>
        <v>'IC01'</v>
      </c>
      <c r="B155">
        <f>物品!D161</f>
        <v>0</v>
      </c>
      <c r="C155">
        <f>物品!E239</f>
        <v>0</v>
      </c>
      <c r="D155">
        <f>物品!F239</f>
        <v>0</v>
      </c>
      <c r="E155">
        <f>IF(ISTEXT(物品!G239)=TRUE,"'"&amp;物品!G239&amp;"'",物品!G239)</f>
        <v>0</v>
      </c>
      <c r="F155">
        <f>IF(ISTEXT(物品!H239)=TRUE,"'"&amp;物品!H239&amp;"'",物品!H239)</f>
        <v>0</v>
      </c>
      <c r="G155">
        <f>IF(物品!I239="",0,"'"&amp;物品!I239&amp;"'")</f>
        <v>0</v>
      </c>
      <c r="H155">
        <f>IF(物品!R239="",0,物品!R239)</f>
        <v>0</v>
      </c>
      <c r="I155">
        <f>IF(物品!S239="",0,物品!S239)</f>
        <v>0</v>
      </c>
      <c r="J155" t="str">
        <f>IF(物品!C239="",0,""""&amp;物品!C239&amp;"""")</f>
        <v>"玄铁"</v>
      </c>
      <c r="K155" t="str">
        <f>IF(物品!T239="","""""",""""&amp;物品!T239&amp;"""")</f>
        <v>""</v>
      </c>
      <c r="L155">
        <f>IF(物品!U239="",0,""""&amp;物品!U239&amp;"""")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IF(物品!B240="",0,"'"&amp;物品!B240&amp;"'")</f>
        <v>'IC02'</v>
      </c>
      <c r="B156">
        <f>物品!D162</f>
        <v>0</v>
      </c>
      <c r="C156">
        <f>物品!E240</f>
        <v>0</v>
      </c>
      <c r="D156">
        <f>物品!F240</f>
        <v>0</v>
      </c>
      <c r="E156">
        <f>IF(ISTEXT(物品!G240)=TRUE,"'"&amp;物品!G240&amp;"'",物品!G240)</f>
        <v>0</v>
      </c>
      <c r="F156">
        <f>IF(ISTEXT(物品!H240)=TRUE,"'"&amp;物品!H240&amp;"'",物品!H240)</f>
        <v>0</v>
      </c>
      <c r="G156">
        <f>IF(物品!I240="",0,"'"&amp;物品!I240&amp;"'")</f>
        <v>0</v>
      </c>
      <c r="H156">
        <f>IF(物品!R240="",0,物品!R240)</f>
        <v>0</v>
      </c>
      <c r="I156">
        <f>IF(物品!S240="",0,物品!S240)</f>
        <v>0</v>
      </c>
      <c r="J156" t="str">
        <f>IF(物品!C240="",0,""""&amp;物品!C240&amp;"""")</f>
        <v>"杀敌数"</v>
      </c>
      <c r="K156" t="str">
        <f>IF(物品!T240="","""""",""""&amp;物品!T240&amp;"""")</f>
        <v>""</v>
      </c>
      <c r="L156">
        <f>IF(物品!U240="",0,""""&amp;物品!U240&amp;"""")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IF(物品!B241="",0,"'"&amp;物品!B241&amp;"'")</f>
        <v>'IC03'</v>
      </c>
      <c r="B157">
        <f>物品!D163</f>
        <v>0</v>
      </c>
      <c r="C157">
        <f>物品!E241</f>
        <v>0</v>
      </c>
      <c r="D157">
        <f>物品!F241</f>
        <v>0</v>
      </c>
      <c r="E157">
        <f>IF(ISTEXT(物品!G241)=TRUE,"'"&amp;物品!G241&amp;"'",物品!G241)</f>
        <v>0</v>
      </c>
      <c r="F157">
        <f>IF(ISTEXT(物品!H241)=TRUE,"'"&amp;物品!H241&amp;"'",物品!H241)</f>
        <v>0</v>
      </c>
      <c r="G157">
        <f>IF(物品!I241="",0,"'"&amp;物品!I241&amp;"'")</f>
        <v>0</v>
      </c>
      <c r="H157">
        <f>IF(物品!R241="",0,物品!R241)</f>
        <v>0</v>
      </c>
      <c r="I157">
        <f>IF(物品!S241="",0,物品!S241)</f>
        <v>0</v>
      </c>
      <c r="J157" t="str">
        <f>IF(物品!C241="",0,""""&amp;物品!C241&amp;"""")</f>
        <v>"攻击力低"</v>
      </c>
      <c r="K157" t="str">
        <f>IF(物品!T241="","""""",""""&amp;物品!T241&amp;"""")</f>
        <v>""</v>
      </c>
      <c r="L157">
        <f>IF(物品!U241="",0,""""&amp;物品!U241&amp;"""")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IF(物品!B242="",0,"'"&amp;物品!B242&amp;"'")</f>
        <v>'IC04'</v>
      </c>
      <c r="B158">
        <f>物品!D164</f>
        <v>0</v>
      </c>
      <c r="C158">
        <f>物品!E242</f>
        <v>0</v>
      </c>
      <c r="D158">
        <f>物品!F242</f>
        <v>0</v>
      </c>
      <c r="E158">
        <f>IF(ISTEXT(物品!G242)=TRUE,"'"&amp;物品!G242&amp;"'",物品!G242)</f>
        <v>0</v>
      </c>
      <c r="F158">
        <f>IF(ISTEXT(物品!H242)=TRUE,"'"&amp;物品!H242&amp;"'",物品!H242)</f>
        <v>0</v>
      </c>
      <c r="G158">
        <f>IF(物品!I242="",0,"'"&amp;物品!I242&amp;"'")</f>
        <v>0</v>
      </c>
      <c r="H158">
        <f>IF(物品!R242="",0,物品!R242)</f>
        <v>0</v>
      </c>
      <c r="I158">
        <f>IF(物品!S242="",0,物品!S242)</f>
        <v>0</v>
      </c>
      <c r="J158" t="str">
        <f>IF(物品!C242="",0,""""&amp;物品!C242&amp;"""")</f>
        <v>"攻击力中"</v>
      </c>
      <c r="K158" t="str">
        <f>IF(物品!T242="","""""",""""&amp;物品!T242&amp;"""")</f>
        <v>""</v>
      </c>
      <c r="L158">
        <f>IF(物品!U242="",0,""""&amp;物品!U242&amp;"""")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IF(物品!B243="",0,"'"&amp;物品!B243&amp;"'")</f>
        <v>'IC05'</v>
      </c>
      <c r="B159">
        <f>物品!D165</f>
        <v>0</v>
      </c>
      <c r="C159">
        <f>物品!E243</f>
        <v>0</v>
      </c>
      <c r="D159">
        <f>物品!F243</f>
        <v>0</v>
      </c>
      <c r="E159">
        <f>IF(ISTEXT(物品!G243)=TRUE,"'"&amp;物品!G243&amp;"'",物品!G243)</f>
        <v>0</v>
      </c>
      <c r="F159">
        <f>IF(ISTEXT(物品!H243)=TRUE,"'"&amp;物品!H243&amp;"'",物品!H243)</f>
        <v>0</v>
      </c>
      <c r="G159">
        <f>IF(物品!I243="",0,"'"&amp;物品!I243&amp;"'")</f>
        <v>0</v>
      </c>
      <c r="H159">
        <f>IF(物品!R243="",0,物品!R243)</f>
        <v>0</v>
      </c>
      <c r="I159">
        <f>IF(物品!S243="",0,物品!S243)</f>
        <v>0</v>
      </c>
      <c r="J159" t="str">
        <f>IF(物品!C243="",0,""""&amp;物品!C243&amp;"""")</f>
        <v>"攻击力高"</v>
      </c>
      <c r="K159" t="str">
        <f>IF(物品!T243="","""""",""""&amp;物品!T243&amp;"""")</f>
        <v>""</v>
      </c>
      <c r="L159">
        <f>IF(物品!U243="",0,""""&amp;物品!U243&amp;"""")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IF(物品!B244="",0,"'"&amp;物品!B244&amp;"'")</f>
        <v>'IC06'</v>
      </c>
      <c r="B160">
        <f>物品!D166</f>
        <v>0</v>
      </c>
      <c r="C160">
        <f>物品!E244</f>
        <v>0</v>
      </c>
      <c r="D160">
        <f>物品!F244</f>
        <v>0</v>
      </c>
      <c r="E160">
        <f>IF(ISTEXT(物品!G244)=TRUE,"'"&amp;物品!G244&amp;"'",物品!G244)</f>
        <v>0</v>
      </c>
      <c r="F160">
        <f>IF(ISTEXT(物品!H244)=TRUE,"'"&amp;物品!H244&amp;"'",物品!H244)</f>
        <v>0</v>
      </c>
      <c r="G160">
        <f>IF(物品!I244="",0,"'"&amp;物品!I244&amp;"'")</f>
        <v>0</v>
      </c>
      <c r="H160">
        <f>IF(物品!R244="",0,物品!R244)</f>
        <v>0</v>
      </c>
      <c r="I160">
        <f>IF(物品!S244="",0,物品!S244)</f>
        <v>0</v>
      </c>
      <c r="J160" t="str">
        <f>IF(物品!C244="",0,""""&amp;物品!C244&amp;"""")</f>
        <v>"生命值低"</v>
      </c>
      <c r="K160" t="str">
        <f>IF(物品!T244="","""""",""""&amp;物品!T244&amp;"""")</f>
        <v>""</v>
      </c>
      <c r="L160">
        <f>IF(物品!U244="",0,""""&amp;物品!U244&amp;"""")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IF(物品!B245="",0,"'"&amp;物品!B245&amp;"'")</f>
        <v>'IC07'</v>
      </c>
      <c r="B161">
        <f>物品!D167</f>
        <v>0</v>
      </c>
      <c r="C161">
        <f>物品!E245</f>
        <v>0</v>
      </c>
      <c r="D161">
        <f>物品!F245</f>
        <v>0</v>
      </c>
      <c r="E161">
        <f>IF(ISTEXT(物品!G245)=TRUE,"'"&amp;物品!G245&amp;"'",物品!G245)</f>
        <v>0</v>
      </c>
      <c r="F161">
        <f>IF(ISTEXT(物品!H245)=TRUE,"'"&amp;物品!H245&amp;"'",物品!H245)</f>
        <v>0</v>
      </c>
      <c r="G161">
        <f>IF(物品!I245="",0,"'"&amp;物品!I245&amp;"'")</f>
        <v>0</v>
      </c>
      <c r="H161">
        <f>IF(物品!R245="",0,物品!R245)</f>
        <v>0</v>
      </c>
      <c r="I161">
        <f>IF(物品!S245="",0,物品!S245)</f>
        <v>0</v>
      </c>
      <c r="J161" t="str">
        <f>IF(物品!C245="",0,""""&amp;物品!C245&amp;"""")</f>
        <v>"生命值中"</v>
      </c>
      <c r="K161" t="str">
        <f>IF(物品!T245="","""""",""""&amp;物品!T245&amp;"""")</f>
        <v>""</v>
      </c>
      <c r="L161">
        <f>IF(物品!U245="",0,""""&amp;物品!U245&amp;"""")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IF(物品!B246="",0,"'"&amp;物品!B246&amp;"'")</f>
        <v>'IC08'</v>
      </c>
      <c r="B162">
        <f>物品!D168</f>
        <v>0</v>
      </c>
      <c r="C162">
        <f>物品!E246</f>
        <v>0</v>
      </c>
      <c r="D162">
        <f>物品!F246</f>
        <v>0</v>
      </c>
      <c r="E162">
        <f>IF(ISTEXT(物品!G246)=TRUE,"'"&amp;物品!G246&amp;"'",物品!G246)</f>
        <v>0</v>
      </c>
      <c r="F162">
        <f>IF(ISTEXT(物品!H246)=TRUE,"'"&amp;物品!H246&amp;"'",物品!H246)</f>
        <v>0</v>
      </c>
      <c r="G162">
        <f>IF(物品!I246="",0,"'"&amp;物品!I246&amp;"'")</f>
        <v>0</v>
      </c>
      <c r="H162">
        <f>IF(物品!R246="",0,物品!R246)</f>
        <v>0</v>
      </c>
      <c r="I162">
        <f>IF(物品!S246="",0,物品!S246)</f>
        <v>0</v>
      </c>
      <c r="J162" t="str">
        <f>IF(物品!C246="",0,""""&amp;物品!C246&amp;"""")</f>
        <v>"生命值高"</v>
      </c>
      <c r="K162" t="str">
        <f>IF(物品!T246="","""""",""""&amp;物品!T246&amp;"""")</f>
        <v>""</v>
      </c>
      <c r="L162">
        <f>IF(物品!U246="",0,""""&amp;物品!U246&amp;"""")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IF(物品!B247="",0,"'"&amp;物品!B247&amp;"'")</f>
        <v>'IC09'</v>
      </c>
      <c r="B163">
        <f>物品!D169</f>
        <v>0</v>
      </c>
      <c r="C163">
        <f>物品!E247</f>
        <v>0</v>
      </c>
      <c r="D163">
        <f>物品!F247</f>
        <v>0</v>
      </c>
      <c r="E163">
        <f>IF(ISTEXT(物品!G247)=TRUE,"'"&amp;物品!G247&amp;"'",物品!G247)</f>
        <v>0</v>
      </c>
      <c r="F163">
        <f>IF(ISTEXT(物品!H247)=TRUE,"'"&amp;物品!H247&amp;"'",物品!H247)</f>
        <v>0</v>
      </c>
      <c r="G163">
        <f>IF(物品!I247="",0,"'"&amp;物品!I247&amp;"'")</f>
        <v>0</v>
      </c>
      <c r="H163">
        <f>IF(物品!R247="",0,物品!R247)</f>
        <v>0</v>
      </c>
      <c r="I163">
        <f>IF(物品!S247="",0,物品!S247)</f>
        <v>0</v>
      </c>
      <c r="J163" t="str">
        <f>IF(物品!C247="",0,""""&amp;物品!C247&amp;"""")</f>
        <v>"业力低"</v>
      </c>
      <c r="K163" t="str">
        <f>IF(物品!T247="","""""",""""&amp;物品!T247&amp;"""")</f>
        <v>""</v>
      </c>
      <c r="L163">
        <f>IF(物品!U247="",0,""""&amp;物品!U247&amp;"""")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IF(物品!B248="",0,"'"&amp;物品!B248&amp;"'")</f>
        <v>'IC10'</v>
      </c>
      <c r="B164">
        <f>物品!D170</f>
        <v>0</v>
      </c>
      <c r="C164">
        <f>物品!E248</f>
        <v>0</v>
      </c>
      <c r="D164">
        <f>物品!F248</f>
        <v>0</v>
      </c>
      <c r="E164">
        <f>IF(ISTEXT(物品!G248)=TRUE,"'"&amp;物品!G248&amp;"'",物品!G248)</f>
        <v>0</v>
      </c>
      <c r="F164">
        <f>IF(ISTEXT(物品!H248)=TRUE,"'"&amp;物品!H248&amp;"'",物品!H248)</f>
        <v>0</v>
      </c>
      <c r="G164">
        <f>IF(物品!I248="",0,"'"&amp;物品!I248&amp;"'")</f>
        <v>0</v>
      </c>
      <c r="H164">
        <f>IF(物品!R248="",0,物品!R248)</f>
        <v>0</v>
      </c>
      <c r="I164">
        <f>IF(物品!S248="",0,物品!S248)</f>
        <v>0</v>
      </c>
      <c r="J164" t="str">
        <f>IF(物品!C248="",0,""""&amp;物品!C248&amp;"""")</f>
        <v>"业力中"</v>
      </c>
      <c r="K164" t="str">
        <f>IF(物品!T248="","""""",""""&amp;物品!T248&amp;"""")</f>
        <v>""</v>
      </c>
      <c r="L164">
        <f>IF(物品!U248="",0,""""&amp;物品!U248&amp;"""")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IF(物品!B249="",0,"'"&amp;物品!B249&amp;"'")</f>
        <v>'IC11'</v>
      </c>
      <c r="B165">
        <f>物品!D171</f>
        <v>0</v>
      </c>
      <c r="C165">
        <f>物品!E249</f>
        <v>0</v>
      </c>
      <c r="D165">
        <f>物品!F249</f>
        <v>0</v>
      </c>
      <c r="E165">
        <f>IF(ISTEXT(物品!G249)=TRUE,"'"&amp;物品!G249&amp;"'",物品!G249)</f>
        <v>0</v>
      </c>
      <c r="F165">
        <f>IF(ISTEXT(物品!H249)=TRUE,"'"&amp;物品!H249&amp;"'",物品!H249)</f>
        <v>0</v>
      </c>
      <c r="G165">
        <f>IF(物品!I249="",0,"'"&amp;物品!I249&amp;"'")</f>
        <v>0</v>
      </c>
      <c r="H165">
        <f>IF(物品!R249="",0,物品!R249)</f>
        <v>0</v>
      </c>
      <c r="I165">
        <f>IF(物品!S249="",0,物品!S249)</f>
        <v>0</v>
      </c>
      <c r="J165" t="str">
        <f>IF(物品!C249="",0,""""&amp;物品!C249&amp;"""")</f>
        <v>"业力高"</v>
      </c>
      <c r="K165" t="str">
        <f>IF(物品!T249="","""""",""""&amp;物品!T249&amp;"""")</f>
        <v>""</v>
      </c>
      <c r="L165">
        <f>IF(物品!U249="",0,""""&amp;物品!U249&amp;"""")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IF(物品!B250="",0,"'"&amp;物品!B250&amp;"'")</f>
        <v>0</v>
      </c>
      <c r="B166">
        <f>物品!D172</f>
        <v>0</v>
      </c>
      <c r="C166">
        <f>物品!E250</f>
        <v>0</v>
      </c>
      <c r="D166">
        <f>物品!F250</f>
        <v>0</v>
      </c>
      <c r="E166">
        <f>IF(ISTEXT(物品!G250)=TRUE,"'"&amp;物品!G250&amp;"'",物品!G250)</f>
        <v>0</v>
      </c>
      <c r="F166">
        <f>IF(ISTEXT(物品!H250)=TRUE,"'"&amp;物品!H250&amp;"'",物品!H250)</f>
        <v>0</v>
      </c>
      <c r="G166">
        <f>IF(物品!I250="",0,"'"&amp;物品!I250&amp;"'")</f>
        <v>0</v>
      </c>
      <c r="H166">
        <f>IF(物品!R250="",0,物品!R250)</f>
        <v>0</v>
      </c>
      <c r="I166">
        <f>IF(物品!S250="",0,物品!S250)</f>
        <v>0</v>
      </c>
      <c r="J166">
        <f>IF(物品!C250="",0,""""&amp;物品!C250&amp;"""")</f>
        <v>0</v>
      </c>
      <c r="K166" t="str">
        <f>IF(物品!T250="","""""",""""&amp;物品!T250&amp;"""")</f>
        <v>""</v>
      </c>
      <c r="L166">
        <f>IF(物品!U250="",0,""""&amp;物品!U250&amp;"""")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IF(物品!B251="",0,"'"&amp;物品!B251&amp;"'")</f>
        <v>0</v>
      </c>
      <c r="B167">
        <f>物品!D175</f>
        <v>0</v>
      </c>
      <c r="C167">
        <f>物品!E251</f>
        <v>0</v>
      </c>
      <c r="D167">
        <f>物品!F251</f>
        <v>0</v>
      </c>
      <c r="E167">
        <f>IF(ISTEXT(物品!G251)=TRUE,"'"&amp;物品!G251&amp;"'",物品!G251)</f>
        <v>0</v>
      </c>
      <c r="F167">
        <f>IF(ISTEXT(物品!H251)=TRUE,"'"&amp;物品!H251&amp;"'",物品!H251)</f>
        <v>0</v>
      </c>
      <c r="G167">
        <f>IF(物品!I251="",0,"'"&amp;物品!I251&amp;"'")</f>
        <v>0</v>
      </c>
      <c r="H167">
        <f>IF(物品!R251="",0,物品!R251)</f>
        <v>0</v>
      </c>
      <c r="I167">
        <f>IF(物品!S251="",0,物品!S251)</f>
        <v>0</v>
      </c>
      <c r="J167">
        <f>IF(物品!C251="",0,""""&amp;物品!C251&amp;"""")</f>
        <v>0</v>
      </c>
      <c r="K167" t="str">
        <f>IF(物品!T251="","""""",""""&amp;物品!T251&amp;"""")</f>
        <v>""</v>
      </c>
      <c r="L167">
        <f>IF(物品!U251="",0,""""&amp;物品!U251&amp;"""")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IF(物品!B252="",0,"'"&amp;物品!B252&amp;"'")</f>
        <v>0</v>
      </c>
      <c r="B168">
        <f>物品!D176</f>
        <v>0</v>
      </c>
      <c r="C168">
        <f>物品!E252</f>
        <v>0</v>
      </c>
      <c r="D168">
        <f>物品!F252</f>
        <v>0</v>
      </c>
      <c r="E168">
        <f>IF(ISTEXT(物品!G252)=TRUE,"'"&amp;物品!G252&amp;"'",物品!G252)</f>
        <v>0</v>
      </c>
      <c r="F168">
        <f>IF(ISTEXT(物品!H252)=TRUE,"'"&amp;物品!H252&amp;"'",物品!H252)</f>
        <v>0</v>
      </c>
      <c r="G168">
        <f>IF(物品!I252="",0,"'"&amp;物品!I252&amp;"'")</f>
        <v>0</v>
      </c>
      <c r="H168">
        <f>IF(物品!R252="",0,物品!R252)</f>
        <v>0</v>
      </c>
      <c r="I168">
        <f>IF(物品!S252="",0,物品!S252)</f>
        <v>0</v>
      </c>
      <c r="J168">
        <f>IF(物品!C252="",0,""""&amp;物品!C252&amp;"""")</f>
        <v>0</v>
      </c>
      <c r="K168" t="str">
        <f>IF(物品!T252="","""""",""""&amp;物品!T252&amp;"""")</f>
        <v>""</v>
      </c>
      <c r="L168">
        <f>IF(物品!U252="",0,""""&amp;物品!U252&amp;"""")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IF(物品!B253="",0,"'"&amp;物品!B253&amp;"'")</f>
        <v>0</v>
      </c>
      <c r="B169">
        <f>物品!D177</f>
        <v>0</v>
      </c>
      <c r="C169">
        <f>物品!E253</f>
        <v>0</v>
      </c>
      <c r="D169">
        <f>物品!F253</f>
        <v>0</v>
      </c>
      <c r="E169">
        <f>IF(ISTEXT(物品!G253)=TRUE,"'"&amp;物品!G253&amp;"'",物品!G253)</f>
        <v>0</v>
      </c>
      <c r="F169">
        <f>IF(ISTEXT(物品!H253)=TRUE,"'"&amp;物品!H253&amp;"'",物品!H253)</f>
        <v>0</v>
      </c>
      <c r="G169">
        <f>IF(物品!I253="",0,"'"&amp;物品!I253&amp;"'")</f>
        <v>0</v>
      </c>
      <c r="H169">
        <f>IF(物品!R253="",0,物品!R253)</f>
        <v>0</v>
      </c>
      <c r="I169">
        <f>IF(物品!S253="",0,物品!S253)</f>
        <v>0</v>
      </c>
      <c r="J169">
        <f>IF(物品!C253="",0,""""&amp;物品!C253&amp;"""")</f>
        <v>0</v>
      </c>
      <c r="K169" t="str">
        <f>IF(物品!T253="","""""",""""&amp;物品!T253&amp;"""")</f>
        <v>""</v>
      </c>
      <c r="L169">
        <f>IF(物品!U253="",0,""""&amp;物品!U253&amp;"""")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IF(物品!B254="",0,"'"&amp;物品!B254&amp;"'")</f>
        <v>0</v>
      </c>
      <c r="B170">
        <f>物品!D178</f>
        <v>0</v>
      </c>
      <c r="C170">
        <f>物品!E254</f>
        <v>0</v>
      </c>
      <c r="D170">
        <f>物品!F254</f>
        <v>0</v>
      </c>
      <c r="E170">
        <f>IF(ISTEXT(物品!G254)=TRUE,"'"&amp;物品!G254&amp;"'",物品!G254)</f>
        <v>0</v>
      </c>
      <c r="F170">
        <f>IF(ISTEXT(物品!H254)=TRUE,"'"&amp;物品!H254&amp;"'",物品!H254)</f>
        <v>0</v>
      </c>
      <c r="G170">
        <f>IF(物品!I254="",0,"'"&amp;物品!I254&amp;"'")</f>
        <v>0</v>
      </c>
      <c r="H170">
        <f>IF(物品!R254="",0,物品!R254)</f>
        <v>0</v>
      </c>
      <c r="I170">
        <f>IF(物品!S254="",0,物品!S254)</f>
        <v>0</v>
      </c>
      <c r="J170">
        <f>IF(物品!C254="",0,""""&amp;物品!C254&amp;"""")</f>
        <v>0</v>
      </c>
      <c r="K170" t="str">
        <f>IF(物品!T254="","""""",""""&amp;物品!T254&amp;"""")</f>
        <v>""</v>
      </c>
      <c r="L170">
        <f>IF(物品!U254="",0,""""&amp;物品!U254&amp;"""")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IF(物品!B255="",0,"'"&amp;物品!B255&amp;"'")</f>
        <v>0</v>
      </c>
      <c r="B171">
        <f>物品!D179</f>
        <v>0</v>
      </c>
      <c r="C171">
        <f>物品!E255</f>
        <v>0</v>
      </c>
      <c r="D171">
        <f>物品!F255</f>
        <v>0</v>
      </c>
      <c r="E171">
        <f>IF(ISTEXT(物品!G255)=TRUE,"'"&amp;物品!G255&amp;"'",物品!G255)</f>
        <v>0</v>
      </c>
      <c r="F171">
        <f>IF(ISTEXT(物品!H255)=TRUE,"'"&amp;物品!H255&amp;"'",物品!H255)</f>
        <v>0</v>
      </c>
      <c r="G171">
        <f>IF(物品!I255="",0,"'"&amp;物品!I255&amp;"'")</f>
        <v>0</v>
      </c>
      <c r="H171">
        <f>IF(物品!R255="",0,物品!R255)</f>
        <v>0</v>
      </c>
      <c r="I171">
        <f>IF(物品!S255="",0,物品!S255)</f>
        <v>0</v>
      </c>
      <c r="J171">
        <f>IF(物品!C255="",0,""""&amp;物品!C255&amp;"""")</f>
        <v>0</v>
      </c>
      <c r="K171" t="str">
        <f>IF(物品!T255="","""""",""""&amp;物品!T255&amp;"""")</f>
        <v>""</v>
      </c>
      <c r="L171">
        <f>IF(物品!U255="",0,""""&amp;物品!U255&amp;"""")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IF(物品!B256="",0,"'"&amp;物品!B256&amp;"'")</f>
        <v>0</v>
      </c>
      <c r="B172">
        <f>物品!D180</f>
        <v>0</v>
      </c>
      <c r="C172">
        <f>物品!E256</f>
        <v>0</v>
      </c>
      <c r="D172">
        <f>物品!F256</f>
        <v>0</v>
      </c>
      <c r="E172">
        <f>IF(ISTEXT(物品!G256)=TRUE,"'"&amp;物品!G256&amp;"'",物品!G256)</f>
        <v>0</v>
      </c>
      <c r="F172">
        <f>IF(ISTEXT(物品!H256)=TRUE,"'"&amp;物品!H256&amp;"'",物品!H256)</f>
        <v>0</v>
      </c>
      <c r="G172">
        <f>IF(物品!I256="",0,"'"&amp;物品!I256&amp;"'")</f>
        <v>0</v>
      </c>
      <c r="H172">
        <f>IF(物品!R256="",0,物品!R256)</f>
        <v>0</v>
      </c>
      <c r="I172">
        <f>IF(物品!S256="",0,物品!S256)</f>
        <v>0</v>
      </c>
      <c r="J172">
        <f>IF(物品!C256="",0,""""&amp;物品!C256&amp;"""")</f>
        <v>0</v>
      </c>
      <c r="K172" t="str">
        <f>IF(物品!T256="","""""",""""&amp;物品!T256&amp;"""")</f>
        <v>""</v>
      </c>
      <c r="L172">
        <f>IF(物品!U256="",0,""""&amp;物品!U256&amp;"""")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IF(物品!B257="",0,"'"&amp;物品!B257&amp;"'")</f>
        <v>0</v>
      </c>
      <c r="B173">
        <f>物品!D181</f>
        <v>0</v>
      </c>
      <c r="C173">
        <f>物品!E257</f>
        <v>0</v>
      </c>
      <c r="D173">
        <f>物品!F257</f>
        <v>0</v>
      </c>
      <c r="E173">
        <f>IF(ISTEXT(物品!G257)=TRUE,"'"&amp;物品!G257&amp;"'",物品!G257)</f>
        <v>0</v>
      </c>
      <c r="F173">
        <f>IF(ISTEXT(物品!H257)=TRUE,"'"&amp;物品!H257&amp;"'",物品!H257)</f>
        <v>0</v>
      </c>
      <c r="G173">
        <f>IF(物品!I257="",0,"'"&amp;物品!I257&amp;"'")</f>
        <v>0</v>
      </c>
      <c r="H173">
        <f>IF(物品!R257="",0,物品!R257)</f>
        <v>0</v>
      </c>
      <c r="I173">
        <f>IF(物品!S257="",0,物品!S257)</f>
        <v>0</v>
      </c>
      <c r="J173">
        <f>IF(物品!C257="",0,""""&amp;物品!C257&amp;"""")</f>
        <v>0</v>
      </c>
      <c r="K173" t="str">
        <f>IF(物品!T257="","""""",""""&amp;物品!T257&amp;"""")</f>
        <v>""</v>
      </c>
      <c r="L173">
        <f>IF(物品!U257="",0,""""&amp;物品!U257&amp;"""")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IF(物品!B258="",0,"'"&amp;物品!B258&amp;"'")</f>
        <v>0</v>
      </c>
      <c r="B174">
        <f>物品!D185</f>
        <v>0</v>
      </c>
      <c r="C174">
        <f>物品!E258</f>
        <v>0</v>
      </c>
      <c r="D174">
        <f>物品!F258</f>
        <v>0</v>
      </c>
      <c r="E174">
        <f>IF(ISTEXT(物品!G258)=TRUE,"'"&amp;物品!G258&amp;"'",物品!G258)</f>
        <v>0</v>
      </c>
      <c r="F174">
        <f>IF(ISTEXT(物品!H258)=TRUE,"'"&amp;物品!H258&amp;"'",物品!H258)</f>
        <v>0</v>
      </c>
      <c r="G174">
        <f>IF(物品!I258="",0,"'"&amp;物品!I258&amp;"'")</f>
        <v>0</v>
      </c>
      <c r="H174">
        <f>IF(物品!R258="",0,物品!R258)</f>
        <v>0</v>
      </c>
      <c r="I174">
        <f>IF(物品!S258="",0,物品!S258)</f>
        <v>0</v>
      </c>
      <c r="J174">
        <f>IF(物品!C258="",0,""""&amp;物品!C258&amp;"""")</f>
        <v>0</v>
      </c>
      <c r="K174" t="str">
        <f>IF(物品!T258="","""""",""""&amp;物品!T258&amp;"""")</f>
        <v>""</v>
      </c>
      <c r="L174">
        <f>IF(物品!U258="",0,""""&amp;物品!U258&amp;"""")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IF(物品!B259="",0,"'"&amp;物品!B259&amp;"'")</f>
        <v>0</v>
      </c>
      <c r="B175">
        <f>物品!D186</f>
        <v>0</v>
      </c>
      <c r="C175">
        <f>物品!E259</f>
        <v>0</v>
      </c>
      <c r="D175">
        <f>物品!F259</f>
        <v>0</v>
      </c>
      <c r="E175">
        <f>IF(ISTEXT(物品!G259)=TRUE,"'"&amp;物品!G259&amp;"'",物品!G259)</f>
        <v>0</v>
      </c>
      <c r="F175">
        <f>IF(ISTEXT(物品!H259)=TRUE,"'"&amp;物品!H259&amp;"'",物品!H259)</f>
        <v>0</v>
      </c>
      <c r="G175">
        <f>IF(物品!I259="",0,"'"&amp;物品!I259&amp;"'")</f>
        <v>0</v>
      </c>
      <c r="H175">
        <f>IF(物品!R259="",0,物品!R259)</f>
        <v>0</v>
      </c>
      <c r="I175">
        <f>IF(物品!S259="",0,物品!S259)</f>
        <v>0</v>
      </c>
      <c r="J175">
        <f>IF(物品!C259="",0,""""&amp;物品!C259&amp;"""")</f>
        <v>0</v>
      </c>
      <c r="K175" t="str">
        <f>IF(物品!T259="","""""",""""&amp;物品!T259&amp;"""")</f>
        <v>""</v>
      </c>
      <c r="L175">
        <f>IF(物品!U259="",0,""""&amp;物品!U259&amp;"""")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IF(物品!B260="",0,"'"&amp;物品!B260&amp;"'")</f>
        <v>0</v>
      </c>
      <c r="B176" t="e">
        <f>物品!#REF!</f>
        <v>#REF!</v>
      </c>
      <c r="C176">
        <f>物品!E260</f>
        <v>0</v>
      </c>
      <c r="D176">
        <f>物品!F260</f>
        <v>0</v>
      </c>
      <c r="E176">
        <f>IF(ISTEXT(物品!G260)=TRUE,"'"&amp;物品!G260&amp;"'",物品!G260)</f>
        <v>0</v>
      </c>
      <c r="F176">
        <f>IF(ISTEXT(物品!H260)=TRUE,"'"&amp;物品!H260&amp;"'",物品!H260)</f>
        <v>0</v>
      </c>
      <c r="G176">
        <f>IF(物品!I260="",0,"'"&amp;物品!I260&amp;"'")</f>
        <v>0</v>
      </c>
      <c r="H176">
        <f>IF(物品!R260="",0,物品!R260)</f>
        <v>0</v>
      </c>
      <c r="I176">
        <f>IF(物品!S260="",0,物品!S260)</f>
        <v>0</v>
      </c>
      <c r="J176">
        <f>IF(物品!C260="",0,""""&amp;物品!C260&amp;"""")</f>
        <v>0</v>
      </c>
      <c r="K176" t="str">
        <f>IF(物品!T260="","""""",""""&amp;物品!T260&amp;"""")</f>
        <v>""</v>
      </c>
      <c r="L176">
        <f>IF(物品!U260="",0,""""&amp;物品!U260&amp;"""")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IF(物品!B261="",0,"'"&amp;物品!B261&amp;"'")</f>
        <v>0</v>
      </c>
      <c r="B177" t="e">
        <f>物品!#REF!</f>
        <v>#REF!</v>
      </c>
      <c r="C177">
        <f>物品!E261</f>
        <v>0</v>
      </c>
      <c r="D177">
        <f>物品!F261</f>
        <v>0</v>
      </c>
      <c r="E177">
        <f>IF(ISTEXT(物品!G261)=TRUE,"'"&amp;物品!G261&amp;"'",物品!G261)</f>
        <v>0</v>
      </c>
      <c r="F177">
        <f>IF(ISTEXT(物品!H261)=TRUE,"'"&amp;物品!H261&amp;"'",物品!H261)</f>
        <v>0</v>
      </c>
      <c r="G177">
        <f>IF(物品!I261="",0,"'"&amp;物品!I261&amp;"'")</f>
        <v>0</v>
      </c>
      <c r="H177">
        <f>IF(物品!R261="",0,物品!R261)</f>
        <v>0</v>
      </c>
      <c r="I177">
        <f>IF(物品!S261="",0,物品!S261)</f>
        <v>0</v>
      </c>
      <c r="J177">
        <f>IF(物品!C261="",0,""""&amp;物品!C261&amp;"""")</f>
        <v>0</v>
      </c>
      <c r="K177" t="str">
        <f>IF(物品!T261="","""""",""""&amp;物品!T261&amp;"""")</f>
        <v>""</v>
      </c>
      <c r="L177">
        <f>IF(物品!U261="",0,""""&amp;物品!U261&amp;"""")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IF(物品!B262="",0,"'"&amp;物品!B262&amp;"'")</f>
        <v>0</v>
      </c>
      <c r="B178" t="e">
        <f>物品!#REF!</f>
        <v>#REF!</v>
      </c>
      <c r="C178">
        <f>物品!E262</f>
        <v>0</v>
      </c>
      <c r="D178">
        <f>物品!F262</f>
        <v>0</v>
      </c>
      <c r="E178">
        <f>IF(ISTEXT(物品!G262)=TRUE,"'"&amp;物品!G262&amp;"'",物品!G262)</f>
        <v>0</v>
      </c>
      <c r="F178">
        <f>IF(ISTEXT(物品!H262)=TRUE,"'"&amp;物品!H262&amp;"'",物品!H262)</f>
        <v>0</v>
      </c>
      <c r="G178">
        <f>IF(物品!I262="",0,"'"&amp;物品!I262&amp;"'")</f>
        <v>0</v>
      </c>
      <c r="H178">
        <f>IF(物品!R262="",0,物品!R262)</f>
        <v>0</v>
      </c>
      <c r="I178">
        <f>IF(物品!S262="",0,物品!S262)</f>
        <v>0</v>
      </c>
      <c r="J178">
        <f>IF(物品!C262="",0,""""&amp;物品!C262&amp;"""")</f>
        <v>0</v>
      </c>
      <c r="K178" t="str">
        <f>IF(物品!T262="","""""",""""&amp;物品!T262&amp;"""")</f>
        <v>""</v>
      </c>
      <c r="L178">
        <f>IF(物品!U262="",0,""""&amp;物品!U262&amp;"""")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IF(物品!B263="",0,"'"&amp;物品!B263&amp;"'")</f>
        <v>0</v>
      </c>
      <c r="B179" t="e">
        <f>物品!#REF!</f>
        <v>#REF!</v>
      </c>
      <c r="C179">
        <f>物品!E263</f>
        <v>0</v>
      </c>
      <c r="D179">
        <f>物品!F263</f>
        <v>0</v>
      </c>
      <c r="E179">
        <f>IF(ISTEXT(物品!G263)=TRUE,"'"&amp;物品!G263&amp;"'",物品!G263)</f>
        <v>0</v>
      </c>
      <c r="F179">
        <f>IF(ISTEXT(物品!H263)=TRUE,"'"&amp;物品!H263&amp;"'",物品!H263)</f>
        <v>0</v>
      </c>
      <c r="G179">
        <f>IF(物品!I263="",0,"'"&amp;物品!I263&amp;"'")</f>
        <v>0</v>
      </c>
      <c r="H179">
        <f>IF(物品!R263="",0,物品!R263)</f>
        <v>0</v>
      </c>
      <c r="I179">
        <f>IF(物品!S263="",0,物品!S263)</f>
        <v>0</v>
      </c>
      <c r="J179">
        <f>IF(物品!C263="",0,""""&amp;物品!C263&amp;"""")</f>
        <v>0</v>
      </c>
      <c r="K179" t="str">
        <f>IF(物品!T263="","""""",""""&amp;物品!T263&amp;"""")</f>
        <v>""</v>
      </c>
      <c r="L179">
        <f>IF(物品!U263="",0,""""&amp;物品!U263&amp;"""")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IF(物品!B264="",0,"'"&amp;物品!B264&amp;"'")</f>
        <v>0</v>
      </c>
      <c r="B180" t="e">
        <f>物品!#REF!</f>
        <v>#REF!</v>
      </c>
      <c r="C180">
        <f>物品!E264</f>
        <v>0</v>
      </c>
      <c r="D180">
        <f>物品!F264</f>
        <v>0</v>
      </c>
      <c r="E180">
        <f>IF(ISTEXT(物品!G264)=TRUE,"'"&amp;物品!G264&amp;"'",物品!G264)</f>
        <v>0</v>
      </c>
      <c r="F180">
        <f>IF(ISTEXT(物品!H264)=TRUE,"'"&amp;物品!H264&amp;"'",物品!H264)</f>
        <v>0</v>
      </c>
      <c r="G180">
        <f>IF(物品!I264="",0,"'"&amp;物品!I264&amp;"'")</f>
        <v>0</v>
      </c>
      <c r="H180">
        <f>IF(物品!R264="",0,物品!R264)</f>
        <v>0</v>
      </c>
      <c r="I180">
        <f>IF(物品!S264="",0,物品!S264)</f>
        <v>0</v>
      </c>
      <c r="J180">
        <f>IF(物品!C264="",0,""""&amp;物品!C264&amp;"""")</f>
        <v>0</v>
      </c>
      <c r="K180" t="str">
        <f>IF(物品!T264="","""""",""""&amp;物品!T264&amp;"""")</f>
        <v>""</v>
      </c>
      <c r="L180">
        <f>IF(物品!U264="",0,""""&amp;物品!U264&amp;"""")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IF(物品!B265="",0,"'"&amp;物品!B265&amp;"'")</f>
        <v>0</v>
      </c>
      <c r="B181" t="e">
        <f>物品!#REF!</f>
        <v>#REF!</v>
      </c>
      <c r="C181">
        <f>物品!E265</f>
        <v>0</v>
      </c>
      <c r="D181">
        <f>物品!F265</f>
        <v>0</v>
      </c>
      <c r="E181">
        <f>IF(ISTEXT(物品!G265)=TRUE,"'"&amp;物品!G265&amp;"'",物品!G265)</f>
        <v>0</v>
      </c>
      <c r="F181">
        <f>IF(ISTEXT(物品!H265)=TRUE,"'"&amp;物品!H265&amp;"'",物品!H265)</f>
        <v>0</v>
      </c>
      <c r="G181">
        <f>IF(物品!I265="",0,"'"&amp;物品!I265&amp;"'")</f>
        <v>0</v>
      </c>
      <c r="H181">
        <f>IF(物品!R265="",0,物品!R265)</f>
        <v>0</v>
      </c>
      <c r="I181">
        <f>IF(物品!S265="",0,物品!S265)</f>
        <v>0</v>
      </c>
      <c r="J181">
        <f>IF(物品!C265="",0,""""&amp;物品!C265&amp;"""")</f>
        <v>0</v>
      </c>
      <c r="K181" t="str">
        <f>IF(物品!T265="","""""",""""&amp;物品!T265&amp;"""")</f>
        <v>""</v>
      </c>
      <c r="L181">
        <f>IF(物品!U265="",0,""""&amp;物品!U265&amp;"""")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IF(物品!B266="",0,"'"&amp;物品!B266&amp;"'")</f>
        <v>0</v>
      </c>
      <c r="B182" t="e">
        <f>物品!#REF!</f>
        <v>#REF!</v>
      </c>
      <c r="C182">
        <f>物品!E266</f>
        <v>0</v>
      </c>
      <c r="D182">
        <f>物品!F266</f>
        <v>0</v>
      </c>
      <c r="E182">
        <f>IF(ISTEXT(物品!G266)=TRUE,"'"&amp;物品!G266&amp;"'",物品!G266)</f>
        <v>0</v>
      </c>
      <c r="F182">
        <f>IF(ISTEXT(物品!H266)=TRUE,"'"&amp;物品!H266&amp;"'",物品!H266)</f>
        <v>0</v>
      </c>
      <c r="G182">
        <f>IF(物品!I266="",0,"'"&amp;物品!I266&amp;"'")</f>
        <v>0</v>
      </c>
      <c r="H182">
        <f>IF(物品!R266="",0,物品!R266)</f>
        <v>0</v>
      </c>
      <c r="I182">
        <f>IF(物品!S266="",0,物品!S266)</f>
        <v>0</v>
      </c>
      <c r="J182">
        <f>IF(物品!C266="",0,""""&amp;物品!C266&amp;"""")</f>
        <v>0</v>
      </c>
      <c r="K182" t="str">
        <f>IF(物品!T266="","""""",""""&amp;物品!T266&amp;"""")</f>
        <v>""</v>
      </c>
      <c r="L182">
        <f>IF(物品!U266="",0,""""&amp;物品!U266&amp;"""")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IF(物品!B267="",0,"'"&amp;物品!B267&amp;"'")</f>
        <v>0</v>
      </c>
      <c r="B183" t="e">
        <f>物品!#REF!</f>
        <v>#REF!</v>
      </c>
      <c r="C183">
        <f>物品!E267</f>
        <v>0</v>
      </c>
      <c r="D183">
        <f>物品!F267</f>
        <v>0</v>
      </c>
      <c r="E183">
        <f>IF(ISTEXT(物品!G267)=TRUE,"'"&amp;物品!G267&amp;"'",物品!G267)</f>
        <v>0</v>
      </c>
      <c r="F183">
        <f>IF(ISTEXT(物品!H267)=TRUE,"'"&amp;物品!H267&amp;"'",物品!H267)</f>
        <v>0</v>
      </c>
      <c r="G183">
        <f>IF(物品!I267="",0,"'"&amp;物品!I267&amp;"'")</f>
        <v>0</v>
      </c>
      <c r="H183">
        <f>IF(物品!R267="",0,物品!R267)</f>
        <v>0</v>
      </c>
      <c r="I183">
        <f>IF(物品!S267="",0,物品!S267)</f>
        <v>0</v>
      </c>
      <c r="J183">
        <f>IF(物品!C267="",0,""""&amp;物品!C267&amp;"""")</f>
        <v>0</v>
      </c>
      <c r="K183" t="str">
        <f>IF(物品!T267="","""""",""""&amp;物品!T267&amp;"""")</f>
        <v>""</v>
      </c>
      <c r="L183">
        <f>IF(物品!U267="",0,""""&amp;物品!U267&amp;"""")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IF(物品!B268="",0,"'"&amp;物品!B268&amp;"'")</f>
        <v>0</v>
      </c>
      <c r="B184">
        <f>物品!D189</f>
        <v>0</v>
      </c>
      <c r="C184">
        <f>物品!E268</f>
        <v>0</v>
      </c>
      <c r="D184">
        <f>物品!F268</f>
        <v>0</v>
      </c>
      <c r="E184">
        <f>IF(ISTEXT(物品!G268)=TRUE,"'"&amp;物品!G268&amp;"'",物品!G268)</f>
        <v>0</v>
      </c>
      <c r="F184">
        <f>IF(ISTEXT(物品!H268)=TRUE,"'"&amp;物品!H268&amp;"'",物品!H268)</f>
        <v>0</v>
      </c>
      <c r="G184">
        <f>IF(物品!I268="",0,"'"&amp;物品!I268&amp;"'")</f>
        <v>0</v>
      </c>
      <c r="H184">
        <f>IF(物品!R268="",0,物品!R268)</f>
        <v>0</v>
      </c>
      <c r="I184">
        <f>IF(物品!S268="",0,物品!S268)</f>
        <v>0</v>
      </c>
      <c r="J184">
        <f>IF(物品!C268="",0,""""&amp;物品!C268&amp;"""")</f>
        <v>0</v>
      </c>
      <c r="K184" t="str">
        <f>IF(物品!T268="","""""",""""&amp;物品!T268&amp;"""")</f>
        <v>""</v>
      </c>
      <c r="L184">
        <f>IF(物品!U268="",0,""""&amp;物品!U268&amp;"""")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IF(物品!B278="",0,"'"&amp;物品!B278&amp;"'")</f>
        <v>0</v>
      </c>
      <c r="B185">
        <f>物品!D190</f>
        <v>0</v>
      </c>
      <c r="C185">
        <f>物品!E278</f>
        <v>0</v>
      </c>
      <c r="D185">
        <f>物品!F278</f>
        <v>0</v>
      </c>
      <c r="E185">
        <f>IF(ISTEXT(物品!G269)=TRUE,"'"&amp;物品!G269&amp;"'",物品!G269)</f>
        <v>0</v>
      </c>
      <c r="F185">
        <f>IF(ISTEXT(物品!H269)=TRUE,"'"&amp;物品!H269&amp;"'",物品!H269)</f>
        <v>0</v>
      </c>
      <c r="G185">
        <f>IF(物品!I278="",0,"'"&amp;物品!I278&amp;"'")</f>
        <v>0</v>
      </c>
      <c r="H185">
        <f>IF(物品!R269="",0,物品!R269)</f>
        <v>0</v>
      </c>
      <c r="I185">
        <f>IF(物品!S269="",0,物品!S269)</f>
        <v>0</v>
      </c>
      <c r="J185">
        <f>IF(物品!C278="",0,""""&amp;物品!C278&amp;"""")</f>
        <v>0</v>
      </c>
      <c r="K185" t="str">
        <f>IF(物品!T278="","""""",""""&amp;物品!T278&amp;"""")</f>
        <v>""</v>
      </c>
      <c r="L185">
        <f>IF(物品!U278="",0,""""&amp;物品!U278&amp;"""")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IF(物品!B279="",0,"'"&amp;物品!B279&amp;"'")</f>
        <v>0</v>
      </c>
      <c r="B186">
        <f>物品!D191</f>
        <v>0</v>
      </c>
      <c r="C186">
        <f>物品!E279</f>
        <v>0</v>
      </c>
      <c r="D186">
        <f>物品!F279</f>
        <v>0</v>
      </c>
      <c r="E186">
        <f>IF(ISTEXT(物品!G270)=TRUE,"'"&amp;物品!G270&amp;"'",物品!G270)</f>
        <v>0</v>
      </c>
      <c r="F186">
        <f>IF(ISTEXT(物品!H270)=TRUE,"'"&amp;物品!H270&amp;"'",物品!H270)</f>
        <v>0</v>
      </c>
      <c r="G186">
        <f>IF(物品!I279="",0,"'"&amp;物品!I279&amp;"'")</f>
        <v>0</v>
      </c>
      <c r="H186">
        <f>IF(物品!R270="",0,物品!R270)</f>
        <v>0</v>
      </c>
      <c r="I186">
        <f>IF(物品!S270="",0,物品!S270)</f>
        <v>0</v>
      </c>
      <c r="J186">
        <f>IF(物品!C279="",0,""""&amp;物品!C279&amp;"""")</f>
        <v>0</v>
      </c>
      <c r="K186" t="str">
        <f>IF(物品!T279="","""""",""""&amp;物品!T279&amp;"""")</f>
        <v>""</v>
      </c>
      <c r="L186">
        <f>IF(物品!U279="",0,""""&amp;物品!U279&amp;"""")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IF(物品!B280="",0,"'"&amp;物品!B280&amp;"'")</f>
        <v>0</v>
      </c>
      <c r="B187">
        <f>物品!D192</f>
        <v>0</v>
      </c>
      <c r="C187">
        <f>物品!E280</f>
        <v>0</v>
      </c>
      <c r="D187">
        <f>物品!F280</f>
        <v>0</v>
      </c>
      <c r="E187">
        <f>IF(ISTEXT(物品!G271)=TRUE,"'"&amp;物品!G271&amp;"'",物品!G271)</f>
        <v>0</v>
      </c>
      <c r="F187">
        <f>IF(ISTEXT(物品!H271)=TRUE,"'"&amp;物品!H271&amp;"'",物品!H271)</f>
        <v>0</v>
      </c>
      <c r="G187">
        <f>IF(物品!I280="",0,"'"&amp;物品!I280&amp;"'")</f>
        <v>0</v>
      </c>
      <c r="H187">
        <f>IF(物品!R271="",0,物品!R271)</f>
        <v>0</v>
      </c>
      <c r="I187">
        <f>IF(物品!S271="",0,物品!S271)</f>
        <v>0</v>
      </c>
      <c r="J187">
        <f>IF(物品!C280="",0,""""&amp;物品!C280&amp;"""")</f>
        <v>0</v>
      </c>
      <c r="K187" t="str">
        <f>IF(物品!T280="","""""",""""&amp;物品!T280&amp;"""")</f>
        <v>""</v>
      </c>
      <c r="L187">
        <f>IF(物品!U280="",0,""""&amp;物品!U280&amp;"""")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IF(物品!B281="",0,"'"&amp;物品!B281&amp;"'")</f>
        <v>0</v>
      </c>
      <c r="B188">
        <f>物品!D193</f>
        <v>0</v>
      </c>
      <c r="C188">
        <f>物品!E281</f>
        <v>0</v>
      </c>
      <c r="D188">
        <f>物品!F281</f>
        <v>0</v>
      </c>
      <c r="E188">
        <f>IF(ISTEXT(物品!G272)=TRUE,"'"&amp;物品!G272&amp;"'",物品!G272)</f>
        <v>0</v>
      </c>
      <c r="F188">
        <f>IF(ISTEXT(物品!H272)=TRUE,"'"&amp;物品!H272&amp;"'",物品!H272)</f>
        <v>0</v>
      </c>
      <c r="G188">
        <f>IF(物品!I281="",0,"'"&amp;物品!I281&amp;"'")</f>
        <v>0</v>
      </c>
      <c r="H188">
        <f>IF(物品!R272="",0,物品!R272)</f>
        <v>0</v>
      </c>
      <c r="I188">
        <f>IF(物品!S272="",0,物品!S272)</f>
        <v>0</v>
      </c>
      <c r="J188">
        <f>IF(物品!C281="",0,""""&amp;物品!C281&amp;"""")</f>
        <v>0</v>
      </c>
      <c r="K188" t="str">
        <f>IF(物品!T281="","""""",""""&amp;物品!T281&amp;"""")</f>
        <v>""</v>
      </c>
      <c r="L188">
        <f>IF(物品!U281="",0,""""&amp;物品!U281&amp;"""")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IF(物品!B282="",0,"'"&amp;物品!B282&amp;"'")</f>
        <v>0</v>
      </c>
      <c r="B189">
        <f>物品!D194</f>
        <v>0</v>
      </c>
      <c r="C189">
        <f>物品!E282</f>
        <v>0</v>
      </c>
      <c r="D189">
        <f>物品!F282</f>
        <v>0</v>
      </c>
      <c r="E189">
        <f>IF(ISTEXT(物品!G273)=TRUE,"'"&amp;物品!G273&amp;"'",物品!G273)</f>
        <v>0</v>
      </c>
      <c r="F189">
        <f>IF(ISTEXT(物品!H273)=TRUE,"'"&amp;物品!H273&amp;"'",物品!H273)</f>
        <v>0</v>
      </c>
      <c r="G189">
        <f>IF(物品!I282="",0,"'"&amp;物品!I282&amp;"'")</f>
        <v>0</v>
      </c>
      <c r="H189">
        <f>IF(物品!R273="",0,物品!R273)</f>
        <v>0</v>
      </c>
      <c r="I189">
        <f>IF(物品!S273="",0,物品!S273)</f>
        <v>0</v>
      </c>
      <c r="J189">
        <f>IF(物品!C282="",0,""""&amp;物品!C282&amp;"""")</f>
        <v>0</v>
      </c>
      <c r="K189" t="str">
        <f>IF(物品!T282="","""""",""""&amp;物品!T282&amp;"""")</f>
        <v>""</v>
      </c>
      <c r="L189">
        <f>IF(物品!U282="",0,""""&amp;物品!U282&amp;"""")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IF(物品!B283="",0,"'"&amp;物品!B283&amp;"'")</f>
        <v>0</v>
      </c>
      <c r="B190">
        <f>物品!D195</f>
        <v>0</v>
      </c>
      <c r="C190">
        <f>物品!E283</f>
        <v>0</v>
      </c>
      <c r="D190">
        <f>物品!F283</f>
        <v>0</v>
      </c>
      <c r="E190">
        <f>IF(ISTEXT(物品!G274)=TRUE,"'"&amp;物品!G274&amp;"'",物品!G274)</f>
        <v>0</v>
      </c>
      <c r="F190">
        <f>IF(ISTEXT(物品!H274)=TRUE,"'"&amp;物品!H274&amp;"'",物品!H274)</f>
        <v>0</v>
      </c>
      <c r="G190">
        <f>IF(物品!I283="",0,"'"&amp;物品!I283&amp;"'")</f>
        <v>0</v>
      </c>
      <c r="H190">
        <f>IF(物品!R274="",0,物品!R274)</f>
        <v>0</v>
      </c>
      <c r="I190">
        <f>IF(物品!S274="",0,物品!S274)</f>
        <v>0</v>
      </c>
      <c r="J190">
        <f>IF(物品!C283="",0,""""&amp;物品!C283&amp;"""")</f>
        <v>0</v>
      </c>
      <c r="K190" t="str">
        <f>IF(物品!T283="","""""",""""&amp;物品!T283&amp;"""")</f>
        <v>""</v>
      </c>
      <c r="L190">
        <f>IF(物品!U283="",0,""""&amp;物品!U283&amp;"""")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IF(物品!B284="",0,"'"&amp;物品!B284&amp;"'")</f>
        <v>0</v>
      </c>
      <c r="B191">
        <f>物品!D196</f>
        <v>0</v>
      </c>
      <c r="C191">
        <f>物品!E284</f>
        <v>0</v>
      </c>
      <c r="D191">
        <f>物品!F284</f>
        <v>0</v>
      </c>
      <c r="E191">
        <f>IF(ISTEXT(物品!G275)=TRUE,"'"&amp;物品!G275&amp;"'",物品!G275)</f>
        <v>0</v>
      </c>
      <c r="F191">
        <f>IF(ISTEXT(物品!H275)=TRUE,"'"&amp;物品!H275&amp;"'",物品!H275)</f>
        <v>0</v>
      </c>
      <c r="G191">
        <f>IF(物品!I284="",0,"'"&amp;物品!I284&amp;"'")</f>
        <v>0</v>
      </c>
      <c r="H191">
        <f>IF(物品!R275="",0,物品!R275)</f>
        <v>0</v>
      </c>
      <c r="I191">
        <f>IF(物品!S275="",0,物品!S275)</f>
        <v>0</v>
      </c>
      <c r="J191">
        <f>IF(物品!C284="",0,""""&amp;物品!C284&amp;"""")</f>
        <v>0</v>
      </c>
      <c r="K191" t="str">
        <f>IF(物品!T284="","""""",""""&amp;物品!T284&amp;"""")</f>
        <v>""</v>
      </c>
      <c r="L191">
        <f>IF(物品!U284="",0,""""&amp;物品!U284&amp;"""")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IF(物品!B285="",0,"'"&amp;物品!B285&amp;"'")</f>
        <v>0</v>
      </c>
      <c r="B192">
        <f>物品!D207</f>
        <v>0</v>
      </c>
      <c r="C192">
        <f>物品!E285</f>
        <v>0</v>
      </c>
      <c r="D192">
        <f>物品!F285</f>
        <v>0</v>
      </c>
      <c r="E192">
        <f>IF(ISTEXT(物品!G276)=TRUE,"'"&amp;物品!G276&amp;"'",物品!G276)</f>
        <v>0</v>
      </c>
      <c r="F192">
        <f>IF(ISTEXT(物品!H276)=TRUE,"'"&amp;物品!H276&amp;"'",物品!H276)</f>
        <v>0</v>
      </c>
      <c r="G192">
        <f>IF(物品!I285="",0,"'"&amp;物品!I285&amp;"'")</f>
        <v>0</v>
      </c>
      <c r="H192">
        <f>IF(物品!R276="",0,物品!R276)</f>
        <v>0</v>
      </c>
      <c r="I192">
        <f>IF(物品!S276="",0,物品!S276)</f>
        <v>0</v>
      </c>
      <c r="J192">
        <f>IF(物品!C285="",0,""""&amp;物品!C285&amp;"""")</f>
        <v>0</v>
      </c>
      <c r="K192" t="str">
        <f>IF(物品!T285="","""""",""""&amp;物品!T285&amp;"""")</f>
        <v>""</v>
      </c>
      <c r="L192">
        <f>IF(物品!U285="",0,""""&amp;物品!U285&amp;"""")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IF(物品!B286="",0,"'"&amp;物品!B286&amp;"'")</f>
        <v>0</v>
      </c>
      <c r="B193">
        <f>物品!D208</f>
        <v>0</v>
      </c>
      <c r="C193">
        <f>物品!E286</f>
        <v>0</v>
      </c>
      <c r="D193">
        <f>物品!F286</f>
        <v>0</v>
      </c>
      <c r="E193">
        <f>IF(ISTEXT(物品!G277)=TRUE,"'"&amp;物品!G277&amp;"'",物品!G277)</f>
        <v>0</v>
      </c>
      <c r="F193">
        <f>IF(ISTEXT(物品!H277)=TRUE,"'"&amp;物品!H277&amp;"'",物品!H277)</f>
        <v>0</v>
      </c>
      <c r="G193">
        <f>IF(物品!I286="",0,"'"&amp;物品!I286&amp;"'")</f>
        <v>0</v>
      </c>
      <c r="H193">
        <f>IF(物品!R277="",0,物品!R277)</f>
        <v>0</v>
      </c>
      <c r="I193">
        <f>IF(物品!S277="",0,物品!S277)</f>
        <v>0</v>
      </c>
      <c r="J193">
        <f>IF(物品!C286="",0,""""&amp;物品!C286&amp;"""")</f>
        <v>0</v>
      </c>
      <c r="K193" t="str">
        <f>IF(物品!T286="","""""",""""&amp;物品!T286&amp;"""")</f>
        <v>""</v>
      </c>
      <c r="L193">
        <f>IF(物品!U286="",0,""""&amp;物品!U286&amp;"""")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IF(物品!B287="",0,"'"&amp;物品!B287&amp;"'")</f>
        <v>0</v>
      </c>
      <c r="B194">
        <f>物品!D209</f>
        <v>0</v>
      </c>
      <c r="C194">
        <f>物品!E287</f>
        <v>0</v>
      </c>
      <c r="D194">
        <f>物品!F287</f>
        <v>0</v>
      </c>
      <c r="E194">
        <f>IF(ISTEXT(物品!G278)=TRUE,"'"&amp;物品!G278&amp;"'",物品!G278)</f>
        <v>0</v>
      </c>
      <c r="F194">
        <f>IF(ISTEXT(物品!H278)=TRUE,"'"&amp;物品!H278&amp;"'",物品!H278)</f>
        <v>0</v>
      </c>
      <c r="G194">
        <f>IF(物品!I287="",0,"'"&amp;物品!I287&amp;"'")</f>
        <v>0</v>
      </c>
      <c r="H194">
        <f>IF(物品!R278="",0,物品!R278)</f>
        <v>0</v>
      </c>
      <c r="I194">
        <f>IF(物品!S278="",0,物品!S278)</f>
        <v>0</v>
      </c>
      <c r="J194">
        <f>IF(物品!C287="",0,""""&amp;物品!C287&amp;"""")</f>
        <v>0</v>
      </c>
      <c r="K194" t="str">
        <f>IF(物品!T287="","""""",""""&amp;物品!T287&amp;"""")</f>
        <v>""</v>
      </c>
      <c r="L194">
        <f>IF(物品!U287="",0,""""&amp;物品!U287&amp;"""")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IF(物品!B288="",0,"'"&amp;物品!B288&amp;"'")</f>
        <v>0</v>
      </c>
      <c r="B195">
        <f>物品!D210</f>
        <v>0</v>
      </c>
      <c r="C195">
        <f>物品!E288</f>
        <v>0</v>
      </c>
      <c r="D195">
        <f>物品!F288</f>
        <v>0</v>
      </c>
      <c r="E195">
        <f>IF(ISTEXT(物品!G279)=TRUE,"'"&amp;物品!G279&amp;"'",物品!G279)</f>
        <v>0</v>
      </c>
      <c r="F195">
        <f>IF(ISTEXT(物品!H279)=TRUE,"'"&amp;物品!H279&amp;"'",物品!H279)</f>
        <v>0</v>
      </c>
      <c r="G195">
        <f>IF(物品!I288="",0,"'"&amp;物品!I288&amp;"'")</f>
        <v>0</v>
      </c>
      <c r="H195">
        <f>IF(物品!R279="",0,物品!R279)</f>
        <v>0</v>
      </c>
      <c r="I195">
        <f>IF(物品!S279="",0,物品!S279)</f>
        <v>0</v>
      </c>
      <c r="J195">
        <f>IF(物品!C288="",0,""""&amp;物品!C288&amp;"""")</f>
        <v>0</v>
      </c>
      <c r="K195" t="str">
        <f>IF(物品!T288="","""""",""""&amp;物品!T288&amp;"""")</f>
        <v>""</v>
      </c>
      <c r="L195">
        <f>IF(物品!U288="",0,""""&amp;物品!U288&amp;"""")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IF(物品!B289="",0,"'"&amp;物品!B289&amp;"'")</f>
        <v>0</v>
      </c>
      <c r="B196">
        <f>物品!D211</f>
        <v>0</v>
      </c>
      <c r="C196">
        <f>物品!E289</f>
        <v>0</v>
      </c>
      <c r="D196">
        <f>物品!F289</f>
        <v>0</v>
      </c>
      <c r="E196">
        <f>IF(ISTEXT(物品!G280)=TRUE,"'"&amp;物品!G280&amp;"'",物品!G280)</f>
        <v>0</v>
      </c>
      <c r="F196">
        <f>IF(ISTEXT(物品!H280)=TRUE,"'"&amp;物品!H280&amp;"'",物品!H280)</f>
        <v>0</v>
      </c>
      <c r="G196">
        <f>IF(物品!I289="",0,"'"&amp;物品!I289&amp;"'")</f>
        <v>0</v>
      </c>
      <c r="H196">
        <f>IF(物品!R280="",0,物品!R280)</f>
        <v>0</v>
      </c>
      <c r="I196">
        <f>IF(物品!S280="",0,物品!S280)</f>
        <v>0</v>
      </c>
      <c r="J196">
        <f>IF(物品!C289="",0,""""&amp;物品!C289&amp;"""")</f>
        <v>0</v>
      </c>
      <c r="K196" t="str">
        <f>IF(物品!T289="","""""",""""&amp;物品!T289&amp;"""")</f>
        <v>""</v>
      </c>
      <c r="L196">
        <f>IF(物品!U289="",0,""""&amp;物品!U289&amp;"""")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IF(物品!B290="",0,"'"&amp;物品!B290&amp;"'")</f>
        <v>0</v>
      </c>
      <c r="B197">
        <f>物品!D212</f>
        <v>0</v>
      </c>
      <c r="C197">
        <f>物品!E290</f>
        <v>0</v>
      </c>
      <c r="D197">
        <f>物品!F290</f>
        <v>0</v>
      </c>
      <c r="E197">
        <f>IF(ISTEXT(物品!G281)=TRUE,"'"&amp;物品!G281&amp;"'",物品!G281)</f>
        <v>0</v>
      </c>
      <c r="F197">
        <f>IF(ISTEXT(物品!H281)=TRUE,"'"&amp;物品!H281&amp;"'",物品!H281)</f>
        <v>0</v>
      </c>
      <c r="G197">
        <f>IF(物品!I290="",0,"'"&amp;物品!I290&amp;"'")</f>
        <v>0</v>
      </c>
      <c r="H197">
        <f>IF(物品!R281="",0,物品!R281)</f>
        <v>0</v>
      </c>
      <c r="I197">
        <f>IF(物品!S281="",0,物品!S281)</f>
        <v>0</v>
      </c>
      <c r="J197">
        <f>IF(物品!C290="",0,""""&amp;物品!C290&amp;"""")</f>
        <v>0</v>
      </c>
      <c r="K197" t="str">
        <f>IF(物品!T290="","""""",""""&amp;物品!T290&amp;"""")</f>
        <v>""</v>
      </c>
      <c r="L197">
        <f>IF(物品!U290="",0,""""&amp;物品!U290&amp;"""")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IF(物品!B291="",0,"'"&amp;物品!B291&amp;"'")</f>
        <v>0</v>
      </c>
      <c r="B198">
        <f>物品!D213</f>
        <v>0</v>
      </c>
      <c r="C198">
        <f>物品!E291</f>
        <v>0</v>
      </c>
      <c r="D198">
        <f>物品!F291</f>
        <v>0</v>
      </c>
      <c r="E198">
        <f>IF(ISTEXT(物品!G282)=TRUE,"'"&amp;物品!G282&amp;"'",物品!G282)</f>
        <v>0</v>
      </c>
      <c r="F198">
        <f>IF(ISTEXT(物品!H282)=TRUE,"'"&amp;物品!H282&amp;"'",物品!H282)</f>
        <v>0</v>
      </c>
      <c r="G198">
        <f>IF(物品!I291="",0,"'"&amp;物品!I291&amp;"'")</f>
        <v>0</v>
      </c>
      <c r="H198">
        <f>IF(物品!R282="",0,物品!R282)</f>
        <v>0</v>
      </c>
      <c r="I198">
        <f>IF(物品!S282="",0,物品!S282)</f>
        <v>0</v>
      </c>
      <c r="J198">
        <f>IF(物品!C291="",0,""""&amp;物品!C291&amp;"""")</f>
        <v>0</v>
      </c>
      <c r="K198" t="str">
        <f>IF(物品!T291="","""""",""""&amp;物品!T291&amp;"""")</f>
        <v>""</v>
      </c>
      <c r="L198">
        <f>IF(物品!U291="",0,""""&amp;物品!U291&amp;"""")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IF(物品!B292="",0,"'"&amp;物品!B292&amp;"'")</f>
        <v>0</v>
      </c>
      <c r="B199">
        <f>物品!D214</f>
        <v>0</v>
      </c>
      <c r="C199">
        <f>物品!E292</f>
        <v>0</v>
      </c>
      <c r="D199">
        <f>物品!F292</f>
        <v>0</v>
      </c>
      <c r="E199">
        <f>IF(ISTEXT(物品!G283)=TRUE,"'"&amp;物品!G283&amp;"'",物品!G283)</f>
        <v>0</v>
      </c>
      <c r="F199">
        <f>IF(ISTEXT(物品!H283)=TRUE,"'"&amp;物品!H283&amp;"'",物品!H283)</f>
        <v>0</v>
      </c>
      <c r="G199">
        <f>IF(物品!I292="",0,"'"&amp;物品!I292&amp;"'")</f>
        <v>0</v>
      </c>
      <c r="H199">
        <f>IF(物品!R283="",0,物品!R283)</f>
        <v>0</v>
      </c>
      <c r="I199">
        <f>IF(物品!S283="",0,物品!S283)</f>
        <v>0</v>
      </c>
      <c r="J199">
        <f>IF(物品!C292="",0,""""&amp;物品!C292&amp;"""")</f>
        <v>0</v>
      </c>
      <c r="K199" t="str">
        <f>IF(物品!T292="","""""",""""&amp;物品!T292&amp;"""")</f>
        <v>""</v>
      </c>
      <c r="L199">
        <f>IF(物品!U292="",0,""""&amp;物品!U292&amp;"""")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IF(物品!B293="",0,"'"&amp;物品!B293&amp;"'")</f>
        <v>0</v>
      </c>
      <c r="B200">
        <f>物品!D215</f>
        <v>0</v>
      </c>
      <c r="C200">
        <f>物品!E293</f>
        <v>0</v>
      </c>
      <c r="D200">
        <f>物品!F293</f>
        <v>0</v>
      </c>
      <c r="E200">
        <f>IF(ISTEXT(物品!G284)=TRUE,"'"&amp;物品!G284&amp;"'",物品!G284)</f>
        <v>0</v>
      </c>
      <c r="F200">
        <f>IF(ISTEXT(物品!H284)=TRUE,"'"&amp;物品!H284&amp;"'",物品!H284)</f>
        <v>0</v>
      </c>
      <c r="G200">
        <f>IF(物品!I293="",0,"'"&amp;物品!I293&amp;"'")</f>
        <v>0</v>
      </c>
      <c r="H200">
        <f>IF(物品!R284="",0,物品!R284)</f>
        <v>0</v>
      </c>
      <c r="I200">
        <f>IF(物品!S284="",0,物品!S284)</f>
        <v>0</v>
      </c>
      <c r="J200">
        <f>IF(物品!C293="",0,""""&amp;物品!C293&amp;"""")</f>
        <v>0</v>
      </c>
      <c r="K200" t="str">
        <f>IF(物品!T293="","""""",""""&amp;物品!T293&amp;"""")</f>
        <v>""</v>
      </c>
      <c r="L200">
        <f>IF(物品!U293="",0,""""&amp;物品!U293&amp;"""")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IF(物品!B294="",0,"'"&amp;物品!B294&amp;"'")</f>
        <v>0</v>
      </c>
      <c r="B201">
        <f>物品!D216</f>
        <v>0</v>
      </c>
      <c r="C201">
        <f>物品!E294</f>
        <v>0</v>
      </c>
      <c r="D201">
        <f>物品!F294</f>
        <v>0</v>
      </c>
      <c r="E201">
        <f>IF(ISTEXT(物品!G285)=TRUE,"'"&amp;物品!G285&amp;"'",物品!G285)</f>
        <v>0</v>
      </c>
      <c r="F201">
        <f>IF(ISTEXT(物品!H285)=TRUE,"'"&amp;物品!H285&amp;"'",物品!H285)</f>
        <v>0</v>
      </c>
      <c r="G201">
        <f>IF(物品!I294="",0,"'"&amp;物品!I294&amp;"'")</f>
        <v>0</v>
      </c>
      <c r="H201">
        <f>IF(物品!R285="",0,物品!R285)</f>
        <v>0</v>
      </c>
      <c r="I201">
        <f>IF(物品!S285="",0,物品!S285)</f>
        <v>0</v>
      </c>
      <c r="J201">
        <f>IF(物品!C294="",0,""""&amp;物品!C294&amp;"""")</f>
        <v>0</v>
      </c>
      <c r="K201" t="str">
        <f>IF(物品!T294="","""""",""""&amp;物品!T294&amp;"""")</f>
        <v>""</v>
      </c>
      <c r="L201">
        <f>IF(物品!U294="",0,""""&amp;物品!U294&amp;"""")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IF(物品!B295="",0,"'"&amp;物品!B295&amp;"'")</f>
        <v>0</v>
      </c>
      <c r="B202">
        <f>物品!D217</f>
        <v>0</v>
      </c>
      <c r="C202">
        <f>物品!E295</f>
        <v>0</v>
      </c>
      <c r="D202">
        <f>物品!F295</f>
        <v>0</v>
      </c>
      <c r="E202">
        <f>IF(ISTEXT(物品!G286)=TRUE,"'"&amp;物品!G286&amp;"'",物品!G286)</f>
        <v>0</v>
      </c>
      <c r="F202">
        <f>IF(ISTEXT(物品!H286)=TRUE,"'"&amp;物品!H286&amp;"'",物品!H286)</f>
        <v>0</v>
      </c>
      <c r="G202">
        <f>IF(物品!I295="",0,"'"&amp;物品!I295&amp;"'")</f>
        <v>0</v>
      </c>
      <c r="H202">
        <f>IF(物品!R286="",0,物品!R286)</f>
        <v>0</v>
      </c>
      <c r="I202">
        <f>IF(物品!S286="",0,物品!S286)</f>
        <v>0</v>
      </c>
      <c r="J202">
        <f>IF(物品!C295="",0,""""&amp;物品!C295&amp;"""")</f>
        <v>0</v>
      </c>
      <c r="K202" t="str">
        <f>IF(物品!T295="","""""",""""&amp;物品!T295&amp;"""")</f>
        <v>""</v>
      </c>
      <c r="L202">
        <f>IF(物品!U295="",0,""""&amp;物品!U295&amp;"""")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IF(物品!B296="",0,"'"&amp;物品!B296&amp;"'")</f>
        <v>0</v>
      </c>
      <c r="B203">
        <f>物品!D218</f>
        <v>0</v>
      </c>
      <c r="C203">
        <f>物品!E296</f>
        <v>0</v>
      </c>
      <c r="D203">
        <f>物品!F296</f>
        <v>0</v>
      </c>
      <c r="E203">
        <f>IF(ISTEXT(物品!G287)=TRUE,"'"&amp;物品!G287&amp;"'",物品!G287)</f>
        <v>0</v>
      </c>
      <c r="F203">
        <f>IF(ISTEXT(物品!H287)=TRUE,"'"&amp;物品!H287&amp;"'",物品!H287)</f>
        <v>0</v>
      </c>
      <c r="G203">
        <f>IF(物品!I296="",0,"'"&amp;物品!I296&amp;"'")</f>
        <v>0</v>
      </c>
      <c r="H203">
        <f>IF(物品!R287="",0,物品!R287)</f>
        <v>0</v>
      </c>
      <c r="I203">
        <f>IF(物品!S287="",0,物品!S287)</f>
        <v>0</v>
      </c>
      <c r="J203">
        <f>IF(物品!C296="",0,""""&amp;物品!C296&amp;"""")</f>
        <v>0</v>
      </c>
      <c r="K203" t="str">
        <f>IF(物品!T296="","""""",""""&amp;物品!T296&amp;"""")</f>
        <v>""</v>
      </c>
      <c r="L203">
        <f>IF(物品!U296="",0,""""&amp;物品!U296&amp;"""")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IF(物品!B297="",0,"'"&amp;物品!B297&amp;"'")</f>
        <v>0</v>
      </c>
      <c r="B204">
        <f>物品!D219</f>
        <v>0</v>
      </c>
      <c r="C204">
        <f>物品!E297</f>
        <v>0</v>
      </c>
      <c r="D204">
        <f>物品!F297</f>
        <v>0</v>
      </c>
      <c r="E204">
        <f>IF(ISTEXT(物品!G288)=TRUE,"'"&amp;物品!G288&amp;"'",物品!G288)</f>
        <v>0</v>
      </c>
      <c r="F204">
        <f>IF(ISTEXT(物品!H288)=TRUE,"'"&amp;物品!H288&amp;"'",物品!H288)</f>
        <v>0</v>
      </c>
      <c r="G204">
        <f>IF(物品!I297="",0,"'"&amp;物品!I297&amp;"'")</f>
        <v>0</v>
      </c>
      <c r="H204">
        <f>IF(物品!R288="",0,物品!R288)</f>
        <v>0</v>
      </c>
      <c r="I204">
        <f>IF(物品!S288="",0,物品!S288)</f>
        <v>0</v>
      </c>
      <c r="J204">
        <f>IF(物品!C297="",0,""""&amp;物品!C297&amp;"""")</f>
        <v>0</v>
      </c>
      <c r="K204" t="str">
        <f>IF(物品!T297="","""""",""""&amp;物品!T297&amp;"""")</f>
        <v>""</v>
      </c>
      <c r="L204">
        <f>IF(物品!U297="",0,""""&amp;物品!U297&amp;"""")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IF(物品!B298="",0,"'"&amp;物品!B298&amp;"'")</f>
        <v>0</v>
      </c>
      <c r="B205">
        <f>物品!D220</f>
        <v>0</v>
      </c>
      <c r="C205">
        <f>物品!E298</f>
        <v>0</v>
      </c>
      <c r="D205">
        <f>物品!F298</f>
        <v>0</v>
      </c>
      <c r="E205">
        <f>IF(ISTEXT(物品!G289)=TRUE,"'"&amp;物品!G289&amp;"'",物品!G289)</f>
        <v>0</v>
      </c>
      <c r="F205">
        <f>IF(ISTEXT(物品!H289)=TRUE,"'"&amp;物品!H289&amp;"'",物品!H289)</f>
        <v>0</v>
      </c>
      <c r="G205">
        <f>IF(物品!I298="",0,"'"&amp;物品!I298&amp;"'")</f>
        <v>0</v>
      </c>
      <c r="H205">
        <f>IF(物品!R289="",0,物品!R289)</f>
        <v>0</v>
      </c>
      <c r="I205">
        <f>IF(物品!S289="",0,物品!S289)</f>
        <v>0</v>
      </c>
      <c r="J205">
        <f>IF(物品!C298="",0,""""&amp;物品!C298&amp;"""")</f>
        <v>0</v>
      </c>
      <c r="K205" t="str">
        <f>IF(物品!T298="","""""",""""&amp;物品!T298&amp;"""")</f>
        <v>""</v>
      </c>
      <c r="L205">
        <f>IF(物品!U298="",0,""""&amp;物品!U298&amp;"""")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IF(物品!B299="",0,"'"&amp;物品!B299&amp;"'")</f>
        <v>0</v>
      </c>
      <c r="B206">
        <f>物品!D221</f>
        <v>0</v>
      </c>
      <c r="C206">
        <f>物品!E299</f>
        <v>0</v>
      </c>
      <c r="D206">
        <f>物品!F299</f>
        <v>0</v>
      </c>
      <c r="E206">
        <f>IF(ISTEXT(物品!G290)=TRUE,"'"&amp;物品!G290&amp;"'",物品!G290)</f>
        <v>0</v>
      </c>
      <c r="F206">
        <f>IF(ISTEXT(物品!H290)=TRUE,"'"&amp;物品!H290&amp;"'",物品!H290)</f>
        <v>0</v>
      </c>
      <c r="G206">
        <f>IF(物品!I299="",0,"'"&amp;物品!I299&amp;"'")</f>
        <v>0</v>
      </c>
      <c r="H206">
        <f>IF(物品!R290="",0,物品!R290)</f>
        <v>0</v>
      </c>
      <c r="I206">
        <f>IF(物品!S290="",0,物品!S290)</f>
        <v>0</v>
      </c>
      <c r="J206">
        <f>IF(物品!C299="",0,""""&amp;物品!C299&amp;"""")</f>
        <v>0</v>
      </c>
      <c r="K206" t="str">
        <f>IF(物品!T299="","""""",""""&amp;物品!T299&amp;"""")</f>
        <v>""</v>
      </c>
      <c r="L206">
        <f>IF(物品!U299="",0,""""&amp;物品!U299&amp;"""")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IF(物品!B300="",0,"'"&amp;物品!B300&amp;"'")</f>
        <v>0</v>
      </c>
      <c r="B207">
        <f>物品!D222</f>
        <v>0</v>
      </c>
      <c r="C207">
        <f>物品!E300</f>
        <v>0</v>
      </c>
      <c r="D207">
        <f>物品!F300</f>
        <v>0</v>
      </c>
      <c r="E207">
        <f>IF(ISTEXT(物品!G291)=TRUE,"'"&amp;物品!G291&amp;"'",物品!G291)</f>
        <v>0</v>
      </c>
      <c r="F207">
        <f>IF(ISTEXT(物品!H291)=TRUE,"'"&amp;物品!H291&amp;"'",物品!H291)</f>
        <v>0</v>
      </c>
      <c r="G207">
        <f>IF(物品!I300="",0,"'"&amp;物品!I300&amp;"'")</f>
        <v>0</v>
      </c>
      <c r="H207">
        <f>IF(物品!R291="",0,物品!R291)</f>
        <v>0</v>
      </c>
      <c r="I207">
        <f>IF(物品!S291="",0,物品!S291)</f>
        <v>0</v>
      </c>
      <c r="J207">
        <f>IF(物品!C300="",0,""""&amp;物品!C300&amp;"""")</f>
        <v>0</v>
      </c>
      <c r="K207" t="str">
        <f>IF(物品!T300="","""""",""""&amp;物品!T300&amp;"""")</f>
        <v>""</v>
      </c>
      <c r="L207">
        <f>IF(物品!U300="",0,""""&amp;物品!U300&amp;"""")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IF(物品!B301="",0,"'"&amp;物品!B301&amp;"'")</f>
        <v>0</v>
      </c>
      <c r="B208">
        <f>物品!D223</f>
        <v>0</v>
      </c>
      <c r="C208">
        <f>物品!E301</f>
        <v>0</v>
      </c>
      <c r="D208">
        <f>物品!F301</f>
        <v>0</v>
      </c>
      <c r="E208">
        <f>IF(ISTEXT(物品!G292)=TRUE,"'"&amp;物品!G292&amp;"'",物品!G292)</f>
        <v>0</v>
      </c>
      <c r="F208">
        <f>IF(ISTEXT(物品!H292)=TRUE,"'"&amp;物品!H292&amp;"'",物品!H292)</f>
        <v>0</v>
      </c>
      <c r="G208">
        <f>IF(物品!I301="",0,"'"&amp;物品!I301&amp;"'")</f>
        <v>0</v>
      </c>
      <c r="H208">
        <f>IF(物品!R292="",0,物品!R292)</f>
        <v>0</v>
      </c>
      <c r="I208">
        <f>IF(物品!S292="",0,物品!S292)</f>
        <v>0</v>
      </c>
      <c r="J208">
        <f>IF(物品!C301="",0,""""&amp;物品!C301&amp;"""")</f>
        <v>0</v>
      </c>
      <c r="K208" t="str">
        <f>IF(物品!T301="","""""",""""&amp;物品!T301&amp;"""")</f>
        <v>""</v>
      </c>
      <c r="L208">
        <f>IF(物品!U301="",0,""""&amp;物品!U301&amp;"""")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IF(物品!B302="",0,"'"&amp;物品!B302&amp;"'")</f>
        <v>0</v>
      </c>
      <c r="B209">
        <f>物品!D224</f>
        <v>0</v>
      </c>
      <c r="C209">
        <f>物品!E302</f>
        <v>0</v>
      </c>
      <c r="D209">
        <f>物品!F302</f>
        <v>0</v>
      </c>
      <c r="E209">
        <f>IF(ISTEXT(物品!G293)=TRUE,"'"&amp;物品!G293&amp;"'",物品!G293)</f>
        <v>0</v>
      </c>
      <c r="F209">
        <f>IF(ISTEXT(物品!H293)=TRUE,"'"&amp;物品!H293&amp;"'",物品!H293)</f>
        <v>0</v>
      </c>
      <c r="G209">
        <f>IF(物品!I302="",0,"'"&amp;物品!I302&amp;"'")</f>
        <v>0</v>
      </c>
      <c r="H209">
        <f>IF(物品!R293="",0,物品!R293)</f>
        <v>0</v>
      </c>
      <c r="I209">
        <f>IF(物品!S293="",0,物品!S293)</f>
        <v>0</v>
      </c>
      <c r="J209">
        <f>IF(物品!C302="",0,""""&amp;物品!C302&amp;"""")</f>
        <v>0</v>
      </c>
      <c r="K209" t="str">
        <f>IF(物品!T302="","""""",""""&amp;物品!T302&amp;"""")</f>
        <v>""</v>
      </c>
      <c r="L209">
        <f>IF(物品!U302="",0,""""&amp;物品!U302&amp;"""")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IF(物品!B303="",0,"'"&amp;物品!B303&amp;"'")</f>
        <v>0</v>
      </c>
      <c r="B210">
        <f>物品!D225</f>
        <v>0</v>
      </c>
      <c r="C210">
        <f>物品!E303</f>
        <v>0</v>
      </c>
      <c r="D210">
        <f>物品!F303</f>
        <v>0</v>
      </c>
      <c r="E210">
        <f>IF(ISTEXT(物品!G294)=TRUE,"'"&amp;物品!G294&amp;"'",物品!G294)</f>
        <v>0</v>
      </c>
      <c r="F210">
        <f>IF(ISTEXT(物品!H294)=TRUE,"'"&amp;物品!H294&amp;"'",物品!H294)</f>
        <v>0</v>
      </c>
      <c r="G210">
        <f>IF(物品!I303="",0,"'"&amp;物品!I303&amp;"'")</f>
        <v>0</v>
      </c>
      <c r="H210">
        <f>IF(物品!R294="",0,物品!R294)</f>
        <v>0</v>
      </c>
      <c r="I210">
        <f>IF(物品!S294="",0,物品!S294)</f>
        <v>0</v>
      </c>
      <c r="J210">
        <f>IF(物品!C303="",0,""""&amp;物品!C303&amp;"""")</f>
        <v>0</v>
      </c>
      <c r="K210" t="str">
        <f>IF(物品!T303="","""""",""""&amp;物品!T303&amp;"""")</f>
        <v>""</v>
      </c>
      <c r="L210">
        <f>IF(物品!U303="",0,""""&amp;物品!U303&amp;"""")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IF(物品!B304="",0,"'"&amp;物品!B304&amp;"'")</f>
        <v>0</v>
      </c>
      <c r="B211">
        <f>物品!D226</f>
        <v>0</v>
      </c>
      <c r="C211">
        <f>物品!E304</f>
        <v>0</v>
      </c>
      <c r="D211">
        <f>物品!F304</f>
        <v>0</v>
      </c>
      <c r="E211">
        <f>IF(ISTEXT(物品!G295)=TRUE,"'"&amp;物品!G295&amp;"'",物品!G295)</f>
        <v>0</v>
      </c>
      <c r="F211">
        <f>IF(ISTEXT(物品!H295)=TRUE,"'"&amp;物品!H295&amp;"'",物品!H295)</f>
        <v>0</v>
      </c>
      <c r="G211">
        <f>IF(物品!I304="",0,"'"&amp;物品!I304&amp;"'")</f>
        <v>0</v>
      </c>
      <c r="H211">
        <f>IF(物品!R295="",0,物品!R295)</f>
        <v>0</v>
      </c>
      <c r="I211">
        <f>IF(物品!S295="",0,物品!S295)</f>
        <v>0</v>
      </c>
      <c r="J211">
        <f>IF(物品!C304="",0,""""&amp;物品!C304&amp;"""")</f>
        <v>0</v>
      </c>
      <c r="K211" t="str">
        <f>IF(物品!T304="","""""",""""&amp;物品!T304&amp;"""")</f>
        <v>""</v>
      </c>
      <c r="L211">
        <f>IF(物品!U304="",0,""""&amp;物品!U304&amp;"""")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IF(物品!B305="",0,"'"&amp;物品!B305&amp;"'")</f>
        <v>0</v>
      </c>
      <c r="B212">
        <f>物品!D227</f>
        <v>0</v>
      </c>
      <c r="C212">
        <f>物品!E305</f>
        <v>0</v>
      </c>
      <c r="D212">
        <f>物品!F305</f>
        <v>0</v>
      </c>
      <c r="E212">
        <f>IF(ISTEXT(物品!G296)=TRUE,"'"&amp;物品!G296&amp;"'",物品!G296)</f>
        <v>0</v>
      </c>
      <c r="F212">
        <f>IF(ISTEXT(物品!H296)=TRUE,"'"&amp;物品!H296&amp;"'",物品!H296)</f>
        <v>0</v>
      </c>
      <c r="G212">
        <f>IF(物品!I305="",0,"'"&amp;物品!I305&amp;"'")</f>
        <v>0</v>
      </c>
      <c r="H212">
        <f>IF(物品!R296="",0,物品!R296)</f>
        <v>0</v>
      </c>
      <c r="I212">
        <f>IF(物品!S296="",0,物品!S296)</f>
        <v>0</v>
      </c>
      <c r="J212">
        <f>IF(物品!C305="",0,""""&amp;物品!C305&amp;"""")</f>
        <v>0</v>
      </c>
      <c r="K212" t="str">
        <f>IF(物品!T305="","""""",""""&amp;物品!T305&amp;"""")</f>
        <v>""</v>
      </c>
      <c r="L212">
        <f>IF(物品!U305="",0,""""&amp;物品!U305&amp;"""")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IF(物品!B306="",0,"'"&amp;物品!B306&amp;"'")</f>
        <v>0</v>
      </c>
      <c r="B213">
        <f>物品!D228</f>
        <v>0</v>
      </c>
      <c r="C213">
        <f>物品!E306</f>
        <v>0</v>
      </c>
      <c r="D213">
        <f>物品!F306</f>
        <v>0</v>
      </c>
      <c r="E213">
        <f>IF(ISTEXT(物品!G297)=TRUE,"'"&amp;物品!G297&amp;"'",物品!G297)</f>
        <v>0</v>
      </c>
      <c r="F213">
        <f>IF(ISTEXT(物品!H297)=TRUE,"'"&amp;物品!H297&amp;"'",物品!H297)</f>
        <v>0</v>
      </c>
      <c r="G213">
        <f>IF(物品!I306="",0,"'"&amp;物品!I306&amp;"'")</f>
        <v>0</v>
      </c>
      <c r="H213">
        <f>IF(物品!R297="",0,物品!R297)</f>
        <v>0</v>
      </c>
      <c r="I213">
        <f>IF(物品!S297="",0,物品!S297)</f>
        <v>0</v>
      </c>
      <c r="J213">
        <f>IF(物品!C306="",0,""""&amp;物品!C306&amp;"""")</f>
        <v>0</v>
      </c>
      <c r="K213" t="str">
        <f>IF(物品!T306="","""""",""""&amp;物品!T306&amp;"""")</f>
        <v>""</v>
      </c>
      <c r="L213">
        <f>IF(物品!U306="",0,""""&amp;物品!U306&amp;"""")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IF(物品!B307="",0,"'"&amp;物品!B307&amp;"'")</f>
        <v>0</v>
      </c>
      <c r="B214">
        <f>物品!D229</f>
        <v>0</v>
      </c>
      <c r="C214">
        <f>物品!E307</f>
        <v>0</v>
      </c>
      <c r="D214">
        <f>物品!F307</f>
        <v>0</v>
      </c>
      <c r="E214">
        <f>IF(ISTEXT(物品!G298)=TRUE,"'"&amp;物品!G298&amp;"'",物品!G298)</f>
        <v>0</v>
      </c>
      <c r="F214">
        <f>IF(ISTEXT(物品!H298)=TRUE,"'"&amp;物品!H298&amp;"'",物品!H298)</f>
        <v>0</v>
      </c>
      <c r="G214">
        <f>IF(物品!I307="",0,"'"&amp;物品!I307&amp;"'")</f>
        <v>0</v>
      </c>
      <c r="H214">
        <f>IF(物品!R298="",0,物品!R298)</f>
        <v>0</v>
      </c>
      <c r="I214">
        <f>IF(物品!S298="",0,物品!S298)</f>
        <v>0</v>
      </c>
      <c r="J214">
        <f>IF(物品!C307="",0,""""&amp;物品!C307&amp;"""")</f>
        <v>0</v>
      </c>
      <c r="K214" t="str">
        <f>IF(物品!T307="","""""",""""&amp;物品!T307&amp;"""")</f>
        <v>""</v>
      </c>
      <c r="L214">
        <f>IF(物品!U307="",0,""""&amp;物品!U307&amp;"""")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IF(物品!B308="",0,"'"&amp;物品!B308&amp;"'")</f>
        <v>0</v>
      </c>
      <c r="B215">
        <f>物品!D230</f>
        <v>0</v>
      </c>
      <c r="C215">
        <f>物品!E308</f>
        <v>0</v>
      </c>
      <c r="D215">
        <f>物品!F308</f>
        <v>0</v>
      </c>
      <c r="E215">
        <f>IF(ISTEXT(物品!G299)=TRUE,"'"&amp;物品!G299&amp;"'",物品!G299)</f>
        <v>0</v>
      </c>
      <c r="F215">
        <f>IF(ISTEXT(物品!H299)=TRUE,"'"&amp;物品!H299&amp;"'",物品!H299)</f>
        <v>0</v>
      </c>
      <c r="G215">
        <f>IF(物品!I308="",0,"'"&amp;物品!I308&amp;"'")</f>
        <v>0</v>
      </c>
      <c r="H215">
        <f>IF(物品!R299="",0,物品!R299)</f>
        <v>0</v>
      </c>
      <c r="I215">
        <f>IF(物品!S299="",0,物品!S299)</f>
        <v>0</v>
      </c>
      <c r="J215">
        <f>IF(物品!C308="",0,""""&amp;物品!C308&amp;"""")</f>
        <v>0</v>
      </c>
      <c r="K215" t="str">
        <f>IF(物品!T308="","""""",""""&amp;物品!T308&amp;"""")</f>
        <v>""</v>
      </c>
      <c r="L215">
        <f>IF(物品!U308="",0,""""&amp;物品!U308&amp;"""")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IF(物品!B309="",0,"'"&amp;物品!B309&amp;"'")</f>
        <v>0</v>
      </c>
      <c r="B216">
        <f>物品!D231</f>
        <v>0</v>
      </c>
      <c r="C216">
        <f>物品!E309</f>
        <v>0</v>
      </c>
      <c r="D216">
        <f>物品!F309</f>
        <v>0</v>
      </c>
      <c r="E216">
        <f>IF(ISTEXT(物品!G300)=TRUE,"'"&amp;物品!G300&amp;"'",物品!G300)</f>
        <v>0</v>
      </c>
      <c r="F216">
        <f>IF(ISTEXT(物品!H300)=TRUE,"'"&amp;物品!H300&amp;"'",物品!H300)</f>
        <v>0</v>
      </c>
      <c r="G216">
        <f>IF(物品!I309="",0,"'"&amp;物品!I309&amp;"'")</f>
        <v>0</v>
      </c>
      <c r="H216">
        <f>IF(物品!R300="",0,物品!R300)</f>
        <v>0</v>
      </c>
      <c r="I216">
        <f>IF(物品!S300="",0,物品!S300)</f>
        <v>0</v>
      </c>
      <c r="J216">
        <f>IF(物品!C309="",0,""""&amp;物品!C309&amp;"""")</f>
        <v>0</v>
      </c>
      <c r="K216" t="str">
        <f>IF(物品!T309="","""""",""""&amp;物品!T309&amp;"""")</f>
        <v>""</v>
      </c>
      <c r="L216">
        <f>IF(物品!U309="",0,""""&amp;物品!U309&amp;"""")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IF(物品!B310="",0,"'"&amp;物品!B310&amp;"'")</f>
        <v>0</v>
      </c>
      <c r="B217">
        <f>物品!D232</f>
        <v>0</v>
      </c>
      <c r="C217">
        <f>物品!E310</f>
        <v>0</v>
      </c>
      <c r="D217">
        <f>物品!F310</f>
        <v>0</v>
      </c>
      <c r="E217">
        <f>IF(ISTEXT(物品!G301)=TRUE,"'"&amp;物品!G301&amp;"'",物品!G301)</f>
        <v>0</v>
      </c>
      <c r="F217">
        <f>IF(ISTEXT(物品!H301)=TRUE,"'"&amp;物品!H301&amp;"'",物品!H301)</f>
        <v>0</v>
      </c>
      <c r="G217">
        <f>IF(物品!I310="",0,"'"&amp;物品!I310&amp;"'")</f>
        <v>0</v>
      </c>
      <c r="H217">
        <f>IF(物品!R301="",0,物品!R301)</f>
        <v>0</v>
      </c>
      <c r="I217">
        <f>IF(物品!S301="",0,物品!S301)</f>
        <v>0</v>
      </c>
      <c r="J217">
        <f>IF(物品!C310="",0,""""&amp;物品!C310&amp;"""")</f>
        <v>0</v>
      </c>
      <c r="K217" t="str">
        <f>IF(物品!T310="","""""",""""&amp;物品!T310&amp;"""")</f>
        <v>""</v>
      </c>
      <c r="L217">
        <f>IF(物品!U310="",0,""""&amp;物品!U310&amp;"""")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IF(物品!B311="",0,"'"&amp;物品!B311&amp;"'")</f>
        <v>0</v>
      </c>
      <c r="B218">
        <f>物品!D233</f>
        <v>0</v>
      </c>
      <c r="C218">
        <f>物品!E311</f>
        <v>0</v>
      </c>
      <c r="D218">
        <f>物品!F311</f>
        <v>0</v>
      </c>
      <c r="E218">
        <f>IF(ISTEXT(物品!G302)=TRUE,"'"&amp;物品!G302&amp;"'",物品!G302)</f>
        <v>0</v>
      </c>
      <c r="F218">
        <f>IF(ISTEXT(物品!H302)=TRUE,"'"&amp;物品!H302&amp;"'",物品!H302)</f>
        <v>0</v>
      </c>
      <c r="G218">
        <f>IF(物品!I311="",0,"'"&amp;物品!I311&amp;"'")</f>
        <v>0</v>
      </c>
      <c r="H218">
        <f>IF(物品!R302="",0,物品!R302)</f>
        <v>0</v>
      </c>
      <c r="I218">
        <f>IF(物品!S302="",0,物品!S302)</f>
        <v>0</v>
      </c>
      <c r="J218">
        <f>IF(物品!C311="",0,""""&amp;物品!C311&amp;"""")</f>
        <v>0</v>
      </c>
      <c r="K218" t="str">
        <f>IF(物品!T311="","""""",""""&amp;物品!T311&amp;"""")</f>
        <v>""</v>
      </c>
      <c r="L218">
        <f>IF(物品!U311="",0,""""&amp;物品!U311&amp;"""")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IF(物品!B312="",0,"'"&amp;物品!B312&amp;"'")</f>
        <v>0</v>
      </c>
      <c r="B219">
        <f>物品!D239</f>
        <v>0</v>
      </c>
      <c r="C219">
        <f>物品!E312</f>
        <v>0</v>
      </c>
      <c r="D219">
        <f>物品!F312</f>
        <v>0</v>
      </c>
      <c r="E219">
        <f>IF(ISTEXT(物品!G303)=TRUE,"'"&amp;物品!G303&amp;"'",物品!G303)</f>
        <v>0</v>
      </c>
      <c r="F219">
        <f>IF(ISTEXT(物品!H303)=TRUE,"'"&amp;物品!H303&amp;"'",物品!H303)</f>
        <v>0</v>
      </c>
      <c r="G219">
        <f>IF(物品!I312="",0,"'"&amp;物品!I312&amp;"'")</f>
        <v>0</v>
      </c>
      <c r="H219">
        <f>IF(物品!R303="",0,物品!R303)</f>
        <v>0</v>
      </c>
      <c r="I219">
        <f>IF(物品!S303="",0,物品!S303)</f>
        <v>0</v>
      </c>
      <c r="J219">
        <f>IF(物品!C312="",0,""""&amp;物品!C312&amp;"""")</f>
        <v>0</v>
      </c>
      <c r="K219" t="str">
        <f>IF(物品!T312="","""""",""""&amp;物品!T312&amp;"""")</f>
        <v>""</v>
      </c>
      <c r="L219">
        <f>IF(物品!U312="",0,""""&amp;物品!U312&amp;"""")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IF(物品!B313="",0,"'"&amp;物品!B313&amp;"'")</f>
        <v>0</v>
      </c>
      <c r="B220">
        <f>物品!D240</f>
        <v>0</v>
      </c>
      <c r="C220">
        <f>物品!E313</f>
        <v>0</v>
      </c>
      <c r="D220">
        <f>物品!F313</f>
        <v>0</v>
      </c>
      <c r="E220">
        <f>IF(ISTEXT(物品!G304)=TRUE,"'"&amp;物品!G304&amp;"'",物品!G304)</f>
        <v>0</v>
      </c>
      <c r="F220">
        <f>IF(ISTEXT(物品!H304)=TRUE,"'"&amp;物品!H304&amp;"'",物品!H304)</f>
        <v>0</v>
      </c>
      <c r="G220">
        <f>IF(物品!I313="",0,"'"&amp;物品!I313&amp;"'")</f>
        <v>0</v>
      </c>
      <c r="H220">
        <f>IF(物品!R304="",0,物品!R304)</f>
        <v>0</v>
      </c>
      <c r="I220">
        <f>IF(物品!S304="",0,物品!S304)</f>
        <v>0</v>
      </c>
      <c r="J220">
        <f>IF(物品!C313="",0,""""&amp;物品!C313&amp;"""")</f>
        <v>0</v>
      </c>
      <c r="K220" t="str">
        <f>IF(物品!T313="","""""",""""&amp;物品!T313&amp;"""")</f>
        <v>""</v>
      </c>
      <c r="L220">
        <f>IF(物品!U313="",0,""""&amp;物品!U313&amp;"""")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IF(物品!B314="",0,"'"&amp;物品!B314&amp;"'")</f>
        <v>0</v>
      </c>
      <c r="B221">
        <f>物品!D241</f>
        <v>0</v>
      </c>
      <c r="C221">
        <f>物品!E314</f>
        <v>0</v>
      </c>
      <c r="D221">
        <f>物品!F314</f>
        <v>0</v>
      </c>
      <c r="E221">
        <f>IF(ISTEXT(物品!G305)=TRUE,"'"&amp;物品!G305&amp;"'",物品!G305)</f>
        <v>0</v>
      </c>
      <c r="F221">
        <f>IF(ISTEXT(物品!H305)=TRUE,"'"&amp;物品!H305&amp;"'",物品!H305)</f>
        <v>0</v>
      </c>
      <c r="G221">
        <f>IF(物品!I314="",0,"'"&amp;物品!I314&amp;"'")</f>
        <v>0</v>
      </c>
      <c r="H221">
        <f>IF(物品!R305="",0,物品!R305)</f>
        <v>0</v>
      </c>
      <c r="I221">
        <f>IF(物品!S305="",0,物品!S305)</f>
        <v>0</v>
      </c>
      <c r="J221">
        <f>IF(物品!C314="",0,""""&amp;物品!C314&amp;"""")</f>
        <v>0</v>
      </c>
      <c r="K221" t="str">
        <f>IF(物品!T314="","""""",""""&amp;物品!T314&amp;"""")</f>
        <v>""</v>
      </c>
      <c r="L221">
        <f>IF(物品!U314="",0,""""&amp;物品!U314&amp;"""")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IF(物品!B315="",0,"'"&amp;物品!B315&amp;"'")</f>
        <v>0</v>
      </c>
      <c r="B222">
        <f>物品!D242</f>
        <v>0</v>
      </c>
      <c r="C222">
        <f>物品!E315</f>
        <v>0</v>
      </c>
      <c r="D222">
        <f>物品!F315</f>
        <v>0</v>
      </c>
      <c r="E222">
        <f>IF(ISTEXT(物品!G306)=TRUE,"'"&amp;物品!G306&amp;"'",物品!G306)</f>
        <v>0</v>
      </c>
      <c r="F222">
        <f>IF(ISTEXT(物品!H306)=TRUE,"'"&amp;物品!H306&amp;"'",物品!H306)</f>
        <v>0</v>
      </c>
      <c r="G222">
        <f>IF(物品!I315="",0,"'"&amp;物品!I315&amp;"'")</f>
        <v>0</v>
      </c>
      <c r="H222">
        <f>IF(物品!R306="",0,物品!R306)</f>
        <v>0</v>
      </c>
      <c r="I222">
        <f>IF(物品!S306="",0,物品!S306)</f>
        <v>0</v>
      </c>
      <c r="J222">
        <f>IF(物品!C315="",0,""""&amp;物品!C315&amp;"""")</f>
        <v>0</v>
      </c>
      <c r="K222" t="str">
        <f>IF(物品!T315="","""""",""""&amp;物品!T315&amp;"""")</f>
        <v>""</v>
      </c>
      <c r="L222">
        <f>IF(物品!U315="",0,""""&amp;物品!U315&amp;"""")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IF(物品!B316="",0,"'"&amp;物品!B316&amp;"'")</f>
        <v>0</v>
      </c>
      <c r="B223">
        <f>物品!D243</f>
        <v>0</v>
      </c>
      <c r="C223">
        <f>物品!E316</f>
        <v>0</v>
      </c>
      <c r="D223">
        <f>物品!F316</f>
        <v>0</v>
      </c>
      <c r="E223">
        <f>IF(ISTEXT(物品!G307)=TRUE,"'"&amp;物品!G307&amp;"'",物品!G307)</f>
        <v>0</v>
      </c>
      <c r="F223">
        <f>IF(ISTEXT(物品!H307)=TRUE,"'"&amp;物品!H307&amp;"'",物品!H307)</f>
        <v>0</v>
      </c>
      <c r="G223">
        <f>IF(物品!I316="",0,"'"&amp;物品!I316&amp;"'")</f>
        <v>0</v>
      </c>
      <c r="H223">
        <f>IF(物品!R307="",0,物品!R307)</f>
        <v>0</v>
      </c>
      <c r="I223">
        <f>IF(物品!S307="",0,物品!S307)</f>
        <v>0</v>
      </c>
      <c r="J223">
        <f>IF(物品!C316="",0,""""&amp;物品!C316&amp;"""")</f>
        <v>0</v>
      </c>
      <c r="K223" t="str">
        <f>IF(物品!T316="","""""",""""&amp;物品!T316&amp;"""")</f>
        <v>""</v>
      </c>
      <c r="L223">
        <f>IF(物品!U316="",0,""""&amp;物品!U316&amp;"""")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IF(物品!B317="",0,"'"&amp;物品!B317&amp;"'")</f>
        <v>0</v>
      </c>
      <c r="B224">
        <f>物品!D244</f>
        <v>0</v>
      </c>
      <c r="C224">
        <f>物品!E317</f>
        <v>0</v>
      </c>
      <c r="D224">
        <f>物品!F317</f>
        <v>0</v>
      </c>
      <c r="E224">
        <f>IF(ISTEXT(物品!G308)=TRUE,"'"&amp;物品!G308&amp;"'",物品!G308)</f>
        <v>0</v>
      </c>
      <c r="F224">
        <f>IF(ISTEXT(物品!H308)=TRUE,"'"&amp;物品!H308&amp;"'",物品!H308)</f>
        <v>0</v>
      </c>
      <c r="G224">
        <f>IF(物品!I317="",0,"'"&amp;物品!I317&amp;"'")</f>
        <v>0</v>
      </c>
      <c r="H224">
        <f>IF(物品!R308="",0,物品!R308)</f>
        <v>0</v>
      </c>
      <c r="I224">
        <f>IF(物品!S308="",0,物品!S308)</f>
        <v>0</v>
      </c>
      <c r="J224">
        <f>IF(物品!C317="",0,""""&amp;物品!C317&amp;"""")</f>
        <v>0</v>
      </c>
      <c r="K224" t="str">
        <f>IF(物品!T317="","""""",""""&amp;物品!T317&amp;"""")</f>
        <v>""</v>
      </c>
      <c r="L224">
        <f>IF(物品!U317="",0,""""&amp;物品!U317&amp;"""")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IF(物品!B318="",0,"'"&amp;物品!B318&amp;"'")</f>
        <v>0</v>
      </c>
      <c r="B225">
        <f>物品!D245</f>
        <v>0</v>
      </c>
      <c r="C225">
        <f>物品!E318</f>
        <v>0</v>
      </c>
      <c r="D225">
        <f>物品!F318</f>
        <v>0</v>
      </c>
      <c r="E225">
        <f>IF(ISTEXT(物品!G309)=TRUE,"'"&amp;物品!G309&amp;"'",物品!G309)</f>
        <v>0</v>
      </c>
      <c r="F225">
        <f>IF(ISTEXT(物品!H309)=TRUE,"'"&amp;物品!H309&amp;"'",物品!H309)</f>
        <v>0</v>
      </c>
      <c r="G225">
        <f>IF(物品!I318="",0,"'"&amp;物品!I318&amp;"'")</f>
        <v>0</v>
      </c>
      <c r="H225">
        <f>IF(物品!R309="",0,物品!R309)</f>
        <v>0</v>
      </c>
      <c r="I225">
        <f>IF(物品!S309="",0,物品!S309)</f>
        <v>0</v>
      </c>
      <c r="J225">
        <f>IF(物品!C318="",0,""""&amp;物品!C318&amp;"""")</f>
        <v>0</v>
      </c>
      <c r="K225" t="str">
        <f>IF(物品!T318="","""""",""""&amp;物品!T318&amp;"""")</f>
        <v>""</v>
      </c>
      <c r="L225">
        <f>IF(物品!U318="",0,""""&amp;物品!U318&amp;"""")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3"/>
      <c r="CC1" s="3" t="s">
        <v>779</v>
      </c>
      <c r="CD1" s="3" t="s">
        <v>779</v>
      </c>
      <c r="CE1" s="3" t="s">
        <v>779</v>
      </c>
      <c r="CF1" s="3" t="s">
        <v>779</v>
      </c>
      <c r="CH1" s="3" t="s">
        <v>779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780</v>
      </c>
      <c r="CC2" s="3" t="s">
        <v>781</v>
      </c>
      <c r="CD2" s="3" t="s">
        <v>782</v>
      </c>
      <c r="CE2" s="3" t="s">
        <v>783</v>
      </c>
      <c r="CF2" s="3" t="s">
        <v>784</v>
      </c>
      <c r="CG2" s="3" t="s">
        <v>785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786</v>
      </c>
      <c r="B1" s="3" t="s">
        <v>787</v>
      </c>
      <c r="C1" s="3" t="s">
        <v>788</v>
      </c>
      <c r="D1" s="3" t="s">
        <v>789</v>
      </c>
      <c r="E1" s="3" t="s">
        <v>790</v>
      </c>
    </row>
    <row r="2" spans="1:11" ht="16.5">
      <c r="A2" s="5">
        <v>1</v>
      </c>
      <c r="B2" s="5" t="s">
        <v>791</v>
      </c>
      <c r="C2" s="6">
        <v>4</v>
      </c>
      <c r="D2" s="3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5">
        <v>1</v>
      </c>
      <c r="B3" s="5" t="s">
        <v>792</v>
      </c>
      <c r="C3" s="6">
        <v>4</v>
      </c>
      <c r="D3" s="3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5">
        <v>1</v>
      </c>
      <c r="B4" s="5" t="s">
        <v>793</v>
      </c>
      <c r="C4" s="6">
        <v>4</v>
      </c>
      <c r="D4" s="3" t="e">
        <f>VLOOKUP(B4,物品!B:E,2,FALSE)</f>
        <v>#N/A</v>
      </c>
      <c r="E4" t="str">
        <f t="shared" si="0"/>
        <v>ItemPoolAddItemType(ItemPool[1],'IN03',4)</v>
      </c>
    </row>
    <row r="5" spans="1:11" ht="16.5">
      <c r="A5" s="5">
        <v>1</v>
      </c>
      <c r="B5" s="5" t="s">
        <v>794</v>
      </c>
      <c r="C5" s="6">
        <v>1</v>
      </c>
      <c r="D5" s="3" t="e">
        <f>VLOOKUP(B5,物品!B:E,2,FALSE)</f>
        <v>#N/A</v>
      </c>
      <c r="E5" t="str">
        <f t="shared" si="0"/>
        <v>ItemPoolAddItemType(ItemPool[1],'IN04',1)</v>
      </c>
    </row>
    <row r="6" spans="1:11" ht="16.5">
      <c r="A6" s="5">
        <v>1</v>
      </c>
      <c r="B6" s="5" t="s">
        <v>795</v>
      </c>
      <c r="C6" s="6">
        <v>1</v>
      </c>
      <c r="D6" s="3" t="e">
        <f>VLOOKUP(B6,物品!B:E,2,FALSE)</f>
        <v>#N/A</v>
      </c>
      <c r="E6" t="str">
        <f t="shared" si="0"/>
        <v>ItemPoolAddItemType(ItemPool[1],'IN05',1)</v>
      </c>
    </row>
    <row r="7" spans="1:11" ht="16.5">
      <c r="A7" s="5">
        <v>1</v>
      </c>
      <c r="B7" s="5" t="s">
        <v>796</v>
      </c>
      <c r="C7" s="6">
        <v>1</v>
      </c>
      <c r="D7" s="3" t="e">
        <f>VLOOKUP(B7,物品!B:E,2,FALSE)</f>
        <v>#N/A</v>
      </c>
      <c r="E7" t="str">
        <f t="shared" si="0"/>
        <v>ItemPoolAddItemType(ItemPool[1],'IN06',1)</v>
      </c>
    </row>
    <row r="8" spans="1:11" ht="16.5">
      <c r="A8" s="5">
        <v>1</v>
      </c>
      <c r="B8" s="5" t="s">
        <v>486</v>
      </c>
      <c r="C8" s="6">
        <v>2</v>
      </c>
      <c r="D8" s="3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5">
        <v>1</v>
      </c>
      <c r="B9" s="5" t="s">
        <v>489</v>
      </c>
      <c r="C9" s="6">
        <v>2</v>
      </c>
      <c r="D9" s="3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5">
        <v>1</v>
      </c>
      <c r="B10" s="5" t="s">
        <v>492</v>
      </c>
      <c r="C10" s="6">
        <v>3</v>
      </c>
      <c r="D10" s="3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5">
        <v>1</v>
      </c>
      <c r="B11" s="5" t="s">
        <v>495</v>
      </c>
      <c r="C11" s="6">
        <v>2</v>
      </c>
      <c r="D11" s="3" t="str">
        <f>VLOOKUP(B11,物品!B:E,2,FALSE)</f>
        <v>福娃这么可爱..</v>
      </c>
      <c r="E11" t="str">
        <f t="shared" si="0"/>
        <v>ItemPoolAddItemType(ItemPool[1],'IN10',2)</v>
      </c>
      <c r="K11" s="9"/>
    </row>
    <row r="12" spans="1:11" ht="16.5">
      <c r="A12" s="5">
        <v>1</v>
      </c>
      <c r="B12" s="5" t="s">
        <v>498</v>
      </c>
      <c r="C12" s="6">
        <v>2</v>
      </c>
      <c r="D12" s="3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5">
        <v>1</v>
      </c>
      <c r="B13" s="5" t="s">
        <v>501</v>
      </c>
      <c r="C13" s="6">
        <v>2</v>
      </c>
      <c r="D13" s="3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5">
        <v>1</v>
      </c>
      <c r="B14" s="5" t="s">
        <v>504</v>
      </c>
      <c r="C14" s="6">
        <v>4</v>
      </c>
      <c r="D14" s="3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5">
        <v>1</v>
      </c>
      <c r="B15" s="5" t="s">
        <v>507</v>
      </c>
      <c r="C15" s="6">
        <v>1</v>
      </c>
      <c r="D15" s="3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5">
        <v>1</v>
      </c>
      <c r="B16" s="5" t="s">
        <v>510</v>
      </c>
      <c r="C16" s="6">
        <v>1</v>
      </c>
      <c r="D16" s="3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5">
        <v>1</v>
      </c>
      <c r="B17" s="5" t="s">
        <v>513</v>
      </c>
      <c r="C17" s="6">
        <v>1</v>
      </c>
      <c r="D17" s="3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5">
        <v>1</v>
      </c>
      <c r="B18" s="5" t="s">
        <v>516</v>
      </c>
      <c r="C18" s="6">
        <v>2</v>
      </c>
      <c r="D18" s="3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5">
        <v>1</v>
      </c>
      <c r="B19" s="5" t="s">
        <v>519</v>
      </c>
      <c r="C19" s="6">
        <v>2</v>
      </c>
      <c r="D19" s="3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7"/>
      <c r="B20" s="3"/>
      <c r="C20" s="6"/>
      <c r="D20" s="3"/>
    </row>
    <row r="21" spans="1:5" ht="16.5">
      <c r="A21" s="5">
        <v>2</v>
      </c>
      <c r="B21" s="8" t="s">
        <v>717</v>
      </c>
      <c r="C21" s="6">
        <v>3</v>
      </c>
      <c r="D21" s="3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5">
        <v>2</v>
      </c>
      <c r="B22" s="8" t="s">
        <v>719</v>
      </c>
      <c r="C22" s="6">
        <v>3</v>
      </c>
      <c r="D22" s="3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5">
        <v>2</v>
      </c>
      <c r="B23" s="8" t="s">
        <v>720</v>
      </c>
      <c r="C23" s="6">
        <v>1</v>
      </c>
      <c r="D23" s="3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5">
        <v>2</v>
      </c>
      <c r="B24" s="8" t="s">
        <v>721</v>
      </c>
      <c r="C24" s="6">
        <v>1</v>
      </c>
      <c r="D24" s="3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5">
        <v>2</v>
      </c>
      <c r="B25" s="8" t="s">
        <v>722</v>
      </c>
      <c r="C25" s="6">
        <v>1</v>
      </c>
      <c r="D25" s="3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5">
        <v>2</v>
      </c>
      <c r="B26" s="8" t="s">
        <v>723</v>
      </c>
      <c r="C26" s="6">
        <v>1</v>
      </c>
      <c r="D26" s="3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5">
        <v>2</v>
      </c>
      <c r="B27" s="8" t="s">
        <v>724</v>
      </c>
      <c r="C27" s="6">
        <v>3</v>
      </c>
      <c r="D27" s="3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5">
        <v>2</v>
      </c>
      <c r="B28" s="8" t="s">
        <v>725</v>
      </c>
      <c r="C28" s="6">
        <v>3</v>
      </c>
      <c r="D28" s="3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5">
        <v>2</v>
      </c>
      <c r="B29" s="8" t="s">
        <v>726</v>
      </c>
      <c r="C29" s="6">
        <v>1</v>
      </c>
      <c r="D29" s="3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5">
        <v>2</v>
      </c>
      <c r="B30" s="8" t="s">
        <v>727</v>
      </c>
      <c r="C30" s="6">
        <v>1</v>
      </c>
      <c r="D30" s="3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5">
        <v>2</v>
      </c>
      <c r="B31" s="8" t="s">
        <v>728</v>
      </c>
      <c r="C31" s="6">
        <v>2</v>
      </c>
      <c r="D31" s="3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5">
        <v>2</v>
      </c>
      <c r="B32" s="8" t="s">
        <v>729</v>
      </c>
      <c r="C32" s="6">
        <v>1</v>
      </c>
      <c r="D32" s="3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5">
        <v>2</v>
      </c>
      <c r="B33" s="8" t="s">
        <v>730</v>
      </c>
      <c r="C33" s="6">
        <v>3</v>
      </c>
      <c r="D33" s="3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5">
        <v>2</v>
      </c>
      <c r="B34" s="8" t="s">
        <v>731</v>
      </c>
      <c r="C34" s="6">
        <v>2</v>
      </c>
      <c r="D34" s="3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5">
        <v>2</v>
      </c>
      <c r="B35" s="8" t="s">
        <v>732</v>
      </c>
      <c r="C35" s="6">
        <v>1</v>
      </c>
      <c r="D35" s="3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5">
        <v>2</v>
      </c>
      <c r="B36" s="8" t="s">
        <v>733</v>
      </c>
      <c r="C36" s="6">
        <v>2</v>
      </c>
      <c r="D36" s="3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5">
        <v>2</v>
      </c>
      <c r="B37" s="8" t="s">
        <v>734</v>
      </c>
      <c r="C37" s="6">
        <v>1</v>
      </c>
      <c r="D37" s="3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5">
        <v>2</v>
      </c>
      <c r="B38" s="8" t="s">
        <v>735</v>
      </c>
      <c r="C38" s="6">
        <v>2</v>
      </c>
      <c r="D38" s="3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5">
        <v>2</v>
      </c>
      <c r="B39" s="8" t="s">
        <v>736</v>
      </c>
      <c r="C39" s="6">
        <v>1</v>
      </c>
      <c r="D39" s="3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5">
        <v>2</v>
      </c>
      <c r="B40" s="8" t="s">
        <v>737</v>
      </c>
      <c r="C40" s="6">
        <v>3</v>
      </c>
      <c r="D40" s="3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5">
        <v>2</v>
      </c>
      <c r="B41" s="8" t="s">
        <v>738</v>
      </c>
      <c r="C41" s="6">
        <v>1</v>
      </c>
      <c r="D41" s="3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5">
        <v>2</v>
      </c>
      <c r="B42" s="8" t="s">
        <v>739</v>
      </c>
      <c r="C42" s="6">
        <v>3</v>
      </c>
      <c r="D42" s="3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5">
        <v>2</v>
      </c>
      <c r="B43" s="8" t="s">
        <v>740</v>
      </c>
      <c r="C43" s="6">
        <v>1</v>
      </c>
      <c r="D43" s="3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5">
        <v>2</v>
      </c>
      <c r="B44" s="8" t="s">
        <v>741</v>
      </c>
      <c r="C44" s="6">
        <v>2</v>
      </c>
      <c r="D44" s="3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5">
        <v>2</v>
      </c>
      <c r="B45" s="8" t="s">
        <v>742</v>
      </c>
      <c r="C45" s="6">
        <v>2</v>
      </c>
      <c r="D45" s="3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5">
        <v>2</v>
      </c>
      <c r="B46" s="8" t="s">
        <v>743</v>
      </c>
      <c r="C46" s="6">
        <v>3</v>
      </c>
      <c r="D46" s="3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5">
        <v>2</v>
      </c>
      <c r="B47" s="8" t="s">
        <v>744</v>
      </c>
      <c r="C47" s="6">
        <v>3</v>
      </c>
      <c r="D47" s="3" t="str">
        <f>VLOOKUP(B47,物品!B:E,2,FALSE)</f>
        <v>附魔</v>
      </c>
      <c r="E47" t="str">
        <f t="shared" si="1"/>
        <v>ItemPoolAddItemType(ItemPool[2],'IF27',3)</v>
      </c>
    </row>
    <row r="48" spans="1:5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spans="1:4" ht="16.5">
      <c r="A83" s="7"/>
      <c r="B83" s="10"/>
      <c r="C83" s="7"/>
      <c r="D83" s="3"/>
    </row>
    <row r="84" spans="1:4" ht="16.5">
      <c r="A84" s="7"/>
      <c r="B84" s="10"/>
      <c r="C84" s="7"/>
      <c r="D84" s="3"/>
    </row>
    <row r="85" spans="1:4" ht="16.5">
      <c r="A85" s="7"/>
      <c r="B85" s="10"/>
      <c r="C85" s="7"/>
      <c r="D85" s="3"/>
    </row>
    <row r="86" spans="1:4" ht="16.5">
      <c r="A86" s="7"/>
      <c r="B86" s="10"/>
      <c r="C86" s="7"/>
      <c r="D86" s="3"/>
    </row>
    <row r="87" spans="1:4" ht="16.5">
      <c r="A87" s="7"/>
      <c r="B87" s="10"/>
      <c r="C87" s="7"/>
      <c r="D87" s="3"/>
    </row>
    <row r="88" spans="1:4" ht="16.5">
      <c r="A88" s="7"/>
      <c r="B88" s="10"/>
      <c r="C88" s="7"/>
      <c r="D88" s="3"/>
    </row>
    <row r="89" spans="1:4" ht="16.5">
      <c r="A89" s="7"/>
      <c r="B89" s="11"/>
      <c r="C89" s="7"/>
      <c r="D89" s="3"/>
    </row>
    <row r="90" spans="1:4" ht="16.5">
      <c r="A90" s="7"/>
      <c r="B90" s="10"/>
      <c r="C90" s="7"/>
      <c r="D90" s="3"/>
    </row>
    <row r="91" spans="1:4" ht="16.5">
      <c r="A91" s="7"/>
      <c r="B91" s="10"/>
      <c r="C91" s="7"/>
      <c r="D91" s="3"/>
    </row>
    <row r="92" spans="1:4" ht="16.5">
      <c r="A92" s="7"/>
      <c r="B92" s="10"/>
      <c r="C92" s="7"/>
      <c r="D92" s="3"/>
    </row>
    <row r="93" spans="1:4" ht="16.5">
      <c r="B93" s="10"/>
      <c r="C93" s="7"/>
      <c r="D93" s="3"/>
    </row>
    <row r="94" spans="1:4" ht="16.5">
      <c r="B94" s="10"/>
      <c r="C94" s="7"/>
      <c r="D94" s="3"/>
    </row>
    <row r="95" spans="1:4" ht="16.5">
      <c r="A95" s="3"/>
      <c r="B95" s="12"/>
      <c r="D95" s="3"/>
    </row>
    <row r="96" spans="1:4" ht="16.5">
      <c r="A96" s="3"/>
      <c r="B96" s="12"/>
      <c r="D96" s="3"/>
    </row>
    <row r="97" spans="1:4" ht="16.5">
      <c r="A97" s="3"/>
      <c r="B97" s="12"/>
      <c r="D97" s="3"/>
    </row>
    <row r="98" spans="1:4" ht="16.5">
      <c r="A98" s="3"/>
      <c r="B98" s="12"/>
      <c r="D98" s="3"/>
    </row>
    <row r="99" spans="1:4" ht="16.5">
      <c r="A99" s="3"/>
      <c r="B99" s="12"/>
      <c r="D99" s="3"/>
    </row>
    <row r="100" spans="1:4" ht="16.5">
      <c r="A100" s="3"/>
      <c r="B100" s="12"/>
      <c r="D100" s="3"/>
    </row>
    <row r="101" spans="1:4" ht="16.5">
      <c r="A101" s="3"/>
      <c r="B101" s="12"/>
      <c r="D101" s="3"/>
    </row>
    <row r="102" spans="1:4" ht="16.5">
      <c r="A102" s="3"/>
      <c r="B102" s="12"/>
      <c r="D102" s="3"/>
    </row>
    <row r="103" spans="1:4" ht="16.5">
      <c r="A103" s="3"/>
      <c r="B103" s="12"/>
      <c r="D103" s="3"/>
    </row>
    <row r="104" spans="1:4" ht="16.5">
      <c r="A104" s="3"/>
      <c r="B104" s="12"/>
      <c r="D104" s="3"/>
    </row>
    <row r="105" spans="1:4" ht="16.5">
      <c r="A105" s="3"/>
      <c r="B105" s="12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99</v>
      </c>
      <c r="E1" t="s">
        <v>100</v>
      </c>
      <c r="F1" t="s">
        <v>797</v>
      </c>
      <c r="G1" t="s">
        <v>798</v>
      </c>
      <c r="I1" t="s">
        <v>799</v>
      </c>
      <c r="J1">
        <v>11</v>
      </c>
      <c r="P1" t="s">
        <v>800</v>
      </c>
      <c r="U1" t="s">
        <v>801</v>
      </c>
      <c r="V1" t="s">
        <v>802</v>
      </c>
      <c r="X1" s="3" t="s">
        <v>803</v>
      </c>
    </row>
    <row r="2" spans="1:25">
      <c r="A2" t="s">
        <v>804</v>
      </c>
      <c r="D2">
        <v>800</v>
      </c>
      <c r="E2" s="1">
        <v>1</v>
      </c>
      <c r="F2" s="2">
        <f>D2/E2</f>
        <v>800</v>
      </c>
      <c r="I2" t="s">
        <v>805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806</v>
      </c>
      <c r="D3">
        <v>800</v>
      </c>
      <c r="E3" s="1">
        <v>1</v>
      </c>
      <c r="F3" s="2">
        <f t="shared" ref="F3:F25" si="1">D3/E3</f>
        <v>800</v>
      </c>
      <c r="I3" t="s">
        <v>807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808</v>
      </c>
      <c r="D4">
        <v>800</v>
      </c>
      <c r="E4" s="1">
        <v>1</v>
      </c>
      <c r="F4" s="2">
        <f t="shared" si="1"/>
        <v>800</v>
      </c>
      <c r="I4" t="s">
        <v>809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810</v>
      </c>
      <c r="D5">
        <v>800</v>
      </c>
      <c r="E5" s="1">
        <v>1</v>
      </c>
      <c r="F5" s="2">
        <f t="shared" si="1"/>
        <v>800</v>
      </c>
      <c r="I5" t="s">
        <v>811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812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813</v>
      </c>
      <c r="D7">
        <v>2500</v>
      </c>
      <c r="E7" s="1">
        <v>0.85</v>
      </c>
      <c r="F7" s="2">
        <f t="shared" si="1"/>
        <v>2941.1764705882401</v>
      </c>
      <c r="J7" t="s">
        <v>814</v>
      </c>
      <c r="K7" s="3" t="s">
        <v>815</v>
      </c>
      <c r="L7" s="3" t="s">
        <v>816</v>
      </c>
      <c r="M7" t="s">
        <v>817</v>
      </c>
      <c r="N7" t="s">
        <v>818</v>
      </c>
      <c r="P7">
        <f t="shared" si="0"/>
        <v>85</v>
      </c>
    </row>
    <row r="8" spans="1:25">
      <c r="A8" t="s">
        <v>819</v>
      </c>
      <c r="D8">
        <v>2500</v>
      </c>
      <c r="E8" s="1">
        <v>0.85</v>
      </c>
      <c r="F8" s="2">
        <f t="shared" si="1"/>
        <v>2941.1764705882401</v>
      </c>
      <c r="I8" t="s">
        <v>820</v>
      </c>
      <c r="J8" s="2">
        <f>G6/J$1/W2</f>
        <v>29.090909090909101</v>
      </c>
      <c r="K8" s="2">
        <f>D2/J$1/W2*J$2</f>
        <v>5.8181818181818201</v>
      </c>
      <c r="L8" s="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821</v>
      </c>
      <c r="D9">
        <v>2500</v>
      </c>
      <c r="E9" s="1">
        <v>0.85</v>
      </c>
      <c r="F9" s="2">
        <f t="shared" si="1"/>
        <v>2941.1764705882401</v>
      </c>
      <c r="I9" t="s">
        <v>822</v>
      </c>
      <c r="J9" s="2">
        <f>G11/J$1/W3</f>
        <v>35.650623885918002</v>
      </c>
      <c r="K9" s="2">
        <f>D6/J$1/W3*J$2</f>
        <v>6.0606060606060597</v>
      </c>
      <c r="L9" s="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823</v>
      </c>
      <c r="D10">
        <v>2500</v>
      </c>
      <c r="E10" s="1">
        <v>0.85</v>
      </c>
      <c r="F10" s="2">
        <f t="shared" si="1"/>
        <v>2941.1764705882401</v>
      </c>
      <c r="I10" t="s">
        <v>824</v>
      </c>
      <c r="J10" s="2">
        <f>G16/J$1/W4</f>
        <v>75.560802833530104</v>
      </c>
      <c r="K10" s="2">
        <f>D11/J$1/W4*J$2</f>
        <v>13.223140495867799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825</v>
      </c>
      <c r="D11">
        <v>10000</v>
      </c>
      <c r="E11" s="1">
        <v>1</v>
      </c>
      <c r="F11" s="2">
        <f t="shared" si="1"/>
        <v>10000</v>
      </c>
      <c r="G11">
        <f>SUM(F7:F10)</f>
        <v>11764.705882352901</v>
      </c>
      <c r="I11" t="s">
        <v>826</v>
      </c>
      <c r="J11" s="2">
        <f>G21/J$1/W5</f>
        <v>134.68013468013501</v>
      </c>
      <c r="K11" s="2">
        <f>D16/J$1/W5*J$2</f>
        <v>24.2424242424242</v>
      </c>
      <c r="L11" s="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827</v>
      </c>
      <c r="D12">
        <v>8000</v>
      </c>
      <c r="E12" s="1">
        <v>0.7</v>
      </c>
      <c r="F12" s="2">
        <f t="shared" si="1"/>
        <v>11428.5714285714</v>
      </c>
      <c r="I12" t="s">
        <v>828</v>
      </c>
      <c r="J12" s="2">
        <f>G26/J$1/W6</f>
        <v>169.69696969697</v>
      </c>
      <c r="K12" s="2">
        <f>D21/J$1/W6*J$2</f>
        <v>16.969696969697001</v>
      </c>
      <c r="L12" s="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829</v>
      </c>
      <c r="D13">
        <v>8000</v>
      </c>
      <c r="E13" s="1">
        <v>0.7</v>
      </c>
      <c r="F13" s="2">
        <f t="shared" si="1"/>
        <v>11428.5714285714</v>
      </c>
      <c r="J13" s="2"/>
      <c r="M13" t="s">
        <v>830</v>
      </c>
      <c r="N13">
        <f>SUM(N8:N12)</f>
        <v>1061280</v>
      </c>
      <c r="P13">
        <f t="shared" si="0"/>
        <v>70</v>
      </c>
    </row>
    <row r="14" spans="1:25">
      <c r="A14" t="s">
        <v>831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25">
      <c r="A15" t="s">
        <v>832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25">
      <c r="A16" t="s">
        <v>833</v>
      </c>
      <c r="D16">
        <v>30000</v>
      </c>
      <c r="E16" s="1">
        <v>1</v>
      </c>
      <c r="F16" s="2">
        <f t="shared" si="1"/>
        <v>30000</v>
      </c>
      <c r="G16">
        <f>SUM(F12:F15)</f>
        <v>45714.285714285703</v>
      </c>
      <c r="J16">
        <v>1000</v>
      </c>
      <c r="K16" s="1">
        <v>1</v>
      </c>
      <c r="P16">
        <f t="shared" si="0"/>
        <v>100</v>
      </c>
    </row>
    <row r="17" spans="1:16">
      <c r="A17" t="s">
        <v>834</v>
      </c>
      <c r="D17">
        <v>20000</v>
      </c>
      <c r="E17" s="1">
        <v>0.6</v>
      </c>
      <c r="F17" s="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835</v>
      </c>
      <c r="D18">
        <v>20000</v>
      </c>
      <c r="E18" s="1">
        <v>0.6</v>
      </c>
      <c r="F18" s="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836</v>
      </c>
      <c r="D19">
        <v>20000</v>
      </c>
      <c r="E19" s="1">
        <v>0.6</v>
      </c>
      <c r="F19" s="2">
        <f t="shared" si="1"/>
        <v>33333.333333333299</v>
      </c>
      <c r="J19">
        <v>2500</v>
      </c>
      <c r="K19" s="1">
        <v>0.85</v>
      </c>
      <c r="P19">
        <f t="shared" si="0"/>
        <v>60</v>
      </c>
    </row>
    <row r="20" spans="1:16">
      <c r="A20" t="s">
        <v>837</v>
      </c>
      <c r="D20">
        <v>20000</v>
      </c>
      <c r="E20" s="1">
        <v>0.6</v>
      </c>
      <c r="F20" s="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838</v>
      </c>
      <c r="D21">
        <v>35000</v>
      </c>
      <c r="E21" s="1">
        <v>1</v>
      </c>
      <c r="F21" s="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839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840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841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842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0.55000000000000004</v>
      </c>
      <c r="P25">
        <f t="shared" si="0"/>
        <v>50</v>
      </c>
    </row>
    <row r="26" spans="1:16">
      <c r="A26" t="s">
        <v>843</v>
      </c>
      <c r="E26" t="s">
        <v>844</v>
      </c>
      <c r="F26" s="2">
        <f>SUM(F2:F25)</f>
        <v>551512.32492997195</v>
      </c>
      <c r="G26">
        <f>SUM(F22:F25)</f>
        <v>280000</v>
      </c>
      <c r="J26" s="3">
        <v>20000</v>
      </c>
    </row>
    <row r="27" spans="1:16">
      <c r="E27" t="s">
        <v>845</v>
      </c>
      <c r="F27">
        <f>F26*2</f>
        <v>1103024.6498599399</v>
      </c>
    </row>
    <row r="29" spans="1:16">
      <c r="K29" s="3"/>
    </row>
    <row r="30" spans="1:16">
      <c r="J30" s="3"/>
      <c r="K30" s="3"/>
    </row>
    <row r="31" spans="1:16">
      <c r="A31" s="3" t="s">
        <v>846</v>
      </c>
      <c r="B31" s="3" t="s">
        <v>99</v>
      </c>
      <c r="C31" s="3" t="s">
        <v>109</v>
      </c>
      <c r="F31" s="3" t="s">
        <v>847</v>
      </c>
      <c r="J31" s="3"/>
      <c r="K31" s="3"/>
    </row>
    <row r="32" spans="1:16">
      <c r="A32">
        <v>1</v>
      </c>
      <c r="B32">
        <v>2000</v>
      </c>
      <c r="C32">
        <v>1</v>
      </c>
      <c r="F32" s="3" t="s">
        <v>848</v>
      </c>
      <c r="G32" s="3" t="s">
        <v>849</v>
      </c>
      <c r="H32" s="3" t="s">
        <v>797</v>
      </c>
      <c r="J32" s="3" t="s">
        <v>850</v>
      </c>
      <c r="K32" s="3" t="s">
        <v>851</v>
      </c>
      <c r="L32" s="3" t="s">
        <v>1</v>
      </c>
      <c r="M32" s="3" t="s">
        <v>797</v>
      </c>
      <c r="N32" s="3" t="s">
        <v>99</v>
      </c>
      <c r="O32" s="3" t="s">
        <v>101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99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99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101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0.57999999999999996</v>
      </c>
      <c r="J36">
        <v>4</v>
      </c>
      <c r="K36" s="3">
        <v>1500</v>
      </c>
      <c r="L36" s="3" t="s">
        <v>99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109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101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3">
        <v>7</v>
      </c>
      <c r="K39" s="3">
        <v>3000</v>
      </c>
      <c r="L39" s="3" t="s">
        <v>99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101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844</v>
      </c>
      <c r="N41">
        <f>SUM(N33:N40)</f>
        <v>28860</v>
      </c>
      <c r="O41">
        <f>SUM(O33:O40)</f>
        <v>9600</v>
      </c>
    </row>
    <row r="42" spans="1:15">
      <c r="A42" s="3" t="s">
        <v>844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1:15">
      <c r="G43" s="1"/>
      <c r="H43" s="1"/>
    </row>
    <row r="44" spans="1:15">
      <c r="G44" s="1"/>
      <c r="H44" s="1"/>
      <c r="J44" s="3"/>
      <c r="K44" s="3"/>
    </row>
    <row r="45" spans="1:15">
      <c r="A45" s="3" t="s">
        <v>852</v>
      </c>
      <c r="B45" s="3" t="s">
        <v>853</v>
      </c>
      <c r="C45" s="3" t="s">
        <v>854</v>
      </c>
      <c r="F45" s="3" t="s">
        <v>855</v>
      </c>
      <c r="G45" s="1"/>
      <c r="H45" s="1"/>
      <c r="J45" s="3"/>
      <c r="K45" s="3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3" t="s">
        <v>856</v>
      </c>
      <c r="G46" s="4" t="s">
        <v>857</v>
      </c>
      <c r="H46" s="4" t="s">
        <v>151</v>
      </c>
      <c r="I46" s="3" t="s">
        <v>858</v>
      </c>
      <c r="K46" s="3"/>
    </row>
    <row r="47" spans="1:15">
      <c r="A47">
        <v>2</v>
      </c>
      <c r="B47">
        <f t="shared" si="11"/>
        <v>200</v>
      </c>
      <c r="C47" s="3" t="s">
        <v>859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860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0.55000000000000004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11">
      <c r="A57">
        <v>12</v>
      </c>
      <c r="B57">
        <f t="shared" si="15"/>
        <v>1200</v>
      </c>
      <c r="F57" s="3" t="s">
        <v>844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7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2020-01-21T01:53:51Z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